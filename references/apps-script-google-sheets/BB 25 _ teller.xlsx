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OFDBLAD" sheetId="1" r:id="rId5"/>
    <sheet state="visible" name="Totaaloverzicht D&amp;K 2025-12-01 " sheetId="2" r:id="rId6"/>
    <sheet state="visible" name="BB | Input PICKUPS" sheetId="3" r:id="rId7"/>
    <sheet state="visible" name="UTRECHT - Namelijst" sheetId="4" r:id="rId8"/>
    <sheet state="visible" name="GOUDA - Namelijst" sheetId="5" r:id="rId9"/>
    <sheet state="visible" name="Molen de otter | Namelijst" sheetId="6" r:id="rId10"/>
    <sheet state="visible" name="BB | Input D&amp;K" sheetId="7" r:id="rId11"/>
    <sheet state="visible" name="Totaaloverzicht D&amp;K2025-11-27 0" sheetId="8" r:id="rId12"/>
    <sheet state="visible" name="BB | D&amp;K Draaitable" sheetId="9" r:id="rId13"/>
    <sheet state="visible" name="BB | Input PLANTSOME" sheetId="10" r:id="rId14"/>
    <sheet state="visible" name="Plansum Overzicht 2025-11-26 21" sheetId="11" r:id="rId15"/>
    <sheet state="visible" name="Totaaloverzicht D&amp;K 2025-11-15 " sheetId="12" r:id="rId16"/>
    <sheet state="visible" name="Totaaloverzicht Bomen" sheetId="13" r:id="rId17"/>
    <sheet state="visible" name="BB | Input - draaitable Pickups" sheetId="14" r:id="rId18"/>
    <sheet state="visible" name="BB | DEF voorraad PICKUPS" sheetId="15" r:id="rId19"/>
    <sheet state="visible" name="BB | DEF voorraad D&amp;K" sheetId="16" r:id="rId20"/>
    <sheet state="visible" name="BB | DEF voorraad PLANTSOME" sheetId="17" r:id="rId21"/>
    <sheet state="visible" name="TR | TEMPLATE" sheetId="18" r:id="rId22"/>
    <sheet state="visible" name="TR | Amsterdam - Vondeltuin 5-1" sheetId="19" r:id="rId23"/>
    <sheet state="visible" name="TR | Utrecht-STECK-9-12" sheetId="20" r:id="rId24"/>
    <sheet state="visible" name="TR | Enschede-dewieckse-9-12" sheetId="21" r:id="rId25"/>
    <sheet state="visible" name="TR | Amsterdam - Vondeltuin 13-" sheetId="22" r:id="rId26"/>
    <sheet state="visible" name="TR | Amsterdam - KOP" sheetId="23" r:id="rId27"/>
    <sheet state="visible" name="TR | DEN HAAG - GM" sheetId="24" r:id="rId28"/>
    <sheet state="visible" name="TR | EINDHOVEN" sheetId="25" r:id="rId29"/>
    <sheet state="visible" name="TR | AMSTERDAM - LOADS" sheetId="26" r:id="rId30"/>
    <sheet state="visible" name=" TR | GOUDA W2" sheetId="27" r:id="rId31"/>
    <sheet state="visible" name="TR | EDE" sheetId="28" r:id="rId32"/>
    <sheet state="visible" name="TR | UTRECHT - STECK W2" sheetId="29" r:id="rId33"/>
    <sheet state="visible" name="TR | EINDHOVEN - wasven" sheetId="30" r:id="rId34"/>
    <sheet state="visible" name="TR | BREDA - WOLFSLAAR" sheetId="31" r:id="rId35"/>
    <sheet state="visible" name="TR | BREDA - FRONTAAL" sheetId="32" r:id="rId36"/>
    <sheet state="visible" name="Blad36" sheetId="33" r:id="rId37"/>
    <sheet state="visible" name="TR | UTRECHT - WILLEM" sheetId="34" r:id="rId38"/>
    <sheet state="visible" name="TR | DEN HAAG - PLUK!" sheetId="35" r:id="rId39"/>
    <sheet state="visible" name="Blad23" sheetId="36" r:id="rId40"/>
    <sheet state="visible" name="Blad22" sheetId="37" r:id="rId41"/>
    <sheet state="visible" name="TR | ROTTERDAM - Het witte Paar" sheetId="38" r:id="rId42"/>
    <sheet state="visible" name="NAMELIJST - OMEJOOP" sheetId="39" r:id="rId43"/>
    <sheet state="visible" name="TR | ROTTERDAM - Belevenisboerd" sheetId="40" r:id="rId44"/>
    <sheet state="visible" name="TR | DELFT - BuytenDelft" sheetId="41" r:id="rId45"/>
    <sheet state="visible" name="TR | HAARLEM - Houtbaar" sheetId="42" r:id="rId46"/>
    <sheet state="visible" name="TR | DEN-BOSCH" sheetId="43" r:id="rId47"/>
    <sheet state="visible" name="TR | Leiden" sheetId="44" r:id="rId48"/>
    <sheet state="visible" name="TR | OME JOOP" sheetId="45" r:id="rId49"/>
    <sheet state="visible" name="TR | Influencers" sheetId="46" r:id="rId50"/>
    <sheet state="visible" name="TR | AMSTERDAM-Molen" sheetId="47" r:id="rId51"/>
    <sheet state="hidden" name="_meta_index" sheetId="48" r:id="rId52"/>
    <sheet state="visible" name="TR | Rosewood" sheetId="49" r:id="rId53"/>
    <sheet state="visible" name="TR | Utrecht-STECK-27-11" sheetId="50" r:id="rId54"/>
    <sheet state="visible" name="TR | GOUDA-Stadskant-27-11" sheetId="51" r:id="rId55"/>
    <sheet state="visible" name="Totaaloverzicht Pickups 2025-12" sheetId="52" r:id="rId56"/>
    <sheet state="visible" name="Blad42" sheetId="53" r:id="rId57"/>
    <sheet state="visible" name="D&amp;K namelijst " sheetId="54" r:id="rId58"/>
    <sheet state="visible" name="Blad43" sheetId="55" r:id="rId59"/>
  </sheets>
  <definedNames>
    <definedName hidden="1" localSheetId="0" name="_xlnm._FilterDatabase">HOOFDBLAD!$A$1:$E$41</definedName>
    <definedName hidden="1" localSheetId="38" name="_xlnm._FilterDatabase">'NAMELIJST - OMEJOOP'!$A$1:$A$993</definedName>
  </definedNames>
  <calcPr/>
</workbook>
</file>

<file path=xl/sharedStrings.xml><?xml version="1.0" encoding="utf-8"?>
<sst xmlns="http://schemas.openxmlformats.org/spreadsheetml/2006/main" count="69442" uniqueCount="12253">
  <si>
    <t>Categorie</t>
  </si>
  <si>
    <t>Naam</t>
  </si>
  <si>
    <t>Link</t>
  </si>
  <si>
    <t>SheetId</t>
  </si>
  <si>
    <t>SortKey</t>
  </si>
  <si>
    <t>DEF VOORRAAD</t>
  </si>
  <si>
    <t>BB | DEF voorraad D&amp;K</t>
  </si>
  <si>
    <t>Openen</t>
  </si>
  <si>
    <t>BB | DEF voorraad PICKUPS</t>
  </si>
  <si>
    <t>BB | DEF voorraad PLANTSOME</t>
  </si>
  <si>
    <t>INPUT</t>
  </si>
  <si>
    <t>BB | Input - draaitable Pickups</t>
  </si>
  <si>
    <t>BB | Input D&amp;K</t>
  </si>
  <si>
    <t>BB | Input PICKUPS</t>
  </si>
  <si>
    <t>BB | Input PLANTSOME</t>
  </si>
  <si>
    <t>OVERIG</t>
  </si>
  <si>
    <t>BB | D&amp;K Draaitable</t>
  </si>
  <si>
    <t>Detail3-ENSCHEDE DE WIECKSE</t>
  </si>
  <si>
    <t>Draaitabel 3</t>
  </si>
  <si>
    <t>Email|data-w1</t>
  </si>
  <si>
    <t>GOUDA - Namelijst</t>
  </si>
  <si>
    <t>IMPORT ALL BESTELD</t>
  </si>
  <si>
    <t>Molen de otter | Namelijst</t>
  </si>
  <si>
    <t>Orders</t>
  </si>
  <si>
    <t>PLANTSOME - ANALYSE</t>
  </si>
  <si>
    <t>PLANTSOME - CHECK</t>
  </si>
  <si>
    <t>Temp</t>
  </si>
  <si>
    <t>UTRECHT - Namelijst</t>
  </si>
  <si>
    <t>OVERZICHT</t>
  </si>
  <si>
    <t>HandmatigePlansum Overzicht 2025-11-29</t>
  </si>
  <si>
    <t>Plansum Overzicht 2025-11-15 12:11</t>
  </si>
  <si>
    <t>Plansum Overzicht 2025-11-20 10:06</t>
  </si>
  <si>
    <t>Plansum Overzicht 2025-11-26 21:22</t>
  </si>
  <si>
    <t>Totaaloverzicht Bomen</t>
  </si>
  <si>
    <t>Totaaloverzicht D&amp;K 2025-11-15 11</t>
  </si>
  <si>
    <t>Totaaloverzicht D&amp;K2025-11-27 05</t>
  </si>
  <si>
    <t>Totaaloverzicht PICKUPS 2025-11-15 10:40</t>
  </si>
  <si>
    <t>Totaaloverzicht Pickups 2025-11-26 21</t>
  </si>
  <si>
    <t>Totaaloverzicht Pickups 2025-11-28 11</t>
  </si>
  <si>
    <t>Totaaloverzicht Pickups 2025-11-29 08</t>
  </si>
  <si>
    <t>Totaaloverzicht Pickups 2025-11-29 17</t>
  </si>
  <si>
    <t>TRANSPORT</t>
  </si>
  <si>
    <t>TR | Amsterdam - Vondeltuin 5-12</t>
  </si>
  <si>
    <t>TR | AMSTERDAM-Molen</t>
  </si>
  <si>
    <t>TR | GOUDA-Stadskant-27-11</t>
  </si>
  <si>
    <t>TR | Influencers</t>
  </si>
  <si>
    <t>TR | Leiden</t>
  </si>
  <si>
    <t>TR | OME JOOP</t>
  </si>
  <si>
    <t>TR | Rosewood</t>
  </si>
  <si>
    <t>TR | TEMPLATE</t>
  </si>
  <si>
    <t>TR | Utrecht-STECK-27-11</t>
  </si>
  <si>
    <t>Verkocht</t>
  </si>
  <si>
    <t>Begin Voorraad</t>
  </si>
  <si>
    <t>Voorraad Resterend</t>
  </si>
  <si>
    <t>MET-100-125</t>
  </si>
  <si>
    <t>MET-125-150</t>
  </si>
  <si>
    <t>Total</t>
  </si>
  <si>
    <t>Grand Totaal</t>
  </si>
  <si>
    <t>Line: SKU</t>
  </si>
  <si>
    <t>Additional Details</t>
  </si>
  <si>
    <t>Pickup-Day</t>
  </si>
  <si>
    <t>Pickup-Date</t>
  </si>
  <si>
    <t>Pickup-Time</t>
  </si>
  <si>
    <t>Pickup-Location-Company</t>
  </si>
  <si>
    <t>Name</t>
  </si>
  <si>
    <t>Line: Variant SKU</t>
  </si>
  <si>
    <t>ID</t>
  </si>
  <si>
    <t>Tags</t>
  </si>
  <si>
    <t>Line: Product Type</t>
  </si>
  <si>
    <t>Line: Name</t>
  </si>
  <si>
    <t>Line: Quantity</t>
  </si>
  <si>
    <t>Line: Product Handle</t>
  </si>
  <si>
    <t>Line: Title</t>
  </si>
  <si>
    <t>Line: Fulfillment Status</t>
  </si>
  <si>
    <t>Line: Type</t>
  </si>
  <si>
    <t>Line: ID</t>
  </si>
  <si>
    <t>Order Fulfillment Status</t>
  </si>
  <si>
    <t>Note</t>
  </si>
  <si>
    <t>Fulfillment: Status</t>
  </si>
  <si>
    <t>Boomtype</t>
  </si>
  <si>
    <t>UTRECHT-STECK-BOOM-MET-BORG-150-175</t>
  </si>
  <si>
    <t>Pickup-Location-Id: 302654
 Pickup-Day: saturday
 Pickup-Date: 2025/11/29
 Pickup-Location-Company: UTRECHT - Steck
 Pickup-Location-Address-Line-1: Gageldijk 3
 Pickup-Location-City: Utrecht
 Pickup-Location-Postal-Code: 3566 ME
 Pickup-Location-Country: Netherlands
 Checkout-Method: pickup
 Pickup-Time:</t>
  </si>
  <si>
    <t>saturday</t>
  </si>
  <si>
    <t>UTRECHT - Steck</t>
  </si>
  <si>
    <t>#BB-25-6886</t>
  </si>
  <si>
    <t>29-11-2025, Pickup Order, Saturday, UTRECHT-STECK</t>
  </si>
  <si>
    <t>Utrecht Steck - BB met kluit (incl. €10 borg) - 150-175 cm</t>
  </si>
  <si>
    <t>ut-vandestreek-boom-met-borg</t>
  </si>
  <si>
    <t>Utrecht Steck - BB met kluit (incl. €10 borg)</t>
  </si>
  <si>
    <t>fulfilled</t>
  </si>
  <si>
    <t>Line Item</t>
  </si>
  <si>
    <t>MET-150-175</t>
  </si>
  <si>
    <t>UTRECHT-STECK-BOOM-MET-BORG-175-200</t>
  </si>
  <si>
    <t>#BB-25-6906</t>
  </si>
  <si>
    <t>Utrecht Steck - BB met kluit (incl. €10 borg) - 175-200 cm</t>
  </si>
  <si>
    <t>MET-175-200</t>
  </si>
  <si>
    <t>UTRECHT-STECK-BOOM-MET-BORG-125-150</t>
  </si>
  <si>
    <t>#BB-25-6917</t>
  </si>
  <si>
    <t>Utrecht Steck - BB met kluit (incl. €10 borg) - 125-150 cm</t>
  </si>
  <si>
    <t>UTRECHT-STECK-BOOM-ZONDER-150-175</t>
  </si>
  <si>
    <t>#BB-25-6949</t>
  </si>
  <si>
    <t>29-11-2025, Pickup Order, Saturday, UTRECHT-STECK, WAKE-UP</t>
  </si>
  <si>
    <t>Utrecht Steck - BB zonder kluit - 150-175 cm</t>
  </si>
  <si>
    <t>ut-vandestreek-boom-zonder</t>
  </si>
  <si>
    <t>Utrecht Steck - BB zonder kluit</t>
  </si>
  <si>
    <t>ZONDER-150-175</t>
  </si>
  <si>
    <t>#BB-25-6954</t>
  </si>
  <si>
    <t>#BB-25-6971</t>
  </si>
  <si>
    <t>GOUDA-STADSKANT-BOOM-MET-BORG-100-125</t>
  </si>
  <si>
    <t>Pickup-Location-Id: 278027
 Pickup-Day: saturday
 Pickup-Date: 2025/11/29
 Pickup-Time: 12\:45 PM
 Pickup-Location-Company: GOUDA - Stadskant
 Pickup-Location-Address-Line-1: Agnietenstraat 19
 Pickup-Location-City: Gouda
 Pickup-Location-Postal-Code: 2801 GH
 Pickup-Location-Country: Netherlands
 Checkout-Method: pickup</t>
  </si>
  <si>
    <t>12\:45 PM</t>
  </si>
  <si>
    <t>GOUDA - Stadskant</t>
  </si>
  <si>
    <t>#BB-25-7005</t>
  </si>
  <si>
    <t>12:45, 29-11-2025, GOUDA, Pickup Order, Saturday, WAKE-UP</t>
  </si>
  <si>
    <t>Gouda Stadskant - BB met kluit (incl. €10 borg) - 100-125 cm</t>
  </si>
  <si>
    <t>gd-stadskant-boom-met-borg</t>
  </si>
  <si>
    <t>Gouda Stadskant - BB met kluit (incl. €10 borg)</t>
  </si>
  <si>
    <t>#BB-25-7007</t>
  </si>
  <si>
    <t>Pickup-Location-Id: 278027
 Pickup-Day: saturday
 Pickup-Date: 2025/11/29
 Pickup-Time: 3\:45 PM
 Pickup-Location-Company: GOUDA - Stadskant
 Pickup-Location-Address-Line-1: Agnietenstraat 19
 Pickup-Location-City: Gouda
 Pickup-Location-Postal-Code: 2801 GH
 Pickup-Location-Country: Netherlands
 Checkout-Method: pickup</t>
  </si>
  <si>
    <t>3\:45 PM</t>
  </si>
  <si>
    <t>#BB-25-7024</t>
  </si>
  <si>
    <t>15:45, 29-11-2025, GOUDA, Pickup Order, Saturday, WAKE-UP</t>
  </si>
  <si>
    <t>#BB-25-7077</t>
  </si>
  <si>
    <t>#BB-25-7090</t>
  </si>
  <si>
    <t>UTRECHT-STECK-BOOM-ZONDER-175-200</t>
  </si>
  <si>
    <t>#BB-25-7203</t>
  </si>
  <si>
    <t>Utrecht Steck - BB zonder kluit - 175-200 cm</t>
  </si>
  <si>
    <t>ZONDER-175-200</t>
  </si>
  <si>
    <t>#BB-25-7192</t>
  </si>
  <si>
    <t>UTRECHT-STECK-BOOM-ZONDER-250-300</t>
  </si>
  <si>
    <t>#BB-25-7238</t>
  </si>
  <si>
    <t>Utrecht Steck - BB zonder kluit - 250-300 cm</t>
  </si>
  <si>
    <t>ZONDER-250-300</t>
  </si>
  <si>
    <t>Pickup-Location-Id: 302654
 Pickup-Day: saturday
 Pickup-Date: 2025/11/29
 Pickup-Time: 11\:00 AM
 Pickup-Location-Company: UTRECHT - Steck
 Pickup-Location-Address-Line-1: Gageldijk 3
 Pickup-Location-City: Utrecht
 Pickup-Location-Postal-Code: 3566 ME
 Pickup-Location-Country: Netherlands
 Checkout-Method: pickup</t>
  </si>
  <si>
    <t>11\:00 AM</t>
  </si>
  <si>
    <t>#BB-25-7390</t>
  </si>
  <si>
    <t>11:00, 29-11-2025, Pickup Order, Saturday, UTRECHT-STECK, WAKE-UP</t>
  </si>
  <si>
    <t>Pickup-Location-Id: 302654
 Pickup-Day: saturday
 Pickup-Date: 2025/11/29
 Pickup-Time: 10\:30 AM
 Pickup-Location-Company: UTRECHT - Steck
 Pickup-Location-Address-Line-1: Gageldijk 3
 Pickup-Location-City: Utrecht
 Pickup-Location-Postal-Code: 3566 ME
 Pickup-Location-Country: Netherlands
 Checkout-Method: pickup</t>
  </si>
  <si>
    <t>10\:30 AM</t>
  </si>
  <si>
    <t>#BB-25-7477</t>
  </si>
  <si>
    <t>10:30, 29-11-2025, Pickup Order, Saturday, UTRECHT-STECK, WAKE-UP</t>
  </si>
  <si>
    <t>UTRECHT-STECK-BOOM-MET-BORG-100-125</t>
  </si>
  <si>
    <t>#BB-25-7542</t>
  </si>
  <si>
    <t>Utrecht Steck - BB met kluit (incl. €10 borg) - 100-125 cm</t>
  </si>
  <si>
    <t>Pickup-Location-Id: 302654
 Pickup-Day: saturday
 Pickup-Date: 2025/11/29
 Pickup-Time: 11\:30 AM
 Pickup-Location-Company: UTRECHT - Steck
 Pickup-Location-Address-Line-1: Gageldijk 3
 Pickup-Location-City: Utrecht
 Pickup-Location-Postal-Code: 3566 ME
 Pickup-Location-Country: Netherlands
 Checkout-Method: pickup</t>
  </si>
  <si>
    <t>11\:30 AM</t>
  </si>
  <si>
    <t>#BB-25-7596</t>
  </si>
  <si>
    <t>11:30, 29-11-2025, Pickup Order, Saturday, UTRECHT-STECK, WAKE-UP</t>
  </si>
  <si>
    <t>Pickup-Location-Id: 302654
 Pickup-Day: saturday
 Pickup-Date: 2025/11/29
 Pickup-Time: 12\:00 PM
 Pickup-Location-Company: UTRECHT - Steck
 Pickup-Location-Address-Line-1: Gageldijk 3
 Pickup-Location-City: Utrecht
 Pickup-Location-Postal-Code: 3566 ME
 Pickup-Location-Country: Netherlands
 Checkout-Method: pickup</t>
  </si>
  <si>
    <t>12\:00 PM</t>
  </si>
  <si>
    <t>#BB-25-7607</t>
  </si>
  <si>
    <t>12:00, 29-11-2025, Pickup Order, Saturday, UTRECHT-STECK, WAKE-UP</t>
  </si>
  <si>
    <t>Pickup-Location-Id: 302654
 Pickup-Day: saturday
 Pickup-Date: 2025/11/29
 Pickup-Time: 10\:00 AM
 Pickup-Location-Company: UTRECHT - Steck
 Pickup-Location-Address-Line-1: Gageldijk 3
 Pickup-Location-City: Utrecht
 Pickup-Location-Postal-Code: 3566 ME
 Pickup-Location-Country: Netherlands
 Checkout-Method: pickup</t>
  </si>
  <si>
    <t>10\:00 AM</t>
  </si>
  <si>
    <t>#BB-25-7637</t>
  </si>
  <si>
    <t>10:00, 29-11-2025, Pickup Order, Saturday, UTRECHT-STECK, WAKE-UP</t>
  </si>
  <si>
    <t>#BB-25-7636</t>
  </si>
  <si>
    <t>#BB-25-7688</t>
  </si>
  <si>
    <t>GOUDA-STADSKANT-BOOM-ZONDER-175-200</t>
  </si>
  <si>
    <t>Pickup-Location-Id: 278027
 Pickup-Day: saturday
 Pickup-Date: 2025/11/29
 Pickup-Time: 2\:45 PM
 Pickup-Location-Company: GOUDA - Stadskant
 Pickup-Location-Address-Line-1: Agnietenstraat 19
 Pickup-Location-City: Gouda
 Pickup-Location-Postal-Code: 2801 GH
 Pickup-Location-Country: Netherlands
 Checkout-Method: pickup</t>
  </si>
  <si>
    <t>2\:45 PM</t>
  </si>
  <si>
    <t>#BB-25-7785</t>
  </si>
  <si>
    <t>14:45, 29-11-2025, GOUDA, Pickup Order, Saturday, WAKE-UP</t>
  </si>
  <si>
    <t>Gouda Stadskant - BB zonder kluit - 175-200 cm</t>
  </si>
  <si>
    <t>gd-stadskant-boom-zonder</t>
  </si>
  <si>
    <t>Gouda Stadskant - BB zonder kluit</t>
  </si>
  <si>
    <t>GOUDA-STADSKANT-BOOM-MET-BORG-125-150</t>
  </si>
  <si>
    <t>Pickup-Location-Id: 278027
 Pickup-Day: saturday
 Pickup-Date: 2025/11/29
 Pickup-Time: 2\:15 PM
 Pickup-Location-Company: GOUDA - Stadskant
 Pickup-Location-Address-Line-1: Agnietenstraat 19
 Pickup-Location-City: Gouda
 Pickup-Location-Postal-Code: 2801 GH
 Pickup-Location-Country: Netherlands
 Checkout-Method: pickup</t>
  </si>
  <si>
    <t>2\:15 PM</t>
  </si>
  <si>
    <t>#BB-25-7808</t>
  </si>
  <si>
    <t>14:15, 29-11-2025, GOUDA, Pickup Order, Saturday, WAKE-UP</t>
  </si>
  <si>
    <t>Gouda Stadskant - BB met kluit (incl. €10 borg) - 125-150 cm</t>
  </si>
  <si>
    <t>UTRECHT-STECK-BOOM-ZONDER-200-250</t>
  </si>
  <si>
    <t>#BB-25-7892</t>
  </si>
  <si>
    <t>Utrecht Steck - BB zonder kluit - 200-250 cm</t>
  </si>
  <si>
    <t>ZONDER-200-250</t>
  </si>
  <si>
    <t>Pickup-Location-Id: 278027
 Pickup-Day: saturday
 Pickup-Date: 2025/11/29
 Pickup-Time: 11\:15 AM
 Pickup-Location-Company: GOUDA - Stadskant
 Pickup-Location-Address-Line-1: Agnietenstraat 19
 Pickup-Location-City: Gouda
 Pickup-Location-Postal-Code: 2801 GH
 Pickup-Location-Country: Netherlands
 Checkout-Method: pickup</t>
  </si>
  <si>
    <t>11\:15 AM</t>
  </si>
  <si>
    <t>#BB-25-7934</t>
  </si>
  <si>
    <t>11:15, 29-11-2025, GOUDA, Pickup Order, Saturday, WAKE-UP</t>
  </si>
  <si>
    <t>Pickup-Location-Id: 302654
 Pickup-Day: saturday
 Pickup-Date: 2025/11/29
 Pickup-Time: 3\:00 PM
 Pickup-Location-Company: UTRECHT - Steck
 Pickup-Location-Address-Line-1: Gageldijk 3
 Pickup-Location-City: Utrecht
 Pickup-Location-Postal-Code: 3566 ME
 Pickup-Location-Country: Netherlands
 Checkout-Method: pickup</t>
  </si>
  <si>
    <t>3\:00 PM</t>
  </si>
  <si>
    <t>#BB-25-8026</t>
  </si>
  <si>
    <t>15:00, 29-11-2025, Pickup Order, Saturday, UTRECHT-STECK, WAKE-UP</t>
  </si>
  <si>
    <t>#BB-25-8109</t>
  </si>
  <si>
    <t>GOUDA-STADSKANT-BOOM-MET-BORG-175-200</t>
  </si>
  <si>
    <t>Pickup-Location-Id: 278027
 Pickup-Day: saturday
 Pickup-Date: 2025/11/29
 Pickup-Time: 10\:15 AM
 Pickup-Location-Company: GOUDA - Stadskant
 Pickup-Location-Address-Line-1: Agnietenstraat 19
 Pickup-Location-City: Gouda
 Pickup-Location-Postal-Code: 2801 GH
 Pickup-Location-Country: Netherlands
 Checkout-Method: pickup</t>
  </si>
  <si>
    <t>10\:15 AM</t>
  </si>
  <si>
    <t>#BB-25-8139</t>
  </si>
  <si>
    <t>10:15, 29-11-2025, GOUDA, Pickup Order, Saturday, WAKE-UP</t>
  </si>
  <si>
    <t>Gouda Stadskant - BB met kluit (incl. €10 borg) - 175-200 cm</t>
  </si>
  <si>
    <t>Pickup-Location-Id: 302654
 Pickup-Day: saturday
 Pickup-Date: 2025/11/29
 Pickup-Time: 4\:00 PM
 Pickup-Location-Company: UTRECHT - Steck
 Pickup-Location-Address-Line-1: Gageldijk 3
 Pickup-Location-City: Utrecht
 Pickup-Location-Postal-Code: 3566 ME
 Pickup-Location-Country: Netherlands
 Checkout-Method: pickup</t>
  </si>
  <si>
    <t>4\:00 PM</t>
  </si>
  <si>
    <t>#BB-25-8162</t>
  </si>
  <si>
    <t>16:00, 29-11-2025, Pickup Order, Saturday, UTRECHT-STECK, WAKE-UP</t>
  </si>
  <si>
    <t>Pickup-Location-Id: 302654
 Pickup-Day: saturday
 Pickup-Date: 2025/11/29
 Pickup-Time: 2\:00 PM
 Pickup-Location-Company: UTRECHT - Steck
 Pickup-Location-Address-Line-1: Gageldijk 3
 Pickup-Location-City: Utrecht
 Pickup-Location-Postal-Code: 3566 ME
 Pickup-Location-Country: Netherlands
 Checkout-Method: pickup</t>
  </si>
  <si>
    <t>2\:00 PM</t>
  </si>
  <si>
    <t>#BB-25-8200</t>
  </si>
  <si>
    <t>14:00, 29-11-2025, Pickup Order, Saturday, UTRECHT-STECK, WAKE-UP</t>
  </si>
  <si>
    <t>#BB-25-8226</t>
  </si>
  <si>
    <t>ENSCHEDE-DE-WIECKSE-BOOM-MET-BORG-100-125</t>
  </si>
  <si>
    <t>Pickup-Location-Id: 304221
 Pickup-Day: friday
 Pickup-Date: 2025/11/21
 Pickup-Time: 11\:00 AM
 Pickup-Location-Company: ENSCHEDE DE WIECKSE
 Pickup-Location-Address-Line-1: Keizerweg 40
 Pickup-Location-City: Enschede
 Pickup-Location-Postal-Code: 7548PX
 Pickup-Location-Country: Netherlands
 Checkout-Method: pickup</t>
  </si>
  <si>
    <t>friday</t>
  </si>
  <si>
    <t>ENSCHEDE DE WIECKSE</t>
  </si>
  <si>
    <t>#BB-25-8259</t>
  </si>
  <si>
    <t>11:00, 21-11-2025, Enschede-DEWIECKE, Friday, Pickup Order, WAKE-UP</t>
  </si>
  <si>
    <t>Enschede De wieckse - BB met kluit (incl. €10 borg) - 100-125 cm</t>
  </si>
  <si>
    <t>enschede-de-wieckse-bb-met-kluit-incl-10-borg</t>
  </si>
  <si>
    <t>Enschede De wieckse - BB met kluit (incl. €10 borg)</t>
  </si>
  <si>
    <t>GOUDA-STADSKANT-BOOM-MET-BORG-150-175</t>
  </si>
  <si>
    <t>Pickup-Location-Id: 278027
 Pickup-Day: saturday
 Pickup-Date: 2025/11/29
 Pickup-Time: 12\:15 PM
 Pickup-Location-Company: GOUDA - Stadskant
 Pickup-Location-Address-Line-1: Agnietenstraat 19
 Pickup-Location-City: Gouda
 Pickup-Location-Postal-Code: 2801 GH
 Pickup-Location-Country: Netherlands
 Checkout-Method: pickup</t>
  </si>
  <si>
    <t>12\:15 PM</t>
  </si>
  <si>
    <t>#BB-25-8270</t>
  </si>
  <si>
    <t>12:15, 29-11-2025, GOUDA, Pickup Order, Saturday, WAKE-UP</t>
  </si>
  <si>
    <t>Gouda Stadskant - BB met kluit (incl. €10 borg) - 150-175 cm</t>
  </si>
  <si>
    <t>#BB-25-8297</t>
  </si>
  <si>
    <t>#BB-25-8408</t>
  </si>
  <si>
    <t>#BB-25-8453</t>
  </si>
  <si>
    <t>Pickup-Location-Id: 278027
 Pickup-Day: saturday
 Pickup-Date: 2025/11/29
 Pickup-Time: 1\:15 PM
 Pickup-Location-Company: GOUDA - Stadskant
 Pickup-Location-Address-Line-1: Agnietenstraat 19
 Pickup-Location-City: Gouda
 Pickup-Location-Postal-Code: 2801 GH
 Pickup-Location-Country: Netherlands
 Checkout-Method: pickup</t>
  </si>
  <si>
    <t>1\:15 PM</t>
  </si>
  <si>
    <t>#BB-25-8466</t>
  </si>
  <si>
    <t>13:15, 29-11-2025, GOUDA, Pickup Order, Saturday, WAKE-UP</t>
  </si>
  <si>
    <t>#BB-25-8505</t>
  </si>
  <si>
    <t>Pickup-Location-Id: 302654
 Pickup-Day: saturday
 Pickup-Date: 2025/11/29
 Pickup-Time: 9\:00 AM
 Pickup-Location-Company: UTRECHT - Steck
 Pickup-Location-Address-Line-1: Gageldijk 3
 Pickup-Location-City: Utrecht
 Pickup-Location-Postal-Code: 3566 ME
 Pickup-Location-Country: Netherlands
 Checkout-Method: pickup</t>
  </si>
  <si>
    <t>9\:00 AM</t>
  </si>
  <si>
    <t>#BB-25-8544</t>
  </si>
  <si>
    <t>09:00, 29-11-2025, Pickup Order, Saturday, UTRECHT-STECK, WAKE-UP</t>
  </si>
  <si>
    <t>#BB-25-8564</t>
  </si>
  <si>
    <t>#BB-25-8592</t>
  </si>
  <si>
    <t>Pickup-Location-Id: 278027
 Pickup-Day: saturday
 Pickup-Date: 2025/11/29
 Pickup-Time: 10\:45 AM
 Pickup-Location-Company: GOUDA - Stadskant
 Pickup-Location-Address-Line-1: Agnietenstraat 19
 Pickup-Location-City: Gouda
 Pickup-Location-Postal-Code: 2801 GH
 Pickup-Location-Country: Netherlands
 Checkout-Method: pickup</t>
  </si>
  <si>
    <t>10\:45 AM</t>
  </si>
  <si>
    <t>#BB-25-8622</t>
  </si>
  <si>
    <t>10:45, 29-11-2025, GOUDA, Pickup Order, Saturday, WAKE-UP</t>
  </si>
  <si>
    <t>#BB-25-8667</t>
  </si>
  <si>
    <t>Pickup-Location-Id: 302654
 Pickup-Day: saturday
 Pickup-Date: 2025/11/29
 Pickup-Time: 9\:30 AM
 Pickup-Location-Company: UTRECHT - Steck
 Pickup-Location-Address-Line-1: Gageldijk 3
 Pickup-Location-City: Utrecht
 Pickup-Location-Postal-Code: 3566 ME
 Pickup-Location-Country: Netherlands
 Checkout-Method: pickup</t>
  </si>
  <si>
    <t>9\:30 AM</t>
  </si>
  <si>
    <t>#BB-25-8685</t>
  </si>
  <si>
    <t>09:30, 29-11-2025, Pickup Order, Saturday, UTRECHT-STECK, WAKE-UP</t>
  </si>
  <si>
    <t>#BB-25-8696</t>
  </si>
  <si>
    <t>#BB-25-8702</t>
  </si>
  <si>
    <t>#BB-25-8717</t>
  </si>
  <si>
    <t>#BB-25-8728</t>
  </si>
  <si>
    <t>Pickup-Location-Id: 302654
 Pickup-Day: saturday
 Pickup-Date: 2025/11/29
 Pickup-Time: 3\:30 PM
 Pickup-Location-Company: UTRECHT - Steck
 Pickup-Location-Address-Line-1: Gageldijk 3
 Pickup-Location-City: Utrecht
 Pickup-Location-Postal-Code: 3566 ME
 Pickup-Location-Country: Netherlands
 Checkout-Method: pickup</t>
  </si>
  <si>
    <t>3\:30 PM</t>
  </si>
  <si>
    <t>#BB-25-8712</t>
  </si>
  <si>
    <t>15:30, 29-11-2025, Pickup Order, Saturday, UTRECHT-STECK, WAKE-UP</t>
  </si>
  <si>
    <t>#BB-25-8759</t>
  </si>
  <si>
    <t>Pickup-Location-Id: 302654
 Pickup-Day: saturday
 Pickup-Date: 2025/11/29
 Pickup-Time: 1\:30 PM
 Pickup-Location-Company: UTRECHT - Steck
 Pickup-Location-Address-Line-1: Gageldijk 3
 Pickup-Location-City: Utrecht
 Pickup-Location-Postal-Code: 3566 ME
 Pickup-Location-Country: Netherlands
 Checkout-Method: pickup</t>
  </si>
  <si>
    <t>1\:30 PM</t>
  </si>
  <si>
    <t>#BB-25-8743</t>
  </si>
  <si>
    <t>13:30, 29-11-2025, Pickup Order, Saturday, UTRECHT-STECK, WAKE-UP</t>
  </si>
  <si>
    <t>Pickup-Location-Id: 302654
 Pickup-Day: saturday
 Pickup-Date: 2025/11/29
 Pickup-Time: 12\:30 PM
 Pickup-Location-Company: UTRECHT - Steck
 Pickup-Location-Address-Line-1: Gageldijk 3
 Pickup-Location-City: Utrecht
 Pickup-Location-Postal-Code: 3566 ME
 Pickup-Location-Country: Netherlands
 Checkout-Method: pickup</t>
  </si>
  <si>
    <t>12\:30 PM</t>
  </si>
  <si>
    <t>#BB-25-8805</t>
  </si>
  <si>
    <t>12:30, 29-11-2025, Pickup Order, Saturday, UTRECHT-STECK, WAKE-UP</t>
  </si>
  <si>
    <t>#BB-25-8811</t>
  </si>
  <si>
    <t>#BB-25-8822</t>
  </si>
  <si>
    <t>#BB-25-8834</t>
  </si>
  <si>
    <t>#BB-25-8874</t>
  </si>
  <si>
    <t>#BB-25-8876</t>
  </si>
  <si>
    <t>#BB-25-9215</t>
  </si>
  <si>
    <t>10:00, 29-11-2025, Pickup Order, Saturday, UTRECHT-STECK</t>
  </si>
  <si>
    <t>Utrecht Steck - BB met kluit (incl. €10 borg) - Ophalen eerste week - 100-125 cm</t>
  </si>
  <si>
    <t>utrecht-steck-bb-met-kluit-incl-10-borg-w1</t>
  </si>
  <si>
    <t>Utrecht Steck - BB met kluit (incl. €10 borg) - Ophalen eerste week</t>
  </si>
  <si>
    <t>Pickup-Location-Id: 302654
 Pickup-Day: saturday
 Pickup-Date: 2025/11/29
 Pickup-Time: 1\:00 PM
 Pickup-Location-Company: UTRECHT - Steck
 Pickup-Location-Address-Line-1: Gageldijk 3
 Pickup-Location-City: Utrecht
 Pickup-Location-Postal-Code: 3566 ME
 Pickup-Location-Country: Netherlands
 Checkout-Method: pickup</t>
  </si>
  <si>
    <t>1\:00 PM</t>
  </si>
  <si>
    <t>#BB-25-9423</t>
  </si>
  <si>
    <t>13:00, 29-11-2025, Pickup Order, Saturday, UTRECHT-STECK</t>
  </si>
  <si>
    <t>Utrecht Steck - BB met kluit (incl. €10 borg) - Ophalen eerste week - 125-150 cm</t>
  </si>
  <si>
    <t>#BB-25-9522</t>
  </si>
  <si>
    <t>16:00, 29-11-2025, Pickup Order, Saturday, UTRECHT-STECK</t>
  </si>
  <si>
    <t>Pickup-Location-Id: 302654
 Pickup-Day: sunday
 Pickup-Date: 2025/12/07
 Pickup-Location-Company: UTRECHT - Steck
 Pickup-Location-Address-Line-1: Gageldijk 3
 Pickup-Location-City: Utrecht
 Pickup-Location-Postal-Code: 3566 ME
 Pickup-Location-Country: Netherlands
 Checkout-Method: pickup
 Pickup-Time:</t>
  </si>
  <si>
    <t>sunday</t>
  </si>
  <si>
    <t>#BB-25-6872</t>
  </si>
  <si>
    <t>07-12-2025, Pickup Order, Sunday, UTRECHT-STECK</t>
  </si>
  <si>
    <t>EDE-KANTINE-GEBOUW-ENKA-BOOM-MET-BORG-125-150</t>
  </si>
  <si>
    <t>Pickup-Location-Id: 278861
 Pickup-Day: saturday
 Pickup-Date: 2025/12/06
 Pickup-Time: 10\:30 AM
 Pickup-Location-Company: EDE - Kantine gebouw Enka
 Pickup-Location-Address-Line-1: Kantinegebouw 14
 Pickup-Location-City: Ede
 Pickup-Location-Postal-Code: 6717 XR
 Pickup-Location-Country: Netherlands
 Checkout-Method: pickup</t>
  </si>
  <si>
    <t>EDE - Kantine gebouw Enka</t>
  </si>
  <si>
    <t>#BB-25-6870</t>
  </si>
  <si>
    <t>07-12-2025, 11:15, EDE_ENKA, Pickup Order, Sunday</t>
  </si>
  <si>
    <t>Ede De Kantine Enka - BB met kluit (incl. €10 borg) - 125-150 cm</t>
  </si>
  <si>
    <t>ed-de-kantine-enka-boom-met-borg</t>
  </si>
  <si>
    <t>Ede De Kantine Enka - BB met kluit (incl. €10 borg)</t>
  </si>
  <si>
    <t>#BB-25-6875</t>
  </si>
  <si>
    <t>#BB-25-6876</t>
  </si>
  <si>
    <t>Pickup-Location-Id: 302654
 Pickup-Day: wednesday
 Pickup-Date: 2025/12/03
 Pickup-Location-Company: UTRECHT - Steck
 Pickup-Location-Address-Line-1: Gageldijk 3
 Pickup-Location-City: Utrecht
 Pickup-Location-Postal-Code: 3566 ME
 Pickup-Location-Country: Netherlands
 Checkout-Method: pickup
 Pickup-Time:</t>
  </si>
  <si>
    <t>wednesday</t>
  </si>
  <si>
    <t>#BB-25-6874</t>
  </si>
  <si>
    <t>03-12-2025, Pickup Order, UTRECHT-STECK, Wednesday</t>
  </si>
  <si>
    <t>Pickup-Location-Id: 302654
 Pickup-Day: sunday
 Pickup-Date: 2025/11/30
 Pickup-Location-Company: UTRECHT - Steck
 Pickup-Location-Address-Line-1: Gageldijk 3
 Pickup-Location-City: Utrecht
 Pickup-Location-Postal-Code: 3566 ME
 Pickup-Location-Country: Netherlands
 Checkout-Method: pickup
 Pickup-Time:</t>
  </si>
  <si>
    <t>#BB-25-6882</t>
  </si>
  <si>
    <t>30-11-2025, Pickup Order, Sunday, UTRECHT-STECK</t>
  </si>
  <si>
    <t>Pickup-Location-Id: 302654
 Pickup-Day: monday
 Pickup-Date: 2025/12/01
 Pickup-Location-Company: UTRECHT - Steck
 Pickup-Location-Address-Line-1: Gageldijk 3
 Pickup-Location-City: Utrecht
 Pickup-Location-Postal-Code: 3566 ME
 Pickup-Location-Country: Netherlands
 Checkout-Method: pickup
 Pickup-Time:</t>
  </si>
  <si>
    <t>monday</t>
  </si>
  <si>
    <t>#BB-25-6879</t>
  </si>
  <si>
    <t>01-12-2025, Monday, Pickup Order, UTRECHT-STECK</t>
  </si>
  <si>
    <t>Pickup-Location-Id: 302654
 Pickup-Day: saturday
 Pickup-Date: 2025/12/06
 Pickup-Location-Company: UTRECHT - Steck
 Pickup-Location-Address-Line-1: Gageldijk 3
 Pickup-Location-City: Utrecht
 Pickup-Location-Postal-Code: 3566 ME
 Pickup-Location-Country: Netherlands
 Checkout-Method: pickup
 Pickup-Time:</t>
  </si>
  <si>
    <t>#BB-25-6877</t>
  </si>
  <si>
    <t>06-12-2025, Pickup Order, Saturday, UTRECHT-STECK</t>
  </si>
  <si>
    <t>BREDA-KINDERBOERDERIJ-WOLFSLAAR-BOOM-MET-BORG-125-150</t>
  </si>
  <si>
    <t>Pickup-Location-Id: 278023
 Pickup-Day: saturday
 Pickup-Date: 2025/12/06
 Pickup-Time: 1\:40 PM
 Pickup-Location-Company: BREDA - Kinderboerderij Wolfslaar
 Pickup-Location-Address-Line-1: Wolfslaardreef 95
 Pickup-Location-City: Breda
 Pickup-Location-Postal-Code: 4834 SN
 Pickup-Location-Country: Netherlands
 Checkout-Method: pickup</t>
  </si>
  <si>
    <t>1\:40 PM</t>
  </si>
  <si>
    <t>BREDA - Kinderboerderij Wolfslaar</t>
  </si>
  <si>
    <t>#BB-25-6880</t>
  </si>
  <si>
    <t>06-12-2025, 13:40, BREDA-WOLFSLAAR, Pickup Order, Saturday</t>
  </si>
  <si>
    <t>Breda Wolfslaar - BB met kluit (incl. €10 borg) - 125-150 cm</t>
  </si>
  <si>
    <t>bda-wolfslaar-boom-met-borg</t>
  </si>
  <si>
    <t>Breda Wolfslaar - BB met kluit (incl. €10 borg)</t>
  </si>
  <si>
    <t>DEN-HAAG-PLUK-BOOM-ZONDER-150-175</t>
  </si>
  <si>
    <t>Pickup-Location-Id: 278026
 Pickup-Day: saturday
 Pickup-Date: 2025/12/06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</si>
  <si>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DEN HAAG - Pluk!</t>
  </si>
  <si>
    <t>#BB-25-6883</t>
  </si>
  <si>
    <t>06-12-2025, 11:00, DENHAAG-PLUK, Pickup Order, Saturday</t>
  </si>
  <si>
    <t>Den Haag Pluk - BB zonder kluit - 150-175 cm</t>
  </si>
  <si>
    <t>dh-pluk-boom-zonder</t>
  </si>
  <si>
    <t>Den Haag Pluk - BB zonder kluit</t>
  </si>
  <si>
    <t>BREDA-FRONTAAL-BOOM-MET-BORG-125-150</t>
  </si>
  <si>
    <t>Pickup-Location-Id: 279894
 Pickup-Day: saturday
 Pickup-Date: 2025/12/06
 Pickup-Time: 2\:00 PM
 Pickup-Location-Company: BREDA - Frontaal
 Pickup-Location-Address-Line-1: Liniestraat 31
 Pickup-Location-City: Breda
 Pickup-Location-Postal-Code: 4816 BG
 Pickup-Location-Country: Netherlands
 Checkout-Method: pickup</t>
  </si>
  <si>
    <t>BREDA - Frontaal</t>
  </si>
  <si>
    <t>#BB-25-6887</t>
  </si>
  <si>
    <t>06-12-2025, 14:00, BREDA-FRONTAAL, Pickup Order, Saturday</t>
  </si>
  <si>
    <t>Breda Frontaal - BB met kluit (incl. €10 borg) - 125-150</t>
  </si>
  <si>
    <t>bda-frontaal-boom-met-borg</t>
  </si>
  <si>
    <t>Breda Frontaal - BB met kluit (incl. €10 borg)</t>
  </si>
  <si>
    <t>#BB-25-6891</t>
  </si>
  <si>
    <t>01-12-2025, Monday, Pickup Order, UTRECHT-STECK, WAKE-UP</t>
  </si>
  <si>
    <t>AMSTERDAM-HOUSE-OF-WATT-BOOM-MET-BORG-125-150</t>
  </si>
  <si>
    <t>Pickup-Location-Id: 278462
 Pickup-Day: sunday
 Pickup-Date: 2025/11/30
 Pickup-Time: 1\:00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</si>
  <si>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AMSTERDAM - Molen De Otter</t>
  </si>
  <si>
    <t>#BB-25-6884</t>
  </si>
  <si>
    <t>13:00, 30-11-2025, AMSTERDAM-MOLEN, Pickup Order, Sunday</t>
  </si>
  <si>
    <t>Amsterdam Molen de Otter - BB met kluit (incl. €10 borg) - 125-150 cm</t>
  </si>
  <si>
    <t>amd-house-of-watt-boom-met-borg</t>
  </si>
  <si>
    <t>Amsterdam Molen de Otter - BB met kluit (incl. €10 borg)</t>
  </si>
  <si>
    <t>Pickup-Location-Id: 302654
 Pickup-Day: thursday
 Pickup-Date: 2025/12/04
 Pickup-Location-Company: UTRECHT - Steck
 Pickup-Location-Address-Line-1: Gageldijk 3
 Pickup-Location-City: Utrecht
 Pickup-Location-Postal-Code: 3566 ME
 Pickup-Location-Country: Netherlands
 Checkout-Method: pickup
 Pickup-Time:</t>
  </si>
  <si>
    <t>thursday</t>
  </si>
  <si>
    <t>#BB-25-6894</t>
  </si>
  <si>
    <t>04-12-2025, Pickup Order, Thursday, UTRECHT-STECK, WAKE-UP</t>
  </si>
  <si>
    <t>EINDHOVEN-WASVEN-BOOM-MET-BORG-125-150</t>
  </si>
  <si>
    <t>Pickup-Location-Id: 302976
 Pickup-Day: saturday
 Pickup-Date: 2025/12/06
 Pickup-Time: 10\:15 AM
 Pickup-Location-Company: EINDHOVEN - Wasven
 Pickup-Location-Address-Line-1: Celebeslaan 30
 Pickup-Location-City: Eindhoven
 Pickup-Location-Postal-Code: 5641 AG
 Pickup-Location-Country: Netherlands
 Checkout-Method: pickup</t>
  </si>
  <si>
    <t>EINDHOVEN - Wasven</t>
  </si>
  <si>
    <t>#BB-25-6889</t>
  </si>
  <si>
    <t>06-12-2025, 10:15, EINDHOVEN-WASVEN, Pickup Order, Saturday</t>
  </si>
  <si>
    <t>Eindhoven Wasven - BB met kluit (incl. €10 borg) - 125-150 cm</t>
  </si>
  <si>
    <t>eindhoven-wasven-bb-met-kluit-incl-10-borg</t>
  </si>
  <si>
    <t>Eindhoven Wasven - BB met kluit (incl. €10 borg)</t>
  </si>
  <si>
    <t>EDE-KANTINE-GEBOUW-ENKA-BOOM-ZONDER-175-200</t>
  </si>
  <si>
    <t>#BB-25-6893</t>
  </si>
  <si>
    <t>07-12-2025, 12:15, EDE_ENKA, Pickup Order, Sunday, WAKE-UP</t>
  </si>
  <si>
    <t>Ede De Kantine Enka - BB zonder kluit - 175-200 cm</t>
  </si>
  <si>
    <t>ed-de-kantine-enka-boom-zonder</t>
  </si>
  <si>
    <t>Ede De Kantine Enka - BB zonder kluit</t>
  </si>
  <si>
    <t>#BB-25-6898</t>
  </si>
  <si>
    <t>LEIDEN-PLNT-BOOM-MET-BORG-100-125</t>
  </si>
  <si>
    <t>Pickup-Location-Id: 278553
 Pickup-Day: sunday
 Pickup-Date: 2025/11/30
 Pickup-Time: 12\:00 PM
 Pickup-Location-Company: LEIDEN - The Fields
 Pickup-Location-Address-Line-1: Stationsplein 25
 Pickup-Location-City: Leiden
 Pickup-Location-Postal-Code: 2312 AJ
 Pickup-Location-Country: Netherlands
 Checkout-Method: pickup</t>
  </si>
  <si>
    <t>LEIDEN - The Fields</t>
  </si>
  <si>
    <t>#BB-25-6895</t>
  </si>
  <si>
    <t>12:00, 30-11-2025, LEIDEN-THEFIELD, Pickup Order, Sunday</t>
  </si>
  <si>
    <t>Leiden the field - BB met kluit (incl. €10 borg) - 100-125 cm</t>
  </si>
  <si>
    <t>ld-plnt-boom-met-borg</t>
  </si>
  <si>
    <t>Leiden the field - BB met kluit (incl. €10 borg)</t>
  </si>
  <si>
    <t>EDE-KANTINE-GEBOUW-ENKA-BOOM-MET-BORG-100-125</t>
  </si>
  <si>
    <t>Pickup-Location-Id: 278861
 Pickup-Day: saturday
 Pickup-Date: 2025/12/06
 Pickup-Time: 12\:15 PM
 Pickup-Location-Company: EDE - Kantine gebouw Enka
 Pickup-Location-Address-Line-1: Kantinegebouw 14
 Pickup-Location-City: Ede
 Pickup-Location-Postal-Code: 6717 XR
 Pickup-Location-Country: Netherlands
 Checkout-Method: pickup</t>
  </si>
  <si>
    <t>#BB-25-6900</t>
  </si>
  <si>
    <t>07-12-2025, 12:15, EDE_ENKA, Pickup Order, Sunday</t>
  </si>
  <si>
    <t>Ede De Kantine Enka - BB met kluit (incl. €10 borg) - 100-125 cm</t>
  </si>
  <si>
    <t>AMSTERDAM-KOPVANOOST-BOOM-MET-BORG-125-150</t>
  </si>
  <si>
    <t>Pickup-Location-Id: 278024
 Pickup-Day: sunday
 Pickup-Date: 2025/12/07
 Pickup-Time: 2\:00 PM
 Pickup-Location-Company: AMSTERDAM - Kop van Oost
 Pickup-Location-Address-Line-1: Zeeburgerpad 1
 Pickup-Location-City: Amsterdam
 Pickup-Location-Postal-Code: 1018 AH
 Pickup-Location-Country: Netherlands
 Checkout-Method: pickup</t>
  </si>
  <si>
    <t>AMSTERDAM - Kop van Oost</t>
  </si>
  <si>
    <t>#BB-25-6890</t>
  </si>
  <si>
    <t>07-12-2025, 14:00, AMSTERDAM-KOP, Pickup Order, Sunday</t>
  </si>
  <si>
    <t>Amsterdam Kop van Oost - BB met kluit (incl. €10 borg) - 125-150 cm</t>
  </si>
  <si>
    <t>amd-mosselengin-boom-met-borg</t>
  </si>
  <si>
    <t>Amsterdam Kop van Oost - BB met kluit (incl. €10 borg)</t>
  </si>
  <si>
    <t>AMSTERDAM-VONDELTUIN-BOOM-MET-125-150</t>
  </si>
  <si>
    <t>Pickup-Location-Id: 278021
 Pickup-Day: saturday
 Pickup-Date: 2025/12/06
 Pickup-Time: 12\:00 PM
 Pickup-Location-Company: AMSTERDAM - Vondeltuin
 Pickup-Location-Address-Line-1: Vondelpark 7
 Pickup-Location-City: Amsterdam
 Pickup-Location-Postal-Code: 1075 VR
 Pickup-Location-Country: Netherlands
 Checkout-Method: pickup</t>
  </si>
  <si>
    <t>AMSTERDAM - Vondeltuin</t>
  </si>
  <si>
    <t>#BB-25-6897</t>
  </si>
  <si>
    <t>06-12-2025, 12:00, ADM, Pickup Order, Saturday, Vondeltuin, WAKE-UP</t>
  </si>
  <si>
    <t>Amsterdam Vondeltuin - BB met kluit (incl. €10 borg) - 125-150 cm</t>
  </si>
  <si>
    <t>amd-vondeltuin-boom-met-borg</t>
  </si>
  <si>
    <t>Amsterdam Vondeltuin - BB met kluit (incl. €10 borg)</t>
  </si>
  <si>
    <t>#BB-25-6904</t>
  </si>
  <si>
    <t>Pickup-Location-Id: 302654
 Pickup-Day: sunday
 Pickup-Date: 2025/12/06
 Pickup-Location-Company: UTRECHT - Steck
 Pickup-Location-Address-Line-1: Gageldijk 3
 Pickup-Location-City: Utrecht
 Pickup-Location-Postal-Code: 3566 ME
 Pickup-Location-Country: Netherlands
 Checkout-Method: pickup
 Pickup-Time:</t>
  </si>
  <si>
    <t>#BB-25-6899</t>
  </si>
  <si>
    <t>DEN-HAAG-PLUK-BOOM-MET-BORG-125-150</t>
  </si>
  <si>
    <t>Pickup-Location-Id: 278026
 Pickup-Day: saturday
 Pickup-Date: 2025/12/06
 Pickup-Time: 12\:00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</si>
  <si>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#BB-25-6902</t>
  </si>
  <si>
    <t>06-12-2025, 12:00, DENHAAG-PLUK, Pickup Order, Saturday</t>
  </si>
  <si>
    <t>Den Haag Pluk - BB met kluit (incl. €10 borg) - 125-150 cm</t>
  </si>
  <si>
    <t>dh-pluk-boom-met-borg</t>
  </si>
  <si>
    <t>Den Haag Pluk - BB met kluit (incl. €10 borg)</t>
  </si>
  <si>
    <t>Pickup-Location-Id: 278027
 Pickup-Day: saturday
 Pickup-Date: 2025/12/06
 Pickup-Time: 10\:15 AM
 Pickup-Location-Company: GOUDA - Stadskant
 Pickup-Location-Address-Line-1: Agnietenstraat 19
 Pickup-Location-City: Gouda
 Pickup-Location-Postal-Code: 2801 GH
 Pickup-Location-Country: Netherlands
 Checkout-Method: pickup</t>
  </si>
  <si>
    <t>#BB-25-6903</t>
  </si>
  <si>
    <t>06-12-2025, 10:15, GOUDA, Pickup Order, Saturday, WAKE-UP</t>
  </si>
  <si>
    <t>#BB-25-6910</t>
  </si>
  <si>
    <t>06-12-2025, Pickup Order, Saturday, UTRECHT-STECK, WAKE-UP</t>
  </si>
  <si>
    <t>Pickup-Location-Id: 278027
 Pickup-Day: sunday
 Pickup-Date: 2025/12/07
 Pickup-Time: 12\:45 PM
 Pickup-Location-Company: GOUDA - Stadskant
 Pickup-Location-Address-Line-1: Agnietenstraat 19
 Pickup-Location-City: Gouda
 Pickup-Location-Postal-Code: 2801 GH
 Pickup-Location-Country: Netherlands
 Checkout-Method: pickup</t>
  </si>
  <si>
    <t>#BB-25-6913</t>
  </si>
  <si>
    <t>07-12-2025, 12:45, GOUDA, Pickup Order, Sunday</t>
  </si>
  <si>
    <t>BREDA-FRONTAAL-BOOM-ZONDER-175-200</t>
  </si>
  <si>
    <t>#BB-25-6907</t>
  </si>
  <si>
    <t>Breda Frontaal - BB zonder kluit - 175-200</t>
  </si>
  <si>
    <t>bda-frontaal-boom-zonder</t>
  </si>
  <si>
    <t>Breda Frontaal - BB zonder kluit</t>
  </si>
  <si>
    <t>#BB-25-6915</t>
  </si>
  <si>
    <t>03-12-2025, Pickup Order, UTRECHT-STECK, WAKE-UP, Wednesday</t>
  </si>
  <si>
    <t>AMSTERDAM-VONDELTUIN-BOOM-ZONDER-175-200</t>
  </si>
  <si>
    <t>Pickup-Location-Id: 278021
 Pickup-Location-Company: AMSTERDAM - Vondeltuin
 Pickup-Location-Address-Line-1: Vondelpark 7
 Pickup-Location-City: Amsterdam
 Pickup-Location-Postal-Code: 1075 VR
 Pickup-Location-Country: Netherlands
 Checkout-Method: pickup
 Pickup-Day: saturday
 Pickup-Date: 2025/12/06
 Pickup-Time: 10\:00 AM</t>
  </si>
  <si>
    <t>#BB-25-6905</t>
  </si>
  <si>
    <t>06-12-2025, 10:00, ADM, Pickup Order, Saturday, Vondeltuin</t>
  </si>
  <si>
    <t>Amsterdam Vondeltuin - BB zonder kluit - 175-200 cm</t>
  </si>
  <si>
    <t>amd-vondeltuin-boom-zonder</t>
  </si>
  <si>
    <t>Amsterdam Vondeltuin - BB zonder kluit</t>
  </si>
  <si>
    <t>AMSTERDAM-VONDELTUIN-BOOM-MET-150-175</t>
  </si>
  <si>
    <t>Pickup-Location-Id: 278021
 Pickup-Day: saturday
 Pickup-Date: 2025/12/06
 Pickup-Time: 11\:00 AM
 Pickup-Location-Company: AMSTERDAM - Vondeltuin
 Pickup-Location-Address-Line-1: Vondelpark 7
 Pickup-Location-City: Amsterdam
 Pickup-Location-Postal-Code: 1075 VR
 Pickup-Location-Country: Netherlands
 Checkout-Method: pickup</t>
  </si>
  <si>
    <t>#BB-25-6918</t>
  </si>
  <si>
    <t>06-12-2025, 11:00, ADM, Pickup Order, Saturday, Vondeltuin</t>
  </si>
  <si>
    <t>Amsterdam Vondeltuin - BB met kluit (incl. €10 borg) - 150-175 cm</t>
  </si>
  <si>
    <t>Pickup-Location-Id: 278861
 Pickup-Day: saturday
 Pickup-Date: 2025/12/06
 Pickup-Time: 10\:00 AM
 Pickup-Location-Company: EDE - Kantine gebouw Enka
 Pickup-Location-Address-Line-1: Kantinegebouw 14
 Pickup-Location-City: Ede
 Pickup-Location-Postal-Code: 6717 XR
 Pickup-Location-Country: Netherlands
 Checkout-Method: pickup</t>
  </si>
  <si>
    <t>#BB-25-6919</t>
  </si>
  <si>
    <t>06-12-2025, 10:00, EDE_ENKA, Pickup Order, Saturday, WAKE-UP</t>
  </si>
  <si>
    <t>AMSTERDAM-KOPVANOOST-BOOM-MET-BORG-175-200</t>
  </si>
  <si>
    <t>Pickup-Location-Id: 278024
 Pickup-Day: sunday
 Pickup-Date: 2025/12/07
 Pickup-Time: 11\:00 AM
 Pickup-Location-Company: AMSTERDAM - Kop van Oost
 Pickup-Location-Address-Line-1: Zeeburgerpad 1
 Pickup-Location-City: Amsterdam
 Pickup-Location-Postal-Code: 1018 AH
 Pickup-Location-Country: Netherlands
 Checkout-Method: pickup</t>
  </si>
  <si>
    <t>#BB-25-6920</t>
  </si>
  <si>
    <t>07-12-2025, 11:00, AMSTERDAM-KOP, Pickup Order, Sunday, WAKE-UP</t>
  </si>
  <si>
    <t>Amsterdam Kop van Oost - BB met kluit (incl. €10 borg) - 175-200 cm</t>
  </si>
  <si>
    <t>Pickup-Location-Id: 302654
 Pickup-Day: friday
 Pickup-Date: 2025/12/05
 Pickup-Location-Company: UTRECHT - Steck
 Pickup-Location-Address-Line-1: Gageldijk 3
 Pickup-Location-City: Utrecht
 Pickup-Location-Postal-Code: 3566 ME
 Pickup-Location-Country: Netherlands
 Checkout-Method: pickup
 Pickup-Time:</t>
  </si>
  <si>
    <t>#BB-25-6921</t>
  </si>
  <si>
    <t>05-12-2025, Friday, Pickup Order, UTRECHT-STECK, WAKE-UP</t>
  </si>
  <si>
    <t>Pickup-Location-Id: 278021
 Pickup-Day: saturday
 Pickup-Date: 2025/12/13
 Pickup-Time: 11\:30 AM
 Pickup-Location-Company: AMSTERDAM - Vondeltuin
 Pickup-Location-Address-Line-1: Vondelpark 7
 Pickup-Location-City: Amsterdam
 Pickup-Location-Postal-Code: 1075 VR
 Pickup-Location-Country: Netherlands
 Checkout-Method: pickup</t>
  </si>
  <si>
    <t>#BB-25-6922</t>
  </si>
  <si>
    <t>11:30, 13-12-2025, ADM, Pickup Order, Saturday, Vondeltuin, WAKE-UP</t>
  </si>
  <si>
    <t>Pickup-Location-Id: 278023
 Pickup-Day: sunday
 Pickup-Date: 2025/12/07
 Pickup-Time: 11\:00 AM
 Pickup-Location-Company: BREDA - Kinderboerderij Wolfslaar
 Pickup-Location-Address-Line-1: Wolfslaardreef 95
 Pickup-Location-City: Breda
 Pickup-Location-Postal-Code: 4834 SN
 Pickup-Location-Country: Netherlands
 Checkout-Method: pickup</t>
  </si>
  <si>
    <t>#BB-25-6923</t>
  </si>
  <si>
    <t>07-12-2025, 11:00, BREDA-WOLFSLAAR, Pickup Order, Sunday</t>
  </si>
  <si>
    <t>UTRECHT-WILLEM-DE-ZWIJGER-BOOM-MET-BORG-150-175</t>
  </si>
  <si>
    <t>Pickup-Location-Id: 278463
 Pickup-Day: sunday
 Pickup-Date: 2025/12/07
 Pickup-Time: 10\:35 AM
 Pickup-Location-Company: UTRECHT - Scouting Willem de Zwijger
 Pickup-Location-Address-Line-1: Bastionweg 2
 Pickup-Location-City: Utrecht
 Pickup-Location-Postal-Code: 3566 MK
 Pickup-Location-Country: Netherlands
 Checkout-Method: pickup</t>
  </si>
  <si>
    <t>10\:35 AM</t>
  </si>
  <si>
    <t>UTRECHT - Scouting Willem de Zwijger</t>
  </si>
  <si>
    <t>#BB-25-6914</t>
  </si>
  <si>
    <t>07-12-2025, 10:35, Pickup Order, Sunday, UTRECHT-WILLEM</t>
  </si>
  <si>
    <t>Utrecht Willem de Zwijger - BB met kluit (incl. €10 borg) - 150-175 cm</t>
  </si>
  <si>
    <t>ut-willem-de-zwijger-boom-met-borg</t>
  </si>
  <si>
    <t>Utrecht Willem de Zwijger - BB met kluit (incl. €10 borg)</t>
  </si>
  <si>
    <t>Checkout-Method: pickup
 Pickup-Location-Id: 278027
 Pickup-Location-Company: GOUDA - Stadskant
 Pickup-Location-Address-Line-1: Agnietenstraat 19
 Pickup-Location-City: Gouda
 Pickup-Location-Country: Netherlands
 Pickup-Location-Postal-Code: 2801 GH
 Pickup-Date: 2025/12/06
 Pickup-Time: 12\:45 PM
 Pickup-Day: saturday</t>
  </si>
  <si>
    <t>#BB-25-6926</t>
  </si>
  <si>
    <t>06-12-2025, 12:45, GOUDA, Pickup Order, Saturday</t>
  </si>
  <si>
    <t>ROTTERDAM-HET-WITTE-PAARD-BOOM-MET-BORG-100-125</t>
  </si>
  <si>
    <t>Pickup-Location-Id: 278576
 Pickup-Day: saturday
 Pickup-Date: 2025/12/06
 Pickup-Time: 11\:00 AM
 Pickup-Location-Company: ROTTERDAM - Het witte paard
 Pickup-Location-Address-Line-1: Groenezoom 245
 Pickup-Location-City: Rotterdam
 Pickup-Location-Postal-Code: 3075GD
 Pickup-Location-Country: Netherlands
 Checkout-Method: pickup</t>
  </si>
  <si>
    <t>ROTTERDAM - Het witte paard</t>
  </si>
  <si>
    <t>#BB-25-6909</t>
  </si>
  <si>
    <t>06-12-2025, 11:00, Pickup Order, ROTTERDAM-WITTEPAARD, Saturday, WAKE-UP</t>
  </si>
  <si>
    <t>Rotterdam Het Witte Paard - BB met kluit (incl. €10 borg) - 100-125 cm</t>
  </si>
  <si>
    <t>rtd-het-witte-paard-boom-met-borg</t>
  </si>
  <si>
    <t>Rotterdam Het Witte Paard - BB met kluit (incl. €10 borg)</t>
  </si>
  <si>
    <t>#BB-25-6928</t>
  </si>
  <si>
    <t>EINDHOVEN-WASVEN-BOOM-MET-BORG-150-175</t>
  </si>
  <si>
    <t>Pickup-Location-Id: 302976
 Pickup-Day: saturday
 Pickup-Date: 2025/12/06
 Pickup-Time: 11\:15 AM
 Pickup-Location-Company: EINDHOVEN - Wasven
 Pickup-Location-Address-Line-1: Celebeslaan 30
 Pickup-Location-City: Eindhoven
 Pickup-Location-Postal-Code: 5641 AG
 Pickup-Location-Country: Netherlands
 Checkout-Method: pickup</t>
  </si>
  <si>
    <t>#BB-25-6930</t>
  </si>
  <si>
    <t>06-12-2025, 11:15, EINDHOVEN-WASVEN, Pickup Order, Saturday, WAKE-UP</t>
  </si>
  <si>
    <t>Eindhoven Wasven - BB met kluit (incl. €10 borg) - 150-175 cm</t>
  </si>
  <si>
    <t>BREDA-KINDERBOERDERIJ-WOLFSLAAR-BOOM-ZONDER-150-175</t>
  </si>
  <si>
    <t>Pickup-Location-Id: 278023
 Pickup-Day: sunday
 Pickup-Date: 2025/12/07
 Pickup-Time: 12\:00 PM
 Pickup-Location-Company: BREDA - Kinderboerderij Wolfslaar
 Pickup-Location-Address-Line-1: Wolfslaardreef 95
 Pickup-Location-City: Breda
 Pickup-Location-Postal-Code: 4834 SN
 Pickup-Location-Country: Netherlands
 Checkout-Method: pickup</t>
  </si>
  <si>
    <t>#BB-25-6916</t>
  </si>
  <si>
    <t>07-12-2025, 12:00, BREDA-WOLFSLAAR, Pickup Order, Sunday, WAKE-UP</t>
  </si>
  <si>
    <t>Breda Wolfslaar - BB zonder kluit - 150-175 cm</t>
  </si>
  <si>
    <t>bda-wolfslaar-boom-zonder</t>
  </si>
  <si>
    <t>Breda Wolfslaar - BB zonder kluit</t>
  </si>
  <si>
    <t>ROTTERDAM-BELEVENISBOERDERIJ-SCHIEVEEN-BOOM-MET-BORG-150-175</t>
  </si>
  <si>
    <t>Pickup-Location-Id: 278031
 Pickup-Day: saturday
 Pickup-Date: 2025/12/06
 Pickup-Time: 11\:00 AM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</si>
  <si>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ROTTERDAM - Belevenisboerderij Schieveen</t>
  </si>
  <si>
    <t>#BB-25-6925</t>
  </si>
  <si>
    <t>06-12-2025, 11:00, Pickup Order, ROTTERDAM-SCHIEVEEN, Saturday, WAKE-UP</t>
  </si>
  <si>
    <t>Rotterdam Belevenisboerderij Schieveen - BB met kluit (incl. €10 borg) - 150-175 cm</t>
  </si>
  <si>
    <t>rtd-belevenisboerderij-schieveen-boom-met-borg</t>
  </si>
  <si>
    <t>Rotterdam Belevenisboerderij Schieveen - BB met kluit (incl. €10 borg)</t>
  </si>
  <si>
    <t>ROTTERDAM-BELEVENISBOERDERIJ-SCHIEVEEN-BOOM-MET-BORG-175-200</t>
  </si>
  <si>
    <t>Pickup-Location-Id: 278031
 Pickup-Day: sunday
 Pickup-Date: 2025/12/07
 Pickup-Time: 2\:30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</si>
  <si>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2\:30 PM</t>
  </si>
  <si>
    <t>#BB-25-6933</t>
  </si>
  <si>
    <t>07-12-2025, 14:30, Pickup Order, ROTTERDAM-SCHIEVEEN, Sunday, WAKE-UP</t>
  </si>
  <si>
    <t>Rotterdam Belevenisboerderij Schieveen - BB met kluit (incl. €10 borg) - 175-200 cm</t>
  </si>
  <si>
    <t>DEN-HAAG-PLUK-BOOM-ZONDER-175-200</t>
  </si>
  <si>
    <t>#BB-25-6934</t>
  </si>
  <si>
    <t>06-12-2025, 12:00, DENHAAG-PLUK, Pickup Order, Saturday, WAKE-UP</t>
  </si>
  <si>
    <t>Den Haag Pluk - BB zonder kluit - 175-200 cm</t>
  </si>
  <si>
    <t>DEN-HAAG-PLUK-BOOM-MET-BORG-175-200</t>
  </si>
  <si>
    <t>Checkout-Method: pickup
 Pickup-Location-Id: 278026
 Pickup-Location-Company: DEN HAAG - Pluk!
 Pickup-Location-Address-Line-1: Loosduinse Hoofdstraat
 Pickup-Location-City: Den Haag
 Pickup-Location-Country: Netherlands
 Pickup-Location-Postal-Code: 2552 AV
 Pickup-Date: 2025/12/04
 Pickup-Time: 12\:00 PM
 Pickup-Day: thursday</t>
  </si>
  <si>
    <t>#BB-25-6935</t>
  </si>
  <si>
    <t>04-12-2025, 12:00, DENHAAG-PLUK, Pickup Order, Thursday</t>
  </si>
  <si>
    <t>Den Haag Pluk - BB met kluit (incl. €10 borg) - 175-200 cm</t>
  </si>
  <si>
    <t>#BB-25-6936</t>
  </si>
  <si>
    <t>#BB-25-6937</t>
  </si>
  <si>
    <t>AMSTERDAM-HOUSE-OF-WATT-BOOM-MET-BORG-100-125</t>
  </si>
  <si>
    <t>Pickup-Location-Id: 278462
 Pickup-Day: sunday
 Pickup-Date: 2025/11/30
 Pickup-Time: 4\:30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</si>
  <si>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4\:30 PM</t>
  </si>
  <si>
    <t>#BB-25-6939</t>
  </si>
  <si>
    <t>16:30, 30-11-2025, AMSTERDAM-MOLEN, Pickup Order, Sunday, WAKE-UP</t>
  </si>
  <si>
    <t>Amsterdam Molen de Otter - BB met kluit (incl. €10 borg) - 100-125 cm</t>
  </si>
  <si>
    <t>#BB-25-6940</t>
  </si>
  <si>
    <t>#BB-25-6941</t>
  </si>
  <si>
    <t>EINDHOVEN-WASVEN-BOOM-MET-BORG-100-125</t>
  </si>
  <si>
    <t>Pickup-Location-Id: 302976
 Pickup-Day: saturday
 Pickup-Date: 2025/12/06
 Pickup-Time: 12\:15 PM
 Pickup-Location-Company: EINDHOVEN - Wasven
 Pickup-Location-Address-Line-1: Celebeslaan 30
 Pickup-Location-City: Eindhoven
 Pickup-Location-Postal-Code: 5641 AG
 Pickup-Location-Country: Netherlands
 Checkout-Method: pickup</t>
  </si>
  <si>
    <t>#BB-25-6942</t>
  </si>
  <si>
    <t>06-12-2025, 12:15, EINDHOVEN-WASVEN, Pickup Order, Saturday, WAKE-UP</t>
  </si>
  <si>
    <t>Eindhoven Wasven - BB met kluit (incl. €10 borg) - 100-125 cm</t>
  </si>
  <si>
    <t>#BB-25-6943</t>
  </si>
  <si>
    <t>13:00, 30-11-2025, AMSTERDAM-MOLEN, Pickup Order, Sunday, WAKE-UP</t>
  </si>
  <si>
    <t>#BB-25-6944</t>
  </si>
  <si>
    <t>04-12-2025, Pickup Order, Thursday, UTRECHT-STECK</t>
  </si>
  <si>
    <t>Pickup-Location-Id: 278021
 Pickup-Day: saturday
 Pickup-Date: 2025/12/06
 Pickup-Time: 10\:00 AM
 Pickup-Location-Company: AMSTERDAM - Vondeltuin
 Pickup-Location-Address-Line-1: Vondelpark 7
 Pickup-Location-City: Amsterdam
 Pickup-Location-Postal-Code: 1075 VR
 Pickup-Location-Country: Netherlands
 Checkout-Method: pickup</t>
  </si>
  <si>
    <t>#BB-25-6945</t>
  </si>
  <si>
    <t>06-12-2025, 10:00, ADM, Pickup Order, Saturday, Vondeltuin, WAKE-UP</t>
  </si>
  <si>
    <t>ROTTERDAM-BELEVENISBOERDERIJ-SCHIEVEEN-BOOM-MET-BORG-125-150</t>
  </si>
  <si>
    <t>Pickup-Location-Id: 278031
 Pickup-Day: sunday
 Pickup-Date: 2025/12/07
 Pickup-Time: 11\:00 AM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</si>
  <si>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#BB-25-6947</t>
  </si>
  <si>
    <t>07-12-2025, 11:00, Pickup Order, ROTTERDAM-SCHIEVEEN, Sunday, WAKE-UP</t>
  </si>
  <si>
    <t>Rotterdam Belevenisboerderij Schieveen - BB met kluit (incl. €10 borg) - 125-150 cm</t>
  </si>
  <si>
    <t>#BB-25-6948</t>
  </si>
  <si>
    <t>Pickup-Location-Id: 278023
 Pickup-Day: sunday
 Pickup-Date: 2025/12/07
 Pickup-Time: 12\:40 PM
 Pickup-Location-Company: BREDA - Kinderboerderij Wolfslaar
 Pickup-Location-Address-Line-1: Wolfslaardreef 95
 Pickup-Location-City: Breda
 Pickup-Location-Postal-Code: 4834 SN
 Pickup-Location-Country: Netherlands
 Checkout-Method: pickup</t>
  </si>
  <si>
    <t>12\:40 PM</t>
  </si>
  <si>
    <t>#BB-25-6929</t>
  </si>
  <si>
    <t>07-12-2025, 12:40, BREDA-WOLFSLAAR, Pickup Order, Sunday</t>
  </si>
  <si>
    <t>BREDA-FRONTAAL-BOOM-ZONDER-150-175</t>
  </si>
  <si>
    <t>#BB-25-6951</t>
  </si>
  <si>
    <t>06-12-2025, 14:00, BREDA-FRONTAAL, Pickup Order, Saturday, WAKE-UP</t>
  </si>
  <si>
    <t>Breda Frontaal - BB zonder kluit - 150-175</t>
  </si>
  <si>
    <t>ROTTERDAM-BELEVENISBOERDERIJ-SCHIEVEEN-BOOM-ZONDER-175-200</t>
  </si>
  <si>
    <t>Pickup-Location-Id: 278031
 Pickup-Day: saturday
 Pickup-Date: 2025/12/06
 Pickup-Time: 12\:00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</si>
  <si>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#BB-25-6931</t>
  </si>
  <si>
    <t>06-12-2025, 12:00, Pickup Order, ROTTERDAM-SCHIEVEEN, Saturday</t>
  </si>
  <si>
    <t>Rotterdam Belevenisboerderij Schieveen - BB zonder kluit - 175-200 cm</t>
  </si>
  <si>
    <t>rtd-belevenisboerderij-schieveen-boom-zonder</t>
  </si>
  <si>
    <t>Rotterdam Belevenisboerderij Schieveen - BB zonder kluit</t>
  </si>
  <si>
    <t>#BB-25-6932</t>
  </si>
  <si>
    <t>06-12-2025, 12:00, Pickup Order, ROTTERDAM-SCHIEVEEN, Saturday, WAKE-UP</t>
  </si>
  <si>
    <t>AMSTERDAM-KOPVANOOST-BOOM-MET-BORG-150-175</t>
  </si>
  <si>
    <t>Pickup-Location-Id: 278024
 Pickup-Day: sunday
 Pickup-Date: 2025/12/07
 Pickup-Time: 12\:00 PM
 Pickup-Location-Company: AMSTERDAM - Kop van Oost
 Pickup-Location-Address-Line-1: Zeeburgerpad 1
 Pickup-Location-City: Amsterdam
 Pickup-Location-Postal-Code: 1018 AH
 Pickup-Location-Country: Netherlands
 Checkout-Method: pickup</t>
  </si>
  <si>
    <t>#BB-25-6955</t>
  </si>
  <si>
    <t>07-12-2025, 12:00, AMSTERDAM-KOP, Pickup Order, Sunday, WAKE-UP</t>
  </si>
  <si>
    <t>Amsterdam Kop van Oost - BB met kluit (incl. €10 borg) - 150-175 cm</t>
  </si>
  <si>
    <t>#BB-25-6956</t>
  </si>
  <si>
    <t>06-12-2025, 11:00, DENHAAG-PLUK, Pickup Order, Saturday, WAKE-UP</t>
  </si>
  <si>
    <t>LEIDEN-PLNT-BOOM-MET-BORG-125-150</t>
  </si>
  <si>
    <t>Pickup-Location-Id: 278553
 Pickup-Day: sunday
 Pickup-Date: 2025/11/30
 Pickup-Time: 2\:30 PM
 Pickup-Location-Company: LEIDEN - The Fields
 Pickup-Location-Address-Line-1: Stationsplein 25
 Pickup-Location-City: Leiden
 Pickup-Location-Postal-Code: 2312 AJ
 Pickup-Location-Country: Netherlands
 Checkout-Method: pickup</t>
  </si>
  <si>
    <t>#BB-25-6957</t>
  </si>
  <si>
    <t>14:30, 30-11-2025, LEIDEN-THEFIELD, Pickup Order, Sunday</t>
  </si>
  <si>
    <t>Leiden the field - BB met kluit (incl. €10 borg) - 125-150 cm</t>
  </si>
  <si>
    <t>AMSTERDAM-VONDELTUIN-BOOM-MET-175-200</t>
  </si>
  <si>
    <t>#BB-25-6959</t>
  </si>
  <si>
    <t>Amsterdam Vondeltuin - BB met kluit (incl. €10 borg) - 175-200 cm</t>
  </si>
  <si>
    <t>#BB-25-6960</t>
  </si>
  <si>
    <t>06-12-2025, 10:30, EDE_ENKA, Pickup Order, Saturday</t>
  </si>
  <si>
    <t>#BB-25-6961</t>
  </si>
  <si>
    <t>14:30, 30-11-2025, LEIDEN-THEFIELD, Pickup Order, Sunday, WAKE-UP</t>
  </si>
  <si>
    <t>Pickup-Location-Id: 278026
 Pickup-Day: saturday
 Pickup-Date: 2025/12/06
 Pickup-Time: 1\:30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</si>
  <si>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#BB-25-6963</t>
  </si>
  <si>
    <t>06-12-2025, 13:30, DENHAAG-PLUK, Pickup Order, Saturday, WAKE-UP</t>
  </si>
  <si>
    <t>LEIDEN-PLNT-BOOM-MET-BORG-150-175</t>
  </si>
  <si>
    <t>#BB-25-6967</t>
  </si>
  <si>
    <t>12:00, 30-11-2025, LEIDEN-THEFIELD, Pickup Order, Sunday, WAKE-UP</t>
  </si>
  <si>
    <t>Leiden the field - BB met kluit (incl. €10 borg) - 150-175 cm</t>
  </si>
  <si>
    <t>Checkout-Method: pickup
 Pickup-Location-Id: 278024
 Pickup-Location-Company: AMSTERDAM - Kop van Oost
 Pickup-Location-Address-Line-1: Zeeburgerpad 1
 Pickup-Location-City: Amsterdam
 Pickup-Location-Country: Netherlands
 Pickup-Location-Postal-Code: 1018 AH
 Pickup-Date: 2025/12/07
 Pickup-Time: 12\:00 PM
 Pickup-Day: sunday</t>
  </si>
  <si>
    <t>#BB-25-6968</t>
  </si>
  <si>
    <t>07-12-2025, 12:00, AMSTERDAM-KOP, Pickup Order, Sunday</t>
  </si>
  <si>
    <t>#BB-25-6969</t>
  </si>
  <si>
    <t>07-12-2025, 10:15, EDE_ENKA, Pickup Order, Sunday, WAKE-UP</t>
  </si>
  <si>
    <t>ROTTERDAM-BELEVENISBOERDERIJ-SCHIEVEEN-BOOM-ZONDER-150-175</t>
  </si>
  <si>
    <t>#BB-25-6950</t>
  </si>
  <si>
    <t>Rotterdam Belevenisboerderij Schieveen - BB zonder kluit - 150-175 cm</t>
  </si>
  <si>
    <t>#BB-25-6973</t>
  </si>
  <si>
    <t>UTRECHT-WILLEM-DE-ZWIJGER-BOOM-MET-BORG-125-150</t>
  </si>
  <si>
    <t>Pickup-Location-Id: 278463
 Pickup-Day: sunday
 Pickup-Date: 2025/12/07
 Pickup-Time: 10\:15 AM
 Pickup-Location-Company: UTRECHT - Scouting Willem de Zwijger
 Pickup-Location-Address-Line-1: Bastionweg 2
 Pickup-Location-City: Utrecht
 Pickup-Location-Postal-Code: 3566 MK
 Pickup-Location-Country: Netherlands
 Checkout-Method: pickup</t>
  </si>
  <si>
    <t>#BB-25-6974</t>
  </si>
  <si>
    <t>07-12-2025, 10:15, Pickup Order, Sunday, UTRECHT-WILLEM, WAKE-UP</t>
  </si>
  <si>
    <t>Utrecht Willem de Zwijger - BB met kluit (incl. €10 borg) - 125-150 cm</t>
  </si>
  <si>
    <t>Pickup-Location-Id: 278861
 Pickup-Day: saturday
 Pickup-Date: 2025/12/06
 Pickup-Time: 10\:15 AM
 Pickup-Location-Company: EDE - Kantine gebouw Enka
 Pickup-Location-Address-Line-1: Kantinegebouw 14
 Pickup-Location-City: Ede
 Pickup-Location-Postal-Code: 6717 XR
 Pickup-Location-Country: Netherlands
 Checkout-Method: pickup</t>
  </si>
  <si>
    <t>#BB-25-6975</t>
  </si>
  <si>
    <t>BREDA-KINDERBOERDERIJ-WOLFSLAAR-BOOM-ZONDER-200-250</t>
  </si>
  <si>
    <t>#BB-25-6977</t>
  </si>
  <si>
    <t>07-12-2025, 11:00, BREDA-WOLFSLAAR, Pickup Order, Sunday, WAKE-UP</t>
  </si>
  <si>
    <t>Breda Wolfslaar - BB zonder kluit - 200-250 cm</t>
  </si>
  <si>
    <t>AMSTERDAM-VONDELTUIN-BOOM-ZONDER-150-175</t>
  </si>
  <si>
    <t>#BB-25-6978</t>
  </si>
  <si>
    <t>Amsterdam Vondeltuin - BB zonder kluit - 150-175 cm</t>
  </si>
  <si>
    <t>Pickup-Location-Id: 278024
 Pickup-Day: sunday
 Pickup-Date: 2025/12/07
 Pickup-Time: 10\:00 AM
 Pickup-Location-Company: AMSTERDAM - Kop van Oost
 Pickup-Location-Address-Line-1: Zeeburgerpad 1
 Pickup-Location-City: Amsterdam
 Pickup-Location-Postal-Code: 1018 AH
 Pickup-Location-Country: Netherlands
 Checkout-Method: pickup</t>
  </si>
  <si>
    <t>#BB-25-6979</t>
  </si>
  <si>
    <t>07-12-2025, 10:00, AMSTERDAM-KOP, Pickup Order, Sunday, WAKE-UP</t>
  </si>
  <si>
    <t>#BB-25-6980</t>
  </si>
  <si>
    <t>#BB-25-6981</t>
  </si>
  <si>
    <t>DEN-HAAG-PLUK-BOOM-MET-BORG-100-125</t>
  </si>
  <si>
    <t>#BB-25-6982</t>
  </si>
  <si>
    <t>Den Haag Pluk - BB met kluit (incl. €10 borg) - 100-125 cm</t>
  </si>
  <si>
    <t>AMSTERDAM- KOPVANOOST-BOOM-ZONDER-175-200</t>
  </si>
  <si>
    <t>Pickup-Location-Id: 278024
 Pickup-Day: sunday
 Pickup-Date: 2025/12/07
 Pickup-Time: 1\:00 PM
 Pickup-Location-Company: AMSTERDAM - Kop van Oost
 Pickup-Location-Address-Line-1: Zeeburgerpad 1
 Pickup-Location-City: Amsterdam
 Pickup-Location-Postal-Code: 1018 AH
 Pickup-Location-Country: Netherlands
 Checkout-Method: pickup</t>
  </si>
  <si>
    <t>#BB-25-6952</t>
  </si>
  <si>
    <t>07-12-2025, 13:00, AMSTERDAM-KOP, Pickup Order, Sunday, WAKE-UP</t>
  </si>
  <si>
    <t>Amsterdam Kop van Oost - BB zonder kluit - 175-200 cm</t>
  </si>
  <si>
    <t>amd-mosselengin-boom-zonder</t>
  </si>
  <si>
    <t>Amsterdam Kop van Oost - BB zonder kluit</t>
  </si>
  <si>
    <t>HAARLEM-HOUTBAAR-BOOM-MET-BORG-100-125</t>
  </si>
  <si>
    <t>Pickup-Location-Id: 279658
 Pickup-Day: wednesday
 Pickup-Date: 2025/12/03
 Pickup-Time: 7\:10 PM
 Pickup-Location-Company: HAARLEM - Houtbaar
 Pickup-Location-Address-Line-1: Woudplein 2
 Pickup-Location-City: Haarlem
 Pickup-Location-Postal-Code: 2031 CZ
 Pickup-Location-Country: Netherlands
 Checkout-Method: pickup</t>
  </si>
  <si>
    <t>7\:10 PM</t>
  </si>
  <si>
    <t>HAARLEM - Houtbaar</t>
  </si>
  <si>
    <t>#BB-25-6953</t>
  </si>
  <si>
    <t>03-12-2025, 19:10, HAARLEM-HOUTBAAR, Pickup Order, WAKE-UP, Wednesday</t>
  </si>
  <si>
    <t>Haarlem Houtbaar - BB met kluit (incl. €10 borg) - 100-125</t>
  </si>
  <si>
    <t>hl-houtbaar-boom-met-borg</t>
  </si>
  <si>
    <t>Haarlem Houtbaar - BB met kluit (incl. €10 borg)</t>
  </si>
  <si>
    <t>AMSTERDAM- KOPVANOOST-BOOM-ZONDER-150-175</t>
  </si>
  <si>
    <t>#BB-25-6972</t>
  </si>
  <si>
    <t>Amsterdam Kop van Oost - BB zonder kluit - 150-175 cm</t>
  </si>
  <si>
    <t>Pickup-Location-Id: 302654
 Pickup-Day: saturday
 Pickup-Date: 2025/12/07
 Pickup-Location-Company: UTRECHT - Steck
 Pickup-Location-Address-Line-1: Gageldijk 3
 Pickup-Location-City: Utrecht
 Pickup-Location-Postal-Code: 3566 ME
 Pickup-Location-Country: Netherlands
 Checkout-Method: pickup
 Pickup-Time:</t>
  </si>
  <si>
    <t>#BB-25-6987</t>
  </si>
  <si>
    <t>#BB-25-6988</t>
  </si>
  <si>
    <t>#BB-25-6989</t>
  </si>
  <si>
    <t>07-12-2025, Pickup Order, Sunday, UTRECHT-STECK, WAKE-UP</t>
  </si>
  <si>
    <t>#BB-25-6990</t>
  </si>
  <si>
    <t>DEN-BOSCH-BWWB-BOOM-MET-BORG-100-125</t>
  </si>
  <si>
    <t>Pickup-Location-Id: 278030
 Pickup-Day: sunday
 Pickup-Date: 2025/12/07
 Pickup-Time: 3\:40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</si>
  <si>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3\:40 PM</t>
  </si>
  <si>
    <t>DEN BOSCH - Bewust Wonen &amp; Werken Boschveld</t>
  </si>
  <si>
    <t>#BB-25-6984</t>
  </si>
  <si>
    <t>07-12-2025, 15:40, DENBOSCH-BWWB, Pickup Order, Sunday, WAKE-UP</t>
  </si>
  <si>
    <t>Den Bosch Bewust Wonen &amp; Werken Boschveld - BB met kluit (incl. €10 borg) - 100-125 cm</t>
  </si>
  <si>
    <t>den-bosch-bewust-wonen-werken-boschveld-bb-met-kluit-incl-10-borg</t>
  </si>
  <si>
    <t>Den Bosch Bewust Wonen &amp; Werken Boschveld - BB met kluit (incl. €10 borg)</t>
  </si>
  <si>
    <t>Pickup-Location-Id: 278027
 Pickup-Day: saturday
 Pickup-Date: 2025/12/06
 Pickup-Time: 10\:45 AM
 Pickup-Location-Company: GOUDA - Stadskant
 Pickup-Location-Address-Line-1: Agnietenstraat 19
 Pickup-Location-City: Gouda
 Pickup-Location-Postal-Code: 2801 GH
 Pickup-Location-Country: Netherlands
 Checkout-Method: pickup</t>
  </si>
  <si>
    <t>#BB-25-6985</t>
  </si>
  <si>
    <t>06-12-2025, 10:45, GOUDA, Pickup Order, Saturday, WAKE-UP</t>
  </si>
  <si>
    <t>DELFT-BUYTEN-BOOM-MET-BORG-150-175</t>
  </si>
  <si>
    <t>Pickup-Location-Id: 303545
 Pickup-Day: saturday
 Pickup-Date: 2025/12/06
 Pickup-Time: 2\:15 PM
 Pickup-Location-Company: DELFT - buytendelft
 Pickup-Location-Address-Line-1: Korftlaan 3a
 Pickup-Location-City: Delft
 Pickup-Location-Postal-Code: 2616 LJ
 Pickup-Location-Country: Netherlands
 Checkout-Method: pickup</t>
  </si>
  <si>
    <t>DELFT - buytendelft</t>
  </si>
  <si>
    <t>#BB-25-6986</t>
  </si>
  <si>
    <t>06-12-2025, 14:15, DELFT-BUYTEN, Pickup Order, Saturday, WAKE-UP</t>
  </si>
  <si>
    <t>Delft Buyten - BB met kluit (incl. €10 borg) - 150-175 cm</t>
  </si>
  <si>
    <t>delft-buyten-bb-met-kluit-incl-10-borg</t>
  </si>
  <si>
    <t>Delft Buyten - BB met kluit (incl. €10 borg)</t>
  </si>
  <si>
    <t>LEIDEN-PLNT-BOOM-MET-BORG-175-200</t>
  </si>
  <si>
    <t>#BB-25-6991</t>
  </si>
  <si>
    <t>Leiden the field - BB met kluit (incl. €10 borg) - 175-200 cm</t>
  </si>
  <si>
    <t>DELFT-BUYTEN-BOOM-MET-BORG-100-125</t>
  </si>
  <si>
    <t>Pickup-Location-Id: 303545
 Pickup-Day: wednesday
 Pickup-Date: 2025/12/10
 Pickup-Time: 1\:15 PM
 Pickup-Location-Company: DELFT - buytendelft
 Pickup-Location-Address-Line-1: Korftlaan 3a
 Pickup-Location-City: Delft
 Pickup-Location-Postal-Code: 2616 LJ
 Pickup-Location-Country: Netherlands
 Checkout-Method: pickup</t>
  </si>
  <si>
    <t>#BB-25-6992</t>
  </si>
  <si>
    <t>10-12-2025, 13:15, DELFT-BUYTEN, Pickup Order, WAKE-UP, Wednesday</t>
  </si>
  <si>
    <t>Delft Buyten - BB met kluit (incl. €10 borg) - 100-125 cm</t>
  </si>
  <si>
    <t>#BB-25-6993</t>
  </si>
  <si>
    <t>BREDA-FRONTAAL-BOOM-MET-BORG-150-175</t>
  </si>
  <si>
    <t>#BB-25-6994</t>
  </si>
  <si>
    <t>Breda Frontaal - BB met kluit (incl. €10 borg) - 150-175</t>
  </si>
  <si>
    <t>#BB-25-6995</t>
  </si>
  <si>
    <t>Pickup-Location-Id: 278021
 Pickup-Day: saturday
 Pickup-Date: 2025/12/06
 Pickup-Time: 10\:30 AM
 Pickup-Location-Company: AMSTERDAM - Vondeltuin
 Pickup-Location-Address-Line-1: Vondelpark 7
 Pickup-Location-City: Amsterdam
 Pickup-Location-Postal-Code: 1075 VR
 Pickup-Location-Country: Netherlands
 Checkout-Method: pickup</t>
  </si>
  <si>
    <t>#BB-25-6997</t>
  </si>
  <si>
    <t>06-12-2025, 10:30, ADM, Pickup Order, Saturday, Vondeltuin, WAKE-UP</t>
  </si>
  <si>
    <t>#BB-25-7002</t>
  </si>
  <si>
    <t>06-12-2025, 10:15, EINDHOVEN-WASVEN, Pickup Order, Saturday, WAKE-UP</t>
  </si>
  <si>
    <t>EINDHOVEN-WASVEN-BOOM-MET-BORG-175-200</t>
  </si>
  <si>
    <t>Pickup-Location-Id: 302976
 Pickup-Day: saturday
 Pickup-Date: 2025/12/13
 Pickup-Time: 10\:15 AM
 Pickup-Location-Company: EINDHOVEN - Wasven
 Pickup-Location-Address-Line-1: Celebeslaan 30
 Pickup-Location-City: Eindhoven
 Pickup-Location-Postal-Code: 5641 AG
 Pickup-Location-Country: Netherlands
 Checkout-Method: pickup</t>
  </si>
  <si>
    <t>#BB-25-6998</t>
  </si>
  <si>
    <t>10:15, 13-12-2025, EINDHOVEN-WASVEN, Pickup Order, Saturday, WAKE-UP</t>
  </si>
  <si>
    <t>Eindhoven Wasven - BB met kluit (incl. €10 borg) - 175-200 cm</t>
  </si>
  <si>
    <t>#BB-25-7004</t>
  </si>
  <si>
    <t>ROTTERDAM-BELEVENISBOERDERIJ-SCHIEVEEN-BOOM-ZONDER-200-250</t>
  </si>
  <si>
    <t>Pickup-Location-Id: 278031
 Pickup-Day: saturday
 Pickup-Date: 2025/12/06
 Pickup-Time: 2\:00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</si>
  <si>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#BB-25-7006</t>
  </si>
  <si>
    <t>06-12-2025, 14:00, Pickup Order, ROTTERDAM-SCHIEVEEN, Saturday, WAKE-UP</t>
  </si>
  <si>
    <t>Rotterdam Belevenisboerderij Schieveen - BB zonder kluit - 200-250 cm</t>
  </si>
  <si>
    <t>#BB-25-7008</t>
  </si>
  <si>
    <t>Pickup-Location-Id: 278026
 Pickup-Day: sunday
 Pickup-Date: 2025/12/07
 Pickup-Time: 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</si>
  <si>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#BB-25-7001</t>
  </si>
  <si>
    <t>07-12-2025, 14:00, DENHAAG-PLUK, Pickup Order, Sunday, WAKE-UP</t>
  </si>
  <si>
    <t>Pickup-Location-Id: 278024
 Pickup-Day: sunday
 Pickup-Date: 2025/12/07
 Pickup-Time: 1\:30 PM
 Pickup-Location-Company: AMSTERDAM - Kop van Oost
 Pickup-Location-Address-Line-1: Zeeburgerpad 1
 Pickup-Location-City: Amsterdam
 Pickup-Location-Postal-Code: 1018 AH
 Pickup-Location-Country: Netherlands
 Checkout-Method: pickup</t>
  </si>
  <si>
    <t>#BB-25-7009</t>
  </si>
  <si>
    <t>07-12-2025, 13:30, AMSTERDAM-KOP, Pickup Order, Sunday, WAKE-UP</t>
  </si>
  <si>
    <t>#BB-25-7011</t>
  </si>
  <si>
    <t>#BB-25-7012</t>
  </si>
  <si>
    <t>#BB-25-7017</t>
  </si>
  <si>
    <t>GOUDA-STADSKANT-BOOM-ZONDER-150-175</t>
  </si>
  <si>
    <t>Pickup-Location-Id: 278027
 Pickup-Day: saturday
 Pickup-Date: 2025/12/06
 Pickup-Time: 1\:15 PM
 Pickup-Location-Company: GOUDA - Stadskant
 Pickup-Location-Address-Line-1: Agnietenstraat 19
 Pickup-Location-City: Gouda
 Pickup-Location-Postal-Code: 2801 GH
 Pickup-Location-Country: Netherlands
 Checkout-Method: pickup</t>
  </si>
  <si>
    <t>#BB-25-7000</t>
  </si>
  <si>
    <t>06-12-2025, 13:15, GOUDA, Pickup Order, Saturday, WAKE-UP</t>
  </si>
  <si>
    <t>Gouda Stadskant - BB zonder kluit - 150-175 cm</t>
  </si>
  <si>
    <t>#BB-25-7019</t>
  </si>
  <si>
    <t>#BB-25-7020</t>
  </si>
  <si>
    <t>ROTTERDAM-HET-WITTE-PAARD-BOOM-MET-BORG-150-175</t>
  </si>
  <si>
    <t>#BB-25-7021</t>
  </si>
  <si>
    <t>Rotterdam Het Witte Paard - BB met kluit (incl. €10 borg) - 150-175 cm</t>
  </si>
  <si>
    <t>AMSTERDAM-VONDELTUIN-BOOM-ZONDER-200-250</t>
  </si>
  <si>
    <t>#BB-25-7022</t>
  </si>
  <si>
    <t>Amsterdam Vondeltuin - BB zonder kluit - 200-250 cm</t>
  </si>
  <si>
    <t>AMSTERDAM-KOPVANOOST-BOOM-MET-BORG-100-125</t>
  </si>
  <si>
    <t>#BB-25-7026</t>
  </si>
  <si>
    <t>Amsterdam Kop van Oost - BB met kluit (incl. €10 borg) - 100-125 cm</t>
  </si>
  <si>
    <t>#BB-25-7028</t>
  </si>
  <si>
    <t>AMSTERDAM-LOADS-BOOM-MET-BORG-125-150</t>
  </si>
  <si>
    <t>Pickup-Location-Id: 303712
 Pickup-Day: saturday
 Pickup-Date: 2025/12/06
 Pickup-Time: 10\:35 AM
 Pickup-Location-Company: AMSTERDAM - Loads
 Pickup-Location-Address-Line-1: Ms. Tarnweg 10
 Pickup-Location-City: Amsterdam
 Pickup-Location-Postal-Code: 1033 SK
 Pickup-Location-Country: Netherlands
 Checkout-Method: pickup</t>
  </si>
  <si>
    <t>AMSTERDAM - Loads</t>
  </si>
  <si>
    <t>#BB-25-7003</t>
  </si>
  <si>
    <t>06-12-2025, 10:35, AMSTERDM-LOADS, Pickup Order, Saturday, WAKE-UP</t>
  </si>
  <si>
    <t>Amsterdam Loads - BB met kluit (incl. €10 borg) - 125-150 cm</t>
  </si>
  <si>
    <t>amsterdam-loads-bb-met-kluit-incl-10-borg</t>
  </si>
  <si>
    <t>Amsterdam Loads - BB met kluit (incl. €10 borg)</t>
  </si>
  <si>
    <t>#BB-25-7030</t>
  </si>
  <si>
    <t>Pickup-Location-Id: 278021
 Pickup-Day: saturday
 Pickup-Date: 2025/12/06
 Pickup-Time: 1\:00 PM
 Pickup-Location-Company: AMSTERDAM - Vondeltuin
 Pickup-Location-Address-Line-1: Vondelpark 7
 Pickup-Location-City: Amsterdam
 Pickup-Location-Postal-Code: 1075 VR
 Pickup-Location-Country: Netherlands
 Checkout-Method: pickup</t>
  </si>
  <si>
    <t>#BB-25-7031</t>
  </si>
  <si>
    <t>06-12-2025, 13:00, ADM, Pickup Order, Saturday, Vondeltuin, WAKE-UP</t>
  </si>
  <si>
    <t>#BB-25-7032</t>
  </si>
  <si>
    <t>DEN-HAAG-PLUK-BOOM-MET-BORG-150-175</t>
  </si>
  <si>
    <t>Pickup-Location-Id: 278026
 Pickup-Day: saturday
 Pickup-Date: 2025/12/06
 Pickup-Time: 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</si>
  <si>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#BB-25-7033</t>
  </si>
  <si>
    <t>06-12-2025, 14:00, DENHAAG-PLUK, Pickup Order, Saturday, WAKE-UP</t>
  </si>
  <si>
    <t>Den Haag Pluk - BB met kluit (incl. €10 borg) - 150-175 cm</t>
  </si>
  <si>
    <t>HILVERSUM-OME-JOOP-BOOM-MET-BORG-125-150</t>
  </si>
  <si>
    <t>Pickup-Location-Id: 303727
 Pickup-Day: sunday
 Pickup-Date: 2025/12/07
 Pickup-Time: 10\:20 AM
 Pickup-Location-Company: Hilversum - Ome Joop
 Pickup-Location-Address-Line-1: Kromme Rade 6
 Pickup-Location-City: Kortenhoef
 Pickup-Location-Postal-Code: 1241 LK
 Pickup-Location-Country: Netherlands
 Checkout-Method: pickup</t>
  </si>
  <si>
    <t>10\:20 AM</t>
  </si>
  <si>
    <t>Hilversum - Ome Joop</t>
  </si>
  <si>
    <t>#BB-25-7010</t>
  </si>
  <si>
    <t>07-12-2025, 10:20, HILVERSUM-OMEJOOP, Pickup Order, Sunday, WAKE-UP</t>
  </si>
  <si>
    <t>Kortenhoef Kwekerij Ome Joop - BB met kluit (incl. €10 borg) - 125-150 cm</t>
  </si>
  <si>
    <t>kortenhoef-kwekerij-ome-joop-bb-met-kluit-incl-10-borg</t>
  </si>
  <si>
    <t>Kortenhoef Kwekerij Ome Joop - BB met kluit (incl. €10 borg)</t>
  </si>
  <si>
    <t>#BB-25-7035</t>
  </si>
  <si>
    <t>BREDA-FRONTAAL-BOOM-MET-BORG-175-200</t>
  </si>
  <si>
    <t>#BB-25-7036</t>
  </si>
  <si>
    <t>Breda Frontaal - BB met kluit (incl. €10 borg) - 175-200</t>
  </si>
  <si>
    <t>#BB-25-7037</t>
  </si>
  <si>
    <t>Checkout-Method: pickup
 Pickup-Location-Id: 302654
 Pickup-Location-Company: UTRECHT - Steck
 Pickup-Location-Address-Line-1: Gageldijk 3
 Pickup-Location-City: Utrecht
 Pickup-Location-Country: Netherlands
 Pickup-Location-Postal-Code: 3566 ME
 Pickup-Date: 2025/12/05
 Pickup-Time: 11\:30 AM
 Pickup-Day: friday</t>
  </si>
  <si>
    <t>#BB-25-7038</t>
  </si>
  <si>
    <t>05-12-2025, 11:30, Friday, Pickup Order, UTRECHT-STECK</t>
  </si>
  <si>
    <t>#BB-25-7039</t>
  </si>
  <si>
    <t>DELFT-BUYTEN-BOOM-ZONDER-150-175</t>
  </si>
  <si>
    <t>Pickup-Location-Id: 303545
 Pickup-Day: saturday
 Pickup-Date: 2025/12/06
 Pickup-Time: 12\:35 PM
 Pickup-Location-Company: DELFT - buytendelft
 Pickup-Location-Address-Line-1: Korftlaan 3a
 Pickup-Location-City: Delft
 Pickup-Location-Postal-Code: 2616 LJ
 Pickup-Location-Country: Netherlands
 Checkout-Method: pickup</t>
  </si>
  <si>
    <t>12\:35 PM</t>
  </si>
  <si>
    <t>#BB-25-7029</t>
  </si>
  <si>
    <t>06-12-2025, 12:35, DELFT-BUYTEN, Pickup Order, Saturday, WAKE-UP</t>
  </si>
  <si>
    <t>Delft Buyten - BB zonder kluit (kopie) - 150-175 cm</t>
  </si>
  <si>
    <t>delft-buyten-bb-zonder-kluit-kopie</t>
  </si>
  <si>
    <t>Delft Buyten - BB zonder kluit (kopie)</t>
  </si>
  <si>
    <t>BREDA-KINDERBOERDERIJ-WOLFSLAAR-BOOM-MET-BORG-150-175</t>
  </si>
  <si>
    <t>Pickup-Location-Id: 278023
 Pickup-Day: saturday
 Pickup-Date: 2025/12/06
 Pickup-Time: 11\:00 AM
 Pickup-Location-Company: BREDA - Kinderboerderij Wolfslaar
 Pickup-Location-Address-Line-1: Wolfslaardreef 95
 Pickup-Location-City: Breda
 Pickup-Location-Postal-Code: 4834 SN
 Pickup-Location-Country: Netherlands
 Checkout-Method: pickup</t>
  </si>
  <si>
    <t>#BB-25-7043</t>
  </si>
  <si>
    <t>06-12-2025, 11:00, BREDA-WOLFSLAAR, Pickup Order, Saturday, WAKE-UP</t>
  </si>
  <si>
    <t>Breda Wolfslaar - BB met kluit (incl. €10 borg) - 150-175 cm</t>
  </si>
  <si>
    <t>DEN-HAAG-PLUK-BOOM-ZONDER-200-250</t>
  </si>
  <si>
    <t>#BB-25-7044</t>
  </si>
  <si>
    <t>Den Haag Pluk - BB zonder kluit - 200-250 cm</t>
  </si>
  <si>
    <t>Pickup-Location-Id: 279658
 Pickup-Day: wednesday
 Pickup-Date: 2025/12/03
 Pickup-Time: 2\:10 PM
 Pickup-Location-Company: HAARLEM - Houtbaar
 Pickup-Location-Address-Line-1: Woudplein 2
 Pickup-Location-City: Haarlem
 Pickup-Location-Postal-Code: 2031 CZ
 Pickup-Location-Country: Netherlands
 Checkout-Method: pickup</t>
  </si>
  <si>
    <t>2\:10 PM</t>
  </si>
  <si>
    <t>#BB-25-7047</t>
  </si>
  <si>
    <t>03-12-2025, 14:10, HAARLEM-HOUTBAAR, Pickup Order, WAKE-UP, Wednesday</t>
  </si>
  <si>
    <t>BREDA-FRONTAAL-BOOM-ZONDER-200-250</t>
  </si>
  <si>
    <t>#BB-25-7048</t>
  </si>
  <si>
    <t>Breda Frontaal - BB zonder kluit - 200-250</t>
  </si>
  <si>
    <t>Checkout-Method: pickup
 Pickup-Location-Id: 302654
 Pickup-Location-Company: UTRECHT - Steck
 Pickup-Location-Address-Line-1: Gageldijk 3
 Pickup-Location-City: Utrecht
 Pickup-Location-Country: Netherlands
 Pickup-Location-Postal-Code: 3566 ME
 Pickup-Date: 2025/12/05
 Pickup-Time: 10\:00 AM
 Pickup-Day: friday</t>
  </si>
  <si>
    <t>#BB-25-7049</t>
  </si>
  <si>
    <t>05-12-2025, 10:00, Friday, Pickup Order, UTRECHT-STECK</t>
  </si>
  <si>
    <t>HILVERSUM-OME-JOOP-BOOM-MET-BORG-100-125</t>
  </si>
  <si>
    <t>Pickup-Location-Id: 303727
 Pickup-Day: friday
 Pickup-Date: 2025/12/05
 Pickup-Time: 3\:00 PM
 Pickup-Location-Company: Hilversum - Ome Joop
 Pickup-Location-Address-Line-1: Kromme Rade 6
 Pickup-Location-City: Kortenhoef
 Pickup-Location-Postal-Code: 1241 LK
 Pickup-Location-Country: Netherlands
 Checkout-Method: pickup</t>
  </si>
  <si>
    <t>#BB-25-7050</t>
  </si>
  <si>
    <t>05-12-2025, 15:00, Friday, HILVERSUM-OMEJOOP, Pickup Order, WAKE-UP</t>
  </si>
  <si>
    <t>Kortenhoef Kwekerij Ome Joop - BB met kluit (incl. €10 borg) - 100-125 cm</t>
  </si>
  <si>
    <t>Pickup-Location-Id: 278030
 Pickup-Day: saturday
 Pickup-Date: 2025/12/06
 Pickup-Time: 12\:00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</si>
  <si>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#BB-25-7053</t>
  </si>
  <si>
    <t>06-12-2025, 12:00, DENBOSCH-BWWB, Pickup Order, Saturday, WAKE-UP</t>
  </si>
  <si>
    <t>#BB-25-7054</t>
  </si>
  <si>
    <t>UA-BB-25</t>
  </si>
  <si>
    <t>percentage</t>
  </si>
  <si>
    <t>Discount</t>
  </si>
  <si>
    <t>Pickup-Location-Id: 279894
 Pickup-Day: saturday
 Pickup-Date: 2025/12/06
 Pickup-Time: 3\:00 PM
 Pickup-Location-Company: BREDA - Frontaal
 Pickup-Location-Address-Line-1: Liniestraat 31
 Pickup-Location-City: Breda
 Pickup-Location-Postal-Code: 4816 BG
 Pickup-Location-Country: Netherlands
 Checkout-Method: pickup</t>
  </si>
  <si>
    <t>#BB-25-7055</t>
  </si>
  <si>
    <t>06-12-2025, 15:00, BREDA-FRONTAAL, Pickup Order, Saturday, WAKE-UP</t>
  </si>
  <si>
    <t>Pickup-Location-Id: 278027
 Pickup-Day: sunday
 Pickup-Date: 2025/11/30
 Pickup-Time: 12\:15 PM
 Pickup-Location-Company: GOUDA - Stadskant
 Pickup-Location-Address-Line-1: Agnietenstraat 19
 Pickup-Location-City: Gouda
 Pickup-Location-Postal-Code: 2801 GH
 Pickup-Location-Country: Netherlands
 Checkout-Method: pickup</t>
  </si>
  <si>
    <t>#BB-25-7057</t>
  </si>
  <si>
    <t>12:15, 30-11-2025, GOUDA, Pickup Order, Sunday, WAKE-UP</t>
  </si>
  <si>
    <t>#BB-25-7058</t>
  </si>
  <si>
    <t>#BB-25-7059</t>
  </si>
  <si>
    <t>UTRECHT-WILLEM-DE-ZWIJGER-BOOM-ZONDER-175-200</t>
  </si>
  <si>
    <t>#BB-25-7018</t>
  </si>
  <si>
    <t>Utrecht Willem de Zwijger - BB zonder kluit - 175-200 cm</t>
  </si>
  <si>
    <t>ut-willem-de-zwijger-boom-zonder</t>
  </si>
  <si>
    <t>Utrecht Willem de Zwijger - BB zonder kluit</t>
  </si>
  <si>
    <t>BREDA-KINDERBOERDERIJ-WOLFSLAAR-BOOM-MET-BORG-175-200</t>
  </si>
  <si>
    <t>#BB-25-7063</t>
  </si>
  <si>
    <t>Breda Wolfslaar - BB met kluit (incl. €10 borg) - 175-200 cm</t>
  </si>
  <si>
    <t>Pickup-Location-Id: 278031
 Pickup-Day: sunday
 Pickup-Date: 2025/12/07
 Pickup-Time: 11\:30 AM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</si>
  <si>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#BB-25-7064</t>
  </si>
  <si>
    <t>07-12-2025, 11:30, Pickup Order, ROTTERDAM-SCHIEVEEN, Sunday, WAKE-UP</t>
  </si>
  <si>
    <t>HAARLEM-HOUTBAAR-BOOM-ZONDER-150-175</t>
  </si>
  <si>
    <t>Pickup-Location-Id: 279658
 Pickup-Day: wednesday
 Pickup-Date: 2025/12/03
 Pickup-Time: 12\:50 PM
 Pickup-Location-Company: HAARLEM - Houtbaar
 Pickup-Location-Address-Line-1: Woudplein 2
 Pickup-Location-City: Haarlem
 Pickup-Location-Postal-Code: 2031 CZ
 Pickup-Location-Country: Netherlands
 Checkout-Method: pickup</t>
  </si>
  <si>
    <t>12\:50 PM</t>
  </si>
  <si>
    <t>#BB-25-7034</t>
  </si>
  <si>
    <t>03-12-2025, 12:50, HAARLEM-HOUTBAAR, Pickup Order, WAKE-UP, Wednesday</t>
  </si>
  <si>
    <t>Haarlem Houtbaar - BB zonder kluit - 150-175</t>
  </si>
  <si>
    <t>hl-houtbaar-boom-zonder</t>
  </si>
  <si>
    <t>Haarlem Houtbaar - BB zonder kluit</t>
  </si>
  <si>
    <t>Pickup-Location-Id: 279658
 Pickup-Day: wednesday
 Pickup-Date: 2025/12/03
 Pickup-Time: 12\:30 PM
 Pickup-Location-Company: HAARLEM - Houtbaar
 Pickup-Location-Address-Line-1: Woudplein 2
 Pickup-Location-City: Haarlem
 Pickup-Location-Postal-Code: 2031 CZ
 Pickup-Location-Country: Netherlands
 Checkout-Method: pickup</t>
  </si>
  <si>
    <t>#BB-25-7067</t>
  </si>
  <si>
    <t>03-12-2025, 12:30, HAARLEM-HOUTBAAR, Pickup Order, WAKE-UP, Wednesday</t>
  </si>
  <si>
    <t>Pickup-Location-Id: 278021
 Pickup-Day: saturday
 Pickup-Date: 2025/12/06
 Pickup-Time: 11\:30 AM
 Pickup-Location-Company: AMSTERDAM - Vondeltuin
 Pickup-Location-Address-Line-1: Vondelpark 7
 Pickup-Location-City: Amsterdam
 Pickup-Location-Postal-Code: 1075 VR
 Pickup-Location-Country: Netherlands
 Checkout-Method: pickup</t>
  </si>
  <si>
    <t>#BB-25-7068</t>
  </si>
  <si>
    <t>06-12-2025, 11:30, ADM, Pickup Order, Saturday, Vondeltuin, WAKE-UP</t>
  </si>
  <si>
    <t>DEN-BOSCH-BWWB-BOOM-MET-BORG-175-200</t>
  </si>
  <si>
    <t>#BB-25-7069</t>
  </si>
  <si>
    <t>Den Bosch Bewust Wonen &amp; Werken Boschveld - BB met kluit (incl. €10 borg) - 175-200 cm</t>
  </si>
  <si>
    <t>EDE-KANTINE-GEBOUW-ENKA-BOOM-MET-BORG-175-200</t>
  </si>
  <si>
    <t>Pickup-Location-Id: 278861
 Pickup-Day: sunday
 Pickup-Date: 2025/12/07
 Pickup-Time: 12\:15 PM
 Pickup-Location-Company: EDE - Kantine gebouw Enka
 Pickup-Location-Address-Line-1: Kantinegebouw 14
 Pickup-Location-City: Ede
 Pickup-Location-Postal-Code: 6717 XR
 Pickup-Location-Country: Netherlands
 Checkout-Method: pickup</t>
  </si>
  <si>
    <t>#BB-25-7071</t>
  </si>
  <si>
    <t>Ede De Kantine Enka - BB met kluit (incl. €10 borg) - 175-200 cm</t>
  </si>
  <si>
    <t>Pickup-Location-Id: 278021
 Pickup-Day: saturday
 Pickup-Date: 2025/12/13
 Pickup-Time: 11\:00 AM
 Pickup-Location-Company: AMSTERDAM - Vondeltuin
 Pickup-Location-Address-Line-1: Vondelpark 7
 Pickup-Location-City: Amsterdam
 Pickup-Location-Postal-Code: 1075 VR
 Pickup-Location-Country: Netherlands
 Checkout-Method: pickup</t>
  </si>
  <si>
    <t>#BB-25-7072</t>
  </si>
  <si>
    <t>11:00, 13-12-2025, ADM, Pickup Order, Saturday, Vondeltuin, WAKE-UP</t>
  </si>
  <si>
    <t>#BB-25-7074</t>
  </si>
  <si>
    <t>AMSTERDAM-LOADS-BOOM-ZONDER-175-200</t>
  </si>
  <si>
    <t>Pickup-Location-Id: 303712
 Pickup-Day: saturday
 Pickup-Date: 2025/12/06
 Pickup-Time: 10\:15 AM
 Pickup-Location-Company: AMSTERDAM - Loads
 Pickup-Location-Address-Line-1: Ms. Tarnweg 10
 Pickup-Location-City: Amsterdam
 Pickup-Location-Postal-Code: 1033 SK
 Pickup-Location-Country: Netherlands
 Checkout-Method: pickup</t>
  </si>
  <si>
    <t>#BB-25-7040</t>
  </si>
  <si>
    <t>06-12-2025, 10:15, AMSTERDM-LOADS, Pickup Order, Saturday, WAKE-UP</t>
  </si>
  <si>
    <t>Amsterdam Loads - BB zonder kluit - 175-200 cm</t>
  </si>
  <si>
    <t>amsterdam-loads-bb-zonder-kluit</t>
  </si>
  <si>
    <t>Amsterdam Loads - BB zonder kluit</t>
  </si>
  <si>
    <t>#BB-25-7079</t>
  </si>
  <si>
    <t>DELFT-BUYTEN-BOOM-MET-BORG-125-150</t>
  </si>
  <si>
    <t>Pickup-Location-Id: 303545
 Pickup-Day: saturday
 Pickup-Date: 2025/12/06
 Pickup-Time: 11\:15 AM
 Pickup-Location-Company: DELFT - buytendelft
 Pickup-Location-Address-Line-1: Korftlaan 3a
 Pickup-Location-City: Delft
 Pickup-Location-Postal-Code: 2616 LJ
 Pickup-Location-Country: Netherlands
 Checkout-Method: pickup</t>
  </si>
  <si>
    <t>#BB-25-7080</t>
  </si>
  <si>
    <t>06-12-2025, 11:15, DELFT-BUYTEN, Pickup Order, Saturday, WAKE-UP</t>
  </si>
  <si>
    <t>Delft Buyten - BB met kluit (incl. €10 borg) - 125-150 cm</t>
  </si>
  <si>
    <t>#BB-25-7081</t>
  </si>
  <si>
    <t>DELFT-BUYTEN-BOOM-MET-BORG-175-200</t>
  </si>
  <si>
    <t>#BB-25-7082</t>
  </si>
  <si>
    <t>Delft Buyten - BB met kluit (incl. €10 borg) - 175-200 cm</t>
  </si>
  <si>
    <t>DELFT-BUYTEN-BOOM-ZONDER-250-300</t>
  </si>
  <si>
    <t>Delft Buyten - BB zonder kluit (kopie) - 250-300 cm</t>
  </si>
  <si>
    <t>BB-25-BUYTEN</t>
  </si>
  <si>
    <t>Pickup-Location-Id: 303545
 Pickup-Day: sunday
 Pickup-Date: 2025/12/07
 Pickup-Time: 12\:35 PM
 Pickup-Location-Company: DELFT - buytendelft
 Pickup-Location-Address-Line-1: Korftlaan 3a
 Pickup-Location-City: Delft
 Pickup-Location-Postal-Code: 2616 LJ
 Pickup-Location-Country: Netherlands
 Checkout-Method: pickup</t>
  </si>
  <si>
    <t>#BB-25-7084</t>
  </si>
  <si>
    <t>07-12-2025, 12:35, DELFT-BUYTEN, Pickup Order, Sunday, WAKE-UP</t>
  </si>
  <si>
    <t>AMSTERDAM-LOADS-BOOM-ZONDER-150-175</t>
  </si>
  <si>
    <t>#BB-25-7088</t>
  </si>
  <si>
    <t>Amsterdam Loads - BB zonder kluit - 150-175 cm</t>
  </si>
  <si>
    <t>Pickup-Location-Id: 303712
 Pickup-Day: saturday
 Pickup-Date: 2025/12/06
 Pickup-Time: 11\:35 AM
 Pickup-Location-Company: AMSTERDAM - Loads
 Pickup-Location-Address-Line-1: Ms. Tarnweg 10
 Pickup-Location-City: Amsterdam
 Pickup-Location-Postal-Code: 1033 SK
 Pickup-Location-Country: Netherlands
 Checkout-Method: pickup</t>
  </si>
  <si>
    <t>11\:35 AM</t>
  </si>
  <si>
    <t>#BB-25-7089</t>
  </si>
  <si>
    <t>06-12-2025, 11:35, AMSTERDM-LOADS, Pickup Order, Saturday, WAKE-UP</t>
  </si>
  <si>
    <t>#BB-25-7062</t>
  </si>
  <si>
    <t>ROTTERDAM-HET-WITTE-PAARD-BOOM-MET-BORG-125-150</t>
  </si>
  <si>
    <t>#BB-25-7093</t>
  </si>
  <si>
    <t>Rotterdam Het Witte Paard - BB met kluit (incl. €10 borg) - 125-150 cm</t>
  </si>
  <si>
    <t>ROTTERDAM-BELEVENISBOERDERIJ-SCHIEVEEN-BOOM-ZONDER-250-300</t>
  </si>
  <si>
    <t>Pickup-Location-Id: 278031
 Pickup-Day: saturday
 Pickup-Date: 2025/12/13
 Pickup-Time: 11\:00 AM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</si>
  <si>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#BB-25-7094</t>
  </si>
  <si>
    <t>11:00, 13-12-2025, Pickup Order, ROTTERDAM-SCHIEVEEN, Saturday, WAKE-UP</t>
  </si>
  <si>
    <t>Rotterdam Belevenisboerderij Schieveen - BB zonder kluit - 250-300 cm</t>
  </si>
  <si>
    <t>#BB-25-7096</t>
  </si>
  <si>
    <t>Pickup-Location-Id: 303545
 Pickup-Day: saturday
 Pickup-Date: 2025/12/06
 Pickup-Time: 12\:15 PM
 Pickup-Location-Company: DELFT - buytendelft
 Pickup-Location-Address-Line-1: Korftlaan 3a
 Pickup-Location-City: Delft
 Pickup-Location-Postal-Code: 2616 LJ
 Pickup-Location-Country: Netherlands
 Checkout-Method: pickup</t>
  </si>
  <si>
    <t>#BB-25-7098</t>
  </si>
  <si>
    <t>06-12-2025, 12:15, DELFT-BUYTEN, Pickup Order, Saturday, WAKE-UP</t>
  </si>
  <si>
    <t>#BB-25-7099</t>
  </si>
  <si>
    <t>#BB-25-7100</t>
  </si>
  <si>
    <t>HAARLEM-HOUTBAAR-BOOM-MET-BORG-175-200</t>
  </si>
  <si>
    <t>#BB-25-7101</t>
  </si>
  <si>
    <t>Haarlem Houtbaar - BB met kluit (incl. €10 borg) - 175-200</t>
  </si>
  <si>
    <t>#BB-25-7102</t>
  </si>
  <si>
    <t>AMSTERDAM-LOADS-BOOM-ZONDER-200-250</t>
  </si>
  <si>
    <t>#BB-25-7065</t>
  </si>
  <si>
    <t>Amsterdam Loads - BB zonder kluit - 200-250 cm</t>
  </si>
  <si>
    <t>#BB-25-7104</t>
  </si>
  <si>
    <t>EINDHOVEN-KLOKGEBOUW-BOOM-MET-BORG-125-150</t>
  </si>
  <si>
    <t>Pickup-Location-Id: 278508
 Pickup-Day: sunday
 Pickup-Date: 2025/12/07
 Pickup-Time: 12\:00 PM
 Pickup-Location-Company: EINDHOVEN - Klokgebouw
 Pickup-Location-Address-Line-1: Klokgebouw
 Pickup-Location-City: Eindhoven
 Pickup-Location-Postal-Code: 5651 GW
 Pickup-Location-Country: Netherlands
 Checkout-Method: pickup</t>
  </si>
  <si>
    <t>EINDHOVEN - Klokgebouw</t>
  </si>
  <si>
    <t>#BB-25-7075</t>
  </si>
  <si>
    <t>07-12-2025, 12:00, Pickup Order, Sunday, WAKE-UP</t>
  </si>
  <si>
    <t>Eindhoven Klokgebouw - BB met kluit (incl. €10 borg) - 125-150 cm</t>
  </si>
  <si>
    <t>ehv-klokgebouw-boom-met-borg</t>
  </si>
  <si>
    <t>Eindhoven Klokgebouw - BB met kluit (incl. €10 borg)</t>
  </si>
  <si>
    <t>PRIYA-BB-25</t>
  </si>
  <si>
    <t>Pickup-Location-Id: 303545
 Pickup-Day: sunday
 Pickup-Date: 2025/12/07
 Pickup-Time: 11\:15 AM
 Pickup-Location-Company: DELFT - buytendelft
 Pickup-Location-Address-Line-1: Korftlaan 3a
 Pickup-Location-City: Delft
 Pickup-Location-Postal-Code: 2616 LJ
 Pickup-Location-Country: Netherlands
 Checkout-Method: pickup</t>
  </si>
  <si>
    <t>#BB-25-7106</t>
  </si>
  <si>
    <t>07-12-2025, 11:15, DELFT-BUYTEN, Pickup Order, Sunday, WAKE-UP</t>
  </si>
  <si>
    <t>EINDHOVEN-KLOKGEBOUW-BOOM-ZONDER-175-200</t>
  </si>
  <si>
    <t>#BB-25-7092</t>
  </si>
  <si>
    <t>Eindhoven Klokgebouw - BB zonder kluit - 175-200 cm</t>
  </si>
  <si>
    <t>ehv-klokgebouw-boom-zonder</t>
  </si>
  <si>
    <t>Eindhoven Klokgebouw - BB zonder kluit</t>
  </si>
  <si>
    <t>#BB-25-7109</t>
  </si>
  <si>
    <t>HAARLEM-HOUTBAAR-BOOM-ZONDER-175-200</t>
  </si>
  <si>
    <t>Pickup-Location-Id: 279658
 Pickup-Day: wednesday
 Pickup-Date: 2025/12/03
 Pickup-Time: 4\:10 PM
 Pickup-Location-Company: HAARLEM - Houtbaar
 Pickup-Location-Address-Line-1: Woudplein 2
 Pickup-Location-City: Haarlem
 Pickup-Location-Postal-Code: 2031 CZ
 Pickup-Location-Country: Netherlands
 Checkout-Method: pickup</t>
  </si>
  <si>
    <t>4\:10 PM</t>
  </si>
  <si>
    <t>#BB-25-7110</t>
  </si>
  <si>
    <t>03-12-2025, 16:10, HAARLEM-HOUTBAAR, Pickup Order, WAKE-UP, Wednesday</t>
  </si>
  <si>
    <t>Haarlem Houtbaar - BB zonder kluit - 175-200</t>
  </si>
  <si>
    <t>#BB-25-7112</t>
  </si>
  <si>
    <t>#BB-25-7113</t>
  </si>
  <si>
    <t>#BB-25-7114</t>
  </si>
  <si>
    <t>#BB-25-7115</t>
  </si>
  <si>
    <t>ENSCHEDE-DE-WIECKSE-BOOM-ZONDER-250-300</t>
  </si>
  <si>
    <t>Pickup-Location-Id: 304221
 Pickup-Day: saturday
 Pickup-Date: 2025/12/13
 Pickup-Time: 3\:00 PM
 Pickup-Location-Company: ENSCHEDE DE WIECKSE
 Pickup-Location-Address-Line-1: Keizerweg 40
 Pickup-Location-City: Enschede
 Pickup-Location-Postal-Code: 7548PX
 Pickup-Location-Country: Netherlands
 Checkout-Method: pickup</t>
  </si>
  <si>
    <t>#BB-25-7103</t>
  </si>
  <si>
    <t>13-12-2025, 15:00, Enschede-DEWIECKE, Pickup Order, Saturday, WAKE-UP</t>
  </si>
  <si>
    <t>Enschede De Wieckse - BB zonder kluit - 250-300 cm</t>
  </si>
  <si>
    <t>kortenhoef-kwekerij-ome-joop-bb-zonder-kluit-kopie</t>
  </si>
  <si>
    <t>Enschede De Wieckse - BB zonder kluit</t>
  </si>
  <si>
    <t>AMSTERDAM-MOLEN-DE-OTTER-BOOM-ZONDER-150-175</t>
  </si>
  <si>
    <t>Pickup-Location-Id: 278462
 Pickup-Day: sunday
 Pickup-Date: 2025/11/30
 Pickup-Time: 3\:30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</si>
  <si>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#BB-25-7105</t>
  </si>
  <si>
    <t>15:30, 30-11-2025, AMSTERDAM-MOLEN, Pickup Order, Sunday, WAKE-UP</t>
  </si>
  <si>
    <t>Amsterdam Molen de Otter - BB zonder kluit - 150-175 cm</t>
  </si>
  <si>
    <t>amd-house-of-watt-boom-zonder</t>
  </si>
  <si>
    <t>Amsterdam Molen de Otter - BB zonder kluit</t>
  </si>
  <si>
    <t>Pickup-Location-Id: 304221
 Pickup-Day: saturday
 Pickup-Date: 2025/12/13
 Pickup-Time: 11\:00 AM
 Pickup-Location-Company: ENSCHEDE DE WIECKSE
 Pickup-Location-Address-Line-1: Keizerweg 40
 Pickup-Location-City: Enschede
 Pickup-Location-Postal-Code: 7548PX
 Pickup-Location-Country: Netherlands
 Checkout-Method: pickup</t>
  </si>
  <si>
    <t>#BB-25-7107</t>
  </si>
  <si>
    <t>11:00, 13-12-2025, Enschede-DEWIECKE, Pickup Order, Saturday, WAKE-UP</t>
  </si>
  <si>
    <t>AMSTERDAM-VONDELTUIN-BOOM-MET-100-125</t>
  </si>
  <si>
    <t>#BB-25-7116</t>
  </si>
  <si>
    <t>Amsterdam Vondeltuin - BB met kluit (incl. €10 borg) - 100-125 cm</t>
  </si>
  <si>
    <t>#BB-25-7117</t>
  </si>
  <si>
    <t>#BB-25-7122</t>
  </si>
  <si>
    <t>#BB-25-7124</t>
  </si>
  <si>
    <t>#BB-25-7125</t>
  </si>
  <si>
    <t>#BB-25-7126</t>
  </si>
  <si>
    <t>#BB-25-7128</t>
  </si>
  <si>
    <t>Pickup-Location-Id: 278023
 Pickup-Day: saturday
 Pickup-Date: 2025/12/06
 Pickup-Time: 1\:00 PM
 Pickup-Location-Company: BREDA - Kinderboerderij Wolfslaar
 Pickup-Location-Address-Line-1: Wolfslaardreef 95
 Pickup-Location-City: Breda
 Pickup-Location-Postal-Code: 4834 SN
 Pickup-Location-Country: Netherlands
 Checkout-Method: pickup</t>
  </si>
  <si>
    <t>#BB-25-7129</t>
  </si>
  <si>
    <t>06-12-2025, 13:00, BREDA-WOLFSLAAR, Pickup Order, Saturday, WAKE-UP</t>
  </si>
  <si>
    <t>DEN-BOSCH-BWWB-BOOM-MET-BORG-125-150</t>
  </si>
  <si>
    <t>#BB-25-7130</t>
  </si>
  <si>
    <t>Den Bosch Bewust Wonen &amp; Werken Boschveld - BB met kluit (incl. €10 borg) - 125-150 cm</t>
  </si>
  <si>
    <t>#BB-25-7123</t>
  </si>
  <si>
    <t>#BB-25-7133</t>
  </si>
  <si>
    <t>Pickup-Location-Id: 278026
 Pickup-Day: wednesday
 Pickup-Date: 2025/12/10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</si>
  <si>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#BB-25-7137</t>
  </si>
  <si>
    <t>10-12-2025, 11:00, DENHAAG-PLUK, Pickup Order, WAKE-UP, Wednesday</t>
  </si>
  <si>
    <t>#BB-25-7138</t>
  </si>
  <si>
    <t>Pickup-Location-Id: 303545
 Pickup-Day: saturday
 Pickup-Date: 2025/12/13
 Pickup-Time: 12\:55 PM
 Pickup-Location-Company: DELFT - buytendelft
 Pickup-Location-Address-Line-1: Korftlaan 3a
 Pickup-Location-City: Delft
 Pickup-Location-Postal-Code: 2616 LJ
 Pickup-Location-Country: Netherlands
 Checkout-Method: pickup</t>
  </si>
  <si>
    <t>12\:55 PM</t>
  </si>
  <si>
    <t>#BB-25-7140</t>
  </si>
  <si>
    <t>12:55, 13-12-2025, DELFT-BUYTEN, Pickup Order, Saturday, WAKE-UP</t>
  </si>
  <si>
    <t>#BB-25-7141</t>
  </si>
  <si>
    <t>ROTTERDAM-BELEVENISBOERDERIJ-SCHIEVEEN-BOOM-MET-BORG-100-125</t>
  </si>
  <si>
    <t>#BB-25-7142</t>
  </si>
  <si>
    <t>Rotterdam Belevenisboerderij Schieveen - BB met kluit (incl. €10 borg) - 100-125 cm</t>
  </si>
  <si>
    <t>#BB-25-7143</t>
  </si>
  <si>
    <t>#BB-25-7145</t>
  </si>
  <si>
    <t>Pickup-Location-Id: 278031
 Pickup-Day: saturday
 Pickup-Date: 2025/12/06
 Pickup-Time: 11\:30 AM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</si>
  <si>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#BB-25-7120</t>
  </si>
  <si>
    <t>06-12-2025, 11:30, Pickup Order, ROTTERDAM-SCHIEVEEN, Saturday, WAKE-UP</t>
  </si>
  <si>
    <t>Pickup-Location-Id: 278027
 Pickup-Day: sunday
 Pickup-Date: 2025/11/30
 Pickup-Time: 1\:15 PM
 Pickup-Location-Company: GOUDA - Stadskant
 Pickup-Location-Address-Line-1: Agnietenstraat 19
 Pickup-Location-City: Gouda
 Pickup-Location-Postal-Code: 2801 GH
 Pickup-Location-Country: Netherlands
 Checkout-Method: pickup</t>
  </si>
  <si>
    <t>#BB-25-7146</t>
  </si>
  <si>
    <t>13:15, 30-11-2025, GOUDA, Pickup Order, Sunday, WAKE-UP</t>
  </si>
  <si>
    <t>#BB-25-7149</t>
  </si>
  <si>
    <t>AMSTERDAM-LOADS-BOOM-MET-BORG-100-125</t>
  </si>
  <si>
    <t>#BB-25-7150</t>
  </si>
  <si>
    <t>Amsterdam Loads - BB met kluit (incl. €10 borg) - 100-125 cm</t>
  </si>
  <si>
    <t>#BB-25-7152</t>
  </si>
  <si>
    <t>#BB-25-7153</t>
  </si>
  <si>
    <t>#BB-25-7154</t>
  </si>
  <si>
    <t>Pickup-Location-Id: 303545
 Pickup-Day: sunday
 Pickup-Date: 2025/12/07
 Pickup-Time: 1\:15 PM
 Pickup-Location-Company: DELFT - buytendelft
 Pickup-Location-Address-Line-1: Korftlaan 3a
 Pickup-Location-City: Delft
 Pickup-Location-Postal-Code: 2616 LJ
 Pickup-Location-Country: Netherlands
 Checkout-Method: pickup</t>
  </si>
  <si>
    <t>#BB-25-7157</t>
  </si>
  <si>
    <t>07-12-2025, 13:15, DELFT-BUYTEN, Pickup Order, Sunday, WAKE-UP</t>
  </si>
  <si>
    <t>#BB-25-7158</t>
  </si>
  <si>
    <t>#BB-25-7159</t>
  </si>
  <si>
    <t>#BB-25-7161</t>
  </si>
  <si>
    <t>DELFT-BUYTEN-BOOM-ZONDER-175-200</t>
  </si>
  <si>
    <t>Pickup-Location-Id: 303545
 Pickup-Day: sunday
 Pickup-Date: 2025/12/07
 Pickup-Time: 11\:35 AM
 Pickup-Location-Company: DELFT - buytendelft
 Pickup-Location-Address-Line-1: Korftlaan 3a
 Pickup-Location-City: Delft
 Pickup-Location-Postal-Code: 2616 LJ
 Pickup-Location-Country: Netherlands
 Checkout-Method: pickup</t>
  </si>
  <si>
    <t>#BB-25-7135</t>
  </si>
  <si>
    <t>07-12-2025, 11:35, DELFT-BUYTEN, Pickup Order, Sunday, WAKE-UP</t>
  </si>
  <si>
    <t>Delft Buyten - BB zonder kluit (kopie) - 175-200 cm</t>
  </si>
  <si>
    <t>#BB-25-7121</t>
  </si>
  <si>
    <t>30-11-2025, Pickup Order, Sunday, UTRECHT-STECK, WAKE-UP</t>
  </si>
  <si>
    <t>Pickup-Location-Id: 303545
 Pickup-Day: saturday
 Pickup-Date: 2025/12/06
 Pickup-Time: 1\:35 PM
 Pickup-Location-Company: DELFT - buytendelft
 Pickup-Location-Address-Line-1: Korftlaan 3a
 Pickup-Location-City: Delft
 Pickup-Location-Postal-Code: 2616 LJ
 Pickup-Location-Country: Netherlands
 Checkout-Method: pickup</t>
  </si>
  <si>
    <t>1\:35 PM</t>
  </si>
  <si>
    <t>#BB-25-7167</t>
  </si>
  <si>
    <t>06-12-2025, 13:35, DELFT-BUYTEN, Pickup Order, Saturday, WAKE-UP</t>
  </si>
  <si>
    <t>UTRECHT-WILLEM-DE-ZWIJGER-BOOM-ZONDER-150-175</t>
  </si>
  <si>
    <t>Pickup-Location-Id: 278463
 Pickup-Day: sunday
 Pickup-Date: 2025/12/07
 Pickup-Time: 10\:55 AM
 Pickup-Location-Company: UTRECHT - Scouting Willem de Zwijger
 Pickup-Location-Address-Line-1: Bastionweg 2
 Pickup-Location-City: Utrecht
 Pickup-Location-Postal-Code: 3566 MK
 Pickup-Location-Country: Netherlands
 Checkout-Method: pickup</t>
  </si>
  <si>
    <t>10\:55 AM</t>
  </si>
  <si>
    <t>#BB-25-7168</t>
  </si>
  <si>
    <t>07-12-2025, 10:55, Pickup Order, Sunday, UTRECHT-WILLEM, WAKE-UP</t>
  </si>
  <si>
    <t>Utrecht Willem de Zwijger - BB zonder kluit - 150-175 cm</t>
  </si>
  <si>
    <t>HAARLEM-HOUTBAAR-BOOM-MET-BORG-125-150</t>
  </si>
  <si>
    <t>Pickup-Location-Id: 279658
 Pickup-Day: wednesday
 Pickup-Date: 2025/12/03
 Pickup-Time: 5\:30 PM
 Pickup-Location-Company: HAARLEM - Houtbaar
 Pickup-Location-Address-Line-1: Woudplein 2
 Pickup-Location-City: Haarlem
 Pickup-Location-Postal-Code: 2031 CZ
 Pickup-Location-Country: Netherlands
 Checkout-Method: pickup</t>
  </si>
  <si>
    <t>5\:30 PM</t>
  </si>
  <si>
    <t>#BB-25-7169</t>
  </si>
  <si>
    <t>03-12-2025, 17:30, HAARLEM-HOUTBAAR, Pickup Order, WAKE-UP, Wednesday</t>
  </si>
  <si>
    <t>Haarlem Houtbaar - BB met kluit (incl. €10 borg) - 125-150</t>
  </si>
  <si>
    <t>#BB-25-7173</t>
  </si>
  <si>
    <t>#BB-25-7174</t>
  </si>
  <si>
    <t>Pickup-Location-Id: 278026
 Pickup-Day: saturday
 Pickup-Date: 2025/12/06
 Pickup-Time: 1\:00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</si>
  <si>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#BB-25-7175</t>
  </si>
  <si>
    <t>06-12-2025, 13:00, DENHAAG-PLUK, Pickup Order, Saturday, WAKE-UP</t>
  </si>
  <si>
    <t>#BB-25-7176</t>
  </si>
  <si>
    <t>#BB-25-7178</t>
  </si>
  <si>
    <t>Checkout-Method: pickup
 Pickup-Location-Id: 279894
 Pickup-Location-Company: BREDA - Frontaal
 Pickup-Location-Address-Line-1: Liniestraat 31
 Pickup-Location-City: Breda
 Pickup-Location-Country: Netherlands
 Pickup-Location-Postal-Code: 4816 BG
 Pickup-Date: 2025/12/06
 Pickup-Time: 3\:00 PM
 Pickup-Day: saturday</t>
  </si>
  <si>
    <t>#BB-25-7147</t>
  </si>
  <si>
    <t>06-12-2025, 15:00, BREDA-FRONTAAL, Pickup Order, Saturday</t>
  </si>
  <si>
    <t>Pickup-Location-Id: 303545
 Pickup-Day: sunday
 Pickup-Date: 2025/12/14
 Pickup-Time: 12\:55 PM
 Pickup-Location-Company: DELFT - buytendelft
 Pickup-Location-Address-Line-1: Korftlaan 3a
 Pickup-Location-City: Delft
 Pickup-Location-Postal-Code: 2616 LJ
 Pickup-Location-Country: Netherlands
 Checkout-Method: pickup</t>
  </si>
  <si>
    <t>#BB-25-7162</t>
  </si>
  <si>
    <t>12:55, 14-12-2025, DELFT-BUYTEN, Pickup Order, Sunday, WAKE-UP</t>
  </si>
  <si>
    <t>#BB-25-7181</t>
  </si>
  <si>
    <t>#BB-25-7183</t>
  </si>
  <si>
    <t>Pickup-Location-Id: 278026
 Pickup-Day: sunday
 Pickup-Date: 2025/12/07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</si>
  <si>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#BB-25-7186</t>
  </si>
  <si>
    <t>07-12-2025, 11:00, DENHAAG-PLUK, Pickup Order, Sunday, WAKE-UP</t>
  </si>
  <si>
    <t>Pickup-Location-Id: 278026
 Pickup-Day: wednesday
 Pickup-Date: 2025/12/10
 Pickup-Time: 12\:40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</si>
  <si>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#BB-25-7187</t>
  </si>
  <si>
    <t>10-12-2025, 12:40, DENHAAG-PLUK, Pickup Order, WAKE-UP, Wednesday</t>
  </si>
  <si>
    <t>#BB-25-7188</t>
  </si>
  <si>
    <t>#BB-25-7189</t>
  </si>
  <si>
    <t>#BB-25-7190</t>
  </si>
  <si>
    <t>Pickup-Location-Id: 279658
 Pickup-Day: wednesday
 Pickup-Date: 2025/12/03
 Pickup-Time: 6\:10 PM
 Pickup-Location-Company: HAARLEM - Houtbaar
 Pickup-Location-Address-Line-1: Woudplein 2
 Pickup-Location-City: Haarlem
 Pickup-Location-Postal-Code: 2031 CZ
 Pickup-Location-Country: Netherlands
 Checkout-Method: pickup</t>
  </si>
  <si>
    <t>6\:10 PM</t>
  </si>
  <si>
    <t>#BB-25-7191</t>
  </si>
  <si>
    <t>03-12-2025, 18:10, HAARLEM-HOUTBAAR, Pickup Order, WAKE-UP, Wednesday</t>
  </si>
  <si>
    <t>#BB-25-7180</t>
  </si>
  <si>
    <t>#BB-25-7182</t>
  </si>
  <si>
    <t>#BB-25-7193</t>
  </si>
  <si>
    <t>#BB-25-7195</t>
  </si>
  <si>
    <t>06-12-2025, 11:00, ADM, Pickup Order, Saturday, Vondeltuin, WAKE-UP</t>
  </si>
  <si>
    <t>#BB-25-7197</t>
  </si>
  <si>
    <t>Pickup-Location-Id: 303712
 Pickup-Day: saturday
 Pickup-Date: 2025/12/06
 Pickup-Time: 10\:55 AM
 Pickup-Location-Company: AMSTERDAM - Loads
 Pickup-Location-Address-Line-1: Ms. Tarnweg 10
 Pickup-Location-City: Amsterdam
 Pickup-Location-Postal-Code: 1033 SK
 Pickup-Location-Country: Netherlands
 Checkout-Method: pickup</t>
  </si>
  <si>
    <t>#BB-25-7198</t>
  </si>
  <si>
    <t>06-12-2025, 10:55, AMSTERDM-LOADS, Pickup Order, Saturday, WAKE-UP</t>
  </si>
  <si>
    <t>Pickup-Location-Id: 278508
 Pickup-Day: sunday
 Pickup-Date: 2025/12/07
 Pickup-Time: 2\:00 PM
 Pickup-Location-Company: EINDHOVEN - Klokgebouw
 Pickup-Location-Address-Line-1: Klokgebouw
 Pickup-Location-City: Eindhoven
 Pickup-Location-Postal-Code: 5651 GW
 Pickup-Location-Country: Netherlands
 Checkout-Method: pickup</t>
  </si>
  <si>
    <t>#BB-25-7200</t>
  </si>
  <si>
    <t>07-12-2025, 14:00, Pickup Order, Sunday, WAKE-UP</t>
  </si>
  <si>
    <t>#BB-25-7201</t>
  </si>
  <si>
    <t>#BB-25-7202</t>
  </si>
  <si>
    <t>Checkout-Method: pickup
 Pickup-Location-Id: 278462
 Pickup-Location-Company: AMSTERDAM - Molen De Otter
 Pickup-Location-Address-Line-1: Gillis van Ledenberchstraat 78
 Pickup-Location-City: Amsterdam
 Pickup-Location-Country: Netherlands
 Pickup-Location-Postal-Code: 1052 VK
 Pickup-Date: 2025/11/30
 Pickup-Time: 11\:00 AM
 Pickup-Day: sunday</t>
  </si>
  <si>
    <t>#BB-25-7204</t>
  </si>
  <si>
    <t>11:00, 30-11-2025, AMSTERDAM-MOLEN, Pickup Order, Sunday</t>
  </si>
  <si>
    <t>#BB-25-7194</t>
  </si>
  <si>
    <t>Pickup-Location-Id: 278026
 Pickup-Day: sunday
 Pickup-Date: 2025/12/07
 Pickup-Time: 12\:00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</si>
  <si>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#BB-25-7207</t>
  </si>
  <si>
    <t>07-12-2025, 12:00, DENHAAG-PLUK, Pickup Order, Sunday, WAKE-UP</t>
  </si>
  <si>
    <t>Pickup-Location-Id: 278024
 Pickup-Day: sunday
 Pickup-Date: 2025/12/07
 Pickup-Time: 11\:30 AM
 Pickup-Location-Company: AMSTERDAM - Kop van Oost
 Pickup-Location-Address-Line-1: Zeeburgerpad 1
 Pickup-Location-City: Amsterdam
 Pickup-Location-Postal-Code: 1018 AH
 Pickup-Location-Country: Netherlands
 Checkout-Method: pickup</t>
  </si>
  <si>
    <t>#BB-25-7209</t>
  </si>
  <si>
    <t>07-12-2025, 11:30, AMSTERDAM-KOP, Pickup Order, Sunday, WAKE-UP</t>
  </si>
  <si>
    <t>#BB-25-7210</t>
  </si>
  <si>
    <t>#BB-25-7212</t>
  </si>
  <si>
    <t>Pickup-Location-Id: 278462
 Pickup-Day: sunday
 Pickup-Date: 2025/11/30
 Pickup-Time: 1\:30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</si>
  <si>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#BB-25-7214</t>
  </si>
  <si>
    <t>13:30, 30-11-2025, AMSTERDAM-MOLEN, Pickup Order, Sunday, WAKE-UP</t>
  </si>
  <si>
    <t>Pickup-Location-Id: 278026
 Pickup-Day: wednesday
 Pickup-Date: 2025/12/03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</si>
  <si>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#BB-25-7215</t>
  </si>
  <si>
    <t>03-12-2025, 11:00, DENHAAG-PLUK, Pickup Order, WAKE-UP, Wednesday</t>
  </si>
  <si>
    <t>Pickup-Location-Id: 278576
 Pickup-Day: sunday
 Pickup-Date: 2025/12/07
 Pickup-Time: 12\:00 PM
 Pickup-Location-Company: ROTTERDAM - Het witte paard
 Pickup-Location-Address-Line-1: Groenezoom 245
 Pickup-Location-City: Rotterdam
 Pickup-Location-Postal-Code: 3075GD
 Pickup-Location-Country: Netherlands
 Checkout-Method: pickup</t>
  </si>
  <si>
    <t>#BB-25-7216</t>
  </si>
  <si>
    <t>07-12-2025, 12:00, Pickup Order, ROTTERDAM-WITTEPAARD, Sunday, WAKE-UP</t>
  </si>
  <si>
    <t>UTRECHT-WILLEM-DE-ZWIJGER-BOOM-MET-BORG-100-125</t>
  </si>
  <si>
    <t>Pickup-Location-Id: 278463
 Pickup-Day: sunday
 Pickup-Date: 2025/12/07
 Pickup-Time: 11\:15 AM
 Pickup-Location-Company: UTRECHT - Scouting Willem de Zwijger
 Pickup-Location-Address-Line-1: Bastionweg 2
 Pickup-Location-City: Utrecht
 Pickup-Location-Postal-Code: 3566 MK
 Pickup-Location-Country: Netherlands
 Checkout-Method: pickup</t>
  </si>
  <si>
    <t>#BB-25-7208</t>
  </si>
  <si>
    <t>07-12-2025, 11:15, Pickup Order, Sunday, UTRECHT-WILLEM, WAKE-UP</t>
  </si>
  <si>
    <t>Utrecht Willem de Zwijger - BB met kluit (incl. €10 borg) - 100-125 cm</t>
  </si>
  <si>
    <t>Pickup-Location-Id: 303545
 Pickup-Day: sunday
 Pickup-Date: 2025/12/06
 Pickup-Time: 2\:35 PM
 Pickup-Location-Company: DELFT - buytendelft
 Pickup-Location-Address-Line-1: Korftlaan 3a
 Pickup-Location-City: Delft
 Pickup-Location-Postal-Code: 2616 LJ
 Pickup-Location-Country: Netherlands
 Checkout-Method: pickup</t>
  </si>
  <si>
    <t>2\:35 PM</t>
  </si>
  <si>
    <t>#BB-25-7217</t>
  </si>
  <si>
    <t>07-12-2025, 14:35, DELFT-BUYTEN, Pickup Order, Sunday, WAKE-UP</t>
  </si>
  <si>
    <t>#BB-25-7205</t>
  </si>
  <si>
    <t>Pickup-Location-Id: 278031
 Pickup-Day: sunday
 Pickup-Date: 2025/12/07
 Pickup-Time: 12\:00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</si>
  <si>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#BB-25-7220</t>
  </si>
  <si>
    <t>07-12-2025, 12:00, Pickup Order, ROTTERDAM-SCHIEVEEN, Sunday, WAKE-UP</t>
  </si>
  <si>
    <t>#BB-25-7221</t>
  </si>
  <si>
    <t>#BB-25-7222</t>
  </si>
  <si>
    <t>#BB-25-7223</t>
  </si>
  <si>
    <t>#BB-25-7224</t>
  </si>
  <si>
    <t>#BB-25-7226</t>
  </si>
  <si>
    <t>#BB-25-7227</t>
  </si>
  <si>
    <t>#BB-25-7229</t>
  </si>
  <si>
    <t>#BB-25-7233</t>
  </si>
  <si>
    <t>#BB-25-7234</t>
  </si>
  <si>
    <t>#BB-25-7235</t>
  </si>
  <si>
    <t>#BB-25-7236</t>
  </si>
  <si>
    <t>Pickup-Location-Id: 278023
 Pickup-Day: saturday
 Pickup-Date: 2025/12/06
 Pickup-Time: 1\:20 PM
 Pickup-Location-Company: BREDA - Kinderboerderij Wolfslaar
 Pickup-Location-Address-Line-1: Wolfslaardreef 95
 Pickup-Location-City: Breda
 Pickup-Location-Postal-Code: 4834 SN
 Pickup-Location-Country: Netherlands
 Checkout-Method: pickup</t>
  </si>
  <si>
    <t>1\:20 PM</t>
  </si>
  <si>
    <t>#BB-25-7239</t>
  </si>
  <si>
    <t>06-12-2025, 13:20, BREDA-WOLFSLAAR, Pickup Order, Saturday, WAKE-UP</t>
  </si>
  <si>
    <t>#BB-25-7240</t>
  </si>
  <si>
    <t>#BB-25-7218</t>
  </si>
  <si>
    <t>HILVERSUM-OME-JOOP-BOOM-ZONDER-150-175</t>
  </si>
  <si>
    <t>Pickup-Location-Id: 303727
 Pickup-Day: saturday
 Pickup-Date: 2025/12/06
 Pickup-Time: 10\:00 AM
 Pickup-Location-Company: Hilversum - Ome Joop
 Pickup-Location-Address-Line-1: Kromme Rade 6
 Pickup-Location-City: Kortenhoef
 Pickup-Location-Postal-Code: 1241 LK
 Pickup-Location-Country: Netherlands
 Checkout-Method: pickup</t>
  </si>
  <si>
    <t>#BB-25-7165</t>
  </si>
  <si>
    <t>06-12-2025, 10:00, HILVERSUM-OMEJOOP, Pickup Order, Saturday, WAKE-UP</t>
  </si>
  <si>
    <t>Kortenhoef Kwekerij Ome Joop - BB zonder kluit - 150-175 cm</t>
  </si>
  <si>
    <t>kortenhoef-kwekerij-ome-joop-bb-zonder-kluit</t>
  </si>
  <si>
    <t>Kortenhoef Kwekerij Ome Joop - BB zonder kluit</t>
  </si>
  <si>
    <t>DEN-BOSCH-BWWB-BOOM-ZONDER-175-200</t>
  </si>
  <si>
    <t>#BB-25-7219</t>
  </si>
  <si>
    <t>Den Bosch Bewust Wonen &amp; Werken Boschveld - BB zonder kluit - 175-200 cm</t>
  </si>
  <si>
    <t>den-bosch-bewust-wonen-werken-boschveld-bb-zonder-kluit-kopie</t>
  </si>
  <si>
    <t>Den Bosch Bewust Wonen &amp; Werken Boschveld - BB zonder kluit</t>
  </si>
  <si>
    <t>#BB-25-7241</t>
  </si>
  <si>
    <t>#BB-25-7242</t>
  </si>
  <si>
    <t>#BB-25-7243</t>
  </si>
  <si>
    <t>#BB-25-7244</t>
  </si>
  <si>
    <t>#BB-25-7245</t>
  </si>
  <si>
    <t>#BB-25-7249</t>
  </si>
  <si>
    <t>#BB-25-7251</t>
  </si>
  <si>
    <t>Pickup-Location-Id: 278861
 Pickup-Day: saturday
 Pickup-Date: 2025/12/06
 Pickup-Time: 11\:30 AM
 Pickup-Location-Company: EDE - Kantine gebouw Enka
 Pickup-Location-Address-Line-1: Kantinegebouw 14
 Pickup-Location-City: Ede
 Pickup-Location-Postal-Code: 6717 XR
 Pickup-Location-Country: Netherlands
 Checkout-Method: pickup</t>
  </si>
  <si>
    <t>#BB-25-7252</t>
  </si>
  <si>
    <t>06-12-2025, 11:30, EDE_ENKA, Pickup Order, Saturday, WAKE-UP</t>
  </si>
  <si>
    <t>#BB-25-7253</t>
  </si>
  <si>
    <t>Pickup-Location-Id: 279658
 Pickup-Day: wednesday
 Pickup-Date: 2025/12/03
 Pickup-Time: 6\:30 PM
 Pickup-Location-Company: HAARLEM - Houtbaar
 Pickup-Location-Address-Line-1: Woudplein 2
 Pickup-Location-City: Haarlem
 Pickup-Location-Postal-Code: 2031 CZ
 Pickup-Location-Country: Netherlands
 Checkout-Method: pickup</t>
  </si>
  <si>
    <t>6\:30 PM</t>
  </si>
  <si>
    <t>#BB-25-7247</t>
  </si>
  <si>
    <t>03-12-2025, 18:30, HAARLEM-HOUTBAAR, Pickup Order, WAKE-UP, Wednesday</t>
  </si>
  <si>
    <t>AMSTERDAM-HOUSE-OF-WATT-BOOM-MET-BORG-175-200</t>
  </si>
  <si>
    <t>#BB-25-7255</t>
  </si>
  <si>
    <t>Amsterdam Molen de Otter - BB met kluit (incl. €10 borg) - 175-200 cm</t>
  </si>
  <si>
    <t>ENSCHEDE-DE-WIECKSE-BOOM-MET-BORG-125-150</t>
  </si>
  <si>
    <t>#BB-25-7256</t>
  </si>
  <si>
    <t>Enschede De wieckse - BB met kluit (incl. €10 borg) - 125-150 cm</t>
  </si>
  <si>
    <t>#BB-25-7257</t>
  </si>
  <si>
    <t>Pickup-Location-Id: 278027
 Pickup-Day: saturday
 Pickup-Date: 2025/12/06
 Pickup-Time: 1\:45 PM
 Pickup-Location-Company: GOUDA - Stadskant
 Pickup-Location-Address-Line-1: Agnietenstraat 19
 Pickup-Location-City: Gouda
 Pickup-Location-Postal-Code: 2801 GH
 Pickup-Location-Country: Netherlands
 Checkout-Method: pickup</t>
  </si>
  <si>
    <t>1\:45 PM</t>
  </si>
  <si>
    <t>#BB-25-7258</t>
  </si>
  <si>
    <t>06-12-2025, 13:45, GOUDA, Pickup Order, Saturday, WAKE-UP</t>
  </si>
  <si>
    <t>Pickup-Location-Id: 303727
 Pickup-Day: thursday
 Pickup-Date: 2025/12/04
 Pickup-Time: 12\:20 PM
 Pickup-Location-Company: Hilversum - Ome Joop
 Pickup-Location-Address-Line-1: Kromme Rade 6
 Pickup-Location-City: Kortenhoef
 Pickup-Location-Postal-Code: 1241 LK
 Pickup-Location-Country: Netherlands
 Checkout-Method: pickup</t>
  </si>
  <si>
    <t>12\:20 PM</t>
  </si>
  <si>
    <t>#BB-25-7259</t>
  </si>
  <si>
    <t>04-12-2025, 12:20, HILVERSUM-OMEJOOP, Pickup Order, Thursday, WAKE-UP</t>
  </si>
  <si>
    <t>Pickup-Location-Id: 278021
 Pickup-Day: saturday
 Pickup-Date: 2025/12/13
 Pickup-Time: 10\:00 AM
 Pickup-Location-Company: AMSTERDAM - Vondeltuin
 Pickup-Location-Address-Line-1: Vondelpark 7
 Pickup-Location-City: Amsterdam
 Pickup-Location-Postal-Code: 1075 VR
 Pickup-Location-Country: Netherlands
 Checkout-Method: pickup</t>
  </si>
  <si>
    <t>#BB-25-7260</t>
  </si>
  <si>
    <t>10:00, 13-12-2025, ADM, Pickup Order, Saturday, Vondeltuin, WAKE-UP</t>
  </si>
  <si>
    <t>Pickup-Location-Id: 278026
 Pickup-Day: wednesday
 Pickup-Date: 2025/12/10
 Pickup-Time: 1\:00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</si>
  <si>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#BB-25-7261</t>
  </si>
  <si>
    <t>10-12-2025, 13:00, DENHAAG-PLUK, Pickup Order, WAKE-UP, Wednesday</t>
  </si>
  <si>
    <t>#BB-25-7262</t>
  </si>
  <si>
    <t>#BB-25-7254</t>
  </si>
  <si>
    <t>#BB-25-7264</t>
  </si>
  <si>
    <t>#BB-25-7267</t>
  </si>
  <si>
    <t>Pickup-Location-Id: 278026
 Pickup-Day: sunday
 Pickup-Date: 2025/12/07
 Pickup-Time: 2\:40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</si>
  <si>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2\:40 PM</t>
  </si>
  <si>
    <t>#BB-25-7269</t>
  </si>
  <si>
    <t>07-12-2025, 14:40, DENHAAG-PLUK, Pickup Order, Sunday, WAKE-UP</t>
  </si>
  <si>
    <t>Pickup-Location-Id: 279658
 Pickup-Day: wednesday
 Pickup-Date: 2025/12/03
 Pickup-Time: 7\:30 PM
 Pickup-Location-Company: HAARLEM - Houtbaar
 Pickup-Location-Address-Line-1: Woudplein 2
 Pickup-Location-City: Haarlem
 Pickup-Location-Postal-Code: 2031 CZ
 Pickup-Location-Country: Netherlands
 Checkout-Method: pickup</t>
  </si>
  <si>
    <t>7\:30 PM</t>
  </si>
  <si>
    <t>#BB-25-7270</t>
  </si>
  <si>
    <t>03-12-2025, 19:30, HAARLEM-HOUTBAAR, Pickup Order, WAKE-UP, Wednesday</t>
  </si>
  <si>
    <t>Pickup-Location-Id: 278462
 Pickup-Day: sunday
 Pickup-Date: 2025/11/30
 Pickup-Time: 11\:30 AM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</si>
  <si>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#BB-25-7271</t>
  </si>
  <si>
    <t>11:30, 30-11-2025, AMSTERDAM-MOLEN, Pickup Order, Sunday, WAKE-UP</t>
  </si>
  <si>
    <t>#BB-25-7273</t>
  </si>
  <si>
    <t>Pickup-Location-Id: 278026
 Pickup-Day: sunday
 Pickup-Date: 2025/12/07
 Pickup-Time: 1\:40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</si>
  <si>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#BB-25-7276</t>
  </si>
  <si>
    <t>07-12-2025, 13:40, DENHAAG-PLUK, Pickup Order, Sunday, WAKE-UP</t>
  </si>
  <si>
    <t>#BB-25-7277</t>
  </si>
  <si>
    <t>#BB-25-7265</t>
  </si>
  <si>
    <t>#BB-25-7248</t>
  </si>
  <si>
    <t>Pickup-Location-Id: 278031
 Pickup-Day: saturday
 Pickup-Date: 2025/12/06
 Pickup-Time: 1\:30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</si>
  <si>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#BB-25-7279</t>
  </si>
  <si>
    <t>06-12-2025, 13:30, Pickup Order, ROTTERDAM-SCHIEVEEN, Saturday, WAKE-UP</t>
  </si>
  <si>
    <t>BREDA-KINDERBOERDERIJ-BOOM-MET-BORG-100-125</t>
  </si>
  <si>
    <t>Pickup-Location-Id: 278023
 Pickup-Day: saturday
 Pickup-Date: 2025/12/06
 Pickup-Time: 12\:00 PM
 Pickup-Location-Company: BREDA - Kinderboerderij Wolfslaar
 Pickup-Location-Address-Line-1: Wolfslaardreef 95
 Pickup-Location-City: Breda
 Pickup-Location-Postal-Code: 4834 SN
 Pickup-Location-Country: Netherlands
 Checkout-Method: pickup</t>
  </si>
  <si>
    <t>#BB-25-7281</t>
  </si>
  <si>
    <t>06-12-2025, 12:00, BREDA-WOLFSLAAR, Pickup Order, Saturday, WAKE-UP</t>
  </si>
  <si>
    <t>Breda Wolfslaar - BB met kluit (incl. €10 borg) - 100-125 cm</t>
  </si>
  <si>
    <t>#BB-25-7283</t>
  </si>
  <si>
    <t>#BB-25-7285</t>
  </si>
  <si>
    <t>#BB-25-7287</t>
  </si>
  <si>
    <t>#BB-25-7291</t>
  </si>
  <si>
    <t>#BB-25-7293</t>
  </si>
  <si>
    <t>#BB-25-7278</t>
  </si>
  <si>
    <t>DELFT-BUYTEN-BOOM-ZONDER-200-250</t>
  </si>
  <si>
    <t>#BB-25-7296</t>
  </si>
  <si>
    <t>Delft Buyten - BB zonder kluit (kopie) - 200-250 cm</t>
  </si>
  <si>
    <t>Pickup-Location-Id: 279658
 Pickup-Day: wednesday
 Pickup-Date: 2025/12/03
 Pickup-Time: 1\:30 PM
 Pickup-Location-Company: HAARLEM - Houtbaar
 Pickup-Location-Address-Line-1: Woudplein 2
 Pickup-Location-City: Haarlem
 Pickup-Location-Postal-Code: 2031 CZ
 Pickup-Location-Country: Netherlands
 Checkout-Method: pickup</t>
  </si>
  <si>
    <t>#BB-25-7299</t>
  </si>
  <si>
    <t>03-12-2025, 13:30, HAARLEM-HOUTBAAR, Pickup Order, WAKE-UP, Wednesday</t>
  </si>
  <si>
    <t>Pickup-Location-Id: 302976
 Pickup-Day: saturday
 Pickup-Date: 2025/12/06
 Pickup-Time: 1\:45 PM
 Pickup-Location-Company: EINDHOVEN - Wasven
 Pickup-Location-Address-Line-1: Celebeslaan 30
 Pickup-Location-City: Eindhoven
 Pickup-Location-Postal-Code: 5641 AG
 Pickup-Location-Country: Netherlands
 Checkout-Method: pickup</t>
  </si>
  <si>
    <t>#BB-25-7300</t>
  </si>
  <si>
    <t>06-12-2025, 13:45, EINDHOVEN-WASVEN, Pickup Order, Saturday, WAKE-UP</t>
  </si>
  <si>
    <t>#BB-25-7301</t>
  </si>
  <si>
    <t>Pickup-Location-Id: 278021
 Pickup-Day: saturday
 Pickup-Date: 2025/12/13
 Pickup-Time: 1\:30 PM
 Pickup-Location-Company: AMSTERDAM - Vondeltuin
 Pickup-Location-Address-Line-1: Vondelpark 7
 Pickup-Location-City: Amsterdam
 Pickup-Location-Postal-Code: 1075 VR
 Pickup-Location-Country: Netherlands
 Checkout-Method: pickup</t>
  </si>
  <si>
    <t>#BB-25-7280</t>
  </si>
  <si>
    <t>13-12-2025, 13:30, ADM, Pickup Order, Saturday, Vondeltuin, WAKE-UP</t>
  </si>
  <si>
    <t>AMSTERDAM-MOLEN-DE-OTTER-BOOM-ZONDER-175-200</t>
  </si>
  <si>
    <t>Pickup-Location-Id: 278462
 Pickup-Day: sunday
 Pickup-Date: 2025/11/30
 Pickup-Time: 10\:30 AM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</si>
  <si>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#BB-25-7306</t>
  </si>
  <si>
    <t>10:30, 30-11-2025, AMSTERDAM-MOLEN, Pickup Order, Sunday, WAKE-UP</t>
  </si>
  <si>
    <t>Amsterdam Molen de Otter - BB zonder kluit - 175-200 cm</t>
  </si>
  <si>
    <t>DEN-BOSCH-BWWB-BOOM-ZONDER-150-175</t>
  </si>
  <si>
    <t>#BB-25-7308</t>
  </si>
  <si>
    <t>Den Bosch Bewust Wonen &amp; Werken Boschveld - BB zonder kluit - 150-175 cm</t>
  </si>
  <si>
    <t>#BB-25-7309</t>
  </si>
  <si>
    <t>#BB-25-7310</t>
  </si>
  <si>
    <t>#BB-25-7246</t>
  </si>
  <si>
    <t>#BB-25-7312</t>
  </si>
  <si>
    <t>Pickup-Location-Id: 278462
 Pickup-Day: sunday
 Pickup-Date: 2025/11/30
 Pickup-Time: 11\:00 AM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</si>
  <si>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#BB-25-7313</t>
  </si>
  <si>
    <t>11:00, 30-11-2025, AMSTERDAM-MOLEN, Pickup Order, Sunday, WAKE-UP</t>
  </si>
  <si>
    <t>#BB-25-7314</t>
  </si>
  <si>
    <t>#BB-25-7316</t>
  </si>
  <si>
    <t>HILVERSUM-OME-JOOP-BOOM-ZONDER-175-200</t>
  </si>
  <si>
    <t>Pickup-Location-Id: 303727
 Pickup-Day: wednesday
 Pickup-Date: 2025/12/03
 Pickup-Time: 11\:00 AM
 Pickup-Location-Company: Hilversum - Ome Joop
 Pickup-Location-Address-Line-1: Kromme Rade 6
 Pickup-Location-City: Kortenhoef
 Pickup-Location-Postal-Code: 1241 LK
 Pickup-Location-Country: Netherlands
 Checkout-Method: pickup</t>
  </si>
  <si>
    <t>#BB-25-7317</t>
  </si>
  <si>
    <t>03-12-2025, 11:00, HILVERSUM-OMEJOOP, Pickup Order, WAKE-UP, Wednesday</t>
  </si>
  <si>
    <t>Kortenhoef Kwekerij Ome Joop - BB zonder kluit - 175-200 cm</t>
  </si>
  <si>
    <t>#BB-25-7318</t>
  </si>
  <si>
    <t>#BB-25-7321</t>
  </si>
  <si>
    <t>#BB-25-7322</t>
  </si>
  <si>
    <t>EDE-KANTINE-GEBOUW-ENKA-BOOM-MET-BORG-150-175</t>
  </si>
  <si>
    <t>Pickup-Location-Id: 278861
 Pickup-Day: sunday
 Pickup-Date: 2025/12/07
 Pickup-Time: 10\:15 AM
 Pickup-Location-Company: EDE - Kantine gebouw Enka
 Pickup-Location-Address-Line-1: Kantinegebouw 14
 Pickup-Location-City: Ede
 Pickup-Location-Postal-Code: 6717 XR
 Pickup-Location-Country: Netherlands
 Checkout-Method: pickup</t>
  </si>
  <si>
    <t>#BB-25-7323</t>
  </si>
  <si>
    <t>Ede De Kantine Enka - BB met kluit (incl. €10 borg) - 150-175 cm</t>
  </si>
  <si>
    <t>DEN-BOSCH-BWWB-BOOM-MET-BORG-150-175</t>
  </si>
  <si>
    <t>Pickup-Location-Id: 278030
 Pickup-Day: sunday
 Pickup-Date: 2025/12/07
 Pickup-Time: 12\:00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</si>
  <si>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#BB-25-7324</t>
  </si>
  <si>
    <t>07-12-2025, 12:00, DENBOSCH-BWWB, Pickup Order, Sunday, WAKE-UP</t>
  </si>
  <si>
    <t>Den Bosch Bewust Wonen &amp; Werken Boschveld - BB met kluit (incl. €10 borg) - 150-175 cm</t>
  </si>
  <si>
    <t>#BB-25-7311</t>
  </si>
  <si>
    <t>#BB-25-7326</t>
  </si>
  <si>
    <t>Pickup-Location-Id: 279658
 Pickup-Day: wednesday
 Pickup-Date: 2025/12/03
 Pickup-Time: 4\:50 PM
 Pickup-Location-Company: HAARLEM - Houtbaar
 Pickup-Location-Address-Line-1: Woudplein 2
 Pickup-Location-City: Haarlem
 Pickup-Location-Postal-Code: 2031 CZ
 Pickup-Location-Country: Netherlands
 Checkout-Method: pickup</t>
  </si>
  <si>
    <t>4\:50 PM</t>
  </si>
  <si>
    <t>#BB-25-7329</t>
  </si>
  <si>
    <t>03-12-2025, 16:50, HAARLEM-HOUTBAAR, Pickup Order, WAKE-UP, Wednesday</t>
  </si>
  <si>
    <t>#BB-25-7330</t>
  </si>
  <si>
    <t>#BB-25-7333</t>
  </si>
  <si>
    <t>HAARLEM-HOUTBAAR-BOOM-MET-BORG-150-175</t>
  </si>
  <si>
    <t>#BB-25-7334</t>
  </si>
  <si>
    <t>Haarlem Houtbaar - BB met kluit (incl. €10 borg) - 150-175</t>
  </si>
  <si>
    <t>#BB-25-7335</t>
  </si>
  <si>
    <t>#BB-25-7336</t>
  </si>
  <si>
    <t>#BB-25-7325</t>
  </si>
  <si>
    <t>#BB-25-7339</t>
  </si>
  <si>
    <t>HILVERSUM-OME-JOOP-BOOM-MET-BORG-150-175</t>
  </si>
  <si>
    <t>Pickup-Location-Id: 303727
 Pickup-Day: sunday
 Pickup-Date: 2025/12/07
 Pickup-Time: 11\:00 AM
 Pickup-Location-Company: Hilversum - Ome Joop
 Pickup-Location-Address-Line-1: Kromme Rade 6
 Pickup-Location-City: Kortenhoef
 Pickup-Location-Postal-Code: 1241 LK
 Pickup-Location-Country: Netherlands
 Checkout-Method: pickup</t>
  </si>
  <si>
    <t>#BB-25-7294</t>
  </si>
  <si>
    <t>07-12-2025, 11:00, HILVERSUM-OMEJOOP, Pickup Order, Sunday, WAKE-UP</t>
  </si>
  <si>
    <t>Kortenhoef Kwekerij Ome Joop - BB met kluit (incl. €10 borg) - 150-175 cm</t>
  </si>
  <si>
    <t>#BB-25-7340</t>
  </si>
  <si>
    <t>Pickup-Location-Id: 278031
 Pickup-Day: saturday
 Pickup-Date: 2025/12/06
 Pickup-Time: 12\:30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</si>
  <si>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#BB-25-7347</t>
  </si>
  <si>
    <t>06-12-2025, 12:30, Pickup Order, ROTTERDAM-SCHIEVEEN, Saturday, WAKE-UP</t>
  </si>
  <si>
    <t>#BB-25-7349</t>
  </si>
  <si>
    <t>#BB-25-7350</t>
  </si>
  <si>
    <t>06-12-2025, 13:40, BREDA-WOLFSLAAR, Pickup Order, Saturday, WAKE-UP</t>
  </si>
  <si>
    <t>#BB-25-7351</t>
  </si>
  <si>
    <t>#BB-25-7352</t>
  </si>
  <si>
    <t>Pickup-Location-Id: 278462
 Pickup-Day: sunday
 Pickup-Date: 2025/11/30
 Pickup-Time: 12\:15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</si>
  <si>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#BB-25-7354</t>
  </si>
  <si>
    <t>12:15, 30-11-2025, AMSTERDAM-MOLEN, Pickup Order, Sunday, WAKE-UP</t>
  </si>
  <si>
    <t>#BB-25-7355</t>
  </si>
  <si>
    <t>AMSTERDAM-LOADS-BOOM-MET-BORG-175-200</t>
  </si>
  <si>
    <t>#BB-25-7356</t>
  </si>
  <si>
    <t>Amsterdam Loads - BB met kluit (incl. €10 borg) - 175-200 cm</t>
  </si>
  <si>
    <t>#BB-25-7357</t>
  </si>
  <si>
    <t>DEN-BOSCH-BWWB-BOOM-ZONDER-200-250</t>
  </si>
  <si>
    <t>Pickup-Location-Id: 278030
 Pickup-Day: saturday
 Pickup-Date: 2025/12/06
 Pickup-Time: 1\:00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</si>
  <si>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#BB-25-7358</t>
  </si>
  <si>
    <t>06-12-2025, 13:00, DENBOSCH-BWWB, Pickup Order, Saturday, WAKE-UP</t>
  </si>
  <si>
    <t>Den Bosch Bewust Wonen &amp; Werken Boschveld - BB zonder kluit - 200-250 cm</t>
  </si>
  <si>
    <t>#BB-25-7359</t>
  </si>
  <si>
    <t>Pickup-Location-Id: 302654
 Pickup-Day: saturday
 Pickup-Date: 2025/12/06
 Pickup-Time: 1\:30 PM
 Pickup-Location-Company: UTRECHT - Steck
 Pickup-Location-Address-Line-1: Gageldijk 3
 Pickup-Location-City: Utrecht
 Pickup-Location-Postal-Code: 3566 ME
 Pickup-Location-Country: Netherlands
 Checkout-Method: pickup</t>
  </si>
  <si>
    <t>#BB-25-7360</t>
  </si>
  <si>
    <t>06-12-2025, 13:30, Pickup Order, Saturday, UTRECHT-STECK, WAKE-UP</t>
  </si>
  <si>
    <t>#BB-25-7361</t>
  </si>
  <si>
    <t>07-12-2025, 11:45, EDE_ENKA, Pickup Order, Sunday, WAKE-UP</t>
  </si>
  <si>
    <t>#BB-25-7362</t>
  </si>
  <si>
    <t>Pickup-Location-Id: 278462
 Pickup-Day: sunday
 Pickup-Date: 2025/11/30
 Pickup-Time: 12\:00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</si>
  <si>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#BB-25-7364</t>
  </si>
  <si>
    <t>12:00, 30-11-2025, AMSTERDAM-MOLEN, Pickup Order, Sunday, WAKE-UP</t>
  </si>
  <si>
    <t>#BB-25-7365</t>
  </si>
  <si>
    <t>Pickup-Location-Id: 302976
 Pickup-Day: saturday
 Pickup-Date: 2025/12/06
 Pickup-Time: 1\:15 PM
 Pickup-Location-Company: EINDHOVEN - Wasven
 Pickup-Location-Address-Line-1: Celebeslaan 30
 Pickup-Location-City: Eindhoven
 Pickup-Location-Postal-Code: 5641 AG
 Pickup-Location-Country: Netherlands
 Checkout-Method: pickup</t>
  </si>
  <si>
    <t>#BB-25-7305</t>
  </si>
  <si>
    <t>06-12-2025, 13:15, EINDHOVEN-WASVEN, Pickup Order, Saturday, WAKE-UP</t>
  </si>
  <si>
    <t>EINDHOVEN-WASVEN-BOOM-ZONDER-175-200</t>
  </si>
  <si>
    <t>Eindhoven Wasven - BB zonder kluit - 175-200 cm</t>
  </si>
  <si>
    <t>eindhoven-wasven-bb-zonder-kluit</t>
  </si>
  <si>
    <t>Eindhoven Wasven - BB zonder kluit</t>
  </si>
  <si>
    <t>LEIDEN-PLNT-BOOM-ZONDER-150-175</t>
  </si>
  <si>
    <t>#BB-25-7346</t>
  </si>
  <si>
    <t>Leiden the field - BB zonder kluit - 150-175 cm</t>
  </si>
  <si>
    <t>ld-plnt-boom-zonder</t>
  </si>
  <si>
    <t>Leiden the field - BB zonder kluit</t>
  </si>
  <si>
    <t>ROTTERDAM-HET-WITTE-PAARD-BOOM-ZONDER-175-200</t>
  </si>
  <si>
    <t>#BB-25-7338</t>
  </si>
  <si>
    <t>Rotterdam Het Witte Paard - BB zonder kluit - 175-200 cm</t>
  </si>
  <si>
    <t>rtd-het-witte-paard-boom-zonder</t>
  </si>
  <si>
    <t>Rotterdam Het Witte Paard - BB zonder kluit</t>
  </si>
  <si>
    <t>#BB-25-7366</t>
  </si>
  <si>
    <t>Pickup-Location-Id: 279658
 Pickup-Day: saturday
 Pickup-Date: 2025/12/06
 Pickup-Time: 12\:00 PM
 Pickup-Location-Company: HAARLEM - Houtbaar
 Pickup-Location-Address-Line-1: Woudplein 2
 Pickup-Location-City: Haarlem
 Pickup-Location-Postal-Code: 2031 CZ
 Pickup-Location-Country: Netherlands
 Checkout-Method: pickup</t>
  </si>
  <si>
    <t>#BB-25-7367</t>
  </si>
  <si>
    <t>06-12-2025, 12:00, HAARLEM-HOUTBAAR, Pickup Order, Saturday, WAKE-UP</t>
  </si>
  <si>
    <t>Pickup-Location-Id: 302654
 Pickup-Day: tuesday
 Pickup-Date: 2025/12/02
 Pickup-Location-Company: UTRECHT - Steck
 Pickup-Location-Address-Line-1: Gageldijk 3
 Pickup-Location-City: Utrecht
 Pickup-Location-Postal-Code: 3566 ME
 Pickup-Location-Country: Netherlands
 Checkout-Method: pickup
 Pickup-Time: 12\:00 PM</t>
  </si>
  <si>
    <t>tuesday</t>
  </si>
  <si>
    <t>#BB-25-7368</t>
  </si>
  <si>
    <t>02-12-2025, 12:00, Pickup Order, Tuesday, UTRECHT-STECK, WAKE-UP</t>
  </si>
  <si>
    <t>#BB-25-7369</t>
  </si>
  <si>
    <t>#BB-25-7372</t>
  </si>
  <si>
    <t>#BB-25-7378</t>
  </si>
  <si>
    <t>#BB-25-7379</t>
  </si>
  <si>
    <t>#BB-25-7377</t>
  </si>
  <si>
    <t>#BB-25-7381</t>
  </si>
  <si>
    <t>#BB-25-7382</t>
  </si>
  <si>
    <t>Pickup-Location-Id: 302654
 Pickup-Day: saturday
 Pickup-Date: 2025/12/06
 Pickup-Time: 11\:30 AM
 Pickup-Location-Company: UTRECHT - Steck
 Pickup-Location-Address-Line-1: Gageldijk 3
 Pickup-Location-City: Utrecht
 Pickup-Location-Postal-Code: 3566 ME
 Pickup-Location-Country: Netherlands
 Checkout-Method: pickup</t>
  </si>
  <si>
    <t>#BB-25-7386</t>
  </si>
  <si>
    <t>06-12-2025, 11:30, Pickup Order, Saturday, UTRECHT-STECK, WAKE-UP</t>
  </si>
  <si>
    <t>GOUDA-STADSKANT-BOOM-ZONDER-200-250</t>
  </si>
  <si>
    <t>Pickup-Location-Id: 278027
 Pickup-Day: saturday
 Pickup-Date: 2025/12/06
 Pickup-Time: 4\:15 PM
 Pickup-Location-Company: GOUDA - Stadskant
 Pickup-Location-Address-Line-1: Agnietenstraat 19
 Pickup-Location-City: Gouda
 Pickup-Location-Postal-Code: 2801 GH
 Pickup-Location-Country: Netherlands
 Checkout-Method: pickup</t>
  </si>
  <si>
    <t>4\:15 PM</t>
  </si>
  <si>
    <t>#BB-25-7387</t>
  </si>
  <si>
    <t>06-12-2025, 16:15, GOUDA, Pickup Order, Saturday, WAKE-UP</t>
  </si>
  <si>
    <t>Gouda Stadskant - BB zonder kluit - 200-250 cm</t>
  </si>
  <si>
    <t>#BB-25-7389</t>
  </si>
  <si>
    <t>#BB-25-7391</t>
  </si>
  <si>
    <t>Pickup-Location-Id: 278553
 Pickup-Day: sunday
 Pickup-Date: 2025/11/30
 Pickup-Time: 2\:00 PM
 Pickup-Location-Company: LEIDEN - The Fields
 Pickup-Location-Address-Line-1: Stationsplein 25
 Pickup-Location-City: Leiden
 Pickup-Location-Postal-Code: 2312 AJ
 Pickup-Location-Country: Netherlands
 Checkout-Method: pickup</t>
  </si>
  <si>
    <t>#BB-25-7392</t>
  </si>
  <si>
    <t>14:00, 30-11-2025, LEIDEN-THEFIELD, Pickup Order, Sunday, WAKE-UP</t>
  </si>
  <si>
    <t>#BB-25-7393</t>
  </si>
  <si>
    <t>Pickup-Location-Id: 302654
 Pickup-Day: sunday
 Pickup-Date: 2025/12/07
 Pickup-Time: 11\:00 AM
 Pickup-Location-Company: UTRECHT - Steck
 Pickup-Location-Address-Line-1: Gageldijk 3
 Pickup-Location-City: Utrecht
 Pickup-Location-Postal-Code: 3566 ME
 Pickup-Location-Country: Netherlands
 Checkout-Method: pickup</t>
  </si>
  <si>
    <t>#BB-25-7394</t>
  </si>
  <si>
    <t>07-12-2025, 11:00, Pickup Order, Sunday, UTRECHT-STECK, WAKE-UP</t>
  </si>
  <si>
    <t>#BB-25-7376</t>
  </si>
  <si>
    <t>Pickup-Location-Id: 302654
 Pickup-Day: wednesday
 Pickup-Date: 2025/12/03
 Pickup-Time: 2\:00 PM
 Pickup-Location-Company: UTRECHT - Steck
 Pickup-Location-Address-Line-1: Gageldijk 3
 Pickup-Location-City: Utrecht
 Pickup-Location-Postal-Code: 3566 ME
 Pickup-Location-Country: Netherlands
 Checkout-Method: pickup</t>
  </si>
  <si>
    <t>#BB-25-7396</t>
  </si>
  <si>
    <t>03-12-2025, 14:00, Pickup Order, UTRECHT-STECK, WAKE-UP, Wednesday</t>
  </si>
  <si>
    <t>AMSTERDAM-MOLEN-DE-OTTER-BOOM-ZONDER-200-250</t>
  </si>
  <si>
    <t>#BB-25-7397</t>
  </si>
  <si>
    <t>Amsterdam Molen de Otter - BB zonder kluit - 200-250 cm</t>
  </si>
  <si>
    <t>#BB-25-7398</t>
  </si>
  <si>
    <t>#BB-25-7399</t>
  </si>
  <si>
    <t>#BB-25-7401</t>
  </si>
  <si>
    <t>Pickup-Location-Id: 278021
 Pickup-Day: saturday
 Pickup-Date: 2025/12/13
 Pickup-Time: 12\:00 PM
 Pickup-Location-Company: AMSTERDAM - Vondeltuin
 Pickup-Location-Address-Line-1: Vondelpark 7
 Pickup-Location-City: Amsterdam
 Pickup-Location-Postal-Code: 1075 VR
 Pickup-Location-Country: Netherlands
 Checkout-Method: pickup</t>
  </si>
  <si>
    <t>#BB-25-7402</t>
  </si>
  <si>
    <t>12:00, 13-12-2025, ADM, Pickup Order, Saturday, Vondeltuin, WAKE-UP</t>
  </si>
  <si>
    <t>#BB-25-7403</t>
  </si>
  <si>
    <t>#BB-25-7404</t>
  </si>
  <si>
    <t>#BB-25-7406</t>
  </si>
  <si>
    <t>Pickup-Location-Id: 278027
 Pickup-Day: saturday
 Pickup-Date: 2025/12/06
 Pickup-Time: 3\:15 PM
 Pickup-Location-Company: GOUDA - Stadskant
 Pickup-Location-Address-Line-1: Agnietenstraat 19
 Pickup-Location-City: Gouda
 Pickup-Location-Postal-Code: 2801 GH
 Pickup-Location-Country: Netherlands
 Checkout-Method: pickup</t>
  </si>
  <si>
    <t>3\:15 PM</t>
  </si>
  <si>
    <t>#BB-25-7380</t>
  </si>
  <si>
    <t>06-12-2025, 15:15, GOUDA, Pickup Order, Saturday, WAKE-UP</t>
  </si>
  <si>
    <t>Pickup-Location-Id: 303727
 Pickup-Day: saturday
 Pickup-Date: 2025/12/06
 Pickup-Time: 12\:20 PM
 Pickup-Location-Company: Hilversum - Ome Joop
 Pickup-Location-Address-Line-1: Kromme Rade 6
 Pickup-Location-City: Kortenhoef
 Pickup-Location-Postal-Code: 1241 LK
 Pickup-Location-Country: Netherlands
 Checkout-Method: pickup</t>
  </si>
  <si>
    <t>#BB-25-7408</t>
  </si>
  <si>
    <t>06-12-2025, 12:20, HILVERSUM-OMEJOOP, Pickup Order, Saturday, WAKE-UP</t>
  </si>
  <si>
    <t>Pickup-Location-Id: 303727
 Pickup-Day: friday
 Pickup-Date: 2025/12/05
 Pickup-Time: 2\:00 PM
 Pickup-Location-Company: Hilversum - Ome Joop
 Pickup-Location-Address-Line-1: Kromme Rade 6
 Pickup-Location-City: Kortenhoef
 Pickup-Location-Postal-Code: 1241 LK
 Pickup-Location-Country: Netherlands
 Checkout-Method: pickup</t>
  </si>
  <si>
    <t>#BB-25-7409</t>
  </si>
  <si>
    <t>05-12-2025, 14:00, Friday, HILVERSUM-OMEJOOP, Pickup Order, WAKE-UP</t>
  </si>
  <si>
    <t>Pickup-Location-Id: 302654
 Pickup-Day: sunday
 Pickup-Date: 2025/11/30
 Pickup-Time: 1\:00 PM
 Pickup-Location-Company: UTRECHT - Steck
 Pickup-Location-Address-Line-1: Gageldijk 3
 Pickup-Location-City: Utrecht
 Pickup-Location-Postal-Code: 3566 ME
 Pickup-Location-Country: Netherlands
 Checkout-Method: pickup</t>
  </si>
  <si>
    <t>#BB-25-7411</t>
  </si>
  <si>
    <t>13:00, 30-11-2025, Pickup Order, Sunday, UTRECHT-STECK, WAKE-UP</t>
  </si>
  <si>
    <t>#BB-25-7412</t>
  </si>
  <si>
    <t>#BB-25-7413</t>
  </si>
  <si>
    <t>Pickup-Location-Id: 278031
 Pickup-Day: sunday
 Pickup-Date: 2025/12/07
 Pickup-Time: 1\:00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</si>
  <si>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#BB-25-7414</t>
  </si>
  <si>
    <t>07-12-2025, 13:00, Pickup Order, ROTTERDAM-SCHIEVEEN, Sunday, WAKE-UP</t>
  </si>
  <si>
    <t>#BB-25-7415</t>
  </si>
  <si>
    <t>#BB-25-7416</t>
  </si>
  <si>
    <t>Pickup-Location-Id: 302654
 Pickup-Day: wednesday
 Pickup-Date: 2025/12/03
 Pickup-Time: 10\:00 AM
 Pickup-Location-Company: UTRECHT - Steck
 Pickup-Location-Address-Line-1: Gageldijk 3
 Pickup-Location-City: Utrecht
 Pickup-Location-Postal-Code: 3566 ME
 Pickup-Location-Country: Netherlands
 Checkout-Method: pickup</t>
  </si>
  <si>
    <t>#BB-25-7417</t>
  </si>
  <si>
    <t>03-12-2025, 10:00, Pickup Order, UTRECHT-STECK, WAKE-UP, Wednesday</t>
  </si>
  <si>
    <t>#BB-25-7374</t>
  </si>
  <si>
    <t>Pickup-Location-Id: 302654
 Pickup-Day: saturday
 Pickup-Date: 2025/12/06
 Pickup-Time: 10\:00 AM
 Pickup-Location-Company: UTRECHT - Steck
 Pickup-Location-Address-Line-1: Gageldijk 3
 Pickup-Location-City: Utrecht
 Pickup-Location-Postal-Code: 3566 ME
 Pickup-Location-Country: Netherlands
 Checkout-Method: pickup</t>
  </si>
  <si>
    <t>#BB-25-7420</t>
  </si>
  <si>
    <t>06-12-2025, 10:00, Pickup Order, Saturday, UTRECHT-STECK, WAKE-UP</t>
  </si>
  <si>
    <t>#BB-25-7422</t>
  </si>
  <si>
    <t>Pickup-Location-Id: 278462
 Pickup-Day: sunday
 Pickup-Date: 2025/11/30
 Pickup-Time: 10\:00 AM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</si>
  <si>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#BB-25-7424</t>
  </si>
  <si>
    <t>10:00, 30-11-2025, AMSTERDAM-MOLEN, Pickup Order, Sunday, WAKE-UP</t>
  </si>
  <si>
    <t>HAARLEM-HOUTBAAR-BOOM-ZONDER-200-250</t>
  </si>
  <si>
    <t>Pickup-Location-Id: 279658
 Pickup-Day: wednesday
 Pickup-Date: 2025/12/03
 Pickup-Time: 4\:30 PM
 Pickup-Location-Company: HAARLEM - Houtbaar
 Pickup-Location-Address-Line-1: Woudplein 2
 Pickup-Location-City: Haarlem
 Pickup-Location-Postal-Code: 2031 CZ
 Pickup-Location-Country: Netherlands
 Checkout-Method: pickup</t>
  </si>
  <si>
    <t>#BB-25-7425</t>
  </si>
  <si>
    <t>03-12-2025, 16:30, HAARLEM-HOUTBAAR, Pickup Order, WAKE-UP, Wednesday</t>
  </si>
  <si>
    <t>Haarlem Houtbaar - BB zonder kluit - 200-250</t>
  </si>
  <si>
    <t>Pickup-Location-Id: 278024
 Pickup-Day: sunday
 Pickup-Date: 2025/12/07
 Pickup-Time: 10\:30 AM
 Pickup-Location-Company: AMSTERDAM - Kop van Oost
 Pickup-Location-Address-Line-1: Zeeburgerpad 1
 Pickup-Location-City: Amsterdam
 Pickup-Location-Postal-Code: 1018 AH
 Pickup-Location-Country: Netherlands
 Checkout-Method: pickup</t>
  </si>
  <si>
    <t>#BB-25-7426</t>
  </si>
  <si>
    <t>07-12-2025, 10:30, AMSTERDAM-KOP, Pickup Order, Sunday, WAKE-UP</t>
  </si>
  <si>
    <t>Pickup-Location-Id: 303545
 Pickup-Day: saturday
 Pickup-Date: 2025/12/06
 Pickup-Time: 11\:35 AM
 Pickup-Location-Company: DELFT - buytendelft
 Pickup-Location-Address-Line-1: Korftlaan 3a
 Pickup-Location-City: Delft
 Pickup-Location-Postal-Code: 2616 LJ
 Pickup-Location-Country: Netherlands
 Checkout-Method: pickup</t>
  </si>
  <si>
    <t>#BB-25-7427</t>
  </si>
  <si>
    <t>06-12-2025, 11:35, DELFT-BUYTEN, Pickup Order, Saturday, WAKE-UP</t>
  </si>
  <si>
    <t>AMSTERDAM-HOUSE-OF-WATT-BOOM-MET-BORG-150-175</t>
  </si>
  <si>
    <t>#BB-25-7428</t>
  </si>
  <si>
    <t>Amsterdam Molen de Otter - BB met kluit (incl. €10 borg) - 150-175 cm</t>
  </si>
  <si>
    <t>Pickup-Location-Id: 302654
 Pickup-Day: sunday
 Pickup-Date: 2025/11/30
 Pickup-Time: 12\:00 PM
 Pickup-Location-Company: UTRECHT - Steck
 Pickup-Location-Address-Line-1: Gageldijk 3
 Pickup-Location-City: Utrecht
 Pickup-Location-Postal-Code: 3566 ME
 Pickup-Location-Country: Netherlands
 Checkout-Method: pickup</t>
  </si>
  <si>
    <t>#BB-25-7430</t>
  </si>
  <si>
    <t>12:00, 30-11-2025, Pickup Order, Sunday, UTRECHT-STECK, WAKE-UP</t>
  </si>
  <si>
    <t>ROTTERDAM-HET-WITTE-PAARD-BOOM-MET-BORG-175-200</t>
  </si>
  <si>
    <t>#BB-25-7431</t>
  </si>
  <si>
    <t>Rotterdam Het Witte Paard - BB met kluit (incl. €10 borg) - 175-200 cm</t>
  </si>
  <si>
    <t>#BB-25-7432</t>
  </si>
  <si>
    <t>#BB-25-7407</t>
  </si>
  <si>
    <t>#BB-25-7433</t>
  </si>
  <si>
    <t>Pickup-Location-Id: 278021
 Pickup-Day: saturday
 Pickup-Date: 2025/12/06
 Pickup-Time: 1\:30 PM
 Pickup-Location-Company: AMSTERDAM - Vondeltuin
 Pickup-Location-Address-Line-1: Vondelpark 7
 Pickup-Location-City: Amsterdam
 Pickup-Location-Postal-Code: 1075 VR
 Pickup-Location-Country: Netherlands
 Checkout-Method: pickup</t>
  </si>
  <si>
    <t>#BB-25-7436</t>
  </si>
  <si>
    <t>06-12-2025, 13:30, ADM, Pickup Order, Saturday, Vondeltuin, WAKE-UP</t>
  </si>
  <si>
    <t>Pickup-Location-Id: 278026
 Pickup-Day: thursday
 Pickup-Date: 2025/12/11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</si>
  <si>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#BB-25-7439</t>
  </si>
  <si>
    <t>11-12-2025, 11:00, DENHAAG-PLUK, Pickup Order, Thursday, WAKE-UP</t>
  </si>
  <si>
    <t>Pickup-Location-Id: 302654
 Pickup-Day: friday
 Pickup-Date: 2025/12/05
 Pickup-Time: 2\:30 PM
 Pickup-Location-Company: UTRECHT - Steck
 Pickup-Location-Address-Line-1: Gageldijk 3
 Pickup-Location-City: Utrecht
 Pickup-Location-Postal-Code: 3566 ME
 Pickup-Location-Country: Netherlands
 Checkout-Method: pickup</t>
  </si>
  <si>
    <t>#BB-25-7440</t>
  </si>
  <si>
    <t>05-12-2025, 14:30, Friday, Pickup Order, UTRECHT-STECK, WAKE-UP</t>
  </si>
  <si>
    <t>#BB-25-7441</t>
  </si>
  <si>
    <t>#BB-25-7442</t>
  </si>
  <si>
    <t>#BB-25-7443</t>
  </si>
  <si>
    <t>#BB-25-7445</t>
  </si>
  <si>
    <t>07-12-2025, 14:00, AMSTERDAM-KOP, Pickup Order, Sunday, WAKE-UP</t>
  </si>
  <si>
    <t>Pickup-Location-Id: 302654
 Pickup-Day: saturday
 Pickup-Date: 2025/12/06
 Pickup-Time: 3\:00 PM
 Pickup-Location-Company: UTRECHT - Steck
 Pickup-Location-Address-Line-1: Gageldijk 3
 Pickup-Location-City: Utrecht
 Pickup-Location-Postal-Code: 3566 ME
 Pickup-Location-Country: Netherlands
 Checkout-Method: pickup</t>
  </si>
  <si>
    <t>#BB-25-7419</t>
  </si>
  <si>
    <t>06-12-2025, 15:00, Pickup Order, Saturday, UTRECHT-STECK, WAKE-UP</t>
  </si>
  <si>
    <t>Pickup-Location-Id: 302654
 Pickup-Day: saturday
 Pickup-Date: 2025/12/06
 Pickup-Time: 5\:00 PM
 Pickup-Location-Company: UTRECHT - Steck
 Pickup-Location-Address-Line-1: Gageldijk 3
 Pickup-Location-City: Utrecht
 Pickup-Location-Postal-Code: 3566 ME
 Pickup-Location-Country: Netherlands
 Checkout-Method: pickup</t>
  </si>
  <si>
    <t>5\:00 PM</t>
  </si>
  <si>
    <t>#BB-25-7448</t>
  </si>
  <si>
    <t>06-12-2025, 17:00, Pickup Order, Saturday, UTRECHT-STECK, WAKE-UP</t>
  </si>
  <si>
    <t>#BB-25-7395</t>
  </si>
  <si>
    <t>Pickup-Location-Id: 302654
 Pickup-Day: wednesday
 Pickup-Date: 2025/12/03
 Pickup-Time: 1\:30 PM
 Pickup-Location-Company: UTRECHT - Steck
 Pickup-Location-Address-Line-1: Gageldijk 3
 Pickup-Location-City: Utrecht
 Pickup-Location-Postal-Code: 3566 ME
 Pickup-Location-Country: Netherlands
 Checkout-Method: pickup</t>
  </si>
  <si>
    <t>#BB-25-7452</t>
  </si>
  <si>
    <t>03-12-2025, 13:30, Pickup Order, UTRECHT-STECK, WAKE-UP, Wednesday</t>
  </si>
  <si>
    <t>#BB-25-7453</t>
  </si>
  <si>
    <t>Pickup-Location-Id: 302654
 Pickup-Day: sunday
 Pickup-Date: 2025/12/07
 Pickup-Time: 10\:00 AM
 Pickup-Location-Company: UTRECHT - Steck
 Pickup-Location-Address-Line-1: Gageldijk 3
 Pickup-Location-City: Utrecht
 Pickup-Location-Postal-Code: 3566 ME
 Pickup-Location-Country: Netherlands
 Checkout-Method: pickup</t>
  </si>
  <si>
    <t>#BB-25-7454</t>
  </si>
  <si>
    <t>07-12-2025, 10:00, Pickup Order, Sunday, UTRECHT-STECK, WAKE-UP</t>
  </si>
  <si>
    <t>#BB-25-7455</t>
  </si>
  <si>
    <t>#BB-25-7456</t>
  </si>
  <si>
    <t>Pickup-Location-Id: 303545
 Pickup-Day: sunday
 Pickup-Date: 2025/12/14
 Pickup-Time: 11\:15 AM
 Pickup-Location-Company: DELFT - buytendelft
 Pickup-Location-Address-Line-1: Korftlaan 3a
 Pickup-Location-City: Delft
 Pickup-Location-Postal-Code: 2616 LJ
 Pickup-Location-Country: Netherlands
 Checkout-Method: pickup</t>
  </si>
  <si>
    <t>#BB-25-7457</t>
  </si>
  <si>
    <t>11:15, 14-12-2025, DELFT-BUYTEN, Pickup Order, Sunday, WAKE-UP</t>
  </si>
  <si>
    <t>Pickup-Location-Id: 302654
 Pickup-Day: sunday
 Pickup-Date: 2025/12/07
 Pickup-Time: 10\:30 AM
 Pickup-Location-Company: UTRECHT - Steck
 Pickup-Location-Address-Line-1: Gageldijk 3
 Pickup-Location-City: Utrecht
 Pickup-Location-Postal-Code: 3566 ME
 Pickup-Location-Country: Netherlands
 Checkout-Method: pickup</t>
  </si>
  <si>
    <t>#BB-25-7458</t>
  </si>
  <si>
    <t>07-12-2025, 10:30, Pickup Order, Sunday, UTRECHT-STECK, WAKE-UP</t>
  </si>
  <si>
    <t>#BB-25-7459</t>
  </si>
  <si>
    <t>#BB-25-7460</t>
  </si>
  <si>
    <t>#BB-25-7434</t>
  </si>
  <si>
    <t>#BB-25-7462</t>
  </si>
  <si>
    <t>HILVERSUM-OME-JOOP-BOOM-MET-BORG-175-200</t>
  </si>
  <si>
    <t>Pickup-Location-Id: 303727
 Pickup-Day: friday
 Pickup-Date: 2025/12/05
 Pickup-Time: 4\:00 PM
 Pickup-Location-Company: Hilversum - Ome Joop
 Pickup-Location-Address-Line-1: Kromme Rade 6
 Pickup-Location-City: Kortenhoef
 Pickup-Location-Postal-Code: 1241 LK
 Pickup-Location-Country: Netherlands
 Checkout-Method: pickup</t>
  </si>
  <si>
    <t>#BB-25-7463</t>
  </si>
  <si>
    <t>05-12-2025, 16:00, Friday, HILVERSUM-OMEJOOP, Pickup Order, WAKE-UP</t>
  </si>
  <si>
    <t>Kortenhoef Kwekerij Ome Joop - BB met kluit (incl. €10 borg) - 175-200 cm</t>
  </si>
  <si>
    <t>Pickup-Location-Id: 302654
 Pickup-Day: sunday
 Pickup-Date: 2025/12/07
 Pickup-Time: 2\:00 PM
 Pickup-Location-Company: UTRECHT - Steck
 Pickup-Location-Address-Line-1: Gageldijk 3
 Pickup-Location-City: Utrecht
 Pickup-Location-Postal-Code: 3566 ME
 Pickup-Location-Country: Netherlands
 Checkout-Method: pickup</t>
  </si>
  <si>
    <t>#BB-25-7464</t>
  </si>
  <si>
    <t>07-12-2025, 14:00, Pickup Order, Sunday, UTRECHT-STECK, WAKE-UP</t>
  </si>
  <si>
    <t>#BB-25-7466</t>
  </si>
  <si>
    <t>#BB-25-7467</t>
  </si>
  <si>
    <t>Pickup-Location-Id: 303727
 Pickup-Day: saturday
 Pickup-Date: 2025/12/06
 Pickup-Time: 3\:00 PM
 Pickup-Location-Company: Hilversum - Ome Joop
 Pickup-Location-Address-Line-1: Kromme Rade 6
 Pickup-Location-City: Kortenhoef
 Pickup-Location-Postal-Code: 1241 LK
 Pickup-Location-Country: Netherlands
 Checkout-Method: pickup</t>
  </si>
  <si>
    <t>#BB-25-7468</t>
  </si>
  <si>
    <t>06-12-2025, 15:00, HILVERSUM-OMEJOOP, Pickup Order, Saturday, WAKE-UP</t>
  </si>
  <si>
    <t>Pickup-Location-Id: 303727
 Pickup-Day: monday
 Pickup-Date: 2025/12/01
 Pickup-Time: 4\:00 PM
 Pickup-Location-Company: Hilversum - Ome Joop
 Pickup-Location-Address-Line-1: Kromme Rade 6
 Pickup-Location-City: Kortenhoef
 Pickup-Location-Postal-Code: 1241 LK
 Pickup-Location-Country: Netherlands
 Checkout-Method: pickup</t>
  </si>
  <si>
    <t>#BB-25-7469</t>
  </si>
  <si>
    <t>01-12-2025, 16:00, HILVERSUM-OMEJOOP, Monday, Pickup Order, WAKE-UP</t>
  </si>
  <si>
    <t>#BB-25-7471</t>
  </si>
  <si>
    <t>#BB-25-7472</t>
  </si>
  <si>
    <t>Pickup-Location-Id: 278026
 Pickup-Day: sunday
 Pickup-Date: 2025/12/07
 Pickup-Time: 11\:20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</si>
  <si>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11\:20 AM</t>
  </si>
  <si>
    <t>#BB-25-7473</t>
  </si>
  <si>
    <t>07-12-2025, 11:20, DENHAAG-PLUK, Pickup Order, Sunday, WAKE-UP</t>
  </si>
  <si>
    <t>#BB-25-7450</t>
  </si>
  <si>
    <t>EINDHOVEN-KLOKGEBOUW-BOOM-ZONDER-250-300</t>
  </si>
  <si>
    <t>#BB-25-7475</t>
  </si>
  <si>
    <t>Eindhoven Klokgebouw - BB zonder kluit - 250-300 cm</t>
  </si>
  <si>
    <t>SEM-EINDHOVEN</t>
  </si>
  <si>
    <t>#BB-25-7476</t>
  </si>
  <si>
    <t>Pickup-Location-Id: 303727
 Pickup-Day: sunday
 Pickup-Date: 2025/12/07
 Pickup-Time: 12\:00 PM
 Pickup-Location-Company: Hilversum - Ome Joop
 Pickup-Location-Address-Line-1: Kromme Rade 6
 Pickup-Location-City: Kortenhoef
 Pickup-Location-Postal-Code: 1241 LK
 Pickup-Location-Country: Netherlands
 Checkout-Method: pickup</t>
  </si>
  <si>
    <t>#BB-25-7478</t>
  </si>
  <si>
    <t>07-12-2025, 12:00, HILVERSUM-OMEJOOP, Pickup Order, Sunday, WAKE-UP</t>
  </si>
  <si>
    <t>#BB-25-7479</t>
  </si>
  <si>
    <t>#BB-25-7482</t>
  </si>
  <si>
    <t>#BB-25-7484</t>
  </si>
  <si>
    <t>Pickup-Location-Id: 278023
 Pickup-Day: sunday
 Pickup-Date: 2025/12/07
 Pickup-Time: 1\:40 PM
 Pickup-Location-Company: BREDA - Kinderboerderij Wolfslaar
 Pickup-Location-Address-Line-1: Wolfslaardreef 95
 Pickup-Location-City: Breda
 Pickup-Location-Postal-Code: 4834 SN
 Pickup-Location-Country: Netherlands
 Checkout-Method: pickup</t>
  </si>
  <si>
    <t>#BB-25-7485</t>
  </si>
  <si>
    <t>07-12-2025, 13:40, BREDA-WOLFSLAAR, Pickup Order, Sunday, WAKE-UP</t>
  </si>
  <si>
    <t>#BB-25-7474</t>
  </si>
  <si>
    <t>#BB-25-7461</t>
  </si>
  <si>
    <t>#BB-25-7490</t>
  </si>
  <si>
    <t>#BB-25-7486</t>
  </si>
  <si>
    <t>DEN-HAAG-GROTE-MARKT-BOOM-MET-BORG-125-150</t>
  </si>
  <si>
    <t>Pickup-Location-Id: 278034
 Pickup-Day: saturday
 Pickup-Date: 2025/12/06
 Pickup-Time: 10\:45 AM
 Pickup-Location-Company: DEN HAAG - Grote Markt Plein
 Pickup-Location-Address-Line-1: Grote Markt
 Pickup-Location-City: Den Haag
 Pickup-Location-Postal-Code: 2511 BG
 Pickup-Location-Country: Netherlands
 Checkout-Method: pickup</t>
  </si>
  <si>
    <t>DEN HAAG - Grote Markt Plein</t>
  </si>
  <si>
    <t>#BB-25-7447</t>
  </si>
  <si>
    <t>06-12-2025, 10:45, DEN HAAG, Pickup Order, Saturday, WAKE-UP</t>
  </si>
  <si>
    <t>Den Haag Grote Markt - BB met kluit (incl. €10 borg) - 125-150 cm</t>
  </si>
  <si>
    <t>dh-grote-markt-boom-met-borg</t>
  </si>
  <si>
    <t>Den Haag Grote Markt - BB met kluit (incl. €10 borg)</t>
  </si>
  <si>
    <t>DEN-HAAG-GROTE-MARKT-BOOM-MET-BORG-100-125</t>
  </si>
  <si>
    <t>#BB-25-7489</t>
  </si>
  <si>
    <t>Den Haag Grote Markt - BB met kluit (incl. €10 borg) - 100-125 cm</t>
  </si>
  <si>
    <t>#BB-25-7492</t>
  </si>
  <si>
    <t>#BB-25-7498</t>
  </si>
  <si>
    <t>#BB-25-7499</t>
  </si>
  <si>
    <t>#BB-25-7500</t>
  </si>
  <si>
    <t>Pickup-Location-Id: 302654
 Pickup-Day: saturday
 Pickup-Date: 2025/12/06
 Pickup-Time: 10\:30 AM
 Pickup-Location-Company: UTRECHT - Steck
 Pickup-Location-Address-Line-1: Gageldijk 3
 Pickup-Location-City: Utrecht
 Pickup-Location-Postal-Code: 3566 ME
 Pickup-Location-Country: Netherlands
 Checkout-Method: pickup</t>
  </si>
  <si>
    <t>#BB-25-7501</t>
  </si>
  <si>
    <t>06-12-2025, 10:30, Pickup Order, Saturday, UTRECHT-STECK, WAKE-UP</t>
  </si>
  <si>
    <t>#BB-25-7502</t>
  </si>
  <si>
    <t>#BB-25-7497</t>
  </si>
  <si>
    <t>#BB-25-7504</t>
  </si>
  <si>
    <t>#BB-25-7505</t>
  </si>
  <si>
    <t>Pickup-Location-Id: 302654
 Pickup-Day: saturday
 Pickup-Date: 2025/12/06
 Pickup-Time: 11\:00 AM
 Pickup-Location-Company: UTRECHT - Steck
 Pickup-Location-Address-Line-1: Gageldijk 3
 Pickup-Location-City: Utrecht
 Pickup-Location-Postal-Code: 3566 ME
 Pickup-Location-Country: Netherlands
 Checkout-Method: pickup</t>
  </si>
  <si>
    <t>#BB-25-7507</t>
  </si>
  <si>
    <t>06-12-2025, 11:00, Pickup Order, Saturday, UTRECHT-STECK, WAKE-UP</t>
  </si>
  <si>
    <t>Pickup-Location-Id: 302654
 Pickup-Day: saturday
 Pickup-Date: 2025/12/06
 Pickup-Time: 1\:00 PM
 Pickup-Location-Company: UTRECHT - Steck
 Pickup-Location-Address-Line-1: Gageldijk 3
 Pickup-Location-City: Utrecht
 Pickup-Location-Postal-Code: 3566 ME
 Pickup-Location-Country: Netherlands
 Checkout-Method: pickup</t>
  </si>
  <si>
    <t>#BB-25-7510</t>
  </si>
  <si>
    <t>06-12-2025, 13:00, Pickup Order, Saturday, UTRECHT-STECK, WAKE-UP</t>
  </si>
  <si>
    <t>#BB-25-7511</t>
  </si>
  <si>
    <t>#BB-25-7513</t>
  </si>
  <si>
    <t>#BB-25-7518</t>
  </si>
  <si>
    <t>#BB-25-7519</t>
  </si>
  <si>
    <t>#BB-25-7520</t>
  </si>
  <si>
    <t>#BB-25-7521</t>
  </si>
  <si>
    <t>Pickup-Location-Id: 279658
 Pickup-Day: saturday
 Pickup-Date: 2025/12/06
 Pickup-Time: 12\:40 PM
 Pickup-Location-Company: HAARLEM - Houtbaar
 Pickup-Location-Address-Line-1: Woudplein 2
 Pickup-Location-City: Haarlem
 Pickup-Location-Postal-Code: 2031 CZ
 Pickup-Location-Country: Netherlands
 Checkout-Method: pickup</t>
  </si>
  <si>
    <t>#BB-25-7496</t>
  </si>
  <si>
    <t>06-12-2025, 12:40, HAARLEM-HOUTBAAR, Pickup Order, Saturday, WAKE-UP</t>
  </si>
  <si>
    <t>#BB-25-7523</t>
  </si>
  <si>
    <t>Pickup-Location-Id: 278861
 Pickup-Day: saturday
 Pickup-Date: 2025/12/06
 Pickup-Time: 11\:00 AM
 Pickup-Location-Company: EDE - Kantine gebouw Enka
 Pickup-Location-Address-Line-1: Kantinegebouw 14
 Pickup-Location-City: Ede
 Pickup-Location-Postal-Code: 6717 XR
 Pickup-Location-Country: Netherlands
 Checkout-Method: pickup</t>
  </si>
  <si>
    <t>#BB-25-7525</t>
  </si>
  <si>
    <t>06-12-2025, 11:00, EDE_ENKA, Pickup Order, Saturday, WAKE-UP</t>
  </si>
  <si>
    <t>#BB-25-7526</t>
  </si>
  <si>
    <t>Pickup-Location-Id: 303545
 Pickup-Day: saturday
 Pickup-Date: 2025/12/13
 Pickup-Time: 11\:15 AM
 Pickup-Location-Company: DELFT - buytendelft
 Pickup-Location-Address-Line-1: Korftlaan 3a
 Pickup-Location-City: Delft
 Pickup-Location-Postal-Code: 2616 LJ
 Pickup-Location-Country: Netherlands
 Checkout-Method: pickup</t>
  </si>
  <si>
    <t>#BB-25-7528</t>
  </si>
  <si>
    <t>11:15, 13-12-2025, DELFT-BUYTEN, Pickup Order, Saturday, WAKE-UP</t>
  </si>
  <si>
    <t>#BB-25-7529</t>
  </si>
  <si>
    <t>Pickup-Location-Id: 279658
 Pickup-Day: saturday
 Pickup-Date: 2025/12/06
 Pickup-Time: 1\:00 PM
 Pickup-Location-Company: HAARLEM - Houtbaar
 Pickup-Location-Address-Line-1: Woudplein 2
 Pickup-Location-City: Haarlem
 Pickup-Location-Postal-Code: 2031 CZ
 Pickup-Location-Country: Netherlands
 Checkout-Method: pickup</t>
  </si>
  <si>
    <t>#BB-25-7531</t>
  </si>
  <si>
    <t>06-12-2025, 13:00, HAARLEM-HOUTBAAR, Pickup Order, Saturday, WAKE-UP</t>
  </si>
  <si>
    <t>Pickup-Location-Id: 302654
 Pickup-Day: tuesday
 Pickup-Date: 2025/12/02
 Pickup-Time: 11\:00 AM
 Pickup-Location-Company: UTRECHT - Steck
 Pickup-Location-Address-Line-1: Gageldijk 3
 Pickup-Location-City: Utrecht
 Pickup-Location-Postal-Code: 3566 ME
 Pickup-Location-Country: Netherlands
 Checkout-Method: pickup</t>
  </si>
  <si>
    <t>#BB-25-7533</t>
  </si>
  <si>
    <t>02-12-2025, 11:00, Pickup Order, Tuesday, UTRECHT-STECK, WAKE-UP</t>
  </si>
  <si>
    <t>Pickup-Location-Id: 302976
 Pickup-Day: saturday
 Pickup-Date: 2025/12/13
 Pickup-Time: 12\:15 PM
 Pickup-Location-Company: EINDHOVEN - Wasven
 Pickup-Location-Address-Line-1: Celebeslaan 30
 Pickup-Location-City: Eindhoven
 Pickup-Location-Postal-Code: 5641 AG
 Pickup-Location-Country: Netherlands
 Checkout-Method: pickup</t>
  </si>
  <si>
    <t>#BB-25-7536</t>
  </si>
  <si>
    <t>12:15, 13-12-2025, EINDHOVEN-WASVEN, Pickup Order, Saturday, WAKE-UP</t>
  </si>
  <si>
    <t>#BB-25-7537</t>
  </si>
  <si>
    <t>#BB-25-7495</t>
  </si>
  <si>
    <t>07-12-2025, 12:40, BREDA-WOLFSLAAR, Pickup Order, Sunday, WAKE-UP</t>
  </si>
  <si>
    <t>Pickup-Location-Id: 278023
 Pickup-Day: saturday
 Pickup-Date: 2025/12/06
 Pickup-Time: 12\:40 PM
 Pickup-Location-Company: BREDA - Kinderboerderij Wolfslaar
 Pickup-Location-Address-Line-1: Wolfslaardreef 95
 Pickup-Location-City: Breda
 Pickup-Location-Postal-Code: 4834 SN
 Pickup-Location-Country: Netherlands
 Checkout-Method: pickup</t>
  </si>
  <si>
    <t>#BB-25-7503</t>
  </si>
  <si>
    <t>06-12-2025, 12:40, BREDA-WOLFSLAAR, Pickup Order, Saturday, WAKE-UP</t>
  </si>
  <si>
    <t>#BB-25-7539</t>
  </si>
  <si>
    <t>#BB-25-7541</t>
  </si>
  <si>
    <t>ROTTERDAM-HET-WITTE-PAARD-BOOM-ZONDER-150-175</t>
  </si>
  <si>
    <t>Pickup-Location-Id: 278576
 Pickup-Day: saturday
 Pickup-Date: 2025/12/06
 Pickup-Time: 12\:00 PM
 Pickup-Location-Company: ROTTERDAM - Het witte paard
 Pickup-Location-Address-Line-1: Groenezoom 245
 Pickup-Location-City: Rotterdam
 Pickup-Location-Postal-Code: 3075GD
 Pickup-Location-Country: Netherlands
 Checkout-Method: pickup</t>
  </si>
  <si>
    <t>#BB-25-7543</t>
  </si>
  <si>
    <t>06-12-2025, 12:00, Pickup Order, ROTTERDAM-WITTEPAARD, Saturday, WAKE-UP</t>
  </si>
  <si>
    <t>Rotterdam Het Witte Paard - BB zonder kluit - 150-175 cm</t>
  </si>
  <si>
    <t>Pickup-Location-Id: 303712
 Pickup-Day: saturday
 Pickup-Date: 2025/12/06
 Pickup-Time: 12\:15 PM
 Pickup-Location-Company: AMSTERDAM - Loads
 Pickup-Location-Address-Line-1: Ms. Tarnweg 10
 Pickup-Location-City: Amsterdam
 Pickup-Location-Postal-Code: 1033 SK
 Pickup-Location-Country: Netherlands
 Checkout-Method: pickup</t>
  </si>
  <si>
    <t>#BB-25-7544</t>
  </si>
  <si>
    <t>06-12-2025, 12:15, AMSTERDM-LOADS, Pickup Order, Saturday, WAKE-UP</t>
  </si>
  <si>
    <t>#BB-25-7547</t>
  </si>
  <si>
    <t>#BB-25-7548</t>
  </si>
  <si>
    <t>#BB-25-7549</t>
  </si>
  <si>
    <t>Pickup-Location-Id: 278026
 Pickup-Day: wednesday
 Pickup-Date: 2025/12/03
 Pickup-Time: 4\:00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</si>
  <si>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#BB-25-7540</t>
  </si>
  <si>
    <t>03-12-2025, 16:00, DENHAAG-PLUK, Pickup Order, WAKE-UP, Wednesday</t>
  </si>
  <si>
    <t>Pickup-Location-Id: 302654
 Pickup-Day: sunday
 Pickup-Date: 2025/12/07
 Pickup-Time: 2\:30 PM
 Pickup-Location-Company: UTRECHT - Steck
 Pickup-Location-Address-Line-1: Gageldijk 3
 Pickup-Location-City: Utrecht
 Pickup-Location-Postal-Code: 3566 ME
 Pickup-Location-Country: Netherlands
 Checkout-Method: pickup</t>
  </si>
  <si>
    <t>#BB-25-7551</t>
  </si>
  <si>
    <t>07-12-2025, 14:30, Pickup Order, Sunday, UTRECHT-STECK, WAKE-UP</t>
  </si>
  <si>
    <t>Pickup-Location-Id: 278031
 Pickup-Day: saturday
 Pickup-Date: 2025/12/06
 Pickup-Time: 1\:00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</si>
  <si>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#BB-25-7554</t>
  </si>
  <si>
    <t>06-12-2025, 13:00, Pickup Order, ROTTERDAM-SCHIEVEEN, Saturday, WAKE-UP</t>
  </si>
  <si>
    <t>Pickup-Location-Id: 302654
 Pickup-Day: sunday
 Pickup-Date: 2025/12/07
 Pickup-Time: 11\:30 AM
 Pickup-Location-Company: UTRECHT - Steck
 Pickup-Location-Address-Line-1: Gageldijk 3
 Pickup-Location-City: Utrecht
 Pickup-Location-Postal-Code: 3566 ME
 Pickup-Location-Country: Netherlands
 Checkout-Method: pickup</t>
  </si>
  <si>
    <t>#BB-25-7556</t>
  </si>
  <si>
    <t>07-12-2025, 11:30, Pickup Order, Sunday, UTRECHT-STECK, WAKE-UP</t>
  </si>
  <si>
    <t>#BB-25-7557</t>
  </si>
  <si>
    <t>#BB-25-7558</t>
  </si>
  <si>
    <t>#BB-25-7559</t>
  </si>
  <si>
    <t>#BB-25-7561</t>
  </si>
  <si>
    <t>DEN-HAAG-GROTE-MARKT-BOOM-MET-BORG-150-175</t>
  </si>
  <si>
    <t>#BB-25-7562</t>
  </si>
  <si>
    <t>Den Haag Grote Markt - BB met kluit (incl. €10 borg) - 150-175 cm</t>
  </si>
  <si>
    <t>Pickup-Location-Id: 302654
 Pickup-Day: tuesday
 Pickup-Date: 2025/12/02
 Pickup-Time: 9\:30 AM
 Pickup-Location-Company: UTRECHT - Steck
 Pickup-Location-Address-Line-1: Gageldijk 3
 Pickup-Location-City: Utrecht
 Pickup-Location-Postal-Code: 3566 ME
 Pickup-Location-Country: Netherlands
 Checkout-Method: pickup</t>
  </si>
  <si>
    <t>#BB-25-7563</t>
  </si>
  <si>
    <t>02-12-2025, 09:30, Pickup Order, Tuesday, UTRECHT-STECK, WAKE-UP</t>
  </si>
  <si>
    <t>EINDHOVEN-WASVEN-BOOM-ZONDER-200-250</t>
  </si>
  <si>
    <t>#BB-25-7564</t>
  </si>
  <si>
    <t>Eindhoven Wasven - BB zonder kluit - 200-250 cm</t>
  </si>
  <si>
    <t>#BB-25-7565</t>
  </si>
  <si>
    <t>#BB-25-7538</t>
  </si>
  <si>
    <t>Pickup-Location-Id: 278463
 Pickup-Day: sunday
 Pickup-Date: 2025/12/07
 Pickup-Time: 12\:35 PM
 Pickup-Location-Company: UTRECHT - Scouting Willem de Zwijger
 Pickup-Location-Address-Line-1: Bastionweg 2
 Pickup-Location-City: Utrecht
 Pickup-Location-Postal-Code: 3566 MK
 Pickup-Location-Country: Netherlands
 Checkout-Method: pickup</t>
  </si>
  <si>
    <t>#BB-25-7567</t>
  </si>
  <si>
    <t>07-12-2025, 12:35, Pickup Order, Sunday, UTRECHT-WILLEM, WAKE-UP</t>
  </si>
  <si>
    <t>Pickup-Location-Id: 302654
 Pickup-Day: sunday
 Pickup-Date: 2025/11/30
 Pickup-Time: 11\:00 AM
 Pickup-Location-Company: UTRECHT - Steck
 Pickup-Location-Address-Line-1: Gageldijk 3
 Pickup-Location-City: Utrecht
 Pickup-Location-Postal-Code: 3566 ME
 Pickup-Location-Country: Netherlands
 Checkout-Method: pickup</t>
  </si>
  <si>
    <t>#BB-25-7571</t>
  </si>
  <si>
    <t>11:00, 30-11-2025, Pickup Order, Sunday, UTRECHT-STECK, WAKE-UP</t>
  </si>
  <si>
    <t>Pickup-Location-Id: 302654
 Pickup-Day: wednesday
 Pickup-Date: 2025/12/03
 Pickup-Time: 6\:00 PM
 Pickup-Location-Company: UTRECHT - Steck
 Pickup-Location-Address-Line-1: Gageldijk 3
 Pickup-Location-City: Utrecht
 Pickup-Location-Postal-Code: 3566 ME
 Pickup-Location-Country: Netherlands
 Checkout-Method: pickup</t>
  </si>
  <si>
    <t>6\:00 PM</t>
  </si>
  <si>
    <t>#BB-25-7572</t>
  </si>
  <si>
    <t>03-12-2025, 18:00, Pickup Order, UTRECHT-STECK, WAKE-UP, Wednesday</t>
  </si>
  <si>
    <t>#BB-25-7573</t>
  </si>
  <si>
    <t>Pickup-Location-Id: 279658
 Pickup-Day: saturday
 Pickup-Date: 2025/12/06
 Pickup-Time: 12\:20 PM
 Pickup-Location-Company: HAARLEM - Houtbaar
 Pickup-Location-Address-Line-1: Woudplein 2
 Pickup-Location-City: Haarlem
 Pickup-Location-Postal-Code: 2031 CZ
 Pickup-Location-Country: Netherlands
 Checkout-Method: pickup</t>
  </si>
  <si>
    <t>#BB-25-7574</t>
  </si>
  <si>
    <t>06-12-2025, 12:20, HAARLEM-HOUTBAAR, Pickup Order, Saturday, WAKE-UP</t>
  </si>
  <si>
    <t>#BB-25-7576</t>
  </si>
  <si>
    <t>#BB-25-7577</t>
  </si>
  <si>
    <t>Pickup-Location-Id: 302654
 Pickup-Day: saturday
 Pickup-Date: 2025/12/06
 Pickup-Time: 9\:30 AM
 Pickup-Location-Company: UTRECHT - Steck
 Pickup-Location-Address-Line-1: Gageldijk 3
 Pickup-Location-City: Utrecht
 Pickup-Location-Postal-Code: 3566 ME
 Pickup-Location-Country: Netherlands
 Checkout-Method: pickup</t>
  </si>
  <si>
    <t>#BB-25-7578</t>
  </si>
  <si>
    <t>06-12-2025, 09:30, Pickup Order, Saturday, UTRECHT-STECK, WAKE-UP</t>
  </si>
  <si>
    <t>#BB-25-7579</t>
  </si>
  <si>
    <t>#BB-25-7522</t>
  </si>
  <si>
    <t>Pickup-Location-Id: 302654
 Pickup-Day: sunday
 Pickup-Date: 2025/11/30
 Pickup-Time: 10\:30 AM
 Pickup-Location-Company: UTRECHT - Steck
 Pickup-Location-Address-Line-1: Gageldijk 3
 Pickup-Location-City: Utrecht
 Pickup-Location-Postal-Code: 3566 ME
 Pickup-Location-Country: Netherlands
 Checkout-Method: pickup</t>
  </si>
  <si>
    <t>#BB-25-7581</t>
  </si>
  <si>
    <t>10:30, 30-11-2025, Pickup Order, Sunday, UTRECHT-STECK, WAKE-UP</t>
  </si>
  <si>
    <t>Pickup-Location-Id: 302654
 Pickup-Day: sunday
 Pickup-Date: 2025/12/07
 Pickup-Time: 1\:30 PM
 Pickup-Location-Company: UTRECHT - Steck
 Pickup-Location-Address-Line-1: Gageldijk 3
 Pickup-Location-City: Utrecht
 Pickup-Location-Postal-Code: 3566 ME
 Pickup-Location-Country: Netherlands
 Checkout-Method: pickup</t>
  </si>
  <si>
    <t>#BB-25-7582</t>
  </si>
  <si>
    <t>07-12-2025, 13:30, Pickup Order, Sunday, UTRECHT-STECK, WAKE-UP</t>
  </si>
  <si>
    <t>#BB-25-7580</t>
  </si>
  <si>
    <t>#BB-25-7587</t>
  </si>
  <si>
    <t>#BB-25-7588</t>
  </si>
  <si>
    <t>Pickup-Location-Id: 302654
 Pickup-Day: saturday
 Pickup-Date: 2025/12/06
 Pickup-Time: 12\:00 PM
 Pickup-Location-Company: UTRECHT - Steck
 Pickup-Location-Address-Line-1: Gageldijk 3
 Pickup-Location-City: Utrecht
 Pickup-Location-Postal-Code: 3566 ME
 Pickup-Location-Country: Netherlands
 Checkout-Method: pickup</t>
  </si>
  <si>
    <t>#BB-25-7589</t>
  </si>
  <si>
    <t>06-12-2025, 12:00, Pickup Order, Saturday, UTRECHT-STECK, WAKE-UP</t>
  </si>
  <si>
    <t>Checkout-Method: pickup
 Pickup-Location-Id: 302654
 Pickup-Day: saturday
 Pickup-Date: 2025/12/06
 Pickup-Time: 11\:30 AM
 Pickup-Location-Company: UTRECHT - Steck
 Pickup-Location-Address-Line-1: Gageldijk 3
 Pickup-Location-City: Utrecht
 Pickup-Location-Postal-Code: 3566 ME
 Pickup-Location-Country: Netherlands</t>
  </si>
  <si>
    <t>#BB-25-7591</t>
  </si>
  <si>
    <t>#BB-25-7592</t>
  </si>
  <si>
    <t>HILVERSUM-OME-JOOP-BOOM-ZONDER-200-250</t>
  </si>
  <si>
    <t>Pickup-Location-Id: 303727
 Pickup-Day: friday
 Pickup-Date: 2025/12/05
 Pickup-Time: 12\:00 PM
 Pickup-Location-Company: Hilversum - Ome Joop
 Pickup-Location-Address-Line-1: Kromme Rade 6
 Pickup-Location-City: Kortenhoef
 Pickup-Location-Postal-Code: 1241 LK
 Pickup-Location-Country: Netherlands
 Checkout-Method: pickup</t>
  </si>
  <si>
    <t>#BB-25-7569</t>
  </si>
  <si>
    <t>05-12-2025, 12:00, Friday, HILVERSUM-OMEJOOP, Pickup Order, WAKE-UP</t>
  </si>
  <si>
    <t>Kortenhoef Kwekerij Ome Joop - BB zonder kluit - 200-250 cm</t>
  </si>
  <si>
    <t>Pickup-Location-Id: 278026
 Pickup-Day: friday
 Pickup-Date: 2025/12/12
 Pickup-Time: 12\:20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</si>
  <si>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#BB-25-7550</t>
  </si>
  <si>
    <t>12-12-2025, 12:20, DENHAAG-PLUK, Friday, Pickup Order, WAKE-UP</t>
  </si>
  <si>
    <t>#BB-25-7598</t>
  </si>
  <si>
    <t>#BB-25-7599</t>
  </si>
  <si>
    <t>#BB-25-7600</t>
  </si>
  <si>
    <t>#BB-25-7601</t>
  </si>
  <si>
    <t>#BB-25-7603</t>
  </si>
  <si>
    <t>#BB-25-7605</t>
  </si>
  <si>
    <t>#BB-25-7606</t>
  </si>
  <si>
    <t>#BB-25-7608</t>
  </si>
  <si>
    <t>DEN-HAAG-GROTE-MARKT-BOOM-MET-BORG-175-200</t>
  </si>
  <si>
    <t>Pickup-Location-Id: 278034
 Pickup-Day: saturday
 Pickup-Date: 2025/12/06
 Pickup-Time: 10\:55 AM
 Pickup-Location-Company: DEN HAAG - Grote Markt Plein
 Pickup-Location-Address-Line-1: Grote Markt
 Pickup-Location-City: Den Haag
 Pickup-Location-Postal-Code: 2511 BG
 Pickup-Location-Country: Netherlands
 Checkout-Method: pickup</t>
  </si>
  <si>
    <t>#BB-25-7610</t>
  </si>
  <si>
    <t>06-12-2025, 10:55, DEN HAAG, Pickup Order, Saturday, WAKE-UP</t>
  </si>
  <si>
    <t>Den Haag Grote Markt - BB met kluit (incl. €10 borg) - 175-200 cm</t>
  </si>
  <si>
    <t>DEN-HAAG-GROTE-MARKT-BOOM-ZONDER-200-250</t>
  </si>
  <si>
    <t>Pickup-Location-Id: 278034
 Pickup-Day: saturday
 Pickup-Date: 2025/12/06
 Pickup-Time: 11\:55 AM
 Pickup-Location-Company: DEN HAAG - Grote Markt Plein
 Pickup-Location-Address-Line-1: Grote Markt
 Pickup-Location-City: Den Haag
 Pickup-Location-Postal-Code: 2511 BG
 Pickup-Location-Country: Netherlands
 Checkout-Method: pickup</t>
  </si>
  <si>
    <t>11\:55 AM</t>
  </si>
  <si>
    <t>#BB-25-7594</t>
  </si>
  <si>
    <t>06-12-2025, 11:55, DEN HAAG, Pickup Order, Saturday, WAKE-UP</t>
  </si>
  <si>
    <t>Den Haag Grote Markt - BB zonder kluit - 200-250 cm</t>
  </si>
  <si>
    <t>dh-grote-markt-boom-zonder</t>
  </si>
  <si>
    <t>Den Haag Grote Markt - BB zonder kluit</t>
  </si>
  <si>
    <t>Pickup-Location-Id: 302976
 Pickup-Day: saturday
 Pickup-Date: 2025/12/06
 Pickup-Time: 3\:55 PM
 Pickup-Location-Company: EINDHOVEN - Wasven
 Pickup-Location-Address-Line-1: Celebeslaan 30
 Pickup-Location-City: Eindhoven
 Pickup-Location-Postal-Code: 5641 AG
 Pickup-Location-Country: Netherlands
 Checkout-Method: pickup</t>
  </si>
  <si>
    <t>3\:55 PM</t>
  </si>
  <si>
    <t>#BB-25-7615</t>
  </si>
  <si>
    <t>06-12-2025, 15:55, EINDHOVEN-WASVEN, Pickup Order, Saturday, WAKE-UP</t>
  </si>
  <si>
    <t>DEN-HAAG-GROTE-MARKT-BOOM-ZONDER-150-175</t>
  </si>
  <si>
    <t>Pickup-Location-Id: 278034
 Pickup-Day: saturday
 Pickup-Date: 2025/12/06
 Pickup-Time: 11\:45 AM
 Pickup-Location-Company: DEN HAAG - Grote Markt Plein
 Pickup-Location-Address-Line-1: Grote Markt
 Pickup-Location-City: Den Haag
 Pickup-Location-Postal-Code: 2511 BG
 Pickup-Location-Country: Netherlands
 Checkout-Method: pickup</t>
  </si>
  <si>
    <t>11\:45 AM</t>
  </si>
  <si>
    <t>#BB-25-7614</t>
  </si>
  <si>
    <t>06-12-2025, 11:45, DEN HAAG, Pickup Order, Saturday, WAKE-UP</t>
  </si>
  <si>
    <t>Den Haag Grote Markt - BB zonder kluit - 150-175 cm</t>
  </si>
  <si>
    <t>DEN-HAAG-GROTE-MARKT-BOOM-ZONDER-175-200</t>
  </si>
  <si>
    <t>#BB-25-7595</t>
  </si>
  <si>
    <t>Den Haag Grote Markt - BB zonder kluit - 175-200 cm</t>
  </si>
  <si>
    <t>#BB-25-7584</t>
  </si>
  <si>
    <t>Pickup-Location-Id: 279658
 Pickup-Day: saturday
 Pickup-Date: 2025/12/06
 Pickup-Time: 3\:00 PM
 Pickup-Location-Company: HAARLEM - Houtbaar
 Pickup-Location-Address-Line-1: Woudplein 2
 Pickup-Location-City: Haarlem
 Pickup-Location-Postal-Code: 2031 CZ
 Pickup-Location-Country: Netherlands
 Checkout-Method: pickup</t>
  </si>
  <si>
    <t>#BB-25-7616</t>
  </si>
  <si>
    <t>06-12-2025, 15:00, HAARLEM-HOUTBAAR, Pickup Order, Saturday, WAKE-UP</t>
  </si>
  <si>
    <t>#BB-25-7617</t>
  </si>
  <si>
    <t>Pickup-Location-Id: 303727
 Pickup-Day: friday
 Pickup-Date: 2025/12/05
 Pickup-Time: 10\:00 AM
 Pickup-Location-Company: Hilversum - Ome Joop
 Pickup-Location-Address-Line-1: Kromme Rade 6
 Pickup-Location-City: Kortenhoef
 Pickup-Location-Postal-Code: 1241 LK
 Pickup-Location-Country: Netherlands
 Checkout-Method: pickup</t>
  </si>
  <si>
    <t>#BB-25-7618</t>
  </si>
  <si>
    <t>05-12-2025, 10:00, Friday, HILVERSUM-OMEJOOP, Pickup Order, WAKE-UP</t>
  </si>
  <si>
    <t>Pickup-Location-Id: 278463
 Pickup-Day: sunday
 Pickup-Date: 2025/12/07
 Pickup-Time: 11\:55 AM
 Pickup-Location-Company: UTRECHT - Scouting Willem de Zwijger
 Pickup-Location-Address-Line-1: Bastionweg 2
 Pickup-Location-City: Utrecht
 Pickup-Location-Postal-Code: 3566 MK
 Pickup-Location-Country: Netherlands
 Checkout-Method: pickup</t>
  </si>
  <si>
    <t>#BB-25-7619</t>
  </si>
  <si>
    <t>07-12-2025, 11:55, Pickup Order, Sunday, UTRECHT-WILLEM, WAKE-UP</t>
  </si>
  <si>
    <t>#BB-25-7620</t>
  </si>
  <si>
    <t>Pickup-Location-Id: 278027
 Pickup-Day: saturday
 Pickup-Date: 2025/12/06
 Pickup-Time: 12\:15 PM
 Pickup-Location-Company: GOUDA - Stadskant
 Pickup-Location-Address-Line-1: Agnietenstraat 19
 Pickup-Location-City: Gouda
 Pickup-Location-Postal-Code: 2801 GH
 Pickup-Location-Country: Netherlands
 Checkout-Method: pickup</t>
  </si>
  <si>
    <t>#BB-25-7621</t>
  </si>
  <si>
    <t>06-12-2025, 12:15, GOUDA, Pickup Order, Saturday, WAKE-UP</t>
  </si>
  <si>
    <t>#BB-25-7626</t>
  </si>
  <si>
    <t>#BB-25-7628</t>
  </si>
  <si>
    <t>#BB-25-7629</t>
  </si>
  <si>
    <t>#BB-25-7630</t>
  </si>
  <si>
    <t>Pickup-Location-Id: 302654
 Pickup-Day: saturday
 Pickup-Date: 2025/12/06
 Pickup-Time: 9\:00 AM
 Pickup-Location-Company: UTRECHT - Steck
 Pickup-Location-Address-Line-1: Gageldijk 3
 Pickup-Location-City: Utrecht
 Pickup-Location-Postal-Code: 3566 ME
 Pickup-Location-Country: Netherlands
 Checkout-Method: pickup</t>
  </si>
  <si>
    <t>#BB-25-7633</t>
  </si>
  <si>
    <t>06-12-2025, 09:00, Pickup Order, Saturday, UTRECHT-STECK, WAKE-UP</t>
  </si>
  <si>
    <t>#BB-25-7625</t>
  </si>
  <si>
    <t>Pickup-Location-Id: 302654
 Pickup-Day: sunday
 Pickup-Date: 2025/12/07
 Pickup-Time: 12\:00 PM
 Pickup-Location-Company: UTRECHT - Steck
 Pickup-Location-Address-Line-1: Gageldijk 3
 Pickup-Location-City: Utrecht
 Pickup-Location-Postal-Code: 3566 ME
 Pickup-Location-Country: Netherlands
 Checkout-Method: pickup</t>
  </si>
  <si>
    <t>#BB-25-7634</t>
  </si>
  <si>
    <t>07-12-2025, 12:00, Pickup Order, Sunday, UTRECHT-STECK, WAKE-UP</t>
  </si>
  <si>
    <t>#BB-25-7638</t>
  </si>
  <si>
    <t>#BB-25-7639</t>
  </si>
  <si>
    <t>Pickup-Location-Id: 302976
 Pickup-Day: saturday
 Pickup-Date: 2025/12/13
 Pickup-Time: 1\:15 PM
 Pickup-Location-Company: EINDHOVEN - Wasven
 Pickup-Location-Address-Line-1: Celebeslaan 30
 Pickup-Location-City: Eindhoven
 Pickup-Location-Postal-Code: 5641 AG
 Pickup-Location-Country: Netherlands
 Checkout-Method: pickup</t>
  </si>
  <si>
    <t>#BB-25-7640</t>
  </si>
  <si>
    <t>13-12-2025, 13:15, EINDHOVEN-WASVEN, Pickup Order, Saturday, WAKE-UP</t>
  </si>
  <si>
    <t>UTRECHT-WILLEM-DE-ZWIJGER-BOOM-MET-BORG-175-200</t>
  </si>
  <si>
    <t>Pickup-Location-Id: 278463
 Pickup-Day: sunday
 Pickup-Date: 2025/12/07
 Pickup-Time: 12\:15 PM
 Pickup-Location-Company: UTRECHT - Scouting Willem de Zwijger
 Pickup-Location-Address-Line-1: Bastionweg 2
 Pickup-Location-City: Utrecht
 Pickup-Location-Postal-Code: 3566 MK
 Pickup-Location-Country: Netherlands
 Checkout-Method: pickup</t>
  </si>
  <si>
    <t>#BB-25-7641</t>
  </si>
  <si>
    <t>07-12-2025, 12:15, Pickup Order, Sunday, UTRECHT-WILLEM, WAKE-UP</t>
  </si>
  <si>
    <t>Utrecht Willem de Zwijger - BB met kluit (incl. €10 borg) - 175-200 cm</t>
  </si>
  <si>
    <t>#BB-25-7642</t>
  </si>
  <si>
    <t>#BB-25-7643</t>
  </si>
  <si>
    <t>#BB-25-7644</t>
  </si>
  <si>
    <t>#BB-25-7647</t>
  </si>
  <si>
    <t>Pickup-Location-Id: 278576
 Pickup-Day: sunday
 Pickup-Date: 2025/12/07
 Pickup-Time: 12\:40 PM
 Pickup-Location-Company: ROTTERDAM - Het witte paard
 Pickup-Location-Address-Line-1: Groenezoom 245
 Pickup-Location-City: Rotterdam
 Pickup-Location-Postal-Code: 3075GD
 Pickup-Location-Country: Netherlands
 Checkout-Method: pickup</t>
  </si>
  <si>
    <t>#BB-25-7648</t>
  </si>
  <si>
    <t>07-12-2025, 12:40, Pickup Order, ROTTERDAM-WITTEPAARD, Sunday, WAKE-UP</t>
  </si>
  <si>
    <t>#BB-25-7649</t>
  </si>
  <si>
    <t>Pickup-Location-Id: 279658
 Pickup-Day: saturday
 Pickup-Date: 2025/12/06
 Pickup-Time: 1\:40 PM
 Pickup-Location-Company: HAARLEM - Houtbaar
 Pickup-Location-Address-Line-1: Woudplein 2
 Pickup-Location-City: Haarlem
 Pickup-Location-Postal-Code: 2031 CZ
 Pickup-Location-Country: Netherlands
 Checkout-Method: pickup</t>
  </si>
  <si>
    <t>#BB-25-7652</t>
  </si>
  <si>
    <t>06-12-2025, 13:40, HAARLEM-HOUTBAAR, Pickup Order, Saturday, WAKE-UP</t>
  </si>
  <si>
    <t>Pickup-Location-Id: 278861
 Pickup-Day: saturday
 Pickup-Date: 2025/12/06
 Pickup-Time: 1\:00 PM
 Pickup-Location-Company: EDE - Kantine gebouw Enka
 Pickup-Location-Address-Line-1: Kantinegebouw 14
 Pickup-Location-City: Ede
 Pickup-Location-Postal-Code: 6717 XR
 Pickup-Location-Country: Netherlands
 Checkout-Method: pickup</t>
  </si>
  <si>
    <t>#BB-25-7653</t>
  </si>
  <si>
    <t>06-12-2025, 13:00, EDE_ENKA, Pickup Order, Saturday, WAKE-UP</t>
  </si>
  <si>
    <t>#BB-25-7654</t>
  </si>
  <si>
    <t>#BB-25-7655</t>
  </si>
  <si>
    <t>#BB-25-7657</t>
  </si>
  <si>
    <t>#BB-25-7645</t>
  </si>
  <si>
    <t>#BB-25-7660</t>
  </si>
  <si>
    <t>#BB-25-7661</t>
  </si>
  <si>
    <t>Pickup-Location-Id: 303545
 Pickup-Day: sunday
 Pickup-Date: 2025/12/07
 Pickup-Time: 11\:55 AM
 Pickup-Location-Company: DELFT - buytendelft
 Pickup-Location-Address-Line-1: Korftlaan 3a
 Pickup-Location-City: Delft
 Pickup-Location-Postal-Code: 2616 LJ
 Pickup-Location-Country: Netherlands
 Checkout-Method: pickup</t>
  </si>
  <si>
    <t>#BB-25-7662</t>
  </si>
  <si>
    <t>07-12-2025, 11:55, DELFT-BUYTEN, Pickup Order, Sunday, WAKE-UP</t>
  </si>
  <si>
    <t>#BB-25-7663</t>
  </si>
  <si>
    <t>EDE-KANTINE-GEBOUW-ENKA-BOOM-ZONDER-150-175</t>
  </si>
  <si>
    <t>#BB-25-7664</t>
  </si>
  <si>
    <t>Ede De Kantine Enka - BB zonder kluit - 150-175 cm</t>
  </si>
  <si>
    <t>#BB-25-7665</t>
  </si>
  <si>
    <t>#BB-25-7666</t>
  </si>
  <si>
    <t>#BB-25-7668</t>
  </si>
  <si>
    <t>Pickup-Location-Id: 278031
 Pickup-Day: sunday
 Pickup-Date: 2025/12/07
 Pickup-Time: 12\:30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</si>
  <si>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#BB-25-7669</t>
  </si>
  <si>
    <t>07-12-2025, 12:30, Pickup Order, ROTTERDAM-SCHIEVEEN, Sunday, WAKE-UP</t>
  </si>
  <si>
    <t>#BB-25-7624</t>
  </si>
  <si>
    <t>#BB-25-7671</t>
  </si>
  <si>
    <t>Pickup-Location-Id: 278027
 Pickup-Day: saturday
 Pickup-Date: 2025/12/06
 Pickup-Time: 2\:15 PM
 Pickup-Location-Company: GOUDA - Stadskant
 Pickup-Location-Address-Line-1: Agnietenstraat 19
 Pickup-Location-City: Gouda
 Pickup-Location-Postal-Code: 2801 GH
 Pickup-Location-Country: Netherlands
 Checkout-Method: pickup</t>
  </si>
  <si>
    <t>#BB-25-7672</t>
  </si>
  <si>
    <t>06-12-2025, 14:15, GOUDA, Pickup Order, Saturday, WAKE-UP</t>
  </si>
  <si>
    <t>Pickup-Location-Id: 303712
 Pickup-Day: saturday
 Pickup-Date: 2025/12/06
 Pickup-Time: 1\:35 PM
 Pickup-Location-Company: AMSTERDAM - Loads
 Pickup-Location-Address-Line-1: Ms. Tarnweg 10
 Pickup-Location-City: Amsterdam
 Pickup-Location-Postal-Code: 1033 SK
 Pickup-Location-Country: Netherlands
 Checkout-Method: pickup</t>
  </si>
  <si>
    <t>#BB-25-7673</t>
  </si>
  <si>
    <t>06-12-2025, 13:35, AMSTERDM-LOADS, Pickup Order, Saturday, WAKE-UP</t>
  </si>
  <si>
    <t>#BB-25-7674</t>
  </si>
  <si>
    <t>#BB-25-7675</t>
  </si>
  <si>
    <t>#BB-25-7679</t>
  </si>
  <si>
    <t>#BB-25-7680</t>
  </si>
  <si>
    <t>AMSTERDAM-KOPVANOOST-BOOM-ZONDER-200-250</t>
  </si>
  <si>
    <t>#BB-25-7682</t>
  </si>
  <si>
    <t>Amsterdam Kop van Oost - BB zonder kluit - 200-250 cm</t>
  </si>
  <si>
    <t>#BB-25-7685</t>
  </si>
  <si>
    <t>#BB-25-7686</t>
  </si>
  <si>
    <t>Pickup-Location-Id: 302654
 Pickup-Day: tuesday
 Pickup-Date: 2025/12/02
 Pickup-Time: 2\:00 PM
 Pickup-Location-Company: UTRECHT - Steck
 Pickup-Location-Address-Line-1: Gageldijk 3
 Pickup-Location-City: Utrecht
 Pickup-Location-Postal-Code: 3566 ME
 Pickup-Location-Country: Netherlands
 Checkout-Method: pickup</t>
  </si>
  <si>
    <t>#BB-25-7687</t>
  </si>
  <si>
    <t>02-12-2025, 14:00, Pickup Order, Tuesday, UTRECHT-STECK, WAKE-UP</t>
  </si>
  <si>
    <t>#BB-25-7689</t>
  </si>
  <si>
    <t>Pickup-Location-Id: 278576
 Pickup-Day: sunday
 Pickup-Date: 2025/12/07
 Pickup-Time: 11\:20 AM
 Pickup-Location-Company: ROTTERDAM - Het witte paard
 Pickup-Location-Address-Line-1: Groenezoom 245
 Pickup-Location-City: Rotterdam
 Pickup-Location-Postal-Code: 3075GD
 Pickup-Location-Country: Netherlands
 Checkout-Method: pickup</t>
  </si>
  <si>
    <t>#BB-25-7690</t>
  </si>
  <si>
    <t>07-12-2025, 11:20, Pickup Order, ROTTERDAM-WITTEPAARD, Sunday, WAKE-UP</t>
  </si>
  <si>
    <t>#BB-25-7691</t>
  </si>
  <si>
    <t>#BB-25-7692</t>
  </si>
  <si>
    <t>#BB-25-7693</t>
  </si>
  <si>
    <t>#BB-25-7695</t>
  </si>
  <si>
    <t>#BB-25-7696</t>
  </si>
  <si>
    <t>#BB-25-7658</t>
  </si>
  <si>
    <t>Pickup-Location-Id: 302654
 Pickup-Day: sunday
 Pickup-Date: 2025/12/07
 Pickup-Time: 1\:00 PM
 Pickup-Location-Company: UTRECHT - Steck
 Pickup-Location-Address-Line-1: Gageldijk 3
 Pickup-Location-City: Utrecht
 Pickup-Location-Postal-Code: 3566 ME
 Pickup-Location-Country: Netherlands
 Checkout-Method: pickup</t>
  </si>
  <si>
    <t>#BB-25-7623</t>
  </si>
  <si>
    <t>07-12-2025, 13:00, Pickup Order, Sunday, UTRECHT-STECK, WAKE-UP</t>
  </si>
  <si>
    <t>#BB-25-7698</t>
  </si>
  <si>
    <t>#BB-25-7701</t>
  </si>
  <si>
    <t>#BB-25-7702</t>
  </si>
  <si>
    <t>Pickup-Location-Id: 278031
 Pickup-Day: saturday
 Pickup-Date: 2025/12/06
 Pickup-Time: 3\:00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</si>
  <si>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#BB-25-7703</t>
  </si>
  <si>
    <t>06-12-2025, 15:00, Pickup Order, ROTTERDAM-SCHIEVEEN, Saturday, WAKE-UP</t>
  </si>
  <si>
    <t>#BB-25-7707</t>
  </si>
  <si>
    <t>Pickup-Location-Id: 278553
 Pickup-Day: sunday
 Pickup-Date: 2025/11/30
 Pickup-Time: 1\:00 PM
 Pickup-Location-Company: LEIDEN - The Fields
 Pickup-Location-Address-Line-1: Stationsplein 25
 Pickup-Location-City: Leiden
 Pickup-Location-Postal-Code: 2312 AJ
 Pickup-Location-Country: Netherlands
 Checkout-Method: pickup</t>
  </si>
  <si>
    <t>#BB-25-7708</t>
  </si>
  <si>
    <t>13:00, 30-11-2025, LEIDEN-THEFIELD, Pickup Order, Sunday, WAKE-UP</t>
  </si>
  <si>
    <t>#BB-25-7710</t>
  </si>
  <si>
    <t>Pickup-Location-Id: 278030
 Pickup-Day: sunday
 Pickup-Date: 2025/12/07
 Pickup-Time: 2\:00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</si>
  <si>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#BB-25-7697</t>
  </si>
  <si>
    <t>07-12-2025, 14:00, DENBOSCH-BWWB, Pickup Order, Sunday, WAKE-UP</t>
  </si>
  <si>
    <t>#BB-25-7699</t>
  </si>
  <si>
    <t>Pickup-Location-Id: 278026
 Pickup-Day: sunday
 Pickup-Date: 2025/12/07
 Pickup-Time: 3\:00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</si>
  <si>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#BB-25-7717</t>
  </si>
  <si>
    <t>07-12-2025, 15:00, DENHAAG-PLUK, Pickup Order, Sunday, WAKE-UP</t>
  </si>
  <si>
    <t>Pickup-Location-Id: 303727
 Pickup-Day: saturday
 Pickup-Date: 2025/12/06
 Pickup-Time: 10\:20 AM
 Pickup-Location-Company: Hilversum - Ome Joop
 Pickup-Location-Address-Line-1: Kromme Rade 6
 Pickup-Location-City: Kortenhoef
 Pickup-Location-Postal-Code: 1241 LK
 Pickup-Location-Country: Netherlands
 Checkout-Method: pickup</t>
  </si>
  <si>
    <t>#BB-25-7718</t>
  </si>
  <si>
    <t>06-12-2025, 10:20, HILVERSUM-OMEJOOP, Pickup Order, Saturday, WAKE-UP</t>
  </si>
  <si>
    <t>#BB-25-7722</t>
  </si>
  <si>
    <t>07-12-2025, 10:35, Pickup Order, Sunday, UTRECHT-WILLEM, WAKE-UP</t>
  </si>
  <si>
    <t>#BB-25-7724</t>
  </si>
  <si>
    <t>#BB-25-7725</t>
  </si>
  <si>
    <t>#BB-25-7726</t>
  </si>
  <si>
    <t>Pickup-Location-Id: 278021
 Pickup-Day: saturday
 Pickup-Date: 2025/12/13
 Pickup-Time: 12\:30 PM
 Pickup-Location-Company: AMSTERDAM - Vondeltuin
 Pickup-Location-Address-Line-1: Vondelpark 7
 Pickup-Location-City: Amsterdam
 Pickup-Location-Postal-Code: 1075 VR
 Pickup-Location-Country: Netherlands
 Checkout-Method: pickup</t>
  </si>
  <si>
    <t>#BB-25-7728</t>
  </si>
  <si>
    <t>12:30, 13-12-2025, ADM, Pickup Order, Saturday, Vondeltuin, WAKE-UP</t>
  </si>
  <si>
    <t>#BB-25-7729</t>
  </si>
  <si>
    <t>#BB-25-7670</t>
  </si>
  <si>
    <t>#BB-25-7715</t>
  </si>
  <si>
    <t>#BB-25-7731</t>
  </si>
  <si>
    <t>#BB-25-7733</t>
  </si>
  <si>
    <t>ENSCHEDE-DE-WIECKSE-BOOM-ZONDER-175-200</t>
  </si>
  <si>
    <t>#BB-25-7734</t>
  </si>
  <si>
    <t>Enschede De Wieckse - BB zonder kluit - 175-200 cm</t>
  </si>
  <si>
    <t>#BB-25-7735</t>
  </si>
  <si>
    <t>DEN-HAAG-GROTE-MARKT-BOOM-ZONDER-250-300</t>
  </si>
  <si>
    <t>Pickup-Location-Id: 278034
 Pickup-Day: saturday
 Pickup-Date: 2025/12/06
 Pickup-Time: 1\:15 PM
 Pickup-Location-Company: DEN HAAG - Grote Markt Plein
 Pickup-Location-Address-Line-1: Grote Markt
 Pickup-Location-City: Den Haag
 Pickup-Location-Postal-Code: 2511 BG
 Pickup-Location-Country: Netherlands
 Checkout-Method: pickup</t>
  </si>
  <si>
    <t>#BB-25-7738</t>
  </si>
  <si>
    <t>06-12-2025, 13:15, DEN HAAG, Pickup Order, Saturday, WAKE-UP</t>
  </si>
  <si>
    <t>Den Haag Grote Markt - BB zonder kluit - 250-300 cm</t>
  </si>
  <si>
    <t>BB-25-JILL</t>
  </si>
  <si>
    <t>Pickup-Location-Id: 278026
 Pickup-Day: friday
 Pickup-Date: 2025/12/05
 Pickup-Time: 12\:20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</si>
  <si>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#BB-25-7739</t>
  </si>
  <si>
    <t>05-12-2025, 12:20, DENHAAG-PLUK, Friday, Pickup Order, WAKE-UP</t>
  </si>
  <si>
    <t>Pickup-Location-Id: 278026
 Pickup-Day: thursday
 Pickup-Date: 2025/12/04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</si>
  <si>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#BB-25-7730</t>
  </si>
  <si>
    <t>04-12-2025, 11:00, DENHAAG-PLUK, Pickup Order, Thursday, WAKE-UP</t>
  </si>
  <si>
    <t>#BB-25-7713</t>
  </si>
  <si>
    <t>#BB-25-7732</t>
  </si>
  <si>
    <t>#BB-25-7741</t>
  </si>
  <si>
    <t>Pickup-Location-Id: 278861
 Pickup-Day: saturday
 Pickup-Date: 2025/12/06
 Pickup-Time: 11\:55 AM
 Pickup-Location-Company: EDE - Kantine gebouw Enka
 Pickup-Location-Address-Line-1: Kantinegebouw 14
 Pickup-Location-City: Ede
 Pickup-Location-Postal-Code: 6717 XR
 Pickup-Location-Country: Netherlands
 Checkout-Method: pickup</t>
  </si>
  <si>
    <t>#BB-25-7750</t>
  </si>
  <si>
    <t>06-12-2025, 11:55, EDE_ENKA, Pickup Order, Saturday, WAKE-UP</t>
  </si>
  <si>
    <t>Pickup-Location-Id: 278034
 Pickup-Day: saturday
 Pickup-Date: 2025/12/06
 Pickup-Time: 11\:15 AM
 Pickup-Location-Company: DEN HAAG - Grote Markt Plein
 Pickup-Location-Address-Line-1: Grote Markt
 Pickup-Location-City: Den Haag
 Pickup-Location-Postal-Code: 2511 BG
 Pickup-Location-Country: Netherlands
 Checkout-Method: pickup</t>
  </si>
  <si>
    <t>#BB-25-7751</t>
  </si>
  <si>
    <t>06-12-2025, 11:15, DEN HAAG, Pickup Order, Saturday, WAKE-UP</t>
  </si>
  <si>
    <t>#BB-25-7752</t>
  </si>
  <si>
    <t>BB-25-LOESTUIN</t>
  </si>
  <si>
    <t>fixed_amount</t>
  </si>
  <si>
    <t>#BB-25-7753</t>
  </si>
  <si>
    <t>#BB-25-7755</t>
  </si>
  <si>
    <t>#BB-25-7747</t>
  </si>
  <si>
    <t>#BB-25-7757</t>
  </si>
  <si>
    <t>Checkout-Method: pickup
 Pickup-Location-Id: 278030
 Pickup-Day: saturday
 Pickup-Date: 2025/12/06
 Pickup-Time: 12\:20 PM
 Pickup-Location-Company: DEN BOSCH - Bewust Wonen &amp; Werken Boschveld
 Pickup-Location-Address-Line-1: Edisonstraat 3
 Pickup-Location-City: s-Hertogenbosch
 Pickup-Location-Postal-Code: 5223 CD
 Pickup-Location-Country: Netherlands</t>
  </si>
  <si>
    <t>#BB-25-7761</t>
  </si>
  <si>
    <t>06-12-2025, 12:20, DENBOSCH-BWWB, Pickup Order, Saturday, WAKE-UP</t>
  </si>
  <si>
    <t>#BB-25-7762</t>
  </si>
  <si>
    <t>#BB-25-7763</t>
  </si>
  <si>
    <t>#BB-25-7764</t>
  </si>
  <si>
    <t>Pickup-Location-Id: 302654
 Pickup-Day: friday
 Pickup-Date: 2025/12/05
 Pickup-Time: 4\:00 PM
 Pickup-Location-Company: UTRECHT - Steck
 Pickup-Location-Address-Line-1: Gageldijk 3
 Pickup-Location-City: Utrecht
 Pickup-Location-Postal-Code: 3566 ME
 Pickup-Location-Country: Netherlands
 Checkout-Method: pickup</t>
  </si>
  <si>
    <t>#BB-25-7765</t>
  </si>
  <si>
    <t>05-12-2025, 16:00, Friday, Pickup Order, UTRECHT-STECK, WAKE-UP</t>
  </si>
  <si>
    <t>#BB-25-7768</t>
  </si>
  <si>
    <t>Checkout-Method: pickup
 Pickup-Location-Id: 278034
 Pickup-Day: saturday
 Pickup-Date: 2025/12/06
 Pickup-Time: 11\:05 AM
 Pickup-Location-Company: DEN HAAG - Grote Markt Plein
 Pickup-Location-Address-Line-1: Grote Markt
 Pickup-Location-City: Den Haag
 Pickup-Location-Postal-Code: 2511 BG
 Pickup-Location-Country: Netherlands</t>
  </si>
  <si>
    <t>11\:05 AM</t>
  </si>
  <si>
    <t>#BB-25-7769</t>
  </si>
  <si>
    <t>06-12-2025, 11:05, DEN HAAG, Pickup Order, Saturday, WAKE-UP</t>
  </si>
  <si>
    <t>Checkout-Method: pickup
 Pickup-Location-Id: 278024
 Pickup-Day: sunday
 Pickup-Date: 2025/12/07
 Pickup-Time: 10\:00 AM
 Pickup-Location-Company: AMSTERDAM - Kop van Oost
 Pickup-Location-Address-Line-1: Zeeburgerpad 1
 Pickup-Location-City: Amsterdam
 Pickup-Location-Postal-Code: 1018 AH
 Pickup-Location-Country: Netherlands</t>
  </si>
  <si>
    <t>#BB-25-7770</t>
  </si>
  <si>
    <t>#BB-25-7771</t>
  </si>
  <si>
    <t>Pickup-Location-Id: 278034
 Pickup-Day: saturday
 Pickup-Date: 2025/12/06
 Pickup-Time: 11\:05 AM
 Pickup-Location-Company: DEN HAAG - Grote Markt Plein
 Pickup-Location-Address-Line-1: Grote Markt
 Pickup-Location-City: Den Haag
 Pickup-Location-Postal-Code: 2511 BG
 Pickup-Location-Country: Netherlands
 Checkout-Method: pickup</t>
  </si>
  <si>
    <t>#BB-25-7745</t>
  </si>
  <si>
    <t>#BB-25-7773</t>
  </si>
  <si>
    <t>#BB-25-7775</t>
  </si>
  <si>
    <t>AMSTERDAM-LOADS-BOOM-MET-BORG-150-175</t>
  </si>
  <si>
    <t>#BB-25-7776</t>
  </si>
  <si>
    <t>Amsterdam Loads - BB met kluit (incl. €10 borg) - 150-175 cm</t>
  </si>
  <si>
    <t>Pickup-Location-Id: 278026
 Pickup-Day: wednesday
 Pickup-Date: 2025/12/03
 Pickup-Time: 1\:00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</si>
  <si>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#BB-25-7777</t>
  </si>
  <si>
    <t>03-12-2025, 13:00, DENHAAG-PLUK, Pickup Order, WAKE-UP, Wednesday</t>
  </si>
  <si>
    <t>#BB-25-7779</t>
  </si>
  <si>
    <t>Pickup-Location-Id: 278023
 Pickup-Day: sunday
 Pickup-Date: 2025/12/07
 Pickup-Time: 1\:00 PM
 Pickup-Location-Company: BREDA - Kinderboerderij Wolfslaar
 Pickup-Location-Address-Line-1: Wolfslaardreef 95
 Pickup-Location-City: Breda
 Pickup-Location-Postal-Code: 4834 SN
 Pickup-Location-Country: Netherlands
 Checkout-Method: pickup</t>
  </si>
  <si>
    <t>#BB-25-7780</t>
  </si>
  <si>
    <t>07-12-2025, 13:00, BREDA-WOLFSLAAR, Pickup Order, Sunday, WAKE-UP</t>
  </si>
  <si>
    <t>#BB-25-7781</t>
  </si>
  <si>
    <t>#BB-25-7782</t>
  </si>
  <si>
    <t>#BB-25-7784</t>
  </si>
  <si>
    <t>#BB-25-7749</t>
  </si>
  <si>
    <t>#BB-25-7786</t>
  </si>
  <si>
    <t>Checkout-Method: pickup
 Pickup-Location-Id: 278026
 Pickup-Day: saturday
 Pickup-Date: 2025/12/06
 Pickup-Time: 2\:00 PM
 Pickup-Location-Company: DEN HAAG - Pluk!
 Pickup-Location-Address-Line-1: Loosduinse Hoofdstraat
 Pickup-Location-City: Den Haag
 Pickup-Location-Postal-Code: 2552 AV
 Pickup-Location-Country: Netherlands
 Pickup-Location-Phone: 0653459881</t>
  </si>
  <si>
    <t>#BB-25-7788</t>
  </si>
  <si>
    <t>#BB-25-7789</t>
  </si>
  <si>
    <t>#BB-25-7790</t>
  </si>
  <si>
    <t>Checkout-Method: pickup
 Pickup-Location-Id: 278026
 Pickup-Day: sunday
 Pickup-Date: 2025/12/07
 Pickup-Time: 11\:00 AM
 Pickup-Location-Company: DEN HAAG - Pluk!
 Pickup-Location-Address-Line-1: Loosduinse Hoofdstraat
 Pickup-Location-City: Den Haag
 Pickup-Location-Postal-Code: 2552 AV
 Pickup-Location-Country: Netherlands
 Pickup-Location-Phone: 0653459881</t>
  </si>
  <si>
    <t>#BB-25-7791</t>
  </si>
  <si>
    <t>Checkout-Method: pickup
 Pickup-Location-Id: 303727
 Pickup-Day: sunday
 Pickup-Date: 2025/12/07
 Pickup-Time: 10\:00 AM
 Pickup-Location-Company: Hilversum - Ome Joop
 Pickup-Location-Address-Line-1: Kromme Rade 6
 Pickup-Location-City: Kortenhoef
 Pickup-Location-Postal-Code: 1241 LK
 Pickup-Location-Country: Netherlands</t>
  </si>
  <si>
    <t>#BB-25-7792</t>
  </si>
  <si>
    <t>07-12-2025, 10:00, HILVERSUM-OMEJOOP, Pickup Order, Sunday, WAKE-UP</t>
  </si>
  <si>
    <t>#BB-25-7794</t>
  </si>
  <si>
    <t>Pickup-Location-Id: 302654
 Pickup-Day: friday
 Pickup-Date: 2025/12/05
 Pickup-Time: 12\:00 PM
 Pickup-Location-Company: UTRECHT - Steck
 Pickup-Location-Address-Line-1: Gageldijk 3
 Pickup-Location-City: Utrecht
 Pickup-Location-Postal-Code: 3566 ME
 Pickup-Location-Country: Netherlands
 Checkout-Method: pickup</t>
  </si>
  <si>
    <t>#BB-25-7797</t>
  </si>
  <si>
    <t>05-12-2025, 12:00, Friday, Pickup Order, UTRECHT-STECK, WAKE-UP</t>
  </si>
  <si>
    <t>#BB-25-7800</t>
  </si>
  <si>
    <t>#BB-25-7802</t>
  </si>
  <si>
    <t>#BB-25-7803</t>
  </si>
  <si>
    <t>Pickup-Location-Id: 279658
 Pickup-Day: saturday
 Pickup-Date: 2025/12/06
 Pickup-Time: 2\:40 PM
 Pickup-Location-Company: HAARLEM - Houtbaar
 Pickup-Location-Address-Line-1: Woudplein 2
 Pickup-Location-City: Haarlem
 Pickup-Location-Postal-Code: 2031 CZ
 Pickup-Location-Country: Netherlands
 Checkout-Method: pickup</t>
  </si>
  <si>
    <t>#BB-25-7804</t>
  </si>
  <si>
    <t>06-12-2025, 14:40, HAARLEM-HOUTBAAR, Pickup Order, Saturday, WAKE-UP</t>
  </si>
  <si>
    <t>#BB-25-7805</t>
  </si>
  <si>
    <t>#BB-25-7807</t>
  </si>
  <si>
    <t>#BB-25-7759</t>
  </si>
  <si>
    <t>#BB-25-7811</t>
  </si>
  <si>
    <t>#BB-25-7812</t>
  </si>
  <si>
    <t>#BB-25-7815</t>
  </si>
  <si>
    <t>#BB-25-7816</t>
  </si>
  <si>
    <t>#BB-25-7818</t>
  </si>
  <si>
    <t>#BB-25-7819</t>
  </si>
  <si>
    <t>#BB-25-7820</t>
  </si>
  <si>
    <t>#BB-25-7827</t>
  </si>
  <si>
    <t>#BB-25-7772</t>
  </si>
  <si>
    <t>Pickup-Location-Id: 302654
 Pickup-Day: thursday
 Pickup-Date: 2025/12/04
 Pickup-Time: 1\:00 PM
 Pickup-Location-Company: UTRECHT - Steck
 Pickup-Location-Address-Line-1: Gageldijk 3
 Pickup-Location-City: Utrecht
 Pickup-Location-Postal-Code: 3566 ME
 Pickup-Location-Country: Netherlands
 Checkout-Method: pickup</t>
  </si>
  <si>
    <t>#BB-25-7830</t>
  </si>
  <si>
    <t>04-12-2025, 13:00, Pickup Order, Thursday, UTRECHT-STECK, WAKE-UP</t>
  </si>
  <si>
    <t>#BB-25-7832</t>
  </si>
  <si>
    <t>Pickup-Location-Id: 279658
 Pickup-Day: saturday
 Pickup-Date: 2025/12/06
 Pickup-Time: 5\:00 PM
 Pickup-Location-Company: HAARLEM - Houtbaar
 Pickup-Location-Address-Line-1: Woudplein 2
 Pickup-Location-City: Haarlem
 Pickup-Location-Postal-Code: 2031 CZ
 Pickup-Location-Country: Netherlands
 Checkout-Method: pickup</t>
  </si>
  <si>
    <t>#BB-25-7833</t>
  </si>
  <si>
    <t>06-12-2025, 17:00, HAARLEM-HOUTBAAR, Pickup Order, Saturday, WAKE-UP</t>
  </si>
  <si>
    <t>#BB-25-7834</t>
  </si>
  <si>
    <t>#BB-25-7836</t>
  </si>
  <si>
    <t>#BB-25-7837</t>
  </si>
  <si>
    <t>#BB-25-7838</t>
  </si>
  <si>
    <t>#BB-25-7839</t>
  </si>
  <si>
    <t>Pickup-Location-Id: 302654
 Pickup-Day: friday
 Pickup-Date: 2025/12/05
 Pickup-Time: 5\:30 PM
 Pickup-Location-Company: UTRECHT - Steck
 Pickup-Location-Address-Line-1: Gageldijk 3
 Pickup-Location-City: Utrecht
 Pickup-Location-Postal-Code: 3566 ME
 Pickup-Location-Country: Netherlands
 Checkout-Method: pickup</t>
  </si>
  <si>
    <t>#BB-25-7840</t>
  </si>
  <si>
    <t>05-12-2025, 17:30, Friday, Pickup Order, UTRECHT-STECK, WAKE-UP</t>
  </si>
  <si>
    <t>#BB-25-7841</t>
  </si>
  <si>
    <t>Pickup-Location-Id: 278026
 Pickup-Day: saturday
 Pickup-Date: 2025/12/06
 Pickup-Time: 11\:40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</si>
  <si>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11\:40 AM</t>
  </si>
  <si>
    <t>#BB-25-7810</t>
  </si>
  <si>
    <t>06-12-2025, 11:40, DENHAAG-PLUK, Pickup Order, Saturday, WAKE-UP</t>
  </si>
  <si>
    <t>#BB-25-7843</t>
  </si>
  <si>
    <t>ENSCHEDE-DE-WIECKSE-BOOM-ZONDER-150-175</t>
  </si>
  <si>
    <t>#BB-25-7844</t>
  </si>
  <si>
    <t>Enschede De Wieckse - BB zonder kluit - 150-175 cm</t>
  </si>
  <si>
    <t>#BB-25-7845</t>
  </si>
  <si>
    <t>Pickup-Location-Id: 303712
 Pickup-Day: saturday
 Pickup-Date: 2025/12/06
 Pickup-Time: 12\:35 PM
 Pickup-Location-Company: AMSTERDAM - Loads
 Pickup-Location-Address-Line-1: Ms. Tarnweg 10
 Pickup-Location-City: Amsterdam
 Pickup-Location-Postal-Code: 1033 SK
 Pickup-Location-Country: Netherlands
 Checkout-Method: pickup</t>
  </si>
  <si>
    <t>#BB-25-7846</t>
  </si>
  <si>
    <t>06-12-2025, 12:35, AMSTERDM-LOADS, Pickup Order, Saturday, WAKE-UP</t>
  </si>
  <si>
    <t>#BB-25-7847</t>
  </si>
  <si>
    <t>Pickup-Location-Id: 278030
 Pickup-Day: saturday
 Pickup-Date: 2025/12/06
 Pickup-Time: 3\:00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</si>
  <si>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#BB-25-7848</t>
  </si>
  <si>
    <t>06-12-2025, 15:00, DENBOSCH-BWWB, Pickup Order, Saturday, WAKE-UP</t>
  </si>
  <si>
    <t>#BB-25-7851</t>
  </si>
  <si>
    <t>#BB-25-7853</t>
  </si>
  <si>
    <t>Pickup-Location-Id: 302654
 Pickup-Day: friday
 Pickup-Date: 2025/12/05
 Pickup-Time: 10\:00 AM
 Pickup-Location-Company: UTRECHT - Steck
 Pickup-Location-Address-Line-1: Gageldijk 3
 Pickup-Location-City: Utrecht
 Pickup-Location-Postal-Code: 3566 ME
 Pickup-Location-Country: Netherlands
 Checkout-Method: pickup</t>
  </si>
  <si>
    <t>#BB-25-7829</t>
  </si>
  <si>
    <t>05-12-2025, 10:00, Friday, Pickup Order, UTRECHT-STECK, WAKE-UP</t>
  </si>
  <si>
    <t>#BB-25-7856</t>
  </si>
  <si>
    <t>Pickup-Location-Id: 278031
 Pickup-Day: saturday
 Pickup-Date: 2025/12/13
 Pickup-Time: 12\:00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</si>
  <si>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#BB-25-7857</t>
  </si>
  <si>
    <t>12:00, 13-12-2025, Pickup Order, ROTTERDAM-SCHIEVEEN, Saturday, WAKE-UP</t>
  </si>
  <si>
    <t>#BB-25-7858</t>
  </si>
  <si>
    <t>#BB-25-7861</t>
  </si>
  <si>
    <t>#BB-25-7865</t>
  </si>
  <si>
    <t>#BB-25-7842</t>
  </si>
  <si>
    <t>Pickup-Location-Id: 278553
 Pickup-Day: sunday
 Pickup-Date: 2025/11/30
 Pickup-Time: 12\:30 PM
 Pickup-Location-Company: LEIDEN - The Fields
 Pickup-Location-Address-Line-1: Stationsplein 25
 Pickup-Location-City: Leiden
 Pickup-Location-Postal-Code: 2312 AJ
 Pickup-Location-Country: Netherlands
 Checkout-Method: pickup</t>
  </si>
  <si>
    <t>#BB-25-7854</t>
  </si>
  <si>
    <t>12:30, 30-11-2025, LEIDEN-THEFIELD, Pickup Order, Sunday, WAKE-UP</t>
  </si>
  <si>
    <t>#BB-25-7799</t>
  </si>
  <si>
    <t>#BB-25-7867</t>
  </si>
  <si>
    <t>#BB-25-7872</t>
  </si>
  <si>
    <t>#BB-25-7873</t>
  </si>
  <si>
    <t>#BB-25-7875</t>
  </si>
  <si>
    <t>#BB-25-7877</t>
  </si>
  <si>
    <t>#BB-25-7878</t>
  </si>
  <si>
    <t>#BB-25-7879</t>
  </si>
  <si>
    <t>#BB-25-7881</t>
  </si>
  <si>
    <t>#BB-25-7883</t>
  </si>
  <si>
    <t>#BB-25-7884</t>
  </si>
  <si>
    <t>Pickup-Location-Id: 278027
 Pickup-Day: sunday
 Pickup-Date: 2025/12/07
 Pickup-Time: 1\:45 PM
 Pickup-Location-Company: GOUDA - Stadskant
 Pickup-Location-Address-Line-1: Agnietenstraat 19
 Pickup-Location-City: Gouda
 Pickup-Location-Postal-Code: 2801 GH
 Pickup-Location-Country: Netherlands
 Checkout-Method: pickup</t>
  </si>
  <si>
    <t>#BB-25-7885</t>
  </si>
  <si>
    <t>07-12-2025, 13:45, GOUDA, Pickup Order, Sunday, WAKE-UP</t>
  </si>
  <si>
    <t>#BB-25-7886</t>
  </si>
  <si>
    <t>#BB-25-7887</t>
  </si>
  <si>
    <t>#BB-25-7888</t>
  </si>
  <si>
    <t>Checkout-Method: pickup
 Pickup-Location-Id: 278031
 Pickup-Day: saturday
 Pickup-Date: 2025/12/06
 Pickup-Time: 11\:30 AM
 Pickup-Location-Company: ROTTERDAM - Belevenisboerderij Schieveen
 Pickup-Location-Address-Line-1: Oude Bovendijk 220
 Pickup-Location-City: Rotterdam
 Pickup-Location-Postal-Code: 3046 NL
 Pickup-Location-Country: Netherlands</t>
  </si>
  <si>
    <t>#BB-25-7890</t>
  </si>
  <si>
    <t>#BB-25-7893</t>
  </si>
  <si>
    <t>#BB-25-7894</t>
  </si>
  <si>
    <t>#BB-25-7898</t>
  </si>
  <si>
    <t>#BB-25-7899</t>
  </si>
  <si>
    <t>#BB-25-7900</t>
  </si>
  <si>
    <t>Pickup-Location-Id: 278026
 Pickup-Day: friday
 Pickup-Date: 2025/12/05
 Pickup-Time: 12\:00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</si>
  <si>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#BB-25-7901</t>
  </si>
  <si>
    <t>05-12-2025, 12:00, DENHAAG-PLUK, Friday, Pickup Order, WAKE-UP</t>
  </si>
  <si>
    <t>#BB-25-7902</t>
  </si>
  <si>
    <t>#BB-25-7903</t>
  </si>
  <si>
    <t>#BB-25-7905</t>
  </si>
  <si>
    <t>#BB-25-7906</t>
  </si>
  <si>
    <t>#BB-25-7907</t>
  </si>
  <si>
    <t>#BB-25-7911</t>
  </si>
  <si>
    <t>#BB-25-7912</t>
  </si>
  <si>
    <t>Pickup-Location-Id: 302654
 Pickup-Day: friday
 Pickup-Date: 2025/12/05
 Pickup-Time: 1\:00 PM
 Pickup-Location-Company: UTRECHT - Steck
 Pickup-Location-Address-Line-1: Gageldijk 3
 Pickup-Location-City: Utrecht
 Pickup-Location-Postal-Code: 3566 ME
 Pickup-Location-Country: Netherlands
 Checkout-Method: pickup</t>
  </si>
  <si>
    <t>#BB-25-7913</t>
  </si>
  <si>
    <t>05-12-2025, 13:00, Friday, Pickup Order, UTRECHT-STECK, WAKE-UP</t>
  </si>
  <si>
    <t>#BB-25-7914</t>
  </si>
  <si>
    <t>Pickup-Location-Id: 302654
 Pickup-Day: sunday
 Pickup-Date: 2025/11/30
 Pickup-Time: 2\:00 PM
 Pickup-Location-Company: UTRECHT - Steck
 Pickup-Location-Address-Line-1: Gageldijk 3
 Pickup-Location-City: Utrecht
 Pickup-Location-Postal-Code: 3566 ME
 Pickup-Location-Country: Netherlands
 Checkout-Method: pickup</t>
  </si>
  <si>
    <t>#BB-25-7915</t>
  </si>
  <si>
    <t>14:00, 30-11-2025, Pickup Order, Sunday, UTRECHT-STECK, WAKE-UP</t>
  </si>
  <si>
    <t>#BB-25-7916</t>
  </si>
  <si>
    <t>#BB-25-7917</t>
  </si>
  <si>
    <t>Pickup-Location-Id: 278462
 Pickup-Day: sunday
 Pickup-Date: 2025/11/30
 Pickup-Time: 12\:30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</si>
  <si>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#BB-25-7918</t>
  </si>
  <si>
    <t>12:30, 30-11-2025, AMSTERDAM-MOLEN, Pickup Order, Sunday, WAKE-UP</t>
  </si>
  <si>
    <t>#BB-25-7919</t>
  </si>
  <si>
    <t>#BB-25-7920</t>
  </si>
  <si>
    <t>#BB-25-7921</t>
  </si>
  <si>
    <t>#BB-25-7923</t>
  </si>
  <si>
    <t>#BB-25-7924</t>
  </si>
  <si>
    <t>Pickup-Location-Id: 279658
 Pickup-Day: saturday
 Pickup-Date: 2025/12/03
 Pickup-Time: 12\:00 PM
 Pickup-Location-Company: HAARLEM - Houtbaar
 Pickup-Location-Address-Line-1: Woudplein 2
 Pickup-Location-City: Haarlem
 Pickup-Location-Postal-Code: 2031 CZ
 Pickup-Location-Country: Netherlands
 Checkout-Method: pickup</t>
  </si>
  <si>
    <t>#BB-25-7870</t>
  </si>
  <si>
    <t>#BB-25-7871</t>
  </si>
  <si>
    <t>Pickup-Location-Id: 278576
 Pickup-Day: saturday
 Pickup-Date: 2025/12/06
 Pickup-Time: 11\:00 PM
 Pickup-Location-Company: ROTTERDAM - Het witte paard
 Pickup-Location-Address-Line-1: Groenezoom 245
 Pickup-Location-City: Rotterdam
 Pickup-Location-Postal-Code: 3075GD
 Pickup-Location-Country: Netherlands
 Checkout-Method: pickup</t>
  </si>
  <si>
    <t>11\:00 PM</t>
  </si>
  <si>
    <t>#BB-25-7866</t>
  </si>
  <si>
    <t>#BB-25-7926</t>
  </si>
  <si>
    <t>#BB-25-7932</t>
  </si>
  <si>
    <t>06-12-2025, 10:15, EDE_ENKA, Pickup Order, Saturday, WAKE-UP</t>
  </si>
  <si>
    <t>Pickup-Location-Id: 303545
 Pickup-Day: sunday
 Pickup-Date: 2025/12/14
 Pickup-Time: 2\:15 PM
 Pickup-Location-Company: DELFT - buytendelft
 Pickup-Location-Address-Line-1: Korftlaan 3a
 Pickup-Location-City: Delft
 Pickup-Location-Postal-Code: 2616 LJ
 Pickup-Location-Country: Netherlands
 Checkout-Method: pickup</t>
  </si>
  <si>
    <t>#BB-25-7933</t>
  </si>
  <si>
    <t>14-12-2025, 14:15, DELFT-BUYTEN, Pickup Order, Sunday, WAKE-UP</t>
  </si>
  <si>
    <t>#BB-25-7935</t>
  </si>
  <si>
    <t>#BB-25-7937</t>
  </si>
  <si>
    <t>#BB-25-7938</t>
  </si>
  <si>
    <t>Pickup-Location-Id: 278030
 Pickup-Day: saturday
 Pickup-Date: 2025/12/06
 Pickup-Time: 3\:20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</si>
  <si>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3\:20 PM</t>
  </si>
  <si>
    <t>#BB-25-7939</t>
  </si>
  <si>
    <t>06-12-2025, 15:20, DENBOSCH-BWWB, Pickup Order, Saturday, WAKE-UP</t>
  </si>
  <si>
    <t>#BB-25-7940</t>
  </si>
  <si>
    <t>#BB-25-7941</t>
  </si>
  <si>
    <t>#BB-25-7942</t>
  </si>
  <si>
    <t>#BB-25-7943</t>
  </si>
  <si>
    <t>#BB-25-7944</t>
  </si>
  <si>
    <t>#BB-25-7945</t>
  </si>
  <si>
    <t>#BB-25-7946</t>
  </si>
  <si>
    <t>Pickup-Location-Id: 278576
 Pickup-Day: saturday
 Pickup-Date: 2025/12/06
 Pickup-Time: 11\:40 AM
 Pickup-Location-Company: ROTTERDAM - Het witte paard
 Pickup-Location-Address-Line-1: Groenezoom 245
 Pickup-Location-City: Rotterdam
 Pickup-Location-Postal-Code: 3075GD
 Pickup-Location-Country: Netherlands
 Checkout-Method: pickup</t>
  </si>
  <si>
    <t>#BB-25-7949</t>
  </si>
  <si>
    <t>06-12-2025, 11:40, Pickup Order, ROTTERDAM-WITTEPAARD, Saturday, WAKE-UP</t>
  </si>
  <si>
    <t>#BB-25-7950</t>
  </si>
  <si>
    <t>Pickup-Location-Id: 302654
 Pickup-Day: sunday
 Pickup-Date: 2025/11/30
 Pickup-Time: 10\:00 AM
 Pickup-Location-Company: UTRECHT - Steck
 Pickup-Location-Address-Line-1: Gageldijk 3
 Pickup-Location-City: Utrecht
 Pickup-Location-Postal-Code: 3566 ME
 Pickup-Location-Country: Netherlands
 Checkout-Method: pickup</t>
  </si>
  <si>
    <t>#BB-25-7951</t>
  </si>
  <si>
    <t>10:00, 30-11-2025, Pickup Order, Sunday, UTRECHT-STECK, WAKE-UP</t>
  </si>
  <si>
    <t>#BB-25-7952</t>
  </si>
  <si>
    <t>#BB-25-7953</t>
  </si>
  <si>
    <t>#BB-25-7955</t>
  </si>
  <si>
    <t>#BB-25-7956</t>
  </si>
  <si>
    <t>#BB-25-7958</t>
  </si>
  <si>
    <t>#BB-25-7959</t>
  </si>
  <si>
    <t>#BB-25-7960</t>
  </si>
  <si>
    <t>#BB-25-7961</t>
  </si>
  <si>
    <t>#BB-25-7962</t>
  </si>
  <si>
    <t>#BB-25-7963</t>
  </si>
  <si>
    <t>#BB-25-7964</t>
  </si>
  <si>
    <t>HAARLEM-HOUTBAAR-BOOM-ZONDER-250-300</t>
  </si>
  <si>
    <t>#BB-25-7965</t>
  </si>
  <si>
    <t>Haarlem Houtbaar - BB zonder kluit - 250-300</t>
  </si>
  <si>
    <t>Pickup-Location-Id: 278026
 Pickup-Day: friday
 Pickup-Date: 2025/12/05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</si>
  <si>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#BB-25-7966</t>
  </si>
  <si>
    <t>05-12-2025, 11:00, DENHAAG-PLUK, Friday, Pickup Order, WAKE-UP</t>
  </si>
  <si>
    <t>#BB-25-7967</t>
  </si>
  <si>
    <t>#BB-25-7969</t>
  </si>
  <si>
    <t>Pickup-Location-Id: 278031
 Pickup-Day: sunday
 Pickup-Date: 2025/12/07
 Pickup-Time: 3\:00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</si>
  <si>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#BB-25-7970</t>
  </si>
  <si>
    <t>07-12-2025, 15:00, Pickup Order, ROTTERDAM-SCHIEVEEN, Sunday, WAKE-UP</t>
  </si>
  <si>
    <t>#BB-25-7971</t>
  </si>
  <si>
    <t>Pickup-Location-Id: 279658
 Pickup-Day: saturday
 Pickup-Date: 2025/12/06
 Pickup-Time: 1\:20 PM
 Pickup-Location-Company: HAARLEM - Houtbaar
 Pickup-Location-Address-Line-1: Woudplein 2
 Pickup-Location-City: Haarlem
 Pickup-Location-Postal-Code: 2031 CZ
 Pickup-Location-Country: Netherlands
 Checkout-Method: pickup</t>
  </si>
  <si>
    <t>#BB-25-7972</t>
  </si>
  <si>
    <t>06-12-2025, 13:20, HAARLEM-HOUTBAAR, Pickup Order, Saturday, WAKE-UP</t>
  </si>
  <si>
    <t>#BB-25-7928</t>
  </si>
  <si>
    <t>EINDHOVEN-KLOKGEBOUW-BOOM-ZONDER-150-175</t>
  </si>
  <si>
    <t>#BB-25-7930</t>
  </si>
  <si>
    <t>Eindhoven Klokgebouw - BB zonder kluit - 150-175 cm</t>
  </si>
  <si>
    <t>Pickup-Location-Id: 278576
 Pickup-Day: saturday
 Pickup-Date: 2025/12/06
 Pickup-Time: 11\:20 AM
 Pickup-Location-Company: ROTTERDAM - Het witte paard
 Pickup-Location-Address-Line-1: Groenezoom 245
 Pickup-Location-City: Rotterdam
 Pickup-Location-Postal-Code: 3075GD
 Pickup-Location-Country: Netherlands
 Checkout-Method: pickup</t>
  </si>
  <si>
    <t>#BB-25-7931</t>
  </si>
  <si>
    <t>06-12-2025, 11:20, Pickup Order, ROTTERDAM-WITTEPAARD, Saturday, WAKE-UP</t>
  </si>
  <si>
    <t>Pickup-Location-Id: 278027
 Pickup-Day: saturday
 Pickup-Date: 2025/12/06
 Pickup-Time: 3\:45 PM
 Pickup-Location-Company: GOUDA - Stadskant
 Pickup-Location-Address-Line-1: Agnietenstraat 19
 Pickup-Location-City: Gouda
 Pickup-Location-Postal-Code: 2801 GH
 Pickup-Location-Country: Netherlands
 Checkout-Method: pickup</t>
  </si>
  <si>
    <t>#BB-25-7975</t>
  </si>
  <si>
    <t>06-12-2025, 15:45, GOUDA, Pickup Order, Saturday, WAKE-UP</t>
  </si>
  <si>
    <t>Pickup-Location-Id: 278027
 Pickup-Day: sunday
 Pickup-Date: 2025/11/30
 Pickup-Time: 2\:15 PM
 Pickup-Location-Company: GOUDA - Stadskant
 Pickup-Location-Address-Line-1: Agnietenstraat 19
 Pickup-Location-City: Gouda
 Pickup-Location-Postal-Code: 2801 GH
 Pickup-Location-Country: Netherlands
 Checkout-Method: pickup</t>
  </si>
  <si>
    <t>#BB-25-7979</t>
  </si>
  <si>
    <t>14:15, 30-11-2025, GOUDA, Pickup Order, Sunday, WAKE-UP</t>
  </si>
  <si>
    <t>#BB-25-7980</t>
  </si>
  <si>
    <t>#BB-25-7982</t>
  </si>
  <si>
    <t>#BB-25-7983</t>
  </si>
  <si>
    <t>AMSTERDAM-MOLEN-DE-OTTER-BOOM-ZONDER-250-300</t>
  </si>
  <si>
    <t>#BB-25-7984</t>
  </si>
  <si>
    <t>Amsterdam Molen de Otter - BB zonder kluit - 250-300 cm</t>
  </si>
  <si>
    <t>#BB-25-7986</t>
  </si>
  <si>
    <t>#BB-25-7987</t>
  </si>
  <si>
    <t>#BB-25-7988</t>
  </si>
  <si>
    <t>ENSCHEDE-DE-WIECKSE-BOOM-MET-BORG-150-175</t>
  </si>
  <si>
    <t>Pickup-Location-Id: 304221
 Pickup-Day: saturday
 Pickup-Date: 2025/12/13
 Pickup-Time: 2\:00 PM
 Pickup-Location-Company: ENSCHEDE DE WIECKSE
 Pickup-Location-Address-Line-1: Keizerweg 40
 Pickup-Location-City: Enschede
 Pickup-Location-Postal-Code: 7548PX
 Pickup-Location-Country: Netherlands
 Checkout-Method: pickup</t>
  </si>
  <si>
    <t>#BB-25-7990</t>
  </si>
  <si>
    <t>13-12-2025, 14:00, Enschede-DEWIECKE, Pickup Order, Saturday, WAKE-UP</t>
  </si>
  <si>
    <t>Enschede De wieckse - BB met kluit (incl. €10 borg) - 150-175 cm</t>
  </si>
  <si>
    <t>#BB-25-7976</t>
  </si>
  <si>
    <t>#BB-25-7977</t>
  </si>
  <si>
    <t>#BB-25-7978</t>
  </si>
  <si>
    <t>#BB-25-7991</t>
  </si>
  <si>
    <t>#BB-25-7996</t>
  </si>
  <si>
    <t>Checkout-Method: pickup
 Pickup-Location-Id: 279658
 Pickup-Day: saturday
 Pickup-Date: 2025/12/06
 Pickup-Time: 2\:00 PM
 Pickup-Location-Company: HAARLEM - Houtbaar
 Pickup-Location-Address-Line-1: Woudplein 2
 Pickup-Location-City: Haarlem
 Pickup-Location-Postal-Code: 2031 CZ
 Pickup-Location-Country: Netherlands</t>
  </si>
  <si>
    <t>#BB-25-7998</t>
  </si>
  <si>
    <t>06-12-2025, 14:00, HAARLEM-HOUTBAAR, Pickup Order, Saturday, WAKE-UP</t>
  </si>
  <si>
    <t>#BB-25-8000</t>
  </si>
  <si>
    <t>#BB-25-8001</t>
  </si>
  <si>
    <t>#BB-25-8002</t>
  </si>
  <si>
    <t>#BB-25-8003</t>
  </si>
  <si>
    <t>#BB-25-8005</t>
  </si>
  <si>
    <t>#BB-25-8006</t>
  </si>
  <si>
    <t>#BB-25-8009</t>
  </si>
  <si>
    <t>#BB-25-8011</t>
  </si>
  <si>
    <t>#BB-25-8012</t>
  </si>
  <si>
    <t>#BB-25-8013</t>
  </si>
  <si>
    <t>#BB-25-8014</t>
  </si>
  <si>
    <t>#BB-25-8015</t>
  </si>
  <si>
    <t>#BB-25-8017</t>
  </si>
  <si>
    <t>Pickup-Location-Id: 302654
 Pickup-Day: friday
 Pickup-Date: 2025/12/05
 Pickup-Time: 9\:00 AM
 Pickup-Location-Company: UTRECHT - Steck
 Pickup-Location-Address-Line-1: Gageldijk 3
 Pickup-Location-City: Utrecht
 Pickup-Location-Postal-Code: 3566 ME
 Pickup-Location-Country: Netherlands
 Checkout-Method: pickup</t>
  </si>
  <si>
    <t>#BB-25-8018</t>
  </si>
  <si>
    <t>05-12-2025, 09:00, Friday, Pickup Order, UTRECHT-STECK, WAKE-UP</t>
  </si>
  <si>
    <t>Pickup-Location-Id: 302976
 Pickup-Day: saturday
 Pickup-Date: 2025/12/06
 Pickup-Time: 12\:35 PM
 Pickup-Location-Company: EINDHOVEN - Wasven
 Pickup-Location-Address-Line-1: Celebeslaan 30
 Pickup-Location-City: Eindhoven
 Pickup-Location-Postal-Code: 5641 AG
 Pickup-Location-Country: Netherlands
 Checkout-Method: pickup</t>
  </si>
  <si>
    <t>#BB-25-8019</t>
  </si>
  <si>
    <t>06-12-2025, 12:35, EINDHOVEN-WASVEN, Pickup Order, Saturday, WAKE-UP</t>
  </si>
  <si>
    <t>#BB-25-8020</t>
  </si>
  <si>
    <t>BB-25-EMILY-50</t>
  </si>
  <si>
    <t>#BB-25-8021</t>
  </si>
  <si>
    <t>Pickup-Location-Id: 303727
 Pickup-Day: wednesday
 Pickup-Date: 2025/12/03
 Pickup-Time: 10\:00 AM
 Pickup-Location-Company: Hilversum - Ome Joop
 Pickup-Location-Address-Line-1: Kromme Rade 6
 Pickup-Location-City: Kortenhoef
 Pickup-Location-Postal-Code: 1241 LK
 Pickup-Location-Country: Netherlands
 Checkout-Method: pickup</t>
  </si>
  <si>
    <t>#BB-25-8022</t>
  </si>
  <si>
    <t>03-12-2025, 10:00, HILVERSUM-OMEJOOP, Pickup Order, WAKE-UP, Wednesday</t>
  </si>
  <si>
    <t>#BB-25-8023</t>
  </si>
  <si>
    <t>EINDHOVEN-KLOKGEBOUW-BOOM-MET-BORG-150-175</t>
  </si>
  <si>
    <t>Pickup-Location-Id: 278508
 Pickup-Day: sunday
 Pickup-Date: 2025/12/07
 Pickup-Time: 1\:00 PM
 Pickup-Location-Company: EINDHOVEN - Klokgebouw
 Pickup-Location-Address-Line-1: Klokgebouw
 Pickup-Location-City: Eindhoven
 Pickup-Location-Postal-Code: 5651 GW
 Pickup-Location-Country: Netherlands
 Checkout-Method: pickup</t>
  </si>
  <si>
    <t>#BB-25-8025</t>
  </si>
  <si>
    <t>07-12-2025, 13:00, Pickup Order, Sunday, WAKE-UP</t>
  </si>
  <si>
    <t>Eindhoven Klokgebouw - BB met kluit (incl. €10 borg) - 150-175 cm</t>
  </si>
  <si>
    <t>#BB-25-8027</t>
  </si>
  <si>
    <t>#BB-25-8028</t>
  </si>
  <si>
    <t>#BB-25-8029</t>
  </si>
  <si>
    <t>Pickup-Location-Id: 279658
 Pickup-Day: saturday
 Pickup-Date: 2025/12/06
 Pickup-Time: 4\:00 PM
 Pickup-Location-Company: HAARLEM - Houtbaar
 Pickup-Location-Address-Line-1: Woudplein 2
 Pickup-Location-City: Haarlem
 Pickup-Location-Postal-Code: 2031 CZ
 Pickup-Location-Country: Netherlands
 Checkout-Method: pickup</t>
  </si>
  <si>
    <t>#BB-25-8030</t>
  </si>
  <si>
    <t>06-12-2025, 16:00, HAARLEM-HOUTBAAR, Pickup Order, Saturday, WAKE-UP</t>
  </si>
  <si>
    <t>#BB-25-8031</t>
  </si>
  <si>
    <t>#BB-25-8032</t>
  </si>
  <si>
    <t>#BB-25-8033</t>
  </si>
  <si>
    <t>#BB-25-8034</t>
  </si>
  <si>
    <t>#BB-25-8035</t>
  </si>
  <si>
    <t>#BB-25-8037</t>
  </si>
  <si>
    <t>Pickup-Location-Id: 278463
 Pickup-Day: sunday
 Pickup-Date: 2025/12/07
 Pickup-Time: 10\:15 PM
 Pickup-Location-Company: UTRECHT - Scouting Willem de Zwijger
 Pickup-Location-Address-Line-1: Bastionweg 2
 Pickup-Location-City: Utrecht
 Pickup-Location-Postal-Code: 3566 MK
 Pickup-Location-Country: Netherlands
 Checkout-Method: pickup</t>
  </si>
  <si>
    <t>10\:15 PM</t>
  </si>
  <si>
    <t>#BB-25-8038</t>
  </si>
  <si>
    <t>#BB-25-7993</t>
  </si>
  <si>
    <t>#BB-25-7994</t>
  </si>
  <si>
    <t>#BB-25-7995</t>
  </si>
  <si>
    <t>#BB-25-8039</t>
  </si>
  <si>
    <t>#BB-25-8040</t>
  </si>
  <si>
    <t>#BB-25-8045</t>
  </si>
  <si>
    <t>#BB-25-8047</t>
  </si>
  <si>
    <t>Pickup-Location-Id: 278023
 Pickup-Day: sunday
 Pickup-Date: 2025/12/07
 Pickup-Time: 11\:40 AM
 Pickup-Location-Company: BREDA - Kinderboerderij Wolfslaar
 Pickup-Location-Address-Line-1: Wolfslaardreef 95
 Pickup-Location-City: Breda
 Pickup-Location-Postal-Code: 4834 SN
 Pickup-Location-Country: Netherlands
 Checkout-Method: pickup</t>
  </si>
  <si>
    <t>#BB-25-8049</t>
  </si>
  <si>
    <t>07-12-2025, 11:40, BREDA-WOLFSLAAR, Pickup Order, Sunday, WAKE-UP</t>
  </si>
  <si>
    <t>#BB-25-8054</t>
  </si>
  <si>
    <t>Pickup-Location-Id: 278021
 Checkout-Method: pickup
 Pickup-Day: saturday
 Pickup-Date: 2025/12/06
 Pickup-Time: 10\:00 AM
 Pickup-Location-Company: AMSTERDAM - Vondeltuin
 Pickup-Location-Address-Line-1: Vondelpark 7
 Pickup-Location-City: Amsterdam
 Pickup-Location-Postal-Code: 1075 VR
 Pickup-Location-Country: Netherlands</t>
  </si>
  <si>
    <t>#BB-25-8056</t>
  </si>
  <si>
    <t>#BB-25-8057</t>
  </si>
  <si>
    <t>#BB-25-8061</t>
  </si>
  <si>
    <t>#BB-25-8062</t>
  </si>
  <si>
    <t>ROTTERDAM-HET-WITTE-PAARD-BOOM-ZONDER-200-250</t>
  </si>
  <si>
    <t>Pickup-Location-Id: 278576
 Pickup-Day: saturday
 Pickup-Date: 2025/12/06
 Pickup-Time: 12\:40 PM
 Pickup-Location-Company: ROTTERDAM - Het witte paard
 Pickup-Location-Address-Line-1: Groenezoom 245
 Pickup-Location-City: Rotterdam
 Pickup-Location-Postal-Code: 3075GD
 Pickup-Location-Country: Netherlands
 Checkout-Method: pickup</t>
  </si>
  <si>
    <t>#BB-25-8063</t>
  </si>
  <si>
    <t>06-12-2025, 12:40, Pickup Order, ROTTERDAM-WITTEPAARD, Saturday, WAKE-UP</t>
  </si>
  <si>
    <t>Rotterdam Het Witte Paard - BB zonder kluit - 200-250 cm</t>
  </si>
  <si>
    <t>#BB-25-8065</t>
  </si>
  <si>
    <t>#BB-25-8067</t>
  </si>
  <si>
    <t>BREDA-FRONTAAL-BOOM-MET-BORG-100-125</t>
  </si>
  <si>
    <t>#BB-25-8070</t>
  </si>
  <si>
    <t>Breda Frontaal - BB met kluit (incl. €10 borg) - 100-125</t>
  </si>
  <si>
    <t>#BB-25-8071</t>
  </si>
  <si>
    <t>#BB-25-8072</t>
  </si>
  <si>
    <t>Pickup-Location-Id: 303727
 Pickup-Day: monday
 Pickup-Date: 2025/12/01
 Pickup-Time: 11\:00 AM
 Pickup-Location-Company: Hilversum - Ome Joop
 Pickup-Location-Address-Line-1: Kromme Rade 6
 Pickup-Location-City: Kortenhoef
 Pickup-Location-Postal-Code: 1241 LK
 Pickup-Location-Country: Netherlands
 Checkout-Method: pickup</t>
  </si>
  <si>
    <t>#BB-25-8074</t>
  </si>
  <si>
    <t>01-12-2025, 11:00, HILVERSUM-OMEJOOP, Monday, Pickup Order, WAKE-UP</t>
  </si>
  <si>
    <t>#BB-25-8075</t>
  </si>
  <si>
    <t>Pickup-Location-Id: 279658
 Pickup-Day: saturday
 Pickup-Date: 2025/12/06
 Pickup-Time: 2\:00 PM
 Pickup-Location-Company: HAARLEM - Houtbaar
 Pickup-Location-Address-Line-1: Woudplein 2
 Pickup-Location-City: Haarlem
 Pickup-Location-Postal-Code: 2031 CZ
 Pickup-Location-Country: Netherlands
 Checkout-Method: pickup</t>
  </si>
  <si>
    <t>#BB-25-8076</t>
  </si>
  <si>
    <t>Pickup-Location-Id: 278026
 Pickup-Day: wednesday
 Pickup-Date: 2025/12/03
 Pickup-Time: 12\:20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</si>
  <si>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#BB-25-8077</t>
  </si>
  <si>
    <t>03-12-2025, 12:20, DENHAAG-PLUK, Pickup Order, WAKE-UP, Wednesday</t>
  </si>
  <si>
    <t>Pickup-Location-Id: 303727
 Pickup-Day: friday
 Pickup-Date: 2025/12/05
 Pickup-Time: 2\:20 PM
 Pickup-Location-Company: Hilversum - Ome Joop
 Pickup-Location-Address-Line-1: Kromme Rade 6
 Pickup-Location-City: Kortenhoef
 Pickup-Location-Postal-Code: 1241 LK
 Pickup-Location-Country: Netherlands
 Checkout-Method: pickup</t>
  </si>
  <si>
    <t>2\:20 PM</t>
  </si>
  <si>
    <t>#BB-25-8078</t>
  </si>
  <si>
    <t>05-12-2025, 14:20, Friday, HILVERSUM-OMEJOOP, Pickup Order, WAKE-UP</t>
  </si>
  <si>
    <t>Checkout-Method: pickup
 Pickup-Location-Id: 278021
 Pickup-Day: saturday
 Pickup-Date: 2025/12/06
 Pickup-Time: 10\:30 AM
 Pickup-Location-Company: AMSTERDAM - Vondeltuin
 Pickup-Location-Address-Line-1: Vondelpark 7
 Pickup-Location-City: Amsterdam
 Pickup-Location-Postal-Code: 1075 VR
 Pickup-Location-Country: Netherlands</t>
  </si>
  <si>
    <t>#BB-25-8079</t>
  </si>
  <si>
    <t>#BB-25-8069</t>
  </si>
  <si>
    <t>#BB-25-8042</t>
  </si>
  <si>
    <t>#BB-25-8044</t>
  </si>
  <si>
    <t>#BB-25-8080</t>
  </si>
  <si>
    <t>#BB-25-8086</t>
  </si>
  <si>
    <t>#BB-25-8087</t>
  </si>
  <si>
    <t>Pickup-Location-Id: 278027
 Pickup-Day: sunday
 Pickup-Date: 2025/12/07
 Pickup-Time: 12\:15 PM
 Pickup-Location-Company: GOUDA - Stadskant
 Pickup-Location-Address-Line-1: Agnietenstraat 19
 Pickup-Location-City: Gouda
 Pickup-Location-Postal-Code: 2801 GH
 Pickup-Location-Country: Netherlands
 Checkout-Method: pickup</t>
  </si>
  <si>
    <t>#BB-25-8088</t>
  </si>
  <si>
    <t>07-12-2025, 12:15, GOUDA, Pickup Order, Sunday, WAKE-UP</t>
  </si>
  <si>
    <t>Pickup-Location-Id: 303712
 Pickup-Day: saturday
 Pickup-Date: 2025/12/06
 Pickup-Time: 11\:15 AM
 Pickup-Location-Company: AMSTERDAM - Loads
 Pickup-Location-Address-Line-1: Ms. Tarnweg 10
 Pickup-Location-City: Amsterdam
 Pickup-Location-Postal-Code: 1033 SK
 Pickup-Location-Country: Netherlands
 Checkout-Method: pickup</t>
  </si>
  <si>
    <t>#BB-25-8090</t>
  </si>
  <si>
    <t>06-12-2025, 11:15, AMSTERDM-LOADS, Pickup Order, Saturday, WAKE-UP</t>
  </si>
  <si>
    <t>#BB-25-8091</t>
  </si>
  <si>
    <t>#BB-25-8094</t>
  </si>
  <si>
    <t>Pickup-Location-Id: 278026
 Pickup-Day: wednesday
 Pickup-Date: 2025/12/03
 Pickup-Time: 12\:40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</si>
  <si>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#BB-25-8096</t>
  </si>
  <si>
    <t>03-12-2025, 12:40, DENHAAG-PLUK, Pickup Order, WAKE-UP, Wednesday</t>
  </si>
  <si>
    <t>#BB-25-8099</t>
  </si>
  <si>
    <t>#BB-25-8100</t>
  </si>
  <si>
    <t>#BB-25-8101</t>
  </si>
  <si>
    <t>#BB-25-8102</t>
  </si>
  <si>
    <t>BREDA-KINDERBOERDERIJ-WOLFSLAAR-BOOM-ZONDER-175-200</t>
  </si>
  <si>
    <t>#BB-25-8103</t>
  </si>
  <si>
    <t>Breda Wolfslaar - BB zonder kluit - 175-200 cm</t>
  </si>
  <si>
    <t>#BB-25-8104</t>
  </si>
  <si>
    <t>#BB-25-8106</t>
  </si>
  <si>
    <t>Pickup-Location-Id: 278034
 Pickup-Day: saturday
 Pickup-Date: 2025/12/06
 Pickup-Time: 12\:05 PM
 Pickup-Location-Company: DEN HAAG - Grote Markt Plein
 Pickup-Location-Address-Line-1: Grote Markt
 Pickup-Location-City: Den Haag
 Pickup-Location-Postal-Code: 2511 BG
 Pickup-Location-Country: Netherlands
 Checkout-Method: pickup</t>
  </si>
  <si>
    <t>12\:05 PM</t>
  </si>
  <si>
    <t>#BB-25-8108</t>
  </si>
  <si>
    <t>06-12-2025, 12:05, DEN HAAG, Pickup Order, Saturday, WAKE-UP</t>
  </si>
  <si>
    <t>Checkout-Method: pickup
 Pickup-Location-Id: 304221
 Pickup-Location-Company: ENSCHEDE DE WIECKSE
 Pickup-Location-Address-Line-1: Keizerweg 40
 Pickup-Location-City: Enschede
 Pickup-Location-Country: Netherlands
 Pickup-Location-Postal-Code: 7548PX
 Pickup-Date: 2025/11/20
 Pickup-Time: 12\:00 PM
 Pickup-Day: wednesday</t>
  </si>
  <si>
    <t>#BB-25-8112</t>
  </si>
  <si>
    <t>12:00, 19-11-2025, Enschede-DEWIECKE, Pickup Order, WAKE-UP, Wednesday</t>
  </si>
  <si>
    <t>test</t>
  </si>
  <si>
    <t>#BB-25-8115</t>
  </si>
  <si>
    <t>#BB-25-8081</t>
  </si>
  <si>
    <t>#BB-25-8082</t>
  </si>
  <si>
    <t>#BB-25-8085</t>
  </si>
  <si>
    <t>#BB-25-8116</t>
  </si>
  <si>
    <t>#BB-25-8121</t>
  </si>
  <si>
    <t>#BB-25-8122</t>
  </si>
  <si>
    <t>Pickup-Location-Id: 279894
 Checkout-Method: pickup
 Pickup-Day: saturday
 Pickup-Date: 2025/12/06
 Pickup-Time: 3\:00 PM
 Pickup-Location-Company: BREDA - Frontaal
 Pickup-Location-Address-Line-1: Liniestraat 31
 Pickup-Location-City: Breda
 Pickup-Location-Postal-Code: 4816 BG
 Pickup-Location-Country: Netherlands</t>
  </si>
  <si>
    <t>#BB-25-8123</t>
  </si>
  <si>
    <t>BB-25-JEN</t>
  </si>
  <si>
    <t>Pickup-Location-Id: 302654
 Pickup-Day: thursday
 Pickup-Date: 2025/12/04
 Pickup-Time: 4\:00 PM
 Pickup-Location-Company: UTRECHT - Steck
 Pickup-Location-Address-Line-1: Gageldijk 3
 Pickup-Location-City: Utrecht
 Pickup-Location-Postal-Code: 3566 ME
 Pickup-Location-Country: Netherlands
 Checkout-Method: pickup</t>
  </si>
  <si>
    <t>#BB-25-8124</t>
  </si>
  <si>
    <t>04-12-2025, 16:00, Pickup Order, Thursday, UTRECHT-STECK, WAKE-UP</t>
  </si>
  <si>
    <t>Pickup-Location-Id: 278462
 Pickup-Day: sunday
 Pickup-Date: 2025/11/30
 Pickup-Time: 1\:15 PM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</si>
  <si>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#BB-25-8125</t>
  </si>
  <si>
    <t>13:15, 30-11-2025, AMSTERDAM-MOLEN, Pickup Order, Sunday, WAKE-UP</t>
  </si>
  <si>
    <t>#BB-25-8126</t>
  </si>
  <si>
    <t>#BB-25-8127</t>
  </si>
  <si>
    <t>Checkout-Method: pickup
 Pickup-Location-Id: 279658
 Pickup-Day: saturday
 Pickup-Date: 2025/12/06
 Pickup-Time: 3\:00 PM
 Pickup-Location-Company: HAARLEM - Houtbaar
 Pickup-Location-Address-Line-1: Woudplein 2
 Pickup-Location-City: Haarlem
 Pickup-Location-Postal-Code: 2031 CZ
 Pickup-Location-Country: Netherlands</t>
  </si>
  <si>
    <t>#BB-25-8129</t>
  </si>
  <si>
    <t>Pickup-Location-Id: 278463
 Checkout-Method: pickup
 Pickup-Day: sunday
 Pickup-Date: 2025/12/07
 Pickup-Time: 10\:35 AM
 Pickup-Location-Company: UTRECHT - Scouting Willem de Zwijger
 Pickup-Location-Address-Line-1: Bastionweg 2
 Pickup-Location-City: Utrecht
 Pickup-Location-Postal-Code: 3566 MK
 Pickup-Location-Country: Netherlands</t>
  </si>
  <si>
    <t>#BB-25-8131</t>
  </si>
  <si>
    <t>#BB-25-8133</t>
  </si>
  <si>
    <t>#BB-25-8137</t>
  </si>
  <si>
    <t>#BB-25-8138</t>
  </si>
  <si>
    <t>#BB-25-8140</t>
  </si>
  <si>
    <t>#BB-25-8143</t>
  </si>
  <si>
    <t>#BB-25-8145</t>
  </si>
  <si>
    <t>#BB-25-8146</t>
  </si>
  <si>
    <t>#BB-25-8147</t>
  </si>
  <si>
    <t>Pickup-Location-Id: 278026
 Pickup-Day: friday
 Pickup-Date: 2025/12/12
 Pickup-Time: 12\:40 PM
 Pickup-Location-Company: DEN HAAG - Pluk!
 Pickup-Location-Address-Line-1: Loosduinse Hoofdstraat
 Pickup-Location-City: Den Haag
 Pickup-Location-Postal-Code: 2552 AV
 Pickup-Location-Country: Netherlands
 Checkout-Method: pickup
 Pickup-Location-Phone: 0653459881</t>
  </si>
  <si>
    <t>#BB-25-8148</t>
  </si>
  <si>
    <t>12-12-2025, 12:40, DENHAAG-PLUK, Friday, Pickup Order, WAKE-UP</t>
  </si>
  <si>
    <t>Pickup-Location-Id: 278462
 Pickup-Day: sunday
 Pickup-Date: 2025/11/30
 Pickup-Time: 10\:45 AM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</si>
  <si>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#BB-25-8149</t>
  </si>
  <si>
    <t>10:45, 30-11-2025, AMSTERDAM-MOLEN, Pickup Order, Sunday, WAKE-UP</t>
  </si>
  <si>
    <t>Pickup-Location-Id: 302654
 Pickup-Day: sunday
 Pickup-Date: 2025/12/07
 Pickup-Time: 4\:00 PM
 Pickup-Location-Company: UTRECHT - Steck
 Pickup-Location-Address-Line-1: Gageldijk 3
 Pickup-Location-City: Utrecht
 Pickup-Location-Postal-Code: 3566 ME
 Pickup-Location-Country: Netherlands
 Checkout-Method: pickup</t>
  </si>
  <si>
    <t>#BB-25-8152</t>
  </si>
  <si>
    <t>07-12-2025, 16:00, Pickup Order, Sunday, UTRECHT-STECK, WAKE-UP</t>
  </si>
  <si>
    <t>#BB-25-8153</t>
  </si>
  <si>
    <t>#BB-25-8154</t>
  </si>
  <si>
    <t>#BB-25-8156</t>
  </si>
  <si>
    <t>#BB-25-8157</t>
  </si>
  <si>
    <t>Pickup-Location-Id: 278861
 Pickup-Day: saturday
 Pickup-Date: 2025/12/06
 Pickup-Time: 10\:35 AM
 Pickup-Location-Company: EDE - Kantine gebouw Enka
 Pickup-Location-Address-Line-1: Kantinegebouw 14
 Pickup-Location-City: Ede
 Pickup-Location-Postal-Code: 6717 XR
 Pickup-Location-Country: Netherlands
 Checkout-Method: pickup</t>
  </si>
  <si>
    <t>#BB-25-8160</t>
  </si>
  <si>
    <t>06-12-2025, 10:35, EDE_ENKA, Pickup Order, Saturday, WAKE-UP</t>
  </si>
  <si>
    <t>Pickup-Location-Id: 303545
 Pickup-Day: saturday
 Pickup-Date: 2025/12/13
 Pickup-Time: 1\:35 PM
 Pickup-Location-Company: DELFT - buytendelft
 Pickup-Location-Address-Line-1: Korftlaan 3a
 Pickup-Location-City: Delft
 Pickup-Location-Postal-Code: 2616 LJ
 Pickup-Location-Country: Netherlands
 Checkout-Method: pickup</t>
  </si>
  <si>
    <t>#BB-25-8161</t>
  </si>
  <si>
    <t>13-12-2025, 13:35, DELFT-BUYTEN, Pickup Order, Saturday, WAKE-UP</t>
  </si>
  <si>
    <t>LEIDEN-PLNT-BOOM-ZONDER-200-250</t>
  </si>
  <si>
    <t>#BB-25-8117</t>
  </si>
  <si>
    <t>Leiden the field - BB zonder kluit - 200-250 cm</t>
  </si>
  <si>
    <t>#BB-25-8118</t>
  </si>
  <si>
    <t>#BB-25-8119</t>
  </si>
  <si>
    <t>Pickup-Location-Id: 278553
 Pickup-Day: sunday
 Pickup-Date: 2025/11/30
 Pickup-Time: 1\:30 PM
 Pickup-Location-Company: LEIDEN - The Fields
 Pickup-Location-Address-Line-1: Stationsplein 25
 Pickup-Location-City: Leiden
 Pickup-Location-Postal-Code: 2312 AJ
 Pickup-Location-Country: Netherlands
 Checkout-Method: pickup</t>
  </si>
  <si>
    <t>#BB-25-8166</t>
  </si>
  <si>
    <t>13:30, 30-11-2025, LEIDEN-THEFIELD, Pickup Order, Sunday, WAKE-UP</t>
  </si>
  <si>
    <t>Pickup-Location-Id: 302654
 Pickup-Day: sunday
 Pickup-Date: 2025/11/30
 Pickup-Time: 4\:00 PM
 Pickup-Location-Company: UTRECHT - Steck
 Pickup-Location-Address-Line-1: Gageldijk 3
 Pickup-Location-City: Utrecht
 Pickup-Location-Postal-Code: 3566 ME
 Pickup-Location-Country: Netherlands
 Checkout-Method: pickup</t>
  </si>
  <si>
    <t>#BB-25-8168</t>
  </si>
  <si>
    <t>16:00, 30-11-2025, Pickup Order, Sunday, UTRECHT-STECK, WAKE-UP</t>
  </si>
  <si>
    <t>#BB-25-8169</t>
  </si>
  <si>
    <t>#BB-25-8170</t>
  </si>
  <si>
    <t>#BB-25-8171</t>
  </si>
  <si>
    <t>Pickup-Location-Id: 303545
 Pickup-Day: saturday
 Pickup-Date: 2025/12/06
 Pickup-Time: 12\:55 PM
 Pickup-Location-Company: DELFT - buytendelft
 Pickup-Location-Address-Line-1: Korftlaan 3a
 Pickup-Location-City: Delft
 Pickup-Location-Postal-Code: 2616 LJ
 Pickup-Location-Country: Netherlands
 Checkout-Method: pickup</t>
  </si>
  <si>
    <t>#BB-25-8172</t>
  </si>
  <si>
    <t>06-12-2025, 12:55, DELFT-BUYTEN, Pickup Order, Saturday, WAKE-UP</t>
  </si>
  <si>
    <t>#BB-25-8173</t>
  </si>
  <si>
    <t>#BB-25-8174</t>
  </si>
  <si>
    <t>#BB-25-8175</t>
  </si>
  <si>
    <t>#BB-25-8178</t>
  </si>
  <si>
    <t>#BB-25-8180</t>
  </si>
  <si>
    <t>Pickup-Location-Id: 279658
 Pickup-Day: saturday
 Pickup-Date: 2025/12/06
 Pickup-Time: 4\:20 PM
 Pickup-Location-Company: HAARLEM - Houtbaar
 Pickup-Location-Address-Line-1: Woudplein 2
 Pickup-Location-City: Haarlem
 Pickup-Location-Postal-Code: 2031 CZ
 Pickup-Location-Country: Netherlands
 Checkout-Method: pickup</t>
  </si>
  <si>
    <t>4\:20 PM</t>
  </si>
  <si>
    <t>#BB-25-8184</t>
  </si>
  <si>
    <t>06-12-2025, 16:20, HAARLEM-HOUTBAAR, Pickup Order, Saturday, WAKE-UP</t>
  </si>
  <si>
    <t>#BB-25-8186</t>
  </si>
  <si>
    <t>#BB-25-8187</t>
  </si>
  <si>
    <t>#BB-25-8188</t>
  </si>
  <si>
    <t>Pickup-Location-Id: 302654
 Pickup-Day: monday
 Pickup-Date: 2025/12/01
 Pickup-Time: 1\:00 PM
 Pickup-Location-Company: UTRECHT - Steck
 Pickup-Location-Address-Line-1: Gageldijk 3
 Pickup-Location-City: Utrecht
 Pickup-Location-Postal-Code: 3566 ME
 Pickup-Location-Country: Netherlands
 Checkout-Method: pickup</t>
  </si>
  <si>
    <t>#BB-25-8189</t>
  </si>
  <si>
    <t>01-12-2025, 13:00, Monday, Pickup Order, UTRECHT-STECK, WAKE-UP</t>
  </si>
  <si>
    <t>#BB-25-8190</t>
  </si>
  <si>
    <t>#BB-25-8191</t>
  </si>
  <si>
    <t>#BB-25-8192</t>
  </si>
  <si>
    <t>#BB-25-8193</t>
  </si>
  <si>
    <t>Pickup-Location-Id: 278861
 Pickup-Day: saturday
 Pickup-Date: 2025/12/06
 Pickup-Time: 11\:15 AM
 Pickup-Location-Company: EDE - Kantine gebouw Enka
 Pickup-Location-Address-Line-1: Kantinegebouw 14
 Pickup-Location-City: Ede
 Pickup-Location-Postal-Code: 6717 XR
 Pickup-Location-Country: Netherlands
 Checkout-Method: pickup</t>
  </si>
  <si>
    <t>#BB-25-8195</t>
  </si>
  <si>
    <t>06-12-2025, 11:15, EDE_ENKA, Pickup Order, Saturday, WAKE-UP</t>
  </si>
  <si>
    <t>Pickup-Location-Id: 302654
 Pickup-Day: monday
 Pickup-Date: 2025/12/01
 Pickup-Time: 10\:30 AM
 Pickup-Location-Company: UTRECHT - Steck
 Pickup-Location-Address-Line-1: Gageldijk 3
 Pickup-Location-City: Utrecht
 Pickup-Location-Postal-Code: 3566 ME
 Pickup-Location-Country: Netherlands
 Checkout-Method: pickup</t>
  </si>
  <si>
    <t>#BB-25-8196</t>
  </si>
  <si>
    <t>01-12-2025, 10:30, Monday, Pickup Order, UTRECHT-STECK, WAKE-UP</t>
  </si>
  <si>
    <t>#BB-25-8197</t>
  </si>
  <si>
    <t>#BB-25-8198</t>
  </si>
  <si>
    <t>#BB-25-8199</t>
  </si>
  <si>
    <t>#BB-25-8201</t>
  </si>
  <si>
    <t>#BB-25-8203</t>
  </si>
  <si>
    <t>#BB-25-8205</t>
  </si>
  <si>
    <t>#BB-25-8207</t>
  </si>
  <si>
    <t>Pickup-Location-Id: 278034
 Pickup-Day: saturday
 Pickup-Date: 2025/12/06
 Pickup-Time: 11\:25 AM
 Pickup-Location-Company: DEN HAAG - Grote Markt Plein
 Pickup-Location-Address-Line-1: Grote Markt
 Pickup-Location-City: Den Haag
 Pickup-Location-Postal-Code: 2511 BG
 Pickup-Location-Country: Netherlands
 Checkout-Method: pickup</t>
  </si>
  <si>
    <t>11\:25 AM</t>
  </si>
  <si>
    <t>#BB-25-8208</t>
  </si>
  <si>
    <t>06-12-2025, 11:25, DEN HAAG, Pickup Order, Saturday, WAKE-UP</t>
  </si>
  <si>
    <t>#BB-25-8209</t>
  </si>
  <si>
    <t>UTRECHT-WILLEM-DE-ZWIJGER-BOOM-ZONDER-200-250</t>
  </si>
  <si>
    <t>#BB-25-8212</t>
  </si>
  <si>
    <t>Utrecht Willem de Zwijger - BB zonder kluit - 200-250 cm</t>
  </si>
  <si>
    <t>Pickup-Location-Id: 278030
 Pickup-Day: saturday
 Pickup-Date: 2025/12/06
 Pickup-Time: 2\:20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</si>
  <si>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#BB-25-8163</t>
  </si>
  <si>
    <t>06-12-2025, 14:20, DENBOSCH-BWWB, Pickup Order, Saturday, WAKE-UP</t>
  </si>
  <si>
    <t>#BB-25-8164</t>
  </si>
  <si>
    <t>#BB-25-8165</t>
  </si>
  <si>
    <t>#BB-25-8214</t>
  </si>
  <si>
    <t>Pickup-Location-Id: 278030
 Pickup-Day: sunday
 Pickup-Date: 2025/12/07
 Pickup-Time: 1\:00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</si>
  <si>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#BB-25-8222</t>
  </si>
  <si>
    <t>07-12-2025, 13:00, DENBOSCH-BWWB, Pickup Order, Sunday, WAKE-UP</t>
  </si>
  <si>
    <t>EINDHOVEN-KLOKGEBOUW-BOOM-MET-BORG-175-200</t>
  </si>
  <si>
    <t>#BB-25-8223</t>
  </si>
  <si>
    <t>Eindhoven Klokgebouw - BB met kluit (incl. €10 borg) - 175-200 cm</t>
  </si>
  <si>
    <t>#BB-25-8224</t>
  </si>
  <si>
    <t>#BB-25-8227</t>
  </si>
  <si>
    <t>Pickup-Location-Id: 278026
 Pickup-Day: friday
 Pickup-Date: 2025/12/05
 Pickup-Time: 1\:00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</si>
  <si>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#BB-25-8229</t>
  </si>
  <si>
    <t>05-12-2025, 13:00, DENHAAG-PLUK, Friday, Pickup Order, WAKE-UP</t>
  </si>
  <si>
    <t>#BB-25-8230</t>
  </si>
  <si>
    <t>#BB-25-8231</t>
  </si>
  <si>
    <t>#BB-25-8232</t>
  </si>
  <si>
    <t>Pickup-Location-Id: 302654
 Pickup-Day: saturday
 Pickup-Date: 2025/12/06
 Pickup-Time: 2\:00 PM
 Pickup-Location-Company: UTRECHT - Steck
 Pickup-Location-Address-Line-1: Gageldijk 3
 Pickup-Location-City: Utrecht
 Pickup-Location-Postal-Code: 3566 ME
 Pickup-Location-Country: Netherlands
 Checkout-Method: pickup</t>
  </si>
  <si>
    <t>#BB-25-8233</t>
  </si>
  <si>
    <t>06-12-2025, 14:00, Pickup Order, Saturday, UTRECHT-STECK, WAKE-UP</t>
  </si>
  <si>
    <t>#BB-25-8235</t>
  </si>
  <si>
    <t>Pickup-Location-Id: 278026
 Pickup-Day: thursday
 Pickup-Date: 2025/12/04
 Pickup-Time: 12\:00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</si>
  <si>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#BB-25-8238</t>
  </si>
  <si>
    <t>04-12-2025, 12:00, DENHAAG-PLUK, Pickup Order, Thursday, WAKE-UP</t>
  </si>
  <si>
    <t>Pickup-Location-Id: 303727
 Pickup-Day: saturday
 Pickup-Date: 2025/12/06
 Pickup-Time: 2\:00 PM
 Pickup-Location-Company: Hilversum - Ome Joop
 Pickup-Location-Address-Line-1: Kromme Rade 6
 Pickup-Location-City: Kortenhoef
 Pickup-Location-Postal-Code: 1241 LK
 Pickup-Location-Country: Netherlands
 Checkout-Method: pickup</t>
  </si>
  <si>
    <t>#BB-25-8239</t>
  </si>
  <si>
    <t>06-12-2025, 14:00, HILVERSUM-OMEJOOP, Pickup Order, Saturday, WAKE-UP</t>
  </si>
  <si>
    <t>#BB-25-8240</t>
  </si>
  <si>
    <t>#BB-25-8215</t>
  </si>
  <si>
    <t>#BB-25-8216</t>
  </si>
  <si>
    <t>#BB-25-8221</t>
  </si>
  <si>
    <t>#BB-25-8241</t>
  </si>
  <si>
    <t>Pickup-Location-Id: 303545
 Checkout-Method: pickup
 Pickup-Day: saturday
 Pickup-Date: 2025/12/06
 Pickup-Time: 11\:15 AM
 Pickup-Location-Company: DELFT - buytendelft
 Pickup-Location-Address-Line-1: Korftlaan 3a
 Pickup-Location-City: Delft
 Pickup-Location-Postal-Code: 2616 LJ
 Pickup-Location-Country: Netherlands</t>
  </si>
  <si>
    <t>#BB-25-8245</t>
  </si>
  <si>
    <t>#BB-25-8246</t>
  </si>
  <si>
    <t>#BB-25-8247</t>
  </si>
  <si>
    <t>Pickup-Location-Id: 302654
 Pickup-Day: saturday
 Pickup-Date: 2025/12/06
 Pickup-Time: 4\:00 PM
 Pickup-Location-Company: UTRECHT - Steck
 Pickup-Location-Address-Line-1: Gageldijk 3
 Pickup-Location-City: Utrecht
 Pickup-Location-Postal-Code: 3566 ME
 Pickup-Location-Country: Netherlands
 Checkout-Method: pickup</t>
  </si>
  <si>
    <t>#BB-25-8248</t>
  </si>
  <si>
    <t>06-12-2025, 16:00, Pickup Order, Saturday, UTRECHT-STECK, WAKE-UP</t>
  </si>
  <si>
    <t>#BB-25-8249</t>
  </si>
  <si>
    <t>#BB-25-8250</t>
  </si>
  <si>
    <t>#BB-25-8251</t>
  </si>
  <si>
    <t>#BB-25-8252</t>
  </si>
  <si>
    <t>#BB-25-8253</t>
  </si>
  <si>
    <t>#BB-25-8254</t>
  </si>
  <si>
    <t>#BB-25-8255</t>
  </si>
  <si>
    <t>#BB-25-8256</t>
  </si>
  <si>
    <t>#BB-25-8257</t>
  </si>
  <si>
    <t>#BB-25-8258</t>
  </si>
  <si>
    <t>TEST-ALEX</t>
  </si>
  <si>
    <t>Pickup-Location-Id: 304221
 Pickup-Day: saturday
 Pickup-Date: 2025/11/21
 Pickup-Time: 11\:00 AM
 Pickup-Location-Company: ENSCHEDE DE WIECKSE
 Pickup-Location-Address-Line-1: Keizerweg 40
 Pickup-Location-City: Enschede
 Pickup-Location-Postal-Code: 7548PX
 Pickup-Location-Country: Netherlands
 Checkout-Method: pickup</t>
  </si>
  <si>
    <t>#BB-25-8260</t>
  </si>
  <si>
    <t>Pickup-Location-Id: 302654
 Pickup-Day: tuesday
 Pickup-Date: 2025/12/02
 Pickup-Location-Company: UTRECHT - Steck
 Pickup-Location-Address-Line-1: Gageldijk 3
 Pickup-Location-City: Utrecht
 Pickup-Location-Postal-Code: 3566 ME
 Pickup-Location-Country: Netherlands
 Checkout-Method: pickup
 Pickup-Time: 12\:30 PM</t>
  </si>
  <si>
    <t>#BB-25-8261</t>
  </si>
  <si>
    <t>02-12-2025, 12:30, Pickup Order, Tuesday, UTRECHT-STECK, WAKE-UP</t>
  </si>
  <si>
    <t>#BB-25-8262</t>
  </si>
  <si>
    <t>#BB-25-8263</t>
  </si>
  <si>
    <t>Pickup-Location-Id: 302976
 Pickup-Day: saturday
 Pickup-Date: 2025/12/06
 Pickup-Time: 2\:35 PM
 Pickup-Location-Company: EINDHOVEN - Wasven
 Pickup-Location-Address-Line-1: Celebeslaan 30
 Pickup-Location-City: Eindhoven
 Pickup-Location-Postal-Code: 5641 AG
 Pickup-Location-Country: Netherlands
 Checkout-Method: pickup</t>
  </si>
  <si>
    <t>#BB-25-8264</t>
  </si>
  <si>
    <t>06-12-2025, 14:35, EINDHOVEN-WASVEN, Pickup Order, Saturday, WAKE-UP</t>
  </si>
  <si>
    <t>#BB-25-8265</t>
  </si>
  <si>
    <t>#BB-25-8266</t>
  </si>
  <si>
    <t>Pickup-Location-Id: 278027
 Pickup-Day: saturday
 Pickup-Date: 2025/12/06
 Pickup-Time: 11\:15 AM
 Pickup-Location-Company: GOUDA - Stadskant
 Pickup-Location-Address-Line-1: Agnietenstraat 19
 Pickup-Location-City: Gouda
 Pickup-Location-Postal-Code: 2801 GH
 Pickup-Location-Country: Netherlands
 Checkout-Method: pickup</t>
  </si>
  <si>
    <t>#BB-25-8267</t>
  </si>
  <si>
    <t>06-12-2025, 11:15, GOUDA, Pickup Order, Saturday, WAKE-UP</t>
  </si>
  <si>
    <t>Pickup-Location-Id: 302654
 Pickup-Day: saturday
 Pickup-Date: 2025/12/06
 Pickup-Time: 2\:30 PM
 Pickup-Location-Company: UTRECHT - Steck
 Pickup-Location-Address-Line-1: Gageldijk 3
 Pickup-Location-City: Utrecht
 Pickup-Location-Postal-Code: 3566 ME
 Pickup-Location-Country: Netherlands
 Checkout-Method: pickup</t>
  </si>
  <si>
    <t>#BB-25-8268</t>
  </si>
  <si>
    <t>06-12-2025, 14:30, Pickup Order, Saturday, UTRECHT-STECK, WAKE-UP</t>
  </si>
  <si>
    <t>#BB-25-8269</t>
  </si>
  <si>
    <t>#BB-25-8271</t>
  </si>
  <si>
    <t>#BB-25-8273</t>
  </si>
  <si>
    <t>#BB-25-8275</t>
  </si>
  <si>
    <t>#BB-25-8278</t>
  </si>
  <si>
    <t>#BB-25-8279</t>
  </si>
  <si>
    <t>#BB-25-8281</t>
  </si>
  <si>
    <t>#BB-25-8282</t>
  </si>
  <si>
    <t>#BB-25-8283</t>
  </si>
  <si>
    <t>#BB-25-8285</t>
  </si>
  <si>
    <t>#BB-25-8286</t>
  </si>
  <si>
    <t>Pickup-Location-Id: 303727
 Pickup-Day: tuesday
 Pickup-Date: 2025/12/02
 Pickup-Time: 12\:00 PM
 Pickup-Location-Company: Hilversum - Ome Joop
 Pickup-Location-Address-Line-1: Kromme Rade 6
 Pickup-Location-City: Kortenhoef
 Pickup-Location-Postal-Code: 1241 LK
 Pickup-Location-Country: Netherlands
 Checkout-Method: pickup</t>
  </si>
  <si>
    <t>#BB-25-8287</t>
  </si>
  <si>
    <t>02-12-2025, 12:00, HILVERSUM-OMEJOOP, Pickup Order, Tuesday, WAKE-UP</t>
  </si>
  <si>
    <t>#BB-25-8290</t>
  </si>
  <si>
    <t>#BB-25-8291</t>
  </si>
  <si>
    <t>#BB-25-8292</t>
  </si>
  <si>
    <t>#BB-25-8293</t>
  </si>
  <si>
    <t>#BB-25-8242</t>
  </si>
  <si>
    <t>#BB-25-8243</t>
  </si>
  <si>
    <t>Pickup-Location-Id: 302654
 Pickup-Day: friday
 Pickup-Date: 2025/12/05
 Pickup-Time: 11\:00 AM
 Pickup-Location-Company: UTRECHT - Steck
 Pickup-Location-Address-Line-1: Gageldijk 3
 Pickup-Location-City: Utrecht
 Pickup-Location-Postal-Code: 3566 ME
 Pickup-Location-Country: Netherlands
 Checkout-Method: pickup</t>
  </si>
  <si>
    <t>#BB-25-8244</t>
  </si>
  <si>
    <t>05-12-2025, 11:00, Friday, Pickup Order, UTRECHT-STECK, WAKE-UP</t>
  </si>
  <si>
    <t>#BB-25-8294</t>
  </si>
  <si>
    <t>Pickup-Location-Id: 302654
 Pickup-Day: monday
 Pickup-Date: 2025/12/01
 Pickup-Time: 5\:30 PM
 Pickup-Location-Company: UTRECHT - Steck
 Pickup-Location-Address-Line-1: Gageldijk 3
 Pickup-Location-City: Utrecht
 Pickup-Location-Postal-Code: 3566 ME
 Pickup-Location-Country: Netherlands
 Checkout-Method: pickup</t>
  </si>
  <si>
    <t>#BB-25-8298</t>
  </si>
  <si>
    <t>01-12-2025, 17:30, Monday, Pickup Order, UTRECHT-STECK, WAKE-UP</t>
  </si>
  <si>
    <t>#BB-25-8299</t>
  </si>
  <si>
    <t>#BB-25-8300</t>
  </si>
  <si>
    <t>Pickup-Location-Id: 303727
 Pickup-Day: thursday
 Pickup-Date: 2025/12/04
 Pickup-Time: 10\:00 AM
 Pickup-Location-Company: Hilversum - Ome Joop
 Pickup-Location-Address-Line-1: Kromme Rade 6
 Pickup-Location-City: Kortenhoef
 Pickup-Location-Postal-Code: 1241 LK
 Pickup-Location-Country: Netherlands
 Checkout-Method: pickup</t>
  </si>
  <si>
    <t>#BB-25-8301</t>
  </si>
  <si>
    <t>04-12-2025, 10:00, HILVERSUM-OMEJOOP, Pickup Order, Thursday, WAKE-UP</t>
  </si>
  <si>
    <t>#BB-25-8302</t>
  </si>
  <si>
    <t>#BB-25-8303</t>
  </si>
  <si>
    <t>#BB-25-8304</t>
  </si>
  <si>
    <t>#BB-25-8305</t>
  </si>
  <si>
    <t>#BB-25-8306</t>
  </si>
  <si>
    <t>#BB-25-8307</t>
  </si>
  <si>
    <t>#BB-25-8308</t>
  </si>
  <si>
    <t>#BB-25-8309</t>
  </si>
  <si>
    <t>#BB-25-8310</t>
  </si>
  <si>
    <t>#BB-25-8311</t>
  </si>
  <si>
    <t>#BB-25-8313</t>
  </si>
  <si>
    <t>#BB-25-8316</t>
  </si>
  <si>
    <t>Pickup-Location-Id: 278861
 Pickup-Day: saturday
 Pickup-Date: 2025/12/06
 Pickup-Time: 10\:55 AM
 Pickup-Location-Company: EDE - Kantine gebouw Enka
 Pickup-Location-Address-Line-1: Kantinegebouw 14
 Pickup-Location-City: Ede
 Pickup-Location-Postal-Code: 6717 XR
 Pickup-Location-Country: Netherlands
 Checkout-Method: pickup</t>
  </si>
  <si>
    <t>#BB-25-8317</t>
  </si>
  <si>
    <t>06-12-2025, 10:55, EDE_ENKA, Pickup Order, Saturday, WAKE-UP</t>
  </si>
  <si>
    <t>#BB-25-8319</t>
  </si>
  <si>
    <t>Pickup-Location-Id: 302654
 Pickup-Day: sunday
 Pickup-Date: 2025/11/30
 Pickup-Time: 5\:00 PM
 Pickup-Location-Company: UTRECHT - Steck
 Pickup-Location-Address-Line-1: Gageldijk 3
 Pickup-Location-City: Utrecht
 Pickup-Location-Postal-Code: 3566 ME
 Pickup-Location-Country: Netherlands
 Checkout-Method: pickup</t>
  </si>
  <si>
    <t>#BB-25-8320</t>
  </si>
  <si>
    <t>17:00, 30-11-2025, Pickup Order, Sunday, UTRECHT-STECK, WAKE-UP</t>
  </si>
  <si>
    <t>#BB-25-8321</t>
  </si>
  <si>
    <t>#BB-25-8322</t>
  </si>
  <si>
    <t>#BB-25-8323</t>
  </si>
  <si>
    <t>#BB-25-8324</t>
  </si>
  <si>
    <t>#BB-25-8325</t>
  </si>
  <si>
    <t>#BB-25-8327</t>
  </si>
  <si>
    <t>#BB-25-8331</t>
  </si>
  <si>
    <t>#BB-25-8332</t>
  </si>
  <si>
    <t>#BB-25-8333</t>
  </si>
  <si>
    <t>Pickup-Location-Id: 302976
 Pickup-Day: saturday
 Pickup-Date: 2025/12/13
 Pickup-Time: 2\:35 PM
 Pickup-Location-Company: EINDHOVEN - Wasven
 Pickup-Location-Address-Line-1: Celebeslaan 30
 Pickup-Location-City: Eindhoven
 Pickup-Location-Postal-Code: 5641 AG
 Pickup-Location-Country: Netherlands
 Checkout-Method: pickup</t>
  </si>
  <si>
    <t>#BB-25-8295</t>
  </si>
  <si>
    <t>13-12-2025, 14:35, EINDHOVEN-WASVEN, Pickup Order, Saturday, WAKE-UP</t>
  </si>
  <si>
    <t>Pickup-Location-Id: 302654
 Pickup-Day: wednesday
 Pickup-Date: 2025/12/03
 Pickup-Time: 11\:00 AM
 Pickup-Location-Company: UTRECHT - Steck
 Pickup-Location-Address-Line-1: Gageldijk 3
 Pickup-Location-City: Utrecht
 Pickup-Location-Postal-Code: 3566 ME
 Pickup-Location-Country: Netherlands
 Checkout-Method: pickup</t>
  </si>
  <si>
    <t>#BB-25-8296</t>
  </si>
  <si>
    <t>03-12-2025, 11:00, Pickup Order, UTRECHT-STECK, WAKE-UP, Wednesday</t>
  </si>
  <si>
    <t>#BB-25-8337</t>
  </si>
  <si>
    <t>#BB-25-8342</t>
  </si>
  <si>
    <t>#BB-25-8344</t>
  </si>
  <si>
    <t>#BB-25-8345</t>
  </si>
  <si>
    <t>#BB-25-8346</t>
  </si>
  <si>
    <t>#BB-25-8349</t>
  </si>
  <si>
    <t>#BB-25-8350</t>
  </si>
  <si>
    <t>#BB-25-8351</t>
  </si>
  <si>
    <t>#BB-25-8352</t>
  </si>
  <si>
    <t>#BB-25-8353</t>
  </si>
  <si>
    <t>#BB-25-8354</t>
  </si>
  <si>
    <t>#BB-25-8355</t>
  </si>
  <si>
    <t>#BB-25-8357</t>
  </si>
  <si>
    <t>#BB-25-8359</t>
  </si>
  <si>
    <t>#BB-25-8360</t>
  </si>
  <si>
    <t>Pickup-Location-Id: 278462
 Pickup-Day: sunday
 Pickup-Date: 2025/11/30
 Pickup-Time: 11\:15 AM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</si>
  <si>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#BB-25-8361</t>
  </si>
  <si>
    <t>11:15, 30-11-2025, AMSTERDAM-MOLEN, Pickup Order, Sunday, WAKE-UP</t>
  </si>
  <si>
    <t>#BB-25-8363</t>
  </si>
  <si>
    <t>Pickup-Location-Id: 278026
 Pickup-Day: friday
 Pickup-Date: 2025/12/12
 Pickup-Time: 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</si>
  <si>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#BB-25-8364</t>
  </si>
  <si>
    <t>12-12-2025, 14:00, DENHAAG-PLUK, Friday, Pickup Order, WAKE-UP</t>
  </si>
  <si>
    <t>Pickup-Location-Id: 278030
 Pickup-Day: sunday
 Pickup-Date: 2025/12/07
 Pickup-Time: 1\:20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</si>
  <si>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#BB-25-8365</t>
  </si>
  <si>
    <t>07-12-2025, 13:20, DENBOSCH-BWWB, Pickup Order, Sunday, WAKE-UP</t>
  </si>
  <si>
    <t>Pickup-Location-Id: 302654
 Pickup-Day: wednesday
 Pickup-Date: 2025/12/03
 Pickup-Time: 4\:00 PM
 Pickup-Location-Company: UTRECHT - Steck
 Pickup-Location-Address-Line-1: Gageldijk 3
 Pickup-Location-City: Utrecht
 Pickup-Location-Postal-Code: 3566 ME
 Pickup-Location-Country: Netherlands
 Checkout-Method: pickup</t>
  </si>
  <si>
    <t>#BB-25-8338</t>
  </si>
  <si>
    <t>03-12-2025, 16:00, Pickup Order, UTRECHT-STECK, WAKE-UP, Wednesday</t>
  </si>
  <si>
    <t>#BB-25-8339</t>
  </si>
  <si>
    <t>#BB-25-8340</t>
  </si>
  <si>
    <t>#BB-25-8366</t>
  </si>
  <si>
    <t>#BB-25-8372</t>
  </si>
  <si>
    <t>#BB-25-8373</t>
  </si>
  <si>
    <t>#BB-25-8374</t>
  </si>
  <si>
    <t>Pickup-Location-Id: 302654
 Pickup-Day: friday
 Pickup-Date: 2025/12/05
 Pickup-Time: 1\:30 PM
 Pickup-Location-Company: UTRECHT - Steck
 Pickup-Location-Address-Line-1: Gageldijk 3
 Pickup-Location-City: Utrecht
 Pickup-Location-Postal-Code: 3566 ME
 Pickup-Location-Country: Netherlands
 Checkout-Method: pickup</t>
  </si>
  <si>
    <t>#BB-25-8375</t>
  </si>
  <si>
    <t>05-12-2025, 13:30, Friday, Pickup Order, UTRECHT-STECK, WAKE-UP</t>
  </si>
  <si>
    <t>#BB-25-8376</t>
  </si>
  <si>
    <t>#BB-25-8377</t>
  </si>
  <si>
    <t>11:00, 14-12-2025, Pickup Order, ROTTERDAM-SCHIEVEEN, Sunday, WAKE-UP</t>
  </si>
  <si>
    <t>#BB-25-8378</t>
  </si>
  <si>
    <t>#BB-25-8379</t>
  </si>
  <si>
    <t>#BB-25-8380</t>
  </si>
  <si>
    <t>Pickup-Location-Id: 278026
 Pickup-Day: friday
 Pickup-Date: 2025/12/12
 Pickup-Time: 3\:00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</si>
  <si>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#BB-25-8381</t>
  </si>
  <si>
    <t>12-12-2025, 15:00, DENHAAG-PLUK, Friday, Pickup Order, WAKE-UP</t>
  </si>
  <si>
    <t>#BB-25-8382</t>
  </si>
  <si>
    <t>#BB-25-8383</t>
  </si>
  <si>
    <t>#BB-25-8384</t>
  </si>
  <si>
    <t>Checkout-Method: pickup
 Pickup-Location-Id: 278021
 Pickup-Day: saturday
 Pickup-Date: 2025/12/13
 Pickup-Time: 10\:00 AM
 Pickup-Location-Company: AMSTERDAM - Vondeltuin
 Pickup-Location-Address-Line-1: Vondelpark 7
 Pickup-Location-City: Amsterdam
 Pickup-Location-Postal-Code: 1075 VR
 Pickup-Location-Country: Netherlands</t>
  </si>
  <si>
    <t>#BB-25-8386</t>
  </si>
  <si>
    <t>#BB-25-8387</t>
  </si>
  <si>
    <t>#BB-25-8388</t>
  </si>
  <si>
    <t>#BB-25-8389</t>
  </si>
  <si>
    <t>#BB-25-8391</t>
  </si>
  <si>
    <t>#BB-25-8392</t>
  </si>
  <si>
    <t>Pickup-Location-Id: 278026
 Pickup-Day: sunday
 Pickup-Date: 2025/12/07
 Pickup-Time: 11\:00 AM
 Pickup-Location-Company: DEN HAAG - Pluk!
 Pickup-Location-Address-Line-1: Loosduinse Hoofdstraat
 Pickup-Location-City: Den Haag
 Pickup-Location-Postal-Code: 2552 AV
 Pickup-Location-Country: Netherlands
 Checkout-Method: pickup
 Pickup-Location-Phone: 0653459881</t>
  </si>
  <si>
    <t>#BB-25-8397</t>
  </si>
  <si>
    <t>#BB-25-8398</t>
  </si>
  <si>
    <t>#BB-25-8399</t>
  </si>
  <si>
    <t>Pickup-Location-Id: 278023
 Pickup-Day: saturday
 Pickup-Date: 2025/12/06
 Pickup-Time: 11\:40 AM
 Pickup-Location-Company: BREDA - Kinderboerderij Wolfslaar
 Pickup-Location-Address-Line-1: Wolfslaardreef 95
 Pickup-Location-City: Breda
 Pickup-Location-Postal-Code: 4834 SN
 Pickup-Location-Country: Netherlands
 Checkout-Method: pickup</t>
  </si>
  <si>
    <t>#BB-25-8400</t>
  </si>
  <si>
    <t>06-12-2025, 11:40, BREDA-WOLFSLAAR, Pickup Order, Saturday, WAKE-UP</t>
  </si>
  <si>
    <t>#BB-25-8401</t>
  </si>
  <si>
    <t>Pickup-Location-Id: 278026
 Pickup-Day: sunday
 Pickup-Date: 2025/12/07
 Pickup-Time: 12\:20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</si>
  <si>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#BB-25-8403</t>
  </si>
  <si>
    <t>07-12-2025, 12:20, DENHAAG-PLUK, Pickup Order, Sunday, WAKE-UP</t>
  </si>
  <si>
    <t>#BB-25-8406</t>
  </si>
  <si>
    <t>#BB-25-8407</t>
  </si>
  <si>
    <t>#BB-25-8412</t>
  </si>
  <si>
    <t>Pickup-Location-Id: 302654
 Pickup-Day: friday
 Pickup-Date: 2025/12/05
 Pickup-Location-Company: UTRECHT - Steck
 Pickup-Location-Address-Line-1: Gageldijk 3
 Pickup-Location-City: Utrecht
 Pickup-Location-Postal-Code: 3566 ME
 Pickup-Location-Country: Netherlands
 Checkout-Method: pickup
 Pickup-Time: 9\:30 AM</t>
  </si>
  <si>
    <t>#BB-25-8411</t>
  </si>
  <si>
    <t>05-12-2025, 09:30, Friday, Pickup Order, UTRECHT-STECK, WAKE-UP</t>
  </si>
  <si>
    <t>#BB-25-8413</t>
  </si>
  <si>
    <t>#BB-25-8414</t>
  </si>
  <si>
    <t>#BB-25-8415</t>
  </si>
  <si>
    <t>#BB-25-8417</t>
  </si>
  <si>
    <t>Pickup-Location-Id: 278030
 Pickup-Day: saturday
 Pickup-Date: 2025/12/06
 Pickup-Time: 2\:00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</si>
  <si>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#BB-25-8367</t>
  </si>
  <si>
    <t>06-12-2025, 14:00, DENBOSCH-BWWB, Pickup Order, Saturday, WAKE-UP</t>
  </si>
  <si>
    <t>#BB-25-8368</t>
  </si>
  <si>
    <t>#BB-25-8369</t>
  </si>
  <si>
    <t>Pickup-Location-Id: 302654
 Pickup-Day: thursday
 Pickup-Date: 2025/12/04
 Pickup-Time: 2\:30 PM
 Pickup-Location-Company: UTRECHT - Steck
 Pickup-Location-Address-Line-1: Gageldijk 3
 Pickup-Location-City: Utrecht
 Pickup-Location-Postal-Code: 3566 ME
 Pickup-Location-Country: Netherlands
 Checkout-Method: pickup</t>
  </si>
  <si>
    <t>#BB-25-8419</t>
  </si>
  <si>
    <t>04-12-2025, 14:30, Pickup Order, Thursday, UTRECHT-STECK, WAKE-UP</t>
  </si>
  <si>
    <t>#BB-25-8425</t>
  </si>
  <si>
    <t>#BB-25-8428</t>
  </si>
  <si>
    <t>#BB-25-8430</t>
  </si>
  <si>
    <t>Pickup-Location-Id: 278021
 Pickup-Day: saturday
 Pickup-Date: 2025/12/13
 Pickup-Time: 10\:30 AM
 Pickup-Location-Company: AMSTERDAM - Vondeltuin
 Pickup-Location-Address-Line-1: Vondelpark 7
 Pickup-Location-City: Amsterdam
 Pickup-Location-Postal-Code: 1075 VR
 Pickup-Location-Country: Netherlands
 Checkout-Method: pickup</t>
  </si>
  <si>
    <t>#BB-25-8431</t>
  </si>
  <si>
    <t>10:30, 13-12-2025, ADM, Pickup Order, Saturday, Vondeltuin, WAKE-UP</t>
  </si>
  <si>
    <t>#BB-25-8434</t>
  </si>
  <si>
    <t>#BB-25-8435</t>
  </si>
  <si>
    <t>#BB-25-8437</t>
  </si>
  <si>
    <t>#BB-25-8439</t>
  </si>
  <si>
    <t>#BB-25-8443</t>
  </si>
  <si>
    <t>Pickup-Location-Id: 278034
 Pickup-Day: saturday
 Pickup-Date: 2025/12/06
 Pickup-Time: 12\:35 PM
 Pickup-Location-Company: DEN HAAG - Grote Markt Plein
 Pickup-Location-Address-Line-1: Grote Markt
 Pickup-Location-City: Den Haag
 Pickup-Location-Postal-Code: 2511 BG
 Pickup-Location-Country: Netherlands
 Checkout-Method: pickup</t>
  </si>
  <si>
    <t>#BB-25-8444</t>
  </si>
  <si>
    <t>06-12-2025, 12:35, DEN HAAG, Pickup Order, Saturday, WAKE-UP</t>
  </si>
  <si>
    <t>#BB-25-8445</t>
  </si>
  <si>
    <t>#BB-25-8446</t>
  </si>
  <si>
    <t>#BB-25-8448</t>
  </si>
  <si>
    <t>#BB-25-8450</t>
  </si>
  <si>
    <t>#BB-25-8451</t>
  </si>
  <si>
    <t>Pickup-Location-Id: 302976
 Pickup-Day: saturday
 Pickup-Date: 2025/12/13
 Pickup-Time: 12\:35 PM
 Pickup-Location-Company: EINDHOVEN - Wasven
 Pickup-Location-Address-Line-1: Celebeslaan 30
 Pickup-Location-City: Eindhoven
 Pickup-Location-Postal-Code: 5641 AG
 Pickup-Location-Country: Netherlands
 Checkout-Method: pickup</t>
  </si>
  <si>
    <t>#BB-25-8455</t>
  </si>
  <si>
    <t>12:35, 13-12-2025, EINDHOVEN-WASVEN, Pickup Order, Saturday, WAKE-UP</t>
  </si>
  <si>
    <t>#BB-25-8456</t>
  </si>
  <si>
    <t>#BB-25-8457</t>
  </si>
  <si>
    <t>Pickup-Location-Id: 302654
 Pickup-Day: saturday
 Pickup-Date: 2025/12/06
 Pickup-Time: 3\:30 PM
 Pickup-Location-Company: UTRECHT - Steck
 Pickup-Location-Address-Line-1: Gageldijk 3
 Pickup-Location-City: Utrecht
 Pickup-Location-Postal-Code: 3566 ME
 Pickup-Location-Country: Netherlands
 Checkout-Method: pickup</t>
  </si>
  <si>
    <t>#BB-25-8458</t>
  </si>
  <si>
    <t>06-12-2025, 15:30, Pickup Order, Saturday, UTRECHT-STECK, WAKE-UP</t>
  </si>
  <si>
    <t>Pickup-Location-Id: 302654
 Pickup-Day: monday
 Pickup-Date: 2025/12/01
 Pickup-Time: 11\:00 AM
 Pickup-Location-Company: UTRECHT - Steck
 Pickup-Location-Address-Line-1: Gageldijk 3
 Pickup-Location-City: Utrecht
 Pickup-Location-Postal-Code: 3566 ME
 Pickup-Location-Country: Netherlands
 Checkout-Method: pickup</t>
  </si>
  <si>
    <t>#BB-25-8460</t>
  </si>
  <si>
    <t>01-12-2025, 11:00, Monday, Pickup Order, UTRECHT-STECK, WAKE-UP</t>
  </si>
  <si>
    <t>#BB-25-8461</t>
  </si>
  <si>
    <t>Pickup-Location-Id: 302654
 Pickup-Day: saturday
 Pickup-Date: 2025/12/06
 Pickup-Time: 12\:30 PM
 Pickup-Location-Company: UTRECHT - Steck
 Pickup-Location-Address-Line-1: Gageldijk 3
 Pickup-Location-City: Utrecht
 Pickup-Location-Postal-Code: 3566 ME
 Pickup-Location-Country: Netherlands
 Checkout-Method: pickup</t>
  </si>
  <si>
    <t>#BB-25-8464</t>
  </si>
  <si>
    <t>06-12-2025, 12:30, Pickup Order, Saturday, UTRECHT-STECK, WAKE-UP</t>
  </si>
  <si>
    <t>Pickup-Location-Id: 278034
 Pickup-Day: saturday
 Pickup-Date: 2025/12/06
 Pickup-Time: 11\:35 AM
 Pickup-Location-Company: DEN HAAG - Grote Markt Plein
 Pickup-Location-Address-Line-1: Grote Markt
 Pickup-Location-City: Den Haag
 Pickup-Location-Postal-Code: 2511 BG
 Pickup-Location-Country: Netherlands
 Checkout-Method: pickup</t>
  </si>
  <si>
    <t>#BB-25-8465</t>
  </si>
  <si>
    <t>06-12-2025, 11:35, DEN HAAG, Pickup Order, Saturday, WAKE-UP</t>
  </si>
  <si>
    <t>#BB-25-8467</t>
  </si>
  <si>
    <t>#BB-25-8420</t>
  </si>
  <si>
    <t>#BB-25-8423</t>
  </si>
  <si>
    <t>Pickup-Location-Id: 302654
 Pickup-Day: tuesday
 Pickup-Date: 2025/12/02
 Pickup-Time: 11\:30 AM
 Pickup-Location-Company: UTRECHT - Steck
 Pickup-Location-Address-Line-1: Gageldijk 3
 Pickup-Location-City: Utrecht
 Pickup-Location-Postal-Code: 3566 ME
 Pickup-Location-Country: Netherlands
 Checkout-Method: pickup</t>
  </si>
  <si>
    <t>#BB-25-8424</t>
  </si>
  <si>
    <t>02-12-2025, 11:30, Pickup Order, Tuesday, UTRECHT-STECK, WAKE-UP</t>
  </si>
  <si>
    <t>#BB-25-8468</t>
  </si>
  <si>
    <t>#BB-25-8472</t>
  </si>
  <si>
    <t>#BB-25-8473</t>
  </si>
  <si>
    <t>#BB-25-8474</t>
  </si>
  <si>
    <t>#BB-25-8475</t>
  </si>
  <si>
    <t>#BB-25-8476</t>
  </si>
  <si>
    <t>#BB-25-8477</t>
  </si>
  <si>
    <t>Pickup-Location-Id: 303545
 Pickup-Day: saturday
 Pickup-Date: 2025/12/06
 Pickup-Time: 1\:15 PM
 Pickup-Location-Company: DELFT - buytendelft
 Pickup-Location-Address-Line-1: Korftlaan 3a
 Pickup-Location-City: Delft
 Pickup-Location-Postal-Code: 2616 LJ
 Pickup-Location-Country: Netherlands
 Checkout-Method: pickup</t>
  </si>
  <si>
    <t>#BB-25-8478</t>
  </si>
  <si>
    <t>06-12-2025, 13:15, DELFT-BUYTEN, Pickup Order, Saturday, WAKE-UP</t>
  </si>
  <si>
    <t>#BB-25-8480</t>
  </si>
  <si>
    <t>#BB-25-8481</t>
  </si>
  <si>
    <t>#BB-25-8482</t>
  </si>
  <si>
    <t>#BB-25-8483</t>
  </si>
  <si>
    <t>#BB-25-8487</t>
  </si>
  <si>
    <t>#BB-25-8469</t>
  </si>
  <si>
    <t>#BB-25-8470</t>
  </si>
  <si>
    <t>#BB-25-8471</t>
  </si>
  <si>
    <t>#BB-25-8492</t>
  </si>
  <si>
    <t>#BB-25-8500</t>
  </si>
  <si>
    <t>#BB-25-8501</t>
  </si>
  <si>
    <t>Pickup-Location-Id: 302654
 Pickup-Day: sunday
 Pickup-Date: 2025/11/30
 Pickup-Time: 4\:30 PM
 Pickup-Location-Company: UTRECHT - Steck
 Pickup-Location-Address-Line-1: Gageldijk 3
 Pickup-Location-City: Utrecht
 Pickup-Location-Postal-Code: 3566 ME
 Pickup-Location-Country: Netherlands
 Checkout-Method: pickup</t>
  </si>
  <si>
    <t>#BB-25-8502</t>
  </si>
  <si>
    <t>16:30, 30-11-2025, Pickup Order, Sunday, UTRECHT-STECK, WAKE-UP</t>
  </si>
  <si>
    <t>#BB-25-8503</t>
  </si>
  <si>
    <t>#BB-25-8504</t>
  </si>
  <si>
    <t>#BB-25-8506</t>
  </si>
  <si>
    <t>#BB-25-8507</t>
  </si>
  <si>
    <t>#BB-25-8508</t>
  </si>
  <si>
    <t>#BB-25-8509</t>
  </si>
  <si>
    <t>Pickup-Location-Id: 278027
 Pickup-Day: saturday
 Pickup-Date: 2025/12/06
 Pickup-Time: 11\:45 AM
 Pickup-Location-Company: GOUDA - Stadskant
 Pickup-Location-Address-Line-1: Agnietenstraat 19
 Pickup-Location-City: Gouda
 Pickup-Location-Postal-Code: 2801 GH
 Pickup-Location-Country: Netherlands
 Checkout-Method: pickup</t>
  </si>
  <si>
    <t>#BB-25-8510</t>
  </si>
  <si>
    <t>06-12-2025, 11:45, GOUDA, Pickup Order, Saturday, WAKE-UP</t>
  </si>
  <si>
    <t>#BB-25-8511</t>
  </si>
  <si>
    <t>#BB-25-8514</t>
  </si>
  <si>
    <t>Pickup-Location-Id: 278023
 Pickup-Day: sunday
 Pickup-Date: 2025/12/07
 Pickup-Time: 12\:20 PM
 Pickup-Location-Company: BREDA - Kinderboerderij Wolfslaar
 Pickup-Location-Address-Line-1: Wolfslaardreef 95
 Pickup-Location-City: Breda
 Pickup-Location-Postal-Code: 4834 SN
 Pickup-Location-Country: Netherlands
 Checkout-Method: pickup</t>
  </si>
  <si>
    <t>#BB-25-8515</t>
  </si>
  <si>
    <t>07-12-2025, 12:20, BREDA-WOLFSLAAR, Pickup Order, Sunday, WAKE-UP</t>
  </si>
  <si>
    <t>#BB-25-8517</t>
  </si>
  <si>
    <t>#BB-25-8520</t>
  </si>
  <si>
    <t>Checkout-Method: pickup
 Pickup-Location-Id: 302654
 Pickup-Day: tuesday
 Pickup-Date: 2025/12/02
 Pickup-Time: 1\:00 PM
 Pickup-Location-Company: UTRECHT - Steck
 Pickup-Location-Address-Line-1: Gageldijk 3
 Pickup-Location-City: Utrecht
 Pickup-Location-Postal-Code: 3566 ME
 Pickup-Location-Country: Netherlands</t>
  </si>
  <si>
    <t>#BB-25-8521</t>
  </si>
  <si>
    <t>02-12-2025, 13:00, Pickup Order, Tuesday, UTRECHT-STECK, WAKE-UP</t>
  </si>
  <si>
    <t>Checkout-Method: pickup
 Pickup-Location-Id: 303727
 Pickup-Day: sunday
 Pickup-Date: 2025/12/07
 Pickup-Time: 12\:00 PM
 Pickup-Location-Company: Hilversum - Ome Joop
 Pickup-Location-Address-Line-1: Kromme Rade 6
 Pickup-Location-City: Kortenhoef
 Pickup-Location-Postal-Code: 1241 LK
 Pickup-Location-Country: Netherlands</t>
  </si>
  <si>
    <t>#BB-25-8522</t>
  </si>
  <si>
    <t>#BB-25-8523</t>
  </si>
  <si>
    <t>#BB-25-8524</t>
  </si>
  <si>
    <t>Pickup-Location-Id: 302654
 Pickup-Day: sunday
 Pickup-Date: 2025/11/30
 Pickup-Time: 11\:30 AM
 Pickup-Location-Company: UTRECHT - Steck
 Pickup-Location-Address-Line-1: Gageldijk 3
 Pickup-Location-City: Utrecht
 Pickup-Location-Postal-Code: 3566 ME
 Pickup-Location-Country: Netherlands
 Checkout-Method: pickup</t>
  </si>
  <si>
    <t>#BB-25-8526</t>
  </si>
  <si>
    <t>11:30, 30-11-2025, Pickup Order, Sunday, UTRECHT-STECK, WAKE-UP</t>
  </si>
  <si>
    <t>Pickup-Location-Id: 302654
 Pickup-Day: monday
 Pickup-Date: 2025/12/01
 Pickup-Time: 5\:00 PM
 Pickup-Location-Company: UTRECHT - Steck
 Pickup-Location-Address-Line-1: Gageldijk 3
 Pickup-Location-City: Utrecht
 Pickup-Location-Postal-Code: 3566 ME
 Pickup-Location-Country: Netherlands
 Checkout-Method: pickup</t>
  </si>
  <si>
    <t>#BB-25-8528</t>
  </si>
  <si>
    <t>01-12-2025, 17:00, Monday, Pickup Order, UTRECHT-STECK, WAKE-UP</t>
  </si>
  <si>
    <t>#BB-25-8529</t>
  </si>
  <si>
    <t>#BB-25-8531</t>
  </si>
  <si>
    <t>#BB-25-8532</t>
  </si>
  <si>
    <t>Checkout-Method: pickup
 Pickup-Location-Id: 303712
 Pickup-Day: saturday
 Pickup-Date: 2025/12/06
 Pickup-Time: 1\:35 PM
 Pickup-Location-Company: AMSTERDAM - Loads
 Pickup-Location-Address-Line-1: Ms. Tarnweg 10
 Pickup-Location-City: Amsterdam
 Pickup-Location-Postal-Code: 1033 SK
 Pickup-Location-Country: Netherlands</t>
  </si>
  <si>
    <t>#BB-25-8534</t>
  </si>
  <si>
    <t>#BB-25-8535</t>
  </si>
  <si>
    <t>#BB-25-8536</t>
  </si>
  <si>
    <t>#BB-25-8537</t>
  </si>
  <si>
    <t>#BB-25-8538</t>
  </si>
  <si>
    <t>#BB-25-8539</t>
  </si>
  <si>
    <t>Pickup-Location-Id: 303727
 Pickup-Day: saturday
 Pickup-Date: 2025/12/06
 Pickup-Time: 1\:00 PM
 Pickup-Location-Company: Hilversum - Ome Joop
 Pickup-Location-Address-Line-1: Kromme Rade 6
 Pickup-Location-City: Kortenhoef
 Pickup-Location-Postal-Code: 1241 LK
 Pickup-Location-Country: Netherlands
 Checkout-Method: pickup</t>
  </si>
  <si>
    <t>#BB-25-8540</t>
  </si>
  <si>
    <t>06-12-2025, 13:00, HILVERSUM-OMEJOOP, Pickup Order, Saturday, WAKE-UP</t>
  </si>
  <si>
    <t>#BB-25-8542</t>
  </si>
  <si>
    <t>#BB-25-8543</t>
  </si>
  <si>
    <t>Pickup-Location-Id: 279658
 Pickup-Day: saturday
 Pickup-Date: 2025/12/06
 Pickup-Time: 6\:00 PM
 Pickup-Location-Company: HAARLEM - Houtbaar
 Pickup-Location-Address-Line-1: Woudplein 2
 Pickup-Location-City: Haarlem
 Pickup-Location-Postal-Code: 2031 CZ
 Pickup-Location-Country: Netherlands
 Checkout-Method: pickup</t>
  </si>
  <si>
    <t>#BB-25-8545</t>
  </si>
  <si>
    <t>06-12-2025, 18:00, HAARLEM-HOUTBAAR, Pickup Order, Saturday, WAKE-UP</t>
  </si>
  <si>
    <t>#BB-25-8546</t>
  </si>
  <si>
    <t>#BB-25-8547</t>
  </si>
  <si>
    <t>#BB-25-8493</t>
  </si>
  <si>
    <t>#BB-25-8495</t>
  </si>
  <si>
    <t>#BB-25-8499</t>
  </si>
  <si>
    <t>Pickup-Location-Id: 303545
 Pickup-Day: wednesday
 Pickup-Date: 2025/12/10
 Pickup-Time: 3\:35 PM
 Pickup-Location-Company: DELFT - buytendelft
 Pickup-Location-Address-Line-1: Korftlaan 3a
 Pickup-Location-City: Delft
 Pickup-Location-Postal-Code: 2616 LJ
 Pickup-Location-Country: Netherlands
 Checkout-Method: pickup</t>
  </si>
  <si>
    <t>3\:35 PM</t>
  </si>
  <si>
    <t>#BB-25-8548</t>
  </si>
  <si>
    <t>10-12-2025, 15:35, DELFT-BUYTEN, Pickup Order, WAKE-UP, Wednesday</t>
  </si>
  <si>
    <t>#BB-25-8553</t>
  </si>
  <si>
    <t>#BB-25-8554</t>
  </si>
  <si>
    <t>#BB-25-8555</t>
  </si>
  <si>
    <t>#BB-25-8556</t>
  </si>
  <si>
    <t>#BB-25-8557</t>
  </si>
  <si>
    <t>#BB-25-8558</t>
  </si>
  <si>
    <t>#BB-25-8559</t>
  </si>
  <si>
    <t>#BB-25-8562</t>
  </si>
  <si>
    <t>#BB-25-8563</t>
  </si>
  <si>
    <t>#BB-25-8565</t>
  </si>
  <si>
    <t>Pickup-Location-Id: 278026
 Pickup-Day: saturday
 Pickup-Date: 2025/12/06
 Pickup-Time: 3\:00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</si>
  <si>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#BB-25-8566</t>
  </si>
  <si>
    <t>06-12-2025, 15:00, DENHAAG-PLUK, Pickup Order, Saturday, WAKE-UP</t>
  </si>
  <si>
    <t>#BB-25-8567</t>
  </si>
  <si>
    <t>LEIDEN-PLNT-BOOM-ZONDER-175-200</t>
  </si>
  <si>
    <t>Checkout-Method: pickup
 Pickup-Location-Id: 278553
 Pickup-Day: sunday
 Pickup-Date: 2025/11/30
 Pickup-Time: 1\:00 PM
 Pickup-Location-Company: LEIDEN - The Fields
 Pickup-Location-Address-Line-1: Stationsplein 25
 Pickup-Location-City: Leiden
 Pickup-Location-Postal-Code: 2312 AJ
 Pickup-Location-Country: Netherlands</t>
  </si>
  <si>
    <t>#BB-25-8568</t>
  </si>
  <si>
    <t>Leiden the field - BB zonder kluit - 175-200 cm</t>
  </si>
  <si>
    <t>#BB-25-8569</t>
  </si>
  <si>
    <t>Pickup-Location-Id: 303727
 Pickup-Day: saturday
 Pickup-Date: 2025/12/06
 Pickup-Time: 4\:00 PM
 Pickup-Location-Company: Hilversum - Ome Joop
 Pickup-Location-Address-Line-1: Kromme Rade 6
 Pickup-Location-City: Kortenhoef
 Pickup-Location-Postal-Code: 1241 LK
 Pickup-Location-Country: Netherlands
 Checkout-Method: pickup</t>
  </si>
  <si>
    <t>#BB-25-8571</t>
  </si>
  <si>
    <t>06-12-2025, 16:00, HILVERSUM-OMEJOOP, Pickup Order, Saturday, WAKE-UP</t>
  </si>
  <si>
    <t>Pickup-Location-Id: 303727
 Pickup-Day: sunday
 Pickup-Date: 2025/12/07
 Pickup-Time: 10\:00 AM
 Pickup-Location-Company: Hilversum - Ome Joop
 Pickup-Location-Address-Line-1: Kromme Rade 6
 Pickup-Location-City: Kortenhoef
 Pickup-Location-Postal-Code: 1241 LK
 Pickup-Location-Country: Netherlands
 Checkout-Method: pickup</t>
  </si>
  <si>
    <t>#BB-25-8573</t>
  </si>
  <si>
    <t>#BB-25-8574</t>
  </si>
  <si>
    <t>#BB-25-8575</t>
  </si>
  <si>
    <t>#BB-25-8577</t>
  </si>
  <si>
    <t>#BB-25-8578</t>
  </si>
  <si>
    <t>#BB-25-8579</t>
  </si>
  <si>
    <t>#BB-25-8580</t>
  </si>
  <si>
    <t>Pickup-Location-Id: 278026
 Pickup-Day: saturday
 Pickup-Date: 2025/12/06
 Pickup-Time: 4\:00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</si>
  <si>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#BB-25-8581</t>
  </si>
  <si>
    <t>06-12-2025, 16:00, DENHAAG-PLUK, Pickup Order, Saturday, WAKE-UP</t>
  </si>
  <si>
    <t>#BB-25-8582</t>
  </si>
  <si>
    <t>#BB-25-8584</t>
  </si>
  <si>
    <t>Pickup-Location-Id: 278031
 Pickup-Day: sunday
 Pickup-Date: 2025/12/07
 Pickup-Time: 3\:30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</si>
  <si>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#BB-25-8550</t>
  </si>
  <si>
    <t>07-12-2025, 15:30, Pickup Order, ROTTERDAM-SCHIEVEEN, Sunday, WAKE-UP</t>
  </si>
  <si>
    <t>#BB-25-8551</t>
  </si>
  <si>
    <t>#BB-25-8552</t>
  </si>
  <si>
    <t>#BB-25-8587</t>
  </si>
  <si>
    <t>#BB-25-8593</t>
  </si>
  <si>
    <t>#BB-25-8594</t>
  </si>
  <si>
    <t>#BB-25-8595</t>
  </si>
  <si>
    <t>#BB-25-8597</t>
  </si>
  <si>
    <t>#BB-25-8598</t>
  </si>
  <si>
    <t>#BB-25-8599</t>
  </si>
  <si>
    <t>#BB-25-8600</t>
  </si>
  <si>
    <t>#BB-25-8601</t>
  </si>
  <si>
    <t>#BB-25-8603</t>
  </si>
  <si>
    <t>#BB-25-8604</t>
  </si>
  <si>
    <t>Pickup-Location-Id: 303545
 Pickup-Day: saturday
 Pickup-Date: 2025/12/13
 Pickup-Time: 2\:35 PM
 Pickup-Location-Company: DELFT - buytendelft
 Pickup-Location-Address-Line-1: Korftlaan 3a
 Pickup-Location-City: Delft
 Pickup-Location-Postal-Code: 2616 LJ
 Pickup-Location-Country: Netherlands
 Checkout-Method: pickup</t>
  </si>
  <si>
    <t>#BB-25-8605</t>
  </si>
  <si>
    <t>13-12-2025, 14:35, DELFT-BUYTEN, Pickup Order, Saturday, WAKE-UP</t>
  </si>
  <si>
    <t>Checkout-Method: pickup
 Pickup-Location-Id: 278508
 Pickup-Day: sunday
 Pickup-Date: 2025/12/07
 Pickup-Time: 2\:20 PM
 Pickup-Location-Company: EINDHOVEN - Klokgebouw
 Pickup-Location-Address-Line-1: Klokgebouw
 Pickup-Location-City: Eindhoven
 Pickup-Location-Postal-Code: 5651 GW
 Pickup-Location-Country: Netherlands</t>
  </si>
  <si>
    <t>#BB-25-8606</t>
  </si>
  <si>
    <t>07-12-2025, 14:20, Pickup Order, Sunday, WAKE-UP</t>
  </si>
  <si>
    <t>#BB-25-8607</t>
  </si>
  <si>
    <t>#BB-25-8608</t>
  </si>
  <si>
    <t>#BB-25-8609</t>
  </si>
  <si>
    <t>#BB-25-8611</t>
  </si>
  <si>
    <t>#BB-25-8612</t>
  </si>
  <si>
    <t>#BB-25-8614</t>
  </si>
  <si>
    <t>#BB-25-8589</t>
  </si>
  <si>
    <t>#BB-25-8591</t>
  </si>
  <si>
    <t>#BB-25-8618</t>
  </si>
  <si>
    <t>#BB-25-8623</t>
  </si>
  <si>
    <t>Pickup-Location-Id: 302654
 Pickup-Day: sunday
 Pickup-Date: 2025/12/07
 Pickup-Time: 3\:00 PM
 Pickup-Location-Company: UTRECHT - Steck
 Pickup-Location-Address-Line-1: Gageldijk 3
 Pickup-Location-City: Utrecht
 Pickup-Location-Postal-Code: 3566 ME
 Pickup-Location-Country: Netherlands
 Checkout-Method: pickup</t>
  </si>
  <si>
    <t>#BB-25-8624</t>
  </si>
  <si>
    <t>07-12-2025, 15:00, Pickup Order, Sunday, UTRECHT-STECK, WAKE-UP</t>
  </si>
  <si>
    <t>#BB-25-8625</t>
  </si>
  <si>
    <t>#BB-25-8626</t>
  </si>
  <si>
    <t>#BB-25-8627</t>
  </si>
  <si>
    <t>#BB-25-8628</t>
  </si>
  <si>
    <t>#BB-25-8630</t>
  </si>
  <si>
    <t>#BB-25-8631</t>
  </si>
  <si>
    <t>#BB-25-8632</t>
  </si>
  <si>
    <t>#BB-25-8634</t>
  </si>
  <si>
    <t>Pickup-Location-Id: 302654
 Pickup-Day: friday
 Pickup-Date: 2025/12/05
 Pickup-Time: 5\:00 PM
 Pickup-Location-Company: UTRECHT - Steck
 Pickup-Location-Address-Line-1: Gageldijk 3
 Pickup-Location-City: Utrecht
 Pickup-Location-Postal-Code: 3566 ME
 Pickup-Location-Country: Netherlands
 Checkout-Method: pickup</t>
  </si>
  <si>
    <t>#BB-25-8635</t>
  </si>
  <si>
    <t>05-12-2025, 17:00, Friday, Pickup Order, UTRECHT-STECK, WAKE-UP</t>
  </si>
  <si>
    <t>#BB-25-8639</t>
  </si>
  <si>
    <t>#BB-25-8640</t>
  </si>
  <si>
    <t>#BB-25-8641</t>
  </si>
  <si>
    <t>Pickup-Location-Id: 278034
 Pickup-Day: saturday
 Pickup-Date: 2025/12/06
 Pickup-Time: 1\:05 PM
 Pickup-Location-Company: DEN HAAG - Grote Markt Plein
 Pickup-Location-Address-Line-1: Grote Markt
 Pickup-Location-City: Den Haag
 Pickup-Location-Postal-Code: 2511 BG
 Pickup-Location-Country: Netherlands
 Checkout-Method: pickup</t>
  </si>
  <si>
    <t>1\:05 PM</t>
  </si>
  <si>
    <t>#BB-25-8642</t>
  </si>
  <si>
    <t>06-12-2025, 13:05, DEN HAAG, Pickup Order, Saturday, WAKE-UP</t>
  </si>
  <si>
    <t>#BB-25-8643</t>
  </si>
  <si>
    <t>#BB-25-8645</t>
  </si>
  <si>
    <t>#BB-25-8647</t>
  </si>
  <si>
    <t>#BB-25-8650</t>
  </si>
  <si>
    <t>#BB-25-8652</t>
  </si>
  <si>
    <t>#BB-25-8653</t>
  </si>
  <si>
    <t>#BB-25-8654</t>
  </si>
  <si>
    <t>#BB-25-8655</t>
  </si>
  <si>
    <t>Pickup-Location-Id: 302654
 Pickup-Day: thursday
 Pickup-Date: 2025/12/04
 Pickup-Time: 2\:00 PM
 Pickup-Location-Company: UTRECHT - Steck
 Pickup-Location-Address-Line-1: Gageldijk 3
 Pickup-Location-City: Utrecht
 Pickup-Location-Postal-Code: 3566 ME
 Pickup-Location-Country: Netherlands
 Checkout-Method: pickup</t>
  </si>
  <si>
    <t>#BB-25-8656</t>
  </si>
  <si>
    <t>04-12-2025, 14:00, Pickup Order, Thursday, UTRECHT-STECK, WAKE-UP</t>
  </si>
  <si>
    <t>#BB-25-8657</t>
  </si>
  <si>
    <t>#BB-25-8659</t>
  </si>
  <si>
    <t>#BB-25-8662</t>
  </si>
  <si>
    <t>#BB-25-8663</t>
  </si>
  <si>
    <t>Checkout-Method: pickup
 Pickup-Location-Id: 278026
 Pickup-Day: friday
 Pickup-Date: 2025/12/05
 Pickup-Time: 12\:00 PM
 Pickup-Location-Company: DEN HAAG - Pluk!
 Pickup-Location-Address-Line-1: Loosduinse Hoofdstraat
 Pickup-Location-City: Den Haag
 Pickup-Location-Postal-Code: 2552 AV
 Pickup-Location-Country: Netherlands
 Pickup-Location-Phone: 0653459881</t>
  </si>
  <si>
    <t>#BB-25-8664</t>
  </si>
  <si>
    <t>#BB-25-8619</t>
  </si>
  <si>
    <t>#BB-25-8620</t>
  </si>
  <si>
    <t>Pickup-Location-Id: 278462
 Pickup-Day: sunday
 Pickup-Date: 2025/11/30
 Pickup-Time: 10\:15 AM
 Pickup-Location-Company: AMSTERDAM - Molen De Otter
 Pickup-Location-Address-Line-1: Gillis van Ledenberchstraat 78
 Pickup-Location-City: Amsterdam
 Pickup-Location-Postal-Code: 1052 VK
 Pickup-Location-Country: Netherlands
 Checkout-Method: pickup</t>
  </si>
  <si>
    <t>#BB-25-8621</t>
  </si>
  <si>
    <t>10:15, 30-11-2025, AMSTERDAM-MOLEN, Pickup Order, Sunday, WAKE-UP</t>
  </si>
  <si>
    <t>#BB-25-8671</t>
  </si>
  <si>
    <t>#BB-25-8672</t>
  </si>
  <si>
    <t>#BB-25-8673</t>
  </si>
  <si>
    <t>#BB-25-8675</t>
  </si>
  <si>
    <t>#BB-25-8676</t>
  </si>
  <si>
    <t>#BB-25-8678</t>
  </si>
  <si>
    <t>Pickup-Location-Id: 302654
 Pickup-Day: friday
 Pickup-Date: 2025/12/05
 Pickup-Time: 10\:30 AM
 Pickup-Location-Company: UTRECHT - Steck
 Pickup-Location-Address-Line-1: Gageldijk 3
 Pickup-Location-City: Utrecht
 Pickup-Location-Postal-Code: 3566 ME
 Pickup-Location-Country: Netherlands
 Checkout-Method: pickup</t>
  </si>
  <si>
    <t>#BB-25-8679</t>
  </si>
  <si>
    <t>05-12-2025, 10:30, Friday, Pickup Order, UTRECHT-STECK, WAKE-UP</t>
  </si>
  <si>
    <t>#BB-25-8680</t>
  </si>
  <si>
    <t>#BB-25-8681</t>
  </si>
  <si>
    <t>#BB-25-8682</t>
  </si>
  <si>
    <t>Pickup-Location-Id: 279894
 Pickup-Day: saturday
 Pickup-Date: 2025/12/06
 Pickup-Time: 2\:40 PM
 Pickup-Location-Company: BREDA - Frontaal
 Pickup-Location-Address-Line-1: Liniestraat 31
 Pickup-Location-City: Breda
 Pickup-Location-Postal-Code: 4816 BG
 Pickup-Location-Country: Netherlands
 Checkout-Method: pickup</t>
  </si>
  <si>
    <t>#BB-25-8683</t>
  </si>
  <si>
    <t>06-12-2025, 14:40, BREDA-FRONTAAL, Pickup Order, Saturday, WAKE-UP</t>
  </si>
  <si>
    <t>BB-25-EVA</t>
  </si>
  <si>
    <t>#BB-25-8686</t>
  </si>
  <si>
    <t>#BB-25-8687</t>
  </si>
  <si>
    <t>#BB-25-8688</t>
  </si>
  <si>
    <t>#BB-25-8689</t>
  </si>
  <si>
    <t>#BB-25-8690</t>
  </si>
  <si>
    <t>#BB-25-8691</t>
  </si>
  <si>
    <t>#BB-25-8692</t>
  </si>
  <si>
    <t>#BB-25-8693</t>
  </si>
  <si>
    <t>#BB-25-8695</t>
  </si>
  <si>
    <t>#BB-25-8697</t>
  </si>
  <si>
    <t>#BB-25-8699</t>
  </si>
  <si>
    <t>#BB-25-8704</t>
  </si>
  <si>
    <t>#BB-25-8705</t>
  </si>
  <si>
    <t>#BB-25-8706</t>
  </si>
  <si>
    <t>#BB-25-8707</t>
  </si>
  <si>
    <t>#BB-25-8708</t>
  </si>
  <si>
    <t>#BB-25-8710</t>
  </si>
  <si>
    <t>#BB-25-8668</t>
  </si>
  <si>
    <t>#BB-25-8669</t>
  </si>
  <si>
    <t>#BB-25-8670</t>
  </si>
  <si>
    <t>#BB-25-8711</t>
  </si>
  <si>
    <t>Pickup-Location-Id: 302976
 Pickup-Day: saturday
 Pickup-Date: 2025/12/06
 Pickup-Time: 2\:15 PM
 Pickup-Location-Company: EINDHOVEN - Wasven
 Pickup-Location-Address-Line-1: Celebeslaan 30
 Pickup-Location-City: Eindhoven
 Pickup-Location-Postal-Code: 5641 AG
 Pickup-Location-Country: Netherlands
 Checkout-Method: pickup</t>
  </si>
  <si>
    <t>#BB-25-8718</t>
  </si>
  <si>
    <t>06-12-2025, 14:15, EINDHOVEN-WASVEN, Pickup Order, Saturday, WAKE-UP</t>
  </si>
  <si>
    <t>Pickup-Location-Id: 278034
 Pickup-Day: saturday
 Pickup-Date: 2025/12/06
 Pickup-Time: 12\:15 PM
 Pickup-Location-Company: DEN HAAG - Grote Markt Plein
 Pickup-Location-Address-Line-1: Grote Markt
 Pickup-Location-City: Den Haag
 Pickup-Location-Postal-Code: 2511 BG
 Pickup-Location-Country: Netherlands
 Checkout-Method: pickup</t>
  </si>
  <si>
    <t>#BB-25-8720</t>
  </si>
  <si>
    <t>06-12-2025, 12:15, DEN HAAG, Pickup Order, Saturday, WAKE-UP</t>
  </si>
  <si>
    <t>Pickup-Location-Id: 278508
 Pickup-Day: sunday
 Pickup-Date: 2025/12/07
 Pickup-Time: 12\:20 PM
 Pickup-Location-Company: EINDHOVEN - Klokgebouw
 Pickup-Location-Address-Line-1: Klokgebouw
 Pickup-Location-City: Eindhoven
 Pickup-Location-Postal-Code: 5651 GW
 Pickup-Location-Country: Netherlands
 Checkout-Method: pickup</t>
  </si>
  <si>
    <t>#BB-25-8721</t>
  </si>
  <si>
    <t>07-12-2025, 12:20, Pickup Order, Sunday, WAKE-UP</t>
  </si>
  <si>
    <t>#BB-25-8722</t>
  </si>
  <si>
    <t>#BB-25-8727</t>
  </si>
  <si>
    <t>#BB-25-8729</t>
  </si>
  <si>
    <t>#BB-25-8730</t>
  </si>
  <si>
    <t>#BB-25-8732</t>
  </si>
  <si>
    <t>#BB-25-8733</t>
  </si>
  <si>
    <t>Pickup-Location-Id: 302654
 Pickup-Day: monday
 Pickup-Date: 2025/12/01
 Pickup-Location-Company: UTRECHT - Steck
 Pickup-Location-Address-Line-1: Gageldijk 3
 Pickup-Location-City: Utrecht
 Pickup-Location-Postal-Code: 3566 ME
 Pickup-Location-Country: Netherlands
 Checkout-Method: pickup
 Pickup-Time: 6\:00 PM</t>
  </si>
  <si>
    <t>#BB-25-8734</t>
  </si>
  <si>
    <t>01-12-2025, 18:00, Monday, Pickup Order, UTRECHT-STECK, WAKE-UP</t>
  </si>
  <si>
    <t>#BB-25-8735</t>
  </si>
  <si>
    <t>#BB-25-8736</t>
  </si>
  <si>
    <t>#BB-25-8737</t>
  </si>
  <si>
    <t>#BB-25-8738</t>
  </si>
  <si>
    <t>#BB-25-8739</t>
  </si>
  <si>
    <t>Pickup-Location-Id: 303545
 Pickup-Day: sunday
 Pickup-Date: 2025/12/14
 Pickup-Time: 1\:15 PM
 Pickup-Location-Company: DELFT - buytendelft
 Pickup-Location-Address-Line-1: Korftlaan 3a
 Pickup-Location-City: Delft
 Pickup-Location-Postal-Code: 2616 LJ
 Pickup-Location-Country: Netherlands
 Checkout-Method: pickup</t>
  </si>
  <si>
    <t>#BB-25-8740</t>
  </si>
  <si>
    <t>13:15, 14-12-2025, DELFT-BUYTEN, Pickup Order, Sunday, WAKE-UP</t>
  </si>
  <si>
    <t>Pickup-Location-Id: 278861
 Pickup-Day: saturday
 Pickup-Date: 2025/12/06
 Pickup-Time: 12\:55 PM
 Pickup-Location-Company: EDE - Kantine gebouw Enka
 Pickup-Location-Address-Line-1: Kantinegebouw 14
 Pickup-Location-City: Ede
 Pickup-Location-Postal-Code: 6717 XR
 Pickup-Location-Country: Netherlands
 Checkout-Method: pickup</t>
  </si>
  <si>
    <t>#BB-25-8713</t>
  </si>
  <si>
    <t>06-12-2025, 12:55, EDE_ENKA, Pickup Order, Saturday, WAKE-UP</t>
  </si>
  <si>
    <t>#BB-25-8716</t>
  </si>
  <si>
    <t>#BB-25-8741</t>
  </si>
  <si>
    <t>Pickup-Location-Id: 278030
 Pickup-Day: saturday
 Pickup-Date: 2025/12/06
 Pickup-Time: 1\:20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</si>
  <si>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#BB-25-8753</t>
  </si>
  <si>
    <t>06-12-2025, 13:20, DENBOSCH-BWWB, Pickup Order, Saturday, WAKE-UP</t>
  </si>
  <si>
    <t>#BB-25-8754</t>
  </si>
  <si>
    <t>#BB-25-8755</t>
  </si>
  <si>
    <t>#BB-25-8758</t>
  </si>
  <si>
    <t>#BB-25-8760</t>
  </si>
  <si>
    <t>#BB-25-8761</t>
  </si>
  <si>
    <t>#BB-25-8763</t>
  </si>
  <si>
    <t>#BB-25-8766</t>
  </si>
  <si>
    <t>#BB-25-8767</t>
  </si>
  <si>
    <t>#BB-25-8769</t>
  </si>
  <si>
    <t>Pickup-Location-Id: 303727
 Pickup-Day: tuesday
 Pickup-Date: 2025/12/02
 Pickup-Time: 10\:00 AM
 Pickup-Location-Company: Hilversum - Ome Joop
 Pickup-Location-Address-Line-1: Kromme Rade 6
 Pickup-Location-City: Kortenhoef
 Pickup-Location-Postal-Code: 1241 LK
 Pickup-Location-Country: Netherlands
 Checkout-Method: pickup</t>
  </si>
  <si>
    <t>#BB-25-8770</t>
  </si>
  <si>
    <t>02-12-2025, 10:00, HILVERSUM-OMEJOOP, Pickup Order, Tuesday, WAKE-UP</t>
  </si>
  <si>
    <t>#BB-25-8771</t>
  </si>
  <si>
    <t>#BB-25-8775</t>
  </si>
  <si>
    <t>#BB-25-8776</t>
  </si>
  <si>
    <t>#BB-25-8777</t>
  </si>
  <si>
    <t>#BB-25-8778</t>
  </si>
  <si>
    <t>#BB-25-8780</t>
  </si>
  <si>
    <t>Pickup-Location-Id: 278026
 Pickup-Day: friday
 Pickup-Date: 2025/12/12
 Pickup-Time: 1\:00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</si>
  <si>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#BB-25-8783</t>
  </si>
  <si>
    <t>12-12-2025, 13:00, DENHAAG-PLUK, Friday, Pickup Order, WAKE-UP</t>
  </si>
  <si>
    <t>#BB-25-8784</t>
  </si>
  <si>
    <t>#BB-25-8785</t>
  </si>
  <si>
    <t>#BB-25-8787</t>
  </si>
  <si>
    <t>#BB-25-8788</t>
  </si>
  <si>
    <t>#BB-25-8789</t>
  </si>
  <si>
    <t>#BB-25-8790</t>
  </si>
  <si>
    <t>#BB-25-8791</t>
  </si>
  <si>
    <t>Pickup-Location-Id: 278026
 Pickup-Day: wednesday
 Pickup-Date: 2025/12/03
 Pickup-Time: 2\:20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</si>
  <si>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#BB-25-8792</t>
  </si>
  <si>
    <t>03-12-2025, 14:20, DENHAAG-PLUK, Pickup Order, WAKE-UP, Wednesday</t>
  </si>
  <si>
    <t>#BB-25-8793</t>
  </si>
  <si>
    <t>#BB-25-8794</t>
  </si>
  <si>
    <t>#BB-25-8795</t>
  </si>
  <si>
    <t>Pickup-Location-Id: 302654
 Pickup-Day: monday
 Pickup-Date: 2025/12/01
 Pickup-Time: 2\:00 PM
 Pickup-Location-Company: UTRECHT - Steck
 Pickup-Location-Address-Line-1: Gageldijk 3
 Pickup-Location-City: Utrecht
 Pickup-Location-Postal-Code: 3566 ME
 Pickup-Location-Country: Netherlands
 Checkout-Method: pickup</t>
  </si>
  <si>
    <t>#BB-25-8796</t>
  </si>
  <si>
    <t>01-12-2025, 14:00, Monday, Pickup Order, UTRECHT-STECK, WAKE-UP</t>
  </si>
  <si>
    <t>#BB-25-8798</t>
  </si>
  <si>
    <t>#BB-25-8799</t>
  </si>
  <si>
    <t>BB-WITTEPAARD-25</t>
  </si>
  <si>
    <t>#BB-25-8742</t>
  </si>
  <si>
    <t>#BB-25-8744</t>
  </si>
  <si>
    <t>#BB-25-8800</t>
  </si>
  <si>
    <t>#BB-25-8806</t>
  </si>
  <si>
    <t>#BB-25-8807</t>
  </si>
  <si>
    <t>#BB-25-8808</t>
  </si>
  <si>
    <t>#BB-25-8809</t>
  </si>
  <si>
    <t>#BB-25-8812</t>
  </si>
  <si>
    <t>#BB-25-8813</t>
  </si>
  <si>
    <t>BB-25-RAF-SAM</t>
  </si>
  <si>
    <t>#BB-25-8814</t>
  </si>
  <si>
    <t>#BB-25-8817</t>
  </si>
  <si>
    <t>Pickup-Location-Id: 278553
 Checkout-Method: pickup
 Pickup-Day: sunday
 Pickup-Date: 2025/11/30
 Pickup-Time: 12\:00 PM
 Pickup-Location-Company: LEIDEN - The Fields
 Pickup-Location-Address-Line-1: Stationsplein 25
 Pickup-Location-City: Leiden
 Pickup-Location-Postal-Code: 2312 AJ
 Pickup-Location-Country: Netherlands</t>
  </si>
  <si>
    <t>#BB-25-8819</t>
  </si>
  <si>
    <t>#BB-25-8820</t>
  </si>
  <si>
    <t>#BB-25-8821</t>
  </si>
  <si>
    <t>#BB-25-8823</t>
  </si>
  <si>
    <t>#BB-25-8824</t>
  </si>
  <si>
    <t>#BB-25-8828</t>
  </si>
  <si>
    <t>RUBEN-BB-25-TELAAT:)</t>
  </si>
  <si>
    <t>Pickup-Location-Id: 302654
 Pickup-Day: sunday
 Pickup-Date: 2025/12/07
 Pickup-Time: 4\:30 PM
 Pickup-Location-Company: UTRECHT - Steck
 Pickup-Location-Address-Line-1: Gageldijk 3
 Pickup-Location-City: Utrecht
 Pickup-Location-Postal-Code: 3566 ME
 Pickup-Location-Country: Netherlands
 Checkout-Method: pickup</t>
  </si>
  <si>
    <t>#BB-25-8829</t>
  </si>
  <si>
    <t>07-12-2025, 16:30, Pickup Order, Sunday, UTRECHT-STECK, WAKE-UP</t>
  </si>
  <si>
    <t>#BB-25-8830</t>
  </si>
  <si>
    <t>#BB-25-8831</t>
  </si>
  <si>
    <t>#BB-25-8832</t>
  </si>
  <si>
    <t>#BB-25-8833</t>
  </si>
  <si>
    <t>Pickup-Location-Id: 278576
 Pickup-Day: sunday
 Pickup-Date: 2025/12/07
 Pickup-Time: 11\:00 AM
 Pickup-Location-Company: ROTTERDAM - Het witte paard
 Pickup-Location-Address-Line-1: Groenezoom 245
 Pickup-Location-City: Rotterdam
 Pickup-Location-Postal-Code: 3075GD
 Pickup-Location-Country: Netherlands
 Checkout-Method: pickup</t>
  </si>
  <si>
    <t>#BB-25-8835</t>
  </si>
  <si>
    <t>07-12-2025, 11:00, Pickup Order, ROTTERDAM-WITTEPAARD, Sunday, WAKE-UP</t>
  </si>
  <si>
    <t>Checkout-Method: pickup
 Pickup-Location-Id: 278508
 Pickup-Day: sunday
 Pickup-Date: 2025/12/07
 Pickup-Time: 12\:20 PM
 Pickup-Location-Company: EINDHOVEN - Klokgebouw
 Pickup-Location-Address-Line-1: Klokgebouw
 Pickup-Location-City: Eindhoven
 Pickup-Location-Postal-Code: 5651 GW
 Pickup-Location-Country: Netherlands</t>
  </si>
  <si>
    <t>#BB-25-8841</t>
  </si>
  <si>
    <t>#BB-25-8842</t>
  </si>
  <si>
    <t>#BB-25-8843</t>
  </si>
  <si>
    <t>#BB-25-8847</t>
  </si>
  <si>
    <t>#BB-25-8848</t>
  </si>
  <si>
    <t>#BB-25-8849</t>
  </si>
  <si>
    <t>#BB-25-8850</t>
  </si>
  <si>
    <t>#BB-25-8851</t>
  </si>
  <si>
    <t>Pickup-Location-Id: 278021
 Pickup-Day: saturday
 Pickup-Date: 2025/12/13
 Pickup-Time: 1\:00 PM
 Pickup-Location-Company: AMSTERDAM - Vondeltuin
 Pickup-Location-Address-Line-1: Vondelpark 7
 Pickup-Location-City: Amsterdam
 Pickup-Location-Postal-Code: 1075 VR
 Pickup-Location-Country: Netherlands
 Checkout-Method: pickup</t>
  </si>
  <si>
    <t>#BB-25-8853</t>
  </si>
  <si>
    <t>13-12-2025, 13:00, ADM, Pickup Order, Saturday, Vondeltuin, WAKE-UP</t>
  </si>
  <si>
    <t>Pickup-Location-Id: 302654
 Pickup-Day: friday
 Pickup-Date: 2025/12/05
 Pickup-Time: 3\:00 PM
 Pickup-Location-Company: UTRECHT - Steck
 Pickup-Location-Address-Line-1: Gageldijk 3
 Pickup-Location-City: Utrecht
 Pickup-Location-Postal-Code: 3566 ME
 Pickup-Location-Country: Netherlands
 Checkout-Method: pickup</t>
  </si>
  <si>
    <t>#BB-25-8855</t>
  </si>
  <si>
    <t>05-12-2025, 15:00, Friday, Pickup Order, UTRECHT-STECK, WAKE-UP</t>
  </si>
  <si>
    <t>#BB-25-8857</t>
  </si>
  <si>
    <t>#BB-25-8858</t>
  </si>
  <si>
    <t>BB-BBS-GRATIS</t>
  </si>
  <si>
    <t>#BB-25-8861</t>
  </si>
  <si>
    <t>Pickup-Location-Id: 302654
 Pickup-Day: wednesday
 Pickup-Date: 2025/12/03
 Pickup-Time: 12\:00 PM
 Pickup-Location-Company: UTRECHT - Steck
 Pickup-Location-Address-Line-1: Gageldijk 3
 Pickup-Location-City: Utrecht
 Pickup-Location-Postal-Code: 3566 ME
 Pickup-Location-Country: Netherlands
 Checkout-Method: pickup</t>
  </si>
  <si>
    <t>#BB-25-8862</t>
  </si>
  <si>
    <t>03-12-2025, 12:00, Pickup Order, UTRECHT-STECK, WAKE-UP, Wednesday</t>
  </si>
  <si>
    <t>#BB-25-8863</t>
  </si>
  <si>
    <t>#BB-25-8864</t>
  </si>
  <si>
    <t>#BB-25-8865</t>
  </si>
  <si>
    <t>#BB-25-8801</t>
  </si>
  <si>
    <t>Pickup-Location-Id: 278023
 Pickup-Day: sunday
 Pickup-Date: 2025/12/07
 Pickup-Time: 1\:20 PM
 Pickup-Location-Company: BREDA - Kinderboerderij Wolfslaar
 Pickup-Location-Address-Line-1: Wolfslaardreef 95
 Pickup-Location-City: Breda
 Pickup-Location-Postal-Code: 4834 SN
 Pickup-Location-Country: Netherlands
 Checkout-Method: pickup</t>
  </si>
  <si>
    <t>#BB-25-8802</t>
  </si>
  <si>
    <t>07-12-2025, 13:20, BREDA-WOLFSLAAR, Pickup Order, Sunday, WAKE-UP</t>
  </si>
  <si>
    <t>#BB-25-8803</t>
  </si>
  <si>
    <t>Pickup-Location-Id: 302654
 Pickup-Day: monday
 Pickup-Date: 2025/12/01
 Pickup-Time: 12\:30 PM
 Pickup-Location-Company: UTRECHT - Steck
 Pickup-Location-Address-Line-1: Gageldijk 3
 Pickup-Location-City: Utrecht
 Pickup-Location-Postal-Code: 3566 ME
 Pickup-Location-Country: Netherlands
 Checkout-Method: pickup</t>
  </si>
  <si>
    <t>#BB-25-8867</t>
  </si>
  <si>
    <t>01-12-2025, 12:30, Monday, Pickup Order, UTRECHT-STECK, WAKE-UP</t>
  </si>
  <si>
    <t>#BB-25-8878</t>
  </si>
  <si>
    <t>#BB-25-8879</t>
  </si>
  <si>
    <t>Pickup-Location-Id: 278031
 Pickup-Day: sunday
 Pickup-Date: 2025/12/07
 Pickup-Time: 1\:30 PM
 Pickup-Location-Company: ROTTERDAM - Belevenisboerderij Schieveen
 Pickup-Location-Address-Line-1: Oude Bovendijk 220
 Pickup-Location-City: Rotterdam
 Pickup-Location-Postal-Code: 3046 NL
 Pickup-Location-Country: Netherlands
 Checkout-Method: pickup</t>
  </si>
  <si>
    <t>#BB-25-8881</t>
  </si>
  <si>
    <t>07-12-2025, 13:30, Pickup Order, ROTTERDAM-SCHIEVEEN, Sunday</t>
  </si>
  <si>
    <t>#BB-25-8882</t>
  </si>
  <si>
    <t>03-12-2025, 10:00, Pickup Order, UTRECHT-STECK, Wednesday</t>
  </si>
  <si>
    <t>#BB-25-8884</t>
  </si>
  <si>
    <t>10:30, 13-12-2025, ADM, Pickup Order, Saturday, Vondeltuin</t>
  </si>
  <si>
    <t>#BB-25-8885</t>
  </si>
  <si>
    <t>#BB-25-8886</t>
  </si>
  <si>
    <t>03-12-2025, 11:00, HILVERSUM-OMEJOOP, Pickup Order, Wednesday</t>
  </si>
  <si>
    <t>Checkout-Method: pickup
 Pickup-Location-Id: 302654
 Pickup-Day: monday
 Pickup-Date: 2025/12/01
 Pickup-Time: 5\:00 PM
 Pickup-Location-Company: UTRECHT - Steck
 Pickup-Location-Address-Line-1: Gageldijk 3
 Pickup-Location-City: Utrecht
 Pickup-Location-Postal-Code: 3566 ME
 Pickup-Location-Country: Netherlands</t>
  </si>
  <si>
    <t>#BB-25-8887</t>
  </si>
  <si>
    <t>01-12-2025, 17:00, Monday, Pickup Order, UTRECHT-STECK</t>
  </si>
  <si>
    <t>Pickup-Location-Id: 278034
 Pickup-Day: saturday
 Pickup-Date: 2025/12/06
 Pickup-Time: 10\:30 AM
 Pickup-Location-Company: DEN HAAG - Grote Markt Plein
 Pickup-Location-Address-Line-1: Grote Markt
 Pickup-Location-City: Den Haag
 Pickup-Location-Postal-Code: 2511 BG
 Pickup-Location-Country: Netherlands
 Checkout-Method: pickup</t>
  </si>
  <si>
    <t>#BB-25-8889</t>
  </si>
  <si>
    <t>06-12-2025, 10:30, DEN HAAG, Pickup Order, Saturday</t>
  </si>
  <si>
    <t>#BB-25-8890</t>
  </si>
  <si>
    <t>07-12-2025, 11:00, AMSTERDAM-KOP, Pickup Order, Sunday</t>
  </si>
  <si>
    <t>#BB-25-8891</t>
  </si>
  <si>
    <t>06-12-2025, 10:00, Pickup Order, Saturday, UTRECHT-STECK</t>
  </si>
  <si>
    <t>#BB-25-8892</t>
  </si>
  <si>
    <t>07-12-2025, 10:15, Pickup Order, Sunday, UTRECHT-WILLEM</t>
  </si>
  <si>
    <t>Checkout-Method: pickup
 Pickup-Location-Id: 302654
 Pickup-Day: sunday
 Pickup-Date: 2025/11/30
 Pickup-Time: 12\:00 PM
 Pickup-Location-Company: UTRECHT - Steck
 Pickup-Location-Address-Line-1: Gageldijk 3
 Pickup-Location-City: Utrecht
 Pickup-Location-Postal-Code: 3566 ME
 Pickup-Location-Country: Netherlands</t>
  </si>
  <si>
    <t>#BB-25-8893</t>
  </si>
  <si>
    <t>12:00, 30-11-2025, Pickup Order, Sunday, UTRECHT-STECK</t>
  </si>
  <si>
    <t>#BB-25-8894</t>
  </si>
  <si>
    <t>16:00, 30-11-2025, Pickup Order, Sunday, UTRECHT-STECK</t>
  </si>
  <si>
    <t>Pickup-Location-Id: 302654
 Pickup-Day: thursday
 Pickup-Date: 2025/12/04
 Pickup-Time: 5\:00 PM
 Pickup-Location-Company: UTRECHT - Steck
 Pickup-Location-Address-Line-1: Gageldijk 3
 Pickup-Location-City: Utrecht
 Pickup-Location-Postal-Code: 3566 ME
 Pickup-Location-Country: Netherlands
 Checkout-Method: pickup</t>
  </si>
  <si>
    <t>#BB-25-8896</t>
  </si>
  <si>
    <t>04-12-2025, 17:00, Pickup Order, Thursday, UTRECHT-STECK</t>
  </si>
  <si>
    <t>#BB-25-8901</t>
  </si>
  <si>
    <t>10:00, 30-11-2025, AMSTERDAM-MOLEN, Pickup Order, Sunday</t>
  </si>
  <si>
    <t>#BB-25-8906</t>
  </si>
  <si>
    <t>Pickup-Location-Id: 278576
 Pickup-Day: saturday
 Pickup-Date: 2025/12/06
 Pickup-Time: 12\:20 PM
 Pickup-Location-Company: ROTTERDAM - Het witte paard
 Pickup-Location-Address-Line-1: Groenezoom 245
 Pickup-Location-City: Rotterdam
 Pickup-Location-Postal-Code: 3075GD
 Pickup-Location-Country: Netherlands
 Checkout-Method: pickup</t>
  </si>
  <si>
    <t>#BB-25-8910</t>
  </si>
  <si>
    <t>06-12-2025, 12:20, Pickup Order, ROTTERDAM-WITTEPAARD, Saturday</t>
  </si>
  <si>
    <t>Pickup-Location-Id: 278034
 Pickup-Day: saturday
 Pickup-Date: 2025/12/06
 Pickup-Time: 11\:00 AM
 Pickup-Location-Company: DEN HAAG - Grote Markt Plein
 Pickup-Location-Address-Line-1: Grote Markt
 Pickup-Location-City: Den Haag
 Pickup-Location-Postal-Code: 2511 BG
 Pickup-Location-Country: Netherlands
 Checkout-Method: pickup</t>
  </si>
  <si>
    <t>#BB-25-8912</t>
  </si>
  <si>
    <t>06-12-2025, 11:00, DEN HAAG, Pickup Order, Saturday</t>
  </si>
  <si>
    <t>#BB-25-8915</t>
  </si>
  <si>
    <t>07-12-2025, 10:00, AMSTERDAM-KOP, Pickup Order, Sunday</t>
  </si>
  <si>
    <t>#BB-25-8916</t>
  </si>
  <si>
    <t>06-12-2025, 11:15, AMSTERDM-LOADS, Pickup Order, Saturday</t>
  </si>
  <si>
    <t>Pickup-Location-Id: 302976
 Pickup-Day: saturday
 Pickup-Date: 2025/12/13
 Pickup-Time: 3\:55 PM
 Pickup-Location-Company: EINDHOVEN - Wasven
 Pickup-Location-Address-Line-1: Celebeslaan 30
 Pickup-Location-City: Eindhoven
 Pickup-Location-Postal-Code: 5641 AG
 Pickup-Location-Country: Netherlands
 Checkout-Method: pickup</t>
  </si>
  <si>
    <t>#BB-25-8868</t>
  </si>
  <si>
    <t>13-12-2025, 15:55, EINDHOVEN-WASVEN, Pickup Order, Saturday, WAKE-UP</t>
  </si>
  <si>
    <t>Checkout-Method: pickup
 Pickup-Location-Id: 278026
 Pickup-Day: saturday
 Pickup-Date: 2025/12/06
 Pickup-Time: 11\:00 AM
 Pickup-Location-Company: DEN HAAG - Pluk!
 Pickup-Location-Address-Line-1: Loosduinse Hoofdstraat
 Pickup-Location-City: Den Haag
 Pickup-Location-Postal-Code: 2552 AV
 Pickup-Location-Country: Netherlands
 Pickup-Location-Phone: 0653459881</t>
  </si>
  <si>
    <t>#BB-25-8869</t>
  </si>
  <si>
    <t>Pickup-Location-Id: 303712
 Pickup-Day: saturday
 Pickup-Date: 2025/12/06
 Pickup-Time: 1\:15 PM
 Pickup-Location-Company: AMSTERDAM - Loads
 Pickup-Location-Address-Line-1: Ms. Tarnweg 10
 Pickup-Location-City: Amsterdam
 Pickup-Location-Postal-Code: 1033 SK
 Pickup-Location-Country: Netherlands
 Checkout-Method: pickup</t>
  </si>
  <si>
    <t>#BB-25-8866</t>
  </si>
  <si>
    <t>06-12-2025, 13:15, AMSTERDM-LOADS, Pickup Order, Saturday, WAKE-UP</t>
  </si>
  <si>
    <t>#BB-25-8923</t>
  </si>
  <si>
    <t>#BB-25-8924</t>
  </si>
  <si>
    <t>Pickup-Location-Id: 278026
 Pickup-Day: sunday
 Pickup-Date: 2025/12/07
 Pickup-Time: 3\:20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</si>
  <si>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#BB-25-8926</t>
  </si>
  <si>
    <t>07-12-2025, 15:20, DENHAAG-PLUK, Pickup Order, Sunday</t>
  </si>
  <si>
    <t>#BB-25-8928</t>
  </si>
  <si>
    <t>06-12-2025, 11:00, EDE_ENKA, Pickup Order, Saturday</t>
  </si>
  <si>
    <t>#BB-25-8929</t>
  </si>
  <si>
    <t>06-12-2025, 12:00, DENBOSCH-BWWB, Pickup Order, Saturday</t>
  </si>
  <si>
    <t>#BB-25-8930</t>
  </si>
  <si>
    <t>07-12-2025, 10:30, AMSTERDAM-KOP, Pickup Order, Sunday</t>
  </si>
  <si>
    <t>#BB-25-8931</t>
  </si>
  <si>
    <t>#BB-25-8933</t>
  </si>
  <si>
    <t>06-12-2025, 10:15, AMSTERDM-LOADS, Pickup Order, Saturday</t>
  </si>
  <si>
    <t>ALLEO-25-50E-009-nntd</t>
  </si>
  <si>
    <t>#BB-25-8934</t>
  </si>
  <si>
    <t>#BB-25-8935</t>
  </si>
  <si>
    <t>06-12-2025, 12:40, HAARLEM-HOUTBAAR, Pickup Order, Saturday</t>
  </si>
  <si>
    <t>#BB-25-8936</t>
  </si>
  <si>
    <t>#BB-25-8940</t>
  </si>
  <si>
    <t>12:30, 30-11-2025, LEIDEN-THEFIELD, Pickup Order, Sunday</t>
  </si>
  <si>
    <t>Pickup-Location-Id: 278026
 Pickup-Day: friday
 Pickup-Date: 2025/12/12
 Pickup-Time: 11\:00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</si>
  <si>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#BB-25-8943</t>
  </si>
  <si>
    <t>11:00, 12-12-2025, DENHAAG-PLUK, Friday, Pickup Order</t>
  </si>
  <si>
    <t>#BB-25-8945</t>
  </si>
  <si>
    <t>10:30, 30-11-2025, AMSTERDAM-MOLEN, Pickup Order, Sunday</t>
  </si>
  <si>
    <t>#BB-25-8947</t>
  </si>
  <si>
    <t>#BB-25-8949</t>
  </si>
  <si>
    <t>#BB-25-8952</t>
  </si>
  <si>
    <t>#BB-25-8953</t>
  </si>
  <si>
    <t>#BB-25-8955</t>
  </si>
  <si>
    <t>#BB-25-8956</t>
  </si>
  <si>
    <t>#BB-25-8959</t>
  </si>
  <si>
    <t>06-12-2025, 11:00, Pickup Order, Saturday, UTRECHT-STECK</t>
  </si>
  <si>
    <t>#BB-25-8960</t>
  </si>
  <si>
    <t>#BB-25-8961</t>
  </si>
  <si>
    <t>#BB-25-8962</t>
  </si>
  <si>
    <t>06-12-2025, 11:00, Pickup Order, ROTTERDAM-SCHIEVEEN, Saturday</t>
  </si>
  <si>
    <t>#BB-25-8963</t>
  </si>
  <si>
    <t>10:00, 13-12-2025, ADM, Pickup Order, Saturday, Vondeltuin</t>
  </si>
  <si>
    <t>#BB-25-8967</t>
  </si>
  <si>
    <t>BB-25-WILLY</t>
  </si>
  <si>
    <t>Pickup-Location-Id: 303727
 Pickup-Day: saturday
 Pickup-Date: 2025/12/06
 Pickup-Time: 10\:40 AM
 Pickup-Location-Company: Hilversum - Ome Joop
 Pickup-Location-Address-Line-1: Kromme Rade 6
 Pickup-Location-City: Kortenhoef
 Pickup-Location-Postal-Code: 1241 LK
 Pickup-Location-Country: Netherlands
 Checkout-Method: pickup</t>
  </si>
  <si>
    <t>10\:40 AM</t>
  </si>
  <si>
    <t>#BB-25-8968</t>
  </si>
  <si>
    <t>06-12-2025, 10:40, HILVERSUM-OMEJOOP, Pickup Order, Saturday</t>
  </si>
  <si>
    <t>#BB-25-8917</t>
  </si>
  <si>
    <t>#BB-25-8920</t>
  </si>
  <si>
    <t>07-12-2025, 11:00, Pickup Order, ROTTERDAM-SCHIEVEEN, Sunday</t>
  </si>
  <si>
    <t>#BB-25-8921</t>
  </si>
  <si>
    <t>#BB-25-8969</t>
  </si>
  <si>
    <t>14:00, 30-11-2025, LEIDEN-THEFIELD, Pickup Order, Sunday</t>
  </si>
  <si>
    <t>Pickup-Location-Id: 278026
 Pickup-Day: friday
 Pickup-Date: 2025/12/05
 Pickup-Time: 1\:20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</si>
  <si>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#BB-25-8974</t>
  </si>
  <si>
    <t>05-12-2025, 13:20, DENHAAG-PLUK, Friday, Pickup Order</t>
  </si>
  <si>
    <t>#BB-25-8975</t>
  </si>
  <si>
    <t>#BB-25-8977</t>
  </si>
  <si>
    <t>05-12-2025, 13:00, Friday, Pickup Order, UTRECHT-STECK</t>
  </si>
  <si>
    <t>#BB-25-8978</t>
  </si>
  <si>
    <t>07-12-2025, 12:00, Pickup Order, Sunday, UTRECHT-STECK</t>
  </si>
  <si>
    <t>#BB-25-8980</t>
  </si>
  <si>
    <t>#BB-25-8981</t>
  </si>
  <si>
    <t>06-12-2025, 11:00, Pickup Order, ROTTERDAM-WITTEPAARD, Saturday</t>
  </si>
  <si>
    <t>#BB-25-8982</t>
  </si>
  <si>
    <t>06-12-2025, 10:15, GOUDA, Pickup Order, Saturday</t>
  </si>
  <si>
    <t>#BB-25-8983</t>
  </si>
  <si>
    <t>06-12-2025, 12:15, GOUDA, Pickup Order, Saturday</t>
  </si>
  <si>
    <t>#BB-25-8985</t>
  </si>
  <si>
    <t>#BB-25-8986</t>
  </si>
  <si>
    <t>#BB-25-8988</t>
  </si>
  <si>
    <t>05-12-2025, 15:00, Friday, Pickup Order, UTRECHT-STECK</t>
  </si>
  <si>
    <t>#BB-25-8989</t>
  </si>
  <si>
    <t>#BB-25-8990</t>
  </si>
  <si>
    <t>07-12-2025, 12:20, Pickup Order, Sunday</t>
  </si>
  <si>
    <t>#BB-25-8970</t>
  </si>
  <si>
    <t>#BB-25-8972</t>
  </si>
  <si>
    <t>Pickup-Location-Id: 302976
 Pickup-Day: saturday
 Pickup-Date: 2025/12/13
 Pickup-Time: 12\:00 PM
 Pickup-Location-Company: EINDHOVEN - Wasven
 Pickup-Location-Address-Line-1: Celebeslaan 30
 Pickup-Location-City: Eindhoven
 Pickup-Location-Postal-Code: 5641 AG
 Pickup-Location-Country: Netherlands
 Checkout-Method: pickup</t>
  </si>
  <si>
    <t>#BB-25-8973</t>
  </si>
  <si>
    <t>12:00, 13-12-2025, EINDHOVEN-WASVEN, Pickup Order, Saturday</t>
  </si>
  <si>
    <t>#BB-25-8991</t>
  </si>
  <si>
    <t>07-12-2025, 14:00, DENBOSCH-BWWB, Pickup Order, Sunday</t>
  </si>
  <si>
    <t>#BB-25-8995</t>
  </si>
  <si>
    <t>#BB-25-8996</t>
  </si>
  <si>
    <t>06-12-2025, 16:15, GOUDA, Pickup Order, Saturday</t>
  </si>
  <si>
    <t>#BB-25-8997</t>
  </si>
  <si>
    <t>#BB-25-8998</t>
  </si>
  <si>
    <t>06-12-2025, 12:35, AMSTERDM-LOADS, Pickup Order, Saturday</t>
  </si>
  <si>
    <t>#BB-25-9000</t>
  </si>
  <si>
    <t>#BB-25-9001</t>
  </si>
  <si>
    <t>#BB-25-9002</t>
  </si>
  <si>
    <t>#BB-25-9003</t>
  </si>
  <si>
    <t>06-12-2025, 11:00, BREDA-WOLFSLAAR, Pickup Order, Saturday</t>
  </si>
  <si>
    <t>#BB-25-9005</t>
  </si>
  <si>
    <t>#BB-25-9007</t>
  </si>
  <si>
    <t>07-12-2025, 12:00, Pickup Order, ROTTERDAM-WITTEPAARD, Sunday</t>
  </si>
  <si>
    <t>#BB-25-9008</t>
  </si>
  <si>
    <t>#BB-25-9009</t>
  </si>
  <si>
    <t>Pickup-Location-Id: 302654
 Pickup-Day: friday
 Pickup-Date: 2025/12/05
 Pickup-Time: 3\:30 PM
 Pickup-Location-Company: UTRECHT - Steck
 Pickup-Location-Address-Line-1: Gageldijk 3
 Pickup-Location-City: Utrecht
 Pickup-Location-Postal-Code: 3566 ME
 Pickup-Location-Country: Netherlands
 Checkout-Method: pickup</t>
  </si>
  <si>
    <t>#BB-25-9010</t>
  </si>
  <si>
    <t>05-12-2025, 15:30, Friday, Pickup Order, UTRECHT-STECK</t>
  </si>
  <si>
    <t>#BB-25-9011</t>
  </si>
  <si>
    <t>07-12-2025, 12:00, DENBOSCH-BWWB, Pickup Order, Sunday</t>
  </si>
  <si>
    <t>#BB-25-9012</t>
  </si>
  <si>
    <t>#BB-25-9014</t>
  </si>
  <si>
    <t>06-12-2025, 10:45, GOUDA, Pickup Order, Saturday</t>
  </si>
  <si>
    <t>#BB-25-9015</t>
  </si>
  <si>
    <t>#BB-25-9018</t>
  </si>
  <si>
    <t>#BB-25-9019</t>
  </si>
  <si>
    <t>#BB-25-9020</t>
  </si>
  <si>
    <t>06-12-2025, 11:30, Pickup Order, ROTTERDAM-SCHIEVEEN, Saturday</t>
  </si>
  <si>
    <t>Checkout-Method: pickup
 Pickup-Location-Id: 279658
 Pickup-Day: saturday
 Pickup-Date: 2025/12/06
 Pickup-Time: 12\:40 PM
 Pickup-Location-Company: HAARLEM - Houtbaar
 Pickup-Location-Address-Line-1: Woudplein 2
 Pickup-Location-City: Haarlem
 Pickup-Location-Postal-Code: 2031 CZ
 Pickup-Location-Country: Netherlands</t>
  </si>
  <si>
    <t>#BB-25-9021</t>
  </si>
  <si>
    <t>Pickup-Location-Id: 278023
 Pickup-Day: saturday
 Pickup-Date: 2025/12/06
 Pickup-Time: 11\:20 AM
 Pickup-Location-Company: BREDA - Kinderboerderij Wolfslaar
 Pickup-Location-Address-Line-1: Wolfslaardreef 95
 Pickup-Location-City: Breda
 Pickup-Location-Postal-Code: 4834 SN
 Pickup-Location-Country: Netherlands
 Checkout-Method: pickup</t>
  </si>
  <si>
    <t>#BB-25-9022</t>
  </si>
  <si>
    <t>06-12-2025, 11:20, BREDA-WOLFSLAAR, Pickup Order, Saturday</t>
  </si>
  <si>
    <t>#BB-25-9024</t>
  </si>
  <si>
    <t>#BB-25-9025</t>
  </si>
  <si>
    <t>#BB-25-9026</t>
  </si>
  <si>
    <t>#BB-25-9027</t>
  </si>
  <si>
    <t>07-12-2025, 11:00, Pickup Order, Sunday, UTRECHT-STECK</t>
  </si>
  <si>
    <t>#BB-25-9031</t>
  </si>
  <si>
    <t>05-12-2025, 10:30, Friday, Pickup Order, UTRECHT-STECK</t>
  </si>
  <si>
    <t>Pickup-Location-Id: 278026
 Pickup-Day: wednesday
 Pickup-Date: 2025/12/03
 Pickup-Time: 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</si>
  <si>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#BB-25-9032</t>
  </si>
  <si>
    <t>03-12-2025, 14:00, DENHAAG-PLUK, Pickup Order, Wednesday</t>
  </si>
  <si>
    <t>Pickup-Location-Id: 303545
 Pickup-Day: sunday
 Pickup-Date: 2025/12/07
 Pickup-Time: 12\:00 PM
 Pickup-Location-Company: DELFT - buytendelft
 Pickup-Location-Address-Line-1: Korftlaan 3a
 Pickup-Location-City: Delft
 Pickup-Location-Postal-Code: 2616 LJ
 Pickup-Location-Country: Netherlands
 Checkout-Method: pickup</t>
  </si>
  <si>
    <t>#BB-25-8992</t>
  </si>
  <si>
    <t>07-12-2025, 12:00, DELFT-BUYTEN, Pickup Order, Sunday</t>
  </si>
  <si>
    <t>#BB-25-8993</t>
  </si>
  <si>
    <t>06-12-2025, 13:00, HAARLEM-HOUTBAAR, Pickup Order, Saturday</t>
  </si>
  <si>
    <t>#BB-25-8994</t>
  </si>
  <si>
    <t>#BB-25-9033</t>
  </si>
  <si>
    <t>#BB-25-9041</t>
  </si>
  <si>
    <t>#BB-25-9042</t>
  </si>
  <si>
    <t>#BB-25-9043</t>
  </si>
  <si>
    <t>#BB-25-9045</t>
  </si>
  <si>
    <t>#BB-25-9047</t>
  </si>
  <si>
    <t>#BB-25-9048</t>
  </si>
  <si>
    <t>Pickup-Location-Id: 278027
 Pickup-Day: saturday
 Pickup-Date: 2025/12/06
 Pickup-Time: 12\:45 PM
 Pickup-Location-Company: GOUDA - Stadskant
 Pickup-Location-Address-Line-1: Agnietenstraat 19
 Pickup-Location-City: Gouda
 Pickup-Location-Postal-Code: 2801 GH
 Pickup-Location-Country: Netherlands
 Checkout-Method: pickup</t>
  </si>
  <si>
    <t>#BB-25-9049</t>
  </si>
  <si>
    <t>#BB-25-9050</t>
  </si>
  <si>
    <t>#BB-25-9052</t>
  </si>
  <si>
    <t>11:00, 13-12-2025, ADM, Pickup Order, Saturday, Vondeltuin</t>
  </si>
  <si>
    <t>#BB-25-9054</t>
  </si>
  <si>
    <t>#BB-25-9055</t>
  </si>
  <si>
    <t>06-12-2025, 10:55, AMSTERDM-LOADS, Pickup Order, Saturday</t>
  </si>
  <si>
    <t>#BB-25-9058</t>
  </si>
  <si>
    <t>06-12-2025, 10:00, EDE_ENKA, Pickup Order, Saturday</t>
  </si>
  <si>
    <t>#BB-25-9059</t>
  </si>
  <si>
    <t>06-12-2025, 15:30, Pickup Order, Saturday, UTRECHT-STECK</t>
  </si>
  <si>
    <t>BETERBOOMPJE5L8R6ZBGQ</t>
  </si>
  <si>
    <t>#BB-25-9060</t>
  </si>
  <si>
    <t>06-12-2025, 14:00, Pickup Order, ROTTERDAM-SCHIEVEEN, Saturday</t>
  </si>
  <si>
    <t>#BB-25-9061</t>
  </si>
  <si>
    <t>#BB-25-9064</t>
  </si>
  <si>
    <t>06-12-2025, 12:30, Pickup Order, Saturday, UTRECHT-STECK</t>
  </si>
  <si>
    <t>#BB-25-9065</t>
  </si>
  <si>
    <t>#BB-25-9066</t>
  </si>
  <si>
    <t>13:30, 30-11-2025, AMSTERDAM-MOLEN, Pickup Order, Sunday</t>
  </si>
  <si>
    <t>#BB-25-9067</t>
  </si>
  <si>
    <t>06-12-2025, 16:00, Pickup Order, Saturday, UTRECHT-STECK</t>
  </si>
  <si>
    <t>#BB-25-9068</t>
  </si>
  <si>
    <t>#BB-25-9069</t>
  </si>
  <si>
    <t>11:30, 30-11-2025, AMSTERDAM-MOLEN, Pickup Order, Sunday</t>
  </si>
  <si>
    <t>#BB-25-9070</t>
  </si>
  <si>
    <t>#BB-25-9034</t>
  </si>
  <si>
    <t>Checkout-Method: pickup
 Pickup-Location-Id: 278026
 Pickup-Location-Company: DEN HAAG - Pluk!
 Pickup-Location-Address-Line-1: Loosduinse Hoofdstraat
 Pickup-Location-City: Den Haag
 Pickup-Location-Country: Netherlands
 Pickup-Location-Postal-Code: 2552 AV
 Pickup-Date: 2025/12/03
 Pickup-Time: 1\:00 PM
 Pickup-Day: wednesday</t>
  </si>
  <si>
    <t>#BB-25-9073</t>
  </si>
  <si>
    <t>03-12-2025, 13:00, DENHAAG-PLUK, Pickup Order, Wednesday</t>
  </si>
  <si>
    <t>Aangepaste korting</t>
  </si>
  <si>
    <t>#BB-25-9075</t>
  </si>
  <si>
    <t>#BB-25-9076</t>
  </si>
  <si>
    <t>07-12-2025, 13:00, AMSTERDAM-KOP, Pickup Order, Sunday</t>
  </si>
  <si>
    <t>BB-25-NOOR</t>
  </si>
  <si>
    <t>#BB-25-9080</t>
  </si>
  <si>
    <t>#BB-25-9081</t>
  </si>
  <si>
    <t>06-12-2025, 14:15, GOUDA, Pickup Order, Saturday</t>
  </si>
  <si>
    <t>#BB-25-9035</t>
  </si>
  <si>
    <t>#BB-25-9039</t>
  </si>
  <si>
    <t>Pickup-Location-Id: 278026
 Pickup-Day: friday
 Pickup-Date: 2025/12/05
 Pickup-Time: 4\:00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</si>
  <si>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#BB-25-9082</t>
  </si>
  <si>
    <t>05-12-2025, 16:00, DENHAAG-PLUK, Friday, Pickup Order</t>
  </si>
  <si>
    <t>#BB-25-9085</t>
  </si>
  <si>
    <t>#BB-25-9087</t>
  </si>
  <si>
    <t>#BB-25-9088</t>
  </si>
  <si>
    <t>07-12-2025, 13:00, Pickup Order, ROTTERDAM-SCHIEVEEN, Sunday</t>
  </si>
  <si>
    <t>#BB-25-9089</t>
  </si>
  <si>
    <t>Pickup-Location-Id: 303712
 Pickup-Day: saturday
 Pickup-Date: 2025/12/06
 Pickup-Time: 11\:55 AM
 Pickup-Location-Company: AMSTERDAM - Loads
 Pickup-Location-Address-Line-1: Ms. Tarnweg 10
 Pickup-Location-City: Amsterdam
 Pickup-Location-Postal-Code: 1033 SK
 Pickup-Location-Country: Netherlands
 Checkout-Method: pickup</t>
  </si>
  <si>
    <t>#BB-25-9090</t>
  </si>
  <si>
    <t>06-12-2025, 11:55, AMSTERDM-LOADS, Pickup Order, Saturday</t>
  </si>
  <si>
    <t>#BB-25-9091</t>
  </si>
  <si>
    <t>#BB-25-9092</t>
  </si>
  <si>
    <t>06-12-2025, 13:30, ADM, Pickup Order, Saturday, Vondeltuin</t>
  </si>
  <si>
    <t>#BB-25-9093</t>
  </si>
  <si>
    <t>06-12-2025, 10:00, HILVERSUM-OMEJOOP, Pickup Order, Saturday</t>
  </si>
  <si>
    <t>#BB-25-9094</t>
  </si>
  <si>
    <t>#BB-25-9095</t>
  </si>
  <si>
    <t>#BB-25-9096</t>
  </si>
  <si>
    <t>01-12-2025, 11:00, HILVERSUM-OMEJOOP, Monday, Pickup Order</t>
  </si>
  <si>
    <t>Checkout-Method: pickup
 Pickup-Location-Id: 279658
 Pickup-Day: saturday
 Pickup-Date: 2025/12/06
 Pickup-Time: 1\:20 PM
 Pickup-Location-Company: HAARLEM - Houtbaar
 Pickup-Location-Address-Line-1: Woudplein 2
 Pickup-Location-City: Haarlem
 Pickup-Location-Postal-Code: 2031 CZ
 Pickup-Location-Country: Netherlands</t>
  </si>
  <si>
    <t>#BB-25-9097</t>
  </si>
  <si>
    <t>06-12-2025, 13:20, HAARLEM-HOUTBAAR, Pickup Order, Saturday</t>
  </si>
  <si>
    <t>#BB-25-9099</t>
  </si>
  <si>
    <t>#BB-25-9100</t>
  </si>
  <si>
    <t>#BB-25-9101</t>
  </si>
  <si>
    <t>#BB-25-9102</t>
  </si>
  <si>
    <t>07-12-2025, 13:00, BREDA-WOLFSLAAR, Pickup Order, Sunday</t>
  </si>
  <si>
    <t>#BB-25-9105</t>
  </si>
  <si>
    <t>#BB-25-9107</t>
  </si>
  <si>
    <t>#BB-25-9108</t>
  </si>
  <si>
    <t>06-12-2025, 14:00, HAARLEM-HOUTBAAR, Pickup Order, Saturday</t>
  </si>
  <si>
    <t>#BB-25-9109</t>
  </si>
  <si>
    <t>#BB-25-9111</t>
  </si>
  <si>
    <t>07-12-2025, 12:15, GOUDA, Pickup Order, Sunday</t>
  </si>
  <si>
    <t>#BB-25-9112</t>
  </si>
  <si>
    <t>BESPARK-088-taus</t>
  </si>
  <si>
    <t>#BB-25-9113</t>
  </si>
  <si>
    <t>#BB-25-9114</t>
  </si>
  <si>
    <t>#BB-25-9083</t>
  </si>
  <si>
    <t>#BB-25-9084</t>
  </si>
  <si>
    <t>06-12-2025, 14:00, Pickup Order, Saturday, UTRECHT-STECK</t>
  </si>
  <si>
    <t>Pickup-Location-Id: 302654
 Pickup-Day: sunday
 Pickup-Date: 2025/11/30
 Pickup-Time: 3\:00 PM
 Pickup-Location-Company: UTRECHT - Steck
 Pickup-Location-Address-Line-1: Gageldijk 3
 Pickup-Location-City: Utrecht
 Pickup-Location-Postal-Code: 3566 ME
 Pickup-Location-Country: Netherlands
 Checkout-Method: pickup</t>
  </si>
  <si>
    <t>#BB-25-9072</t>
  </si>
  <si>
    <t>15:00, 30-11-2025, Pickup Order, Sunday, UTRECHT-STECK</t>
  </si>
  <si>
    <t>#BB-25-9117</t>
  </si>
  <si>
    <t>10-12-2025, 11:00, DENHAAG-PLUK, Pickup Order, Wednesday</t>
  </si>
  <si>
    <t>Pickup-Location-Id: 302654
 Pickup-Day: thursday
 Pickup-Date: 2025/12/04
 Pickup-Time: 11\:00 AM
 Pickup-Location-Company: UTRECHT - Steck
 Pickup-Location-Address-Line-1: Gageldijk 3
 Pickup-Location-City: Utrecht
 Pickup-Location-Postal-Code: 3566 ME
 Pickup-Location-Country: Netherlands
 Checkout-Method: pickup</t>
  </si>
  <si>
    <t>#BB-25-9122</t>
  </si>
  <si>
    <t>04-12-2025, 11:00, Pickup Order, Thursday, UTRECHT-STECK</t>
  </si>
  <si>
    <t>#BB-25-9124</t>
  </si>
  <si>
    <t>13-12-2025, 13:00, ADM, Pickup Order, Saturday, Vondeltuin</t>
  </si>
  <si>
    <t>Pickup-Location-Id: 302654
 Pickup-Day: friday
 Pickup-Date: 2025/12/05
 Pickup-Time: 12\:30 PM
 Pickup-Location-Company: UTRECHT - Steck
 Pickup-Location-Address-Line-1: Gageldijk 3
 Pickup-Location-City: Utrecht
 Pickup-Location-Postal-Code: 3566 ME
 Pickup-Location-Country: Netherlands
 Checkout-Method: pickup</t>
  </si>
  <si>
    <t>#BB-25-9125</t>
  </si>
  <si>
    <t>05-12-2025, 12:30, Friday, Pickup Order, UTRECHT-STECK</t>
  </si>
  <si>
    <t>#BB-25-9126</t>
  </si>
  <si>
    <t>07-12-2025, 11:00, DENHAAG-PLUK, Pickup Order, Sunday</t>
  </si>
  <si>
    <t>#BB-25-9127</t>
  </si>
  <si>
    <t>06-12-2025, 11:40, BREDA-WOLFSLAAR, Pickup Order, Saturday</t>
  </si>
  <si>
    <t>#BB-25-9129</t>
  </si>
  <si>
    <t>#BB-25-9131</t>
  </si>
  <si>
    <t>#BB-25-9132</t>
  </si>
  <si>
    <t>#BB-25-9134</t>
  </si>
  <si>
    <t>#BB-25-9135</t>
  </si>
  <si>
    <t>#BB-25-9136</t>
  </si>
  <si>
    <t>#BB-25-9137</t>
  </si>
  <si>
    <t>#BB-25-9139</t>
  </si>
  <si>
    <t>06-12-2025, 10:30, ADM, Pickup Order, Saturday, Vondeltuin</t>
  </si>
  <si>
    <t>#BB-25-9140</t>
  </si>
  <si>
    <t>#BB-25-9143</t>
  </si>
  <si>
    <t>#BB-25-9144</t>
  </si>
  <si>
    <t>07-12-2025, 12:15, Pickup Order, Sunday, UTRECHT-WILLEM</t>
  </si>
  <si>
    <t>#BB-25-9146</t>
  </si>
  <si>
    <t>#BB-25-9151</t>
  </si>
  <si>
    <t>#BB-25-9152</t>
  </si>
  <si>
    <t>#BB-25-9153</t>
  </si>
  <si>
    <t>#BB-25-9155</t>
  </si>
  <si>
    <t>#BB-25-9156</t>
  </si>
  <si>
    <t>#BB-25-9157</t>
  </si>
  <si>
    <t>07-12-2025, 11:30, Pickup Order, Sunday, UTRECHT-STECK</t>
  </si>
  <si>
    <t>#BB-25-9158</t>
  </si>
  <si>
    <t>#BB-25-9159</t>
  </si>
  <si>
    <t>Pickup-Location-Id: 303545
 Pickup-Day: wednesday
 Pickup-Date: 2025/12/10
 Pickup-Time: 3\:40 PM
 Pickup-Location-Company: DELFT - buytendelft
 Pickup-Location-Address-Line-1: Korftlaan 3a
 Pickup-Location-City: Delft
 Pickup-Location-Postal-Code: 2616 LJ
 Pickup-Location-Country: Netherlands
 Checkout-Method: pickup</t>
  </si>
  <si>
    <t>#BB-25-9160</t>
  </si>
  <si>
    <t>10-12-2025, 15:40, DELFT-BUYTEN, Pickup Order, Wednesday</t>
  </si>
  <si>
    <t>#BB-25-9161</t>
  </si>
  <si>
    <t>#BB-25-9162</t>
  </si>
  <si>
    <t>11:00, 13-12-2025, Enschede-DEWIECKE, Pickup Order, Saturday</t>
  </si>
  <si>
    <t>#BB-25-9164</t>
  </si>
  <si>
    <t>Pickup-Location-Id: 303545
 Pickup-Day: saturday
 Pickup-Date: 2025/12/13
 Pickup-Time: 11\:40 AM
 Pickup-Location-Company: DELFT - buytendelft
 Pickup-Location-Address-Line-1: Korftlaan 3a
 Pickup-Location-City: Delft
 Pickup-Location-Postal-Code: 2616 LJ
 Pickup-Location-Country: Netherlands
 Checkout-Method: pickup</t>
  </si>
  <si>
    <t>#BB-25-9166</t>
  </si>
  <si>
    <t>11:40, 13-12-2025, DELFT-BUYTEN, Pickup Order, Saturday</t>
  </si>
  <si>
    <t>#BB-25-9167</t>
  </si>
  <si>
    <t>#BB-25-9168</t>
  </si>
  <si>
    <t>Pickup-Location-Id: 303545
 Pickup-Day: saturday
 Pickup-Date: 2025/12/06
 Pickup-Time: 11\:00 AM
 Pickup-Location-Company: DELFT - buytendelft
 Pickup-Location-Address-Line-1: Korftlaan 3a
 Pickup-Location-City: Delft
 Pickup-Location-Postal-Code: 2616 LJ
 Pickup-Location-Country: Netherlands
 Checkout-Method: pickup</t>
  </si>
  <si>
    <t>#BB-25-9118</t>
  </si>
  <si>
    <t>06-12-2025, 11:00, DELFT-BUYTEN, Pickup Order, Saturday</t>
  </si>
  <si>
    <t>#BB-25-9120</t>
  </si>
  <si>
    <t>#BB-25-9121</t>
  </si>
  <si>
    <t>#BB-25-9170</t>
  </si>
  <si>
    <t>#BB-25-9175</t>
  </si>
  <si>
    <t>#BB-25-9176</t>
  </si>
  <si>
    <t>#BB-25-9177</t>
  </si>
  <si>
    <t>#BB-25-9178</t>
  </si>
  <si>
    <t>#BB-25-9179</t>
  </si>
  <si>
    <t>#BB-25-9180</t>
  </si>
  <si>
    <t>Pickup-Location-Id: 302976
 Pickup-Day: saturday
 Pickup-Date: 2025/12/06
 Pickup-Time: 12\:00 PM
 Pickup-Location-Company: EINDHOVEN - Wasven
 Pickup-Location-Address-Line-1: Celebeslaan 30
 Pickup-Location-City: Eindhoven
 Pickup-Location-Postal-Code: 5641 AG
 Pickup-Location-Country: Netherlands
 Checkout-Method: pickup</t>
  </si>
  <si>
    <t>#BB-25-9181</t>
  </si>
  <si>
    <t>06-12-2025, 12:00, EINDHOVEN-WASVEN, Pickup Order, Saturday</t>
  </si>
  <si>
    <t>#BB-25-9183</t>
  </si>
  <si>
    <t>#BB-25-9184</t>
  </si>
  <si>
    <t>#BB-25-9185</t>
  </si>
  <si>
    <t>#BB-25-9186</t>
  </si>
  <si>
    <t>#BB-25-9189</t>
  </si>
  <si>
    <t>#BB-25-9188</t>
  </si>
  <si>
    <t>06-12-2025, 11:30, EDE_ENKA, Pickup Order, Saturday</t>
  </si>
  <si>
    <t>#BB-25-9190</t>
  </si>
  <si>
    <t>06-12-2025, 15:00, HAARLEM-HOUTBAAR, Pickup Order, Saturday</t>
  </si>
  <si>
    <t>Pickup-Location-Id: 302654
 Pickup-Day: thursday
 Pickup-Date: 2025/12/04
 Pickup-Time: 10\:00 AM
 Pickup-Location-Company: UTRECHT - Steck
 Pickup-Location-Address-Line-1: Gageldijk 3
 Pickup-Location-City: Utrecht
 Pickup-Location-Postal-Code: 3566 ME
 Pickup-Location-Country: Netherlands
 Checkout-Method: pickup</t>
  </si>
  <si>
    <t>#BB-25-9191</t>
  </si>
  <si>
    <t>04-12-2025, 10:00, Pickup Order, Thursday, UTRECHT-STECK</t>
  </si>
  <si>
    <t>#BB-25-9192</t>
  </si>
  <si>
    <t>#BB-25-9193</t>
  </si>
  <si>
    <t>Pickup-Location-Id: 303545
 Pickup-Day: sunday
 Pickup-Date: 2025/12/07
 Pickup-Time: 11\:00 AM
 Pickup-Location-Company: DELFT - buytendelft
 Pickup-Location-Address-Line-1: Korftlaan 3a
 Pickup-Location-City: Delft
 Pickup-Location-Postal-Code: 2616 LJ
 Pickup-Location-Country: Netherlands
 Checkout-Method: pickup</t>
  </si>
  <si>
    <t>#BB-25-9194</t>
  </si>
  <si>
    <t>07-12-2025, 11:00, DELFT-BUYTEN, Pickup Order, Sunday</t>
  </si>
  <si>
    <t>BESPARK-047-gwuq</t>
  </si>
  <si>
    <t>Pickup-Location-Id: 302976
 Pickup-Day: saturday
 Pickup-Date: 2025/12/06
 Pickup-Time: 1\:20 PM
 Pickup-Location-Company: EINDHOVEN - Wasven
 Pickup-Location-Address-Line-1: Celebeslaan 30
 Pickup-Location-City: Eindhoven
 Pickup-Location-Postal-Code: 5641 AG
 Pickup-Location-Country: Netherlands
 Checkout-Method: pickup</t>
  </si>
  <si>
    <t>#BB-25-9196</t>
  </si>
  <si>
    <t>06-12-2025, 13:20, EINDHOVEN-WASVEN, Pickup Order, Saturday</t>
  </si>
  <si>
    <t>#BB-25-9197</t>
  </si>
  <si>
    <t>BB-25-HAARLEM-CITY-BLOG</t>
  </si>
  <si>
    <t>#BB-25-9198</t>
  </si>
  <si>
    <t>06-12-2025, 16:00, HAARLEM-HOUTBAAR, Pickup Order, Saturday</t>
  </si>
  <si>
    <t>#BB-25-9200</t>
  </si>
  <si>
    <t>#BB-25-9201</t>
  </si>
  <si>
    <t>#BB-25-9202</t>
  </si>
  <si>
    <t>12:00, 13-12-2025, ADM, Pickup Order, Saturday, Vondeltuin</t>
  </si>
  <si>
    <t>#BB-25-9203</t>
  </si>
  <si>
    <t>06-12-2025, 15:15, GOUDA, Pickup Order, Saturday</t>
  </si>
  <si>
    <t>#BB-25-9207</t>
  </si>
  <si>
    <t>#BB-25-9208</t>
  </si>
  <si>
    <t>#BB-25-9209</t>
  </si>
  <si>
    <t>#BB-25-9210</t>
  </si>
  <si>
    <t>#BB-25-9211</t>
  </si>
  <si>
    <t>#BB-25-9213</t>
  </si>
  <si>
    <t>#BB-25-9214</t>
  </si>
  <si>
    <t>Pickup-Location-Id: 303545
 Pickup-Day: saturday
 Pickup-Date: 2025/12/13
 Pickup-Time: 11\:00 AM
 Pickup-Location-Company: DELFT - buytendelft
 Pickup-Location-Address-Line-1: Korftlaan 3a
 Pickup-Location-City: Delft
 Pickup-Location-Postal-Code: 2616 LJ
 Pickup-Location-Country: Netherlands
 Checkout-Method: pickup</t>
  </si>
  <si>
    <t>#BB-25-9217</t>
  </si>
  <si>
    <t>11:00, 13-12-2025, DELFT-BUYTEN, Pickup Order, Saturday</t>
  </si>
  <si>
    <t>#BB-25-9171</t>
  </si>
  <si>
    <t>Pickup-Location-Id: 278026
 Pickup-Day: saturday
 Pickup-Date: 2025/12/06
 Pickup-Time: 11\:20 AM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</si>
  <si>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#BB-25-9172</t>
  </si>
  <si>
    <t>06-12-2025, 11:20, DENHAAG-PLUK, Pickup Order, Saturday</t>
  </si>
  <si>
    <t>Pickup-Location-Id: 279658
 Pickup-Day: saturday
 Pickup-Date: 2025/12/06
 Pickup-Time: 2\:20 PM
 Pickup-Location-Company: HAARLEM - Houtbaar
 Pickup-Location-Address-Line-1: Woudplein 2
 Pickup-Location-City: Haarlem
 Pickup-Location-Postal-Code: 2031 CZ
 Pickup-Location-Country: Netherlands
 Checkout-Method: pickup</t>
  </si>
  <si>
    <t>#BB-25-9173</t>
  </si>
  <si>
    <t>06-12-2025, 14:20, HAARLEM-HOUTBAAR, Pickup Order, Saturday</t>
  </si>
  <si>
    <t>Pickup-Location-Id: 278463
 Pickup-Day: sunday
 Pickup-Date: 2025/12/07
 Pickup-Time: 11\:35 AM
 Pickup-Location-Company: UTRECHT - Scouting Willem de Zwijger
 Pickup-Location-Address-Line-1: Bastionweg 2
 Pickup-Location-City: Utrecht
 Pickup-Location-Postal-Code: 3566 MK
 Pickup-Location-Country: Netherlands
 Checkout-Method: pickup</t>
  </si>
  <si>
    <t>#BB-25-9218</t>
  </si>
  <si>
    <t>07-12-2025, 11:35, Pickup Order, Sunday, UTRECHT-WILLEM</t>
  </si>
  <si>
    <t>#BB-25-9224</t>
  </si>
  <si>
    <t>#BB-25-9225</t>
  </si>
  <si>
    <t>07-12-2025, 11:30, AMSTERDAM-KOP, Pickup Order, Sunday</t>
  </si>
  <si>
    <t>Pickup-Location-Id: 302654
 Pickup-Day: wednesday
 Pickup-Date: 2025/12/03
 Pickup-Time: 12\:30 PM
 Pickup-Location-Company: UTRECHT - Steck
 Pickup-Location-Address-Line-1: Gageldijk 3
 Pickup-Location-City: Utrecht
 Pickup-Location-Postal-Code: 3566 ME
 Pickup-Location-Country: Netherlands
 Checkout-Method: pickup</t>
  </si>
  <si>
    <t>#BB-25-9226</t>
  </si>
  <si>
    <t>03-12-2025, 12:30, Pickup Order, UTRECHT-STECK, Wednesday</t>
  </si>
  <si>
    <t>#BB-25-9228</t>
  </si>
  <si>
    <t>05-12-2025, 12:00, Friday, Pickup Order, UTRECHT-STECK</t>
  </si>
  <si>
    <t>Pickup-Location-Id: 303545
 Pickup-Day: saturday
 Pickup-Date: 2025/12/06
 Pickup-Time: 12\:00 PM
 Pickup-Location-Company: DELFT - buytendelft
 Pickup-Location-Address-Line-1: Korftlaan 3a
 Pickup-Location-City: Delft
 Pickup-Location-Postal-Code: 2616 LJ
 Pickup-Location-Country: Netherlands
 Checkout-Method: pickup</t>
  </si>
  <si>
    <t>#BB-25-9229</t>
  </si>
  <si>
    <t>06-12-2025, 12:00, DELFT-BUYTEN, Pickup Order, Saturday</t>
  </si>
  <si>
    <t>#BB-25-9230</t>
  </si>
  <si>
    <t>#BB-25-9232</t>
  </si>
  <si>
    <t>#BB-25-9233</t>
  </si>
  <si>
    <t>#BB-25-9234</t>
  </si>
  <si>
    <t>#BB-25-9235</t>
  </si>
  <si>
    <t>BB-BWWB-BUURTJES</t>
  </si>
  <si>
    <t>Pickup-Location-Id: 278861
 Pickup-Day: saturday
 Pickup-Date: 2025/12/06
 Pickup-Time: 12\:00 PM
 Pickup-Location-Company: EDE - Kantine gebouw Enka
 Pickup-Location-Address-Line-1: Kantinegebouw 14
 Pickup-Location-City: Ede
 Pickup-Location-Postal-Code: 6717 XR
 Pickup-Location-Country: Netherlands
 Checkout-Method: pickup</t>
  </si>
  <si>
    <t>#BB-25-9236</t>
  </si>
  <si>
    <t>06-12-2025, 12:00, EDE_ENKA, Pickup Order, Saturday</t>
  </si>
  <si>
    <t>#BB-25-9238</t>
  </si>
  <si>
    <t>#BB-25-9220</t>
  </si>
  <si>
    <t>#BB-25-9221</t>
  </si>
  <si>
    <t>#BB-25-9222</t>
  </si>
  <si>
    <t>ALLEO-25-50E-004-pviw</t>
  </si>
  <si>
    <t>#BB-25-9241</t>
  </si>
  <si>
    <t>#BB-25-9246</t>
  </si>
  <si>
    <t>#BB-25-9247</t>
  </si>
  <si>
    <t>07-12-2025, 12:00, Pickup Order, ROTTERDAM-SCHIEVEEN, Sunday</t>
  </si>
  <si>
    <t>#BB-25-9249</t>
  </si>
  <si>
    <t>06-12-2025, 11:35, AMSTERDM-LOADS, Pickup Order, Saturday</t>
  </si>
  <si>
    <t>Pickup-Location-Id: 279658
 Pickup-Day: saturday
 Pickup-Date: 2025/12/06
 Pickup-Time: 5\:20 PM
 Pickup-Location-Company: HAARLEM - Houtbaar
 Pickup-Location-Address-Line-1: Woudplein 2
 Pickup-Location-City: Haarlem
 Pickup-Location-Postal-Code: 2031 CZ
 Pickup-Location-Country: Netherlands
 Checkout-Method: pickup</t>
  </si>
  <si>
    <t>5\:20 PM</t>
  </si>
  <si>
    <t>#BB-25-9250</t>
  </si>
  <si>
    <t>06-12-2025, 17:20, HAARLEM-HOUTBAAR, Pickup Order, Saturday</t>
  </si>
  <si>
    <t>#BB-25-9253</t>
  </si>
  <si>
    <t>06-12-2025, 14:00, DENHAAG-PLUK, Pickup Order, Saturday</t>
  </si>
  <si>
    <t>#BB-25-9255</t>
  </si>
  <si>
    <t>Pickup-Location-Id: 302654
 Pickup-Day: sunday
 Pickup-Date: 2025/12/07
 Pickup-Time: 5\:00 PM
 Pickup-Location-Company: UTRECHT - Steck
 Pickup-Location-Address-Line-1: Gageldijk 3
 Pickup-Location-City: Utrecht
 Pickup-Location-Postal-Code: 3566 ME
 Pickup-Location-Country: Netherlands
 Checkout-Method: pickup</t>
  </si>
  <si>
    <t>#BB-25-9256</t>
  </si>
  <si>
    <t>07-12-2025, 17:00, Pickup Order, Sunday, UTRECHT-STECK</t>
  </si>
  <si>
    <t>#BB-25-9257</t>
  </si>
  <si>
    <t>BB25-SCARCASPER</t>
  </si>
  <si>
    <t>Pickup-Location-Id: 302654
 Pickup-Day: friday
 Pickup-Date: 2025/12/05
 Pickup-Time: 2\:00 PM
 Pickup-Location-Company: UTRECHT - Steck
 Pickup-Location-Address-Line-1: Gageldijk 3
 Pickup-Location-City: Utrecht
 Pickup-Location-Postal-Code: 3566 ME
 Pickup-Location-Country: Netherlands
 Checkout-Method: pickup</t>
  </si>
  <si>
    <t>#BB-25-9258</t>
  </si>
  <si>
    <t>05-12-2025, 14:00, Friday, Pickup Order, UTRECHT-STECK</t>
  </si>
  <si>
    <t>#BB-25-9259</t>
  </si>
  <si>
    <t>05-12-2025, 11:00, Friday, Pickup Order, UTRECHT-STECK</t>
  </si>
  <si>
    <t>#BB-25-9260</t>
  </si>
  <si>
    <t>07-12-2025, 15:00, Pickup Order, Sunday, UTRECHT-STECK</t>
  </si>
  <si>
    <t>BESPARK-061-uvhj</t>
  </si>
  <si>
    <t>#BB-25-9261</t>
  </si>
  <si>
    <t>CRISISKORTING-BB25</t>
  </si>
  <si>
    <t>#BB-25-9263</t>
  </si>
  <si>
    <t>#BB-25-9265</t>
  </si>
  <si>
    <t>#BB-25-9268</t>
  </si>
  <si>
    <t>ALLEO-25-50E-005-ghdd</t>
  </si>
  <si>
    <t>#BB-25-9269</t>
  </si>
  <si>
    <t>#BB-25-9270</t>
  </si>
  <si>
    <t>Pickup-Location-Id: 279658
 Pickup-Day: saturday
 Pickup-Date: 2025/12/06
 Pickup-Time: 4\:40 PM
 Pickup-Location-Company: HAARLEM - Houtbaar
 Pickup-Location-Address-Line-1: Woudplein 2
 Pickup-Location-City: Haarlem
 Pickup-Location-Postal-Code: 2031 CZ
 Pickup-Location-Country: Netherlands
 Checkout-Method: pickup</t>
  </si>
  <si>
    <t>4\:40 PM</t>
  </si>
  <si>
    <t>#BB-25-9271</t>
  </si>
  <si>
    <t>06-12-2025, 16:40, HAARLEM-HOUTBAAR, Pickup Order, Saturday</t>
  </si>
  <si>
    <t>#BB-25-9272</t>
  </si>
  <si>
    <t>06-12-2025, 10:35, AMSTERDM-LOADS, Pickup Order, Saturday</t>
  </si>
  <si>
    <t>#BB-25-9273</t>
  </si>
  <si>
    <t>06-12-2025, 13:15, GOUDA, Pickup Order, Saturday</t>
  </si>
  <si>
    <t>#BB-25-9275</t>
  </si>
  <si>
    <t>#BB-25-9278</t>
  </si>
  <si>
    <t>Pickup-Location-Id: 278034
 Pickup-Day: saturday
 Pickup-Date: 2025/12/06
 Pickup-Time: 11\:30 AM
 Pickup-Location-Company: DEN HAAG - Grote Markt Plein
 Pickup-Location-Address-Line-1: Grote Markt
 Pickup-Location-City: Den Haag
 Pickup-Location-Postal-Code: 2511 BG
 Pickup-Location-Country: Netherlands
 Checkout-Method: pickup</t>
  </si>
  <si>
    <t>#BB-25-9280</t>
  </si>
  <si>
    <t>06-12-2025, 11:30, DEN HAAG, Pickup Order, Saturday</t>
  </si>
  <si>
    <t>#BB-25-9281</t>
  </si>
  <si>
    <t>#BB-25-9282</t>
  </si>
  <si>
    <t>#BB-25-9284</t>
  </si>
  <si>
    <t>#BB-25-9286</t>
  </si>
  <si>
    <t>Checkout-Method: pickup
 Pickup-Location-Id: 278576
 Pickup-Day: sunday
 Pickup-Date: 2025/12/07
 Pickup-Time: 11\:00 AM
 Pickup-Location-Company: ROTTERDAM - Het witte paard
 Pickup-Location-Address-Line-1: Groenezoom 245
 Pickup-Location-City: Rotterdam
 Pickup-Location-Postal-Code: 3075GD
 Pickup-Location-Country: Netherlands</t>
  </si>
  <si>
    <t>#BB-25-9287</t>
  </si>
  <si>
    <t>07-12-2025, 11:00, Pickup Order, ROTTERDAM-WITTEPAARD, Sunday</t>
  </si>
  <si>
    <t>#BB-25-9288</t>
  </si>
  <si>
    <t>06-12-2025, 12:00, ADM, Pickup Order, Saturday, Vondeltuin</t>
  </si>
  <si>
    <t>#BB-25-9289</t>
  </si>
  <si>
    <t>#BB-25-9290</t>
  </si>
  <si>
    <t>05-12-2025, 14:30, Friday, Pickup Order, UTRECHT-STECK</t>
  </si>
  <si>
    <t>#BB-25-9242</t>
  </si>
  <si>
    <t>#BB-25-9244</t>
  </si>
  <si>
    <t>Pickup-Location-Id: 278030
 Pickup-Day: saturday
 Pickup-Date: 2025/12/06
 Pickup-Time: 3\:40 PM
 Pickup-Location-Company: DEN BOSCH - Bewust Wonen &amp; Werken Boschveld
 Pickup-Location-Address-Line-1: Edisonstraat 3
 Pickup-Location-City: s-Hertogenbosch
 Pickup-Location-Postal-Code: 5223 CD
 Pickup-Location-Country: Netherlands
 Checkout-Method: pickup</t>
  </si>
  <si>
    <t>#BB-25-9245</t>
  </si>
  <si>
    <t>06-12-2025, 15:40, DENBOSCH-BWWB, Pickup Order, Saturday</t>
  </si>
  <si>
    <t>#BB-25-9292</t>
  </si>
  <si>
    <t>Pickup-Location-Id: 279658
 Pickup-Day: saturday
 Pickup-Date: 2025/12/06
 Pickup-Time: 3\:40 PM
 Pickup-Location-Company: HAARLEM - Houtbaar
 Pickup-Location-Address-Line-1: Woudplein 2
 Pickup-Location-City: Haarlem
 Pickup-Location-Postal-Code: 2031 CZ
 Pickup-Location-Country: Netherlands
 Checkout-Method: pickup</t>
  </si>
  <si>
    <t>#BB-25-9297</t>
  </si>
  <si>
    <t>06-12-2025, 15:40, HAARLEM-HOUTBAAR, Pickup Order, Saturday</t>
  </si>
  <si>
    <t>#BB-25-9298</t>
  </si>
  <si>
    <t>#BB-25-9299</t>
  </si>
  <si>
    <t>05-12-2025, 13:30, Friday, Pickup Order, UTRECHT-STECK</t>
  </si>
  <si>
    <t>Pickup-Location-Id: 278034
 Pickup-Day: saturday
 Pickup-Date: 2025/12/06
 Pickup-Time: 1\:30 PM
 Pickup-Location-Company: DEN HAAG - Grote Markt Plein
 Pickup-Location-Address-Line-1: Grote Markt
 Pickup-Location-City: Den Haag
 Pickup-Location-Postal-Code: 2511 BG
 Pickup-Location-Country: Netherlands
 Checkout-Method: pickup</t>
  </si>
  <si>
    <t>#BB-25-9300</t>
  </si>
  <si>
    <t>06-12-2025, 13:30, DEN HAAG, Pickup Order, Saturday</t>
  </si>
  <si>
    <t>#BB-25-9301</t>
  </si>
  <si>
    <t>#BB-25-9302</t>
  </si>
  <si>
    <t>#BB-25-9303</t>
  </si>
  <si>
    <t>#BB-25-9304</t>
  </si>
  <si>
    <t>12-12-2025, 14:00, DENHAAG-PLUK, Friday, Pickup Order</t>
  </si>
  <si>
    <t>#BB-25-9306</t>
  </si>
  <si>
    <t>Pickup-Location-Id: 279894
 Pickup-Day: saturday
 Pickup-Date: 2025/12/06
 Pickup-Time: 4\:20 PM
 Pickup-Location-Company: BREDA - Frontaal
 Pickup-Location-Address-Line-1: Liniestraat 31
 Pickup-Location-City: Breda
 Pickup-Location-Postal-Code: 4816 BG
 Pickup-Location-Country: Netherlands
 Checkout-Method: pickup</t>
  </si>
  <si>
    <t>#BB-25-9307</t>
  </si>
  <si>
    <t>06-12-2025, 16:20, BREDA-FRONTAAL, Pickup Order, Saturday</t>
  </si>
  <si>
    <t>#BB-25-9308</t>
  </si>
  <si>
    <t>#BB-25-9309</t>
  </si>
  <si>
    <t>Pickup-Location-Id: 302654
 Pickup-Day: friday
 Pickup-Date: 2025/12/12
 Pickup-Time: 10\:00 AM
 Pickup-Location-Company: UTRECHT - Steck
 Pickup-Location-Address-Line-1: Gageldijk 3
 Pickup-Location-City: Utrecht
 Pickup-Location-Postal-Code: 3566 ME
 Pickup-Location-Country: Netherlands
 Checkout-Method: pickup</t>
  </si>
  <si>
    <t>#BB-25-9310</t>
  </si>
  <si>
    <t>10:00, 12-12-2025, Friday, Pickup Order, UTRECHT-STECK</t>
  </si>
  <si>
    <t>#BB-25-9311</t>
  </si>
  <si>
    <t>Pickup-Location-Id: 303545
 Pickup-Day: saturday
 Pickup-Date: 2025/12/06
 Pickup-Time: 2\:40 PM
 Pickup-Location-Company: DELFT - buytendelft
 Pickup-Location-Address-Line-1: Korftlaan 3a
 Pickup-Location-City: Delft
 Pickup-Location-Postal-Code: 2616 LJ
 Pickup-Location-Country: Netherlands
 Checkout-Method: pickup</t>
  </si>
  <si>
    <t>#BB-25-9313</t>
  </si>
  <si>
    <t>06-12-2025, 14:40, DELFT-BUYTEN, Pickup Order, Saturday</t>
  </si>
  <si>
    <t>Pickup-Location-Id: 302654
 Pickup-Day: wednesday
 Pickup-Date: 2025/12/10
 Pickup-Time: 4\:00 PM
 Pickup-Location-Company: UTRECHT - Steck
 Pickup-Location-Address-Line-1: Gageldijk 3
 Pickup-Location-City: Utrecht
 Pickup-Location-Postal-Code: 3566 ME
 Pickup-Location-Country: Netherlands
 Checkout-Method: pickup</t>
  </si>
  <si>
    <t>#BB-25-9314</t>
  </si>
  <si>
    <t>10-12-2025, 16:00, Pickup Order, UTRECHT-STECK, Wednesday</t>
  </si>
  <si>
    <t>#BB-25-9315</t>
  </si>
  <si>
    <t>#BB-25-9317</t>
  </si>
  <si>
    <t>#BB-25-9318</t>
  </si>
  <si>
    <t>#BB-25-9319</t>
  </si>
  <si>
    <t>#BB-25-9321</t>
  </si>
  <si>
    <t>#BB-25-9322</t>
  </si>
  <si>
    <t>#BB-25-9323</t>
  </si>
  <si>
    <t>#BB-25-9324</t>
  </si>
  <si>
    <t>#BB-25-9326</t>
  </si>
  <si>
    <t>Pickup-Location-Id: 303545
 Pickup-Day: sunday
 Pickup-Date: 2025/12/07
 Pickup-Time: 1\:00 PM
 Pickup-Location-Company: DELFT - buytendelft
 Pickup-Location-Address-Line-1: Korftlaan 3a
 Pickup-Location-City: Delft
 Pickup-Location-Postal-Code: 2616 LJ
 Pickup-Location-Country: Netherlands
 Checkout-Method: pickup</t>
  </si>
  <si>
    <t>#BB-25-9328</t>
  </si>
  <si>
    <t>07-12-2025, 13:00, DELFT-BUYTEN, Pickup Order, Sunday</t>
  </si>
  <si>
    <t>#BB-25-9330</t>
  </si>
  <si>
    <t>#BB-25-9331</t>
  </si>
  <si>
    <t>03-12-2025, 16:00, Pickup Order, UTRECHT-STECK, Wednesday</t>
  </si>
  <si>
    <t>#BB-25-9332</t>
  </si>
  <si>
    <t>#BB-25-9333</t>
  </si>
  <si>
    <t>#BB-25-9337</t>
  </si>
  <si>
    <t>#BB-25-9338</t>
  </si>
  <si>
    <t>#BB-25-9339</t>
  </si>
  <si>
    <t>#BB-25-9341</t>
  </si>
  <si>
    <t>06-12-2025, 15:00, DENHAAG-PLUK, Pickup Order, Saturday</t>
  </si>
  <si>
    <t>#BB-25-9344</t>
  </si>
  <si>
    <t>#BB-25-9346</t>
  </si>
  <si>
    <t>#BB-25-9347</t>
  </si>
  <si>
    <t>Pickup-Location-Id: 278034
 Pickup-Day: saturday
 Pickup-Date: 2025/12/06
 Pickup-Time: 12\:30 PM
 Pickup-Location-Company: DEN HAAG - Grote Markt Plein
 Pickup-Location-Address-Line-1: Grote Markt
 Pickup-Location-City: Den Haag
 Pickup-Location-Postal-Code: 2511 BG
 Pickup-Location-Country: Netherlands
 Checkout-Method: pickup</t>
  </si>
  <si>
    <t>#BB-25-9348</t>
  </si>
  <si>
    <t>06-12-2025, 12:30, DEN HAAG, Pickup Order, Saturday</t>
  </si>
  <si>
    <t>Pickup-Location-Id: 303545
 Pickup-Day: sunday
 Pickup-Date: 2025/12/07
 Pickup-Time: 2\:40 PM
 Pickup-Location-Company: DELFT - buytendelft
 Pickup-Location-Address-Line-1: Korftlaan 3a
 Pickup-Location-City: Delft
 Pickup-Location-Postal-Code: 2616 LJ
 Pickup-Location-Country: Netherlands
 Checkout-Method: pickup</t>
  </si>
  <si>
    <t>#BB-25-9349</t>
  </si>
  <si>
    <t>07-12-2025, 14:40, DELFT-BUYTEN, Pickup Order, Sunday</t>
  </si>
  <si>
    <t>#BB-25-9350</t>
  </si>
  <si>
    <t>#BB-25-9294</t>
  </si>
  <si>
    <t>06-12-2025, 13:35, AMSTERDM-LOADS, Pickup Order, Saturday</t>
  </si>
  <si>
    <t>#BB-25-9295</t>
  </si>
  <si>
    <t>#BB-25-9296</t>
  </si>
  <si>
    <t>#BB-25-9351</t>
  </si>
  <si>
    <t>07-12-2025, 15:40, DENBOSCH-BWWB, Pickup Order, Sunday</t>
  </si>
  <si>
    <t>#BB-25-9357</t>
  </si>
  <si>
    <t>#BB-25-9358</t>
  </si>
  <si>
    <t>#BB-25-9360</t>
  </si>
  <si>
    <t>07-12-2025, 13:00, DENBOSCH-BWWB, Pickup Order, Sunday</t>
  </si>
  <si>
    <t>#BB-25-9361</t>
  </si>
  <si>
    <t>#BB-25-9364</t>
  </si>
  <si>
    <t>#BB-25-9365</t>
  </si>
  <si>
    <t>06-12-2025, 13:00, DENBOSCH-BWWB, Pickup Order, Saturday</t>
  </si>
  <si>
    <t>#BB-25-9353</t>
  </si>
  <si>
    <t>#BB-25-9355</t>
  </si>
  <si>
    <t>07-12-2025, 10:30, Pickup Order, Sunday, UTRECHT-STECK</t>
  </si>
  <si>
    <t>#BB-25-9356</t>
  </si>
  <si>
    <t>#BB-25-9366</t>
  </si>
  <si>
    <t>#BB-25-9371</t>
  </si>
  <si>
    <t>#BB-25-9372</t>
  </si>
  <si>
    <t>#BB-25-9373</t>
  </si>
  <si>
    <t>11:00, 30-11-2025, Pickup Order, Sunday, UTRECHT-STECK</t>
  </si>
  <si>
    <t>Pickup-Location-Id: 278024
 Checkout-Method: pickup
 Pickup-Day: sunday
 Pickup-Date: 2025/12/07
 Pickup-Time: 10\:00 AM
 Pickup-Location-Company: AMSTERDAM - Kop van Oost
 Pickup-Location-Address-Line-1: Zeeburgerpad 1
 Pickup-Location-City: Amsterdam
 Pickup-Location-Postal-Code: 1018 AH
 Pickup-Location-Country: Netherlands</t>
  </si>
  <si>
    <t>#BB-25-9374</t>
  </si>
  <si>
    <t>#BB-25-9377</t>
  </si>
  <si>
    <t>Pickup-Location-Id: 302654
 Pickup-Day: wednesday
 Pickup-Date: 2025/12/10
 Pickup-Time: 1\:00 PM
 Pickup-Location-Company: UTRECHT - Steck
 Pickup-Location-Address-Line-1: Gageldijk 3
 Pickup-Location-City: Utrecht
 Pickup-Location-Postal-Code: 3566 ME
 Pickup-Location-Country: Netherlands
 Checkout-Method: pickup</t>
  </si>
  <si>
    <t>#BB-25-9381</t>
  </si>
  <si>
    <t>10-12-2025, 13:00, Pickup Order, UTRECHT-STECK, Wednesday</t>
  </si>
  <si>
    <t>#BB-25-9382</t>
  </si>
  <si>
    <t>#BB-25-9383</t>
  </si>
  <si>
    <t>#BB-25-9384</t>
  </si>
  <si>
    <t>Pickup-Location-Id: 278026
 Pickup-Day: saturday
 Pickup-Date: 2025/12/06
 Pickup-Time: 11\:00 AM
 Pickup-Location-Company: DEN HAAG - Pluk!
 Pickup-Location-Address-Line-1: Loosduinse Hoofdstraat
 Pickup-Location-City: Den Haag
 Pickup-Location-Postal-Code: 2552 AV
 Pickup-Location-Country: Netherlands
 Checkout-Method: pickup
 Pickup-Location-Phone: 0653459881</t>
  </si>
  <si>
    <t>#BB-25-9386</t>
  </si>
  <si>
    <t>#BB-25-9388</t>
  </si>
  <si>
    <t>#BB-25-9389</t>
  </si>
  <si>
    <t>#BB-25-9390</t>
  </si>
  <si>
    <t>#BB-25-9392</t>
  </si>
  <si>
    <t>#BB-25-9393</t>
  </si>
  <si>
    <t>#BB-25-9394</t>
  </si>
  <si>
    <t>06-12-2025, 13:00, Pickup Order, ROTTERDAM-SCHIEVEEN, Saturday</t>
  </si>
  <si>
    <t>#BB-25-9395</t>
  </si>
  <si>
    <t>#BB-25-9396</t>
  </si>
  <si>
    <t>Pickup-Location-Id: 302654
 Pickup-Day: friday
 Pickup-Date: 2025/12/12
 Pickup-Time: 4\:00 PM
 Pickup-Location-Company: UTRECHT - Steck
 Pickup-Location-Address-Line-1: Gageldijk 3
 Pickup-Location-City: Utrecht
 Pickup-Location-Postal-Code: 3566 ME
 Pickup-Location-Country: Netherlands
 Checkout-Method: pickup</t>
  </si>
  <si>
    <t>#BB-25-9398</t>
  </si>
  <si>
    <t>12-12-2025, 16:00, Friday, Pickup Order, UTRECHT-STECK</t>
  </si>
  <si>
    <t>#BB-25-9399</t>
  </si>
  <si>
    <t>#BB-25-9400</t>
  </si>
  <si>
    <t>#BB-25-9401</t>
  </si>
  <si>
    <t>#BB-25-9403</t>
  </si>
  <si>
    <t>#BB-25-9404</t>
  </si>
  <si>
    <t>#BB-25-9406</t>
  </si>
  <si>
    <t>#BB-25-9407</t>
  </si>
  <si>
    <t>06-12-2025, 11:30, ADM, Pickup Order, Saturday, Vondeltuin</t>
  </si>
  <si>
    <t>#BB-25-9408</t>
  </si>
  <si>
    <t>#BB-25-9409</t>
  </si>
  <si>
    <t>#BB-25-9411</t>
  </si>
  <si>
    <t>#BB-25-9413</t>
  </si>
  <si>
    <t>#BB-25-9414</t>
  </si>
  <si>
    <t>06-12-2025, 13:30, Pickup Order, ROTTERDAM-SCHIEVEEN, Saturday</t>
  </si>
  <si>
    <t>#BB-25-9416</t>
  </si>
  <si>
    <t>#BB-25-9421</t>
  </si>
  <si>
    <t>#BB-25-9422</t>
  </si>
  <si>
    <t>#BB-25-9424</t>
  </si>
  <si>
    <t>EINDHOVEN-KLOKGEBOUW-BOOM-MET-BORG-100-125</t>
  </si>
  <si>
    <t>#BB-25-9425</t>
  </si>
  <si>
    <t>Eindhoven Klokgebouw - BB met kluit (incl. €10 borg) - 100-125 cm</t>
  </si>
  <si>
    <t>#BB-25-9426</t>
  </si>
  <si>
    <t>07-12-2025, 10:00, Pickup Order, Sunday, UTRECHT-STECK</t>
  </si>
  <si>
    <t>#BB-25-9427</t>
  </si>
  <si>
    <t>Pickup-Location-Id: 278021
 Pickup-Day: saturday
 Pickup-Date: 2025/12/06
 Pickup-Time: 12\:30 PM
 Pickup-Location-Company: AMSTERDAM - Vondeltuin
 Pickup-Location-Address-Line-1: Vondelpark 7
 Pickup-Location-City: Amsterdam
 Pickup-Location-Postal-Code: 1075 VR
 Pickup-Location-Country: Netherlands
 Checkout-Method: pickup</t>
  </si>
  <si>
    <t>#BB-25-9430</t>
  </si>
  <si>
    <t>06-12-2025, 12:30, ADM, Pickup Order, Saturday, Vondeltuin</t>
  </si>
  <si>
    <t>#BB-25-9431</t>
  </si>
  <si>
    <t>06-12-2025, 12:15, AMSTERDM-LOADS, Pickup Order, Saturday</t>
  </si>
  <si>
    <t>Checkout-Method: pickup
 Pickup-Location-Id: 278027
 Pickup-Day: saturday
 Pickup-Date: 2025/12/06
 Pickup-Time: 11\:45 AM
 Pickup-Location-Company: GOUDA - Stadskant
 Pickup-Location-Address-Line-1: Agnietenstraat 19
 Pickup-Location-City: Gouda
 Pickup-Location-Postal-Code: 2801 GH
 Pickup-Location-Country: Netherlands</t>
  </si>
  <si>
    <t>#BB-25-9367</t>
  </si>
  <si>
    <t>06-12-2025, 11:45, GOUDA, Pickup Order, Saturday</t>
  </si>
  <si>
    <t>#BB-25-9369</t>
  </si>
  <si>
    <t>#BB-25-9370</t>
  </si>
  <si>
    <t>06-12-2025, 11:15, GOUDA, Pickup Order, Saturday</t>
  </si>
  <si>
    <t>#BB-25-9432</t>
  </si>
  <si>
    <t>#BB-25-9436</t>
  </si>
  <si>
    <t>#BB-25-9437</t>
  </si>
  <si>
    <t>#BB-25-9439</t>
  </si>
  <si>
    <t>#BB-25-9440</t>
  </si>
  <si>
    <t>#BB-25-9441</t>
  </si>
  <si>
    <t>#BB-25-9442</t>
  </si>
  <si>
    <t>#BB-25-9443</t>
  </si>
  <si>
    <t>#BB-25-9444</t>
  </si>
  <si>
    <t>#BB-25-9445</t>
  </si>
  <si>
    <t>#BB-25-9446</t>
  </si>
  <si>
    <t>#BB-25-9447</t>
  </si>
  <si>
    <t>#BB-25-9448</t>
  </si>
  <si>
    <t>#BB-25-9449</t>
  </si>
  <si>
    <t>07-12-2025, 12:40, Pickup Order, ROTTERDAM-WITTEPAARD, Sunday</t>
  </si>
  <si>
    <t>#BB-25-9450</t>
  </si>
  <si>
    <t>06-12-2025, 13:00, Pickup Order, Saturday, UTRECHT-STECK</t>
  </si>
  <si>
    <t>#BB-25-9451</t>
  </si>
  <si>
    <t>#BB-25-9452</t>
  </si>
  <si>
    <t>#BB-25-9453</t>
  </si>
  <si>
    <t>#BB-25-9454</t>
  </si>
  <si>
    <t>#BB-25-9455</t>
  </si>
  <si>
    <t>05-12-2025, 17:00, Friday, Pickup Order, UTRECHT-STECK</t>
  </si>
  <si>
    <t>BESPARK-005-ytbk</t>
  </si>
  <si>
    <t>Checkout-Method: pickup
 Pickup-Location-Id: 278021
 Pickup-Day: saturday
 Pickup-Date: 2025/12/06
 Pickup-Time: 11\:00 AM
 Pickup-Location-Company: AMSTERDAM - Vondeltuin
 Pickup-Location-Address-Line-1: Vondelpark 7
 Pickup-Location-City: Amsterdam
 Pickup-Location-Postal-Code: 1075 VR
 Pickup-Location-Country: Netherlands</t>
  </si>
  <si>
    <t>#BB-25-9456</t>
  </si>
  <si>
    <t>#BB-25-9458</t>
  </si>
  <si>
    <t>Pickup-Location-Id: 302654
 Pickup-Day: friday
 Pickup-Date: 2025/12/12
 Pickup-Time: 3\:00 PM
 Pickup-Location-Company: UTRECHT - Steck
 Pickup-Location-Address-Line-1: Gageldijk 3
 Pickup-Location-City: Utrecht
 Pickup-Location-Postal-Code: 3566 ME
 Pickup-Location-Country: Netherlands
 Checkout-Method: pickup</t>
  </si>
  <si>
    <t>#BB-25-9460</t>
  </si>
  <si>
    <t>12-12-2025, 15:00, Friday, Pickup Order, UTRECHT-STECK</t>
  </si>
  <si>
    <t>#BB-25-9461</t>
  </si>
  <si>
    <t>Pickup-Location-Id: 302654
 Pickup-Day: sunday
 Pickup-Date: 2025/12/07
 Pickup-Time: 12\:30 PM
 Pickup-Location-Company: UTRECHT - Steck
 Pickup-Location-Address-Line-1: Gageldijk 3
 Pickup-Location-City: Utrecht
 Pickup-Location-Postal-Code: 3566 ME
 Pickup-Location-Country: Netherlands
 Checkout-Method: pickup</t>
  </si>
  <si>
    <t>#BB-25-9463</t>
  </si>
  <si>
    <t>07-12-2025, 12:30, Pickup Order, Sunday, UTRECHT-STECK</t>
  </si>
  <si>
    <t>#BB-25-9464</t>
  </si>
  <si>
    <t>#BB-25-9433</t>
  </si>
  <si>
    <t>#BB-25-9434</t>
  </si>
  <si>
    <t>#BB-25-9435</t>
  </si>
  <si>
    <t>#BB-25-9466</t>
  </si>
  <si>
    <t>#BB-25-9470</t>
  </si>
  <si>
    <t>Pickup-Location-Id: 279658
 Pickup-Day: saturday
 Pickup-Date: 2025/12/06
 Pickup-Time: 5\:40 PM
 Pickup-Location-Company: HAARLEM - Houtbaar
 Pickup-Location-Address-Line-1: Woudplein 2
 Pickup-Location-City: Haarlem
 Pickup-Location-Postal-Code: 2031 CZ
 Pickup-Location-Country: Netherlands
 Checkout-Method: pickup</t>
  </si>
  <si>
    <t>5\:40 PM</t>
  </si>
  <si>
    <t>#BB-25-9471</t>
  </si>
  <si>
    <t>06-12-2025, 17:40, HAARLEM-HOUTBAAR, Pickup Order, Saturday</t>
  </si>
  <si>
    <t>#BB-25-9472</t>
  </si>
  <si>
    <t>#BB-25-9474</t>
  </si>
  <si>
    <t>#BB-25-9475</t>
  </si>
  <si>
    <t>#BB-25-9476</t>
  </si>
  <si>
    <t>#BB-25-9479</t>
  </si>
  <si>
    <t>#BB-25-9480</t>
  </si>
  <si>
    <t>#BB-25-9482</t>
  </si>
  <si>
    <t>#BB-25-9484</t>
  </si>
  <si>
    <t>#BB-25-9485</t>
  </si>
  <si>
    <t>#BB-25-9486</t>
  </si>
  <si>
    <t>07-12-2025, 15:00, Pickup Order, ROTTERDAM-SCHIEVEEN, Sunday</t>
  </si>
  <si>
    <t>Pickup-Location-Id: 279894
 Pickup-Day: saturday
 Pickup-Date: 2025/12/06
 Pickup-Time: 2\:20 PM
 Pickup-Location-Company: BREDA - Frontaal
 Pickup-Location-Address-Line-1: Liniestraat 31
 Pickup-Location-City: Breda
 Pickup-Location-Postal-Code: 4816 BG
 Pickup-Location-Country: Netherlands
 Checkout-Method: pickup</t>
  </si>
  <si>
    <t>#BB-25-9487</t>
  </si>
  <si>
    <t>06-12-2025, 14:20, BREDA-FRONTAAL, Pickup Order, Saturday</t>
  </si>
  <si>
    <t>Pickup-Location-Id: 278026
 Pickup-Day: friday
 Pickup-Date: 2025/12/05
 Pickup-Time: 2\:00 PM
 Pickup-Location-Company: DEN HAAG - Pluk!
 Pickup-Location-Address-Line-1: Loosduinse Hoofdstraat
 Pickup-Location-City: Den Haag
 Pickup-Location-Postal-Code: 2552 AV
 Pickup-Location-Country: Netherlands
 Pickup-Location-Phone: 0653459881
 Checkout-Method: pickup</t>
  </si>
  <si>
    <t>#BB-25-9488</t>
  </si>
  <si>
    <t>05-12-2025, 14:00, DENHAAG-PLUK, Friday, Pickup Order</t>
  </si>
  <si>
    <t>#BB-25-9489</t>
  </si>
  <si>
    <t>07-12-2025, 12:00, BREDA-WOLFSLAAR, Pickup Order, Sunday</t>
  </si>
  <si>
    <t>#BB-25-9490</t>
  </si>
  <si>
    <t>13:00, 30-11-2025, Pickup Order, Sunday, UTRECHT-STECK</t>
  </si>
  <si>
    <t>#BB-25-9467</t>
  </si>
  <si>
    <t>#BB-25-9468</t>
  </si>
  <si>
    <t>#BB-25-9469</t>
  </si>
  <si>
    <t>#BB-25-9491</t>
  </si>
  <si>
    <t>06-12-2025, 11:40, Pickup Order, ROTTERDAM-WITTEPAARD, Saturday</t>
  </si>
  <si>
    <t>#BB-25-9496</t>
  </si>
  <si>
    <t>06-12-2025, 14:30, Pickup Order, Saturday, UTRECHT-STECK</t>
  </si>
  <si>
    <t>#BB-25-9497</t>
  </si>
  <si>
    <t>#BB-25-9499</t>
  </si>
  <si>
    <t>Pickup-Location-Id: 278034
 Pickup-Day: saturday
 Pickup-Date: 2025/12/06
 Pickup-Time: 12\:00 PM
 Pickup-Location-Company: DEN HAAG - Grote Markt Plein
 Pickup-Location-Address-Line-1: Grote Markt
 Pickup-Location-City: Den Haag
 Pickup-Location-Postal-Code: 2511 BG
 Pickup-Location-Country: Netherlands
 Checkout-Method: pickup</t>
  </si>
  <si>
    <t>#BB-25-9500</t>
  </si>
  <si>
    <t>06-12-2025, 12:00, DEN HAAG, Pickup Order, Saturday</t>
  </si>
  <si>
    <t>#BB-25-9501</t>
  </si>
  <si>
    <t>#BB-25-9503</t>
  </si>
  <si>
    <t>#BB-25-9506</t>
  </si>
  <si>
    <t>#BB-25-9507</t>
  </si>
  <si>
    <t>07-12-2025, 11:15, Pickup Order, Sunday, UTRECHT-WILLEM</t>
  </si>
  <si>
    <t>#BB-25-9509</t>
  </si>
  <si>
    <t>#BB-25-9510</t>
  </si>
  <si>
    <t>#BB-25-9511</t>
  </si>
  <si>
    <t>#BB-25-9512</t>
  </si>
  <si>
    <t>Pickup-Location-Id: 303545
 Pickup-Day: sunday
 Pickup-Date: 2025/12/14
 Pickup-Time: 11\:20 AM
 Pickup-Location-Company: DELFT - buytendelft
 Pickup-Location-Address-Line-1: Korftlaan 3a
 Pickup-Location-City: Delft
 Pickup-Location-Postal-Code: 2616 LJ
 Pickup-Location-Country: Netherlands
 Checkout-Method: pickup</t>
  </si>
  <si>
    <t>#BB-25-9514</t>
  </si>
  <si>
    <t>11:20, 14-12-2025, DELFT-BUYTEN, Pickup Order, Sunday</t>
  </si>
  <si>
    <t>Checkout-Method: pickup
 Pickup-Location-Id: 278024
 Pickup-Day: sunday
 Pickup-Date: 2025/12/07
 Pickup-Time: 12\:00 PM
 Pickup-Location-Company: AMSTERDAM - Kop van Oost
 Pickup-Location-Address-Line-1: Zeeburgerpad 1
 Pickup-Location-City: Amsterdam
 Pickup-Location-Postal-Code: 1018 AH
 Pickup-Location-Country: Netherlands</t>
  </si>
  <si>
    <t>#BB-25-9515</t>
  </si>
  <si>
    <t>#BB-25-9516</t>
  </si>
  <si>
    <t>#BB-25-9517</t>
  </si>
  <si>
    <t>#BB-25-9518</t>
  </si>
  <si>
    <t>#BB-25-9519</t>
  </si>
  <si>
    <t>#BB-25-9521</t>
  </si>
  <si>
    <t>07-12-2025, 11:55, Pickup Order, Sunday, UTRECHT-WILLEM</t>
  </si>
  <si>
    <t>#BB-25-9523</t>
  </si>
  <si>
    <t>#BB-25-9524</t>
  </si>
  <si>
    <t>#BB-25-9526</t>
  </si>
  <si>
    <t>Pickup-Location-Id: 279894
 Pickup-Day: saturday
 Pickup-Date: 2025/12/06
 Pickup-Time: 3\:20 PM
 Pickup-Location-Company: BREDA - Frontaal
 Pickup-Location-Address-Line-1: Liniestraat 31
 Pickup-Location-City: Breda
 Pickup-Location-Postal-Code: 4816 BG
 Pickup-Location-Country: Netherlands
 Checkout-Method: pickup</t>
  </si>
  <si>
    <t>#BB-25-9527</t>
  </si>
  <si>
    <t>06-12-2025, 15:20, BREDA-FRONTAAL, Pickup Order, Saturday</t>
  </si>
  <si>
    <t>Pickup-Location-Id: 302654
 Pickup-Day: wednesday
 Pickup-Date: 2025/12/10
 Pickup-Time: 2\:00 PM
 Pickup-Location-Company: UTRECHT - Steck
 Pickup-Location-Address-Line-1: Gageldijk 3
 Pickup-Location-City: Utrecht
 Pickup-Location-Postal-Code: 3566 ME
 Pickup-Location-Country: Netherlands
 Checkout-Method: pickup</t>
  </si>
  <si>
    <t>#BB-25-9529</t>
  </si>
  <si>
    <t>10-12-2025, 14:00, Pickup Order, UTRECHT-STECK, Wednesday</t>
  </si>
  <si>
    <t>Pickup-Location-Id: 303545
 Pickup-Day: sunday
 Pickup-Date: 2025/12/14
 Pickup-Time: 2\:00 PM
 Pickup-Location-Company: DELFT - buytendelft
 Pickup-Location-Address-Line-1: Korftlaan 3a
 Pickup-Location-City: Delft
 Pickup-Location-Postal-Code: 2616 LJ
 Pickup-Location-Country: Netherlands
 Checkout-Method: pickup</t>
  </si>
  <si>
    <t>#BB-25-9530</t>
  </si>
  <si>
    <t>14-12-2025, 14:00, DELFT-BUYTEN, Pickup Order, Sunday</t>
  </si>
  <si>
    <t>#BB-25-9532</t>
  </si>
  <si>
    <t>#BB-25-9534</t>
  </si>
  <si>
    <t>#BB-25-9492</t>
  </si>
  <si>
    <t>#BB-25-9493</t>
  </si>
  <si>
    <t>#BB-25-9495</t>
  </si>
  <si>
    <t>Billing: First Name</t>
  </si>
  <si>
    <t>Billing: Last Name</t>
  </si>
  <si>
    <t>Customer: Email</t>
  </si>
  <si>
    <t>Inge</t>
  </si>
  <si>
    <t>van Houdt</t>
  </si>
  <si>
    <r>
      <rPr>
        <rFont val="Helvetica Neue"/>
        <color rgb="FF1155CC"/>
        <u/>
      </rPr>
      <t>isvhoudt@gmail.com</t>
    </r>
  </si>
  <si>
    <t>Marieke</t>
  </si>
  <si>
    <t>Zwaanswijk</t>
  </si>
  <si>
    <r>
      <rPr>
        <rFont val="Helvetica Neue"/>
        <color rgb="FF1155CC"/>
        <u/>
      </rPr>
      <t>marieke.zwaanswijk@hotmail.com</t>
    </r>
  </si>
  <si>
    <t>Annet</t>
  </si>
  <si>
    <t>Troelstra</t>
  </si>
  <si>
    <r>
      <rPr>
        <rFont val="Helvetica Neue"/>
        <color rgb="FF1155CC"/>
        <u/>
      </rPr>
      <t>a.troelstra@me.com</t>
    </r>
  </si>
  <si>
    <t>Geertjan</t>
  </si>
  <si>
    <t>Aleven</t>
  </si>
  <si>
    <r>
      <rPr>
        <rFont val="Helvetica Neue"/>
        <color rgb="FF1155CC"/>
        <u/>
      </rPr>
      <t>geertjan@hartenhoofd.nl</t>
    </r>
  </si>
  <si>
    <t>Marielle</t>
  </si>
  <si>
    <t>Spronck</t>
  </si>
  <si>
    <r>
      <rPr>
        <rFont val="Helvetica Neue"/>
        <color rgb="FF1155CC"/>
        <u/>
      </rPr>
      <t>mariellespronck@gmail.com</t>
    </r>
  </si>
  <si>
    <t>Bram</t>
  </si>
  <si>
    <t>Coolen</t>
  </si>
  <si>
    <r>
      <rPr>
        <rFont val="Helvetica Neue"/>
        <color rgb="FF1155CC"/>
        <u/>
      </rPr>
      <t>bramcoolen1982@gmail.com</t>
    </r>
  </si>
  <si>
    <t>Hermine</t>
  </si>
  <si>
    <t>Reuchlin</t>
  </si>
  <si>
    <r>
      <rPr>
        <rFont val="Helvetica Neue"/>
        <color rgb="FF1155CC"/>
        <u/>
      </rPr>
      <t>info@herminereuchlin.nl</t>
    </r>
  </si>
  <si>
    <t>Bregje</t>
  </si>
  <si>
    <t>van den Berg</t>
  </si>
  <si>
    <r>
      <rPr>
        <rFont val="Helvetica Neue"/>
        <color rgb="FF1155CC"/>
        <u/>
      </rPr>
      <t>bregje0310@gmail.com</t>
    </r>
  </si>
  <si>
    <t>Marike</t>
  </si>
  <si>
    <t>STRASHEIM</t>
  </si>
  <si>
    <r>
      <rPr>
        <rFont val="Helvetica Neue"/>
        <color rgb="FF1155CC"/>
        <u/>
      </rPr>
      <t>marike.strasheim@gmail.com</t>
    </r>
  </si>
  <si>
    <t>Renate</t>
  </si>
  <si>
    <t>de Jaeger</t>
  </si>
  <si>
    <r>
      <rPr>
        <rFont val="Helvetica Neue"/>
        <color rgb="FF1155CC"/>
        <u/>
      </rPr>
      <t>rm.de.jaeger@ziggo.nl</t>
    </r>
  </si>
  <si>
    <t>Simone</t>
  </si>
  <si>
    <t>van Eik</t>
  </si>
  <si>
    <r>
      <rPr>
        <rFont val="Helvetica Neue"/>
        <color rgb="FF1155CC"/>
        <u/>
      </rPr>
      <t>vaneiks@gmail.com</t>
    </r>
  </si>
  <si>
    <t>Misja</t>
  </si>
  <si>
    <t>de Bruijn</t>
  </si>
  <si>
    <r>
      <rPr>
        <rFont val="Helvetica Neue"/>
        <color rgb="FF1155CC"/>
        <u/>
      </rPr>
      <t>debruijnmisja@gmail.com</t>
    </r>
  </si>
  <si>
    <t>Margot</t>
  </si>
  <si>
    <t>Huijgen</t>
  </si>
  <si>
    <r>
      <rPr>
        <rFont val="Helvetica Neue"/>
        <color rgb="FF1155CC"/>
        <u/>
      </rPr>
      <t>margothuijgen@gmail.com</t>
    </r>
  </si>
  <si>
    <t>Dirk</t>
  </si>
  <si>
    <t>R.</t>
  </si>
  <si>
    <r>
      <rPr>
        <rFont val="Helvetica Neue"/>
        <color rgb="FF1155CC"/>
        <u/>
      </rPr>
      <t>dirkjan.rijneveld@gmail.com</t>
    </r>
  </si>
  <si>
    <t>Metta</t>
  </si>
  <si>
    <t>Pratt</t>
  </si>
  <si>
    <r>
      <rPr>
        <rFont val="Helvetica Neue"/>
        <color rgb="FF1155CC"/>
        <u/>
      </rPr>
      <t>mettapratt@gmail.com</t>
    </r>
  </si>
  <si>
    <t>Chiara</t>
  </si>
  <si>
    <t>Treglia</t>
  </si>
  <si>
    <r>
      <rPr>
        <rFont val="Helvetica Neue"/>
        <color rgb="FF1155CC"/>
        <u/>
      </rPr>
      <t>info@chiaratreglia.com</t>
    </r>
  </si>
  <si>
    <t>Tiffany</t>
  </si>
  <si>
    <t>Tjong</t>
  </si>
  <si>
    <r>
      <rPr>
        <rFont val="Helvetica Neue"/>
        <color rgb="FF1155CC"/>
        <u/>
      </rPr>
      <t>tiffany.tjong@gmail.com</t>
    </r>
  </si>
  <si>
    <t>Richard</t>
  </si>
  <si>
    <t>Duplock</t>
  </si>
  <si>
    <r>
      <rPr>
        <rFont val="Helvetica Neue"/>
        <color rgb="FF1155CC"/>
        <u/>
      </rPr>
      <t>richard.duplock@outlook.com</t>
    </r>
  </si>
  <si>
    <t>Roos</t>
  </si>
  <si>
    <t>Kool</t>
  </si>
  <si>
    <r>
      <rPr>
        <rFont val="Helvetica Neue"/>
        <color rgb="FF1155CC"/>
        <u/>
      </rPr>
      <t>hanneroosbouwman@gmail.com</t>
    </r>
  </si>
  <si>
    <t>Arjan</t>
  </si>
  <si>
    <t>van Asselt</t>
  </si>
  <si>
    <r>
      <rPr>
        <rFont val="Helvetica Neue"/>
        <color rgb="FF1155CC"/>
        <u/>
      </rPr>
      <t>arjan.vanasselt@gmail.com</t>
    </r>
  </si>
  <si>
    <t>U</t>
  </si>
  <si>
    <t>Schiller</t>
  </si>
  <si>
    <r>
      <rPr>
        <rFont val="Helvetica Neue"/>
        <color rgb="FF1155CC"/>
        <u/>
      </rPr>
      <t>myriam.schiller@gmail.com</t>
    </r>
  </si>
  <si>
    <t>Emma</t>
  </si>
  <si>
    <t>Smit</t>
  </si>
  <si>
    <r>
      <rPr>
        <rFont val="Helvetica Neue"/>
        <color rgb="FF1155CC"/>
        <u/>
      </rPr>
      <t>xemmasmit@hotmail.com</t>
    </r>
  </si>
  <si>
    <t>Kari</t>
  </si>
  <si>
    <t>Jasperse</t>
  </si>
  <si>
    <r>
      <rPr>
        <rFont val="Helvetica Neue"/>
        <color rgb="FF1155CC"/>
        <u/>
      </rPr>
      <t>karivita02@hotmail.com</t>
    </r>
  </si>
  <si>
    <t>Odilia</t>
  </si>
  <si>
    <t>Laceulle</t>
  </si>
  <si>
    <r>
      <rPr>
        <rFont val="Helvetica Neue"/>
        <color rgb="FF1155CC"/>
        <u/>
      </rPr>
      <t>odilialac@hotmail.com</t>
    </r>
  </si>
  <si>
    <t>Febe</t>
  </si>
  <si>
    <t>van Maldegem</t>
  </si>
  <si>
    <r>
      <rPr>
        <rFont val="Helvetica Neue"/>
        <color rgb="FF1155CC"/>
        <u/>
      </rPr>
      <t>beterboompje@email.febe.nl</t>
    </r>
  </si>
  <si>
    <t>Daniël</t>
  </si>
  <si>
    <t>Reinders</t>
  </si>
  <si>
    <r>
      <rPr>
        <rFont val="Helvetica Neue"/>
        <color rgb="FF1155CC"/>
        <u/>
      </rPr>
      <t>daniel@danielreinders.nl</t>
    </r>
  </si>
  <si>
    <t>Rosalie</t>
  </si>
  <si>
    <t>Snijders</t>
  </si>
  <si>
    <r>
      <rPr>
        <rFont val="Helvetica Neue"/>
        <color rgb="FF1155CC"/>
        <u/>
      </rPr>
      <t>snijdersrosalie@hotmail.com</t>
    </r>
  </si>
  <si>
    <t>Renske</t>
  </si>
  <si>
    <t>Stel</t>
  </si>
  <si>
    <r>
      <rPr>
        <rFont val="Helvetica Neue"/>
        <color rgb="FF1155CC"/>
        <u/>
      </rPr>
      <t>renskepompe@hotmail.com</t>
    </r>
  </si>
  <si>
    <t>C.</t>
  </si>
  <si>
    <t>Snoeij</t>
  </si>
  <si>
    <r>
      <rPr>
        <rFont val="Helvetica Neue"/>
        <color rgb="FF1155CC"/>
        <u/>
      </rPr>
      <t>cornesnoeij@soverin.net</t>
    </r>
  </si>
  <si>
    <t>Marie-Louise</t>
  </si>
  <si>
    <t>Beuming</t>
  </si>
  <si>
    <r>
      <rPr>
        <rFont val="Helvetica Neue"/>
        <color rgb="FF1155CC"/>
        <u/>
      </rPr>
      <t>mbeuming@xs4all.nl</t>
    </r>
  </si>
  <si>
    <t>Marja</t>
  </si>
  <si>
    <t>Heier</t>
  </si>
  <si>
    <r>
      <rPr>
        <rFont val="Helvetica Neue"/>
        <color rgb="FF1155CC"/>
        <u/>
      </rPr>
      <t>mrjheier@gmail.com</t>
    </r>
  </si>
  <si>
    <t>Sabien</t>
  </si>
  <si>
    <t>Gerretse</t>
  </si>
  <si>
    <r>
      <rPr>
        <rFont val="Helvetica Neue"/>
        <color rgb="FF1155CC"/>
        <u/>
      </rPr>
      <t>sgerretse@outlook.com</t>
    </r>
  </si>
  <si>
    <t>addy</t>
  </si>
  <si>
    <t>zwiebel</t>
  </si>
  <si>
    <r>
      <rPr>
        <rFont val="Helvetica Neue"/>
        <color rgb="FF1155CC"/>
        <u/>
      </rPr>
      <t>aprzwiebel@gmail.com</t>
    </r>
  </si>
  <si>
    <t>Puck</t>
  </si>
  <si>
    <t>Metgod</t>
  </si>
  <si>
    <r>
      <rPr>
        <rFont val="Helvetica Neue"/>
        <color rgb="FF1155CC"/>
        <u/>
      </rPr>
      <t>puckmetgod@gmail.com</t>
    </r>
  </si>
  <si>
    <t>Elysa</t>
  </si>
  <si>
    <t>Overdijk</t>
  </si>
  <si>
    <r>
      <rPr>
        <rFont val="Helvetica Neue"/>
        <color rgb="FF1155CC"/>
        <u/>
      </rPr>
      <t>elysaoverdijk@gmail.com</t>
    </r>
  </si>
  <si>
    <t>Jochem</t>
  </si>
  <si>
    <t>Kuijs</t>
  </si>
  <si>
    <r>
      <rPr>
        <rFont val="Helvetica Neue"/>
        <color rgb="FF1155CC"/>
        <u/>
      </rPr>
      <t>jochemkuijs@hotmail.com</t>
    </r>
  </si>
  <si>
    <t>Dik</t>
  </si>
  <si>
    <t>Habbema</t>
  </si>
  <si>
    <r>
      <rPr>
        <rFont val="Helvetica Neue"/>
        <color rgb="FF1155CC"/>
        <u/>
      </rPr>
      <t>dikhabbema@hotmail.com</t>
    </r>
  </si>
  <si>
    <t>Mitchel</t>
  </si>
  <si>
    <t>Bakker</t>
  </si>
  <si>
    <r>
      <rPr>
        <rFont val="Helvetica Neue"/>
        <color rgb="FF1155CC"/>
        <u/>
      </rPr>
      <t>mitchel1993@gmail.com</t>
    </r>
  </si>
  <si>
    <t>Froger</t>
  </si>
  <si>
    <r>
      <rPr>
        <rFont val="Helvetica Neue"/>
        <color rgb="FF1155CC"/>
        <u/>
      </rPr>
      <t>sabienfr@hotmail.com</t>
    </r>
  </si>
  <si>
    <t>Joke</t>
  </si>
  <si>
    <t>Oprel</t>
  </si>
  <si>
    <r>
      <rPr>
        <rFont val="Helvetica Neue"/>
        <color rgb="FF1155CC"/>
        <u/>
      </rPr>
      <t>joke.oprel@gmail.com</t>
    </r>
  </si>
  <si>
    <t>Robbert</t>
  </si>
  <si>
    <t>Thijssen</t>
  </si>
  <si>
    <r>
      <rPr>
        <rFont val="Helvetica Neue"/>
        <color rgb="FF1155CC"/>
        <u/>
      </rPr>
      <t>marliesrobbert@yahoo.com</t>
    </r>
  </si>
  <si>
    <t>Michiel</t>
  </si>
  <si>
    <t>Doorman</t>
  </si>
  <si>
    <r>
      <rPr>
        <rFont val="Helvetica Neue"/>
        <color rgb="FF1155CC"/>
        <u/>
      </rPr>
      <t>doorman@kpnplanet.nl</t>
    </r>
  </si>
  <si>
    <t>Madelon</t>
  </si>
  <si>
    <t>Lombardi</t>
  </si>
  <si>
    <r>
      <rPr>
        <rFont val="Helvetica Neue"/>
        <color rgb="FF1155CC"/>
        <u/>
      </rPr>
      <t>lombardi.madelon@orange.fr</t>
    </r>
  </si>
  <si>
    <t>Rianne</t>
  </si>
  <si>
    <t>van Swieten</t>
  </si>
  <si>
    <r>
      <rPr>
        <rFont val="Helvetica Neue"/>
        <color rgb="FF1155CC"/>
        <u/>
      </rPr>
      <t>rianne_van_swieten@hotmail.com</t>
    </r>
  </si>
  <si>
    <t>Ingrid</t>
  </si>
  <si>
    <t>Ter Laak</t>
  </si>
  <si>
    <r>
      <rPr>
        <rFont val="Helvetica Neue"/>
        <color rgb="FF1155CC"/>
        <u/>
      </rPr>
      <t>xingriddx@live.com</t>
    </r>
  </si>
  <si>
    <t>Marloes</t>
  </si>
  <si>
    <t>Koele</t>
  </si>
  <si>
    <r>
      <rPr>
        <rFont val="Helvetica Neue"/>
        <color rgb="FF1155CC"/>
        <u/>
      </rPr>
      <t>marloeskoele@gmail.com</t>
    </r>
  </si>
  <si>
    <t>Anne</t>
  </si>
  <si>
    <t>Koopmans</t>
  </si>
  <si>
    <r>
      <rPr>
        <rFont val="Helvetica Neue"/>
        <color rgb="FF1155CC"/>
        <u/>
      </rPr>
      <t>Anne_koopmans@yahoo.com</t>
    </r>
  </si>
  <si>
    <t>Bastiaan</t>
  </si>
  <si>
    <t>Rotsteeg</t>
  </si>
  <si>
    <r>
      <rPr>
        <rFont val="Helvetica Neue"/>
        <color rgb="FF1155CC"/>
        <u/>
      </rPr>
      <t>bastiaan.rotsteeg@gmail.com</t>
    </r>
  </si>
  <si>
    <t>Pauline</t>
  </si>
  <si>
    <t>Jacobs</t>
  </si>
  <si>
    <r>
      <rPr>
        <rFont val="Helvetica Neue"/>
        <color rgb="FF1155CC"/>
        <u/>
      </rPr>
      <t>pauline-jacobs@live.nl</t>
    </r>
  </si>
  <si>
    <t>Merlijn</t>
  </si>
  <si>
    <t>Kopp</t>
  </si>
  <si>
    <r>
      <rPr>
        <rFont val="Helvetica Neue"/>
        <color rgb="FF1155CC"/>
        <u/>
      </rPr>
      <t>merlijn_kopp@hotmail.com</t>
    </r>
  </si>
  <si>
    <t>Iris</t>
  </si>
  <si>
    <t>Boom</t>
  </si>
  <si>
    <r>
      <rPr>
        <rFont val="Helvetica Neue"/>
        <color rgb="FF1155CC"/>
        <u/>
      </rPr>
      <t>irisboomiris@gmail.com</t>
    </r>
  </si>
  <si>
    <t>Tallen</t>
  </si>
  <si>
    <r>
      <rPr>
        <rFont val="Helvetica Neue"/>
        <color rgb="FF1155CC"/>
        <u/>
      </rPr>
      <t>roosmarijntallen@gmail.com</t>
    </r>
  </si>
  <si>
    <t>Lotte</t>
  </si>
  <si>
    <t>Vermeer</t>
  </si>
  <si>
    <r>
      <rPr>
        <rFont val="Helvetica Neue"/>
        <color rgb="FF1155CC"/>
        <u/>
      </rPr>
      <t>lotte.vermeer96@gmail.com</t>
    </r>
  </si>
  <si>
    <t>Julia</t>
  </si>
  <si>
    <t>Wienk</t>
  </si>
  <si>
    <r>
      <rPr>
        <rFont val="Helvetica Neue"/>
        <color rgb="FF1155CC"/>
        <u/>
      </rPr>
      <t>juliacecilewienk@hotmail.com</t>
    </r>
  </si>
  <si>
    <t>Karlijn</t>
  </si>
  <si>
    <t>Hofstraat</t>
  </si>
  <si>
    <r>
      <rPr>
        <rFont val="Helvetica Neue"/>
        <color rgb="FF1155CC"/>
        <u/>
      </rPr>
      <t>khofstraat@outlook.com</t>
    </r>
  </si>
  <si>
    <t>Julie</t>
  </si>
  <si>
    <t>van Vliet</t>
  </si>
  <si>
    <r>
      <rPr>
        <rFont val="Helvetica Neue"/>
        <color rgb="FF1155CC"/>
        <u/>
      </rPr>
      <t>julievanvliet@live.nl</t>
    </r>
  </si>
  <si>
    <t>Eef</t>
  </si>
  <si>
    <t>Smeets</t>
  </si>
  <si>
    <r>
      <rPr>
        <rFont val="Helvetica Neue"/>
        <color rgb="FF1155CC"/>
        <u/>
      </rPr>
      <t>eefsmeets@gmail.com</t>
    </r>
  </si>
  <si>
    <t>Laura</t>
  </si>
  <si>
    <t>Olthof</t>
  </si>
  <si>
    <r>
      <rPr>
        <rFont val="Helvetica Neue"/>
        <color rgb="FF1155CC"/>
        <u/>
      </rPr>
      <t>ao.laura@gmail.com</t>
    </r>
  </si>
  <si>
    <t>jeske</t>
  </si>
  <si>
    <t>Luiten</t>
  </si>
  <si>
    <r>
      <rPr>
        <rFont val="Helvetica Neue"/>
        <color rgb="FF1155CC"/>
        <u/>
      </rPr>
      <t>jjeske@hotmail.com</t>
    </r>
  </si>
  <si>
    <t>Marjolein</t>
  </si>
  <si>
    <t>Van Noort</t>
  </si>
  <si>
    <r>
      <rPr>
        <rFont val="Helvetica Neue"/>
        <color rgb="FF1155CC"/>
        <u/>
      </rPr>
      <t>mlvannoort@hotmail.com</t>
    </r>
  </si>
  <si>
    <t>Jolanda</t>
  </si>
  <si>
    <t>de Swart</t>
  </si>
  <si>
    <r>
      <rPr>
        <rFont val="Helvetica Neue"/>
        <color rgb="FF1155CC"/>
        <u/>
      </rPr>
      <t>jootje72@yahoo.com</t>
    </r>
  </si>
  <si>
    <t>Pim</t>
  </si>
  <si>
    <t>Van Paassen</t>
  </si>
  <si>
    <r>
      <rPr>
        <rFont val="Helvetica Neue"/>
        <color rgb="FF1155CC"/>
        <u/>
      </rPr>
      <t>wdvanpaassen@gmail.com</t>
    </r>
  </si>
  <si>
    <t>Anouk</t>
  </si>
  <si>
    <t>Jansen</t>
  </si>
  <si>
    <r>
      <rPr>
        <rFont val="Helvetica Neue"/>
        <color rgb="FF1155CC"/>
        <u/>
      </rPr>
      <t>ajansen.98@live.nl</t>
    </r>
  </si>
  <si>
    <t>Claudia</t>
  </si>
  <si>
    <t>Cuypers</t>
  </si>
  <si>
    <r>
      <rPr>
        <rFont val="Helvetica Neue"/>
        <color rgb="FF1155CC"/>
        <u/>
      </rPr>
      <t>Cuypersclaudia@gmail.com</t>
    </r>
  </si>
  <si>
    <t>Rikke</t>
  </si>
  <si>
    <t>Komen</t>
  </si>
  <si>
    <r>
      <rPr>
        <rFont val="Helvetica Neue"/>
        <color rgb="FF1155CC"/>
        <u/>
      </rPr>
      <t>rikkekomen@hotmail.com</t>
    </r>
  </si>
  <si>
    <t>van Duijvenboden</t>
  </si>
  <si>
    <r>
      <rPr>
        <rFont val="Helvetica Neue"/>
        <color rgb="FF1155CC"/>
        <u/>
      </rPr>
      <t>vanduijvenbodenpel@proton.me</t>
    </r>
  </si>
  <si>
    <t>Lisa</t>
  </si>
  <si>
    <t>Rübsteck</t>
  </si>
  <si>
    <r>
      <rPr>
        <rFont val="Helvetica Neue"/>
        <color rgb="FF1155CC"/>
        <u/>
      </rPr>
      <t>lisa.borner@gmail.com</t>
    </r>
  </si>
  <si>
    <t>Jelmer</t>
  </si>
  <si>
    <t>Vorstenburg</t>
  </si>
  <si>
    <r>
      <rPr>
        <rFont val="Helvetica Neue"/>
        <color rgb="FF1155CC"/>
        <u/>
      </rPr>
      <t>jelmer@vorstenburg.com</t>
    </r>
  </si>
  <si>
    <t>Eline</t>
  </si>
  <si>
    <t>Kamerik</t>
  </si>
  <si>
    <r>
      <rPr>
        <rFont val="Helvetica Neue"/>
        <color rgb="FF1155CC"/>
        <u/>
      </rPr>
      <t>e.kamerik@hotmail.com</t>
    </r>
  </si>
  <si>
    <t>Jemima</t>
  </si>
  <si>
    <t>Cardenas</t>
  </si>
  <si>
    <r>
      <rPr>
        <rFont val="Helvetica Neue"/>
        <color rgb="FF1155CC"/>
        <u/>
      </rPr>
      <t>jena_cm@hotmail.com</t>
    </r>
  </si>
  <si>
    <t>Y. C</t>
  </si>
  <si>
    <t>Mets</t>
  </si>
  <si>
    <r>
      <rPr>
        <rFont val="Helvetica Neue"/>
        <color rgb="FF1155CC"/>
        <u/>
      </rPr>
      <t>yvette.mets@gmail.com</t>
    </r>
  </si>
  <si>
    <t>Flaton</t>
  </si>
  <si>
    <r>
      <rPr>
        <rFont val="Helvetica Neue"/>
        <color rgb="FF1155CC"/>
        <u/>
      </rPr>
      <t>michielflaton@hotmail.com</t>
    </r>
  </si>
  <si>
    <t>Jeroen</t>
  </si>
  <si>
    <t>Dekker</t>
  </si>
  <si>
    <r>
      <rPr>
        <rFont val="Helvetica Neue"/>
        <color rgb="FF1155CC"/>
        <u/>
      </rPr>
      <t>jeroen.marion@hotmail.com</t>
    </r>
  </si>
  <si>
    <t>Machteld</t>
  </si>
  <si>
    <t>Nuiver</t>
  </si>
  <si>
    <r>
      <rPr>
        <rFont val="Helvetica Neue"/>
        <color rgb="FF1155CC"/>
        <u/>
      </rPr>
      <t>machteld.elena@gmail.com</t>
    </r>
  </si>
  <si>
    <t>Marleen</t>
  </si>
  <si>
    <t>Westhuis</t>
  </si>
  <si>
    <r>
      <rPr>
        <rFont val="Helvetica Neue"/>
        <color rgb="FF1155CC"/>
        <u/>
      </rPr>
      <t>mkwesthuis@hotmail.com</t>
    </r>
  </si>
  <si>
    <t>Linda</t>
  </si>
  <si>
    <t>Van Kleef</t>
  </si>
  <si>
    <r>
      <rPr>
        <rFont val="Helvetica Neue"/>
        <color rgb="FF1155CC"/>
        <u/>
      </rPr>
      <t>linda_van_kleef@hotmail.com</t>
    </r>
  </si>
  <si>
    <t>Hannah</t>
  </si>
  <si>
    <t>Eigeman</t>
  </si>
  <si>
    <r>
      <rPr>
        <rFont val="Helvetica Neue"/>
        <color rgb="FF1155CC"/>
        <u/>
      </rPr>
      <t>h.w.eigeman@gmail.com</t>
    </r>
  </si>
  <si>
    <t>Romy</t>
  </si>
  <si>
    <t>Philipse - de Vries</t>
  </si>
  <si>
    <r>
      <rPr>
        <rFont val="Helvetica Neue"/>
        <color rgb="FF1155CC"/>
        <u/>
      </rPr>
      <t>rm.philipse@gmail.com</t>
    </r>
  </si>
  <si>
    <t>Michelle</t>
  </si>
  <si>
    <t>Brabers</t>
  </si>
  <si>
    <r>
      <rPr>
        <rFont val="Helvetica Neue"/>
        <color rgb="FF1155CC"/>
        <u/>
      </rPr>
      <t>michellebrabers@gmail.com</t>
    </r>
  </si>
  <si>
    <t>Bonsing</t>
  </si>
  <si>
    <r>
      <rPr>
        <rFont val="Helvetica Neue"/>
        <color rgb="FF1155CC"/>
        <u/>
      </rPr>
      <t>aembonsing@gmail.com</t>
    </r>
  </si>
  <si>
    <t>Stefan</t>
  </si>
  <si>
    <t>Levels</t>
  </si>
  <si>
    <r>
      <rPr>
        <rFont val="Helvetica Neue"/>
        <color rgb="FF1155CC"/>
        <u/>
      </rPr>
      <t>stefanlevels@hotmail.com</t>
    </r>
  </si>
  <si>
    <t>Ellen</t>
  </si>
  <si>
    <t>Lam</t>
  </si>
  <si>
    <r>
      <rPr>
        <rFont val="Helvetica Neue"/>
        <color rgb="FF1155CC"/>
        <u/>
      </rPr>
      <t>e.lam62@gmail.com</t>
    </r>
  </si>
  <si>
    <t>Rebecca</t>
  </si>
  <si>
    <t>Kanselaar</t>
  </si>
  <si>
    <r>
      <rPr>
        <rFont val="Helvetica Neue"/>
        <color rgb="FF1155CC"/>
        <u/>
      </rPr>
      <t>rebeccakanselaar@hotmail.com</t>
    </r>
  </si>
  <si>
    <t>Jamie</t>
  </si>
  <si>
    <t>Aijpassa</t>
  </si>
  <si>
    <r>
      <rPr>
        <rFont val="Helvetica Neue"/>
        <color rgb="FF1155CC"/>
        <u/>
      </rPr>
      <t>jamieaijpassa@hotmail.com</t>
    </r>
  </si>
  <si>
    <t>Renée</t>
  </si>
  <si>
    <t>Janssens</t>
  </si>
  <si>
    <r>
      <rPr>
        <rFont val="Helvetica Neue"/>
        <color rgb="FF1155CC"/>
        <u/>
      </rPr>
      <t>reneejanssens@gmail.com</t>
    </r>
  </si>
  <si>
    <t>Anna</t>
  </si>
  <si>
    <t>Russell</t>
  </si>
  <si>
    <r>
      <rPr>
        <rFont val="Helvetica Neue"/>
        <color rgb="FF1155CC"/>
        <u/>
      </rPr>
      <t>annarussell99@hotmail.co.uk</t>
    </r>
  </si>
  <si>
    <t>Zwaan</t>
  </si>
  <si>
    <r>
      <rPr>
        <rFont val="Helvetica Neue"/>
        <color rgb="FF1155CC"/>
        <u/>
      </rPr>
      <t>lauralisazwaan@gmail.com</t>
    </r>
  </si>
  <si>
    <t>Latisha</t>
  </si>
  <si>
    <t>Meijer</t>
  </si>
  <si>
    <r>
      <rPr>
        <rFont val="Helvetica Neue"/>
        <color rgb="FF1155CC"/>
        <u/>
      </rPr>
      <t>latishameijer@gmail.com</t>
    </r>
  </si>
  <si>
    <t>A.M.</t>
  </si>
  <si>
    <t>Vis</t>
  </si>
  <si>
    <r>
      <rPr>
        <rFont val="Helvetica Neue"/>
        <color rgb="FF1155CC"/>
        <u/>
      </rPr>
      <t>attyvis@gmail.com</t>
    </r>
  </si>
  <si>
    <t>Ariadne</t>
  </si>
  <si>
    <t>Berk</t>
  </si>
  <si>
    <r>
      <rPr>
        <rFont val="Helvetica Neue"/>
        <color rgb="FF1155CC"/>
        <u/>
      </rPr>
      <t>Bosma.berk@gmail.com</t>
    </r>
  </si>
  <si>
    <t>Otto</t>
  </si>
  <si>
    <t>Coster</t>
  </si>
  <si>
    <r>
      <rPr>
        <rFont val="Helvetica Neue"/>
        <color rgb="FF1155CC"/>
        <u/>
      </rPr>
      <t>otto@ottocoster.com</t>
    </r>
  </si>
  <si>
    <t>Judith</t>
  </si>
  <si>
    <t>Burm</t>
  </si>
  <si>
    <r>
      <rPr>
        <rFont val="Helvetica Neue"/>
        <color rgb="FF1155CC"/>
        <u/>
      </rPr>
      <t>judithburm@gmail.com</t>
    </r>
  </si>
  <si>
    <t>Boeijkens</t>
  </si>
  <si>
    <r>
      <rPr>
        <rFont val="Helvetica Neue"/>
        <color rgb="FF1155CC"/>
        <u/>
      </rPr>
      <t>soevia15@gmail.com</t>
    </r>
  </si>
  <si>
    <t>Ruud</t>
  </si>
  <si>
    <t>Vink</t>
  </si>
  <si>
    <r>
      <rPr>
        <rFont val="Helvetica Neue"/>
        <color rgb="FF1155CC"/>
        <u/>
      </rPr>
      <t>ruud986@gmail.com</t>
    </r>
  </si>
  <si>
    <t>Joost</t>
  </si>
  <si>
    <t>van Zwieten</t>
  </si>
  <si>
    <r>
      <rPr>
        <rFont val="Helvetica Neue"/>
        <color rgb="FF1155CC"/>
        <u/>
      </rPr>
      <t>joost@diskos.nl</t>
    </r>
  </si>
  <si>
    <t>Thewessen</t>
  </si>
  <si>
    <r>
      <rPr>
        <rFont val="Helvetica Neue"/>
        <color rgb="FF1155CC"/>
        <u/>
      </rPr>
      <t>hijn103@gmail.com</t>
    </r>
  </si>
  <si>
    <t>Guus</t>
  </si>
  <si>
    <t>van Kammen</t>
  </si>
  <si>
    <r>
      <rPr>
        <rFont val="Helvetica Neue"/>
        <color rgb="FF1155CC"/>
        <u/>
      </rPr>
      <t>sjoerdjevanheerden@hotmail.com</t>
    </r>
  </si>
  <si>
    <t>de Fouw</t>
  </si>
  <si>
    <r>
      <rPr>
        <rFont val="Helvetica Neue"/>
        <color rgb="FF1155CC"/>
        <u/>
      </rPr>
      <t>emmadefouw@outlook.com</t>
    </r>
  </si>
  <si>
    <t>naomi</t>
  </si>
  <si>
    <t>heerings</t>
  </si>
  <si>
    <r>
      <rPr>
        <rFont val="Helvetica Neue"/>
        <color rgb="FF1155CC"/>
        <u/>
      </rPr>
      <t>Naomi_heerings@hotmail.com</t>
    </r>
  </si>
  <si>
    <t>Suzanne</t>
  </si>
  <si>
    <t>Doeland</t>
  </si>
  <si>
    <r>
      <rPr>
        <rFont val="Helvetica Neue"/>
        <color rgb="FF1155CC"/>
        <u/>
      </rPr>
      <t>suzannedoeland1@gmail.com</t>
    </r>
  </si>
  <si>
    <t>Miranda</t>
  </si>
  <si>
    <t>van Loon</t>
  </si>
  <si>
    <r>
      <rPr>
        <rFont val="Helvetica Neue"/>
        <color rgb="FF1155CC"/>
        <u/>
      </rPr>
      <t>mv.loon@hotmail.com</t>
    </r>
  </si>
  <si>
    <t>Sam</t>
  </si>
  <si>
    <r>
      <rPr>
        <rFont val="Helvetica Neue"/>
        <color rgb="FF1155CC"/>
        <u/>
      </rPr>
      <t>samvandenberg.92@gmail.com</t>
    </r>
  </si>
  <si>
    <t>Robin</t>
  </si>
  <si>
    <t>Rutten</t>
  </si>
  <si>
    <r>
      <rPr>
        <rFont val="Helvetica Neue"/>
        <color rgb="FF1155CC"/>
        <u/>
      </rPr>
      <t>robinhoogbergen@gmail.com</t>
    </r>
  </si>
  <si>
    <t>D</t>
  </si>
  <si>
    <t>Veldhuijzen</t>
  </si>
  <si>
    <r>
      <rPr>
        <rFont val="Helvetica Neue"/>
        <color rgb="FF1155CC"/>
        <u/>
      </rPr>
      <t>doortje1987@live.nl</t>
    </r>
  </si>
  <si>
    <t>Sarah</t>
  </si>
  <si>
    <t>Evers</t>
  </si>
  <si>
    <r>
      <rPr>
        <rFont val="Helvetica Neue"/>
        <color rgb="FF1155CC"/>
        <u/>
      </rPr>
      <t>sarahelisabeth.evers@gmail.com</t>
    </r>
  </si>
  <si>
    <t>Kolsteeg</t>
  </si>
  <si>
    <r>
      <rPr>
        <rFont val="Helvetica Neue"/>
        <color rgb="FF1155CC"/>
        <u/>
      </rPr>
      <t>mariekekolsteeg@hotmail.com</t>
    </r>
  </si>
  <si>
    <t>Rinske</t>
  </si>
  <si>
    <t>Schouls</t>
  </si>
  <si>
    <r>
      <rPr>
        <rFont val="Helvetica Neue"/>
        <color rgb="FF1155CC"/>
        <u/>
      </rPr>
      <t>rinskeschouls@gmail.com</t>
    </r>
  </si>
  <si>
    <t>Irene</t>
  </si>
  <si>
    <t>Klaassen</t>
  </si>
  <si>
    <r>
      <rPr>
        <rFont val="Helvetica Neue"/>
        <color rgb="FF1155CC"/>
        <u/>
      </rPr>
      <t>irene.klaassen@gmail.com</t>
    </r>
  </si>
  <si>
    <t>Myrthe</t>
  </si>
  <si>
    <t>Pijl</t>
  </si>
  <si>
    <r>
      <rPr>
        <rFont val="Helvetica Neue"/>
        <color rgb="FF1155CC"/>
        <u/>
      </rPr>
      <t>myrthepijl@hotmail.com</t>
    </r>
  </si>
  <si>
    <t>Winckel</t>
  </si>
  <si>
    <r>
      <rPr>
        <rFont val="Helvetica Neue"/>
        <color rgb="FF1155CC"/>
        <u/>
      </rPr>
      <t>suus_shop@live.nl</t>
    </r>
  </si>
  <si>
    <t>Noesjka</t>
  </si>
  <si>
    <t>van Drie</t>
  </si>
  <si>
    <r>
      <rPr>
        <rFont val="Helvetica Neue"/>
        <color rgb="FF1155CC"/>
        <u/>
      </rPr>
      <t>noesjkavandrie@gmail.com</t>
    </r>
  </si>
  <si>
    <t>Esther</t>
  </si>
  <si>
    <t>Niessen</t>
  </si>
  <si>
    <r>
      <rPr>
        <rFont val="Helvetica Neue"/>
        <color rgb="FF1155CC"/>
        <u/>
      </rPr>
      <t>eim.niessen@gmail.com</t>
    </r>
  </si>
  <si>
    <t>Brigitte</t>
  </si>
  <si>
    <t>van Hagen</t>
  </si>
  <si>
    <r>
      <rPr>
        <rFont val="Helvetica Neue"/>
        <color rgb="FF1155CC"/>
        <u/>
      </rPr>
      <t>bvanhagen@gmail.com</t>
    </r>
  </si>
  <si>
    <t>Van kolfschoten</t>
  </si>
  <si>
    <r>
      <rPr>
        <rFont val="Helvetica Neue"/>
        <color rgb="FF1155CC"/>
        <u/>
      </rPr>
      <t>anouk.vankolfschoten@gmail.com</t>
    </r>
  </si>
  <si>
    <t>Vitalie</t>
  </si>
  <si>
    <t>Van Gastel - Goubitz</t>
  </si>
  <si>
    <r>
      <rPr>
        <rFont val="Helvetica Neue"/>
        <color rgb="FF1155CC"/>
        <u/>
      </rPr>
      <t>vitalie_goubitz@hotmail.com</t>
    </r>
  </si>
  <si>
    <t>Hunfeld</t>
  </si>
  <si>
    <r>
      <rPr>
        <rFont val="Helvetica Neue"/>
        <color rgb="FF1155CC"/>
        <u/>
      </rPr>
      <t>laurasophiahunfeld@gmail.com</t>
    </r>
  </si>
  <si>
    <t>Elsa</t>
  </si>
  <si>
    <t>van Wassenaer</t>
  </si>
  <si>
    <r>
      <rPr>
        <rFont val="Helvetica Neue"/>
        <color rgb="FF1155CC"/>
        <u/>
      </rPr>
      <t>elsavanwassenaer@gmail.com</t>
    </r>
  </si>
  <si>
    <t>Hanneke</t>
  </si>
  <si>
    <t>Pleizier</t>
  </si>
  <si>
    <r>
      <rPr>
        <rFont val="Helvetica Neue"/>
        <color rgb="FF1155CC"/>
        <u/>
      </rPr>
      <t>j.c.pleizier@gmail.com</t>
    </r>
  </si>
  <si>
    <t>N</t>
  </si>
  <si>
    <t>Vreeman</t>
  </si>
  <si>
    <r>
      <rPr>
        <rFont val="Helvetica Neue"/>
        <color rgb="FF1155CC"/>
        <u/>
      </rPr>
      <t>vreemannicole@hotmail.com</t>
    </r>
  </si>
  <si>
    <t>Audrey</t>
  </si>
  <si>
    <t>Ledanois</t>
  </si>
  <si>
    <r>
      <rPr>
        <rFont val="Helvetica Neue"/>
        <color rgb="FF1155CC"/>
        <u/>
      </rPr>
      <t>audrey.ledanois@gmail.com</t>
    </r>
  </si>
  <si>
    <t>Baars</t>
  </si>
  <si>
    <r>
      <rPr>
        <rFont val="Helvetica Neue"/>
        <color rgb="FF1155CC"/>
        <u/>
      </rPr>
      <t>hbaars@redcross.nl</t>
    </r>
  </si>
  <si>
    <t>Nina</t>
  </si>
  <si>
    <t>van Rijn</t>
  </si>
  <si>
    <r>
      <rPr>
        <rFont val="Helvetica Neue"/>
        <color rgb="FF1155CC"/>
        <u/>
      </rPr>
      <t>vanrijnnina14@gmail.com</t>
    </r>
  </si>
  <si>
    <t>#BB-25-7016</t>
  </si>
  <si>
    <t>Leonoor</t>
  </si>
  <si>
    <t>den Ottolander</t>
  </si>
  <si>
    <t>ROTTERDAM-DILLE-KAMILLE-BOOM-MET-BORG-125-150 CM</t>
  </si>
  <si>
    <t>ROTTERDAM - Dille &amp; Kamille</t>
  </si>
  <si>
    <t>Rotterdam Dille &amp; Kamille - BB met kluit (incl. €10 borg) - 125-150 cm</t>
  </si>
  <si>
    <r>
      <rPr>
        <rFont val="Helvetica Neue"/>
        <color rgb="FF1155CC"/>
        <u/>
      </rPr>
      <t>l.den.ottolander@gmail.com</t>
    </r>
  </si>
  <si>
    <t>Tijmen</t>
  </si>
  <si>
    <t>de Wolf</t>
  </si>
  <si>
    <r>
      <rPr>
        <rFont val="Helvetica Neue"/>
        <color rgb="FF1155CC"/>
        <u/>
      </rPr>
      <t>dewolf151@gmail.com</t>
    </r>
  </si>
  <si>
    <t>Ben</t>
  </si>
  <si>
    <t>Speas</t>
  </si>
  <si>
    <r>
      <rPr>
        <rFont val="Helvetica Neue"/>
        <color rgb="FF1155CC"/>
        <u/>
      </rPr>
      <t>benspeas@hotmail.co.uk</t>
    </r>
  </si>
  <si>
    <t>Rivkah</t>
  </si>
  <si>
    <t>Zeeman</t>
  </si>
  <si>
    <r>
      <rPr>
        <rFont val="Helvetica Neue"/>
        <color rgb="FF1155CC"/>
        <u/>
      </rPr>
      <t>rivkah@rivkahzeeman.nl</t>
    </r>
  </si>
  <si>
    <t>Solveig</t>
  </si>
  <si>
    <t>van der Vegt</t>
  </si>
  <si>
    <r>
      <rPr>
        <rFont val="Helvetica Neue"/>
        <color rgb="FF1155CC"/>
        <u/>
      </rPr>
      <t>solveigvandervegt@gmail.com</t>
    </r>
  </si>
  <si>
    <t>#BB-25-6996</t>
  </si>
  <si>
    <t>Saskia</t>
  </si>
  <si>
    <t>Steenmeijer</t>
  </si>
  <si>
    <t>ANTWERPEN-DILLE-KAMILLE-BOOM-MET-BORG-125-150 CM</t>
  </si>
  <si>
    <t>ANTWERPEN - Dille &amp; Kamille</t>
  </si>
  <si>
    <t>Antwerpen Dille &amp; Kamille - BB met kluit (incl. €10 borg) - 125-150 cm</t>
  </si>
  <si>
    <r>
      <rPr>
        <rFont val="Helvetica Neue"/>
        <color rgb="FF1155CC"/>
        <u/>
      </rPr>
      <t>saskiasteenmeijer@hotmail.com</t>
    </r>
  </si>
  <si>
    <t>Laurens</t>
  </si>
  <si>
    <t>Maas</t>
  </si>
  <si>
    <r>
      <rPr>
        <rFont val="Helvetica Neue"/>
        <color rgb="FF1155CC"/>
        <u/>
      </rPr>
      <t>lja.maas@gmail.com</t>
    </r>
  </si>
  <si>
    <t>van Nuland</t>
  </si>
  <si>
    <r>
      <rPr>
        <rFont val="Helvetica Neue"/>
        <color rgb="FF1155CC"/>
        <u/>
      </rPr>
      <t>judithvannuland@hotmail.com</t>
    </r>
  </si>
  <si>
    <t>Eveline</t>
  </si>
  <si>
    <t>Bastemeijer</t>
  </si>
  <si>
    <r>
      <rPr>
        <rFont val="Helvetica Neue"/>
        <color rgb="FF1155CC"/>
        <u/>
      </rPr>
      <t>esbastemeijer@gmail.com</t>
    </r>
  </si>
  <si>
    <t>Wouters</t>
  </si>
  <si>
    <r>
      <rPr>
        <rFont val="Helvetica Neue"/>
        <color rgb="FF1155CC"/>
        <u/>
      </rPr>
      <t>bcwouters@hotmail.com</t>
    </r>
  </si>
  <si>
    <t>Ton</t>
  </si>
  <si>
    <r>
      <rPr>
        <rFont val="Helvetica Neue"/>
        <color rgb="FF1155CC"/>
        <u/>
      </rPr>
      <t>just_me_julia@hotmail.com</t>
    </r>
  </si>
  <si>
    <t>F</t>
  </si>
  <si>
    <t>de Boer</t>
  </si>
  <si>
    <r>
      <rPr>
        <rFont val="Helvetica Neue"/>
        <color rgb="FF1155CC"/>
        <u/>
      </rPr>
      <t>wedding.fleur.jeroen@outlook.com</t>
    </r>
  </si>
  <si>
    <t>Naomi</t>
  </si>
  <si>
    <t>Warren</t>
  </si>
  <si>
    <r>
      <rPr>
        <rFont val="Helvetica Neue"/>
        <color rgb="FF1155CC"/>
        <u/>
      </rPr>
      <t>naomiwarren26@gmail.com</t>
    </r>
  </si>
  <si>
    <t>Kuiper</t>
  </si>
  <si>
    <r>
      <rPr>
        <rFont val="Helvetica Neue"/>
        <color rgb="FF1155CC"/>
        <u/>
      </rPr>
      <t>estherkuipermezzo@gmail.com</t>
    </r>
  </si>
  <si>
    <t>Tristan</t>
  </si>
  <si>
    <t>van den Enden</t>
  </si>
  <si>
    <r>
      <rPr>
        <rFont val="Helvetica Neue"/>
        <color rgb="FF1155CC"/>
        <u/>
      </rPr>
      <t>tvdenden@hotmail.com</t>
    </r>
  </si>
  <si>
    <t>Els</t>
  </si>
  <si>
    <t>de Kruijf - Satter</t>
  </si>
  <si>
    <r>
      <rPr>
        <rFont val="Helvetica Neue"/>
        <color rgb="FF1155CC"/>
        <u/>
      </rPr>
      <t>elssatter@gmail.com</t>
    </r>
  </si>
  <si>
    <t>Marlies</t>
  </si>
  <si>
    <t>Germanus</t>
  </si>
  <si>
    <r>
      <rPr>
        <rFont val="Helvetica Neue"/>
        <color rgb="FF1155CC"/>
        <u/>
      </rPr>
      <t>marlies.germanus@gmail.com</t>
    </r>
  </si>
  <si>
    <t>Maya</t>
  </si>
  <si>
    <t>Nguyen</t>
  </si>
  <si>
    <r>
      <rPr>
        <rFont val="Helvetica Neue"/>
        <color rgb="FF1155CC"/>
        <u/>
      </rPr>
      <t>maiianhh1312@gmail.com</t>
    </r>
  </si>
  <si>
    <r>
      <rPr>
        <rFont val="Helvetica Neue"/>
        <color rgb="FF1155CC"/>
        <u/>
      </rPr>
      <t>maiianhh1312@gmail.com</t>
    </r>
  </si>
  <si>
    <t>Sanne</t>
  </si>
  <si>
    <t>Jorna</t>
  </si>
  <si>
    <r>
      <rPr>
        <rFont val="Helvetica Neue"/>
        <color rgb="FF1155CC"/>
        <u/>
      </rPr>
      <t>sanne.jorna@hotmail.com</t>
    </r>
  </si>
  <si>
    <t>Stoker</t>
  </si>
  <si>
    <r>
      <rPr>
        <rFont val="Helvetica Neue"/>
        <color rgb="FF1155CC"/>
        <u/>
      </rPr>
      <t>myrthestoker@gmail.com</t>
    </r>
  </si>
  <si>
    <t>Smits</t>
  </si>
  <si>
    <r>
      <rPr>
        <rFont val="Helvetica Neue"/>
        <color rgb="FF1155CC"/>
        <u/>
      </rPr>
      <t>mimilover03@gmail.com</t>
    </r>
  </si>
  <si>
    <t>Mandy</t>
  </si>
  <si>
    <t>van Schaaik</t>
  </si>
  <si>
    <r>
      <rPr>
        <rFont val="Helvetica Neue"/>
        <color rgb="FF1155CC"/>
        <u/>
      </rPr>
      <t>mandy_vanschaaik@hotmail.com</t>
    </r>
  </si>
  <si>
    <t>Julie-Jet</t>
  </si>
  <si>
    <r>
      <rPr>
        <rFont val="Helvetica Neue"/>
        <color rgb="FF1155CC"/>
        <u/>
      </rPr>
      <t>julie-jet_bakker@hotmail.com</t>
    </r>
  </si>
  <si>
    <t>Ismay</t>
  </si>
  <si>
    <t>Dubel</t>
  </si>
  <si>
    <r>
      <rPr>
        <rFont val="Helvetica Neue"/>
        <color rgb="FF1155CC"/>
        <u/>
      </rPr>
      <t>ismaydubel@hotmail.com</t>
    </r>
  </si>
  <si>
    <t>Kim</t>
  </si>
  <si>
    <t>Oskam</t>
  </si>
  <si>
    <r>
      <rPr>
        <rFont val="Helvetica Neue"/>
        <color rgb="FF1155CC"/>
        <u/>
      </rPr>
      <t>kimoskam@gmail.com</t>
    </r>
  </si>
  <si>
    <t>J</t>
  </si>
  <si>
    <t>van den Ende</t>
  </si>
  <si>
    <r>
      <rPr>
        <rFont val="Helvetica Neue"/>
        <color rgb="FF1155CC"/>
        <u/>
      </rPr>
      <t>evavonk@dds.nl</t>
    </r>
  </si>
  <si>
    <t>#BB-25-7066</t>
  </si>
  <si>
    <t>Kaila</t>
  </si>
  <si>
    <t>Vreeken</t>
  </si>
  <si>
    <t>ROTTERDAM-DILLE-KAMILLE-BOOM-MET-BORG-100-125 CM</t>
  </si>
  <si>
    <t>Rotterdam Dille &amp; Kamille - BB met kluit (incl. €10 borg) - 100-125 cm</t>
  </si>
  <si>
    <r>
      <rPr>
        <rFont val="Helvetica Neue"/>
        <color rgb="FF1155CC"/>
        <u/>
      </rPr>
      <t>kailavreeken@gmail.com</t>
    </r>
  </si>
  <si>
    <t>Diane</t>
  </si>
  <si>
    <t>Kerbert</t>
  </si>
  <si>
    <r>
      <rPr>
        <rFont val="Helvetica Neue"/>
        <color rgb="FF1155CC"/>
        <u/>
      </rPr>
      <t>diane750@gmail.com</t>
    </r>
  </si>
  <si>
    <t>Lisanne</t>
  </si>
  <si>
    <t>Scheffens</t>
  </si>
  <si>
    <r>
      <rPr>
        <rFont val="Helvetica Neue"/>
        <color rgb="FF1155CC"/>
        <u/>
      </rPr>
      <t>lisannescheffens@gmail.com</t>
    </r>
  </si>
  <si>
    <t>Janneke</t>
  </si>
  <si>
    <t>Ongering</t>
  </si>
  <si>
    <r>
      <rPr>
        <rFont val="Helvetica Neue"/>
        <color rgb="FF1155CC"/>
        <u/>
      </rPr>
      <t>soetens.ongering@gmail.com</t>
    </r>
  </si>
  <si>
    <t>#BB-25-7070</t>
  </si>
  <si>
    <t>Marc</t>
  </si>
  <si>
    <t>Abbink</t>
  </si>
  <si>
    <r>
      <rPr>
        <rFont val="Helvetica Neue"/>
        <color rgb="FF1155CC"/>
        <u/>
      </rPr>
      <t>abbink@chello.nl</t>
    </r>
  </si>
  <si>
    <t>van der Lugt</t>
  </si>
  <si>
    <r>
      <rPr>
        <rFont val="Helvetica Neue"/>
        <color rgb="FF1155CC"/>
        <u/>
      </rPr>
      <t>sannevdlugt@fastmail.com</t>
    </r>
  </si>
  <si>
    <t>Huijboom</t>
  </si>
  <si>
    <r>
      <rPr>
        <rFont val="Helvetica Neue"/>
        <color rgb="FF1155CC"/>
        <u/>
      </rPr>
      <t>huijboomsabien@gmail.com</t>
    </r>
  </si>
  <si>
    <t>Merlin</t>
  </si>
  <si>
    <t>Wielogroch</t>
  </si>
  <si>
    <r>
      <rPr>
        <rFont val="Helvetica Neue"/>
        <color rgb="FF1155CC"/>
        <u/>
      </rPr>
      <t>merlinwielogroch@hotmail.com</t>
    </r>
  </si>
  <si>
    <t>Marx</t>
  </si>
  <si>
    <r>
      <rPr>
        <rFont val="Helvetica Neue"/>
        <color rgb="FF1155CC"/>
        <u/>
      </rPr>
      <t>design.lisamarx@gmail.com</t>
    </r>
  </si>
  <si>
    <t>Sianie</t>
  </si>
  <si>
    <t>van Kouwen</t>
  </si>
  <si>
    <r>
      <rPr>
        <rFont val="Helvetica Neue"/>
        <color rgb="FF1155CC"/>
        <u/>
      </rPr>
      <t>s.vankouwen@live.nl</t>
    </r>
  </si>
  <si>
    <t>Baehner</t>
  </si>
  <si>
    <r>
      <rPr>
        <rFont val="Helvetica Neue"/>
        <color rgb="FF1155CC"/>
        <u/>
      </rPr>
      <t>hey@hetgroenlab.nl</t>
    </r>
  </si>
  <si>
    <t>Marthe</t>
  </si>
  <si>
    <t>De Graaff</t>
  </si>
  <si>
    <r>
      <rPr>
        <rFont val="Helvetica Neue"/>
        <color rgb="FF1155CC"/>
        <u/>
      </rPr>
      <t>msdegraaff@hotmail.com</t>
    </r>
  </si>
  <si>
    <t>de Wit</t>
  </si>
  <si>
    <r>
      <rPr>
        <rFont val="Helvetica Neue"/>
        <color rgb="FF1155CC"/>
        <u/>
      </rPr>
      <t>myrthe-de-wit@hotmail.com</t>
    </r>
  </si>
  <si>
    <t>Lent</t>
  </si>
  <si>
    <r>
      <rPr>
        <rFont val="Helvetica Neue"/>
        <color rgb="FF1155CC"/>
        <u/>
      </rPr>
      <t>Robinllent@gmail.com</t>
    </r>
  </si>
  <si>
    <r>
      <rPr>
        <rFont val="Helvetica Neue"/>
        <color rgb="FF1155CC"/>
        <u/>
      </rPr>
      <t>Robinllent@gmail.com</t>
    </r>
  </si>
  <si>
    <r>
      <rPr>
        <rFont val="Helvetica Neue"/>
        <color rgb="FF1155CC"/>
        <u/>
      </rPr>
      <t>Robinllent@gmail.com</t>
    </r>
  </si>
  <si>
    <t>Marianne</t>
  </si>
  <si>
    <t>Kouwenhoven</t>
  </si>
  <si>
    <r>
      <rPr>
        <rFont val="Helvetica Neue"/>
        <color rgb="FF1155CC"/>
        <u/>
      </rPr>
      <t>mkouwenhoven@ziggo.nl</t>
    </r>
  </si>
  <si>
    <t>Anneke</t>
  </si>
  <si>
    <t>Tilburg</t>
  </si>
  <si>
    <r>
      <rPr>
        <rFont val="Helvetica Neue"/>
        <color rgb="FF1155CC"/>
        <u/>
      </rPr>
      <t>a.vantilburg@hccnet.nl</t>
    </r>
  </si>
  <si>
    <t>Dominique</t>
  </si>
  <si>
    <t>Blok</t>
  </si>
  <si>
    <r>
      <rPr>
        <rFont val="Helvetica Neue"/>
        <color rgb="FF1155CC"/>
        <u/>
      </rPr>
      <t>dominique.blok@gmail.com</t>
    </r>
  </si>
  <si>
    <t>Maarse</t>
  </si>
  <si>
    <r>
      <rPr>
        <rFont val="Helvetica Neue"/>
        <color rgb="FF1155CC"/>
        <u/>
      </rPr>
      <t>irismaarse@gmail.com</t>
    </r>
  </si>
  <si>
    <t>Melanie</t>
  </si>
  <si>
    <t>Seuren</t>
  </si>
  <si>
    <r>
      <rPr>
        <rFont val="Helvetica Neue"/>
        <color rgb="FF1155CC"/>
        <u/>
      </rPr>
      <t>nijsten.seuren@gmail.com</t>
    </r>
  </si>
  <si>
    <t>Annemarije</t>
  </si>
  <si>
    <t>Quartel</t>
  </si>
  <si>
    <r>
      <rPr>
        <rFont val="Helvetica Neue"/>
        <color rgb="FF1155CC"/>
        <u/>
      </rPr>
      <t>annemarijeq@gmail.com</t>
    </r>
  </si>
  <si>
    <t>Mariska</t>
  </si>
  <si>
    <t>krijgsman</t>
  </si>
  <si>
    <r>
      <rPr>
        <rFont val="Helvetica Neue"/>
        <color rgb="FF1155CC"/>
        <u/>
      </rPr>
      <t>mariskrijgsman@gmail.com</t>
    </r>
  </si>
  <si>
    <t>Venema</t>
  </si>
  <si>
    <r>
      <rPr>
        <rFont val="Helvetica Neue"/>
        <color rgb="FF1155CC"/>
        <u/>
      </rPr>
      <t>yordi.robin@gmail.com</t>
    </r>
  </si>
  <si>
    <t>Josefien</t>
  </si>
  <si>
    <t>Berg</t>
  </si>
  <si>
    <r>
      <rPr>
        <rFont val="Helvetica Neue"/>
        <color rgb="FF1155CC"/>
        <u/>
      </rPr>
      <t>Josefien_dekker@hotmail.com</t>
    </r>
  </si>
  <si>
    <t>S.</t>
  </si>
  <si>
    <t>Schurink</t>
  </si>
  <si>
    <r>
      <rPr>
        <rFont val="Helvetica Neue"/>
        <color rgb="FF1155CC"/>
        <u/>
      </rPr>
      <t>llinu49@gmail.com</t>
    </r>
  </si>
  <si>
    <t>Zonjee</t>
  </si>
  <si>
    <r>
      <rPr>
        <rFont val="Helvetica Neue"/>
        <color rgb="FF1155CC"/>
        <u/>
      </rPr>
      <t>marleenzonjee@gmail.com</t>
    </r>
  </si>
  <si>
    <t>Niek</t>
  </si>
  <si>
    <t>van Beurden</t>
  </si>
  <si>
    <r>
      <rPr>
        <rFont val="Helvetica Neue"/>
        <color rgb="FF1155CC"/>
        <u/>
      </rPr>
      <t>knvanbeurden@gmail.com</t>
    </r>
  </si>
  <si>
    <t>Steven</t>
  </si>
  <si>
    <t>Stroet</t>
  </si>
  <si>
    <r>
      <rPr>
        <rFont val="Helvetica Neue"/>
        <color rgb="FF1155CC"/>
        <u/>
      </rPr>
      <t>stevenstroet@hotmail.com</t>
    </r>
  </si>
  <si>
    <t>Aline</t>
  </si>
  <si>
    <t>Kruijer</t>
  </si>
  <si>
    <r>
      <rPr>
        <rFont val="Helvetica Neue"/>
        <color rgb="FF1155CC"/>
        <u/>
      </rPr>
      <t>alinekruijer@hotmail.com</t>
    </r>
  </si>
  <si>
    <t>Monique</t>
  </si>
  <si>
    <t>Diks</t>
  </si>
  <si>
    <r>
      <rPr>
        <rFont val="Helvetica Neue"/>
        <color rgb="FF1155CC"/>
        <u/>
      </rPr>
      <t>moniquediks@gmail.com</t>
    </r>
  </si>
  <si>
    <t>Priya</t>
  </si>
  <si>
    <t>van Breugel</t>
  </si>
  <si>
    <r>
      <rPr>
        <rFont val="Helvetica Neue"/>
        <color rgb="FF1155CC"/>
        <u/>
      </rPr>
      <t>priyavanbreugel@icloud.com</t>
    </r>
  </si>
  <si>
    <r>
      <rPr>
        <rFont val="Helvetica Neue"/>
        <color rgb="FF1155CC"/>
        <u/>
      </rPr>
      <t>priyavanbreugel@icloud.com</t>
    </r>
  </si>
  <si>
    <t>Elise</t>
  </si>
  <si>
    <t>Fieggen</t>
  </si>
  <si>
    <r>
      <rPr>
        <rFont val="Helvetica Neue"/>
        <color rgb="FF1155CC"/>
        <u/>
      </rPr>
      <t>elisefieggen@gmail.com</t>
    </r>
  </si>
  <si>
    <t>arjan</t>
  </si>
  <si>
    <t>koekkoek</t>
  </si>
  <si>
    <r>
      <rPr>
        <rFont val="Helvetica Neue"/>
        <color rgb="FF1155CC"/>
        <u/>
      </rPr>
      <t>a.j.j.koekkoek@gmail.com</t>
    </r>
  </si>
  <si>
    <t>Annelies</t>
  </si>
  <si>
    <t>Bannink</t>
  </si>
  <si>
    <r>
      <rPr>
        <rFont val="Helvetica Neue"/>
        <color rgb="FF1155CC"/>
        <u/>
      </rPr>
      <t>a_bannink@hotmail.com</t>
    </r>
  </si>
  <si>
    <t>Denice</t>
  </si>
  <si>
    <t>Groen</t>
  </si>
  <si>
    <r>
      <rPr>
        <rFont val="Helvetica Neue"/>
        <color rgb="FF1155CC"/>
        <u/>
      </rPr>
      <t>naar.mij@hotmail.nl</t>
    </r>
  </si>
  <si>
    <t>Mariela</t>
  </si>
  <si>
    <t>Don</t>
  </si>
  <si>
    <r>
      <rPr>
        <rFont val="Helvetica Neue"/>
        <color rgb="FF1155CC"/>
        <u/>
      </rPr>
      <t>marieladewild@gmail.com</t>
    </r>
  </si>
  <si>
    <t>Vita</t>
  </si>
  <si>
    <t>Daniëls</t>
  </si>
  <si>
    <r>
      <rPr>
        <rFont val="Helvetica Neue"/>
        <color rgb="FF1155CC"/>
        <u/>
      </rPr>
      <t>vita@worx.nl</t>
    </r>
  </si>
  <si>
    <t>Doortje</t>
  </si>
  <si>
    <t>van Aken</t>
  </si>
  <si>
    <r>
      <rPr>
        <rFont val="Helvetica Neue"/>
        <color rgb="FF1155CC"/>
        <u/>
      </rPr>
      <t>doorvanaken@xs4all.nl</t>
    </r>
  </si>
  <si>
    <t>Ruben</t>
  </si>
  <si>
    <t>Van Rooy</t>
  </si>
  <si>
    <r>
      <rPr>
        <rFont val="Helvetica Neue"/>
        <color rgb="FF1155CC"/>
        <u/>
      </rPr>
      <t>anoukenruben03@gmail.com</t>
    </r>
  </si>
  <si>
    <t>Daantje</t>
  </si>
  <si>
    <t>van Heerden</t>
  </si>
  <si>
    <r>
      <rPr>
        <rFont val="Helvetica Neue"/>
        <color rgb="FF1155CC"/>
        <u/>
      </rPr>
      <t>sjoerdjevanheerden@hotmail.com</t>
    </r>
  </si>
  <si>
    <t>Vincken</t>
  </si>
  <si>
    <r>
      <rPr>
        <rFont val="Helvetica Neue"/>
        <color rgb="FF1155CC"/>
        <u/>
      </rPr>
      <t>anoukhpv@gmail.com</t>
    </r>
  </si>
  <si>
    <t>Yoka</t>
  </si>
  <si>
    <t>Monteny</t>
  </si>
  <si>
    <r>
      <rPr>
        <rFont val="Helvetica Neue"/>
        <color rgb="FF1155CC"/>
        <u/>
      </rPr>
      <t>yokamonteny@posteo.nl</t>
    </r>
  </si>
  <si>
    <t>Jocelyn</t>
  </si>
  <si>
    <t>Thomson</t>
  </si>
  <si>
    <r>
      <rPr>
        <rFont val="Helvetica Neue"/>
        <color rgb="FF1155CC"/>
        <u/>
      </rPr>
      <t>jocelyn.thomson96@gmail.com</t>
    </r>
  </si>
  <si>
    <t>Quinten</t>
  </si>
  <si>
    <t>Pellegrom</t>
  </si>
  <si>
    <r>
      <rPr>
        <rFont val="Helvetica Neue"/>
        <color rgb="FF1155CC"/>
        <u/>
      </rPr>
      <t>quintena@hotmail.com</t>
    </r>
  </si>
  <si>
    <t>Charlotte</t>
  </si>
  <si>
    <t>Jalvingh</t>
  </si>
  <si>
    <r>
      <rPr>
        <rFont val="Helvetica Neue"/>
        <color rgb="FF1155CC"/>
        <u/>
      </rPr>
      <t>charlotte.jalvingh@gmail.com</t>
    </r>
  </si>
  <si>
    <t>Renee</t>
  </si>
  <si>
    <t>Gunst</t>
  </si>
  <si>
    <r>
      <rPr>
        <rFont val="Helvetica Neue"/>
        <color rgb="FF1155CC"/>
        <u/>
      </rPr>
      <t>reneegunst@gmail.com</t>
    </r>
  </si>
  <si>
    <t>Pien</t>
  </si>
  <si>
    <t>Gökemeyer</t>
  </si>
  <si>
    <r>
      <rPr>
        <rFont val="Helvetica Neue"/>
        <color rgb="FF1155CC"/>
        <u/>
      </rPr>
      <t>pien.gokemeijer@ziggo.nl</t>
    </r>
  </si>
  <si>
    <t>Hans</t>
  </si>
  <si>
    <t>Kapteijn</t>
  </si>
  <si>
    <r>
      <rPr>
        <rFont val="Helvetica Neue"/>
        <color rgb="FF1155CC"/>
        <u/>
      </rPr>
      <t>hanskapteijn@kpnmail.nl</t>
    </r>
  </si>
  <si>
    <t>Rosa</t>
  </si>
  <si>
    <t>Asbreuk</t>
  </si>
  <si>
    <r>
      <rPr>
        <rFont val="Helvetica Neue"/>
        <color rgb="FF1155CC"/>
        <u/>
      </rPr>
      <t>rosalinda_asbreuk@hotmail.com</t>
    </r>
  </si>
  <si>
    <t>van der Veen</t>
  </si>
  <si>
    <r>
      <rPr>
        <rFont val="Helvetica Neue"/>
        <color rgb="FF1155CC"/>
        <u/>
      </rPr>
      <t>annelies@ietsmet.eu</t>
    </r>
  </si>
  <si>
    <t>Joyce</t>
  </si>
  <si>
    <t>Sueters</t>
  </si>
  <si>
    <r>
      <rPr>
        <rFont val="Helvetica Neue"/>
        <color rgb="FF1155CC"/>
        <u/>
      </rPr>
      <t>suetersjoyce50@gmail.com</t>
    </r>
  </si>
  <si>
    <t>Marijn</t>
  </si>
  <si>
    <r>
      <rPr>
        <rFont val="Helvetica Neue"/>
        <color rgb="FF1155CC"/>
        <u/>
      </rPr>
      <t>vanmalgroen@proton.me</t>
    </r>
  </si>
  <si>
    <t>Bruijn</t>
  </si>
  <si>
    <r>
      <rPr>
        <rFont val="Helvetica Neue"/>
        <color rgb="FF1155CC"/>
        <u/>
      </rPr>
      <t>saskia.bruijn@gmail.com</t>
    </r>
  </si>
  <si>
    <t>Stelloo</t>
  </si>
  <si>
    <r>
      <rPr>
        <rFont val="Helvetica Neue"/>
        <color rgb="FF1155CC"/>
        <u/>
      </rPr>
      <t>rstelloo@gmail.com</t>
    </r>
  </si>
  <si>
    <r>
      <rPr>
        <rFont val="Helvetica Neue"/>
        <color rgb="FF1155CC"/>
        <u/>
      </rPr>
      <t>rstelloo@gmail.com</t>
    </r>
  </si>
  <si>
    <t>Van Vegten</t>
  </si>
  <si>
    <r>
      <rPr>
        <rFont val="Helvetica Neue"/>
        <color rgb="FF1155CC"/>
        <u/>
      </rPr>
      <t>j.vanvegten@hotmail.com</t>
    </r>
  </si>
  <si>
    <t>Lieke</t>
  </si>
  <si>
    <r>
      <rPr>
        <rFont val="Helvetica Neue"/>
        <color rgb="FF1155CC"/>
        <u/>
      </rPr>
      <t>lieke.meijer@gmail.com</t>
    </r>
  </si>
  <si>
    <t>Ooms</t>
  </si>
  <si>
    <r>
      <rPr>
        <rFont val="Helvetica Neue"/>
        <color rgb="FF1155CC"/>
        <u/>
      </rPr>
      <t>hanneke.ooms@gmail.com</t>
    </r>
  </si>
  <si>
    <t>M</t>
  </si>
  <si>
    <t>pau</t>
  </si>
  <si>
    <r>
      <rPr>
        <rFont val="Helvetica Neue"/>
        <color rgb="FF1155CC"/>
        <u/>
      </rPr>
      <t>marjolijnpaulus@gmail.com</t>
    </r>
  </si>
  <si>
    <t>Marliese</t>
  </si>
  <si>
    <t>Vollebregt</t>
  </si>
  <si>
    <r>
      <rPr>
        <rFont val="Helvetica Neue"/>
        <color rgb="FF1155CC"/>
        <u/>
      </rPr>
      <t>marliese.vollebregt@gmail.com</t>
    </r>
  </si>
  <si>
    <t>A.</t>
  </si>
  <si>
    <t>ten Cate</t>
  </si>
  <si>
    <r>
      <rPr>
        <rFont val="Helvetica Neue"/>
        <color rgb="FF1155CC"/>
        <u/>
      </rPr>
      <t>a.tencate@quicknet.nl</t>
    </r>
  </si>
  <si>
    <t>#BB-25-7144</t>
  </si>
  <si>
    <t>Dorien</t>
  </si>
  <si>
    <t>De Vroey</t>
  </si>
  <si>
    <r>
      <rPr>
        <rFont val="Helvetica Neue"/>
        <color rgb="FF1155CC"/>
        <u/>
      </rPr>
      <t>doriendevroey@gmail.com</t>
    </r>
  </si>
  <si>
    <t>Claasje</t>
  </si>
  <si>
    <t>van Haagen</t>
  </si>
  <si>
    <r>
      <rPr>
        <rFont val="Helvetica Neue"/>
        <color rgb="FF1155CC"/>
        <u/>
      </rPr>
      <t>claasjevanhaagen@gmail.com</t>
    </r>
  </si>
  <si>
    <t>Sieneke</t>
  </si>
  <si>
    <t>Van Dijk</t>
  </si>
  <si>
    <r>
      <rPr>
        <rFont val="Helvetica Neue"/>
        <color rgb="FF1155CC"/>
        <u/>
      </rPr>
      <t>klaassenvandijk@gmail.com</t>
    </r>
  </si>
  <si>
    <t>simone</t>
  </si>
  <si>
    <t>van schijndel</t>
  </si>
  <si>
    <r>
      <rPr>
        <rFont val="Helvetica Neue"/>
        <color rgb="FF1155CC"/>
        <u/>
      </rPr>
      <t>simone@rambamboel.nl</t>
    </r>
  </si>
  <si>
    <t>Marion</t>
  </si>
  <si>
    <t>Evenhuis</t>
  </si>
  <si>
    <r>
      <rPr>
        <rFont val="Helvetica Neue"/>
        <color rgb="FF1155CC"/>
        <u/>
      </rPr>
      <t>marionevenhuis@planet.nl</t>
    </r>
  </si>
  <si>
    <t>Dory</t>
  </si>
  <si>
    <t>Weddepohl</t>
  </si>
  <si>
    <r>
      <rPr>
        <rFont val="Helvetica Neue"/>
        <color rgb="FF1155CC"/>
        <u/>
      </rPr>
      <t>dgweddepohl@gmail.com</t>
    </r>
  </si>
  <si>
    <t>Jasper</t>
  </si>
  <si>
    <t>Heidebrink</t>
  </si>
  <si>
    <r>
      <rPr>
        <rFont val="Helvetica Neue"/>
        <color rgb="FF1155CC"/>
        <u/>
      </rPr>
      <t>jasper@heidebrink.nl</t>
    </r>
  </si>
  <si>
    <t>Aelen</t>
  </si>
  <si>
    <r>
      <rPr>
        <rFont val="Helvetica Neue"/>
        <color rgb="FF1155CC"/>
        <u/>
      </rPr>
      <t>margotaelen@hotmail.com</t>
    </r>
  </si>
  <si>
    <t>Meike</t>
  </si>
  <si>
    <t>Blezer-Stam</t>
  </si>
  <si>
    <r>
      <rPr>
        <rFont val="Helvetica Neue"/>
        <color rgb="FF1155CC"/>
        <u/>
      </rPr>
      <t>meikeblezer@gmail.com</t>
    </r>
  </si>
  <si>
    <t>Willemijn</t>
  </si>
  <si>
    <t>van Maanen</t>
  </si>
  <si>
    <r>
      <rPr>
        <rFont val="Helvetica Neue"/>
        <color rgb="FF1155CC"/>
        <u/>
      </rPr>
      <t>mijneke70@gmail.com</t>
    </r>
  </si>
  <si>
    <t>Marius</t>
  </si>
  <si>
    <t>Louw</t>
  </si>
  <si>
    <r>
      <rPr>
        <rFont val="Helvetica Neue"/>
        <color rgb="FF1155CC"/>
        <u/>
      </rPr>
      <t>marius.kopanong@gmail.com</t>
    </r>
  </si>
  <si>
    <t>Mick</t>
  </si>
  <si>
    <t>ten Bosch</t>
  </si>
  <si>
    <r>
      <rPr>
        <rFont val="Helvetica Neue"/>
        <color rgb="FF1155CC"/>
        <u/>
      </rPr>
      <t>mtb@huisvan.nl</t>
    </r>
  </si>
  <si>
    <t>derk</t>
  </si>
  <si>
    <t>loorbach</t>
  </si>
  <si>
    <r>
      <rPr>
        <rFont val="Helvetica Neue"/>
        <color rgb="FF1155CC"/>
        <u/>
      </rPr>
      <t>dloorbach@gmail.com</t>
    </r>
  </si>
  <si>
    <t>Gertruud</t>
  </si>
  <si>
    <r>
      <rPr>
        <rFont val="Helvetica Neue"/>
        <color rgb="FF1155CC"/>
        <u/>
      </rPr>
      <t>gertruuddeboer@me.com</t>
    </r>
  </si>
  <si>
    <t>Nadine</t>
  </si>
  <si>
    <t>Verhoeven</t>
  </si>
  <si>
    <r>
      <rPr>
        <rFont val="Helvetica Neue"/>
        <color rgb="FF1155CC"/>
        <u/>
      </rPr>
      <t>nfmverhoeven@gmail.com</t>
    </r>
  </si>
  <si>
    <t>de Bree</t>
  </si>
  <si>
    <r>
      <rPr>
        <rFont val="Helvetica Neue"/>
        <color rgb="FF1155CC"/>
        <u/>
      </rPr>
      <t>gc.biersteker@hotmail.com</t>
    </r>
  </si>
  <si>
    <t>Snepvangers</t>
  </si>
  <si>
    <r>
      <rPr>
        <rFont val="Helvetica Neue"/>
        <color rgb="FF1155CC"/>
        <u/>
      </rPr>
      <t>emsnepvangers@gmail.com</t>
    </r>
  </si>
  <si>
    <t>Chantal</t>
  </si>
  <si>
    <t>Oosten</t>
  </si>
  <si>
    <r>
      <rPr>
        <rFont val="Helvetica Neue"/>
        <color rgb="FF1155CC"/>
        <u/>
      </rPr>
      <t>chantal@danceflow.nl</t>
    </r>
  </si>
  <si>
    <t>#BB-25-7151</t>
  </si>
  <si>
    <t>Erwin</t>
  </si>
  <si>
    <t>Steijnen</t>
  </si>
  <si>
    <t>ARNHEM-DILLE-KAMILLE-BOOM-MET-BORG-100-125 CM</t>
  </si>
  <si>
    <t>ARNHEM - Dille &amp; Kamille</t>
  </si>
  <si>
    <t>Arnhem Dille &amp; Kamille - BB met kluit (incl. €10 borg) - 100-125 cm</t>
  </si>
  <si>
    <r>
      <rPr>
        <rFont val="Helvetica Neue"/>
        <color rgb="FF1155CC"/>
        <u/>
      </rPr>
      <t>erwinsteijnen@e.email</t>
    </r>
  </si>
  <si>
    <t>M.</t>
  </si>
  <si>
    <t>Janssen</t>
  </si>
  <si>
    <r>
      <rPr>
        <rFont val="Helvetica Neue"/>
        <color rgb="FF1155CC"/>
        <u/>
      </rPr>
      <t>tildajanssen@gmail.com</t>
    </r>
  </si>
  <si>
    <t>Selma</t>
  </si>
  <si>
    <t>Schulte - van Gils</t>
  </si>
  <si>
    <r>
      <rPr>
        <rFont val="Helvetica Neue"/>
        <color rgb="FF1155CC"/>
        <u/>
      </rPr>
      <t>selma_van_gils@live.nl</t>
    </r>
  </si>
  <si>
    <t>Tim</t>
  </si>
  <si>
    <t>van der Zalm</t>
  </si>
  <si>
    <r>
      <rPr>
        <rFont val="Helvetica Neue"/>
        <color rgb="FF1155CC"/>
        <u/>
      </rPr>
      <t>timvanderzalm@icloud.com</t>
    </r>
  </si>
  <si>
    <t>van der Zanden</t>
  </si>
  <si>
    <r>
      <rPr>
        <rFont val="Helvetica Neue"/>
        <color rgb="FF1155CC"/>
        <u/>
      </rPr>
      <t>rollsroos@gmail.com</t>
    </r>
  </si>
  <si>
    <t>Meredith</t>
  </si>
  <si>
    <t>Speirs</t>
  </si>
  <si>
    <r>
      <rPr>
        <rFont val="Helvetica Neue"/>
        <color rgb="FF1155CC"/>
        <u/>
      </rPr>
      <t>meredith.speirs@gmail.com</t>
    </r>
  </si>
  <si>
    <t>#BB-25-7171</t>
  </si>
  <si>
    <t>Fam</t>
  </si>
  <si>
    <t>Tilanus</t>
  </si>
  <si>
    <t>DEN-HAAG-DILLE-KAMILLE-BOOM-MET-BORG-125-150 CM</t>
  </si>
  <si>
    <t>DEN HAAG - Dille &amp; Kamille</t>
  </si>
  <si>
    <t>Den Haag Dille &amp; Kamille - BB met kluit (incl. €10 borg) - 125-150 cm</t>
  </si>
  <si>
    <r>
      <rPr>
        <rFont val="Helvetica Neue"/>
        <color rgb="FF1155CC"/>
        <u/>
      </rPr>
      <t>cato.oosterwijk@gmail.com</t>
    </r>
  </si>
  <si>
    <t>Ireen</t>
  </si>
  <si>
    <r>
      <rPr>
        <rFont val="Helvetica Neue"/>
        <color rgb="FF1155CC"/>
        <u/>
      </rPr>
      <t>ireendekker91@gmail.com</t>
    </r>
  </si>
  <si>
    <t>Keijzer</t>
  </si>
  <si>
    <r>
      <rPr>
        <rFont val="Helvetica Neue"/>
        <color rgb="FF1155CC"/>
        <u/>
      </rPr>
      <t>lisa.keijzer@hotmail.com</t>
    </r>
  </si>
  <si>
    <t>Kayleigh</t>
  </si>
  <si>
    <t>Meister</t>
  </si>
  <si>
    <r>
      <rPr>
        <rFont val="Helvetica Neue"/>
        <color rgb="FF1155CC"/>
        <u/>
      </rPr>
      <t>kayleighmeister@hotmail.com</t>
    </r>
  </si>
  <si>
    <t>Babette</t>
  </si>
  <si>
    <t>Uijlenhoed</t>
  </si>
  <si>
    <r>
      <rPr>
        <rFont val="Helvetica Neue"/>
        <color rgb="FF1155CC"/>
        <u/>
      </rPr>
      <t>babetteuijlenhoed@gmail.com</t>
    </r>
  </si>
  <si>
    <t>Hetti</t>
  </si>
  <si>
    <t>van Hamersveld</t>
  </si>
  <si>
    <r>
      <rPr>
        <rFont val="Helvetica Neue"/>
        <color rgb="FF1155CC"/>
        <u/>
      </rPr>
      <t>hetti72@gmail.com</t>
    </r>
  </si>
  <si>
    <t>Ivan</t>
  </si>
  <si>
    <t>Welters</t>
  </si>
  <si>
    <r>
      <rPr>
        <rFont val="Helvetica Neue"/>
        <color rgb="FF1155CC"/>
        <u/>
      </rPr>
      <t>annettevzon@hotmail.com</t>
    </r>
  </si>
  <si>
    <t>Ilse</t>
  </si>
  <si>
    <t>Broeders</t>
  </si>
  <si>
    <r>
      <rPr>
        <rFont val="Helvetica Neue"/>
        <color rgb="FF1155CC"/>
        <u/>
      </rPr>
      <t>ruud.en.ilse@gmail.com</t>
    </r>
  </si>
  <si>
    <t>Antoinette</t>
  </si>
  <si>
    <t>Schoehuizen</t>
  </si>
  <si>
    <r>
      <rPr>
        <rFont val="Helvetica Neue"/>
        <color rgb="FF1155CC"/>
        <u/>
      </rPr>
      <t>antoinettemts@gmail.com</t>
    </r>
  </si>
  <si>
    <t>Danielle</t>
  </si>
  <si>
    <t>Piso</t>
  </si>
  <si>
    <r>
      <rPr>
        <rFont val="Helvetica Neue"/>
        <color rgb="FF1155CC"/>
        <u/>
      </rPr>
      <t>daniellepiso@gmail.com</t>
    </r>
  </si>
  <si>
    <t>Re</t>
  </si>
  <si>
    <t>Peschier</t>
  </si>
  <si>
    <r>
      <rPr>
        <rFont val="Helvetica Neue"/>
        <color rgb="FF1155CC"/>
        <u/>
      </rPr>
      <t>r.peschier@xs4all.nl</t>
    </r>
  </si>
  <si>
    <t>Anne-Aimee</t>
  </si>
  <si>
    <t>Blacquiere</t>
  </si>
  <si>
    <r>
      <rPr>
        <rFont val="Helvetica Neue"/>
        <color rgb="FF1155CC"/>
        <u/>
      </rPr>
      <t>blacquiereanne@gmail.com</t>
    </r>
  </si>
  <si>
    <t>Kloet</t>
  </si>
  <si>
    <r>
      <rPr>
        <rFont val="Helvetica Neue"/>
        <color rgb="FF1155CC"/>
        <u/>
      </rPr>
      <t>charlotte.kloet@gmail.com</t>
    </r>
  </si>
  <si>
    <t>Nicole</t>
  </si>
  <si>
    <t>Bolkestein</t>
  </si>
  <si>
    <r>
      <rPr>
        <rFont val="Helvetica Neue"/>
        <color rgb="FF1155CC"/>
        <u/>
      </rPr>
      <t>nlterhaar@gmail.com</t>
    </r>
  </si>
  <si>
    <t>Spijkerman</t>
  </si>
  <si>
    <r>
      <rPr>
        <rFont val="Helvetica Neue"/>
        <color rgb="FF1155CC"/>
        <u/>
      </rPr>
      <t>ijbspijkerman@gmail.com</t>
    </r>
  </si>
  <si>
    <t>Kirsten</t>
  </si>
  <si>
    <t>Boer</t>
  </si>
  <si>
    <r>
      <rPr>
        <rFont val="Helvetica Neue"/>
        <color rgb="FF1155CC"/>
        <u/>
      </rPr>
      <t>kirsten.boer@gmail.com</t>
    </r>
  </si>
  <si>
    <t>van Veeren</t>
  </si>
  <si>
    <r>
      <rPr>
        <rFont val="Helvetica Neue"/>
        <color rgb="FF1155CC"/>
        <u/>
      </rPr>
      <t>daanvv@me.com</t>
    </r>
  </si>
  <si>
    <t>Liesbeth</t>
  </si>
  <si>
    <t>Kerkhof-Castelijns</t>
  </si>
  <si>
    <r>
      <rPr>
        <rFont val="Helvetica Neue"/>
        <color rgb="FF1155CC"/>
        <u/>
      </rPr>
      <t>liesbeth1612@hotmail.com</t>
    </r>
  </si>
  <si>
    <t>#BB-25-7131</t>
  </si>
  <si>
    <t>Myrte E.</t>
  </si>
  <si>
    <t>Van Westenbrugge</t>
  </si>
  <si>
    <t>AMSTERDAM-DILLE-KAMILLE-BOOM-MET-BORG-125-150 CM</t>
  </si>
  <si>
    <t>AMSTERDAM BILDERDIJK - Dille &amp; Kamille</t>
  </si>
  <si>
    <t>Amsterdam Dille &amp; Kamille - BB met kluit (incl. €10 borg) - 125-150 cm</t>
  </si>
  <si>
    <r>
      <rPr>
        <rFont val="Helvetica Neue"/>
        <color rgb="FF1155CC"/>
        <u/>
      </rPr>
      <t>mevw@outlook.com</t>
    </r>
  </si>
  <si>
    <t>Ria</t>
  </si>
  <si>
    <t>De Wit</t>
  </si>
  <si>
    <r>
      <rPr>
        <rFont val="Helvetica Neue"/>
        <color rgb="FF1155CC"/>
        <u/>
      </rPr>
      <t>maria.anna.dewit@gmail.com</t>
    </r>
  </si>
  <si>
    <t>Deleij</t>
  </si>
  <si>
    <r>
      <rPr>
        <rFont val="Helvetica Neue"/>
        <color rgb="FF1155CC"/>
        <u/>
      </rPr>
      <t>lauradeleij@gmail.com</t>
    </r>
  </si>
  <si>
    <t>Duider</t>
  </si>
  <si>
    <t>Prins</t>
  </si>
  <si>
    <r>
      <rPr>
        <rFont val="Helvetica Neue"/>
        <color rgb="FF1155CC"/>
        <u/>
      </rPr>
      <t>suzannedenhoed@gmail.com</t>
    </r>
  </si>
  <si>
    <t>van der Laan</t>
  </si>
  <si>
    <r>
      <rPr>
        <rFont val="Helvetica Neue"/>
        <color rgb="FF1155CC"/>
        <u/>
      </rPr>
      <t>annevdlaan@live.nl</t>
    </r>
  </si>
  <si>
    <t>Margriet</t>
  </si>
  <si>
    <t>Verpoorten</t>
  </si>
  <si>
    <r>
      <rPr>
        <rFont val="Helvetica Neue"/>
        <color rgb="FF1155CC"/>
        <u/>
      </rPr>
      <t>margrietverpoorten@gmail.com</t>
    </r>
  </si>
  <si>
    <t>Maureen</t>
  </si>
  <si>
    <t>Wilde</t>
  </si>
  <si>
    <r>
      <rPr>
        <rFont val="Helvetica Neue"/>
        <color rgb="FF1155CC"/>
        <u/>
      </rPr>
      <t>maureen.wilde@web.de</t>
    </r>
  </si>
  <si>
    <t>Imke</t>
  </si>
  <si>
    <t>Receveur</t>
  </si>
  <si>
    <r>
      <rPr>
        <rFont val="Helvetica Neue"/>
        <color rgb="FF1155CC"/>
        <u/>
      </rPr>
      <t>imkereceveur@gmail.com</t>
    </r>
  </si>
  <si>
    <t>Barbara</t>
  </si>
  <si>
    <t>Van Heijst</t>
  </si>
  <si>
    <r>
      <rPr>
        <rFont val="Helvetica Neue"/>
        <color rgb="FF1155CC"/>
        <u/>
      </rPr>
      <t>barbara.vanheijst@gmail.com</t>
    </r>
  </si>
  <si>
    <t>Nienke</t>
  </si>
  <si>
    <t>Heemskerk</t>
  </si>
  <si>
    <r>
      <rPr>
        <rFont val="Helvetica Neue"/>
        <color rgb="FF1155CC"/>
        <u/>
      </rPr>
      <t>nienke_heemskerk@hotmail.com</t>
    </r>
  </si>
  <si>
    <t>Anke</t>
  </si>
  <si>
    <t>Stapels</t>
  </si>
  <si>
    <r>
      <rPr>
        <rFont val="Helvetica Neue"/>
        <color rgb="FF1155CC"/>
        <u/>
      </rPr>
      <t>stap12@gmail.com</t>
    </r>
  </si>
  <si>
    <t>Pegels</t>
  </si>
  <si>
    <r>
      <rPr>
        <rFont val="Helvetica Neue"/>
        <color rgb="FF1155CC"/>
        <u/>
      </rPr>
      <t>m.pegels74@gmail.com</t>
    </r>
  </si>
  <si>
    <t>Viannette</t>
  </si>
  <si>
    <t>Den Boer</t>
  </si>
  <si>
    <r>
      <rPr>
        <rFont val="Helvetica Neue"/>
        <color rgb="FF1155CC"/>
        <u/>
      </rPr>
      <t>viannettedenboer@gmail.com</t>
    </r>
  </si>
  <si>
    <t>C</t>
  </si>
  <si>
    <t>van de Biest</t>
  </si>
  <si>
    <r>
      <rPr>
        <rFont val="Helvetica Neue"/>
        <color rgb="FF1155CC"/>
        <u/>
      </rPr>
      <t>cspamvis@gmail.com</t>
    </r>
  </si>
  <si>
    <t>SR</t>
  </si>
  <si>
    <t>Meuwese-Schellens</t>
  </si>
  <si>
    <r>
      <rPr>
        <rFont val="Helvetica Neue"/>
        <color rgb="FF1155CC"/>
        <u/>
      </rPr>
      <t>srmeuwese@gmail.com</t>
    </r>
  </si>
  <si>
    <t>Erica</t>
  </si>
  <si>
    <t>van Buchem</t>
  </si>
  <si>
    <r>
      <rPr>
        <rFont val="Helvetica Neue"/>
        <color rgb="FF1155CC"/>
        <u/>
      </rPr>
      <t>ericavanbuchem@hotmail.com</t>
    </r>
  </si>
  <si>
    <t>Lisette</t>
  </si>
  <si>
    <t>Visser</t>
  </si>
  <si>
    <r>
      <rPr>
        <rFont val="Helvetica Neue"/>
        <color rgb="FF1155CC"/>
        <u/>
      </rPr>
      <t>lisette.visser@visser-vantilborg.nl</t>
    </r>
  </si>
  <si>
    <t>Anni</t>
  </si>
  <si>
    <t>Flegel</t>
  </si>
  <si>
    <r>
      <rPr>
        <rFont val="Helvetica Neue"/>
        <color rgb="FF1155CC"/>
        <u/>
      </rPr>
      <t>annkatrin.flegel@web.de</t>
    </r>
  </si>
  <si>
    <t>Broerse</t>
  </si>
  <si>
    <r>
      <rPr>
        <rFont val="Helvetica Neue"/>
        <color rgb="FF1155CC"/>
        <u/>
      </rPr>
      <t>annebroerse@gmail.com</t>
    </r>
  </si>
  <si>
    <t>Charline</t>
  </si>
  <si>
    <t>Rouffet</t>
  </si>
  <si>
    <r>
      <rPr>
        <rFont val="Helvetica Neue"/>
        <color rgb="FF1155CC"/>
        <u/>
      </rPr>
      <t>charline.rouffet@gmail.com</t>
    </r>
  </si>
  <si>
    <t>Tessa</t>
  </si>
  <si>
    <t>Boutkan</t>
  </si>
  <si>
    <r>
      <rPr>
        <rFont val="Helvetica Neue"/>
        <color rgb="FF1155CC"/>
        <u/>
      </rPr>
      <t>tessaboutkan@hotmail.com</t>
    </r>
  </si>
  <si>
    <t>Theta</t>
  </si>
  <si>
    <t>Tazelaar</t>
  </si>
  <si>
    <r>
      <rPr>
        <rFont val="Helvetica Neue"/>
        <color rgb="FF1155CC"/>
        <u/>
      </rPr>
      <t>thetatazelaar@gmail.com</t>
    </r>
  </si>
  <si>
    <t>Tineke</t>
  </si>
  <si>
    <t>Van Mourik</t>
  </si>
  <si>
    <r>
      <rPr>
        <rFont val="Helvetica Neue"/>
        <color rgb="FF1155CC"/>
        <u/>
      </rPr>
      <t>tinekevanmourikbanda@gmail.com</t>
    </r>
  </si>
  <si>
    <t>Eunice</t>
  </si>
  <si>
    <t>Kasse</t>
  </si>
  <si>
    <r>
      <rPr>
        <rFont val="Helvetica Neue"/>
        <color rgb="FF1155CC"/>
        <u/>
      </rPr>
      <t>eunicekasse@hotmail.com</t>
    </r>
  </si>
  <si>
    <t>Carlijn</t>
  </si>
  <si>
    <t>Lahaye</t>
  </si>
  <si>
    <r>
      <rPr>
        <rFont val="Helvetica Neue"/>
        <color rgb="FF1155CC"/>
        <u/>
      </rPr>
      <t>cbbakker@outlook.com</t>
    </r>
  </si>
  <si>
    <t>J.</t>
  </si>
  <si>
    <t>van Egmond</t>
  </si>
  <si>
    <r>
      <rPr>
        <rFont val="Helvetica Neue"/>
        <color rgb="FF1155CC"/>
        <u/>
      </rPr>
      <t>joepvanegmond31@gmail.com</t>
    </r>
  </si>
  <si>
    <t>Marian</t>
  </si>
  <si>
    <t>Engelbertink</t>
  </si>
  <si>
    <r>
      <rPr>
        <rFont val="Helvetica Neue"/>
        <color rgb="FF1155CC"/>
        <u/>
      </rPr>
      <t>mmengelbertink@gmail.com</t>
    </r>
  </si>
  <si>
    <t>Thijs</t>
  </si>
  <si>
    <t>Weistra</t>
  </si>
  <si>
    <r>
      <rPr>
        <rFont val="Helvetica Neue"/>
        <color rgb="FF1155CC"/>
        <u/>
      </rPr>
      <t>thijsweistra@gmail.com</t>
    </r>
  </si>
  <si>
    <t>Loes</t>
  </si>
  <si>
    <t>Wagenvoorde</t>
  </si>
  <si>
    <r>
      <rPr>
        <rFont val="Helvetica Neue"/>
        <color rgb="FF1155CC"/>
        <u/>
      </rPr>
      <t>lcwagenvoorde@hotmail.com</t>
    </r>
  </si>
  <si>
    <t>Brokke</t>
  </si>
  <si>
    <r>
      <rPr>
        <rFont val="Helvetica Neue"/>
        <color rgb="FF1155CC"/>
        <u/>
      </rPr>
      <t>brokke2peeters-c@telfort.nl</t>
    </r>
  </si>
  <si>
    <t>Marit</t>
  </si>
  <si>
    <t>Schouten</t>
  </si>
  <si>
    <r>
      <rPr>
        <rFont val="Helvetica Neue"/>
        <color rgb="FF1155CC"/>
        <u/>
      </rPr>
      <t>maritannika.schouten@gmail.com</t>
    </r>
  </si>
  <si>
    <t>Marlijn</t>
  </si>
  <si>
    <t>Berendsen</t>
  </si>
  <si>
    <r>
      <rPr>
        <rFont val="Helvetica Neue"/>
        <color rgb="FF1155CC"/>
        <u/>
      </rPr>
      <t>marlijnberendsen@gmail.com</t>
    </r>
  </si>
  <si>
    <t>Steekelenburg</t>
  </si>
  <si>
    <r>
      <rPr>
        <rFont val="Helvetica Neue"/>
        <color rgb="FF1155CC"/>
        <u/>
      </rPr>
      <t>s.van.steekelenburg@gmail.com</t>
    </r>
  </si>
  <si>
    <t>Noortje</t>
  </si>
  <si>
    <t>Folkertsma</t>
  </si>
  <si>
    <r>
      <rPr>
        <rFont val="Helvetica Neue"/>
        <color rgb="FF1155CC"/>
        <u/>
      </rPr>
      <t>n.folkertsma@gmail.com</t>
    </r>
  </si>
  <si>
    <t>Sonja</t>
  </si>
  <si>
    <t>Schiphorst-Olderaan</t>
  </si>
  <si>
    <r>
      <rPr>
        <rFont val="Helvetica Neue"/>
        <color rgb="FF1155CC"/>
        <u/>
      </rPr>
      <t>zzzonja@hotmail.com</t>
    </r>
  </si>
  <si>
    <t>Juliette</t>
  </si>
  <si>
    <t>Lambregts</t>
  </si>
  <si>
    <r>
      <rPr>
        <rFont val="Helvetica Neue"/>
        <color rgb="FF1155CC"/>
        <u/>
      </rPr>
      <t>juliettelambregts@gmail.com</t>
    </r>
  </si>
  <si>
    <t>Hinke</t>
  </si>
  <si>
    <t>Kruizenga</t>
  </si>
  <si>
    <r>
      <rPr>
        <rFont val="Helvetica Neue"/>
        <color rgb="FF1155CC"/>
        <u/>
      </rPr>
      <t>h.kruizenga@amsterdamumc.nl</t>
    </r>
  </si>
  <si>
    <t>Daan</t>
  </si>
  <si>
    <t>Spruijt</t>
  </si>
  <si>
    <r>
      <rPr>
        <rFont val="Helvetica Neue"/>
        <color rgb="FF1155CC"/>
        <u/>
      </rPr>
      <t>zuhota87.nukusu72@murena.io</t>
    </r>
  </si>
  <si>
    <t>Zeebregts</t>
  </si>
  <si>
    <r>
      <rPr>
        <rFont val="Helvetica Neue"/>
        <color rgb="FF1155CC"/>
        <u/>
      </rPr>
      <t>mea.zeebregts@gmail.com</t>
    </r>
  </si>
  <si>
    <t>Mirjam</t>
  </si>
  <si>
    <t>Roepman</t>
  </si>
  <si>
    <r>
      <rPr>
        <rFont val="Helvetica Neue"/>
        <color rgb="FF1155CC"/>
        <u/>
      </rPr>
      <t>mirjamroepman1@gmail.com</t>
    </r>
  </si>
  <si>
    <t>Jesse</t>
  </si>
  <si>
    <t>Bobeldijk</t>
  </si>
  <si>
    <r>
      <rPr>
        <rFont val="Helvetica Neue"/>
        <color rgb="FF1155CC"/>
        <u/>
      </rPr>
      <t>jesse.bobeldijk@gmail.com</t>
    </r>
  </si>
  <si>
    <t>Rosanne</t>
  </si>
  <si>
    <t>Zwart</t>
  </si>
  <si>
    <r>
      <rPr>
        <rFont val="Helvetica Neue"/>
        <color rgb="FF1155CC"/>
        <u/>
      </rPr>
      <t>rosannezwart@gmail.com</t>
    </r>
  </si>
  <si>
    <t>#BB-25-7179</t>
  </si>
  <si>
    <t>brigit</t>
  </si>
  <si>
    <t>hillenius</t>
  </si>
  <si>
    <t>AMSTERDAM-DILLE-KAMILLE-BOOM-MET-BORG-100-125 CM</t>
  </si>
  <si>
    <t>Amsterdam Dille &amp; Kamille - BB met kluit (incl. €10 borg) - 100-125 cm</t>
  </si>
  <si>
    <r>
      <rPr>
        <rFont val="Helvetica Neue"/>
        <color rgb="FF1155CC"/>
        <u/>
      </rPr>
      <t>stichtingnrd@gmail.com</t>
    </r>
  </si>
  <si>
    <r>
      <rPr>
        <rFont val="Helvetica Neue"/>
        <color rgb="FF1155CC"/>
        <u/>
      </rPr>
      <t>jeroen.vanrijnwind@gmail.com</t>
    </r>
  </si>
  <si>
    <t>Whittle</t>
  </si>
  <si>
    <r>
      <rPr>
        <rFont val="Helvetica Neue"/>
        <color rgb="FF1155CC"/>
        <u/>
      </rPr>
      <t>lisa_whittle_@hotmail.com</t>
    </r>
  </si>
  <si>
    <t>Margit</t>
  </si>
  <si>
    <t>Blaak</t>
  </si>
  <si>
    <r>
      <rPr>
        <rFont val="Helvetica Neue"/>
        <color rgb="FF1155CC"/>
        <u/>
      </rPr>
      <t>margit.blaak@gmail.com</t>
    </r>
  </si>
  <si>
    <t>Marjanne</t>
  </si>
  <si>
    <t>Van der Helm</t>
  </si>
  <si>
    <r>
      <rPr>
        <rFont val="Helvetica Neue"/>
        <color rgb="FF1155CC"/>
        <u/>
      </rPr>
      <t>marjannevdhelm@gmail.com</t>
    </r>
  </si>
  <si>
    <t>Charlot</t>
  </si>
  <si>
    <t>Mulder</t>
  </si>
  <si>
    <r>
      <rPr>
        <rFont val="Helvetica Neue"/>
        <color rgb="FF1155CC"/>
        <u/>
      </rPr>
      <t>c.m.mulder@outlook.com</t>
    </r>
  </si>
  <si>
    <t>Nicolet</t>
  </si>
  <si>
    <t>Luisman</t>
  </si>
  <si>
    <r>
      <rPr>
        <rFont val="Helvetica Neue"/>
        <color rgb="FF1155CC"/>
        <u/>
      </rPr>
      <t>nicoletluisman@gmail.com</t>
    </r>
  </si>
  <si>
    <t>Bijleveld</t>
  </si>
  <si>
    <r>
      <rPr>
        <rFont val="Helvetica Neue"/>
        <color rgb="FF1155CC"/>
        <u/>
      </rPr>
      <t>annebijl@hotmail.com</t>
    </r>
  </si>
  <si>
    <t>Hertel</t>
  </si>
  <si>
    <r>
      <rPr>
        <rFont val="Helvetica Neue"/>
        <color rgb="FF1155CC"/>
        <u/>
      </rPr>
      <t>fahertel@gmail.com</t>
    </r>
  </si>
  <si>
    <t>Suzan</t>
  </si>
  <si>
    <t>Schreuder</t>
  </si>
  <si>
    <r>
      <rPr>
        <rFont val="Helvetica Neue"/>
        <color rgb="FF1155CC"/>
        <u/>
      </rPr>
      <t>suzan2310@gmail.com</t>
    </r>
  </si>
  <si>
    <t>Allart</t>
  </si>
  <si>
    <r>
      <rPr>
        <rFont val="Helvetica Neue"/>
        <color rgb="FF1155CC"/>
        <u/>
      </rPr>
      <t>info@jeroenallart.nl</t>
    </r>
  </si>
  <si>
    <t>van Altena-Zondervan</t>
  </si>
  <si>
    <r>
      <rPr>
        <rFont val="Helvetica Neue"/>
        <color rgb="FF1155CC"/>
        <u/>
      </rPr>
      <t>judith@altena5.nl</t>
    </r>
  </si>
  <si>
    <t>#BB-25-7268</t>
  </si>
  <si>
    <t>René</t>
  </si>
  <si>
    <t>Van Lier</t>
  </si>
  <si>
    <r>
      <rPr>
        <rFont val="Helvetica Neue"/>
        <color rgb="FF1155CC"/>
        <u/>
      </rPr>
      <t>info@acupunctuur-aandemaas.com</t>
    </r>
  </si>
  <si>
    <t>van t Hoff-Mook</t>
  </si>
  <si>
    <r>
      <rPr>
        <rFont val="Helvetica Neue"/>
        <color rgb="FF1155CC"/>
        <u/>
      </rPr>
      <t>tessamook@hotmail.com</t>
    </r>
  </si>
  <si>
    <t>Annamara</t>
  </si>
  <si>
    <t>Hamersma</t>
  </si>
  <si>
    <r>
      <rPr>
        <rFont val="Helvetica Neue"/>
        <color rgb="FF1155CC"/>
        <u/>
      </rPr>
      <t>annamarahamersma@gmail.com</t>
    </r>
  </si>
  <si>
    <t>thekla</t>
  </si>
  <si>
    <t>reuten</t>
  </si>
  <si>
    <r>
      <rPr>
        <rFont val="Helvetica Neue"/>
        <color rgb="FF1155CC"/>
        <u/>
      </rPr>
      <t>theklareuten@me.com</t>
    </r>
  </si>
  <si>
    <t>#BB-25-7272</t>
  </si>
  <si>
    <t>Jitse</t>
  </si>
  <si>
    <t>de Vriend</t>
  </si>
  <si>
    <t>DEN-HAAG-DILLE-KAMILLE-BOOM-MET-BORG-100-125 CM</t>
  </si>
  <si>
    <t>Den Haag Dille &amp; Kamille - BB met kluit (incl. €10 borg) - 100-125 cm</t>
  </si>
  <si>
    <r>
      <rPr>
        <rFont val="Helvetica Neue"/>
        <color rgb="FF1155CC"/>
        <u/>
      </rPr>
      <t>jitsedevriend@gmail.com</t>
    </r>
  </si>
  <si>
    <t>Maaike</t>
  </si>
  <si>
    <t>van Min</t>
  </si>
  <si>
    <r>
      <rPr>
        <rFont val="Helvetica Neue"/>
        <color rgb="FF1155CC"/>
        <u/>
      </rPr>
      <t>mlvanmin@gmail.com</t>
    </r>
  </si>
  <si>
    <t>Familie</t>
  </si>
  <si>
    <t>Dahlmann</t>
  </si>
  <si>
    <r>
      <rPr>
        <rFont val="Helvetica Neue"/>
        <color rgb="FF1155CC"/>
        <u/>
      </rPr>
      <t>claardebrauw@hotmail.com</t>
    </r>
  </si>
  <si>
    <t>Nici</t>
  </si>
  <si>
    <t>Schwandt</t>
  </si>
  <si>
    <r>
      <rPr>
        <rFont val="Helvetica Neue"/>
        <color rgb="FF1155CC"/>
        <u/>
      </rPr>
      <t>nici.schwandt@gmail.com</t>
    </r>
  </si>
  <si>
    <t>Teijken</t>
  </si>
  <si>
    <r>
      <rPr>
        <rFont val="Helvetica Neue"/>
        <color rgb="FF1155CC"/>
        <u/>
      </rPr>
      <t>maatroos@gmail.com</t>
    </r>
  </si>
  <si>
    <t>Arno</t>
  </si>
  <si>
    <t>Koenraat</t>
  </si>
  <si>
    <r>
      <rPr>
        <rFont val="Helvetica Neue"/>
        <color rgb="FF1155CC"/>
        <u/>
      </rPr>
      <t>a.koenraat@upcmail.nl</t>
    </r>
  </si>
  <si>
    <t>Carla</t>
  </si>
  <si>
    <t>Peeters</t>
  </si>
  <si>
    <r>
      <rPr>
        <rFont val="Helvetica Neue"/>
        <color rgb="FF1155CC"/>
        <u/>
      </rPr>
      <t>cmacpeeters@hotmail.com</t>
    </r>
  </si>
  <si>
    <t>Struijs</t>
  </si>
  <si>
    <r>
      <rPr>
        <rFont val="Helvetica Neue"/>
        <color rgb="FF1155CC"/>
        <u/>
      </rPr>
      <t>ankestruijs@gmail.com</t>
    </r>
  </si>
  <si>
    <t>Jade</t>
  </si>
  <si>
    <t>Castelijn</t>
  </si>
  <si>
    <r>
      <rPr>
        <rFont val="Helvetica Neue"/>
        <color rgb="FF1155CC"/>
        <u/>
      </rPr>
      <t>jadecastelijn@gmail.com</t>
    </r>
  </si>
  <si>
    <t>Jorrit</t>
  </si>
  <si>
    <r>
      <rPr>
        <rFont val="Helvetica Neue"/>
        <color rgb="FF1155CC"/>
        <u/>
      </rPr>
      <t>jorritberendsen@pm.me</t>
    </r>
  </si>
  <si>
    <t>Romée &amp; Noud</t>
  </si>
  <si>
    <t>Beaufort &amp; Dumoulin</t>
  </si>
  <si>
    <r>
      <rPr>
        <rFont val="Helvetica Neue"/>
        <color rgb="FF1155CC"/>
        <u/>
      </rPr>
      <t>romee_henrieke@hotmail.com</t>
    </r>
  </si>
  <si>
    <t>Van der Jagt</t>
  </si>
  <si>
    <r>
      <rPr>
        <rFont val="Helvetica Neue"/>
        <color rgb="FF1155CC"/>
        <u/>
      </rPr>
      <t>elsvdjagt@gmail.com</t>
    </r>
  </si>
  <si>
    <t>Bas</t>
  </si>
  <si>
    <t>van goor</t>
  </si>
  <si>
    <r>
      <rPr>
        <rFont val="Helvetica Neue"/>
        <color rgb="FF1155CC"/>
        <u/>
      </rPr>
      <t>bas@vangoor.me</t>
    </r>
  </si>
  <si>
    <t>Titia</t>
  </si>
  <si>
    <t>Ruijs</t>
  </si>
  <si>
    <r>
      <rPr>
        <rFont val="Helvetica Neue"/>
        <color rgb="FF1155CC"/>
        <u/>
      </rPr>
      <t>titia.ruijs@gmail.com</t>
    </r>
  </si>
  <si>
    <t>Huisman</t>
  </si>
  <si>
    <r>
      <rPr>
        <rFont val="Helvetica Neue"/>
        <color rgb="FF1155CC"/>
        <u/>
      </rPr>
      <t>ehouweling1012@gmail.com</t>
    </r>
  </si>
  <si>
    <t>Stanneke</t>
  </si>
  <si>
    <t>Kusters</t>
  </si>
  <si>
    <r>
      <rPr>
        <rFont val="Helvetica Neue"/>
        <color rgb="FF1155CC"/>
        <u/>
      </rPr>
      <t>stannekekusters@gmail.com</t>
    </r>
  </si>
  <si>
    <t>Peter</t>
  </si>
  <si>
    <t>Daalder</t>
  </si>
  <si>
    <r>
      <rPr>
        <rFont val="Helvetica Neue"/>
        <color rgb="FF1155CC"/>
        <u/>
      </rPr>
      <t>prdaalder@gmail.com</t>
    </r>
  </si>
  <si>
    <t>Ina</t>
  </si>
  <si>
    <t>de Goeij</t>
  </si>
  <si>
    <r>
      <rPr>
        <rFont val="Helvetica Neue"/>
        <color rgb="FF1155CC"/>
        <u/>
      </rPr>
      <t>inadegoeij@hotmail.com</t>
    </r>
  </si>
  <si>
    <t>Gertrude</t>
  </si>
  <si>
    <r>
      <rPr>
        <rFont val="Helvetica Neue"/>
        <color rgb="FF1155CC"/>
        <u/>
      </rPr>
      <t>Gertrudesmit1969@gmail.com</t>
    </r>
  </si>
  <si>
    <t>Rian</t>
  </si>
  <si>
    <t>Knop</t>
  </si>
  <si>
    <r>
      <rPr>
        <rFont val="Helvetica Neue"/>
        <color rgb="FF1155CC"/>
        <u/>
      </rPr>
      <t>rian@rianknop.nl</t>
    </r>
  </si>
  <si>
    <t>Merel</t>
  </si>
  <si>
    <t>de Herder</t>
  </si>
  <si>
    <r>
      <rPr>
        <rFont val="Helvetica Neue"/>
        <color rgb="FF1155CC"/>
        <u/>
      </rPr>
      <t>mereldeherder@gmail.com</t>
    </r>
  </si>
  <si>
    <t>Van Loon</t>
  </si>
  <si>
    <r>
      <rPr>
        <rFont val="Helvetica Neue"/>
        <color rgb="FF1155CC"/>
        <u/>
      </rPr>
      <t>saskiafarla@hotmail.com</t>
    </r>
  </si>
  <si>
    <t>Hendriks</t>
  </si>
  <si>
    <r>
      <rPr>
        <rFont val="Helvetica Neue"/>
        <color rgb="FF1155CC"/>
        <u/>
      </rPr>
      <t>annehendriks_@live.nl</t>
    </r>
  </si>
  <si>
    <t>Monny</t>
  </si>
  <si>
    <t>Campos Medina</t>
  </si>
  <si>
    <r>
      <rPr>
        <rFont val="Helvetica Neue"/>
        <color rgb="FF1155CC"/>
        <u/>
      </rPr>
      <t>monnycampos@gmail.com</t>
    </r>
  </si>
  <si>
    <t>Daniëlle</t>
  </si>
  <si>
    <t>Veenhof</t>
  </si>
  <si>
    <r>
      <rPr>
        <rFont val="Helvetica Neue"/>
        <color rgb="FF1155CC"/>
        <u/>
      </rPr>
      <t>dalveenhof@gmail.com</t>
    </r>
  </si>
  <si>
    <t>Vivian</t>
  </si>
  <si>
    <t>Toemen</t>
  </si>
  <si>
    <r>
      <rPr>
        <rFont val="Helvetica Neue"/>
        <color rgb="FF1155CC"/>
        <u/>
      </rPr>
      <t>vtoemen@gmail.com</t>
    </r>
  </si>
  <si>
    <t>Marjan</t>
  </si>
  <si>
    <t>Bik</t>
  </si>
  <si>
    <r>
      <rPr>
        <rFont val="Helvetica Neue"/>
        <color rgb="FF1155CC"/>
        <u/>
      </rPr>
      <t>marjanbik@hotmail.nl</t>
    </r>
  </si>
  <si>
    <t>Annemieke</t>
  </si>
  <si>
    <t>van der Steen</t>
  </si>
  <si>
    <r>
      <rPr>
        <rFont val="Helvetica Neue"/>
        <color rgb="FF1155CC"/>
        <u/>
      </rPr>
      <t>a_vds@hotmail.com</t>
    </r>
  </si>
  <si>
    <t>Heleen</t>
  </si>
  <si>
    <t>Honig</t>
  </si>
  <si>
    <r>
      <rPr>
        <rFont val="Helvetica Neue"/>
        <color rgb="FF1155CC"/>
        <u/>
      </rPr>
      <t>heleenhonig@gmail.com</t>
    </r>
  </si>
  <si>
    <t>Neuteboom</t>
  </si>
  <si>
    <r>
      <rPr>
        <rFont val="Helvetica Neue"/>
        <color rgb="FF1155CC"/>
        <u/>
      </rPr>
      <t>estherneuteboom@gmail.com</t>
    </r>
  </si>
  <si>
    <t>Brentjens</t>
  </si>
  <si>
    <r>
      <rPr>
        <rFont val="Helvetica Neue"/>
        <color rgb="FF1155CC"/>
        <u/>
      </rPr>
      <t>mcbrentjens@kpnmail.nl</t>
    </r>
  </si>
  <si>
    <t>Kees</t>
  </si>
  <si>
    <t>van der Spek</t>
  </si>
  <si>
    <r>
      <rPr>
        <rFont val="Helvetica Neue"/>
        <color rgb="FF1155CC"/>
        <u/>
      </rPr>
      <t>c.vd.spek@planet.nl</t>
    </r>
  </si>
  <si>
    <t>Oosterveer</t>
  </si>
  <si>
    <r>
      <rPr>
        <rFont val="Helvetica Neue"/>
        <color rgb="FF1155CC"/>
        <u/>
      </rPr>
      <t>suzanenpeter@gmail.com</t>
    </r>
  </si>
  <si>
    <t>Gijs</t>
  </si>
  <si>
    <t>van Weegen</t>
  </si>
  <si>
    <r>
      <rPr>
        <rFont val="Helvetica Neue"/>
        <color rgb="FF1155CC"/>
        <u/>
      </rPr>
      <t>gijs1985@hotmail.com</t>
    </r>
  </si>
  <si>
    <t>Walker</t>
  </si>
  <si>
    <r>
      <rPr>
        <rFont val="Helvetica Neue"/>
        <color rgb="FF1155CC"/>
        <u/>
      </rPr>
      <t>juliawalker1992@gmail.com</t>
    </r>
  </si>
  <si>
    <t>Gerritsen</t>
  </si>
  <si>
    <r>
      <rPr>
        <rFont val="Helvetica Neue"/>
        <color rgb="FF1155CC"/>
        <u/>
      </rPr>
      <t>post4tal@hotmail.com</t>
    </r>
  </si>
  <si>
    <t>#BB-25-7328</t>
  </si>
  <si>
    <t>Machiel</t>
  </si>
  <si>
    <r>
      <rPr>
        <rFont val="Helvetica Neue"/>
        <color rgb="FF1155CC"/>
        <u/>
      </rPr>
      <t>machielspruijt@gmail.com</t>
    </r>
  </si>
  <si>
    <t>R</t>
  </si>
  <si>
    <t>Veldhoven</t>
  </si>
  <si>
    <r>
      <rPr>
        <rFont val="Helvetica Neue"/>
        <color rgb="FF1155CC"/>
        <u/>
      </rPr>
      <t>remiveldhoven@gmail.com</t>
    </r>
  </si>
  <si>
    <t>Alvaro</t>
  </si>
  <si>
    <t>Caballero</t>
  </si>
  <si>
    <r>
      <rPr>
        <rFont val="Helvetica Neue"/>
        <color rgb="FF1155CC"/>
        <u/>
      </rPr>
      <t>mecatronico77@gmail.com</t>
    </r>
  </si>
  <si>
    <t>Smeulders</t>
  </si>
  <si>
    <r>
      <rPr>
        <rFont val="Helvetica Neue"/>
        <color rgb="FF1155CC"/>
        <u/>
      </rPr>
      <t>maarten-robin@outlook.com</t>
    </r>
  </si>
  <si>
    <t>Lucas</t>
  </si>
  <si>
    <t>Baart</t>
  </si>
  <si>
    <r>
      <rPr>
        <rFont val="Helvetica Neue"/>
        <color rgb="FF1155CC"/>
        <u/>
      </rPr>
      <t>lucas.baart@gmail.com</t>
    </r>
  </si>
  <si>
    <t>Tansu</t>
  </si>
  <si>
    <t>Ilhan</t>
  </si>
  <si>
    <r>
      <rPr>
        <rFont val="Helvetica Neue"/>
        <color rgb="FF1155CC"/>
        <u/>
      </rPr>
      <t>tansu.ilhan7@gmail.com</t>
    </r>
  </si>
  <si>
    <t>Gijsen</t>
  </si>
  <si>
    <r>
      <rPr>
        <rFont val="Helvetica Neue"/>
        <color rgb="FF1155CC"/>
        <u/>
      </rPr>
      <t>amgijsen@gmail.com</t>
    </r>
  </si>
  <si>
    <t>Daniela</t>
  </si>
  <si>
    <t>Cordaro</t>
  </si>
  <si>
    <r>
      <rPr>
        <rFont val="Helvetica Neue"/>
        <color rgb="FF1155CC"/>
        <u/>
      </rPr>
      <t>cordanie@gmail.com</t>
    </r>
  </si>
  <si>
    <r>
      <rPr>
        <rFont val="Helvetica Neue"/>
        <color rgb="FF1155CC"/>
        <u/>
      </rPr>
      <t>cordanie@gmail.com</t>
    </r>
  </si>
  <si>
    <t>Govers</t>
  </si>
  <si>
    <r>
      <rPr>
        <rFont val="Helvetica Neue"/>
        <color rgb="FF1155CC"/>
        <u/>
      </rPr>
      <t>tessagovers@gmail.com</t>
    </r>
  </si>
  <si>
    <r>
      <rPr>
        <rFont val="Helvetica Neue"/>
        <color rgb="FF1155CC"/>
        <u/>
      </rPr>
      <t>selmadekker2020@gmail.com</t>
    </r>
  </si>
  <si>
    <t>Amarinske</t>
  </si>
  <si>
    <t>Sminia</t>
  </si>
  <si>
    <r>
      <rPr>
        <rFont val="Helvetica Neue"/>
        <color rgb="FF1155CC"/>
        <u/>
      </rPr>
      <t>amarinskesminia@gmail.com</t>
    </r>
  </si>
  <si>
    <t>Annelise</t>
  </si>
  <si>
    <t>Pires Ferreira</t>
  </si>
  <si>
    <r>
      <rPr>
        <rFont val="Helvetica Neue"/>
        <color rgb="FF1155CC"/>
        <u/>
      </rPr>
      <t>annelise.pires.ferreira@outlook.com</t>
    </r>
  </si>
  <si>
    <t>Knoops</t>
  </si>
  <si>
    <r>
      <rPr>
        <rFont val="Helvetica Neue"/>
        <color rgb="FF1155CC"/>
        <u/>
      </rPr>
      <t>loes.knoops@gmail.com</t>
    </r>
  </si>
  <si>
    <t>Nitya</t>
  </si>
  <si>
    <t>Michaux</t>
  </si>
  <si>
    <r>
      <rPr>
        <rFont val="Helvetica Neue"/>
        <color rgb="FF1155CC"/>
        <u/>
      </rPr>
      <t>nitya_michaux@hotmail.com</t>
    </r>
  </si>
  <si>
    <t>Evelyn</t>
  </si>
  <si>
    <t>Huynink</t>
  </si>
  <si>
    <r>
      <rPr>
        <rFont val="Helvetica Neue"/>
        <color rgb="FF1155CC"/>
        <u/>
      </rPr>
      <t>evel_yn1984@hotmail.com</t>
    </r>
  </si>
  <si>
    <t>Nicola</t>
  </si>
  <si>
    <t>Arencibia Roca</t>
  </si>
  <si>
    <r>
      <rPr>
        <rFont val="Helvetica Neue"/>
        <color rgb="FF1155CC"/>
        <u/>
      </rPr>
      <t>nickyevans1981@gmail.com</t>
    </r>
  </si>
  <si>
    <t>Schot</t>
  </si>
  <si>
    <r>
      <rPr>
        <rFont val="Helvetica Neue"/>
        <color rgb="FF1155CC"/>
        <u/>
      </rPr>
      <t>lauraschot92@gmail.com</t>
    </r>
  </si>
  <si>
    <r>
      <rPr>
        <rFont val="Helvetica Neue"/>
        <color rgb="FF1155CC"/>
        <u/>
      </rPr>
      <t>m.meijer61@kpnplanet.nl</t>
    </r>
  </si>
  <si>
    <t>Lianne</t>
  </si>
  <si>
    <t>Klijn</t>
  </si>
  <si>
    <r>
      <rPr>
        <rFont val="Helvetica Neue"/>
        <color rgb="FF1155CC"/>
        <u/>
      </rPr>
      <t>lianneklijn@hotmail.com</t>
    </r>
  </si>
  <si>
    <t>Djoeke</t>
  </si>
  <si>
    <r>
      <rPr>
        <rFont val="Helvetica Neue"/>
        <color rgb="FF1155CC"/>
        <u/>
      </rPr>
      <t>djoekevisser@gmail.com</t>
    </r>
  </si>
  <si>
    <t>Claar</t>
  </si>
  <si>
    <t>van oort</t>
  </si>
  <si>
    <r>
      <rPr>
        <rFont val="Helvetica Neue"/>
        <color rgb="FF1155CC"/>
        <u/>
      </rPr>
      <t>c.vanoort@home.nl</t>
    </r>
  </si>
  <si>
    <t>Elly</t>
  </si>
  <si>
    <t>Bastiaanssen</t>
  </si>
  <si>
    <r>
      <rPr>
        <rFont val="Helvetica Neue"/>
        <color rgb="FF1155CC"/>
        <u/>
      </rPr>
      <t>ellybastiaanssen@hotmail.com</t>
    </r>
  </si>
  <si>
    <t>Henk</t>
  </si>
  <si>
    <t>van den Toorn</t>
  </si>
  <si>
    <r>
      <rPr>
        <rFont val="Helvetica Neue"/>
        <color rgb="FF1155CC"/>
        <u/>
      </rPr>
      <t>vdtoorn@hotmail.com</t>
    </r>
  </si>
  <si>
    <t>Hanne</t>
  </si>
  <si>
    <r>
      <rPr>
        <rFont val="Helvetica Neue"/>
        <color rgb="FF1155CC"/>
        <u/>
      </rPr>
      <t>hanne.oosterveer@gmail.com</t>
    </r>
  </si>
  <si>
    <t>Martine</t>
  </si>
  <si>
    <r>
      <rPr>
        <rFont val="Helvetica Neue"/>
        <color rgb="FF1155CC"/>
        <u/>
      </rPr>
      <t>martinevanloon31@hotmail.com</t>
    </r>
  </si>
  <si>
    <t>Dieuweke</t>
  </si>
  <si>
    <t>van Reij</t>
  </si>
  <si>
    <r>
      <rPr>
        <rFont val="Helvetica Neue"/>
        <color rgb="FF1155CC"/>
        <u/>
      </rPr>
      <t>dieuwekev@hotmail.com</t>
    </r>
  </si>
  <si>
    <t>Stèphanie</t>
  </si>
  <si>
    <t>Cambier</t>
  </si>
  <si>
    <r>
      <rPr>
        <rFont val="Helvetica Neue"/>
        <color rgb="FF1155CC"/>
        <u/>
      </rPr>
      <t>cambier_stephanie@hotmail.com</t>
    </r>
  </si>
  <si>
    <t>van Bosheide</t>
  </si>
  <si>
    <r>
      <rPr>
        <rFont val="Helvetica Neue"/>
        <color rgb="FF1155CC"/>
        <u/>
      </rPr>
      <t>bosheide@gmail.com</t>
    </r>
  </si>
  <si>
    <t>Mol</t>
  </si>
  <si>
    <r>
      <rPr>
        <rFont val="Helvetica Neue"/>
        <color rgb="FF1155CC"/>
        <u/>
      </rPr>
      <t>nienke.rispens@gmail.com</t>
    </r>
  </si>
  <si>
    <t>Le Feber</t>
  </si>
  <si>
    <r>
      <rPr>
        <rFont val="Helvetica Neue"/>
        <color rgb="FF1155CC"/>
        <u/>
      </rPr>
      <t>lefebernaomi@gmail.com</t>
    </r>
  </si>
  <si>
    <t>Prinsze</t>
  </si>
  <si>
    <r>
      <rPr>
        <rFont val="Helvetica Neue"/>
        <color rgb="FF1155CC"/>
        <u/>
      </rPr>
      <t>myrtheprinsze@live.nl</t>
    </r>
  </si>
  <si>
    <t>#BB-25-7371</t>
  </si>
  <si>
    <t>Marnix</t>
  </si>
  <si>
    <t>Rosbach</t>
  </si>
  <si>
    <t>ARNHEM-DILLE-KAMILLE-BOOM-MET-BORG-125-150 CM</t>
  </si>
  <si>
    <t>Arnhem Dille &amp; Kamille - BB met kluit (incl. €10 borg) - 125-150 cm</t>
  </si>
  <si>
    <r>
      <rPr>
        <rFont val="Helvetica Neue"/>
        <color rgb="FF1155CC"/>
        <u/>
      </rPr>
      <t>marnix@marnixrosbach.nl</t>
    </r>
  </si>
  <si>
    <t>Jacoline</t>
  </si>
  <si>
    <t>Meurs-Kruijs</t>
  </si>
  <si>
    <r>
      <rPr>
        <rFont val="Helvetica Neue"/>
        <color rgb="FF1155CC"/>
        <u/>
      </rPr>
      <t>g.meurskruijs@upcmail.nl</t>
    </r>
  </si>
  <si>
    <t>#BB-25-7373</t>
  </si>
  <si>
    <t>Doeshka</t>
  </si>
  <si>
    <t>Vrede</t>
  </si>
  <si>
    <r>
      <rPr>
        <rFont val="Helvetica Neue"/>
        <color rgb="FF1155CC"/>
        <u/>
      </rPr>
      <t>doeshka@the-other-side.nl</t>
    </r>
  </si>
  <si>
    <t>Menko</t>
  </si>
  <si>
    <r>
      <rPr>
        <rFont val="Helvetica Neue"/>
        <color rgb="FF1155CC"/>
        <u/>
      </rPr>
      <t>t.r.menko@gmail.com</t>
    </r>
  </si>
  <si>
    <t>#BB-25-7375</t>
  </si>
  <si>
    <t>Ilona</t>
  </si>
  <si>
    <t>Pattenier</t>
  </si>
  <si>
    <r>
      <rPr>
        <rFont val="Helvetica Neue"/>
        <color rgb="FF1155CC"/>
        <u/>
      </rPr>
      <t>ilonapattenier@gmail.com</t>
    </r>
  </si>
  <si>
    <t>Hermans</t>
  </si>
  <si>
    <r>
      <rPr>
        <rFont val="Helvetica Neue"/>
        <color rgb="FF1155CC"/>
        <u/>
      </rPr>
      <t>comaprivate@gmail.com</t>
    </r>
  </si>
  <si>
    <t>H</t>
  </si>
  <si>
    <t>de Vries</t>
  </si>
  <si>
    <r>
      <rPr>
        <rFont val="Helvetica Neue"/>
        <color rgb="FF1155CC"/>
        <u/>
      </rPr>
      <t>hedydevries@protonmail.com</t>
    </r>
  </si>
  <si>
    <t>Alex</t>
  </si>
  <si>
    <t>van der Jagt</t>
  </si>
  <si>
    <r>
      <rPr>
        <rFont val="Helvetica Neue"/>
        <color rgb="FF1155CC"/>
        <u/>
      </rPr>
      <t>alexvanderjagt@gmail.com</t>
    </r>
  </si>
  <si>
    <t>Teeuw</t>
  </si>
  <si>
    <r>
      <rPr>
        <rFont val="Helvetica Neue"/>
        <color rgb="FF1155CC"/>
        <u/>
      </rPr>
      <t>joketeeuw1@kpnmail.nl</t>
    </r>
  </si>
  <si>
    <r>
      <rPr>
        <rFont val="Helvetica Neue"/>
        <color rgb="FF1155CC"/>
        <u/>
      </rPr>
      <t>anneliesvanvlietavv@hotmail.com</t>
    </r>
  </si>
  <si>
    <t>Mark</t>
  </si>
  <si>
    <t>Scheepers</t>
  </si>
  <si>
    <r>
      <rPr>
        <rFont val="Helvetica Neue"/>
        <color rgb="FF1155CC"/>
        <u/>
      </rPr>
      <t>markscheepers@outlook.com</t>
    </r>
  </si>
  <si>
    <r>
      <rPr>
        <rFont val="Helvetica Neue"/>
        <color rgb="FF1155CC"/>
        <u/>
      </rPr>
      <t>markscheepers@outlook.com</t>
    </r>
  </si>
  <si>
    <t>Koenis</t>
  </si>
  <si>
    <r>
      <rPr>
        <rFont val="Helvetica Neue"/>
        <color rgb="FF1155CC"/>
        <u/>
      </rPr>
      <t>annekekoenis@hotmail.com</t>
    </r>
  </si>
  <si>
    <t>#BB-25-7383</t>
  </si>
  <si>
    <t>Zeger</t>
  </si>
  <si>
    <t>Dalenberg</t>
  </si>
  <si>
    <r>
      <rPr>
        <rFont val="Helvetica Neue"/>
        <color rgb="FF1155CC"/>
        <u/>
      </rPr>
      <t>zegerdalenberg@gmail.com</t>
    </r>
  </si>
  <si>
    <t>Mieke</t>
  </si>
  <si>
    <t>Bogaartz - van Erk</t>
  </si>
  <si>
    <r>
      <rPr>
        <rFont val="Helvetica Neue"/>
        <color rgb="FF1155CC"/>
        <u/>
      </rPr>
      <t>mieke.bogaartz@gmail.com</t>
    </r>
  </si>
  <si>
    <t>DAISY</t>
  </si>
  <si>
    <t>Star</t>
  </si>
  <si>
    <r>
      <rPr>
        <rFont val="Helvetica Neue"/>
        <color rgb="FF1155CC"/>
        <u/>
      </rPr>
      <t>drjcstar@gmail.com</t>
    </r>
  </si>
  <si>
    <t>Michael</t>
  </si>
  <si>
    <t>van Pelt</t>
  </si>
  <si>
    <r>
      <rPr>
        <rFont val="Helvetica Neue"/>
        <color rgb="FF1155CC"/>
        <u/>
      </rPr>
      <t>michael_van_pelt@hotmail.com</t>
    </r>
  </si>
  <si>
    <t>Lia</t>
  </si>
  <si>
    <t>Timmer</t>
  </si>
  <si>
    <r>
      <rPr>
        <rFont val="Helvetica Neue"/>
        <color rgb="FF1155CC"/>
        <u/>
      </rPr>
      <t>liatimmervankeulen@gmail.com</t>
    </r>
  </si>
  <si>
    <t>Koen</t>
  </si>
  <si>
    <t>Withagen</t>
  </si>
  <si>
    <r>
      <rPr>
        <rFont val="Helvetica Neue"/>
        <color rgb="FF1155CC"/>
        <u/>
      </rPr>
      <t>koenwithagen@hotmail.com</t>
    </r>
  </si>
  <si>
    <t>Vd Schelling</t>
  </si>
  <si>
    <r>
      <rPr>
        <rFont val="Helvetica Neue"/>
        <color rgb="FF1155CC"/>
        <u/>
      </rPr>
      <t>julievdschelling@hotmail.com</t>
    </r>
  </si>
  <si>
    <t>Berry</t>
  </si>
  <si>
    <t>van der Hoorn</t>
  </si>
  <si>
    <r>
      <rPr>
        <rFont val="Helvetica Neue"/>
        <color rgb="FF1155CC"/>
        <u/>
      </rPr>
      <t>bbvdhoorn@hotmail.com</t>
    </r>
  </si>
  <si>
    <t>Sjerps</t>
  </si>
  <si>
    <r>
      <rPr>
        <rFont val="Helvetica Neue"/>
        <color rgb="FF1155CC"/>
        <u/>
      </rPr>
      <t>liekesjerps@pm.me</t>
    </r>
  </si>
  <si>
    <t>Marianna</t>
  </si>
  <si>
    <t>Karatzali</t>
  </si>
  <si>
    <r>
      <rPr>
        <rFont val="Helvetica Neue"/>
        <color rgb="FF1155CC"/>
        <u/>
      </rPr>
      <t>mariannakaratz@gmail.com</t>
    </r>
  </si>
  <si>
    <t>Rombout</t>
  </si>
  <si>
    <t>Soldaat</t>
  </si>
  <si>
    <r>
      <rPr>
        <rFont val="Helvetica Neue"/>
        <color rgb="FF1155CC"/>
        <u/>
      </rPr>
      <t>rombout@soldaat.nu</t>
    </r>
  </si>
  <si>
    <t>Sophie</t>
  </si>
  <si>
    <t>Linnarz</t>
  </si>
  <si>
    <r>
      <rPr>
        <rFont val="Helvetica Neue"/>
        <color rgb="FF1155CC"/>
        <u/>
      </rPr>
      <t>sophie.linnarz@live.nl</t>
    </r>
  </si>
  <si>
    <t>Ebony</t>
  </si>
  <si>
    <t>Tuasela</t>
  </si>
  <si>
    <r>
      <rPr>
        <rFont val="Helvetica Neue"/>
        <color rgb="FF1155CC"/>
        <u/>
      </rPr>
      <t>e.tuasela@gmail.com</t>
    </r>
  </si>
  <si>
    <t>Wijmenga</t>
  </si>
  <si>
    <r>
      <rPr>
        <rFont val="Helvetica Neue"/>
        <color rgb="FF1155CC"/>
        <u/>
      </rPr>
      <t>hannahwijmenga@gmail.com</t>
    </r>
  </si>
  <si>
    <t>Turkenburg</t>
  </si>
  <si>
    <r>
      <rPr>
        <rFont val="Helvetica Neue"/>
        <color rgb="FF1155CC"/>
        <u/>
      </rPr>
      <t>emturkenburg@gmail.com</t>
    </r>
  </si>
  <si>
    <t>Ines</t>
  </si>
  <si>
    <t>Verissimo</t>
  </si>
  <si>
    <r>
      <rPr>
        <rFont val="Helvetica Neue"/>
        <color rgb="FF1155CC"/>
        <u/>
      </rPr>
      <t>verissimo.iness@gmail.com</t>
    </r>
  </si>
  <si>
    <t>Thirza</t>
  </si>
  <si>
    <t>Kloens</t>
  </si>
  <si>
    <r>
      <rPr>
        <rFont val="Helvetica Neue"/>
        <color rgb="FF1155CC"/>
        <u/>
      </rPr>
      <t>thirzakloens@gmail.com</t>
    </r>
  </si>
  <si>
    <t>Louisse</t>
  </si>
  <si>
    <r>
      <rPr>
        <rFont val="Helvetica Neue"/>
        <color rgb="FF1155CC"/>
        <u/>
      </rPr>
      <t>elisevanwijk88@gmail.com</t>
    </r>
  </si>
  <si>
    <r>
      <rPr>
        <rFont val="Helvetica Neue"/>
        <color rgb="FF1155CC"/>
        <u/>
      </rPr>
      <t>sam.bakker@live.nl</t>
    </r>
  </si>
  <si>
    <t>Rutters</t>
  </si>
  <si>
    <r>
      <rPr>
        <rFont val="Helvetica Neue"/>
        <color rgb="FF1155CC"/>
        <u/>
      </rPr>
      <t>jesserutters@hotmail.com</t>
    </r>
  </si>
  <si>
    <t>Eva</t>
  </si>
  <si>
    <t>Annema</t>
  </si>
  <si>
    <r>
      <rPr>
        <rFont val="Helvetica Neue"/>
        <color rgb="FF1155CC"/>
        <u/>
      </rPr>
      <t>eva_annema@yahoo.com</t>
    </r>
  </si>
  <si>
    <t>Annemarie</t>
  </si>
  <si>
    <t>Meinema</t>
  </si>
  <si>
    <r>
      <rPr>
        <rFont val="Helvetica Neue"/>
        <color rgb="FF1155CC"/>
        <u/>
      </rPr>
      <t>akralt@gmail.com</t>
    </r>
  </si>
  <si>
    <t>#BB-25-7410</t>
  </si>
  <si>
    <t>Leonie</t>
  </si>
  <si>
    <t>Wulterkens</t>
  </si>
  <si>
    <r>
      <rPr>
        <rFont val="Helvetica Neue"/>
        <color rgb="FF1155CC"/>
        <u/>
      </rPr>
      <t>Leonie.wulterkens@gmail.com</t>
    </r>
  </si>
  <si>
    <t>Manouk</t>
  </si>
  <si>
    <t>Maalderink</t>
  </si>
  <si>
    <r>
      <rPr>
        <rFont val="Helvetica Neue"/>
        <color rgb="FF1155CC"/>
        <u/>
      </rPr>
      <t>manoukmaalderink@hotmail.com</t>
    </r>
  </si>
  <si>
    <t>Dolinde</t>
  </si>
  <si>
    <t>van Beek</t>
  </si>
  <si>
    <r>
      <rPr>
        <rFont val="Helvetica Neue"/>
        <color rgb="FF1155CC"/>
        <u/>
      </rPr>
      <t>dolindevanbeek@gmail.com</t>
    </r>
  </si>
  <si>
    <t>Müller</t>
  </si>
  <si>
    <r>
      <rPr>
        <rFont val="Helvetica Neue"/>
        <color rgb="FF1155CC"/>
        <u/>
      </rPr>
      <t>jipi95zz@kpnmail.nl</t>
    </r>
  </si>
  <si>
    <t>Fenneke</t>
  </si>
  <si>
    <t>Wekker</t>
  </si>
  <si>
    <r>
      <rPr>
        <rFont val="Helvetica Neue"/>
        <color rgb="FF1155CC"/>
        <u/>
      </rPr>
      <t>info@fennekewekker.nl</t>
    </r>
  </si>
  <si>
    <t>Maartje</t>
  </si>
  <si>
    <t>Eekman</t>
  </si>
  <si>
    <r>
      <rPr>
        <rFont val="Helvetica Neue"/>
        <color rgb="FF1155CC"/>
        <u/>
      </rPr>
      <t>m.m.eekman@live.nl</t>
    </r>
  </si>
  <si>
    <t>Cavedo</t>
  </si>
  <si>
    <r>
      <rPr>
        <rFont val="Helvetica Neue"/>
        <color rgb="FF1155CC"/>
        <u/>
      </rPr>
      <t>rcavedo@gmail.com</t>
    </r>
  </si>
  <si>
    <t>Herderschee</t>
  </si>
  <si>
    <r>
      <rPr>
        <rFont val="Helvetica Neue"/>
        <color rgb="FF1155CC"/>
        <u/>
      </rPr>
      <t>annaherderschee@hotmail.com</t>
    </r>
  </si>
  <si>
    <t>Pieter</t>
  </si>
  <si>
    <t>Vader</t>
  </si>
  <si>
    <r>
      <rPr>
        <rFont val="Helvetica Neue"/>
        <color rgb="FF1155CC"/>
        <u/>
      </rPr>
      <t>pieter_vader@hotmail.com</t>
    </r>
  </si>
  <si>
    <t>Meta</t>
  </si>
  <si>
    <t>La Gro</t>
  </si>
  <si>
    <r>
      <rPr>
        <rFont val="Helvetica Neue"/>
        <color rgb="FF1155CC"/>
        <u/>
      </rPr>
      <t>metacoenen@hotmail.com</t>
    </r>
  </si>
  <si>
    <t>de Man</t>
  </si>
  <si>
    <r>
      <rPr>
        <rFont val="Helvetica Neue"/>
        <color rgb="FF1155CC"/>
        <u/>
      </rPr>
      <t>eva.de.man@hotmail.com</t>
    </r>
  </si>
  <si>
    <t>Marten</t>
  </si>
  <si>
    <t>Bolt</t>
  </si>
  <si>
    <r>
      <rPr>
        <rFont val="Helvetica Neue"/>
        <color rgb="FF1155CC"/>
        <u/>
      </rPr>
      <t>martenbolt@hotmail.com</t>
    </r>
  </si>
  <si>
    <t>Andrea</t>
  </si>
  <si>
    <t>Plomp</t>
  </si>
  <si>
    <r>
      <rPr>
        <rFont val="Helvetica Neue"/>
        <color rgb="FF1155CC"/>
        <u/>
      </rPr>
      <t>andreaplomp@hotmail.com</t>
    </r>
  </si>
  <si>
    <t>Irina</t>
  </si>
  <si>
    <t>Leichenko</t>
  </si>
  <si>
    <r>
      <rPr>
        <rFont val="Helvetica Neue"/>
        <color rgb="FF1155CC"/>
        <u/>
      </rPr>
      <t>soleill2003@yahoo.com</t>
    </r>
  </si>
  <si>
    <t>Max</t>
  </si>
  <si>
    <t>Verschoor</t>
  </si>
  <si>
    <r>
      <rPr>
        <rFont val="Helvetica Neue"/>
        <color rgb="FF1155CC"/>
        <u/>
      </rPr>
      <t>max_verschoor@hotmail.com</t>
    </r>
  </si>
  <si>
    <t>Gerretsen</t>
  </si>
  <si>
    <r>
      <rPr>
        <rFont val="Helvetica Neue"/>
        <color rgb="FF1155CC"/>
        <u/>
      </rPr>
      <t>gerretsenanna@gmail.com</t>
    </r>
  </si>
  <si>
    <t>Sara</t>
  </si>
  <si>
    <t>Kaczmarek</t>
  </si>
  <si>
    <r>
      <rPr>
        <rFont val="Helvetica Neue"/>
        <color rgb="FF1155CC"/>
        <u/>
      </rPr>
      <t>kaczmarek.sara@gmail.com</t>
    </r>
  </si>
  <si>
    <t>Jan Jaap</t>
  </si>
  <si>
    <t>Zijl</t>
  </si>
  <si>
    <r>
      <rPr>
        <rFont val="Helvetica Neue"/>
        <color rgb="FF1155CC"/>
        <u/>
      </rPr>
      <t>janjaapzijl@online.nl</t>
    </r>
  </si>
  <si>
    <r>
      <rPr>
        <rFont val="Helvetica Neue"/>
        <color rgb="FF1155CC"/>
        <u/>
      </rPr>
      <t>janjaapzijl@online.nl</t>
    </r>
  </si>
  <si>
    <t>Nard</t>
  </si>
  <si>
    <t>den Hollander</t>
  </si>
  <si>
    <r>
      <rPr>
        <rFont val="Helvetica Neue"/>
        <color rgb="FF1155CC"/>
        <u/>
      </rPr>
      <t>ndenh@xs4all.nl</t>
    </r>
  </si>
  <si>
    <t>Kranenburg</t>
  </si>
  <si>
    <r>
      <rPr>
        <rFont val="Helvetica Neue"/>
        <color rgb="FF1155CC"/>
        <u/>
      </rPr>
      <t>margot.kranenburg@gmail.com</t>
    </r>
  </si>
  <si>
    <t>Kristel</t>
  </si>
  <si>
    <t>Kooij</t>
  </si>
  <si>
    <r>
      <rPr>
        <rFont val="Helvetica Neue"/>
        <color rgb="FF1155CC"/>
        <u/>
      </rPr>
      <t>k.b.kooij@gmail.com</t>
    </r>
  </si>
  <si>
    <t>Langeveld</t>
  </si>
  <si>
    <r>
      <rPr>
        <rFont val="Helvetica Neue"/>
        <color rgb="FF1155CC"/>
        <u/>
      </rPr>
      <t>k.langeveld@hccnet.nl</t>
    </r>
  </si>
  <si>
    <t>Boissevain</t>
  </si>
  <si>
    <r>
      <rPr>
        <rFont val="Helvetica Neue"/>
        <color rgb="FF1155CC"/>
        <u/>
      </rPr>
      <t>margotboissevain@gmail.com</t>
    </r>
  </si>
  <si>
    <t>Doris</t>
  </si>
  <si>
    <t>Tobias</t>
  </si>
  <si>
    <r>
      <rPr>
        <rFont val="Helvetica Neue"/>
        <color rgb="FF1155CC"/>
        <u/>
      </rPr>
      <t>Dor.Tobias@gmail.com</t>
    </r>
  </si>
  <si>
    <t>Floortje</t>
  </si>
  <si>
    <t>Engels</t>
  </si>
  <si>
    <r>
      <rPr>
        <rFont val="Helvetica Neue"/>
        <color rgb="FF1155CC"/>
        <u/>
      </rPr>
      <t>floortjeengels@hotmail.com</t>
    </r>
  </si>
  <si>
    <t>Mudde</t>
  </si>
  <si>
    <r>
      <rPr>
        <rFont val="Helvetica Neue"/>
        <color rgb="FF1155CC"/>
        <u/>
      </rPr>
      <t>annelies.mudde@gmail.com</t>
    </r>
  </si>
  <si>
    <t>Helen</t>
  </si>
  <si>
    <t>van Willenswaard</t>
  </si>
  <si>
    <r>
      <rPr>
        <rFont val="Helvetica Neue"/>
        <color rgb="FF1155CC"/>
        <u/>
      </rPr>
      <t>helenvanwillenswaard@yahoo.com</t>
    </r>
  </si>
  <si>
    <t>Thomas</t>
  </si>
  <si>
    <t>Van der vlis</t>
  </si>
  <si>
    <r>
      <rPr>
        <rFont val="Helvetica Neue"/>
        <color rgb="FF1155CC"/>
        <u/>
      </rPr>
      <t>tomsan84@gmail.com</t>
    </r>
  </si>
  <si>
    <t>Lala</t>
  </si>
  <si>
    <r>
      <rPr>
        <rFont val="Helvetica Neue"/>
        <color rgb="FF1155CC"/>
        <u/>
      </rPr>
      <t>evavdhoek@gmail.com</t>
    </r>
  </si>
  <si>
    <t>Mette</t>
  </si>
  <si>
    <t>van de Meent</t>
  </si>
  <si>
    <r>
      <rPr>
        <rFont val="Helvetica Neue"/>
        <color rgb="FF1155CC"/>
        <u/>
      </rPr>
      <t>mettevandemeent@hotmail.com</t>
    </r>
  </si>
  <si>
    <t>#BB-25-7449</t>
  </si>
  <si>
    <t>Asther</t>
  </si>
  <si>
    <t>Boogert</t>
  </si>
  <si>
    <r>
      <rPr>
        <rFont val="Helvetica Neue"/>
        <color rgb="FF1155CC"/>
        <u/>
      </rPr>
      <t>astherdenboogert@hotmail.com</t>
    </r>
  </si>
  <si>
    <t>Anje</t>
  </si>
  <si>
    <t>Broekman</t>
  </si>
  <si>
    <r>
      <rPr>
        <rFont val="Helvetica Neue"/>
        <color rgb="FF1155CC"/>
        <u/>
      </rPr>
      <t>anjebroekman@gmail.com</t>
    </r>
  </si>
  <si>
    <t>#BB-25-7451</t>
  </si>
  <si>
    <t>Verkerk</t>
  </si>
  <si>
    <r>
      <rPr>
        <rFont val="Helvetica Neue"/>
        <color rgb="FF1155CC"/>
        <u/>
      </rPr>
      <t>info@mariekeophetstrand.nl</t>
    </r>
  </si>
  <si>
    <t>Lukas</t>
  </si>
  <si>
    <t>Sloet</t>
  </si>
  <si>
    <r>
      <rPr>
        <rFont val="Helvetica Neue"/>
        <color rgb="FF1155CC"/>
        <u/>
      </rPr>
      <t>lukassloet@gmail.com</t>
    </r>
  </si>
  <si>
    <t>P</t>
  </si>
  <si>
    <t>Hoff</t>
  </si>
  <si>
    <r>
      <rPr>
        <rFont val="Helvetica Neue"/>
        <color rgb="FF1155CC"/>
        <u/>
      </rPr>
      <t>tortugayogi@protonmail.com</t>
    </r>
  </si>
  <si>
    <t>Stads</t>
  </si>
  <si>
    <r>
      <rPr>
        <rFont val="Helvetica Neue"/>
        <color rgb="FF1155CC"/>
        <u/>
      </rPr>
      <t>jasper_stads@live.nl</t>
    </r>
  </si>
  <si>
    <t>Duys</t>
  </si>
  <si>
    <r>
      <rPr>
        <rFont val="Helvetica Neue"/>
        <color rgb="FF1155CC"/>
        <u/>
      </rPr>
      <t>tinekeduys@gmail.com</t>
    </r>
  </si>
  <si>
    <t>Stephanie</t>
  </si>
  <si>
    <t>Knelange</t>
  </si>
  <si>
    <r>
      <rPr>
        <rFont val="Helvetica Neue"/>
        <color rgb="FF1155CC"/>
        <u/>
      </rPr>
      <t>stephanieknelange@gmail.com</t>
    </r>
  </si>
  <si>
    <t>van Leeuwen</t>
  </si>
  <si>
    <r>
      <rPr>
        <rFont val="Helvetica Neue"/>
        <color rgb="FF1155CC"/>
        <u/>
      </rPr>
      <t>j.vanleeuwen1965@gmail.com</t>
    </r>
  </si>
  <si>
    <t>Freek</t>
  </si>
  <si>
    <t>de Kort</t>
  </si>
  <si>
    <r>
      <rPr>
        <rFont val="Helvetica Neue"/>
        <color rgb="FF1155CC"/>
        <u/>
      </rPr>
      <t>freekdekort@gmail.com</t>
    </r>
  </si>
  <si>
    <t>Henriette</t>
  </si>
  <si>
    <t>Van woudenberg</t>
  </si>
  <si>
    <r>
      <rPr>
        <rFont val="Helvetica Neue"/>
        <color rgb="FF1155CC"/>
        <u/>
      </rPr>
      <t>henriettevanwoudenberg@gmail.com</t>
    </r>
  </si>
  <si>
    <t>Berbers</t>
  </si>
  <si>
    <r>
      <rPr>
        <rFont val="Helvetica Neue"/>
        <color rgb="FF1155CC"/>
        <u/>
      </rPr>
      <t>roosberbers@gmail.com</t>
    </r>
  </si>
  <si>
    <t>Sharon</t>
  </si>
  <si>
    <t>Schering</t>
  </si>
  <si>
    <r>
      <rPr>
        <rFont val="Helvetica Neue"/>
        <color rgb="FF1155CC"/>
        <u/>
      </rPr>
      <t>sharonschering@hotmail.com</t>
    </r>
  </si>
  <si>
    <t>Kengen</t>
  </si>
  <si>
    <r>
      <rPr>
        <rFont val="Helvetica Neue"/>
        <color rgb="FF1155CC"/>
        <u/>
      </rPr>
      <t>loeskengen@live.nl</t>
    </r>
  </si>
  <si>
    <t>Hoedt</t>
  </si>
  <si>
    <r>
      <rPr>
        <rFont val="Helvetica Neue"/>
        <color rgb="FF1155CC"/>
        <u/>
      </rPr>
      <t>mitchelhoedt@gmail.com</t>
    </r>
  </si>
  <si>
    <t>Elsbeth</t>
  </si>
  <si>
    <t>Van Rees</t>
  </si>
  <si>
    <r>
      <rPr>
        <rFont val="Helvetica Neue"/>
        <color rgb="FF1155CC"/>
        <u/>
      </rPr>
      <t>etvrees@hotmail.com</t>
    </r>
  </si>
  <si>
    <t>#BB-25-7465</t>
  </si>
  <si>
    <t>Stefanie</t>
  </si>
  <si>
    <t>Van der meijden</t>
  </si>
  <si>
    <r>
      <rPr>
        <rFont val="Helvetica Neue"/>
        <color rgb="FF1155CC"/>
        <u/>
      </rPr>
      <t>stefanievdmeijden@gmail.com</t>
    </r>
  </si>
  <si>
    <t>Dedden</t>
  </si>
  <si>
    <r>
      <rPr>
        <rFont val="Helvetica Neue"/>
        <color rgb="FF1155CC"/>
        <u/>
      </rPr>
      <t>sjdedden@gmail.com</t>
    </r>
  </si>
  <si>
    <t>Bianca</t>
  </si>
  <si>
    <t>van de Voort</t>
  </si>
  <si>
    <r>
      <rPr>
        <rFont val="Helvetica Neue"/>
        <color rgb="FF1155CC"/>
        <u/>
      </rPr>
      <t>biancavandevoort91@gmail.com</t>
    </r>
  </si>
  <si>
    <t>Kooijmans</t>
  </si>
  <si>
    <r>
      <rPr>
        <rFont val="Helvetica Neue"/>
        <color rgb="FF1155CC"/>
        <u/>
      </rPr>
      <t>carlijnkooijmans@gmail.com</t>
    </r>
  </si>
  <si>
    <t>Boterman</t>
  </si>
  <si>
    <r>
      <rPr>
        <rFont val="Helvetica Neue"/>
        <color rgb="FF1155CC"/>
        <u/>
      </rPr>
      <t>merel@boterman.nl</t>
    </r>
  </si>
  <si>
    <t>Erik</t>
  </si>
  <si>
    <t>Van de Winkel</t>
  </si>
  <si>
    <r>
      <rPr>
        <rFont val="Helvetica Neue"/>
        <color rgb="FF1155CC"/>
        <u/>
      </rPr>
      <t>e.van.de.winkel@gmail.com</t>
    </r>
  </si>
  <si>
    <t>Bernadette</t>
  </si>
  <si>
    <t>Elders</t>
  </si>
  <si>
    <r>
      <rPr>
        <rFont val="Helvetica Neue"/>
        <color rgb="FF1155CC"/>
        <u/>
      </rPr>
      <t>bernadette.elders@gmail.com</t>
    </r>
  </si>
  <si>
    <t>paul</t>
  </si>
  <si>
    <t>koorn</t>
  </si>
  <si>
    <r>
      <rPr>
        <rFont val="Helvetica Neue"/>
        <color rgb="FF1155CC"/>
        <u/>
      </rPr>
      <t>hutchingson@yur.nl</t>
    </r>
  </si>
  <si>
    <t>Voskamp</t>
  </si>
  <si>
    <r>
      <rPr>
        <rFont val="Helvetica Neue"/>
        <color rgb="FF1155CC"/>
        <u/>
      </rPr>
      <t>annevoskamp@gmail.com</t>
    </r>
  </si>
  <si>
    <t>Sem</t>
  </si>
  <si>
    <t>van den Tillaar</t>
  </si>
  <si>
    <r>
      <rPr>
        <rFont val="Helvetica Neue"/>
        <color rgb="FF1155CC"/>
        <u/>
      </rPr>
      <t>baconbeanz@gmail.com</t>
    </r>
  </si>
  <si>
    <r>
      <rPr>
        <rFont val="Helvetica Neue"/>
        <color rgb="FF1155CC"/>
        <u/>
      </rPr>
      <t>baconbeanz@gmail.com</t>
    </r>
  </si>
  <si>
    <t>Kamp</t>
  </si>
  <si>
    <r>
      <rPr>
        <rFont val="Helvetica Neue"/>
        <color rgb="FF1155CC"/>
        <u/>
      </rPr>
      <t>mi_kamp@yahoo.com</t>
    </r>
  </si>
  <si>
    <t>Paans</t>
  </si>
  <si>
    <r>
      <rPr>
        <rFont val="Helvetica Neue"/>
        <color rgb="FF1155CC"/>
        <u/>
      </rPr>
      <t>mariskapaans@hotmail.com</t>
    </r>
  </si>
  <si>
    <t>Verkooijen</t>
  </si>
  <si>
    <r>
      <rPr>
        <rFont val="Helvetica Neue"/>
        <color rgb="FF1155CC"/>
        <u/>
      </rPr>
      <t>sanneverkooijen@gmail.com</t>
    </r>
  </si>
  <si>
    <t>Sannah</t>
  </si>
  <si>
    <t>Scholtes</t>
  </si>
  <si>
    <r>
      <rPr>
        <rFont val="Helvetica Neue"/>
        <color rgb="FF1155CC"/>
        <u/>
      </rPr>
      <t>sannahscholtes@gmail.com</t>
    </r>
  </si>
  <si>
    <t>Van hek</t>
  </si>
  <si>
    <r>
      <rPr>
        <rFont val="Helvetica Neue"/>
        <color rgb="FF1155CC"/>
        <u/>
      </rPr>
      <t>marjoleinvanhek@hotmail.com</t>
    </r>
  </si>
  <si>
    <t>Jessie</t>
  </si>
  <si>
    <t>Joosse</t>
  </si>
  <si>
    <r>
      <rPr>
        <rFont val="Helvetica Neue"/>
        <color rgb="FF1155CC"/>
        <u/>
      </rPr>
      <t>jessiejoosse@gmail.com</t>
    </r>
  </si>
  <si>
    <t>Gitta</t>
  </si>
  <si>
    <t>Glerum</t>
  </si>
  <si>
    <r>
      <rPr>
        <rFont val="Helvetica Neue"/>
        <color rgb="FF1155CC"/>
        <u/>
      </rPr>
      <t>gittcamff@gmail.com</t>
    </r>
  </si>
  <si>
    <t>Darragh</t>
  </si>
  <si>
    <t>Copley</t>
  </si>
  <si>
    <r>
      <rPr>
        <rFont val="Helvetica Neue"/>
        <color rgb="FF1155CC"/>
        <u/>
      </rPr>
      <t>moment-formal-5x@icloud.com</t>
    </r>
  </si>
  <si>
    <t>Platenkamp</t>
  </si>
  <si>
    <r>
      <rPr>
        <rFont val="Helvetica Neue"/>
        <color rgb="FF1155CC"/>
        <u/>
      </rPr>
      <t>mariekeplatenkamp@hotmail.com</t>
    </r>
  </si>
  <si>
    <t>Karien</t>
  </si>
  <si>
    <t>Hofhuis</t>
  </si>
  <si>
    <r>
      <rPr>
        <rFont val="Helvetica Neue"/>
        <color rgb="FF1155CC"/>
        <u/>
      </rPr>
      <t>karienhofhuis@gmail.com</t>
    </r>
  </si>
  <si>
    <t>Gerson</t>
  </si>
  <si>
    <t>Moolenbroek</t>
  </si>
  <si>
    <r>
      <rPr>
        <rFont val="Helvetica Neue"/>
        <color rgb="FF1155CC"/>
        <u/>
      </rPr>
      <t>gvanmoolenbroek@hotmail.com</t>
    </r>
  </si>
  <si>
    <t>Bart</t>
  </si>
  <si>
    <t>van den Heuvel</t>
  </si>
  <si>
    <r>
      <rPr>
        <rFont val="Helvetica Neue"/>
        <color rgb="FF1155CC"/>
        <u/>
      </rPr>
      <t>vandenheuvel.bart@gmail.com</t>
    </r>
  </si>
  <si>
    <t>Rachel</t>
  </si>
  <si>
    <t>van Egeraat-Verbeek</t>
  </si>
  <si>
    <r>
      <rPr>
        <rFont val="Helvetica Neue"/>
        <color rgb="FF1155CC"/>
        <u/>
      </rPr>
      <t>rachelverbeek@gmail.com</t>
    </r>
  </si>
  <si>
    <t>Tammi</t>
  </si>
  <si>
    <t>Horn</t>
  </si>
  <si>
    <r>
      <rPr>
        <rFont val="Helvetica Neue"/>
        <color rgb="FF1155CC"/>
        <u/>
      </rPr>
      <t>horn.tammi@gmail.com</t>
    </r>
  </si>
  <si>
    <t>Van den Brenk</t>
  </si>
  <si>
    <r>
      <rPr>
        <rFont val="Helvetica Neue"/>
        <color rgb="FF1155CC"/>
        <u/>
      </rPr>
      <t>leilamekki7@gmail.com</t>
    </r>
  </si>
  <si>
    <t>Angelique</t>
  </si>
  <si>
    <t>De Rop</t>
  </si>
  <si>
    <r>
      <rPr>
        <rFont val="Helvetica Neue"/>
        <color rgb="FF1155CC"/>
        <u/>
      </rPr>
      <t>angeliquederop@gmail.com</t>
    </r>
  </si>
  <si>
    <t>Anja</t>
  </si>
  <si>
    <r>
      <rPr>
        <rFont val="Helvetica Neue"/>
        <color rgb="FF1155CC"/>
        <u/>
      </rPr>
      <t>anja.beverwijk@gmail.com</t>
    </r>
  </si>
  <si>
    <t>Willems</t>
  </si>
  <si>
    <r>
      <rPr>
        <rFont val="Helvetica Neue"/>
        <color rgb="FF1155CC"/>
        <u/>
      </rPr>
      <t>ellen.s.willems@gmail.com</t>
    </r>
  </si>
  <si>
    <t>Van Zwet</t>
  </si>
  <si>
    <r>
      <rPr>
        <rFont val="Helvetica Neue"/>
        <color rgb="FF1155CC"/>
        <u/>
      </rPr>
      <t>info@depolderij.nl</t>
    </r>
  </si>
  <si>
    <t>Giesberts</t>
  </si>
  <si>
    <r>
      <rPr>
        <rFont val="Helvetica Neue"/>
        <color rgb="FF1155CC"/>
        <u/>
      </rPr>
      <t>joost_giesberts@hotmail.com</t>
    </r>
  </si>
  <si>
    <t>Meurs</t>
  </si>
  <si>
    <r>
      <rPr>
        <rFont val="Helvetica Neue"/>
        <color rgb="FF1155CC"/>
        <u/>
      </rPr>
      <t>laurameurs1@gmail.com</t>
    </r>
  </si>
  <si>
    <r>
      <rPr>
        <rFont val="Helvetica Neue"/>
        <color rgb="FF1155CC"/>
        <u/>
      </rPr>
      <t>pero.vandenberg@gmail.com</t>
    </r>
  </si>
  <si>
    <r>
      <rPr>
        <rFont val="Helvetica Neue"/>
        <color rgb="FF1155CC"/>
        <u/>
      </rPr>
      <t>jannekevanegmond@gmail.com</t>
    </r>
  </si>
  <si>
    <t>Maita</t>
  </si>
  <si>
    <t>Vermeulen</t>
  </si>
  <si>
    <r>
      <rPr>
        <rFont val="Helvetica Neue"/>
        <color rgb="FF1155CC"/>
        <u/>
      </rPr>
      <t>maitavermeulen@gmail.com</t>
    </r>
  </si>
  <si>
    <t>Peters</t>
  </si>
  <si>
    <r>
      <rPr>
        <rFont val="Helvetica Neue"/>
        <color rgb="FF1155CC"/>
        <u/>
      </rPr>
      <t>petersth@xs4all.nl</t>
    </r>
  </si>
  <si>
    <t>Willeke</t>
  </si>
  <si>
    <t>Naaktgeboren</t>
  </si>
  <si>
    <r>
      <rPr>
        <rFont val="Helvetica Neue"/>
        <color rgb="FF1155CC"/>
        <u/>
      </rPr>
      <t>willekenaaktgeboren@gmail.com</t>
    </r>
  </si>
  <si>
    <t>Laurence</t>
  </si>
  <si>
    <t>Van den Broek</t>
  </si>
  <si>
    <r>
      <rPr>
        <rFont val="Helvetica Neue"/>
        <color rgb="FF1155CC"/>
        <u/>
      </rPr>
      <t>lautje42@msn.com</t>
    </r>
  </si>
  <si>
    <t>van der Tas</t>
  </si>
  <si>
    <r>
      <rPr>
        <rFont val="Helvetica Neue"/>
        <color rgb="FF1155CC"/>
        <u/>
      </rPr>
      <t>rosavandertas@gmail.com</t>
    </r>
  </si>
  <si>
    <t>Chianna</t>
  </si>
  <si>
    <t>Shah</t>
  </si>
  <si>
    <r>
      <rPr>
        <rFont val="Helvetica Neue"/>
        <color rgb="FF1155CC"/>
        <u/>
      </rPr>
      <t>chianna1999@gmail.com</t>
    </r>
  </si>
  <si>
    <t>#BB-25-7516</t>
  </si>
  <si>
    <t>Denutte</t>
  </si>
  <si>
    <t>ANTWERPEN-DILLE-KAMILLE-BOOM-MET-BORG-100-125 CM</t>
  </si>
  <si>
    <t>Antwerpen Dille &amp; Kamille - BB met kluit (incl. €10 borg) - 100-125 cm</t>
  </si>
  <si>
    <r>
      <rPr>
        <rFont val="Helvetica Neue"/>
        <color rgb="FF1155CC"/>
        <u/>
      </rPr>
      <t>stefaniedenutte@hotmail.com</t>
    </r>
  </si>
  <si>
    <t>Zora</t>
  </si>
  <si>
    <t>Westbroek</t>
  </si>
  <si>
    <r>
      <rPr>
        <rFont val="Helvetica Neue"/>
        <color rgb="FF1155CC"/>
        <u/>
      </rPr>
      <t>zoraviviane@gmail.com</t>
    </r>
  </si>
  <si>
    <t>Isabelle</t>
  </si>
  <si>
    <t>Storimans</t>
  </si>
  <si>
    <r>
      <rPr>
        <rFont val="Helvetica Neue"/>
        <color rgb="FF1155CC"/>
        <u/>
      </rPr>
      <t>isabellestorimans@xs4all.nl</t>
    </r>
  </si>
  <si>
    <t>van Tamelen</t>
  </si>
  <si>
    <r>
      <rPr>
        <rFont val="Helvetica Neue"/>
        <color rgb="FF1155CC"/>
        <u/>
      </rPr>
      <t>lmvantamelen@yahoo.com</t>
    </r>
  </si>
  <si>
    <t>Karen</t>
  </si>
  <si>
    <t>Heuvelmans</t>
  </si>
  <si>
    <r>
      <rPr>
        <rFont val="Helvetica Neue"/>
        <color rgb="FF1155CC"/>
        <u/>
      </rPr>
      <t>karen.heuvelmans@gmail.com</t>
    </r>
  </si>
  <si>
    <r>
      <rPr>
        <rFont val="Helvetica Neue"/>
        <color rgb="FF1155CC"/>
        <u/>
      </rPr>
      <t>visser.jasper@gmail.com</t>
    </r>
  </si>
  <si>
    <t>Post</t>
  </si>
  <si>
    <r>
      <rPr>
        <rFont val="Helvetica Neue"/>
        <color rgb="FF1155CC"/>
        <u/>
      </rPr>
      <t>marieke.sekssoa@gmail.com</t>
    </r>
  </si>
  <si>
    <t>Jana</t>
  </si>
  <si>
    <t>Witteman</t>
  </si>
  <si>
    <r>
      <rPr>
        <rFont val="Helvetica Neue"/>
        <color rgb="FF1155CC"/>
        <u/>
      </rPr>
      <t>janawitteman@hotmail.com</t>
    </r>
  </si>
  <si>
    <t>Nels</t>
  </si>
  <si>
    <t>Wichers</t>
  </si>
  <si>
    <r>
      <rPr>
        <rFont val="Helvetica Neue"/>
        <color rgb="FF1155CC"/>
        <u/>
      </rPr>
      <t>nelswichers@gmail.com</t>
    </r>
  </si>
  <si>
    <t>Hanee</t>
  </si>
  <si>
    <t>Dentz</t>
  </si>
  <si>
    <r>
      <rPr>
        <rFont val="Helvetica Neue"/>
        <color rgb="FF1155CC"/>
        <u/>
      </rPr>
      <t>haneemarc@hotmail.com</t>
    </r>
  </si>
  <si>
    <t>#BB-25-7534</t>
  </si>
  <si>
    <t>Senders</t>
  </si>
  <si>
    <r>
      <rPr>
        <rFont val="Helvetica Neue"/>
        <color rgb="FF1155CC"/>
        <u/>
      </rPr>
      <t>mariasophiasenders@gmail.com</t>
    </r>
  </si>
  <si>
    <t>Langer</t>
  </si>
  <si>
    <r>
      <rPr>
        <rFont val="Helvetica Neue"/>
        <color rgb="FF1155CC"/>
        <u/>
      </rPr>
      <t>kim.langer@outlook.com</t>
    </r>
  </si>
  <si>
    <t>Veerle</t>
  </si>
  <si>
    <t>Cima</t>
  </si>
  <si>
    <r>
      <rPr>
        <rFont val="Helvetica Neue"/>
        <color rgb="FF1155CC"/>
        <u/>
      </rPr>
      <t>veerlecima@gmail.com</t>
    </r>
  </si>
  <si>
    <t>Alfred</t>
  </si>
  <si>
    <t>Buunk</t>
  </si>
  <si>
    <r>
      <rPr>
        <rFont val="Helvetica Neue"/>
        <color rgb="FF1155CC"/>
        <u/>
      </rPr>
      <t>alfredbuunk@tiscali.nl</t>
    </r>
  </si>
  <si>
    <t>Phaedra</t>
  </si>
  <si>
    <r>
      <rPr>
        <rFont val="Helvetica Neue"/>
        <color rgb="FF1155CC"/>
        <u/>
      </rPr>
      <t>phaedraprins@gmail.com</t>
    </r>
  </si>
  <si>
    <t>Ivanka</t>
  </si>
  <si>
    <t>Neeleman</t>
  </si>
  <si>
    <r>
      <rPr>
        <rFont val="Helvetica Neue"/>
        <color rgb="FF1155CC"/>
        <u/>
      </rPr>
      <t>ivankagamba@gmail.com</t>
    </r>
  </si>
  <si>
    <t>Lidia</t>
  </si>
  <si>
    <t>da Graca</t>
  </si>
  <si>
    <r>
      <rPr>
        <rFont val="Helvetica Neue"/>
        <color rgb="FF1155CC"/>
        <u/>
      </rPr>
      <t>liedje75@hotmail.com</t>
    </r>
  </si>
  <si>
    <t>Gerdien</t>
  </si>
  <si>
    <t>van der Zwaag</t>
  </si>
  <si>
    <r>
      <rPr>
        <rFont val="Helvetica Neue"/>
        <color rgb="FF1155CC"/>
        <u/>
      </rPr>
      <t>gerdienvdzwaag@hotmail.com</t>
    </r>
  </si>
  <si>
    <t>Roman</t>
  </si>
  <si>
    <t>Meijsen</t>
  </si>
  <si>
    <r>
      <rPr>
        <rFont val="Helvetica Neue"/>
        <color rgb="FF1155CC"/>
        <u/>
      </rPr>
      <t>jolienvandermeer@gmail.com</t>
    </r>
  </si>
  <si>
    <t>Esendam</t>
  </si>
  <si>
    <r>
      <rPr>
        <rFont val="Helvetica Neue"/>
        <color rgb="FF1155CC"/>
        <u/>
      </rPr>
      <t>dorien_esendam@hotmail.com</t>
    </r>
  </si>
  <si>
    <t>Natascha</t>
  </si>
  <si>
    <r>
      <rPr>
        <rFont val="Helvetica Neue"/>
        <color rgb="FF1155CC"/>
        <u/>
      </rPr>
      <t>nataschamaas@casema.nl</t>
    </r>
  </si>
  <si>
    <t>Manon</t>
  </si>
  <si>
    <t>Vanderlans</t>
  </si>
  <si>
    <r>
      <rPr>
        <rFont val="Helvetica Neue"/>
        <color rgb="FF1155CC"/>
        <u/>
      </rPr>
      <t>manon.vanderlans@upcmail.nl</t>
    </r>
  </si>
  <si>
    <t>Richie</t>
  </si>
  <si>
    <r>
      <rPr>
        <rFont val="Helvetica Neue"/>
        <color rgb="FF1155CC"/>
        <u/>
      </rPr>
      <t>illustrich@gmail.com</t>
    </r>
  </si>
  <si>
    <t>Yma</t>
  </si>
  <si>
    <t>Quentin</t>
  </si>
  <si>
    <r>
      <rPr>
        <rFont val="Helvetica Neue"/>
        <color rgb="FF1155CC"/>
        <u/>
      </rPr>
      <t>ym.quentin@gmail.com</t>
    </r>
  </si>
  <si>
    <t>Nicholls</t>
  </si>
  <si>
    <r>
      <rPr>
        <rFont val="Helvetica Neue"/>
        <color rgb="FF1155CC"/>
        <u/>
      </rPr>
      <t>sarah.a.nicholls@gmail.com</t>
    </r>
  </si>
  <si>
    <t>#BB-25-7552</t>
  </si>
  <si>
    <t>Morren</t>
  </si>
  <si>
    <r>
      <rPr>
        <rFont val="Helvetica Neue"/>
        <color rgb="FF1155CC"/>
        <u/>
      </rPr>
      <t>marcmorren@hotmail.com</t>
    </r>
  </si>
  <si>
    <t>#BB-25-7553</t>
  </si>
  <si>
    <t>Hilde</t>
  </si>
  <si>
    <t>Wijnen</t>
  </si>
  <si>
    <r>
      <rPr>
        <rFont val="Helvetica Neue"/>
        <color rgb="FF1155CC"/>
        <u/>
      </rPr>
      <t>hildewijn@hotmail.com</t>
    </r>
  </si>
  <si>
    <t>Floor</t>
  </si>
  <si>
    <t>Stadhouders</t>
  </si>
  <si>
    <r>
      <rPr>
        <rFont val="Helvetica Neue"/>
        <color rgb="FF1155CC"/>
        <u/>
      </rPr>
      <t>fstadhouders@msn.com</t>
    </r>
  </si>
  <si>
    <t>quirine</t>
  </si>
  <si>
    <t>faber</t>
  </si>
  <si>
    <r>
      <rPr>
        <rFont val="Helvetica Neue"/>
        <color rgb="FF1155CC"/>
        <u/>
      </rPr>
      <t>quirinefaber@hotmail.com</t>
    </r>
  </si>
  <si>
    <t>Fenna</t>
  </si>
  <si>
    <t>Breitbarth</t>
  </si>
  <si>
    <r>
      <rPr>
        <rFont val="Helvetica Neue"/>
        <color rgb="FF1155CC"/>
        <u/>
      </rPr>
      <t>famdocherty@gmail.com</t>
    </r>
  </si>
  <si>
    <t>Bottelier</t>
  </si>
  <si>
    <r>
      <rPr>
        <rFont val="Helvetica Neue"/>
        <color rgb="FF1155CC"/>
        <u/>
      </rPr>
      <t>mhbottelier@gmail.com</t>
    </r>
  </si>
  <si>
    <t>Broos</t>
  </si>
  <si>
    <r>
      <rPr>
        <rFont val="Helvetica Neue"/>
        <color rgb="FF1155CC"/>
        <u/>
      </rPr>
      <t>vergeerbroos@gmail.com</t>
    </r>
  </si>
  <si>
    <t>Annemarijn</t>
  </si>
  <si>
    <t>Dijkstra</t>
  </si>
  <si>
    <r>
      <rPr>
        <rFont val="Helvetica Neue"/>
        <color rgb="FF1155CC"/>
        <u/>
      </rPr>
      <t>dijkstra.annemarijn@gmail.com</t>
    </r>
  </si>
  <si>
    <t>De Graaf</t>
  </si>
  <si>
    <r>
      <rPr>
        <rFont val="Helvetica Neue"/>
        <color rgb="FF1155CC"/>
        <u/>
      </rPr>
      <t>marleensdegraaf@hotmail.com</t>
    </r>
  </si>
  <si>
    <t>Annewil</t>
  </si>
  <si>
    <t>Klont</t>
  </si>
  <si>
    <r>
      <rPr>
        <rFont val="Helvetica Neue"/>
        <color rgb="FF1155CC"/>
        <u/>
      </rPr>
      <t>annewilklont@gmail.com</t>
    </r>
  </si>
  <si>
    <t>Duikersloot</t>
  </si>
  <si>
    <r>
      <rPr>
        <rFont val="Helvetica Neue"/>
        <color rgb="FF1155CC"/>
        <u/>
      </rPr>
      <t>stefanduikerslootdesign@gmail.com</t>
    </r>
  </si>
  <si>
    <t>Francesca</t>
  </si>
  <si>
    <t>Hobbs</t>
  </si>
  <si>
    <r>
      <rPr>
        <rFont val="Helvetica Neue"/>
        <color rgb="FF1155CC"/>
        <u/>
      </rPr>
      <t>francescahobbs1@gmail.com</t>
    </r>
  </si>
  <si>
    <t>Rigters</t>
  </si>
  <si>
    <r>
      <rPr>
        <rFont val="Helvetica Neue"/>
        <color rgb="FF1155CC"/>
        <u/>
      </rPr>
      <t>michielrigters@gmail.com</t>
    </r>
  </si>
  <si>
    <t>Aimee</t>
  </si>
  <si>
    <r>
      <rPr>
        <rFont val="Helvetica Neue"/>
        <color rgb="FF1155CC"/>
        <u/>
      </rPr>
      <t>aimeehonig@gmail.com</t>
    </r>
  </si>
  <si>
    <t>Nobbenhuis</t>
  </si>
  <si>
    <r>
      <rPr>
        <rFont val="Helvetica Neue"/>
        <color rgb="FF1155CC"/>
        <u/>
      </rPr>
      <t>enobbenhuis@gmail.com</t>
    </r>
  </si>
  <si>
    <t>Remo</t>
  </si>
  <si>
    <t>Kleij</t>
  </si>
  <si>
    <r>
      <rPr>
        <rFont val="Helvetica Neue"/>
        <color rgb="FF1155CC"/>
        <u/>
      </rPr>
      <t>remokleij@gmail.com</t>
    </r>
  </si>
  <si>
    <t>Enneking</t>
  </si>
  <si>
    <r>
      <rPr>
        <rFont val="Helvetica Neue"/>
        <color rgb="FF1155CC"/>
        <u/>
      </rPr>
      <t>m_enneking@hotmail.com</t>
    </r>
  </si>
  <si>
    <t>Carola</t>
  </si>
  <si>
    <t>Heijs</t>
  </si>
  <si>
    <r>
      <rPr>
        <rFont val="Helvetica Neue"/>
        <color rgb="FF1155CC"/>
        <u/>
      </rPr>
      <t>carolaheijs@gmail.com</t>
    </r>
  </si>
  <si>
    <t>Madeleine</t>
  </si>
  <si>
    <t>De Haan</t>
  </si>
  <si>
    <r>
      <rPr>
        <rFont val="Helvetica Neue"/>
        <color rgb="FF1155CC"/>
        <u/>
      </rPr>
      <t>madeleinedehaan@hotmail.com</t>
    </r>
  </si>
  <si>
    <t>van Baal</t>
  </si>
  <si>
    <r>
      <rPr>
        <rFont val="Helvetica Neue"/>
        <color rgb="FF1155CC"/>
        <u/>
      </rPr>
      <t>bvanbaal@gmail.com</t>
    </r>
  </si>
  <si>
    <t>Nick</t>
  </si>
  <si>
    <t>Kelderman</t>
  </si>
  <si>
    <r>
      <rPr>
        <rFont val="Helvetica Neue"/>
        <color rgb="FF1155CC"/>
        <u/>
      </rPr>
      <t>nick.kelderman@gmail.com</t>
    </r>
  </si>
  <si>
    <t>Marjolijn</t>
  </si>
  <si>
    <t>Admiraal</t>
  </si>
  <si>
    <r>
      <rPr>
        <rFont val="Helvetica Neue"/>
        <color rgb="FF1155CC"/>
        <u/>
      </rPr>
      <t>marjolijnvanderhoek@yahoo.com</t>
    </r>
  </si>
  <si>
    <t>Jessica</t>
  </si>
  <si>
    <t>Bowring</t>
  </si>
  <si>
    <r>
      <rPr>
        <rFont val="Helvetica Neue"/>
        <color rgb="FF1155CC"/>
        <u/>
      </rPr>
      <t>jessope@hotmail.com</t>
    </r>
  </si>
  <si>
    <t>Edithe</t>
  </si>
  <si>
    <t>Rot</t>
  </si>
  <si>
    <r>
      <rPr>
        <rFont val="Helvetica Neue"/>
        <color rgb="FF1155CC"/>
        <u/>
      </rPr>
      <t>edithe.rot@gmail.com</t>
    </r>
  </si>
  <si>
    <t>Jos</t>
  </si>
  <si>
    <t>Oosterbroek</t>
  </si>
  <si>
    <r>
      <rPr>
        <rFont val="Helvetica Neue"/>
        <color rgb="FF1155CC"/>
        <u/>
      </rPr>
      <t>oosterbroek84@gmail.com</t>
    </r>
  </si>
  <si>
    <t>#BB-25-7583</t>
  </si>
  <si>
    <t>Schreur</t>
  </si>
  <si>
    <r>
      <rPr>
        <rFont val="Helvetica Neue"/>
        <color rgb="FF1155CC"/>
        <u/>
      </rPr>
      <t>willemijnschreur@hotmail.com</t>
    </r>
  </si>
  <si>
    <t>Leora</t>
  </si>
  <si>
    <r>
      <rPr>
        <rFont val="Helvetica Neue"/>
        <color rgb="FF1155CC"/>
        <u/>
      </rPr>
      <t>leorasmits72@gmail.com</t>
    </r>
  </si>
  <si>
    <t>Laumans</t>
  </si>
  <si>
    <r>
      <rPr>
        <rFont val="Helvetica Neue"/>
        <color rgb="FF1155CC"/>
        <u/>
      </rPr>
      <t>claudiadingen@gmail.com</t>
    </r>
  </si>
  <si>
    <t>Samantha</t>
  </si>
  <si>
    <t>Neary</t>
  </si>
  <si>
    <r>
      <rPr>
        <rFont val="Helvetica Neue"/>
        <color rgb="FF1155CC"/>
        <u/>
      </rPr>
      <t>samantha.neary@hotmail.co.uk</t>
    </r>
  </si>
  <si>
    <r>
      <rPr>
        <rFont val="Helvetica Neue"/>
        <color rgb="FF1155CC"/>
        <u/>
      </rPr>
      <t>inge66.IR@gmail.com</t>
    </r>
  </si>
  <si>
    <t>#BB-25-7590</t>
  </si>
  <si>
    <t>Yasmin</t>
  </si>
  <si>
    <t>Fisser</t>
  </si>
  <si>
    <r>
      <rPr>
        <rFont val="Helvetica Neue"/>
        <color rgb="FF1155CC"/>
        <u/>
      </rPr>
      <t>yasminfisser@outlook.com</t>
    </r>
  </si>
  <si>
    <t>Nollet</t>
  </si>
  <si>
    <r>
      <rPr>
        <rFont val="Helvetica Neue"/>
        <color rgb="FF1155CC"/>
        <u/>
      </rPr>
      <t>hansnollet@outlook.com</t>
    </r>
  </si>
  <si>
    <t>Joris</t>
  </si>
  <si>
    <t>van der Voort</t>
  </si>
  <si>
    <r>
      <rPr>
        <rFont val="Helvetica Neue"/>
        <color rgb="FF1155CC"/>
        <u/>
      </rPr>
      <t>jwvandervoort@hotmail.com</t>
    </r>
  </si>
  <si>
    <t>Heinhuis</t>
  </si>
  <si>
    <r>
      <rPr>
        <rFont val="Helvetica Neue"/>
        <color rgb="FF1155CC"/>
        <u/>
      </rPr>
      <t>a.heinhuis@gmail.com</t>
    </r>
  </si>
  <si>
    <t>floor</t>
  </si>
  <si>
    <t>goddijn</t>
  </si>
  <si>
    <r>
      <rPr>
        <rFont val="Helvetica Neue"/>
        <color rgb="FF1155CC"/>
        <u/>
      </rPr>
      <t>fgoddijn@gmail.com</t>
    </r>
  </si>
  <si>
    <t>van der Grift</t>
  </si>
  <si>
    <r>
      <rPr>
        <rFont val="Helvetica Neue"/>
        <color rgb="FF1155CC"/>
        <u/>
      </rPr>
      <t>machteldvandergrift@gmail.com</t>
    </r>
  </si>
  <si>
    <t>Martha</t>
  </si>
  <si>
    <t>Nabbe</t>
  </si>
  <si>
    <r>
      <rPr>
        <rFont val="Helvetica Neue"/>
        <color rgb="FF1155CC"/>
        <u/>
      </rPr>
      <t>mvanpijlen67@ziggo.nl</t>
    </r>
  </si>
  <si>
    <t>Fleur</t>
  </si>
  <si>
    <t>Valk</t>
  </si>
  <si>
    <r>
      <rPr>
        <rFont val="Helvetica Neue"/>
        <color rgb="FF1155CC"/>
        <u/>
      </rPr>
      <t>fejvalk@gmail.com</t>
    </r>
  </si>
  <si>
    <t>Keijsers</t>
  </si>
  <si>
    <r>
      <rPr>
        <rFont val="Helvetica Neue"/>
        <color rgb="FF1155CC"/>
        <u/>
      </rPr>
      <t>bjl.keijsers@gmail.com</t>
    </r>
  </si>
  <si>
    <t>Libeth</t>
  </si>
  <si>
    <t>Feith</t>
  </si>
  <si>
    <r>
      <rPr>
        <rFont val="Helvetica Neue"/>
        <color rgb="FF1155CC"/>
        <u/>
      </rPr>
      <t>libeth.feith@gmail.com</t>
    </r>
  </si>
  <si>
    <t>Ester</t>
  </si>
  <si>
    <t>Theuerzeit</t>
  </si>
  <si>
    <r>
      <rPr>
        <rFont val="Helvetica Neue"/>
        <color rgb="FF1155CC"/>
        <u/>
      </rPr>
      <t>ester.theuerzeit@gmail.com</t>
    </r>
  </si>
  <si>
    <t>Quirine</t>
  </si>
  <si>
    <r>
      <rPr>
        <rFont val="Helvetica Neue"/>
        <color rgb="FF1155CC"/>
        <u/>
      </rPr>
      <t>quirinesmit@hotmail.com</t>
    </r>
  </si>
  <si>
    <t>Madeliene</t>
  </si>
  <si>
    <t>Koelma-Potuijt</t>
  </si>
  <si>
    <r>
      <rPr>
        <rFont val="Helvetica Neue"/>
        <color rgb="FF1155CC"/>
        <u/>
      </rPr>
      <t>Madelientje84@hotmail.com</t>
    </r>
  </si>
  <si>
    <t>Jose</t>
  </si>
  <si>
    <t>Borghans</t>
  </si>
  <si>
    <r>
      <rPr>
        <rFont val="Helvetica Neue"/>
        <color rgb="FF1155CC"/>
        <u/>
      </rPr>
      <t>philjose12@gmail.com</t>
    </r>
  </si>
  <si>
    <t>Kortekaas</t>
  </si>
  <si>
    <r>
      <rPr>
        <rFont val="Helvetica Neue"/>
        <color rgb="FF1155CC"/>
        <u/>
      </rPr>
      <t>sarah.1205@hotmail.com</t>
    </r>
  </si>
  <si>
    <t>Bente</t>
  </si>
  <si>
    <t>Yedema</t>
  </si>
  <si>
    <r>
      <rPr>
        <rFont val="Helvetica Neue"/>
        <color rgb="FF1155CC"/>
        <u/>
      </rPr>
      <t>bente.yedema@gmail.com</t>
    </r>
  </si>
  <si>
    <t>#BB-25-7613</t>
  </si>
  <si>
    <t>Nadia</t>
  </si>
  <si>
    <t>Ettinger</t>
  </si>
  <si>
    <r>
      <rPr>
        <rFont val="Helvetica Neue"/>
        <color rgb="FF1155CC"/>
        <u/>
      </rPr>
      <t>nadiaettinger124@gmail.com</t>
    </r>
  </si>
  <si>
    <t>Van den Einden</t>
  </si>
  <si>
    <r>
      <rPr>
        <rFont val="Helvetica Neue"/>
        <color rgb="FF1155CC"/>
        <u/>
      </rPr>
      <t>henkvandeneinden@gmail.com</t>
    </r>
  </si>
  <si>
    <t>Juan Pablo</t>
  </si>
  <si>
    <t>Cares</t>
  </si>
  <si>
    <r>
      <rPr>
        <rFont val="Helvetica Neue"/>
        <color rgb="FF1155CC"/>
        <u/>
      </rPr>
      <t>juanpablo.cares@gmail.com</t>
    </r>
  </si>
  <si>
    <t>Romeijn -Snoeks</t>
  </si>
  <si>
    <r>
      <rPr>
        <rFont val="Helvetica Neue"/>
        <color rgb="FF1155CC"/>
        <u/>
      </rPr>
      <t>esthersnoeks1@gmail.com</t>
    </r>
  </si>
  <si>
    <t>Meurders</t>
  </si>
  <si>
    <r>
      <rPr>
        <rFont val="Helvetica Neue"/>
        <color rgb="FF1155CC"/>
        <u/>
      </rPr>
      <t>k.meurders@gmail.com</t>
    </r>
  </si>
  <si>
    <t>Elzebroek</t>
  </si>
  <si>
    <r>
      <rPr>
        <rFont val="Helvetica Neue"/>
        <color rgb="FF1155CC"/>
        <u/>
      </rPr>
      <t>biancaelzebroek@gmail.com</t>
    </r>
  </si>
  <si>
    <t>Van Pul</t>
  </si>
  <si>
    <r>
      <rPr>
        <rFont val="Helvetica Neue"/>
        <color rgb="FF1155CC"/>
        <u/>
      </rPr>
      <t>josevanpul@hotmail.com</t>
    </r>
  </si>
  <si>
    <t>Martijn</t>
  </si>
  <si>
    <t>Simons</t>
  </si>
  <si>
    <r>
      <rPr>
        <rFont val="Helvetica Neue"/>
        <color rgb="FF1155CC"/>
        <u/>
      </rPr>
      <t>martijnlsimons@gmail.com</t>
    </r>
  </si>
  <si>
    <t>Waagmeester</t>
  </si>
  <si>
    <r>
      <rPr>
        <rFont val="Helvetica Neue"/>
        <color rgb="FF1155CC"/>
        <u/>
      </rPr>
      <t>marjoleinwaagmeester@hotmail.com</t>
    </r>
  </si>
  <si>
    <t>robert</t>
  </si>
  <si>
    <t>de koning</t>
  </si>
  <si>
    <r>
      <rPr>
        <rFont val="Helvetica Neue"/>
        <color rgb="FF1155CC"/>
        <u/>
      </rPr>
      <t>beterboompje@robko.nl</t>
    </r>
  </si>
  <si>
    <t>Brenda</t>
  </si>
  <si>
    <t>Alkemade</t>
  </si>
  <si>
    <r>
      <rPr>
        <rFont val="Helvetica Neue"/>
        <color rgb="FF1155CC"/>
        <u/>
      </rPr>
      <t>brenda.alkemade@icloud.com</t>
    </r>
  </si>
  <si>
    <t>David</t>
  </si>
  <si>
    <t>Zuilhof</t>
  </si>
  <si>
    <r>
      <rPr>
        <rFont val="Helvetica Neue"/>
        <color rgb="FF1155CC"/>
        <u/>
      </rPr>
      <t>davidzuilhof@hotmail.com</t>
    </r>
  </si>
  <si>
    <t>Ruby</t>
  </si>
  <si>
    <t>Veninga</t>
  </si>
  <si>
    <r>
      <rPr>
        <rFont val="Helvetica Neue"/>
        <color rgb="FF1155CC"/>
        <u/>
      </rPr>
      <t>ruby.veninga@hotmail.com</t>
    </r>
  </si>
  <si>
    <t>Ter Meer</t>
  </si>
  <si>
    <r>
      <rPr>
        <rFont val="Helvetica Neue"/>
        <color rgb="FF1155CC"/>
        <u/>
      </rPr>
      <t>btmtermeer@gmail.com</t>
    </r>
  </si>
  <si>
    <t>Priscilla</t>
  </si>
  <si>
    <t>Klein</t>
  </si>
  <si>
    <r>
      <rPr>
        <rFont val="Helvetica Neue"/>
        <color rgb="FF1155CC"/>
        <u/>
      </rPr>
      <t>priscilla.klein@live.nl</t>
    </r>
  </si>
  <si>
    <t>van Oosteren</t>
  </si>
  <si>
    <r>
      <rPr>
        <rFont val="Helvetica Neue"/>
        <color rgb="FF1155CC"/>
        <u/>
      </rPr>
      <t>vanoosterenmarieke@gmail.com</t>
    </r>
  </si>
  <si>
    <t>Celine</t>
  </si>
  <si>
    <t>Pekelder</t>
  </si>
  <si>
    <r>
      <rPr>
        <rFont val="Helvetica Neue"/>
        <color rgb="FF1155CC"/>
        <u/>
      </rPr>
      <t>celine.ten.donkelaar@gmail.com</t>
    </r>
  </si>
  <si>
    <t>Sabine</t>
  </si>
  <si>
    <t>Oudt</t>
  </si>
  <si>
    <r>
      <rPr>
        <rFont val="Helvetica Neue"/>
        <color rgb="FF1155CC"/>
        <u/>
      </rPr>
      <t>sabineoudt@hotmail.com</t>
    </r>
  </si>
  <si>
    <t>Drinhuyzen</t>
  </si>
  <si>
    <r>
      <rPr>
        <rFont val="Helvetica Neue"/>
        <color rgb="FF1155CC"/>
        <u/>
      </rPr>
      <t>lisanne_drinhuyzen@hotmail.com</t>
    </r>
  </si>
  <si>
    <t>Steenbeek</t>
  </si>
  <si>
    <r>
      <rPr>
        <rFont val="Helvetica Neue"/>
        <color rgb="FF1155CC"/>
        <u/>
      </rPr>
      <t>riannesteenbeek@live.nl</t>
    </r>
  </si>
  <si>
    <t>Tillieux</t>
  </si>
  <si>
    <r>
      <rPr>
        <rFont val="Helvetica Neue"/>
        <color rgb="FF1155CC"/>
        <u/>
      </rPr>
      <t>stephanietillieux@gmail.com</t>
    </r>
  </si>
  <si>
    <t>Ageeth</t>
  </si>
  <si>
    <t>Bruinsma</t>
  </si>
  <si>
    <r>
      <rPr>
        <rFont val="Helvetica Neue"/>
        <color rgb="FF1155CC"/>
        <u/>
      </rPr>
      <t>a.j.k.brownie@gmail.com</t>
    </r>
  </si>
  <si>
    <t>Sinha</t>
  </si>
  <si>
    <r>
      <rPr>
        <rFont val="Helvetica Neue"/>
        <color rgb="FF1155CC"/>
        <u/>
      </rPr>
      <t>jolanda.sinha@gmail.com</t>
    </r>
  </si>
  <si>
    <t>Knijnenburg</t>
  </si>
  <si>
    <r>
      <rPr>
        <rFont val="Helvetica Neue"/>
        <color rgb="FF1155CC"/>
        <u/>
      </rPr>
      <t>stefanieknijnenburg@hotmail.com</t>
    </r>
  </si>
  <si>
    <t>Joran</t>
  </si>
  <si>
    <t>van Aart</t>
  </si>
  <si>
    <r>
      <rPr>
        <rFont val="Helvetica Neue"/>
        <color rgb="FF1155CC"/>
        <u/>
      </rPr>
      <t>design@joran.eu</t>
    </r>
  </si>
  <si>
    <t>Gielen</t>
  </si>
  <si>
    <r>
      <rPr>
        <rFont val="Helvetica Neue"/>
        <color rgb="FF1155CC"/>
        <u/>
      </rPr>
      <t>gielen.jf@gmail.com</t>
    </r>
  </si>
  <si>
    <r>
      <rPr>
        <rFont val="Helvetica Neue"/>
        <color rgb="FF1155CC"/>
        <u/>
      </rPr>
      <t>estheroverkleeft@live.nl</t>
    </r>
  </si>
  <si>
    <t>Spaan</t>
  </si>
  <si>
    <r>
      <rPr>
        <rFont val="Helvetica Neue"/>
        <color rgb="FF1155CC"/>
        <u/>
      </rPr>
      <t>jeroen-spaan@hotmail.com</t>
    </r>
  </si>
  <si>
    <t>Kwakernaat</t>
  </si>
  <si>
    <r>
      <rPr>
        <rFont val="Helvetica Neue"/>
        <color rgb="FF1155CC"/>
        <u/>
      </rPr>
      <t>steven.kwakernaat@gmail.com</t>
    </r>
  </si>
  <si>
    <t>van der Vlies</t>
  </si>
  <si>
    <r>
      <rPr>
        <rFont val="Helvetica Neue"/>
        <color rgb="FF1155CC"/>
        <u/>
      </rPr>
      <t>amvandervlies@gmail.com</t>
    </r>
  </si>
  <si>
    <t>Jelmar</t>
  </si>
  <si>
    <t>Wieringa</t>
  </si>
  <si>
    <r>
      <rPr>
        <rFont val="Helvetica Neue"/>
        <color rgb="FF1155CC"/>
        <u/>
      </rPr>
      <t>jelmarwieringa@gmail.com</t>
    </r>
  </si>
  <si>
    <t>Jel</t>
  </si>
  <si>
    <t>de Vet</t>
  </si>
  <si>
    <r>
      <rPr>
        <rFont val="Helvetica Neue"/>
        <color rgb="FF1155CC"/>
        <u/>
      </rPr>
      <t>jeldevet@gmail.com</t>
    </r>
  </si>
  <si>
    <t>Sven</t>
  </si>
  <si>
    <t>Hamerpagt</t>
  </si>
  <si>
    <r>
      <rPr>
        <rFont val="Helvetica Neue"/>
        <color rgb="FF1155CC"/>
        <u/>
      </rPr>
      <t>sven@projectwildeman.nl</t>
    </r>
  </si>
  <si>
    <t>Coen</t>
  </si>
  <si>
    <t>Schippers</t>
  </si>
  <si>
    <r>
      <rPr>
        <rFont val="Helvetica Neue"/>
        <color rgb="FF1155CC"/>
        <u/>
      </rPr>
      <t>coenschippers@gmail.com</t>
    </r>
  </si>
  <si>
    <t>Covizzi</t>
  </si>
  <si>
    <r>
      <rPr>
        <rFont val="Helvetica Neue"/>
        <color rgb="FF1155CC"/>
        <u/>
      </rPr>
      <t>alexcovizzi@gmail.com</t>
    </r>
  </si>
  <si>
    <t>Regina</t>
  </si>
  <si>
    <t>Rijpkema</t>
  </si>
  <si>
    <r>
      <rPr>
        <rFont val="Helvetica Neue"/>
        <color rgb="FF1155CC"/>
        <u/>
      </rPr>
      <t>reginarijpkema@gmail.com</t>
    </r>
  </si>
  <si>
    <t>Mirthe</t>
  </si>
  <si>
    <t>van Nimwegen</t>
  </si>
  <si>
    <r>
      <rPr>
        <rFont val="Helvetica Neue"/>
        <color rgb="FF1155CC"/>
        <u/>
      </rPr>
      <t>mirthe.nimwegen@gmail.com</t>
    </r>
  </si>
  <si>
    <r>
      <rPr>
        <rFont val="Helvetica Neue"/>
        <color rgb="FF1155CC"/>
        <u/>
      </rPr>
      <t>reginarijpkema@gmail.com</t>
    </r>
  </si>
  <si>
    <t>van Bergen</t>
  </si>
  <si>
    <r>
      <rPr>
        <rFont val="Helvetica Neue"/>
        <color rgb="FF1155CC"/>
        <u/>
      </rPr>
      <t>anisu@posteo.net</t>
    </r>
  </si>
  <si>
    <t>Burgering</t>
  </si>
  <si>
    <r>
      <rPr>
        <rFont val="Helvetica Neue"/>
        <color rgb="FF1155CC"/>
        <u/>
      </rPr>
      <t>evaburgering@hotmail.com</t>
    </r>
  </si>
  <si>
    <t>Gorkem</t>
  </si>
  <si>
    <t>Kaya</t>
  </si>
  <si>
    <r>
      <rPr>
        <rFont val="Helvetica Neue"/>
        <color rgb="FF1155CC"/>
        <u/>
      </rPr>
      <t>kayagorkem@yahoo.com</t>
    </r>
  </si>
  <si>
    <t>Verstraten</t>
  </si>
  <si>
    <r>
      <rPr>
        <rFont val="Helvetica Neue"/>
        <color rgb="FF1155CC"/>
        <u/>
      </rPr>
      <t>marjoleinverstraten@hotmail.com</t>
    </r>
  </si>
  <si>
    <t>Stef</t>
  </si>
  <si>
    <t>van der Made</t>
  </si>
  <si>
    <r>
      <rPr>
        <rFont val="Helvetica Neue"/>
        <color rgb="FF1155CC"/>
        <u/>
      </rPr>
      <t>svandermade@gmail.com</t>
    </r>
  </si>
  <si>
    <t>Deniz</t>
  </si>
  <si>
    <t>Kabuk</t>
  </si>
  <si>
    <r>
      <rPr>
        <rFont val="Helvetica Neue"/>
        <color rgb="FF1155CC"/>
        <u/>
      </rPr>
      <t>denizkabuk@hotmail.com</t>
    </r>
  </si>
  <si>
    <t>Van Duijn</t>
  </si>
  <si>
    <r>
      <rPr>
        <rFont val="Helvetica Neue"/>
        <color rgb="FF1155CC"/>
        <u/>
      </rPr>
      <t>hilde.en.thomas@gmail.com</t>
    </r>
  </si>
  <si>
    <t>Jenneke</t>
  </si>
  <si>
    <t>Cranston</t>
  </si>
  <si>
    <r>
      <rPr>
        <rFont val="Helvetica Neue"/>
        <color rgb="FF1155CC"/>
        <u/>
      </rPr>
      <t>jenneke.cranston@gmail.com</t>
    </r>
  </si>
  <si>
    <t>Tjitske</t>
  </si>
  <si>
    <t>Mussche</t>
  </si>
  <si>
    <r>
      <rPr>
        <rFont val="Helvetica Neue"/>
        <color rgb="FF1155CC"/>
        <u/>
      </rPr>
      <t>tjitske.mussche@gmail.com</t>
    </r>
  </si>
  <si>
    <t>Van Brummen Grisnigt</t>
  </si>
  <si>
    <r>
      <rPr>
        <rFont val="Helvetica Neue"/>
        <color rgb="FF1155CC"/>
        <u/>
      </rPr>
      <t>mirjamgrisnigt@gmail.com</t>
    </r>
  </si>
  <si>
    <t>Harte-van der Sluys</t>
  </si>
  <si>
    <r>
      <rPr>
        <rFont val="Helvetica Neue"/>
        <color rgb="FF1155CC"/>
        <u/>
      </rPr>
      <t>ninavandersluys@gmail.com</t>
    </r>
  </si>
  <si>
    <t>Sasja</t>
  </si>
  <si>
    <t>Heetveld</t>
  </si>
  <si>
    <r>
      <rPr>
        <rFont val="Helvetica Neue"/>
        <color rgb="FF1155CC"/>
        <u/>
      </rPr>
      <t>sasjaheetveld@gmail.com</t>
    </r>
  </si>
  <si>
    <t>Krediet</t>
  </si>
  <si>
    <r>
      <rPr>
        <rFont val="Helvetica Neue"/>
        <color rgb="FF1155CC"/>
        <u/>
      </rPr>
      <t>lottekrediet@gmail.com</t>
    </r>
  </si>
  <si>
    <t>Amber</t>
  </si>
  <si>
    <t>Kroon</t>
  </si>
  <si>
    <r>
      <rPr>
        <rFont val="Helvetica Neue"/>
        <color rgb="FF1155CC"/>
        <u/>
      </rPr>
      <t>als.kroon@gmail.com</t>
    </r>
  </si>
  <si>
    <t>Dieke</t>
  </si>
  <si>
    <t>Hoftijzer</t>
  </si>
  <si>
    <r>
      <rPr>
        <rFont val="Helvetica Neue"/>
        <color rgb="FF1155CC"/>
        <u/>
      </rPr>
      <t>diekehoftijzer@hotmail.com</t>
    </r>
  </si>
  <si>
    <t>Raoul</t>
  </si>
  <si>
    <t>Waterman</t>
  </si>
  <si>
    <r>
      <rPr>
        <rFont val="Helvetica Neue"/>
        <color rgb="FF1155CC"/>
        <u/>
      </rPr>
      <t>waterweijdens@gmail.com</t>
    </r>
  </si>
  <si>
    <t>van Opzeeland</t>
  </si>
  <si>
    <r>
      <rPr>
        <rFont val="Helvetica Neue"/>
        <color rgb="FF1155CC"/>
        <u/>
      </rPr>
      <t>simone-en-bart@freedom.nl</t>
    </r>
  </si>
  <si>
    <t>Pei-Ying</t>
  </si>
  <si>
    <t>Lin</t>
  </si>
  <si>
    <r>
      <rPr>
        <rFont val="Helvetica Neue"/>
        <color rgb="FF1155CC"/>
        <u/>
      </rPr>
      <t>ca3rine@gmail.com</t>
    </r>
  </si>
  <si>
    <t>Ubink</t>
  </si>
  <si>
    <r>
      <rPr>
        <rFont val="Helvetica Neue"/>
        <color rgb="FF1155CC"/>
        <u/>
      </rPr>
      <t>umarjolijn12@gmail.com</t>
    </r>
  </si>
  <si>
    <t>Mayke</t>
  </si>
  <si>
    <r>
      <rPr>
        <rFont val="Helvetica Neue"/>
        <color rgb="FF1155CC"/>
        <u/>
      </rPr>
      <t>maykederksen@hotmail.com</t>
    </r>
  </si>
  <si>
    <t>Niels</t>
  </si>
  <si>
    <t>Vonk</t>
  </si>
  <si>
    <r>
      <rPr>
        <rFont val="Helvetica Neue"/>
        <color rgb="FF1155CC"/>
        <u/>
      </rPr>
      <t>niels-vonk@hotmail.com</t>
    </r>
  </si>
  <si>
    <t>Evelien</t>
  </si>
  <si>
    <t>Van der Zon</t>
  </si>
  <si>
    <r>
      <rPr>
        <rFont val="Helvetica Neue"/>
        <color rgb="FF1155CC"/>
        <u/>
      </rPr>
      <t>e.vanderzon@gmail.com</t>
    </r>
  </si>
  <si>
    <t>Kuijper</t>
  </si>
  <si>
    <r>
      <rPr>
        <rFont val="Helvetica Neue"/>
        <color rgb="FF1155CC"/>
        <u/>
      </rPr>
      <t>ingridkuijper@upcmail.nl</t>
    </r>
  </si>
  <si>
    <t>Kars</t>
  </si>
  <si>
    <r>
      <rPr>
        <rFont val="Helvetica Neue"/>
        <color rgb="FF1155CC"/>
        <u/>
      </rPr>
      <t>annemariekars@hotmail.com</t>
    </r>
  </si>
  <si>
    <t>Elisa</t>
  </si>
  <si>
    <t>de Vleeschouwer</t>
  </si>
  <si>
    <r>
      <rPr>
        <rFont val="Helvetica Neue"/>
        <color rgb="FF1155CC"/>
        <u/>
      </rPr>
      <t>elisadevleeschouwer@gmail.com</t>
    </r>
  </si>
  <si>
    <t>Vladimira</t>
  </si>
  <si>
    <t>Meduzova</t>
  </si>
  <si>
    <r>
      <rPr>
        <rFont val="Helvetica Neue"/>
        <color rgb="FF1155CC"/>
        <u/>
      </rPr>
      <t>vmeduzova@gmail.com</t>
    </r>
  </si>
  <si>
    <t>Hortense</t>
  </si>
  <si>
    <t>Koster</t>
  </si>
  <si>
    <r>
      <rPr>
        <rFont val="Helvetica Neue"/>
        <color rgb="FF1155CC"/>
        <u/>
      </rPr>
      <t>hortensekoster@gmail.com</t>
    </r>
  </si>
  <si>
    <t>Hellin</t>
  </si>
  <si>
    <t>Drost</t>
  </si>
  <si>
    <r>
      <rPr>
        <rFont val="Helvetica Neue"/>
        <color rgb="FF1155CC"/>
        <u/>
      </rPr>
      <t>hellindrost@hotmail.com</t>
    </r>
  </si>
  <si>
    <t>Wouter</t>
  </si>
  <si>
    <t>Van Heijningen</t>
  </si>
  <si>
    <r>
      <rPr>
        <rFont val="Helvetica Neue"/>
        <color rgb="FF1155CC"/>
        <u/>
      </rPr>
      <t>woutervanh684@gmail.com</t>
    </r>
  </si>
  <si>
    <t>Grace</t>
  </si>
  <si>
    <t>Rusch</t>
  </si>
  <si>
    <r>
      <rPr>
        <rFont val="Helvetica Neue"/>
        <color rgb="FF1155CC"/>
        <u/>
      </rPr>
      <t>gracerusch@gmail.com</t>
    </r>
  </si>
  <si>
    <t>Jan</t>
  </si>
  <si>
    <t>Lengkeek</t>
  </si>
  <si>
    <r>
      <rPr>
        <rFont val="Helvetica Neue"/>
        <color rgb="FF1155CC"/>
        <u/>
      </rPr>
      <t>janlengkeek@hotmail.com</t>
    </r>
  </si>
  <si>
    <t>Karianne</t>
  </si>
  <si>
    <t>Kroner</t>
  </si>
  <si>
    <r>
      <rPr>
        <rFont val="Helvetica Neue"/>
        <color rgb="FF1155CC"/>
        <u/>
      </rPr>
      <t>kroner.k@gmail.com</t>
    </r>
  </si>
  <si>
    <t>Yvonne</t>
  </si>
  <si>
    <t>Van Der Laan</t>
  </si>
  <si>
    <r>
      <rPr>
        <rFont val="Helvetica Neue"/>
        <color rgb="FF1155CC"/>
        <u/>
      </rPr>
      <t>ycmvdlaan@gmail.com</t>
    </r>
  </si>
  <si>
    <t>Waterink-Schulz</t>
  </si>
  <si>
    <r>
      <rPr>
        <rFont val="Helvetica Neue"/>
        <color rgb="FF1155CC"/>
        <u/>
      </rPr>
      <t>familie.waterink@gmail.com</t>
    </r>
  </si>
  <si>
    <t>Michel</t>
  </si>
  <si>
    <t>Doeleman</t>
  </si>
  <si>
    <r>
      <rPr>
        <rFont val="Helvetica Neue"/>
        <color rgb="FF1155CC"/>
        <u/>
      </rPr>
      <t>michel.tamara@outlook.com</t>
    </r>
  </si>
  <si>
    <t>Vanessa</t>
  </si>
  <si>
    <t>Lambrecht</t>
  </si>
  <si>
    <r>
      <rPr>
        <rFont val="Helvetica Neue"/>
        <color rgb="FF1155CC"/>
        <u/>
      </rPr>
      <t>vanessa@vanessalambrecht.nl</t>
    </r>
  </si>
  <si>
    <t>Ham</t>
  </si>
  <si>
    <r>
      <rPr>
        <rFont val="Helvetica Neue"/>
        <color rgb="FF1155CC"/>
        <u/>
      </rPr>
      <t>rensketenham@gmail.com</t>
    </r>
  </si>
  <si>
    <t>Geelen</t>
  </si>
  <si>
    <r>
      <rPr>
        <rFont val="Helvetica Neue"/>
        <color rgb="FF1155CC"/>
        <u/>
      </rPr>
      <t>dominiquegeelen@gmail.com</t>
    </r>
  </si>
  <si>
    <t>Maso</t>
  </si>
  <si>
    <r>
      <rPr>
        <rFont val="Helvetica Neue"/>
        <color rgb="FF1155CC"/>
        <u/>
      </rPr>
      <t>maso.sarah@gmail.com</t>
    </r>
  </si>
  <si>
    <t>Marcel</t>
  </si>
  <si>
    <t>De Haas</t>
  </si>
  <si>
    <r>
      <rPr>
        <rFont val="Helvetica Neue"/>
        <color rgb="FF1155CC"/>
        <u/>
      </rPr>
      <t>Marcellusdehaas@gmail.com</t>
    </r>
  </si>
  <si>
    <t>Dewy</t>
  </si>
  <si>
    <r>
      <rPr>
        <rFont val="Helvetica Neue"/>
        <color rgb="FF1155CC"/>
        <u/>
      </rPr>
      <t>dewygerritsen@hotmail.com</t>
    </r>
  </si>
  <si>
    <t>Nora</t>
  </si>
  <si>
    <t>Ezendam</t>
  </si>
  <si>
    <r>
      <rPr>
        <rFont val="Helvetica Neue"/>
        <color rgb="FF1155CC"/>
        <u/>
      </rPr>
      <t>nezendam@gmail.com</t>
    </r>
  </si>
  <si>
    <t>#BB-25-7723</t>
  </si>
  <si>
    <t>Leanne</t>
  </si>
  <si>
    <t>Cleveringa</t>
  </si>
  <si>
    <r>
      <rPr>
        <rFont val="Helvetica Neue"/>
        <color rgb="FF1155CC"/>
        <u/>
      </rPr>
      <t>leannefenneke@icloud.com</t>
    </r>
  </si>
  <si>
    <t>van Wijck</t>
  </si>
  <si>
    <r>
      <rPr>
        <rFont val="Helvetica Neue"/>
        <color rgb="FF1155CC"/>
        <u/>
      </rPr>
      <t>evavanwijck@gmail.com</t>
    </r>
  </si>
  <si>
    <t>Mertens</t>
  </si>
  <si>
    <r>
      <rPr>
        <rFont val="Helvetica Neue"/>
        <color rgb="FF1155CC"/>
        <u/>
      </rPr>
      <t>pepemertens@hotmail.com</t>
    </r>
  </si>
  <si>
    <t>Heebels</t>
  </si>
  <si>
    <r>
      <rPr>
        <rFont val="Helvetica Neue"/>
        <color rgb="FF1155CC"/>
        <u/>
      </rPr>
      <t>b.heebels@gmail.com</t>
    </r>
  </si>
  <si>
    <t>Rik</t>
  </si>
  <si>
    <t>van Cauwenberghe</t>
  </si>
  <si>
    <r>
      <rPr>
        <rFont val="Helvetica Neue"/>
        <color rgb="FF1155CC"/>
        <u/>
      </rPr>
      <t>rikvc.91@gmail.com</t>
    </r>
  </si>
  <si>
    <t>Crespo van de Kooij</t>
  </si>
  <si>
    <r>
      <rPr>
        <rFont val="Helvetica Neue"/>
        <color rgb="FF1155CC"/>
        <u/>
      </rPr>
      <t>alexcrespovandekooij@gmail.com</t>
    </r>
  </si>
  <si>
    <t>Nico</t>
  </si>
  <si>
    <r>
      <rPr>
        <rFont val="Helvetica Neue"/>
        <color rgb="FF1155CC"/>
        <u/>
      </rPr>
      <t>nvanaken@gmail.com</t>
    </r>
  </si>
  <si>
    <t>Ydze</t>
  </si>
  <si>
    <t>Rijff</t>
  </si>
  <si>
    <r>
      <rPr>
        <rFont val="Helvetica Neue"/>
        <color rgb="FF1155CC"/>
        <u/>
      </rPr>
      <t>yyrijff@gmail.com</t>
    </r>
  </si>
  <si>
    <t>Daniel</t>
  </si>
  <si>
    <t>Blom</t>
  </si>
  <si>
    <r>
      <rPr>
        <rFont val="Helvetica Neue"/>
        <color rgb="FF1155CC"/>
        <u/>
      </rPr>
      <t>djmblom@gmail.com</t>
    </r>
  </si>
  <si>
    <t>Peper</t>
  </si>
  <si>
    <r>
      <rPr>
        <rFont val="Helvetica Neue"/>
        <color rgb="FF1155CC"/>
        <u/>
      </rPr>
      <t>rosa.peper@pm.me</t>
    </r>
  </si>
  <si>
    <t>Joanne</t>
  </si>
  <si>
    <t>Goossen</t>
  </si>
  <si>
    <r>
      <rPr>
        <rFont val="Helvetica Neue"/>
        <color rgb="FF1155CC"/>
        <u/>
      </rPr>
      <t>goossenjoanne@gmail.com</t>
    </r>
  </si>
  <si>
    <t>Dedel</t>
  </si>
  <si>
    <r>
      <rPr>
        <rFont val="Helvetica Neue"/>
        <color rgb="FF1155CC"/>
        <u/>
      </rPr>
      <t>pieterdedel@gmail.com</t>
    </r>
  </si>
  <si>
    <t>Jill</t>
  </si>
  <si>
    <t>Schirnhofer</t>
  </si>
  <si>
    <r>
      <rPr>
        <rFont val="Helvetica Neue"/>
        <color rgb="FF1155CC"/>
        <u/>
      </rPr>
      <t>j.h.schirnhofer@gmail.com</t>
    </r>
  </si>
  <si>
    <r>
      <rPr>
        <rFont val="Helvetica Neue"/>
        <color rgb="FF1155CC"/>
        <u/>
      </rPr>
      <t>j.h.schirnhofer@gmail.com</t>
    </r>
  </si>
  <si>
    <t>Kelley</t>
  </si>
  <si>
    <t>Butcher</t>
  </si>
  <si>
    <r>
      <rPr>
        <rFont val="Helvetica Neue"/>
        <color rgb="FF1155CC"/>
        <u/>
      </rPr>
      <t>butcher.kelley@gmail.com</t>
    </r>
  </si>
  <si>
    <t>Petit</t>
  </si>
  <si>
    <r>
      <rPr>
        <rFont val="Helvetica Neue"/>
        <color rgb="FF1155CC"/>
        <u/>
      </rPr>
      <t>judith_petit@hotmail.com</t>
    </r>
  </si>
  <si>
    <t>Binneveld</t>
  </si>
  <si>
    <r>
      <rPr>
        <rFont val="Helvetica Neue"/>
        <color rgb="FF1155CC"/>
        <u/>
      </rPr>
      <t>ikbenrobbert@gmail.com</t>
    </r>
  </si>
  <si>
    <t>Boon</t>
  </si>
  <si>
    <r>
      <rPr>
        <rFont val="Helvetica Neue"/>
        <color rgb="FF1155CC"/>
        <u/>
      </rPr>
      <t>ffe.boon@gmail.com</t>
    </r>
  </si>
  <si>
    <t>Jitteke</t>
  </si>
  <si>
    <t>van 't Hek</t>
  </si>
  <si>
    <r>
      <rPr>
        <rFont val="Helvetica Neue"/>
        <color rgb="FF1155CC"/>
        <u/>
      </rPr>
      <t>jittekevanthek@gmail.com</t>
    </r>
  </si>
  <si>
    <t>Carin</t>
  </si>
  <si>
    <r>
      <rPr>
        <rFont val="Helvetica Neue"/>
        <color rgb="FF1155CC"/>
        <u/>
      </rPr>
      <t>carin.jacobs@gmail.com</t>
    </r>
  </si>
  <si>
    <r>
      <rPr>
        <rFont val="Helvetica Neue"/>
        <color rgb="FF1155CC"/>
        <u/>
      </rPr>
      <t>veerle.alkemade@gmail.com</t>
    </r>
  </si>
  <si>
    <t>Knoop</t>
  </si>
  <si>
    <r>
      <rPr>
        <rFont val="Helvetica Neue"/>
        <color rgb="FF1155CC"/>
        <u/>
      </rPr>
      <t>loesknoop@live.nl</t>
    </r>
  </si>
  <si>
    <r>
      <rPr>
        <rFont val="Helvetica Neue"/>
        <color rgb="FF1155CC"/>
        <u/>
      </rPr>
      <t>loesknoop@live.nl</t>
    </r>
  </si>
  <si>
    <t>Mutsaerts</t>
  </si>
  <si>
    <r>
      <rPr>
        <rFont val="Helvetica Neue"/>
        <color rgb="FF1155CC"/>
        <u/>
      </rPr>
      <t>jaspermutsaerts@gmail.com</t>
    </r>
  </si>
  <si>
    <t>brenda</t>
  </si>
  <si>
    <t>vink</t>
  </si>
  <si>
    <r>
      <rPr>
        <rFont val="Helvetica Neue"/>
        <color rgb="FF1155CC"/>
        <u/>
      </rPr>
      <t>bren.vink@gmail.com</t>
    </r>
  </si>
  <si>
    <t>Felis</t>
  </si>
  <si>
    <r>
      <rPr>
        <rFont val="Helvetica Neue"/>
        <color rgb="FF1155CC"/>
        <u/>
      </rPr>
      <t>rosalie@coachroos.com</t>
    </r>
  </si>
  <si>
    <t>Vinkenborg</t>
  </si>
  <si>
    <r>
      <rPr>
        <rFont val="Helvetica Neue"/>
        <color rgb="FF1155CC"/>
        <u/>
      </rPr>
      <t>macvinkenborg@gmail.com</t>
    </r>
  </si>
  <si>
    <r>
      <rPr>
        <rFont val="Helvetica Neue"/>
        <color rgb="FF1155CC"/>
        <u/>
      </rPr>
      <t>janneketeeuw@usa.net</t>
    </r>
  </si>
  <si>
    <t>Milou</t>
  </si>
  <si>
    <t>Klein Lankhorst</t>
  </si>
  <si>
    <r>
      <rPr>
        <rFont val="Helvetica Neue"/>
        <color rgb="FF1155CC"/>
        <u/>
      </rPr>
      <t>m.kleinlankhorst@gmail.com</t>
    </r>
  </si>
  <si>
    <t>Lucy</t>
  </si>
  <si>
    <t>Stuyfzand</t>
  </si>
  <si>
    <r>
      <rPr>
        <rFont val="Helvetica Neue"/>
        <color rgb="FF1155CC"/>
        <u/>
      </rPr>
      <t>lucy.jonathan@outlook.com</t>
    </r>
  </si>
  <si>
    <t>van Binsbergen</t>
  </si>
  <si>
    <r>
      <rPr>
        <rFont val="Helvetica Neue"/>
        <color rgb="FF1155CC"/>
        <u/>
      </rPr>
      <t>sarahvanbinsbergen@gmail.com</t>
    </r>
  </si>
  <si>
    <t>Frank</t>
  </si>
  <si>
    <t>Keukens</t>
  </si>
  <si>
    <r>
      <rPr>
        <rFont val="Helvetica Neue"/>
        <color rgb="FF1155CC"/>
        <u/>
      </rPr>
      <t>fkeukens@gmail.com</t>
    </r>
  </si>
  <si>
    <r>
      <rPr>
        <rFont val="Helvetica Neue"/>
        <color rgb="FF1155CC"/>
        <u/>
      </rPr>
      <t>m.out.smit@gmail.com</t>
    </r>
  </si>
  <si>
    <t>Ramp</t>
  </si>
  <si>
    <r>
      <rPr>
        <rFont val="Helvetica Neue"/>
        <color rgb="FF1155CC"/>
        <u/>
      </rPr>
      <t>bregjeanne@hotmail.com</t>
    </r>
  </si>
  <si>
    <t>Annelien</t>
  </si>
  <si>
    <t>van Drooge</t>
  </si>
  <si>
    <r>
      <rPr>
        <rFont val="Helvetica Neue"/>
        <color rgb="FF1155CC"/>
        <u/>
      </rPr>
      <t>avandrooge@gmail.com</t>
    </r>
  </si>
  <si>
    <t>Harriet</t>
  </si>
  <si>
    <t>Nipperus</t>
  </si>
  <si>
    <r>
      <rPr>
        <rFont val="Helvetica Neue"/>
        <color rgb="FF1155CC"/>
        <u/>
      </rPr>
      <t>harrietnipperus@gmail.com</t>
    </r>
  </si>
  <si>
    <t>Ada</t>
  </si>
  <si>
    <t>Sauve</t>
  </si>
  <si>
    <r>
      <rPr>
        <rFont val="Helvetica Neue"/>
        <color rgb="FF1155CC"/>
        <u/>
      </rPr>
      <t>adasauve@gmail.com</t>
    </r>
  </si>
  <si>
    <t>Bronkhorst</t>
  </si>
  <si>
    <r>
      <rPr>
        <rFont val="Helvetica Neue"/>
        <color rgb="FF1155CC"/>
        <u/>
      </rPr>
      <t>stefanievanworkum@hotmail.com</t>
    </r>
  </si>
  <si>
    <t>Boothe</t>
  </si>
  <si>
    <r>
      <rPr>
        <rFont val="Helvetica Neue"/>
        <color rgb="FF1155CC"/>
        <u/>
      </rPr>
      <t>pboothe@gmail.com</t>
    </r>
  </si>
  <si>
    <t>Gerrard</t>
  </si>
  <si>
    <t>Perdok</t>
  </si>
  <si>
    <r>
      <rPr>
        <rFont val="Helvetica Neue"/>
        <color rgb="FF1155CC"/>
        <u/>
      </rPr>
      <t>Gerrardp@outlook.com</t>
    </r>
  </si>
  <si>
    <t>van der Chijs</t>
  </si>
  <si>
    <r>
      <rPr>
        <rFont val="Helvetica Neue"/>
        <color rgb="FF1155CC"/>
        <u/>
      </rPr>
      <t>a.chijs@upcmail.nl</t>
    </r>
  </si>
  <si>
    <t>van Eijkeren-Polak</t>
  </si>
  <si>
    <r>
      <rPr>
        <rFont val="Helvetica Neue"/>
        <color rgb="FF1155CC"/>
        <u/>
      </rPr>
      <t>avaneijkeren@gmail.com</t>
    </r>
  </si>
  <si>
    <r>
      <rPr>
        <rFont val="Helvetica Neue"/>
        <color rgb="FF1155CC"/>
        <u/>
      </rPr>
      <t>janneke@janneke.tv</t>
    </r>
  </si>
  <si>
    <t>Catharine</t>
  </si>
  <si>
    <r>
      <rPr>
        <rFont val="Helvetica Neue"/>
        <color rgb="FF1155CC"/>
        <u/>
      </rPr>
      <t>csmegmond@gmail.com</t>
    </r>
  </si>
  <si>
    <t>Corinne</t>
  </si>
  <si>
    <t>Ebbens</t>
  </si>
  <si>
    <r>
      <rPr>
        <rFont val="Helvetica Neue"/>
        <color rgb="FF1155CC"/>
        <u/>
      </rPr>
      <t>corinne.ebbens@hotmail.nl</t>
    </r>
  </si>
  <si>
    <t>#BB-25-7783</t>
  </si>
  <si>
    <t>Mathew</t>
  </si>
  <si>
    <r>
      <rPr>
        <rFont val="Helvetica Neue"/>
        <color rgb="FF1155CC"/>
        <u/>
      </rPr>
      <t>mathewvermeer@hotmail.com</t>
    </r>
  </si>
  <si>
    <t>Elaine</t>
  </si>
  <si>
    <t>Engelberts</t>
  </si>
  <si>
    <r>
      <rPr>
        <rFont val="Helvetica Neue"/>
        <color rgb="FF1155CC"/>
        <u/>
      </rPr>
      <t>epengelberts@kpnmail.nl</t>
    </r>
  </si>
  <si>
    <t>Piem</t>
  </si>
  <si>
    <t>Gaan</t>
  </si>
  <si>
    <r>
      <rPr>
        <rFont val="Helvetica Neue"/>
        <color rgb="FF1155CC"/>
        <u/>
      </rPr>
      <t>piengaan@hotmail.com</t>
    </r>
  </si>
  <si>
    <t>Cristien</t>
  </si>
  <si>
    <t>Temmink</t>
  </si>
  <si>
    <r>
      <rPr>
        <rFont val="Helvetica Neue"/>
        <color rgb="FF1155CC"/>
        <u/>
      </rPr>
      <t>m.c.temmink@gmail.com</t>
    </r>
  </si>
  <si>
    <t>Adeline</t>
  </si>
  <si>
    <t>Van den Berg</t>
  </si>
  <si>
    <r>
      <rPr>
        <rFont val="Helvetica Neue"/>
        <color rgb="FF1155CC"/>
        <u/>
      </rPr>
      <t>adelinevdberg@gmail.com</t>
    </r>
  </si>
  <si>
    <t>Mayaris</t>
  </si>
  <si>
    <t>Zepeda Mendez</t>
  </si>
  <si>
    <r>
      <rPr>
        <rFont val="Helvetica Neue"/>
        <color rgb="FF1155CC"/>
        <u/>
      </rPr>
      <t>mayaris@hotmail.com</t>
    </r>
  </si>
  <si>
    <t>I</t>
  </si>
  <si>
    <t>de Weerdt</t>
  </si>
  <si>
    <r>
      <rPr>
        <rFont val="Helvetica Neue"/>
        <color rgb="FF1155CC"/>
        <u/>
      </rPr>
      <t>i.deweerdt@heli-inmalu.nl</t>
    </r>
  </si>
  <si>
    <t>Mayer</t>
  </si>
  <si>
    <r>
      <rPr>
        <rFont val="Helvetica Neue"/>
        <color rgb="FF1155CC"/>
        <u/>
      </rPr>
      <t>annepaulinemayer@gmail.com</t>
    </r>
  </si>
  <si>
    <t>Gemma</t>
  </si>
  <si>
    <t>van der Hoeven</t>
  </si>
  <si>
    <r>
      <rPr>
        <rFont val="Helvetica Neue"/>
        <color rgb="FF1155CC"/>
        <u/>
      </rPr>
      <t>gemma.vanderhoeven@me.com</t>
    </r>
  </si>
  <si>
    <t>Paul</t>
  </si>
  <si>
    <t>Voskuilen</t>
  </si>
  <si>
    <r>
      <rPr>
        <rFont val="Helvetica Neue"/>
        <color rgb="FF1155CC"/>
        <u/>
      </rPr>
      <t>paulvoskuilen@gmail.com</t>
    </r>
  </si>
  <si>
    <t>Malou</t>
  </si>
  <si>
    <r>
      <rPr>
        <rFont val="Helvetica Neue"/>
        <color rgb="FF1155CC"/>
        <u/>
      </rPr>
      <t>kostermalou@hotmail.com</t>
    </r>
  </si>
  <si>
    <t>Nolte</t>
  </si>
  <si>
    <r>
      <rPr>
        <rFont val="Helvetica Neue"/>
        <color rgb="FF1155CC"/>
        <u/>
      </rPr>
      <t>nolte001@hetnet.nl</t>
    </r>
  </si>
  <si>
    <t>Van der Klaauw</t>
  </si>
  <si>
    <r>
      <rPr>
        <rFont val="Helvetica Neue"/>
        <color rgb="FF1155CC"/>
        <u/>
      </rPr>
      <t>marijnvanderklaauw@gmail.com</t>
    </r>
  </si>
  <si>
    <t>#BB-25-7801</t>
  </si>
  <si>
    <r>
      <rPr>
        <rFont val="Helvetica Neue"/>
        <color rgb="FF1155CC"/>
        <u/>
      </rPr>
      <t>carlahuisman@cypers.nl</t>
    </r>
  </si>
  <si>
    <t>Pluim</t>
  </si>
  <si>
    <r>
      <rPr>
        <rFont val="Helvetica Neue"/>
        <color rgb="FF1155CC"/>
        <u/>
      </rPr>
      <t>mypluim@telfort.nl</t>
    </r>
  </si>
  <si>
    <t>Veeger</t>
  </si>
  <si>
    <r>
      <rPr>
        <rFont val="Helvetica Neue"/>
        <color rgb="FF1155CC"/>
        <u/>
      </rPr>
      <t>loesveeger@live.nl</t>
    </r>
  </si>
  <si>
    <t>Jungmann</t>
  </si>
  <si>
    <r>
      <rPr>
        <rFont val="Helvetica Neue"/>
        <color rgb="FF1155CC"/>
        <u/>
      </rPr>
      <t>laura.jungmann@gmail.com</t>
    </r>
  </si>
  <si>
    <r>
      <rPr>
        <rFont val="Helvetica Neue"/>
        <color rgb="FF1155CC"/>
        <u/>
      </rPr>
      <t>mailellenkooij@gmail.com</t>
    </r>
  </si>
  <si>
    <t>Anink</t>
  </si>
  <si>
    <r>
      <rPr>
        <rFont val="Helvetica Neue"/>
        <color rgb="FF1155CC"/>
        <u/>
      </rPr>
      <t>janneke.anink@gmail.com</t>
    </r>
  </si>
  <si>
    <t>Jan Maarten</t>
  </si>
  <si>
    <t>Gaasbeek</t>
  </si>
  <si>
    <r>
      <rPr>
        <rFont val="Helvetica Neue"/>
        <color rgb="FF1155CC"/>
        <u/>
      </rPr>
      <t>janmaarten.gaasbeek@gmail.com</t>
    </r>
  </si>
  <si>
    <t>cm</t>
  </si>
  <si>
    <t>swinkels</t>
  </si>
  <si>
    <r>
      <rPr>
        <rFont val="Helvetica Neue"/>
        <color rgb="FF1155CC"/>
        <u/>
      </rPr>
      <t>cilia_sw@hotmail.com</t>
    </r>
  </si>
  <si>
    <t>Ilja</t>
  </si>
  <si>
    <t>Roomans</t>
  </si>
  <si>
    <r>
      <rPr>
        <rFont val="Helvetica Neue"/>
        <color rgb="FF1155CC"/>
        <u/>
      </rPr>
      <t>iljaroomans@xs4all.nl</t>
    </r>
  </si>
  <si>
    <t>Schnitger</t>
  </si>
  <si>
    <r>
      <rPr>
        <rFont val="Helvetica Neue"/>
        <color rgb="FF1155CC"/>
        <u/>
      </rPr>
      <t>inge.schnitger@outlook.com</t>
    </r>
  </si>
  <si>
    <t>Roosmarijn</t>
  </si>
  <si>
    <t>Horowitz</t>
  </si>
  <si>
    <r>
      <rPr>
        <rFont val="Helvetica Neue"/>
        <color rgb="FF1155CC"/>
        <u/>
      </rPr>
      <t>mrs_horowitz@hotmail.com</t>
    </r>
  </si>
  <si>
    <t>Dirk-Jan</t>
  </si>
  <si>
    <t>Kruijthoff</t>
  </si>
  <si>
    <r>
      <rPr>
        <rFont val="Helvetica Neue"/>
        <color rgb="FF1155CC"/>
        <u/>
      </rPr>
      <t>natasja.en.dirk.jan@gmail.com</t>
    </r>
  </si>
  <si>
    <t>Hamar de la Brethonière</t>
  </si>
  <si>
    <r>
      <rPr>
        <rFont val="Helvetica Neue"/>
        <color rgb="FF1155CC"/>
        <u/>
      </rPr>
      <t>lottehamar@gmail.com</t>
    </r>
  </si>
  <si>
    <t>Daphne</t>
  </si>
  <si>
    <t>Blomberg</t>
  </si>
  <si>
    <r>
      <rPr>
        <rFont val="Helvetica Neue"/>
        <color rgb="FF1155CC"/>
        <u/>
      </rPr>
      <t>daphne.lammerinks@gmail.com</t>
    </r>
  </si>
  <si>
    <t>Jenkins</t>
  </si>
  <si>
    <r>
      <rPr>
        <rFont val="Helvetica Neue"/>
        <color rgb="FF1155CC"/>
        <u/>
      </rPr>
      <t>ozinamsterdam@gmail.com</t>
    </r>
  </si>
  <si>
    <t>#BB-25-7826</t>
  </si>
  <si>
    <t>Vos</t>
  </si>
  <si>
    <r>
      <rPr>
        <rFont val="Helvetica Neue"/>
        <color rgb="FF1155CC"/>
        <u/>
      </rPr>
      <t>bart.vos@hotmail.com</t>
    </r>
  </si>
  <si>
    <t>Hautvast</t>
  </si>
  <si>
    <r>
      <rPr>
        <rFont val="Helvetica Neue"/>
        <color rgb="FF1155CC"/>
        <u/>
      </rPr>
      <t>suuz1978@gmail.com</t>
    </r>
  </si>
  <si>
    <t>Streppel</t>
  </si>
  <si>
    <r>
      <rPr>
        <rFont val="Helvetica Neue"/>
        <color rgb="FF1155CC"/>
        <u/>
      </rPr>
      <t>streppel.marloes@gmail.com</t>
    </r>
  </si>
  <si>
    <t>Dings</t>
  </si>
  <si>
    <r>
      <rPr>
        <rFont val="Helvetica Neue"/>
        <color rgb="FF1155CC"/>
        <u/>
      </rPr>
      <t>marleendings@live.nl</t>
    </r>
  </si>
  <si>
    <t>Levert</t>
  </si>
  <si>
    <r>
      <rPr>
        <rFont val="Helvetica Neue"/>
        <color rgb="FF1155CC"/>
        <u/>
      </rPr>
      <t>willemijnlevert@hotmail.com</t>
    </r>
  </si>
  <si>
    <t>Brusselers</t>
  </si>
  <si>
    <r>
      <rPr>
        <rFont val="Helvetica Neue"/>
        <color rgb="FF1155CC"/>
        <u/>
      </rPr>
      <t>ilona.brusselers@xs4all.nl</t>
    </r>
  </si>
  <si>
    <t>Jettie</t>
  </si>
  <si>
    <t>Laarman</t>
  </si>
  <si>
    <r>
      <rPr>
        <rFont val="Helvetica Neue"/>
        <color rgb="FF1155CC"/>
        <u/>
      </rPr>
      <t>laarmanjettie@gmail.com</t>
    </r>
  </si>
  <si>
    <t>Sjoerd</t>
  </si>
  <si>
    <t>Repping</t>
  </si>
  <si>
    <r>
      <rPr>
        <rFont val="Helvetica Neue"/>
        <color rgb="FF1155CC"/>
        <u/>
      </rPr>
      <t>s.repping@gmail.com</t>
    </r>
  </si>
  <si>
    <t>Bettina</t>
  </si>
  <si>
    <t>Bock</t>
  </si>
  <si>
    <r>
      <rPr>
        <rFont val="Helvetica Neue"/>
        <color rgb="FF1155CC"/>
        <u/>
      </rPr>
      <t>bbock60@planet.nl</t>
    </r>
  </si>
  <si>
    <t>Carolina</t>
  </si>
  <si>
    <t>Gomez Naranjo</t>
  </si>
  <si>
    <r>
      <rPr>
        <rFont val="Helvetica Neue"/>
        <color rgb="FF1155CC"/>
        <u/>
      </rPr>
      <t>carolinag1031@gmail.com</t>
    </r>
  </si>
  <si>
    <t>Jobse</t>
  </si>
  <si>
    <r>
      <rPr>
        <rFont val="Helvetica Neue"/>
        <color rgb="FF1155CC"/>
        <u/>
      </rPr>
      <t>gijsjobse@live.nl</t>
    </r>
  </si>
  <si>
    <t>Dubois</t>
  </si>
  <si>
    <r>
      <rPr>
        <rFont val="Helvetica Neue"/>
        <color rgb="FF1155CC"/>
        <u/>
      </rPr>
      <t>reneedubois69@gmail.com</t>
    </r>
  </si>
  <si>
    <t>Jordy</t>
  </si>
  <si>
    <t>Sijmonsma</t>
  </si>
  <si>
    <r>
      <rPr>
        <rFont val="Helvetica Neue"/>
        <color rgb="FF1155CC"/>
        <u/>
      </rPr>
      <t>jordy.sijmonsma@gmail.com</t>
    </r>
  </si>
  <si>
    <t>Christianne</t>
  </si>
  <si>
    <r>
      <rPr>
        <rFont val="Helvetica Neue"/>
        <color rgb="FF1155CC"/>
        <u/>
      </rPr>
      <t>chrissygazeuse@hotmail.com</t>
    </r>
  </si>
  <si>
    <t>Vulink</t>
  </si>
  <si>
    <r>
      <rPr>
        <rFont val="Helvetica Neue"/>
        <color rgb="FF1155CC"/>
        <u/>
      </rPr>
      <t>c.vulink@gmail.com</t>
    </r>
  </si>
  <si>
    <t>Breuker-Schoenmakers</t>
  </si>
  <si>
    <r>
      <rPr>
        <rFont val="Helvetica Neue"/>
        <color rgb="FF1155CC"/>
        <u/>
      </rPr>
      <t>shop.breuker@icloud.com</t>
    </r>
  </si>
  <si>
    <t>Baukje</t>
  </si>
  <si>
    <t>Ratsma</t>
  </si>
  <si>
    <r>
      <rPr>
        <rFont val="Helvetica Neue"/>
        <color rgb="FF1155CC"/>
        <u/>
      </rPr>
      <t>baukjebeers@live.nl</t>
    </r>
  </si>
  <si>
    <t>Plijter</t>
  </si>
  <si>
    <r>
      <rPr>
        <rFont val="Helvetica Neue"/>
        <color rgb="FF1155CC"/>
        <u/>
      </rPr>
      <t>evaplijter@gmail.com</t>
    </r>
  </si>
  <si>
    <t>Thea</t>
  </si>
  <si>
    <t>Stratton</t>
  </si>
  <si>
    <r>
      <rPr>
        <rFont val="Helvetica Neue"/>
        <color rgb="FF1155CC"/>
        <u/>
      </rPr>
      <t>thea.stratton@gmail.com</t>
    </r>
  </si>
  <si>
    <t>Kortstee</t>
  </si>
  <si>
    <r>
      <rPr>
        <rFont val="Helvetica Neue"/>
        <color rgb="FF1155CC"/>
        <u/>
      </rPr>
      <t>ina.kortstee@gmail.com</t>
    </r>
  </si>
  <si>
    <t>annemieke</t>
  </si>
  <si>
    <t>zuurman</t>
  </si>
  <si>
    <r>
      <rPr>
        <rFont val="Helvetica Neue"/>
        <color rgb="FF1155CC"/>
        <u/>
      </rPr>
      <t>annemieke_z@live.nl</t>
    </r>
  </si>
  <si>
    <t>Hadewych</t>
  </si>
  <si>
    <t>Koot</t>
  </si>
  <si>
    <r>
      <rPr>
        <rFont val="Helvetica Neue"/>
        <color rgb="FF1155CC"/>
        <u/>
      </rPr>
      <t>tomenhadewych@gmail.com</t>
    </r>
  </si>
  <si>
    <t>Jongejan</t>
  </si>
  <si>
    <r>
      <rPr>
        <rFont val="Helvetica Neue"/>
        <color rgb="FF1155CC"/>
        <u/>
      </rPr>
      <t>iris.katariina@gmail.com</t>
    </r>
  </si>
  <si>
    <t>Lonneke</t>
  </si>
  <si>
    <t>van Otterdijk</t>
  </si>
  <si>
    <r>
      <rPr>
        <rFont val="Helvetica Neue"/>
        <color rgb="FF1155CC"/>
        <u/>
      </rPr>
      <t>l.vanotterdijk@gmail.com</t>
    </r>
  </si>
  <si>
    <t>Dalhuisen</t>
  </si>
  <si>
    <r>
      <rPr>
        <rFont val="Helvetica Neue"/>
        <color rgb="FF1155CC"/>
        <u/>
      </rPr>
      <t>maaikedalhuisen@gmail.com</t>
    </r>
  </si>
  <si>
    <t>Bolsenbroek</t>
  </si>
  <si>
    <r>
      <rPr>
        <rFont val="Helvetica Neue"/>
        <color rgb="FF1155CC"/>
        <u/>
      </rPr>
      <t>awbolsenbroek@hotmail.com</t>
    </r>
  </si>
  <si>
    <t>Gaarlandt</t>
  </si>
  <si>
    <r>
      <rPr>
        <rFont val="Helvetica Neue"/>
        <color rgb="FF1155CC"/>
        <u/>
      </rPr>
      <t>lamberts.charlotte309@gmail.com</t>
    </r>
  </si>
  <si>
    <t>André</t>
  </si>
  <si>
    <t>Slaats</t>
  </si>
  <si>
    <r>
      <rPr>
        <rFont val="Helvetica Neue"/>
        <color rgb="FF1155CC"/>
        <u/>
      </rPr>
      <t>surfslaats@gmail.com</t>
    </r>
  </si>
  <si>
    <t>Carina</t>
  </si>
  <si>
    <r>
      <rPr>
        <rFont val="Helvetica Neue"/>
        <color rgb="FF1155CC"/>
        <u/>
      </rPr>
      <t>carina-visser@hotmail.com</t>
    </r>
  </si>
  <si>
    <t>Bulder</t>
  </si>
  <si>
    <r>
      <rPr>
        <rFont val="Helvetica Neue"/>
        <color rgb="FF1155CC"/>
        <u/>
      </rPr>
      <t>evelienbulder@gmail.com</t>
    </r>
  </si>
  <si>
    <t>Kevin</t>
  </si>
  <si>
    <t>Zuidhof</t>
  </si>
  <si>
    <r>
      <rPr>
        <rFont val="Helvetica Neue"/>
        <color rgb="FF1155CC"/>
        <u/>
      </rPr>
      <t>kzuidhof@ivcb.nl</t>
    </r>
  </si>
  <si>
    <t>Tuur</t>
  </si>
  <si>
    <t>Verdonck</t>
  </si>
  <si>
    <r>
      <rPr>
        <rFont val="Helvetica Neue"/>
        <color rgb="FF1155CC"/>
        <u/>
      </rPr>
      <t>tuurverdonck@gmail.com</t>
    </r>
  </si>
  <si>
    <t>Albert</t>
  </si>
  <si>
    <t>Lanzaco</t>
  </si>
  <si>
    <r>
      <rPr>
        <rFont val="Helvetica Neue"/>
        <color rgb="FF1155CC"/>
        <u/>
      </rPr>
      <t>lansako@gmail.com</t>
    </r>
  </si>
  <si>
    <t>Maria</t>
  </si>
  <si>
    <r>
      <rPr>
        <rFont val="Helvetica Neue"/>
        <color rgb="FF1155CC"/>
        <u/>
      </rPr>
      <t>mariaengels@hotmail.com</t>
    </r>
  </si>
  <si>
    <t>#BB-25-7874</t>
  </si>
  <si>
    <t>Biesma</t>
  </si>
  <si>
    <r>
      <rPr>
        <rFont val="Helvetica Neue"/>
        <color rgb="FF1155CC"/>
        <u/>
      </rPr>
      <t>koen.biesma@gmail.com</t>
    </r>
  </si>
  <si>
    <t>Neef</t>
  </si>
  <si>
    <r>
      <rPr>
        <rFont val="Helvetica Neue"/>
        <color rgb="FF1155CC"/>
        <u/>
      </rPr>
      <t>beterboompje@piepo.nl</t>
    </r>
  </si>
  <si>
    <t>Leonid</t>
  </si>
  <si>
    <t>Danilchenko</t>
  </si>
  <si>
    <r>
      <rPr>
        <rFont val="Helvetica Neue"/>
        <color rgb="FF1155CC"/>
        <u/>
      </rPr>
      <t>lie.danilchenko@gmail.com</t>
    </r>
  </si>
  <si>
    <t>Nuninga</t>
  </si>
  <si>
    <r>
      <rPr>
        <rFont val="Helvetica Neue"/>
        <color rgb="FF1155CC"/>
        <u/>
      </rPr>
      <t>j.nuninga@gmail.com</t>
    </r>
  </si>
  <si>
    <t>Maud</t>
  </si>
  <si>
    <t>Van Tongeren</t>
  </si>
  <si>
    <r>
      <rPr>
        <rFont val="Helvetica Neue"/>
        <color rgb="FF1155CC"/>
        <u/>
      </rPr>
      <t>maudvtongeren@gmail.com</t>
    </r>
  </si>
  <si>
    <t>Cochius</t>
  </si>
  <si>
    <r>
      <rPr>
        <rFont val="Helvetica Neue"/>
        <color rgb="FF1155CC"/>
        <u/>
      </rPr>
      <t>suzancochius@gmail.com</t>
    </r>
  </si>
  <si>
    <t>Louwers</t>
  </si>
  <si>
    <r>
      <rPr>
        <rFont val="Helvetica Neue"/>
        <color rgb="FF1155CC"/>
        <u/>
      </rPr>
      <t>lisalouwers@gmail.com</t>
    </r>
  </si>
  <si>
    <t>Arnst</t>
  </si>
  <si>
    <r>
      <rPr>
        <rFont val="Helvetica Neue"/>
        <color rgb="FF1155CC"/>
        <u/>
      </rPr>
      <t>helenarnst@hotmail.com</t>
    </r>
  </si>
  <si>
    <t>Spijker</t>
  </si>
  <si>
    <r>
      <rPr>
        <rFont val="Helvetica Neue"/>
        <color rgb="FF1155CC"/>
        <u/>
      </rPr>
      <t>peter@broaddaylight.nl</t>
    </r>
  </si>
  <si>
    <t>Lamont</t>
  </si>
  <si>
    <r>
      <rPr>
        <rFont val="Helvetica Neue"/>
        <color rgb="FF1155CC"/>
        <u/>
      </rPr>
      <t>liekedevries2@gmail.com</t>
    </r>
  </si>
  <si>
    <t>Wijnants</t>
  </si>
  <si>
    <r>
      <rPr>
        <rFont val="Helvetica Neue"/>
        <color rgb="FF1155CC"/>
        <u/>
      </rPr>
      <t>daanwijnants@hotmail.com</t>
    </r>
  </si>
  <si>
    <t>Looijen</t>
  </si>
  <si>
    <r>
      <rPr>
        <rFont val="Helvetica Neue"/>
        <color rgb="FF1155CC"/>
        <u/>
      </rPr>
      <t>h.looijen@xs4all.nl</t>
    </r>
  </si>
  <si>
    <t>den Haan</t>
  </si>
  <si>
    <r>
      <rPr>
        <rFont val="Helvetica Neue"/>
        <color rgb="FF1155CC"/>
        <u/>
      </rPr>
      <t>lihaa84@gmail.com</t>
    </r>
  </si>
  <si>
    <t>Gase</t>
  </si>
  <si>
    <r>
      <rPr>
        <rFont val="Helvetica Neue"/>
        <color rgb="FF1155CC"/>
        <u/>
      </rPr>
      <t>ngase@live.nl</t>
    </r>
  </si>
  <si>
    <t>Marijke</t>
  </si>
  <si>
    <t>Walravens</t>
  </si>
  <si>
    <r>
      <rPr>
        <rFont val="Helvetica Neue"/>
        <color rgb="FF1155CC"/>
        <u/>
      </rPr>
      <t>walravensmarijke@gmail.com</t>
    </r>
  </si>
  <si>
    <t>Wallien</t>
  </si>
  <si>
    <r>
      <rPr>
        <rFont val="Helvetica Neue"/>
        <color rgb="FF1155CC"/>
        <u/>
      </rPr>
      <t>anoukwallien@gmail.com</t>
    </r>
  </si>
  <si>
    <t>#BB-25-7896</t>
  </si>
  <si>
    <t>Marjo</t>
  </si>
  <si>
    <t>Salentijn</t>
  </si>
  <si>
    <r>
      <rPr>
        <rFont val="Helvetica Neue"/>
        <color rgb="FF1155CC"/>
        <u/>
      </rPr>
      <t>marjosalentijn@gmail.com</t>
    </r>
  </si>
  <si>
    <t>#BB-25-7897</t>
  </si>
  <si>
    <t>Menno</t>
  </si>
  <si>
    <t>Urbanus</t>
  </si>
  <si>
    <r>
      <rPr>
        <rFont val="Helvetica Neue"/>
        <color rgb="FF1155CC"/>
        <u/>
      </rPr>
      <t>menno.eleni@gmail.com</t>
    </r>
  </si>
  <si>
    <t>Zambrin</t>
  </si>
  <si>
    <r>
      <rPr>
        <rFont val="Helvetica Neue"/>
        <color rgb="FF1155CC"/>
        <u/>
      </rPr>
      <t>zambrinsara@gmail.com</t>
    </r>
  </si>
  <si>
    <t>de Jong-Witteman</t>
  </si>
  <si>
    <r>
      <rPr>
        <rFont val="Helvetica Neue"/>
        <color rgb="FF1155CC"/>
        <u/>
      </rPr>
      <t>sophiedejong96@gmail.com</t>
    </r>
  </si>
  <si>
    <t>Dineke</t>
  </si>
  <si>
    <t>Feenstra</t>
  </si>
  <si>
    <r>
      <rPr>
        <rFont val="Helvetica Neue"/>
        <color rgb="FF1155CC"/>
        <u/>
      </rPr>
      <t>dinekefeenstra@hotmail.com</t>
    </r>
  </si>
  <si>
    <t>Van Eeden</t>
  </si>
  <si>
    <r>
      <rPr>
        <rFont val="Helvetica Neue"/>
        <color rgb="FF1155CC"/>
        <u/>
      </rPr>
      <t>l.i.vaneeden@gmail.com</t>
    </r>
  </si>
  <si>
    <t>Jacqueline</t>
  </si>
  <si>
    <t>Sinke</t>
  </si>
  <si>
    <r>
      <rPr>
        <rFont val="Helvetica Neue"/>
        <color rgb="FF1155CC"/>
        <u/>
      </rPr>
      <t>jdsinke@planet.nl</t>
    </r>
  </si>
  <si>
    <t>Mathilde</t>
  </si>
  <si>
    <t>Kamphuis</t>
  </si>
  <si>
    <r>
      <rPr>
        <rFont val="Helvetica Neue"/>
        <color rgb="FF1155CC"/>
        <u/>
      </rPr>
      <t>mathildekamphuis@hotmail.com</t>
    </r>
  </si>
  <si>
    <t>Annabel</t>
  </si>
  <si>
    <t>Howland</t>
  </si>
  <si>
    <r>
      <rPr>
        <rFont val="Helvetica Neue"/>
        <color rgb="FF1155CC"/>
        <u/>
      </rPr>
      <t>annabel@annabelhowland.nl</t>
    </r>
  </si>
  <si>
    <t>Ineke</t>
  </si>
  <si>
    <t>van Werven</t>
  </si>
  <si>
    <r>
      <rPr>
        <rFont val="Helvetica Neue"/>
        <color rgb="FF1155CC"/>
        <u/>
      </rPr>
      <t>i.vanwerven@gmail.com</t>
    </r>
  </si>
  <si>
    <t>Anita</t>
  </si>
  <si>
    <t>Rooij van</t>
  </si>
  <si>
    <r>
      <rPr>
        <rFont val="Helvetica Neue"/>
        <color rgb="FF1155CC"/>
        <u/>
      </rPr>
      <t>mcanita@kpnmail.nl</t>
    </r>
  </si>
  <si>
    <t>#BB-25-7908</t>
  </si>
  <si>
    <t>iris</t>
  </si>
  <si>
    <t>schiebergen</t>
  </si>
  <si>
    <r>
      <rPr>
        <rFont val="Helvetica Neue"/>
        <color rgb="FF1155CC"/>
        <u/>
      </rPr>
      <t>iris100x@hotmail.com</t>
    </r>
  </si>
  <si>
    <t>Marisa</t>
  </si>
  <si>
    <t>Luijks</t>
  </si>
  <si>
    <r>
      <rPr>
        <rFont val="Helvetica Neue"/>
        <color rgb="FF1155CC"/>
        <u/>
      </rPr>
      <t>luijksmarisa@gmail.com</t>
    </r>
  </si>
  <si>
    <t>Bosselaar</t>
  </si>
  <si>
    <r>
      <rPr>
        <rFont val="Helvetica Neue"/>
        <color rgb="FF1155CC"/>
        <u/>
      </rPr>
      <t>jochem.bosselaar@gmail.com</t>
    </r>
  </si>
  <si>
    <t>Beekhuis</t>
  </si>
  <si>
    <r>
      <rPr>
        <rFont val="Helvetica Neue"/>
        <color rgb="FF1155CC"/>
        <u/>
      </rPr>
      <t>thomas.annejet@gmail.com</t>
    </r>
  </si>
  <si>
    <r>
      <rPr>
        <rFont val="Helvetica Neue"/>
        <color rgb="FF1155CC"/>
        <u/>
      </rPr>
      <t>frederieke.mesters@gmail.com</t>
    </r>
  </si>
  <si>
    <t>Kamperman</t>
  </si>
  <si>
    <r>
      <rPr>
        <rFont val="Helvetica Neue"/>
        <color rgb="FF1155CC"/>
        <u/>
      </rPr>
      <t>marlieskamperman@gmail.com</t>
    </r>
  </si>
  <si>
    <r>
      <rPr>
        <rFont val="Helvetica Neue"/>
        <color rgb="FF1155CC"/>
        <u/>
      </rPr>
      <t>jacq.meijer@gmail.com</t>
    </r>
  </si>
  <si>
    <t>Moerman</t>
  </si>
  <si>
    <r>
      <rPr>
        <rFont val="Helvetica Neue"/>
        <color rgb="FF1155CC"/>
        <u/>
      </rPr>
      <t>mvdbosch79@hotmail.com</t>
    </r>
  </si>
  <si>
    <t>Dana</t>
  </si>
  <si>
    <t>Blekkenhorst</t>
  </si>
  <si>
    <r>
      <rPr>
        <rFont val="Helvetica Neue"/>
        <color rgb="FF1155CC"/>
        <u/>
      </rPr>
      <t>danablekkenhorst@hotmail.com</t>
    </r>
  </si>
  <si>
    <r>
      <rPr>
        <rFont val="Helvetica Neue"/>
        <color rgb="FF1155CC"/>
        <u/>
      </rPr>
      <t>kimdevries89@gmail.com</t>
    </r>
  </si>
  <si>
    <t>Annemarieke</t>
  </si>
  <si>
    <t>roelfzema</t>
  </si>
  <si>
    <r>
      <rPr>
        <rFont val="Helvetica Neue"/>
        <color rgb="FF1155CC"/>
        <u/>
      </rPr>
      <t>annemariekeroelfzema@hotmail.com</t>
    </r>
  </si>
  <si>
    <t>Caya</t>
  </si>
  <si>
    <t>Van Scheijndel</t>
  </si>
  <si>
    <r>
      <rPr>
        <rFont val="Helvetica Neue"/>
        <color rgb="FF1155CC"/>
        <u/>
      </rPr>
      <t>caya.van.scheijndel@gmail.com</t>
    </r>
  </si>
  <si>
    <t>Faasse</t>
  </si>
  <si>
    <r>
      <rPr>
        <rFont val="Helvetica Neue"/>
        <color rgb="FF1155CC"/>
        <u/>
      </rPr>
      <t>peter.faasse@gmail.com</t>
    </r>
  </si>
  <si>
    <t>van Herk</t>
  </si>
  <si>
    <r>
      <rPr>
        <rFont val="Helvetica Neue"/>
        <color rgb="FF1155CC"/>
        <u/>
      </rPr>
      <t>ehvanherk@gmail.com</t>
    </r>
  </si>
  <si>
    <t>Bolczek</t>
  </si>
  <si>
    <r>
      <rPr>
        <rFont val="Helvetica Neue"/>
        <color rgb="FF1155CC"/>
        <u/>
      </rPr>
      <t>laurabolczek@gmail.com</t>
    </r>
  </si>
  <si>
    <t>Flin</t>
  </si>
  <si>
    <t>Nortier</t>
  </si>
  <si>
    <r>
      <rPr>
        <rFont val="Helvetica Neue"/>
        <color rgb="FF1155CC"/>
        <u/>
      </rPr>
      <t>flin.nortier@gmail.com</t>
    </r>
  </si>
  <si>
    <t>Arthur</t>
  </si>
  <si>
    <t>van der Hijden</t>
  </si>
  <si>
    <r>
      <rPr>
        <rFont val="Helvetica Neue"/>
        <color rgb="FF1155CC"/>
        <u/>
      </rPr>
      <t>a.vdhijden@upcmail.nl</t>
    </r>
  </si>
  <si>
    <t>Paarlberg</t>
  </si>
  <si>
    <r>
      <rPr>
        <rFont val="Helvetica Neue"/>
        <color rgb="FF1155CC"/>
        <u/>
      </rPr>
      <t>jochem@paarlberg.net</t>
    </r>
  </si>
  <si>
    <t>Cocke</t>
  </si>
  <si>
    <r>
      <rPr>
        <rFont val="Helvetica Neue"/>
        <color rgb="FF1155CC"/>
        <u/>
      </rPr>
      <t>cpostvt@gmail.com</t>
    </r>
  </si>
  <si>
    <t>Hos</t>
  </si>
  <si>
    <r>
      <rPr>
        <rFont val="Helvetica Neue"/>
        <color rgb="FF1155CC"/>
        <u/>
      </rPr>
      <t>samanthaenjeremy@gmail.com</t>
    </r>
  </si>
  <si>
    <t>de Geus</t>
  </si>
  <si>
    <r>
      <rPr>
        <rFont val="Helvetica Neue"/>
        <color rgb="FF1155CC"/>
        <u/>
      </rPr>
      <t>mirjam1991@hotmail.com</t>
    </r>
  </si>
  <si>
    <r>
      <rPr>
        <rFont val="Helvetica Neue"/>
        <color rgb="FF1155CC"/>
        <u/>
      </rPr>
      <t>fennao@hotmail.com</t>
    </r>
  </si>
  <si>
    <r>
      <rPr>
        <rFont val="Helvetica Neue"/>
        <color rgb="FF1155CC"/>
        <u/>
      </rPr>
      <t>irene@abcd.nu</t>
    </r>
  </si>
  <si>
    <t>Rosemin</t>
  </si>
  <si>
    <t>Lanting</t>
  </si>
  <si>
    <r>
      <rPr>
        <rFont val="Helvetica Neue"/>
        <color rgb="FF1155CC"/>
        <u/>
      </rPr>
      <t>rosemin_lanting@hotmail.com</t>
    </r>
  </si>
  <si>
    <t>José</t>
  </si>
  <si>
    <t>Grinsven</t>
  </si>
  <si>
    <r>
      <rPr>
        <rFont val="Helvetica Neue"/>
        <color rgb="FF1155CC"/>
        <u/>
      </rPr>
      <t>josevangrinsven@hotmail.com</t>
    </r>
  </si>
  <si>
    <t>de Valk</t>
  </si>
  <si>
    <r>
      <rPr>
        <rFont val="Helvetica Neue"/>
        <color rgb="FF1155CC"/>
        <u/>
      </rPr>
      <t>soofdevalk@hotmail.com</t>
    </r>
  </si>
  <si>
    <t>Lars</t>
  </si>
  <si>
    <t>Grijsen</t>
  </si>
  <si>
    <r>
      <rPr>
        <rFont val="Helvetica Neue"/>
        <color rgb="FF1155CC"/>
        <u/>
      </rPr>
      <t>larsenroelien@gmail.com</t>
    </r>
  </si>
  <si>
    <t>Izabela</t>
  </si>
  <si>
    <t>Slodka</t>
  </si>
  <si>
    <r>
      <rPr>
        <rFont val="Helvetica Neue"/>
        <color rgb="FF1155CC"/>
        <u/>
      </rPr>
      <t>izaslodka@gmail.com</t>
    </r>
  </si>
  <si>
    <t>Juliëtte</t>
  </si>
  <si>
    <t>van Eeten</t>
  </si>
  <si>
    <r>
      <rPr>
        <rFont val="Helvetica Neue"/>
        <color rgb="FF1155CC"/>
        <u/>
      </rPr>
      <t>julietteve@gmail.com</t>
    </r>
  </si>
  <si>
    <t>Jonkers</t>
  </si>
  <si>
    <r>
      <rPr>
        <rFont val="Helvetica Neue"/>
        <color rgb="FF1155CC"/>
        <u/>
      </rPr>
      <t>es_jonkers@hotmail.com</t>
    </r>
  </si>
  <si>
    <t>Wietske</t>
  </si>
  <si>
    <t>van der Pol</t>
  </si>
  <si>
    <r>
      <rPr>
        <rFont val="Helvetica Neue"/>
        <color rgb="FF1155CC"/>
        <u/>
      </rPr>
      <t>wietskevanderpol@yahoo.com</t>
    </r>
  </si>
  <si>
    <t>van Driel</t>
  </si>
  <si>
    <r>
      <rPr>
        <rFont val="Helvetica Neue"/>
        <color rgb="FF1155CC"/>
        <u/>
      </rPr>
      <t>beterboompje@essebes.nl</t>
    </r>
  </si>
  <si>
    <t>#BB-25-7947</t>
  </si>
  <si>
    <t>Paola</t>
  </si>
  <si>
    <t>Lopez</t>
  </si>
  <si>
    <r>
      <rPr>
        <rFont val="Helvetica Neue"/>
        <color rgb="FF1155CC"/>
        <u/>
      </rPr>
      <t>paola.d.lopez@hotmail.com</t>
    </r>
  </si>
  <si>
    <t>Marjatta</t>
  </si>
  <si>
    <t>Ubbink</t>
  </si>
  <si>
    <r>
      <rPr>
        <rFont val="Helvetica Neue"/>
        <color rgb="FF1155CC"/>
        <u/>
      </rPr>
      <t>my.ubbink@gmail.com</t>
    </r>
  </si>
  <si>
    <t>Eslie</t>
  </si>
  <si>
    <t>van Keijzerswaard</t>
  </si>
  <si>
    <r>
      <rPr>
        <rFont val="Helvetica Neue"/>
        <color rgb="FF1155CC"/>
        <u/>
      </rPr>
      <t>evankeijzerswaard@gmail.com</t>
    </r>
  </si>
  <si>
    <t>Kathleen</t>
  </si>
  <si>
    <t>Travaille</t>
  </si>
  <si>
    <r>
      <rPr>
        <rFont val="Helvetica Neue"/>
        <color rgb="FF1155CC"/>
        <u/>
      </rPr>
      <t>KathleenTravaille@gmail.com</t>
    </r>
  </si>
  <si>
    <t>Rentenaar</t>
  </si>
  <si>
    <r>
      <rPr>
        <rFont val="Helvetica Neue"/>
        <color rgb="FF1155CC"/>
        <u/>
      </rPr>
      <t>ismay.rentenaar@live.nl</t>
    </r>
  </si>
  <si>
    <t>Willemieke</t>
  </si>
  <si>
    <t>Ligtenberg</t>
  </si>
  <si>
    <r>
      <rPr>
        <rFont val="Helvetica Neue"/>
        <color rgb="FF1155CC"/>
        <u/>
      </rPr>
      <t>willemiekeligtenberg@gmail.com</t>
    </r>
  </si>
  <si>
    <t>Wilma</t>
  </si>
  <si>
    <t>van der Schoot</t>
  </si>
  <si>
    <r>
      <rPr>
        <rFont val="Helvetica Neue"/>
        <color rgb="FF1155CC"/>
        <u/>
      </rPr>
      <t>wilma.vander.schoot@hetnet.nl</t>
    </r>
  </si>
  <si>
    <t>Petri</t>
  </si>
  <si>
    <r>
      <rPr>
        <rFont val="Helvetica Neue"/>
        <color rgb="FF1155CC"/>
        <u/>
      </rPr>
      <t>petrivis@gmail.com</t>
    </r>
  </si>
  <si>
    <t>Hooijman</t>
  </si>
  <si>
    <r>
      <rPr>
        <rFont val="Helvetica Neue"/>
        <color rgb="FF1155CC"/>
        <u/>
      </rPr>
      <t>ejm.hooijman@gmail.com</t>
    </r>
  </si>
  <si>
    <t>Kolkman</t>
  </si>
  <si>
    <r>
      <rPr>
        <rFont val="Helvetica Neue"/>
        <color rgb="FF1155CC"/>
        <u/>
      </rPr>
      <t>1000puzzelstukjes@gmail.com</t>
    </r>
  </si>
  <si>
    <r>
      <rPr>
        <rFont val="Helvetica Neue"/>
        <color rgb="FF1155CC"/>
        <u/>
      </rPr>
      <t>ham.geurtsen@upcmail.nl</t>
    </r>
  </si>
  <si>
    <t>Lieske</t>
  </si>
  <si>
    <t>Vorst</t>
  </si>
  <si>
    <r>
      <rPr>
        <rFont val="Helvetica Neue"/>
        <color rgb="FF1155CC"/>
        <u/>
      </rPr>
      <t>vorstegm@xs4all.nl</t>
    </r>
  </si>
  <si>
    <r>
      <rPr>
        <rFont val="Helvetica Neue"/>
        <color rgb="FF1155CC"/>
        <u/>
      </rPr>
      <t>zonneschijn07@gmail.com</t>
    </r>
  </si>
  <si>
    <r>
      <rPr>
        <rFont val="Helvetica Neue"/>
        <color rgb="FF1155CC"/>
        <u/>
      </rPr>
      <t>zonneschijn07@gmail.com</t>
    </r>
  </si>
  <si>
    <t>Vlasblom</t>
  </si>
  <si>
    <r>
      <rPr>
        <rFont val="Helvetica Neue"/>
        <color rgb="FF1155CC"/>
        <u/>
      </rPr>
      <t>annelies.vlasblom@freedom.nl</t>
    </r>
  </si>
  <si>
    <t>Opheij</t>
  </si>
  <si>
    <r>
      <rPr>
        <rFont val="Helvetica Neue"/>
        <color rgb="FF1155CC"/>
        <u/>
      </rPr>
      <t>josecromheecke@gmail.com</t>
    </r>
  </si>
  <si>
    <t>Daniële</t>
  </si>
  <si>
    <t>Streep</t>
  </si>
  <si>
    <r>
      <rPr>
        <rFont val="Helvetica Neue"/>
        <color rgb="FF1155CC"/>
        <u/>
      </rPr>
      <t>daniele.streep@gmail.com</t>
    </r>
  </si>
  <si>
    <t>Deborah</t>
  </si>
  <si>
    <t>van der Mars</t>
  </si>
  <si>
    <r>
      <rPr>
        <rFont val="Helvetica Neue"/>
        <color rgb="FF1155CC"/>
        <u/>
      </rPr>
      <t>deborahvdmars@gmail.com</t>
    </r>
  </si>
  <si>
    <t>Limmen</t>
  </si>
  <si>
    <r>
      <rPr>
        <rFont val="Helvetica Neue"/>
        <color rgb="FF1155CC"/>
        <u/>
      </rPr>
      <t>sarah_limmen@hotmail.com</t>
    </r>
  </si>
  <si>
    <t>Frederieke</t>
  </si>
  <si>
    <t>Vriends</t>
  </si>
  <si>
    <r>
      <rPr>
        <rFont val="Helvetica Neue"/>
        <color rgb="FF1155CC"/>
        <u/>
      </rPr>
      <t>frederieke.vriends@gmail.com</t>
    </r>
  </si>
  <si>
    <t>van Dijk</t>
  </si>
  <si>
    <r>
      <rPr>
        <rFont val="Helvetica Neue"/>
        <color rgb="FF1155CC"/>
        <u/>
      </rPr>
      <t>judithv.dijk93@hotmail.com</t>
    </r>
  </si>
  <si>
    <t>Pieternel</t>
  </si>
  <si>
    <t>Papineau Salm</t>
  </si>
  <si>
    <r>
      <rPr>
        <rFont val="Helvetica Neue"/>
        <color rgb="FF1155CC"/>
        <u/>
      </rPr>
      <t>pieternelsalm@hotmail.com</t>
    </r>
  </si>
  <si>
    <t>sandra</t>
  </si>
  <si>
    <t>mooren</t>
  </si>
  <si>
    <r>
      <rPr>
        <rFont val="Helvetica Neue"/>
        <color rgb="FF1155CC"/>
        <u/>
      </rPr>
      <t>smooren@hotmail.com</t>
    </r>
  </si>
  <si>
    <t>Ostendorf</t>
  </si>
  <si>
    <r>
      <rPr>
        <rFont val="Helvetica Neue"/>
        <color rgb="FF1155CC"/>
        <u/>
      </rPr>
      <t>loesostendorf@hotmail.com</t>
    </r>
  </si>
  <si>
    <t>AMJ</t>
  </si>
  <si>
    <t>Bluekens</t>
  </si>
  <si>
    <r>
      <rPr>
        <rFont val="Helvetica Neue"/>
        <color rgb="FF1155CC"/>
        <u/>
      </rPr>
      <t>bluek29@hotmail.com</t>
    </r>
  </si>
  <si>
    <t>De Feber</t>
  </si>
  <si>
    <r>
      <rPr>
        <rFont val="Helvetica Neue"/>
        <color rgb="FF1155CC"/>
        <u/>
      </rPr>
      <t>marga.de.feber@gmail.com</t>
    </r>
  </si>
  <si>
    <r>
      <rPr>
        <rFont val="Helvetica Neue"/>
        <color rgb="FF1155CC"/>
        <u/>
      </rPr>
      <t>iris.v.kleij@gmail.com</t>
    </r>
  </si>
  <si>
    <t>Louise</t>
  </si>
  <si>
    <t>Hogervorst</t>
  </si>
  <si>
    <r>
      <rPr>
        <rFont val="Helvetica Neue"/>
        <color rgb="FF1155CC"/>
        <u/>
      </rPr>
      <t>louisehogervorst@outlook.com</t>
    </r>
  </si>
  <si>
    <t>van Emmerik</t>
  </si>
  <si>
    <r>
      <rPr>
        <rFont val="Helvetica Neue"/>
        <color rgb="FF1155CC"/>
        <u/>
      </rPr>
      <t>judith.van.emmerik@xs4all.nl</t>
    </r>
  </si>
  <si>
    <t>Luit</t>
  </si>
  <si>
    <t>Mols</t>
  </si>
  <si>
    <r>
      <rPr>
        <rFont val="Helvetica Neue"/>
        <color rgb="FF1155CC"/>
        <u/>
      </rPr>
      <t>lmowe87@gmail.com</t>
    </r>
  </si>
  <si>
    <r>
      <rPr>
        <rFont val="Helvetica Neue"/>
        <color rgb="FF1155CC"/>
        <u/>
      </rPr>
      <t>lmowe87@gmail.com</t>
    </r>
  </si>
  <si>
    <t>Troost</t>
  </si>
  <si>
    <r>
      <rPr>
        <rFont val="Helvetica Neue"/>
        <color rgb="FF1155CC"/>
        <u/>
      </rPr>
      <t>rtroost@xs4all.nl</t>
    </r>
  </si>
  <si>
    <t>Ioana</t>
  </si>
  <si>
    <t>Biris</t>
  </si>
  <si>
    <r>
      <rPr>
        <rFont val="Helvetica Neue"/>
        <color rgb="FF1155CC"/>
        <u/>
      </rPr>
      <t>ioana@naturedesks.com</t>
    </r>
  </si>
  <si>
    <t>T</t>
  </si>
  <si>
    <t>Harteveld</t>
  </si>
  <si>
    <r>
      <rPr>
        <rFont val="Helvetica Neue"/>
        <color rgb="FF1155CC"/>
        <u/>
      </rPr>
      <t>t.harteveld@freeler.nl</t>
    </r>
  </si>
  <si>
    <r>
      <rPr>
        <rFont val="Helvetica Neue"/>
        <color rgb="FF1155CC"/>
        <u/>
      </rPr>
      <t>t.harteveld@freeler.nl</t>
    </r>
  </si>
  <si>
    <r>
      <rPr>
        <rFont val="Helvetica Neue"/>
        <color rgb="FF1155CC"/>
        <u/>
      </rPr>
      <t>joke_zwart@yahoo.com</t>
    </r>
  </si>
  <si>
    <t>Colette</t>
  </si>
  <si>
    <t>Rijk-Eppink</t>
  </si>
  <si>
    <r>
      <rPr>
        <rFont val="Helvetica Neue"/>
        <color rgb="FF1155CC"/>
        <u/>
      </rPr>
      <t>coletterijk@gmail.com</t>
    </r>
  </si>
  <si>
    <t>Fennande</t>
  </si>
  <si>
    <t>van der Meulen</t>
  </si>
  <si>
    <r>
      <rPr>
        <rFont val="Helvetica Neue"/>
        <color rgb="FF1155CC"/>
        <u/>
      </rPr>
      <t>fennande@gmail.com</t>
    </r>
  </si>
  <si>
    <t>Wams</t>
  </si>
  <si>
    <r>
      <rPr>
        <rFont val="Helvetica Neue"/>
        <color rgb="FF1155CC"/>
        <u/>
      </rPr>
      <t>anouk.wams@live.nl</t>
    </r>
  </si>
  <si>
    <t>Agatha</t>
  </si>
  <si>
    <t>Hielkema</t>
  </si>
  <si>
    <r>
      <rPr>
        <rFont val="Helvetica Neue"/>
        <color rgb="FF1155CC"/>
        <u/>
      </rPr>
      <t>brandsema@wendius.nl</t>
    </r>
  </si>
  <si>
    <t>Jennifer</t>
  </si>
  <si>
    <t>Gjertsen</t>
  </si>
  <si>
    <r>
      <rPr>
        <rFont val="Helvetica Neue"/>
        <color rgb="FF1155CC"/>
        <u/>
      </rPr>
      <t>jennifergjertsen@gmail.com</t>
    </r>
  </si>
  <si>
    <t>Annemiek</t>
  </si>
  <si>
    <t>de Wilde</t>
  </si>
  <si>
    <r>
      <rPr>
        <rFont val="Helvetica Neue"/>
        <color rgb="FF1155CC"/>
        <u/>
      </rPr>
      <t>annemiekdewilde76@gmail.com</t>
    </r>
  </si>
  <si>
    <t>Pablo</t>
  </si>
  <si>
    <t>Lamberti</t>
  </si>
  <si>
    <r>
      <rPr>
        <rFont val="Helvetica Neue"/>
        <color rgb="FF1155CC"/>
        <u/>
      </rPr>
      <t>pablolamberti@protonmail.com</t>
    </r>
  </si>
  <si>
    <t>Wieke</t>
  </si>
  <si>
    <t>Storm</t>
  </si>
  <si>
    <r>
      <rPr>
        <rFont val="Helvetica Neue"/>
        <color rgb="FF1155CC"/>
        <u/>
      </rPr>
      <t>wiekestorm@hotmail.com</t>
    </r>
  </si>
  <si>
    <t>van Empel</t>
  </si>
  <si>
    <r>
      <rPr>
        <rFont val="Helvetica Neue"/>
        <color rgb="FF1155CC"/>
        <u/>
      </rPr>
      <t>judithvanempel@gmail.com</t>
    </r>
  </si>
  <si>
    <t>Elene</t>
  </si>
  <si>
    <r>
      <rPr>
        <rFont val="Helvetica Neue"/>
        <color rgb="FF1155CC"/>
        <u/>
      </rPr>
      <t>elene.van.den.berg@xs4all.nl</t>
    </r>
  </si>
  <si>
    <t>Veldkamp</t>
  </si>
  <si>
    <r>
      <rPr>
        <rFont val="Helvetica Neue"/>
        <color rgb="FF1155CC"/>
        <u/>
      </rPr>
      <t>tobias.veldkamp@outlook.com</t>
    </r>
  </si>
  <si>
    <t>ANNE-CLAIRE</t>
  </si>
  <si>
    <r>
      <rPr>
        <rFont val="Helvetica Neue"/>
        <color rgb="FF1155CC"/>
        <u/>
      </rPr>
      <t>acmulder@xs4all.nl</t>
    </r>
  </si>
  <si>
    <t>van Hees</t>
  </si>
  <si>
    <r>
      <rPr>
        <rFont val="Helvetica Neue"/>
        <color rgb="FF1155CC"/>
        <u/>
      </rPr>
      <t>rm.vanhees@gmail.com</t>
    </r>
  </si>
  <si>
    <t>#BB-25-8007</t>
  </si>
  <si>
    <t>Joelle</t>
  </si>
  <si>
    <t>Buizert</t>
  </si>
  <si>
    <r>
      <rPr>
        <rFont val="Helvetica Neue"/>
        <color rgb="FF1155CC"/>
        <u/>
      </rPr>
      <t>koek@tuta.com</t>
    </r>
  </si>
  <si>
    <t>van Bemmel</t>
  </si>
  <si>
    <r>
      <rPr>
        <rFont val="Helvetica Neue"/>
        <color rgb="FF1155CC"/>
        <u/>
      </rPr>
      <t>hannahvanbemmel@gmail.com</t>
    </r>
  </si>
  <si>
    <t>Furtado</t>
  </si>
  <si>
    <r>
      <rPr>
        <rFont val="Helvetica Neue"/>
        <color rgb="FF1155CC"/>
        <u/>
      </rPr>
      <t>annecarolinenobre@gmail.com</t>
    </r>
  </si>
  <si>
    <r>
      <rPr>
        <rFont val="Helvetica Neue"/>
        <color rgb="FF1155CC"/>
        <u/>
      </rPr>
      <t>annecarolinenobre@gmail.com</t>
    </r>
  </si>
  <si>
    <t>Job</t>
  </si>
  <si>
    <t>de Lange</t>
  </si>
  <si>
    <r>
      <rPr>
        <rFont val="Helvetica Neue"/>
        <color rgb="FF1155CC"/>
        <u/>
      </rPr>
      <t>jobdelange@hotmail.nl</t>
    </r>
  </si>
  <si>
    <t>Justine</t>
  </si>
  <si>
    <t>Aaronson</t>
  </si>
  <si>
    <r>
      <rPr>
        <rFont val="Helvetica Neue"/>
        <color rgb="FF1155CC"/>
        <u/>
      </rPr>
      <t>justine.aaronson@gmail.com</t>
    </r>
  </si>
  <si>
    <t>Iselin</t>
  </si>
  <si>
    <t>Keune</t>
  </si>
  <si>
    <r>
      <rPr>
        <rFont val="Helvetica Neue"/>
        <color rgb="FF1155CC"/>
        <u/>
      </rPr>
      <t>iselinkeune@hotmail.com</t>
    </r>
  </si>
  <si>
    <t>Liere</t>
  </si>
  <si>
    <r>
      <rPr>
        <rFont val="Helvetica Neue"/>
        <color rgb="FF1155CC"/>
        <u/>
      </rPr>
      <t>marloes_van_liere@hotmail.com</t>
    </r>
  </si>
  <si>
    <t>mieke</t>
  </si>
  <si>
    <t>dupont</t>
  </si>
  <si>
    <r>
      <rPr>
        <rFont val="Helvetica Neue"/>
        <color rgb="FF1155CC"/>
        <u/>
      </rPr>
      <t>miekedupont@hotmail.com</t>
    </r>
  </si>
  <si>
    <t>Walinga</t>
  </si>
  <si>
    <r>
      <rPr>
        <rFont val="Helvetica Neue"/>
        <color rgb="FF1155CC"/>
        <u/>
      </rPr>
      <t>dnwalinga@hotmail.com</t>
    </r>
  </si>
  <si>
    <t>Moonen</t>
  </si>
  <si>
    <r>
      <rPr>
        <rFont val="Helvetica Neue"/>
        <color rgb="FF1155CC"/>
        <u/>
      </rPr>
      <t>michellemoonen@outlook.com</t>
    </r>
  </si>
  <si>
    <t>Emily</t>
  </si>
  <si>
    <t>Van ravels</t>
  </si>
  <si>
    <r>
      <rPr>
        <rFont val="Helvetica Neue"/>
        <color rgb="FF1155CC"/>
        <u/>
      </rPr>
      <t>eajvanravels@gmail.com</t>
    </r>
  </si>
  <si>
    <r>
      <rPr>
        <rFont val="Helvetica Neue"/>
        <color rgb="FF1155CC"/>
        <u/>
      </rPr>
      <t>eajvanravels@gmail.com</t>
    </r>
  </si>
  <si>
    <t>Kruiper</t>
  </si>
  <si>
    <r>
      <rPr>
        <rFont val="Helvetica Neue"/>
        <color rgb="FF1155CC"/>
        <u/>
      </rPr>
      <t>jb.kruiper@gmail.com</t>
    </r>
  </si>
  <si>
    <t>Arjen</t>
  </si>
  <si>
    <r>
      <rPr>
        <rFont val="Helvetica Neue"/>
        <color rgb="FF1155CC"/>
        <u/>
      </rPr>
      <t>sasarjen@gmail.com</t>
    </r>
  </si>
  <si>
    <t>Marij</t>
  </si>
  <si>
    <t>Quirijnen</t>
  </si>
  <si>
    <r>
      <rPr>
        <rFont val="Helvetica Neue"/>
        <color rgb="FF1155CC"/>
        <u/>
      </rPr>
      <t>marijquirijnen@gmail.com</t>
    </r>
  </si>
  <si>
    <t>Vi</t>
  </si>
  <si>
    <t>van Hemme</t>
  </si>
  <si>
    <r>
      <rPr>
        <rFont val="Helvetica Neue"/>
        <color rgb="FF1155CC"/>
        <u/>
      </rPr>
      <t>p.hemme@upcmail.nl</t>
    </r>
  </si>
  <si>
    <t>Tjebbe</t>
  </si>
  <si>
    <t>Broek</t>
  </si>
  <si>
    <r>
      <rPr>
        <rFont val="Helvetica Neue"/>
        <color rgb="FF1155CC"/>
        <u/>
      </rPr>
      <t>tjebbe.broek@outlook.com</t>
    </r>
  </si>
  <si>
    <t>Rosman</t>
  </si>
  <si>
    <r>
      <rPr>
        <rFont val="Helvetica Neue"/>
        <color rgb="FF1155CC"/>
        <u/>
      </rPr>
      <t>floor.rosman@gmail.com</t>
    </r>
  </si>
  <si>
    <t>Steph</t>
  </si>
  <si>
    <t>Rammeloo</t>
  </si>
  <si>
    <r>
      <rPr>
        <rFont val="Helvetica Neue"/>
        <color rgb="FF1155CC"/>
        <u/>
      </rPr>
      <t>stephanie@dreamboat.nu</t>
    </r>
  </si>
  <si>
    <t>Marte</t>
  </si>
  <si>
    <t>Rozendaal</t>
  </si>
  <si>
    <r>
      <rPr>
        <rFont val="Helvetica Neue"/>
        <color rgb="FF1155CC"/>
        <u/>
      </rPr>
      <t>marte.rozendaal@gmail.com</t>
    </r>
  </si>
  <si>
    <t>Alfonsi</t>
  </si>
  <si>
    <r>
      <rPr>
        <rFont val="Helvetica Neue"/>
        <color rgb="FF1155CC"/>
        <u/>
      </rPr>
      <t>emmaalfonsi31@gmail.com</t>
    </r>
  </si>
  <si>
    <t>Remko</t>
  </si>
  <si>
    <t>Theulings</t>
  </si>
  <si>
    <r>
      <rPr>
        <rFont val="Helvetica Neue"/>
        <color rgb="FF1155CC"/>
        <u/>
      </rPr>
      <t>r.theulings@gmail.com</t>
    </r>
  </si>
  <si>
    <t>Spaans</t>
  </si>
  <si>
    <r>
      <rPr>
        <rFont val="Helvetica Neue"/>
        <color rgb="FF1155CC"/>
        <u/>
      </rPr>
      <t>mar10spaan@gmail.com</t>
    </r>
  </si>
  <si>
    <t>Isabel</t>
  </si>
  <si>
    <t>Gorsira</t>
  </si>
  <si>
    <r>
      <rPr>
        <rFont val="Helvetica Neue"/>
        <color rgb="FF1155CC"/>
        <u/>
      </rPr>
      <t>isabelgorsira@gmail.com</t>
    </r>
  </si>
  <si>
    <t>Aafjes</t>
  </si>
  <si>
    <r>
      <rPr>
        <rFont val="Helvetica Neue"/>
        <color rgb="FF1155CC"/>
        <u/>
      </rPr>
      <t>dorisaafjes98@gmail.com</t>
    </r>
  </si>
  <si>
    <t>Leijen</t>
  </si>
  <si>
    <r>
      <rPr>
        <rFont val="Helvetica Neue"/>
        <color rgb="FF1155CC"/>
        <u/>
      </rPr>
      <t>noraleijen@hotmail.com</t>
    </r>
  </si>
  <si>
    <t>Louman-Slot</t>
  </si>
  <si>
    <r>
      <rPr>
        <rFont val="Helvetica Neue"/>
        <color rgb="FF1155CC"/>
        <u/>
      </rPr>
      <t>samlouman@gmail.com</t>
    </r>
  </si>
  <si>
    <t>Splinter</t>
  </si>
  <si>
    <r>
      <rPr>
        <rFont val="Helvetica Neue"/>
        <color rgb="FF1155CC"/>
        <u/>
      </rPr>
      <t>paul.splinter@hotmail.com</t>
    </r>
  </si>
  <si>
    <t>Dijk</t>
  </si>
  <si>
    <r>
      <rPr>
        <rFont val="Helvetica Neue"/>
        <color rgb="FF1155CC"/>
        <u/>
      </rPr>
      <t>koenvandijk1989@gmail.com</t>
    </r>
  </si>
  <si>
    <t>Wiets</t>
  </si>
  <si>
    <t>Sonneveld</t>
  </si>
  <si>
    <r>
      <rPr>
        <rFont val="Helvetica Neue"/>
        <color rgb="FF1155CC"/>
        <u/>
      </rPr>
      <t>annewietske@hotmail.com</t>
    </r>
  </si>
  <si>
    <t>Josée</t>
  </si>
  <si>
    <t>van der Hoek</t>
  </si>
  <si>
    <r>
      <rPr>
        <rFont val="Helvetica Neue"/>
        <color rgb="FF1155CC"/>
        <u/>
      </rPr>
      <t>josee@goldfinch.es</t>
    </r>
  </si>
  <si>
    <t>Marina</t>
  </si>
  <si>
    <t>Desiderio</t>
  </si>
  <si>
    <r>
      <rPr>
        <rFont val="Helvetica Neue"/>
        <color rgb="FF1155CC"/>
        <u/>
      </rPr>
      <t>mdesiderio2512@gmail.com</t>
    </r>
  </si>
  <si>
    <t>Caroline</t>
  </si>
  <si>
    <t>Dijkshoorn</t>
  </si>
  <si>
    <r>
      <rPr>
        <rFont val="Helvetica Neue"/>
        <color rgb="FF1155CC"/>
        <u/>
      </rPr>
      <t>c.dijkshoorn@hotmail.com</t>
    </r>
  </si>
  <si>
    <t>Flore</t>
  </si>
  <si>
    <t>Le roy</t>
  </si>
  <si>
    <r>
      <rPr>
        <rFont val="Helvetica Neue"/>
        <color rgb="FF1155CC"/>
        <u/>
      </rPr>
      <t>flore.leroy@yahoo.fr</t>
    </r>
  </si>
  <si>
    <t>Lara</t>
  </si>
  <si>
    <t>Loeffen</t>
  </si>
  <si>
    <r>
      <rPr>
        <rFont val="Helvetica Neue"/>
        <color rgb="FF1155CC"/>
        <u/>
      </rPr>
      <t>lara_loeffen@hotmail.com</t>
    </r>
  </si>
  <si>
    <t>Wildbret</t>
  </si>
  <si>
    <r>
      <rPr>
        <rFont val="Helvetica Neue"/>
        <color rgb="FF1155CC"/>
        <u/>
      </rPr>
      <t>sannewildbret@live.nl</t>
    </r>
  </si>
  <si>
    <t>Reeves</t>
  </si>
  <si>
    <r>
      <rPr>
        <rFont val="Helvetica Neue"/>
        <color rgb="FF1155CC"/>
        <u/>
      </rPr>
      <t>kjreeves8@gmail.com</t>
    </r>
  </si>
  <si>
    <t>van Sark</t>
  </si>
  <si>
    <r>
      <rPr>
        <rFont val="Helvetica Neue"/>
        <color rgb="FF1155CC"/>
        <u/>
      </rPr>
      <t>sophie.vansark@hotmail.com</t>
    </r>
  </si>
  <si>
    <t>Tjeerd</t>
  </si>
  <si>
    <t>Melchers</t>
  </si>
  <si>
    <r>
      <rPr>
        <rFont val="Helvetica Neue"/>
        <color rgb="FF1155CC"/>
        <u/>
      </rPr>
      <t>tjeerdmelchers@gmail.com</t>
    </r>
  </si>
  <si>
    <t>Jeannet</t>
  </si>
  <si>
    <t>Numan</t>
  </si>
  <si>
    <r>
      <rPr>
        <rFont val="Helvetica Neue"/>
        <color rgb="FF1155CC"/>
        <u/>
      </rPr>
      <t>jeannetnuman@gmail.com</t>
    </r>
  </si>
  <si>
    <t>Geert</t>
  </si>
  <si>
    <r>
      <rPr>
        <rFont val="Helvetica Neue"/>
        <color rgb="FF1155CC"/>
        <u/>
      </rPr>
      <t>gjmvandermeulen@gmail.com</t>
    </r>
  </si>
  <si>
    <t>Guido</t>
  </si>
  <si>
    <t>den Teuling</t>
  </si>
  <si>
    <r>
      <rPr>
        <rFont val="Helvetica Neue"/>
        <color rgb="FF1155CC"/>
        <u/>
      </rPr>
      <t>guido.den.teuling@protonmail.com</t>
    </r>
  </si>
  <si>
    <t>van de Rijt</t>
  </si>
  <si>
    <r>
      <rPr>
        <rFont val="Helvetica Neue"/>
        <color rgb="FF1155CC"/>
        <u/>
      </rPr>
      <t>irisvdrijt@hotmail.com</t>
    </r>
  </si>
  <si>
    <t>Lieneke</t>
  </si>
  <si>
    <t>Gunter</t>
  </si>
  <si>
    <r>
      <rPr>
        <rFont val="Helvetica Neue"/>
        <color rgb="FF1155CC"/>
        <u/>
      </rPr>
      <t>lpmgunter@ziggo.nl</t>
    </r>
  </si>
  <si>
    <t>Marise</t>
  </si>
  <si>
    <t>Heerma van Voss</t>
  </si>
  <si>
    <r>
      <rPr>
        <rFont val="Helvetica Neue"/>
        <color rgb="FF1155CC"/>
        <u/>
      </rPr>
      <t>marisehvv@gmail.com</t>
    </r>
  </si>
  <si>
    <t>Scott</t>
  </si>
  <si>
    <t>Wilson</t>
  </si>
  <si>
    <r>
      <rPr>
        <rFont val="Helvetica Neue"/>
        <color rgb="FF1155CC"/>
        <u/>
      </rPr>
      <t>theonozone@gmail.com</t>
    </r>
  </si>
  <si>
    <t>Christa</t>
  </si>
  <si>
    <t>Linders</t>
  </si>
  <si>
    <r>
      <rPr>
        <rFont val="Helvetica Neue"/>
        <color rgb="FF1155CC"/>
        <u/>
      </rPr>
      <t>christalinders@hotmail.com</t>
    </r>
  </si>
  <si>
    <t>Jens</t>
  </si>
  <si>
    <t>van der Weert</t>
  </si>
  <si>
    <r>
      <rPr>
        <rFont val="Helvetica Neue"/>
        <color rgb="FF1155CC"/>
        <u/>
      </rPr>
      <t>jvdweert@hotmail.com</t>
    </r>
  </si>
  <si>
    <t>M.F.</t>
  </si>
  <si>
    <t>Hoefman</t>
  </si>
  <si>
    <r>
      <rPr>
        <rFont val="Helvetica Neue"/>
        <color rgb="FF1155CC"/>
        <u/>
      </rPr>
      <t>mevrouw.manon@gmail.com</t>
    </r>
  </si>
  <si>
    <t>Ymkje</t>
  </si>
  <si>
    <t>Koopal</t>
  </si>
  <si>
    <r>
      <rPr>
        <rFont val="Helvetica Neue"/>
        <color rgb="FF1155CC"/>
        <u/>
      </rPr>
      <t>ym_koopal@hotmail.com</t>
    </r>
  </si>
  <si>
    <r>
      <rPr>
        <rFont val="Helvetica Neue"/>
        <color rgb="FF1155CC"/>
        <u/>
      </rPr>
      <t>mariekepaulinevandenberg@gmail.com</t>
    </r>
  </si>
  <si>
    <r>
      <rPr>
        <rFont val="Helvetica Neue"/>
        <color rgb="FF1155CC"/>
        <u/>
      </rPr>
      <t>horn.tammi@gmail.com</t>
    </r>
  </si>
  <si>
    <t>Kloos</t>
  </si>
  <si>
    <r>
      <rPr>
        <rFont val="Helvetica Neue"/>
        <color rgb="FF1155CC"/>
        <u/>
      </rPr>
      <t>kloosmf@gmail.com</t>
    </r>
  </si>
  <si>
    <t>Tuinenburg</t>
  </si>
  <si>
    <r>
      <rPr>
        <rFont val="Helvetica Neue"/>
        <color rgb="FF1155CC"/>
        <u/>
      </rPr>
      <t>mereltuinenburg@hotmail.com</t>
    </r>
  </si>
  <si>
    <t>Liefhebber</t>
  </si>
  <si>
    <r>
      <rPr>
        <rFont val="Helvetica Neue"/>
        <color rgb="FF1155CC"/>
        <u/>
      </rPr>
      <t>nickliefhebber@gmail.com</t>
    </r>
  </si>
  <si>
    <r>
      <rPr>
        <rFont val="Helvetica Neue"/>
        <color rgb="FF1155CC"/>
        <u/>
      </rPr>
      <t>s.bakker39@gmail.com</t>
    </r>
  </si>
  <si>
    <t>Magalie</t>
  </si>
  <si>
    <t>Carlucci</t>
  </si>
  <si>
    <r>
      <rPr>
        <rFont val="Helvetica Neue"/>
        <color rgb="FF1155CC"/>
        <u/>
      </rPr>
      <t>magalie.carlucci@gmail.com</t>
    </r>
  </si>
  <si>
    <t>van Westerlaak - Dorr</t>
  </si>
  <si>
    <r>
      <rPr>
        <rFont val="Helvetica Neue"/>
        <color rgb="FF1155CC"/>
        <u/>
      </rPr>
      <t>evavanwesterlaak@gmail.com</t>
    </r>
  </si>
  <si>
    <t>Karin</t>
  </si>
  <si>
    <t>Rivière</t>
  </si>
  <si>
    <r>
      <rPr>
        <rFont val="Helvetica Neue"/>
        <color rgb="FF1155CC"/>
        <u/>
      </rPr>
      <t>heijstraten@yahoo.com</t>
    </r>
  </si>
  <si>
    <t>Versteeg</t>
  </si>
  <si>
    <r>
      <rPr>
        <rFont val="Helvetica Neue"/>
        <color rgb="FF1155CC"/>
        <u/>
      </rPr>
      <t>maartjebergmeijer@hotmail.com</t>
    </r>
  </si>
  <si>
    <t>Ariënne</t>
  </si>
  <si>
    <t>Mak</t>
  </si>
  <si>
    <r>
      <rPr>
        <rFont val="Helvetica Neue"/>
        <color rgb="FF1155CC"/>
        <u/>
      </rPr>
      <t>ariennemak@gmail.com</t>
    </r>
  </si>
  <si>
    <t>van der Meer</t>
  </si>
  <si>
    <r>
      <rPr>
        <rFont val="Helvetica Neue"/>
        <color rgb="FF1155CC"/>
        <u/>
      </rPr>
      <t>davidvandermeer7@hotmail.com</t>
    </r>
  </si>
  <si>
    <t>Bette</t>
  </si>
  <si>
    <t>Westerhoff</t>
  </si>
  <si>
    <r>
      <rPr>
        <rFont val="Helvetica Neue"/>
        <color rgb="FF1155CC"/>
        <u/>
      </rPr>
      <t>bette.westerhoff@gmail.com</t>
    </r>
  </si>
  <si>
    <r>
      <rPr>
        <rFont val="Helvetica Neue"/>
        <color rgb="FF1155CC"/>
        <u/>
      </rPr>
      <t>mariskasmitsbalder@gmail.com</t>
    </r>
  </si>
  <si>
    <t>Polderman-van Jaarsveld</t>
  </si>
  <si>
    <r>
      <rPr>
        <rFont val="Helvetica Neue"/>
        <color rgb="FF1155CC"/>
        <u/>
      </rPr>
      <t>michellevanjaarsveld@hotmail.com</t>
    </r>
  </si>
  <si>
    <t>Maran</t>
  </si>
  <si>
    <t>Nijmeijer</t>
  </si>
  <si>
    <r>
      <rPr>
        <rFont val="Helvetica Neue"/>
        <color rgb="FF1155CC"/>
        <u/>
      </rPr>
      <t>marannijmeijer@hotmail.com</t>
    </r>
  </si>
  <si>
    <t>Jeff</t>
  </si>
  <si>
    <t>Lafranca</t>
  </si>
  <si>
    <r>
      <rPr>
        <rFont val="Helvetica Neue"/>
        <color rgb="FF1155CC"/>
        <u/>
      </rPr>
      <t>j.a.lafranca@gmail.com</t>
    </r>
  </si>
  <si>
    <t>Beeldman</t>
  </si>
  <si>
    <r>
      <rPr>
        <rFont val="Helvetica Neue"/>
        <color rgb="FF1155CC"/>
        <u/>
      </rPr>
      <t>emmabeeldman@gmail.com</t>
    </r>
  </si>
  <si>
    <t>Yara</t>
  </si>
  <si>
    <t>Kronieger</t>
  </si>
  <si>
    <r>
      <rPr>
        <rFont val="Helvetica Neue"/>
        <color rgb="FF1155CC"/>
        <u/>
      </rPr>
      <t>ykronieger@gmail.com</t>
    </r>
  </si>
  <si>
    <t>van der Kooi</t>
  </si>
  <si>
    <r>
      <rPr>
        <rFont val="Helvetica Neue"/>
        <color rgb="FF1155CC"/>
        <u/>
      </rPr>
      <t>uittenbroek@gmail.com</t>
    </r>
  </si>
  <si>
    <t>Elstgeest</t>
  </si>
  <si>
    <r>
      <rPr>
        <rFont val="Helvetica Neue"/>
        <color rgb="FF1155CC"/>
        <u/>
      </rPr>
      <t>elstgeest.n@gmail.com</t>
    </r>
  </si>
  <si>
    <t>#BB-25-8107</t>
  </si>
  <si>
    <t>Daya</t>
  </si>
  <si>
    <t>Aerts</t>
  </si>
  <si>
    <r>
      <rPr>
        <rFont val="Helvetica Neue"/>
        <color rgb="FF1155CC"/>
        <u/>
      </rPr>
      <t>dayaaerts@icloud.com</t>
    </r>
  </si>
  <si>
    <t>Adriana</t>
  </si>
  <si>
    <t>Cerdeira</t>
  </si>
  <si>
    <r>
      <rPr>
        <rFont val="Helvetica Neue"/>
        <color rgb="FF1155CC"/>
        <u/>
      </rPr>
      <t>adriana.cerdeira.fernandes@gmail.com</t>
    </r>
  </si>
  <si>
    <t>Djoeri</t>
  </si>
  <si>
    <t>Wildeboer</t>
  </si>
  <si>
    <r>
      <rPr>
        <rFont val="Helvetica Neue"/>
        <color rgb="FF1155CC"/>
        <u/>
      </rPr>
      <t>djoeriwildeboer@gmail.com</t>
    </r>
  </si>
  <si>
    <t>alex</t>
  </si>
  <si>
    <t>de graaf</t>
  </si>
  <si>
    <r>
      <rPr>
        <rFont val="Helvetica Neue"/>
        <color rgb="FF1155CC"/>
        <u/>
      </rPr>
      <t>test@freshframes.nl</t>
    </r>
  </si>
  <si>
    <r>
      <rPr>
        <rFont val="Helvetica Neue"/>
        <color rgb="FF1155CC"/>
        <u/>
      </rPr>
      <t>test@freshframes.nl</t>
    </r>
  </si>
  <si>
    <r>
      <rPr>
        <rFont val="Helvetica Neue"/>
        <color rgb="FF1155CC"/>
        <u/>
      </rPr>
      <t>test@freshframes.nl</t>
    </r>
  </si>
  <si>
    <t>#BB-25-8114</t>
  </si>
  <si>
    <t>Velderman</t>
  </si>
  <si>
    <r>
      <rPr>
        <rFont val="Helvetica Neue"/>
        <color rgb="FF1155CC"/>
        <u/>
      </rPr>
      <t>madulfer@gmail.com</t>
    </r>
  </si>
  <si>
    <t>Irem</t>
  </si>
  <si>
    <t>Ekici</t>
  </si>
  <si>
    <r>
      <rPr>
        <rFont val="Helvetica Neue"/>
        <color rgb="FF1155CC"/>
        <u/>
      </rPr>
      <t>irem.eal@gmail.com</t>
    </r>
  </si>
  <si>
    <r>
      <rPr>
        <rFont val="Helvetica Neue"/>
        <color rgb="FF1155CC"/>
        <u/>
      </rPr>
      <t>irem.eal@gmail.com</t>
    </r>
  </si>
  <si>
    <t>v L</t>
  </si>
  <si>
    <r>
      <rPr>
        <rFont val="Helvetica Neue"/>
        <color rgb="FF1155CC"/>
        <u/>
      </rPr>
      <t>marloesloenhout@hotmail.com</t>
    </r>
  </si>
  <si>
    <r>
      <rPr>
        <rFont val="Helvetica Neue"/>
        <color rgb="FF1155CC"/>
        <u/>
      </rPr>
      <t>mdewit22@hotmail.com</t>
    </r>
  </si>
  <si>
    <t>Marèse</t>
  </si>
  <si>
    <t>Deckers</t>
  </si>
  <si>
    <r>
      <rPr>
        <rFont val="Helvetica Neue"/>
        <color rgb="FF1155CC"/>
        <u/>
      </rPr>
      <t>maresedeckers@hetnet.nl</t>
    </r>
  </si>
  <si>
    <r>
      <rPr>
        <rFont val="Helvetica Neue"/>
        <color rgb="FF1155CC"/>
        <u/>
      </rPr>
      <t>miloukeijzer@gmail.com</t>
    </r>
  </si>
  <si>
    <t>#BB-25-8120</t>
  </si>
  <si>
    <r>
      <rPr>
        <rFont val="Helvetica Neue"/>
        <color rgb="FF1155CC"/>
        <u/>
      </rPr>
      <t>sannetimmer@hotmail.nl</t>
    </r>
  </si>
  <si>
    <t>Michelia</t>
  </si>
  <si>
    <t>Kramer</t>
  </si>
  <si>
    <r>
      <rPr>
        <rFont val="Helvetica Neue"/>
        <color rgb="FF1155CC"/>
        <u/>
      </rPr>
      <t>icekrame@gmail.com</t>
    </r>
  </si>
  <si>
    <r>
      <rPr>
        <rFont val="Helvetica Neue"/>
        <color rgb="FF1155CC"/>
        <u/>
      </rPr>
      <t>icekrame@gmail.com</t>
    </r>
  </si>
  <si>
    <t>Jitske</t>
  </si>
  <si>
    <t>Zijlstra</t>
  </si>
  <si>
    <r>
      <rPr>
        <rFont val="Helvetica Neue"/>
        <color rgb="FF1155CC"/>
        <u/>
      </rPr>
      <t>jitskezijlstra@icloud.com</t>
    </r>
  </si>
  <si>
    <t>Rensen</t>
  </si>
  <si>
    <r>
      <rPr>
        <rFont val="Helvetica Neue"/>
        <color rgb="FF1155CC"/>
        <u/>
      </rPr>
      <t>jenniferrensen@outlook.com</t>
    </r>
  </si>
  <si>
    <r>
      <rPr>
        <rFont val="Helvetica Neue"/>
        <color rgb="FF1155CC"/>
        <u/>
      </rPr>
      <t>jenniferrensen@outlook.com</t>
    </r>
  </si>
  <si>
    <t>Rosan</t>
  </si>
  <si>
    <t>Groefsema-Slebioda</t>
  </si>
  <si>
    <r>
      <rPr>
        <rFont val="Helvetica Neue"/>
        <color rgb="FF1155CC"/>
        <u/>
      </rPr>
      <t>rosanslebioda@gmail.com</t>
    </r>
  </si>
  <si>
    <t>Evgeniya</t>
  </si>
  <si>
    <t>Maltseva</t>
  </si>
  <si>
    <r>
      <rPr>
        <rFont val="Helvetica Neue"/>
        <color rgb="FF1155CC"/>
        <u/>
      </rPr>
      <t>laramonapechugona@proton.me</t>
    </r>
  </si>
  <si>
    <t>Joey</t>
  </si>
  <si>
    <t>Knol</t>
  </si>
  <si>
    <r>
      <rPr>
        <rFont val="Helvetica Neue"/>
        <color rgb="FF1155CC"/>
        <u/>
      </rPr>
      <t>joeyknol@gmail.com</t>
    </r>
  </si>
  <si>
    <t>#BB-25-8092</t>
  </si>
  <si>
    <t>Kuypers</t>
  </si>
  <si>
    <r>
      <rPr>
        <rFont val="Helvetica Neue"/>
        <color rgb="FF1155CC"/>
        <u/>
      </rPr>
      <t>kuypers.maud@gmail.com</t>
    </r>
  </si>
  <si>
    <t>Josje</t>
  </si>
  <si>
    <t>Van Noorden</t>
  </si>
  <si>
    <r>
      <rPr>
        <rFont val="Helvetica Neue"/>
        <color rgb="FF1155CC"/>
        <u/>
      </rPr>
      <t>josjevannoorden@hotmail.com</t>
    </r>
  </si>
  <si>
    <t>van Wijngaarden</t>
  </si>
  <si>
    <r>
      <rPr>
        <rFont val="Helvetica Neue"/>
        <color rgb="FF1155CC"/>
        <u/>
      </rPr>
      <t>j.a.m.vanwijngaarden@planet.nl</t>
    </r>
  </si>
  <si>
    <t>Frans</t>
  </si>
  <si>
    <r>
      <rPr>
        <rFont val="Helvetica Neue"/>
        <color rgb="FF1155CC"/>
        <u/>
      </rPr>
      <t>fmol2018@ziggo.nl</t>
    </r>
  </si>
  <si>
    <t>Friso</t>
  </si>
  <si>
    <t>Smaal</t>
  </si>
  <si>
    <r>
      <rPr>
        <rFont val="Helvetica Neue"/>
        <color rgb="FF1155CC"/>
        <u/>
      </rPr>
      <t>frisosmaal@live.nl</t>
    </r>
  </si>
  <si>
    <t>Durieux</t>
  </si>
  <si>
    <r>
      <rPr>
        <rFont val="Helvetica Neue"/>
        <color rgb="FF1155CC"/>
        <u/>
      </rPr>
      <t>sanne_durieux@hotmail.com</t>
    </r>
  </si>
  <si>
    <t>Stromeier</t>
  </si>
  <si>
    <r>
      <rPr>
        <rFont val="Helvetica Neue"/>
        <color rgb="FF1155CC"/>
        <u/>
      </rPr>
      <t>mstromeier@gmail.com</t>
    </r>
  </si>
  <si>
    <t>Yvo</t>
  </si>
  <si>
    <t>Steenbergen</t>
  </si>
  <si>
    <r>
      <rPr>
        <rFont val="Helvetica Neue"/>
        <color rgb="FF1155CC"/>
        <u/>
      </rPr>
      <t>balderasmar@yahoo.com</t>
    </r>
  </si>
  <si>
    <t>Boshuis</t>
  </si>
  <si>
    <r>
      <rPr>
        <rFont val="Helvetica Neue"/>
        <color rgb="FF1155CC"/>
        <u/>
      </rPr>
      <t>chantalboshuis@gmail.com</t>
    </r>
  </si>
  <si>
    <t>Munns</t>
  </si>
  <si>
    <r>
      <rPr>
        <rFont val="Helvetica Neue"/>
        <color rgb="FF1155CC"/>
        <u/>
      </rPr>
      <t>thomas.munns@gmail.com</t>
    </r>
  </si>
  <si>
    <t>#BB-25-8144</t>
  </si>
  <si>
    <t>Mayra</t>
  </si>
  <si>
    <t>Hesselink</t>
  </si>
  <si>
    <r>
      <rPr>
        <rFont val="Helvetica Neue"/>
        <color rgb="FF1155CC"/>
        <u/>
      </rPr>
      <t>mayrahesselink@gmail.com</t>
    </r>
  </si>
  <si>
    <t>Robert</t>
  </si>
  <si>
    <t>Swart</t>
  </si>
  <si>
    <r>
      <rPr>
        <rFont val="Helvetica Neue"/>
        <color rgb="FF1155CC"/>
        <u/>
      </rPr>
      <t>robertswart@gmail.com</t>
    </r>
  </si>
  <si>
    <t>Mirla</t>
  </si>
  <si>
    <r>
      <rPr>
        <rFont val="Helvetica Neue"/>
        <color rgb="FF1155CC"/>
        <u/>
      </rPr>
      <t>mirla@mirlaklijn.nl</t>
    </r>
  </si>
  <si>
    <t>Dinkelaar</t>
  </si>
  <si>
    <r>
      <rPr>
        <rFont val="Helvetica Neue"/>
        <color rgb="FF1155CC"/>
        <u/>
      </rPr>
      <t>marguerite_faure@hotmail.com</t>
    </r>
  </si>
  <si>
    <t>Gelder</t>
  </si>
  <si>
    <r>
      <rPr>
        <rFont val="Helvetica Neue"/>
        <color rgb="FF1155CC"/>
        <u/>
      </rPr>
      <t>acgelder@hotmail.com</t>
    </r>
  </si>
  <si>
    <t>Heijen</t>
  </si>
  <si>
    <r>
      <rPr>
        <rFont val="Helvetica Neue"/>
        <color rgb="FF1155CC"/>
        <u/>
      </rPr>
      <t>annabel@inmotioncollective.nl</t>
    </r>
  </si>
  <si>
    <t>Martin</t>
  </si>
  <si>
    <t>Sandford</t>
  </si>
  <si>
    <r>
      <rPr>
        <rFont val="Helvetica Neue"/>
        <color rgb="FF1155CC"/>
        <u/>
      </rPr>
      <t>f2hmrsandford686@hetnet.nl</t>
    </r>
  </si>
  <si>
    <t>Leenders</t>
  </si>
  <si>
    <r>
      <rPr>
        <rFont val="Helvetica Neue"/>
        <color rgb="FF1155CC"/>
        <u/>
      </rPr>
      <t>lisannebroeders@hotmail.com</t>
    </r>
  </si>
  <si>
    <t>Jan Willem</t>
  </si>
  <si>
    <t>van der Wel</t>
  </si>
  <si>
    <r>
      <rPr>
        <rFont val="Helvetica Neue"/>
        <color rgb="FF1155CC"/>
        <u/>
      </rPr>
      <t>jw.vd.wel@hccnet.nl</t>
    </r>
  </si>
  <si>
    <t>tinka</t>
  </si>
  <si>
    <t>doesburg</t>
  </si>
  <si>
    <r>
      <rPr>
        <rFont val="Helvetica Neue"/>
        <color rgb="FF1155CC"/>
        <u/>
      </rPr>
      <t>tinkadoesburg@hotmail.com</t>
    </r>
  </si>
  <si>
    <t>#BB-25-8128</t>
  </si>
  <si>
    <t>Blaauw</t>
  </si>
  <si>
    <r>
      <rPr>
        <rFont val="Helvetica Neue"/>
        <color rgb="FF1155CC"/>
        <u/>
      </rPr>
      <t>margrietblaauw@gmail.com</t>
    </r>
  </si>
  <si>
    <t>Tom</t>
  </si>
  <si>
    <t>Nijsten</t>
  </si>
  <si>
    <r>
      <rPr>
        <rFont val="Helvetica Neue"/>
        <color rgb="FF1155CC"/>
        <u/>
      </rPr>
      <t>tomnijsten@gmail.com</t>
    </r>
  </si>
  <si>
    <t>Mariëtte</t>
  </si>
  <si>
    <t>Brand</t>
  </si>
  <si>
    <r>
      <rPr>
        <rFont val="Helvetica Neue"/>
        <color rgb="FF1155CC"/>
        <u/>
      </rPr>
      <t>mariettelaurabrand@gmail.com</t>
    </r>
  </si>
  <si>
    <t>Van beek</t>
  </si>
  <si>
    <r>
      <rPr>
        <rFont val="Helvetica Neue"/>
        <color rgb="FF1155CC"/>
        <u/>
      </rPr>
      <t>ttvanbeek@gmail.com</t>
    </r>
  </si>
  <si>
    <t>Have</t>
  </si>
  <si>
    <r>
      <rPr>
        <rFont val="Helvetica Neue"/>
        <color rgb="FF1155CC"/>
        <u/>
      </rPr>
      <t>jaspertenhave@hotmail.com</t>
    </r>
  </si>
  <si>
    <t>Thoonen</t>
  </si>
  <si>
    <r>
      <rPr>
        <rFont val="Helvetica Neue"/>
        <color rgb="FF1155CC"/>
        <u/>
      </rPr>
      <t>michielth@outlook.com</t>
    </r>
  </si>
  <si>
    <t>Veronique</t>
  </si>
  <si>
    <t>De Leon</t>
  </si>
  <si>
    <r>
      <rPr>
        <rFont val="Helvetica Neue"/>
        <color rgb="FF1155CC"/>
        <u/>
      </rPr>
      <t>contact.vdeleon@gmail.com</t>
    </r>
  </si>
  <si>
    <t>Dorijn</t>
  </si>
  <si>
    <r>
      <rPr>
        <rFont val="Helvetica Neue"/>
        <color rgb="FF1155CC"/>
        <u/>
      </rPr>
      <t>dorijnotto@gmail.com</t>
    </r>
  </si>
  <si>
    <t>van Vredendaal</t>
  </si>
  <si>
    <r>
      <rPr>
        <rFont val="Helvetica Neue"/>
        <color rgb="FF1155CC"/>
        <u/>
      </rPr>
      <t>marloes241992@gmail.com</t>
    </r>
  </si>
  <si>
    <t>Marietje</t>
  </si>
  <si>
    <t>Sanders - van der Vorst</t>
  </si>
  <si>
    <r>
      <rPr>
        <rFont val="Helvetica Neue"/>
        <color rgb="FF1155CC"/>
        <u/>
      </rPr>
      <t>marietje.sanders@upcmail.nl</t>
    </r>
  </si>
  <si>
    <t>Noordhoff</t>
  </si>
  <si>
    <r>
      <rPr>
        <rFont val="Helvetica Neue"/>
        <color rgb="FF1155CC"/>
        <u/>
      </rPr>
      <t>henknoordhoff@hotmail.com</t>
    </r>
  </si>
  <si>
    <t>Heijmen</t>
  </si>
  <si>
    <r>
      <rPr>
        <rFont val="Helvetica Neue"/>
        <color rgb="FF1155CC"/>
        <u/>
      </rPr>
      <t>heijmen.karin@gmail.com</t>
    </r>
  </si>
  <si>
    <t>van Hove</t>
  </si>
  <si>
    <r>
      <rPr>
        <rFont val="Helvetica Neue"/>
        <color rgb="FF1155CC"/>
        <u/>
      </rPr>
      <t>mariekevanhove@hotmail.com</t>
    </r>
  </si>
  <si>
    <r>
      <rPr>
        <rFont val="Helvetica Neue"/>
        <color rgb="FF1155CC"/>
        <u/>
      </rPr>
      <t>charlotte.dhaas@gmail.com</t>
    </r>
  </si>
  <si>
    <t>Willem</t>
  </si>
  <si>
    <t>van der Deijl</t>
  </si>
  <si>
    <r>
      <rPr>
        <rFont val="Helvetica Neue"/>
        <color rgb="FF1155CC"/>
        <u/>
      </rPr>
      <t>wjavanderdeijl@gmail.com</t>
    </r>
  </si>
  <si>
    <t>Ariel</t>
  </si>
  <si>
    <t>Trager Nieto</t>
  </si>
  <si>
    <r>
      <rPr>
        <rFont val="Helvetica Neue"/>
        <color rgb="FF1155CC"/>
        <u/>
      </rPr>
      <t>ariel.tn16@gmail.com</t>
    </r>
  </si>
  <si>
    <r>
      <rPr>
        <rFont val="Helvetica Neue"/>
        <color rgb="FF1155CC"/>
        <u/>
      </rPr>
      <t>mevandijk1@gmail.com</t>
    </r>
  </si>
  <si>
    <t>Sebestikova</t>
  </si>
  <si>
    <r>
      <rPr>
        <rFont val="Helvetica Neue"/>
        <color rgb="FF1155CC"/>
        <u/>
      </rPr>
      <t>l.sebestikova@gmail.com</t>
    </r>
  </si>
  <si>
    <t>Abbey</t>
  </si>
  <si>
    <t>Mense</t>
  </si>
  <si>
    <r>
      <rPr>
        <rFont val="Helvetica Neue"/>
        <color rgb="FF1155CC"/>
        <u/>
      </rPr>
      <t>abbey2503@gmail.com</t>
    </r>
  </si>
  <si>
    <r>
      <rPr>
        <rFont val="Helvetica Neue"/>
        <color rgb="FF1155CC"/>
        <u/>
      </rPr>
      <t>stefanhuisman@proton.me</t>
    </r>
  </si>
  <si>
    <t>Jonah</t>
  </si>
  <si>
    <r>
      <rPr>
        <rFont val="Helvetica Neue"/>
        <color rgb="FF1155CC"/>
        <u/>
      </rPr>
      <t>j.n.h.link@gmail.com</t>
    </r>
  </si>
  <si>
    <t>Simoens</t>
  </si>
  <si>
    <r>
      <rPr>
        <rFont val="Helvetica Neue"/>
        <color rgb="FF1155CC"/>
        <u/>
      </rPr>
      <t>anneschmid@gmx.de</t>
    </r>
  </si>
  <si>
    <t>Wije</t>
  </si>
  <si>
    <t>Hermesdorf</t>
  </si>
  <si>
    <r>
      <rPr>
        <rFont val="Helvetica Neue"/>
        <color rgb="FF1155CC"/>
        <u/>
      </rPr>
      <t>wije1999@hotmail.com</t>
    </r>
  </si>
  <si>
    <r>
      <rPr>
        <rFont val="Helvetica Neue"/>
        <color rgb="FF1155CC"/>
        <u/>
      </rPr>
      <t>nuenke.michel@casema.nl</t>
    </r>
  </si>
  <si>
    <t>de Haan</t>
  </si>
  <si>
    <r>
      <rPr>
        <rFont val="Helvetica Neue"/>
        <color rgb="FF1155CC"/>
        <u/>
      </rPr>
      <t>michelledehaan@hotmail.com</t>
    </r>
  </si>
  <si>
    <t>Addy</t>
  </si>
  <si>
    <t>Beek</t>
  </si>
  <si>
    <r>
      <rPr>
        <rFont val="Helvetica Neue"/>
        <color rgb="FF1155CC"/>
        <u/>
      </rPr>
      <t>addyvanbeek@gmail.com</t>
    </r>
  </si>
  <si>
    <t>van der Marel</t>
  </si>
  <si>
    <r>
      <rPr>
        <rFont val="Helvetica Neue"/>
        <color rgb="FF1155CC"/>
        <u/>
      </rPr>
      <t>lisavdmarel@gmail.com</t>
    </r>
  </si>
  <si>
    <t>Liselot</t>
  </si>
  <si>
    <t>Homburg</t>
  </si>
  <si>
    <r>
      <rPr>
        <rFont val="Helvetica Neue"/>
        <color rgb="FF1155CC"/>
        <u/>
      </rPr>
      <t>liselot.homburg@hotmail.com</t>
    </r>
  </si>
  <si>
    <r>
      <rPr>
        <rFont val="Helvetica Neue"/>
        <color rgb="FF1155CC"/>
        <u/>
      </rPr>
      <t>liselot.homburg@hotmail.com</t>
    </r>
  </si>
  <si>
    <t>Linde</t>
  </si>
  <si>
    <t>Beekhuizen-vos</t>
  </si>
  <si>
    <r>
      <rPr>
        <rFont val="Helvetica Neue"/>
        <color rgb="FF1155CC"/>
        <u/>
      </rPr>
      <t>beekhuizen.vos@wxs.nl</t>
    </r>
  </si>
  <si>
    <t>Luimes</t>
  </si>
  <si>
    <r>
      <rPr>
        <rFont val="Helvetica Neue"/>
        <color rgb="FF1155CC"/>
        <u/>
      </rPr>
      <t>annemiekluimes@gmail.com</t>
    </r>
  </si>
  <si>
    <t>Jani</t>
  </si>
  <si>
    <t>Erickson</t>
  </si>
  <si>
    <r>
      <rPr>
        <rFont val="Helvetica Neue"/>
        <color rgb="FF1155CC"/>
        <u/>
      </rPr>
      <t>janierickson@gmail.com</t>
    </r>
  </si>
  <si>
    <r>
      <rPr>
        <rFont val="Helvetica Neue"/>
        <color rgb="FF1155CC"/>
        <u/>
      </rPr>
      <t>bianca@wildflowerswellbeing.nl</t>
    </r>
  </si>
  <si>
    <r>
      <rPr>
        <rFont val="Helvetica Neue"/>
        <color rgb="FF1155CC"/>
        <u/>
      </rPr>
      <t>ilsemeijer99@gmail.com</t>
    </r>
  </si>
  <si>
    <r>
      <rPr>
        <rFont val="Helvetica Neue"/>
        <color rgb="FF1155CC"/>
        <u/>
      </rPr>
      <t>evelinevermeer@hotmail.com</t>
    </r>
  </si>
  <si>
    <r>
      <rPr>
        <rFont val="Helvetica Neue"/>
        <color rgb="FF1155CC"/>
        <u/>
      </rPr>
      <t>cardebruijn@ziggo.nl</t>
    </r>
  </si>
  <si>
    <t>Wendy</t>
  </si>
  <si>
    <t>Beers</t>
  </si>
  <si>
    <r>
      <rPr>
        <rFont val="Helvetica Neue"/>
        <color rgb="FF1155CC"/>
        <u/>
      </rPr>
      <t>wendybeers@gmail.com</t>
    </r>
  </si>
  <si>
    <t>Jelle</t>
  </si>
  <si>
    <t>Derckx</t>
  </si>
  <si>
    <r>
      <rPr>
        <rFont val="Helvetica Neue"/>
        <color rgb="FF1155CC"/>
        <u/>
      </rPr>
      <t>jellederckx@gmail.com</t>
    </r>
  </si>
  <si>
    <t>Punt</t>
  </si>
  <si>
    <r>
      <rPr>
        <rFont val="Helvetica Neue"/>
        <color rgb="FF1155CC"/>
        <u/>
      </rPr>
      <t>amepunt@gmail.com</t>
    </r>
  </si>
  <si>
    <t>Stam</t>
  </si>
  <si>
    <r>
      <rPr>
        <rFont val="Helvetica Neue"/>
        <color rgb="FF1155CC"/>
        <u/>
      </rPr>
      <t>mariellestam@hotmail.nl</t>
    </r>
  </si>
  <si>
    <t>#BB-25-8210</t>
  </si>
  <si>
    <t>Ariane</t>
  </si>
  <si>
    <t>Kräutner</t>
  </si>
  <si>
    <r>
      <rPr>
        <rFont val="Helvetica Neue"/>
        <color rgb="FF1155CC"/>
        <u/>
      </rPr>
      <t>ai.kraeutner2011@gmail.com</t>
    </r>
  </si>
  <si>
    <t>#BB-25-8211</t>
  </si>
  <si>
    <t>Tollenaar</t>
  </si>
  <si>
    <r>
      <rPr>
        <rFont val="Helvetica Neue"/>
        <color rgb="FF1155CC"/>
        <u/>
      </rPr>
      <t>judithtollenaar@outlook.com</t>
    </r>
  </si>
  <si>
    <t>Jim</t>
  </si>
  <si>
    <t>van Mourik</t>
  </si>
  <si>
    <r>
      <rPr>
        <rFont val="Helvetica Neue"/>
        <color rgb="FF1155CC"/>
        <u/>
      </rPr>
      <t>jvmourik@gmail.com</t>
    </r>
  </si>
  <si>
    <t>Elsemieke</t>
  </si>
  <si>
    <t>Van Belzen</t>
  </si>
  <si>
    <r>
      <rPr>
        <rFont val="Helvetica Neue"/>
        <color rgb="FF1155CC"/>
        <u/>
      </rPr>
      <t>elsemiekevanbelzen@gmail.com</t>
    </r>
  </si>
  <si>
    <r>
      <rPr>
        <rFont val="Helvetica Neue"/>
        <color rgb="FF1155CC"/>
        <u/>
      </rPr>
      <t>e.berendsen@casema.nl</t>
    </r>
  </si>
  <si>
    <t>marijn</t>
  </si>
  <si>
    <r>
      <rPr>
        <rFont val="Helvetica Neue"/>
        <color rgb="FF1155CC"/>
        <u/>
      </rPr>
      <t>marijn_hermans123@hotmail.com</t>
    </r>
  </si>
  <si>
    <t>Wanda</t>
  </si>
  <si>
    <t>Huinink</t>
  </si>
  <si>
    <r>
      <rPr>
        <rFont val="Helvetica Neue"/>
        <color rgb="FF1155CC"/>
        <u/>
      </rPr>
      <t>wandahuinink@gmail.com</t>
    </r>
  </si>
  <si>
    <t>Hagenaar</t>
  </si>
  <si>
    <r>
      <rPr>
        <rFont val="Helvetica Neue"/>
        <color rgb="FF1155CC"/>
        <u/>
      </rPr>
      <t>renskehagenaar@gmail.com</t>
    </r>
  </si>
  <si>
    <t>Daemen</t>
  </si>
  <si>
    <r>
      <rPr>
        <rFont val="Helvetica Neue"/>
        <color rgb="FF1155CC"/>
        <u/>
      </rPr>
      <t>timdaemen97@hotmail.com</t>
    </r>
  </si>
  <si>
    <t>Van Lieshout</t>
  </si>
  <si>
    <r>
      <rPr>
        <rFont val="Helvetica Neue"/>
        <color rgb="FF1155CC"/>
        <u/>
      </rPr>
      <t>Annabelvanlieshout@gmail.com</t>
    </r>
  </si>
  <si>
    <r>
      <rPr>
        <rFont val="Helvetica Neue"/>
        <color rgb="FF1155CC"/>
        <u/>
      </rPr>
      <t>eveliensmits88@gmail.com</t>
    </r>
  </si>
  <si>
    <t>JP</t>
  </si>
  <si>
    <t>Van KEMPEN</t>
  </si>
  <si>
    <r>
      <rPr>
        <rFont val="Helvetica Neue"/>
        <color rgb="FF1155CC"/>
        <u/>
      </rPr>
      <t>avankempen@hotmail.com</t>
    </r>
  </si>
  <si>
    <t>Jannet</t>
  </si>
  <si>
    <t>Schuurman</t>
  </si>
  <si>
    <r>
      <rPr>
        <rFont val="Helvetica Neue"/>
        <color rgb="FF1155CC"/>
        <u/>
      </rPr>
      <t>jannetschuurman@duck.com</t>
    </r>
  </si>
  <si>
    <t>Beatrijs</t>
  </si>
  <si>
    <t>Voorneman</t>
  </si>
  <si>
    <r>
      <rPr>
        <rFont val="Helvetica Neue"/>
        <color rgb="FF1155CC"/>
        <u/>
      </rPr>
      <t>b.voorneman@gmail.com</t>
    </r>
  </si>
  <si>
    <t>Meddy</t>
  </si>
  <si>
    <t>Bongers-karmaoui</t>
  </si>
  <si>
    <r>
      <rPr>
        <rFont val="Helvetica Neue"/>
        <color rgb="FF1155CC"/>
        <u/>
      </rPr>
      <t>meddy_karmaoui@hotmail.com</t>
    </r>
  </si>
  <si>
    <t>Vincent</t>
  </si>
  <si>
    <t>Harmsen</t>
  </si>
  <si>
    <r>
      <rPr>
        <rFont val="Helvetica Neue"/>
        <color rgb="FF1155CC"/>
        <u/>
      </rPr>
      <t>vincentharmsen@protonmail.com</t>
    </r>
  </si>
  <si>
    <t>Marlous</t>
  </si>
  <si>
    <t>Stout</t>
  </si>
  <si>
    <r>
      <rPr>
        <rFont val="Helvetica Neue"/>
        <color rgb="FF1155CC"/>
        <u/>
      </rPr>
      <t>marlousstout@gmail.com</t>
    </r>
  </si>
  <si>
    <t>Sylvia</t>
  </si>
  <si>
    <t>Tuin</t>
  </si>
  <si>
    <r>
      <rPr>
        <rFont val="Helvetica Neue"/>
        <color rgb="FF1155CC"/>
        <u/>
      </rPr>
      <t>sylvia.tuin@kpnmail.nl</t>
    </r>
  </si>
  <si>
    <t>Schelwald</t>
  </si>
  <si>
    <r>
      <rPr>
        <rFont val="Helvetica Neue"/>
        <color rgb="FF1155CC"/>
        <u/>
      </rPr>
      <t>bijlholtrenate@gmail.com</t>
    </r>
  </si>
  <si>
    <t>Floris</t>
  </si>
  <si>
    <t>Van der Pouw</t>
  </si>
  <si>
    <r>
      <rPr>
        <rFont val="Helvetica Neue"/>
        <color rgb="FF1155CC"/>
        <u/>
      </rPr>
      <t>fvdpouw@gmail.com</t>
    </r>
  </si>
  <si>
    <t>Joline</t>
  </si>
  <si>
    <t>Heusinkveld</t>
  </si>
  <si>
    <r>
      <rPr>
        <rFont val="Helvetica Neue"/>
        <color rgb="FF1155CC"/>
        <u/>
      </rPr>
      <t>joline_heusinkveld@hotmail.com</t>
    </r>
  </si>
  <si>
    <t>Faber</t>
  </si>
  <si>
    <r>
      <rPr>
        <rFont val="Helvetica Neue"/>
        <color rgb="FF1155CC"/>
        <u/>
      </rPr>
      <t>loes08@hotmail.com</t>
    </r>
  </si>
  <si>
    <t>Stella</t>
  </si>
  <si>
    <r>
      <rPr>
        <rFont val="Helvetica Neue"/>
        <color rgb="FF1155CC"/>
        <u/>
      </rPr>
      <t>stellapurple8@hotmail.com</t>
    </r>
  </si>
  <si>
    <t>Gijsbert</t>
  </si>
  <si>
    <t>van Zuilen</t>
  </si>
  <si>
    <r>
      <rPr>
        <rFont val="Helvetica Neue"/>
        <color rgb="FF1155CC"/>
        <u/>
      </rPr>
      <t>gijsbertvanzuilen@hotmail.com</t>
    </r>
  </si>
  <si>
    <t>Barelds</t>
  </si>
  <si>
    <r>
      <rPr>
        <rFont val="Helvetica Neue"/>
        <color rgb="FF1155CC"/>
        <u/>
      </rPr>
      <t>abarelds@gmail.com</t>
    </r>
  </si>
  <si>
    <t>Jon</t>
  </si>
  <si>
    <t>Duifhuis</t>
  </si>
  <si>
    <r>
      <rPr>
        <rFont val="Helvetica Neue"/>
        <color rgb="FF1155CC"/>
        <u/>
      </rPr>
      <t>jonduif@hotmail.com</t>
    </r>
  </si>
  <si>
    <t>Yentl</t>
  </si>
  <si>
    <r>
      <rPr>
        <rFont val="Helvetica Neue"/>
        <color rgb="FF1155CC"/>
        <u/>
      </rPr>
      <t>yentldelange@gmail.com</t>
    </r>
  </si>
  <si>
    <t>Chrisje</t>
  </si>
  <si>
    <r>
      <rPr>
        <rFont val="Helvetica Neue"/>
        <color rgb="FF1155CC"/>
        <u/>
      </rPr>
      <t>hendriks.chrisje@gmail.com</t>
    </r>
  </si>
  <si>
    <t>Berkhout</t>
  </si>
  <si>
    <r>
      <rPr>
        <rFont val="Helvetica Neue"/>
        <color rgb="FF1155CC"/>
        <u/>
      </rPr>
      <t>d.j.berkhout@gmail.com</t>
    </r>
  </si>
  <si>
    <t>Struik</t>
  </si>
  <si>
    <r>
      <rPr>
        <rFont val="Helvetica Neue"/>
        <color rgb="FF1155CC"/>
        <u/>
      </rPr>
      <t>hildestruik@gmail.com</t>
    </r>
  </si>
  <si>
    <t>Mantingh</t>
  </si>
  <si>
    <r>
      <rPr>
        <rFont val="Helvetica Neue"/>
        <color rgb="FF1155CC"/>
        <u/>
      </rPr>
      <t>lotte.mantingh@hotmail.com</t>
    </r>
  </si>
  <si>
    <t>Jacomijn</t>
  </si>
  <si>
    <t>Van Seters</t>
  </si>
  <si>
    <r>
      <rPr>
        <rFont val="Helvetica Neue"/>
        <color rgb="FF1155CC"/>
        <u/>
      </rPr>
      <t>jacomijnvanseters@hotmail.com</t>
    </r>
  </si>
  <si>
    <r>
      <rPr>
        <rFont val="Helvetica Neue"/>
        <color rgb="FF1155CC"/>
        <u/>
      </rPr>
      <t>minkebu@hotmail.com</t>
    </r>
  </si>
  <si>
    <t>Waskowskij</t>
  </si>
  <si>
    <r>
      <rPr>
        <rFont val="Helvetica Neue"/>
        <color rgb="FF1155CC"/>
        <u/>
      </rPr>
      <t>charlottewaskowskij@hotmail.com</t>
    </r>
  </si>
  <si>
    <t>van Houtum</t>
  </si>
  <si>
    <r>
      <rPr>
        <rFont val="Helvetica Neue"/>
        <color rgb="FF1155CC"/>
        <u/>
      </rPr>
      <t>jannekevanhoutum@live.nl</t>
    </r>
  </si>
  <si>
    <t>De Rek</t>
  </si>
  <si>
    <r>
      <rPr>
        <rFont val="Helvetica Neue"/>
        <color rgb="FF1155CC"/>
        <u/>
      </rPr>
      <t>a.j.derek@hotmail.com</t>
    </r>
  </si>
  <si>
    <t>Freijssen</t>
  </si>
  <si>
    <r>
      <rPr>
        <rFont val="Helvetica Neue"/>
        <color rgb="FF1155CC"/>
        <u/>
      </rPr>
      <t>bartfreijssen@hotmail.com</t>
    </r>
  </si>
  <si>
    <t>Yolande</t>
  </si>
  <si>
    <t>van Harten</t>
  </si>
  <si>
    <r>
      <rPr>
        <rFont val="Helvetica Neue"/>
        <color rgb="FF1155CC"/>
        <u/>
      </rPr>
      <t>yolandevanharten@gmail.com</t>
    </r>
  </si>
  <si>
    <t>Ramon</t>
  </si>
  <si>
    <t>van den Dungen</t>
  </si>
  <si>
    <r>
      <rPr>
        <rFont val="Helvetica Neue"/>
        <color rgb="FF1155CC"/>
        <u/>
      </rPr>
      <t>ramonvandendungen@gmail.com</t>
    </r>
  </si>
  <si>
    <r>
      <rPr>
        <rFont val="Helvetica Neue"/>
        <color rgb="FF1155CC"/>
        <u/>
      </rPr>
      <t>test2@beterboompje.nl</t>
    </r>
  </si>
  <si>
    <r>
      <rPr>
        <rFont val="Helvetica Neue"/>
        <color rgb="FF1155CC"/>
        <u/>
      </rPr>
      <t>test2@beterboompje.nl</t>
    </r>
  </si>
  <si>
    <r>
      <rPr>
        <rFont val="Helvetica Neue"/>
        <color rgb="FF1155CC"/>
        <u/>
      </rPr>
      <t>test2@beterboompje.nl</t>
    </r>
  </si>
  <si>
    <t>Hanna</t>
  </si>
  <si>
    <r>
      <rPr>
        <rFont val="Helvetica Neue"/>
        <color rgb="FF1155CC"/>
        <u/>
      </rPr>
      <t>hannavveeren@gmail.com</t>
    </r>
  </si>
  <si>
    <t>Kort</t>
  </si>
  <si>
    <r>
      <rPr>
        <rFont val="Helvetica Neue"/>
        <color rgb="FF1155CC"/>
        <u/>
      </rPr>
      <t>cbmkort@hotmail.com</t>
    </r>
  </si>
  <si>
    <t>Albers</t>
  </si>
  <si>
    <r>
      <rPr>
        <rFont val="Helvetica Neue"/>
        <color rgb="FF1155CC"/>
        <u/>
      </rPr>
      <t>julie.albers@live.nl</t>
    </r>
  </si>
  <si>
    <t>Liebregts</t>
  </si>
  <si>
    <r>
      <rPr>
        <rFont val="Helvetica Neue"/>
        <color rgb="FF1155CC"/>
        <u/>
      </rPr>
      <t>joost14@gmail.com</t>
    </r>
  </si>
  <si>
    <t>van der Valk-Metz</t>
  </si>
  <si>
    <r>
      <rPr>
        <rFont val="Helvetica Neue"/>
        <color rgb="FF1155CC"/>
        <u/>
      </rPr>
      <t>vd.valkpraktijk@gmail.com</t>
    </r>
  </si>
  <si>
    <t>Christine</t>
  </si>
  <si>
    <t>Jones</t>
  </si>
  <si>
    <r>
      <rPr>
        <rFont val="Helvetica Neue"/>
        <color rgb="FF1155CC"/>
        <u/>
      </rPr>
      <t>belaroo@gmail.com</t>
    </r>
  </si>
  <si>
    <t>van den Broek</t>
  </si>
  <si>
    <r>
      <rPr>
        <rFont val="Helvetica Neue"/>
        <color rgb="FF1155CC"/>
        <u/>
      </rPr>
      <t>joke.mb.vandenbroek@gmail.com</t>
    </r>
  </si>
  <si>
    <t>L</t>
  </si>
  <si>
    <t>Kaasenbrood</t>
  </si>
  <si>
    <r>
      <rPr>
        <rFont val="Helvetica Neue"/>
        <color rgb="FF1155CC"/>
        <u/>
      </rPr>
      <t>lotte160@hotmail.com</t>
    </r>
  </si>
  <si>
    <t>Frederique</t>
  </si>
  <si>
    <t>Van Bruggen</t>
  </si>
  <si>
    <r>
      <rPr>
        <rFont val="Helvetica Neue"/>
        <color rgb="FF1155CC"/>
        <u/>
      </rPr>
      <t>bartenfrederique@gmail.com</t>
    </r>
  </si>
  <si>
    <t>Veldhuis</t>
  </si>
  <si>
    <r>
      <rPr>
        <rFont val="Helvetica Neue"/>
        <color rgb="FF1155CC"/>
        <u/>
      </rPr>
      <t>jannekegouda@gmail.com</t>
    </r>
  </si>
  <si>
    <t>Jacob</t>
  </si>
  <si>
    <r>
      <rPr>
        <rFont val="Helvetica Neue"/>
        <color rgb="FF1155CC"/>
        <u/>
      </rPr>
      <t>dansenaanzee@ziggo.nl</t>
    </r>
  </si>
  <si>
    <t>#BB-25-8272</t>
  </si>
  <si>
    <t>Tursi</t>
  </si>
  <si>
    <r>
      <rPr>
        <rFont val="Helvetica Neue"/>
        <color rgb="FF1155CC"/>
        <u/>
      </rPr>
      <t>max@cngcoins.com</t>
    </r>
  </si>
  <si>
    <t>Brouwer</t>
  </si>
  <si>
    <r>
      <rPr>
        <rFont val="Helvetica Neue"/>
        <color rgb="FF1155CC"/>
        <u/>
      </rPr>
      <t>jgmbrouwer@upcmail.nl</t>
    </r>
  </si>
  <si>
    <t>van Ruymbeke</t>
  </si>
  <si>
    <r>
      <rPr>
        <rFont val="Helvetica Neue"/>
        <color rgb="FF1155CC"/>
        <u/>
      </rPr>
      <t>mvanruymbeke@hotmail.com</t>
    </r>
  </si>
  <si>
    <t>Schepens</t>
  </si>
  <si>
    <r>
      <rPr>
        <rFont val="Helvetica Neue"/>
        <color rgb="FF1155CC"/>
        <u/>
      </rPr>
      <t>jjbfg.schepens@gmail.com</t>
    </r>
  </si>
  <si>
    <r>
      <rPr>
        <rFont val="Helvetica Neue"/>
        <color rgb="FF1155CC"/>
        <u/>
      </rPr>
      <t>ericadpaul@gmail.com</t>
    </r>
  </si>
  <si>
    <t>Geukes</t>
  </si>
  <si>
    <r>
      <rPr>
        <rFont val="Helvetica Neue"/>
        <color rgb="FF1155CC"/>
        <u/>
      </rPr>
      <t>l.h.geukes@gmail.com</t>
    </r>
  </si>
  <si>
    <t>Scheifes</t>
  </si>
  <si>
    <r>
      <rPr>
        <rFont val="Helvetica Neue"/>
        <color rgb="FF1155CC"/>
        <u/>
      </rPr>
      <t>sscheifes@hotmail.com</t>
    </r>
  </si>
  <si>
    <t>christien</t>
  </si>
  <si>
    <t>de jong</t>
  </si>
  <si>
    <r>
      <rPr>
        <rFont val="Helvetica Neue"/>
        <color rgb="FF1155CC"/>
        <u/>
      </rPr>
      <t>petitfourtje@gmail.com</t>
    </r>
  </si>
  <si>
    <t>Siebe</t>
  </si>
  <si>
    <t>Anbeek</t>
  </si>
  <si>
    <r>
      <rPr>
        <rFont val="Helvetica Neue"/>
        <color rgb="FF1155CC"/>
        <u/>
      </rPr>
      <t>s.anbeek@gmail.com</t>
    </r>
  </si>
  <si>
    <t>Stephen</t>
  </si>
  <si>
    <t>van den Hoek</t>
  </si>
  <si>
    <r>
      <rPr>
        <rFont val="Helvetica Neue"/>
        <color rgb="FF1155CC"/>
        <u/>
      </rPr>
      <t>stephenvandenhoek@gmail.com</t>
    </r>
  </si>
  <si>
    <t>Geluk</t>
  </si>
  <si>
    <r>
      <rPr>
        <rFont val="Helvetica Neue"/>
        <color rgb="FF1155CC"/>
        <u/>
      </rPr>
      <t>plgeluk@gmail.com</t>
    </r>
  </si>
  <si>
    <r>
      <rPr>
        <rFont val="Helvetica Neue"/>
        <color rgb="FF1155CC"/>
        <u/>
      </rPr>
      <t>plgeluk@gmail.com</t>
    </r>
  </si>
  <si>
    <t>Inez</t>
  </si>
  <si>
    <t>Brinkhoff</t>
  </si>
  <si>
    <r>
      <rPr>
        <rFont val="Helvetica Neue"/>
        <color rgb="FF1155CC"/>
        <u/>
      </rPr>
      <t>ibrinkhoff@gmail.com</t>
    </r>
  </si>
  <si>
    <t>Langerveld</t>
  </si>
  <si>
    <r>
      <rPr>
        <rFont val="Helvetica Neue"/>
        <color rgb="FF1155CC"/>
        <u/>
      </rPr>
      <t>titialangerveld@hetnet.nl</t>
    </r>
  </si>
  <si>
    <t>Stouthart</t>
  </si>
  <si>
    <r>
      <rPr>
        <rFont val="Helvetica Neue"/>
        <color rgb="FF1155CC"/>
        <u/>
      </rPr>
      <t>nicostouthart@gmail.com</t>
    </r>
  </si>
  <si>
    <t>Bertrand</t>
  </si>
  <si>
    <r>
      <rPr>
        <rFont val="Helvetica Neue"/>
        <color rgb="FF1155CC"/>
        <u/>
      </rPr>
      <t>lotjebertrand@gmail.com</t>
    </r>
  </si>
  <si>
    <t>van der Tuuk</t>
  </si>
  <si>
    <r>
      <rPr>
        <rFont val="Helvetica Neue"/>
        <color rgb="FF1155CC"/>
        <u/>
      </rPr>
      <t>rosalievdtuuk@gmail.com</t>
    </r>
  </si>
  <si>
    <t>Cordier</t>
  </si>
  <si>
    <r>
      <rPr>
        <rFont val="Helvetica Neue"/>
        <color rgb="FF1155CC"/>
        <u/>
      </rPr>
      <t>dominiquecordier@hotmail.com</t>
    </r>
  </si>
  <si>
    <t>A</t>
  </si>
  <si>
    <r>
      <rPr>
        <rFont val="Helvetica Neue"/>
        <color rgb="FF1155CC"/>
        <u/>
      </rPr>
      <t>tosie_struuk@hotmail.com</t>
    </r>
  </si>
  <si>
    <t>Arieke</t>
  </si>
  <si>
    <t>Leeuwdrent</t>
  </si>
  <si>
    <r>
      <rPr>
        <rFont val="Helvetica Neue"/>
        <color rgb="FF1155CC"/>
        <u/>
      </rPr>
      <t>ariekeleeuwdrent@hotmail.com</t>
    </r>
  </si>
  <si>
    <t>Matthias</t>
  </si>
  <si>
    <t>Otter</t>
  </si>
  <si>
    <r>
      <rPr>
        <rFont val="Helvetica Neue"/>
        <color rgb="FF1155CC"/>
        <u/>
      </rPr>
      <t>matthias.otter@hotmail.com</t>
    </r>
  </si>
  <si>
    <t>Boves</t>
  </si>
  <si>
    <r>
      <rPr>
        <rFont val="Helvetica Neue"/>
        <color rgb="FF1155CC"/>
        <u/>
      </rPr>
      <t>LouBoves@gmail.com</t>
    </r>
  </si>
  <si>
    <t>Huijs</t>
  </si>
  <si>
    <r>
      <rPr>
        <rFont val="Helvetica Neue"/>
        <color rgb="FF1155CC"/>
        <u/>
      </rPr>
      <t>jorishuijs1@gmail.com</t>
    </r>
  </si>
  <si>
    <t>Magda</t>
  </si>
  <si>
    <t>de Muijnck</t>
  </si>
  <si>
    <r>
      <rPr>
        <rFont val="Helvetica Neue"/>
        <color rgb="FF1155CC"/>
        <u/>
      </rPr>
      <t>mmuijnck@hotmail.com</t>
    </r>
  </si>
  <si>
    <t>Buiteman</t>
  </si>
  <si>
    <r>
      <rPr>
        <rFont val="Helvetica Neue"/>
        <color rgb="FF1155CC"/>
        <u/>
      </rPr>
      <t>mieke.buiteman@hetnet.nl</t>
    </r>
  </si>
  <si>
    <t>van der Kaaden</t>
  </si>
  <si>
    <r>
      <rPr>
        <rFont val="Helvetica Neue"/>
        <color rgb="FF1155CC"/>
        <u/>
      </rPr>
      <t>fvanderkaaden@outlook.com</t>
    </r>
  </si>
  <si>
    <t>Riphagen</t>
  </si>
  <si>
    <r>
      <rPr>
        <rFont val="Helvetica Neue"/>
        <color rgb="FF1155CC"/>
        <u/>
      </rPr>
      <t>estherriphagen@hotmail.com</t>
    </r>
  </si>
  <si>
    <t>Claire</t>
  </si>
  <si>
    <r>
      <rPr>
        <rFont val="Helvetica Neue"/>
        <color rgb="FF1155CC"/>
        <u/>
      </rPr>
      <t>clairejansen10@hotmail.com</t>
    </r>
  </si>
  <si>
    <t>Silke</t>
  </si>
  <si>
    <t>ter Stal</t>
  </si>
  <si>
    <r>
      <rPr>
        <rFont val="Helvetica Neue"/>
        <color rgb="FF1155CC"/>
        <u/>
      </rPr>
      <t>silketerstal@hotmail.com</t>
    </r>
  </si>
  <si>
    <t>Angela</t>
  </si>
  <si>
    <t>Solkesz</t>
  </si>
  <si>
    <r>
      <rPr>
        <rFont val="Helvetica Neue"/>
        <color rgb="FF1155CC"/>
        <u/>
      </rPr>
      <t>angelasolkesz@gmail.com</t>
    </r>
  </si>
  <si>
    <t>Zonnevylle</t>
  </si>
  <si>
    <r>
      <rPr>
        <rFont val="Helvetica Neue"/>
        <color rgb="FF1155CC"/>
        <u/>
      </rPr>
      <t>wzonnevylle@gmail.com</t>
    </r>
  </si>
  <si>
    <t>Bijlsma</t>
  </si>
  <si>
    <r>
      <rPr>
        <rFont val="Helvetica Neue"/>
        <color rgb="FF1155CC"/>
        <u/>
      </rPr>
      <t>woutersmailbox@yahoo.com</t>
    </r>
  </si>
  <si>
    <t>Lina</t>
  </si>
  <si>
    <t>Peng</t>
  </si>
  <si>
    <r>
      <rPr>
        <rFont val="Helvetica Neue"/>
        <color rgb="FF1155CC"/>
        <u/>
      </rPr>
      <t>linapeng91@gmail.com</t>
    </r>
  </si>
  <si>
    <t>Geke</t>
  </si>
  <si>
    <t>Krijger</t>
  </si>
  <si>
    <r>
      <rPr>
        <rFont val="Helvetica Neue"/>
        <color rgb="FF1155CC"/>
        <u/>
      </rPr>
      <t>gekekrijger@hotmail.com</t>
    </r>
  </si>
  <si>
    <t>Roseanne</t>
  </si>
  <si>
    <t>Vliegenthart</t>
  </si>
  <si>
    <r>
      <rPr>
        <rFont val="Helvetica Neue"/>
        <color rgb="FF1155CC"/>
        <u/>
      </rPr>
      <t>rjsvliegenthart@gmail.com</t>
    </r>
  </si>
  <si>
    <t>Kerry Ann</t>
  </si>
  <si>
    <r>
      <rPr>
        <rFont val="Helvetica Neue"/>
        <color rgb="FF1155CC"/>
        <u/>
      </rPr>
      <t>kerryann.neverne.wilson@gmail.com</t>
    </r>
  </si>
  <si>
    <r>
      <rPr>
        <rFont val="Helvetica Neue"/>
        <color rgb="FF1155CC"/>
        <u/>
      </rPr>
      <t>marleenvanree@hotmail.com</t>
    </r>
  </si>
  <si>
    <t>Myrre</t>
  </si>
  <si>
    <t>Keuning</t>
  </si>
  <si>
    <r>
      <rPr>
        <rFont val="Helvetica Neue"/>
        <color rgb="FF1155CC"/>
        <u/>
      </rPr>
      <t>myrrekeuning@hotmail.com</t>
    </r>
  </si>
  <si>
    <t>Olofsen</t>
  </si>
  <si>
    <r>
      <rPr>
        <rFont val="Helvetica Neue"/>
        <color rgb="FF1155CC"/>
        <u/>
      </rPr>
      <t>olofsensanne@gmail.com</t>
    </r>
  </si>
  <si>
    <t>Gagestein</t>
  </si>
  <si>
    <r>
      <rPr>
        <rFont val="Helvetica Neue"/>
        <color rgb="FF1155CC"/>
        <u/>
      </rPr>
      <t>irisgagestein@hotmail.com</t>
    </r>
  </si>
  <si>
    <t>de Heer</t>
  </si>
  <si>
    <r>
      <rPr>
        <rFont val="Helvetica Neue"/>
        <color rgb="FF1155CC"/>
        <u/>
      </rPr>
      <t>edeheer@hotmail.com</t>
    </r>
  </si>
  <si>
    <t>Raudszus</t>
  </si>
  <si>
    <r>
      <rPr>
        <rFont val="Helvetica Neue"/>
        <color rgb="FF1155CC"/>
        <u/>
      </rPr>
      <t>hraudszus@fastmail.net</t>
    </r>
  </si>
  <si>
    <t>Silvi</t>
  </si>
  <si>
    <t>Hurkmans</t>
  </si>
  <si>
    <r>
      <rPr>
        <rFont val="Helvetica Neue"/>
        <color rgb="FF1155CC"/>
        <u/>
      </rPr>
      <t>bas_vdw@hotmail.com</t>
    </r>
  </si>
  <si>
    <t>van Grol</t>
  </si>
  <si>
    <r>
      <rPr>
        <rFont val="Helvetica Neue"/>
        <color rgb="FF1155CC"/>
        <u/>
      </rPr>
      <t>avangrol@planet.nl</t>
    </r>
  </si>
  <si>
    <t>Schalkwijk</t>
  </si>
  <si>
    <r>
      <rPr>
        <rFont val="Helvetica Neue"/>
        <color rgb="FF1155CC"/>
        <u/>
      </rPr>
      <t>bastiaanse.schalkwijk@gmail.com</t>
    </r>
  </si>
  <si>
    <t>Van Daalen</t>
  </si>
  <si>
    <r>
      <rPr>
        <rFont val="Helvetica Neue"/>
        <color rgb="FF1155CC"/>
        <u/>
      </rPr>
      <t>woutervdprive@gmail.com</t>
    </r>
  </si>
  <si>
    <t>Valkhof</t>
  </si>
  <si>
    <r>
      <rPr>
        <rFont val="Helvetica Neue"/>
        <color rgb="FF1155CC"/>
        <u/>
      </rPr>
      <t>ankevalkhof@gmail.com</t>
    </r>
  </si>
  <si>
    <t>Lucienne</t>
  </si>
  <si>
    <t>Schreurs</t>
  </si>
  <si>
    <r>
      <rPr>
        <rFont val="Helvetica Neue"/>
        <color rgb="FF1155CC"/>
        <u/>
      </rPr>
      <t>lucienneschreurs@hotmail.com</t>
    </r>
  </si>
  <si>
    <t>Ruth</t>
  </si>
  <si>
    <t>Troostheide</t>
  </si>
  <si>
    <r>
      <rPr>
        <rFont val="Helvetica Neue"/>
        <color rgb="FF1155CC"/>
        <u/>
      </rPr>
      <t>ruthvandervalk@gmail.com</t>
    </r>
  </si>
  <si>
    <t>aukje</t>
  </si>
  <si>
    <t>van weert</t>
  </si>
  <si>
    <r>
      <rPr>
        <rFont val="Helvetica Neue"/>
        <color rgb="FF1155CC"/>
        <u/>
      </rPr>
      <t>aukje.vanweert@gmail.com</t>
    </r>
  </si>
  <si>
    <t>Marije</t>
  </si>
  <si>
    <t>Deul</t>
  </si>
  <si>
    <r>
      <rPr>
        <rFont val="Helvetica Neue"/>
        <color rgb="FF1155CC"/>
        <u/>
      </rPr>
      <t>marijedeul@gmail.com</t>
    </r>
  </si>
  <si>
    <t>Maike</t>
  </si>
  <si>
    <r>
      <rPr>
        <rFont val="Helvetica Neue"/>
        <color rgb="FF1155CC"/>
        <u/>
      </rPr>
      <t>maikemertens@gmail.com</t>
    </r>
  </si>
  <si>
    <t>Schaap</t>
  </si>
  <si>
    <r>
      <rPr>
        <rFont val="Helvetica Neue"/>
        <color rgb="FF1155CC"/>
        <u/>
      </rPr>
      <t>fleurschaap@me.com</t>
    </r>
  </si>
  <si>
    <r>
      <rPr>
        <rFont val="Helvetica Neue"/>
        <color rgb="FF1155CC"/>
        <u/>
      </rPr>
      <t>moniek.tersmette@gmail.com</t>
    </r>
  </si>
  <si>
    <r>
      <rPr>
        <rFont val="Helvetica Neue"/>
        <color rgb="FF1155CC"/>
        <u/>
      </rPr>
      <t>moniek.tersmette@gmail.com</t>
    </r>
  </si>
  <si>
    <r>
      <rPr>
        <rFont val="Helvetica Neue"/>
        <color rgb="FF1155CC"/>
        <u/>
      </rPr>
      <t>moniek.tersmette@gmail.com</t>
    </r>
  </si>
  <si>
    <t>Bertina</t>
  </si>
  <si>
    <r>
      <rPr>
        <rFont val="Helvetica Neue"/>
        <color rgb="FF1155CC"/>
        <u/>
      </rPr>
      <t>bertinabroekman@hotmail.com</t>
    </r>
  </si>
  <si>
    <t>Pilcer</t>
  </si>
  <si>
    <r>
      <rPr>
        <rFont val="Helvetica Neue"/>
        <color rgb="FF1155CC"/>
        <u/>
      </rPr>
      <t>sarah.pilcer@gmail.com</t>
    </r>
  </si>
  <si>
    <t>Jerry</t>
  </si>
  <si>
    <t>Smith</t>
  </si>
  <si>
    <r>
      <rPr>
        <rFont val="Helvetica Neue"/>
        <color rgb="FF1155CC"/>
        <u/>
      </rPr>
      <t>jerry.smith.nl@gmail.com</t>
    </r>
  </si>
  <si>
    <t>Dietz</t>
  </si>
  <si>
    <r>
      <rPr>
        <rFont val="Helvetica Neue"/>
        <color rgb="FF1155CC"/>
        <u/>
      </rPr>
      <t>sannedietz23@gmail.com</t>
    </r>
  </si>
  <si>
    <t>Nelleke</t>
  </si>
  <si>
    <t>den Boon</t>
  </si>
  <si>
    <r>
      <rPr>
        <rFont val="Helvetica Neue"/>
        <color rgb="FF1155CC"/>
        <u/>
      </rPr>
      <t>ndenboon@gmail.com</t>
    </r>
  </si>
  <si>
    <t>Sasha</t>
  </si>
  <si>
    <t>Funk</t>
  </si>
  <si>
    <r>
      <rPr>
        <rFont val="Helvetica Neue"/>
        <color rgb="FF1155CC"/>
        <u/>
      </rPr>
      <t>sashaventure@gmail.com</t>
    </r>
  </si>
  <si>
    <t>van den Bos</t>
  </si>
  <si>
    <r>
      <rPr>
        <rFont val="Helvetica Neue"/>
        <color rgb="FF1155CC"/>
        <u/>
      </rPr>
      <t>florisvandenbos@gmail.com</t>
    </r>
  </si>
  <si>
    <t>Bardo</t>
  </si>
  <si>
    <t>Pfaff</t>
  </si>
  <si>
    <r>
      <rPr>
        <rFont val="Helvetica Neue"/>
        <color rgb="FF1155CC"/>
        <u/>
      </rPr>
      <t>bardo.pfaff@gmail.com</t>
    </r>
  </si>
  <si>
    <t>Stranieri</t>
  </si>
  <si>
    <r>
      <rPr>
        <rFont val="Helvetica Neue"/>
        <color rgb="FF1155CC"/>
        <u/>
      </rPr>
      <t>stz.lisa@gmail.com</t>
    </r>
  </si>
  <si>
    <t>Anneloor</t>
  </si>
  <si>
    <t>van Heemstra</t>
  </si>
  <si>
    <r>
      <rPr>
        <rFont val="Helvetica Neue"/>
        <color rgb="FF1155CC"/>
        <u/>
      </rPr>
      <t>alvheemstra@gmail.com</t>
    </r>
  </si>
  <si>
    <t>Mijntje</t>
  </si>
  <si>
    <r>
      <rPr>
        <rFont val="Helvetica Neue"/>
        <color rgb="FF1155CC"/>
        <u/>
      </rPr>
      <t>mijnmijntje@gmail.com</t>
    </r>
  </si>
  <si>
    <t>Helga</t>
  </si>
  <si>
    <r>
      <rPr>
        <rFont val="Helvetica Neue"/>
        <color rgb="FF1155CC"/>
        <u/>
      </rPr>
      <t>helgameijer@gmail.com</t>
    </r>
  </si>
  <si>
    <t>Hopster</t>
  </si>
  <si>
    <r>
      <rPr>
        <rFont val="Helvetica Neue"/>
        <color rgb="FF1155CC"/>
        <u/>
      </rPr>
      <t>mhopster@xs4all.nl</t>
    </r>
  </si>
  <si>
    <t>Poelman</t>
  </si>
  <si>
    <r>
      <rPr>
        <rFont val="Helvetica Neue"/>
        <color rgb="FF1155CC"/>
        <u/>
      </rPr>
      <t>pmpoelman@gmail.com</t>
    </r>
  </si>
  <si>
    <t>Stefen</t>
  </si>
  <si>
    <t>Bijwaard</t>
  </si>
  <si>
    <r>
      <rPr>
        <rFont val="Helvetica Neue"/>
        <color rgb="FF1155CC"/>
        <u/>
      </rPr>
      <t>stefenbijwaard@hotmail.com</t>
    </r>
  </si>
  <si>
    <r>
      <rPr>
        <rFont val="Helvetica Neue"/>
        <color rgb="FF1155CC"/>
        <u/>
      </rPr>
      <t>iljadijkstra@live.nl</t>
    </r>
  </si>
  <si>
    <t>Dales - Broers</t>
  </si>
  <si>
    <r>
      <rPr>
        <rFont val="Helvetica Neue"/>
        <color rgb="FF1155CC"/>
        <u/>
      </rPr>
      <t>sannebroers@gmail.com</t>
    </r>
  </si>
  <si>
    <t>Sanna</t>
  </si>
  <si>
    <t>Langereis</t>
  </si>
  <si>
    <r>
      <rPr>
        <rFont val="Helvetica Neue"/>
        <color rgb="FF1155CC"/>
        <u/>
      </rPr>
      <t>sannalangereis@gmail.com</t>
    </r>
  </si>
  <si>
    <t>janice</t>
  </si>
  <si>
    <t>reul</t>
  </si>
  <si>
    <r>
      <rPr>
        <rFont val="Helvetica Neue"/>
        <color rgb="FF1155CC"/>
        <u/>
      </rPr>
      <t>janice.reul@gmail.com</t>
    </r>
  </si>
  <si>
    <t>Gabrielle</t>
  </si>
  <si>
    <r>
      <rPr>
        <rFont val="Helvetica Neue"/>
        <color rgb="FF1155CC"/>
        <u/>
      </rPr>
      <t>vivatherapybarcelona@gmail.com</t>
    </r>
  </si>
  <si>
    <t>van Doorn</t>
  </si>
  <si>
    <r>
      <rPr>
        <rFont val="Helvetica Neue"/>
        <color rgb="FF1155CC"/>
        <u/>
      </rPr>
      <t>annevdoorn@gmail.com</t>
    </r>
  </si>
  <si>
    <t>Helene</t>
  </si>
  <si>
    <t>de Winter</t>
  </si>
  <si>
    <r>
      <rPr>
        <rFont val="Helvetica Neue"/>
        <color rgb="FF1155CC"/>
        <u/>
      </rPr>
      <t>helenedewinter@gmail.com</t>
    </r>
  </si>
  <si>
    <t>Noor</t>
  </si>
  <si>
    <t>Gieles</t>
  </si>
  <si>
    <r>
      <rPr>
        <rFont val="Helvetica Neue"/>
        <color rgb="FF1155CC"/>
        <u/>
      </rPr>
      <t>ncgieles@gmail.com</t>
    </r>
  </si>
  <si>
    <t>Honey</t>
  </si>
  <si>
    <t>Jones-Hughes</t>
  </si>
  <si>
    <r>
      <rPr>
        <rFont val="Helvetica Neue"/>
        <color rgb="FF1155CC"/>
        <u/>
      </rPr>
      <t>honeyjoneshughes@icloud.com</t>
    </r>
  </si>
  <si>
    <t>Kuijpers</t>
  </si>
  <si>
    <r>
      <rPr>
        <rFont val="Helvetica Neue"/>
        <color rgb="FF1155CC"/>
        <u/>
      </rPr>
      <t>kuijpers.myrthe@gmail.com</t>
    </r>
  </si>
  <si>
    <t>Vicky</t>
  </si>
  <si>
    <t>Serao</t>
  </si>
  <si>
    <r>
      <rPr>
        <rFont val="Helvetica Neue"/>
        <color rgb="FF1155CC"/>
        <u/>
      </rPr>
      <t>vittoria@rocketmail.com</t>
    </r>
  </si>
  <si>
    <r>
      <rPr>
        <rFont val="Helvetica Neue"/>
        <color rgb="FF1155CC"/>
        <u/>
      </rPr>
      <t>ddebode@gmail.com</t>
    </r>
  </si>
  <si>
    <t>Arianne</t>
  </si>
  <si>
    <t>Niks</t>
  </si>
  <si>
    <r>
      <rPr>
        <rFont val="Helvetica Neue"/>
        <color rgb="FF1155CC"/>
        <u/>
      </rPr>
      <t>arianneniks@gmail.com</t>
    </r>
  </si>
  <si>
    <t>Bijke</t>
  </si>
  <si>
    <t>Aarts</t>
  </si>
  <si>
    <r>
      <rPr>
        <rFont val="Helvetica Neue"/>
        <color rgb="FF1155CC"/>
        <u/>
      </rPr>
      <t>bijkea@gmail.com</t>
    </r>
  </si>
  <si>
    <t>Barth</t>
  </si>
  <si>
    <r>
      <rPr>
        <rFont val="Helvetica Neue"/>
        <color rgb="FF1155CC"/>
        <u/>
      </rPr>
      <t>info@saskiabarth.nl</t>
    </r>
  </si>
  <si>
    <t>Mathot</t>
  </si>
  <si>
    <r>
      <rPr>
        <rFont val="Helvetica Neue"/>
        <color rgb="FF1155CC"/>
        <u/>
      </rPr>
      <t>ljmathot@gmail.com</t>
    </r>
  </si>
  <si>
    <t>Kuipers</t>
  </si>
  <si>
    <r>
      <rPr>
        <rFont val="Helvetica Neue"/>
        <color rgb="FF1155CC"/>
        <u/>
      </rPr>
      <t>kuipers.mirjam@gmail.com</t>
    </r>
  </si>
  <si>
    <t>Hemmer</t>
  </si>
  <si>
    <r>
      <rPr>
        <rFont val="Helvetica Neue"/>
        <color rgb="FF1155CC"/>
        <u/>
      </rPr>
      <t>halloels@hotmail.com</t>
    </r>
  </si>
  <si>
    <t>Margherita</t>
  </si>
  <si>
    <t>Piroddi</t>
  </si>
  <si>
    <r>
      <rPr>
        <rFont val="Helvetica Neue"/>
        <color rgb="FF1155CC"/>
        <u/>
      </rPr>
      <t>margherita.piroddi@gmail.com</t>
    </r>
  </si>
  <si>
    <t>#BB-25-8341</t>
  </si>
  <si>
    <t>Cindy</t>
  </si>
  <si>
    <t>Mansens</t>
  </si>
  <si>
    <r>
      <rPr>
        <rFont val="Helvetica Neue"/>
        <color rgb="FF1155CC"/>
        <u/>
      </rPr>
      <t>cindymansens@gmail.com</t>
    </r>
  </si>
  <si>
    <t>Moni</t>
  </si>
  <si>
    <t>Tsujimaru</t>
  </si>
  <si>
    <r>
      <rPr>
        <rFont val="Helvetica Neue"/>
        <color rgb="FF1155CC"/>
        <u/>
      </rPr>
      <t>monitsujimaru@gmail.com</t>
    </r>
  </si>
  <si>
    <t>Florence</t>
  </si>
  <si>
    <t>Tonk</t>
  </si>
  <si>
    <r>
      <rPr>
        <rFont val="Helvetica Neue"/>
        <color rgb="FF1155CC"/>
        <u/>
      </rPr>
      <t>mail@florencetonk.nl</t>
    </r>
  </si>
  <si>
    <t>Lisse</t>
  </si>
  <si>
    <t>Mastenbroek</t>
  </si>
  <si>
    <r>
      <rPr>
        <rFont val="Helvetica Neue"/>
        <color rgb="FF1155CC"/>
        <u/>
      </rPr>
      <t>leg.mastenbroek@gmail.com</t>
    </r>
  </si>
  <si>
    <t>Bjorn</t>
  </si>
  <si>
    <t>Berg - Pien</t>
  </si>
  <si>
    <r>
      <rPr>
        <rFont val="Helvetica Neue"/>
        <color rgb="FF1155CC"/>
        <u/>
      </rPr>
      <t>bjorn.m.vdberg@gmail.com</t>
    </r>
  </si>
  <si>
    <t>Van Miltenburg</t>
  </si>
  <si>
    <r>
      <rPr>
        <rFont val="Helvetica Neue"/>
        <color rgb="FF1155CC"/>
        <u/>
      </rPr>
      <t>rosanne_miltenburg@hotmail.com</t>
    </r>
  </si>
  <si>
    <t>Amy</t>
  </si>
  <si>
    <t>van Oorschot</t>
  </si>
  <si>
    <r>
      <rPr>
        <rFont val="Helvetica Neue"/>
        <color rgb="FF1155CC"/>
        <u/>
      </rPr>
      <t>amyvanoorschot@gmail.com</t>
    </r>
  </si>
  <si>
    <t>Touw</t>
  </si>
  <si>
    <r>
      <rPr>
        <rFont val="Helvetica Neue"/>
        <color rgb="FF1155CC"/>
        <u/>
      </rPr>
      <t>mwdtouw@gmail.com</t>
    </r>
  </si>
  <si>
    <t>Daams</t>
  </si>
  <si>
    <r>
      <rPr>
        <rFont val="Helvetica Neue"/>
        <color rgb="FF1155CC"/>
        <u/>
      </rPr>
      <t>marit.daams@gmail.com</t>
    </r>
  </si>
  <si>
    <t>Brink</t>
  </si>
  <si>
    <r>
      <rPr>
        <rFont val="Helvetica Neue"/>
        <color rgb="FF1155CC"/>
        <u/>
      </rPr>
      <t>annemarie_beink@hotmail.com</t>
    </r>
  </si>
  <si>
    <t>van Beersum</t>
  </si>
  <si>
    <r>
      <rPr>
        <rFont val="Helvetica Neue"/>
        <color rgb="FF1155CC"/>
        <u/>
      </rPr>
      <t>ellenv772@gmail.com</t>
    </r>
  </si>
  <si>
    <t>Manoe</t>
  </si>
  <si>
    <t>Mesters</t>
  </si>
  <si>
    <r>
      <rPr>
        <rFont val="Helvetica Neue"/>
        <color rgb="FF1155CC"/>
        <u/>
      </rPr>
      <t>manoemesters@hotmail.com</t>
    </r>
  </si>
  <si>
    <t>Soria</t>
  </si>
  <si>
    <r>
      <rPr>
        <rFont val="Helvetica Neue"/>
        <color rgb="FF1155CC"/>
        <u/>
      </rPr>
      <t>marthazmk@gmail.com</t>
    </r>
  </si>
  <si>
    <t>Femke</t>
  </si>
  <si>
    <r>
      <rPr>
        <rFont val="Helvetica Neue"/>
        <color rgb="FF1155CC"/>
        <u/>
      </rPr>
      <t>femke_aarts@icloud.com</t>
    </r>
  </si>
  <si>
    <t>Geeske</t>
  </si>
  <si>
    <t>De Jong</t>
  </si>
  <si>
    <r>
      <rPr>
        <rFont val="Helvetica Neue"/>
        <color rgb="FF1155CC"/>
        <u/>
      </rPr>
      <t>geeskedejong1965@gmail.com</t>
    </r>
  </si>
  <si>
    <t>Lammers</t>
  </si>
  <si>
    <r>
      <rPr>
        <rFont val="Helvetica Neue"/>
        <color rgb="FF1155CC"/>
        <u/>
      </rPr>
      <t>eunice_nl@hotmail.com</t>
    </r>
  </si>
  <si>
    <t>Hijl</t>
  </si>
  <si>
    <r>
      <rPr>
        <rFont val="Helvetica Neue"/>
        <color rgb="FF1155CC"/>
        <u/>
      </rPr>
      <t>cachijl69@gmail.com</t>
    </r>
  </si>
  <si>
    <t>Heerkens</t>
  </si>
  <si>
    <r>
      <rPr>
        <rFont val="Helvetica Neue"/>
        <color rgb="FF1155CC"/>
        <u/>
      </rPr>
      <t>noorheerkens@hotmail.com</t>
    </r>
  </si>
  <si>
    <t>raul</t>
  </si>
  <si>
    <t>ter linden</t>
  </si>
  <si>
    <r>
      <rPr>
        <rFont val="Helvetica Neue"/>
        <color rgb="FF1155CC"/>
        <u/>
      </rPr>
      <t>raulterlinden@mac.com</t>
    </r>
  </si>
  <si>
    <t>van Raaij</t>
  </si>
  <si>
    <r>
      <rPr>
        <rFont val="Helvetica Neue"/>
        <color rgb="FF1155CC"/>
        <u/>
      </rPr>
      <t>fennavanraaij@live.nl</t>
    </r>
  </si>
  <si>
    <t>Susanne</t>
  </si>
  <si>
    <t>van Hooft</t>
  </si>
  <si>
    <r>
      <rPr>
        <rFont val="Helvetica Neue"/>
        <color rgb="FF1155CC"/>
        <u/>
      </rPr>
      <t>zalm.hooft@gmail.com</t>
    </r>
  </si>
  <si>
    <t>Marieka</t>
  </si>
  <si>
    <t>Portegies</t>
  </si>
  <si>
    <r>
      <rPr>
        <rFont val="Helvetica Neue"/>
        <color rgb="FF1155CC"/>
        <u/>
      </rPr>
      <t>marieka.portegies@live.nl</t>
    </r>
  </si>
  <si>
    <t>Van gorp</t>
  </si>
  <si>
    <r>
      <rPr>
        <rFont val="Helvetica Neue"/>
        <color rgb="FF1155CC"/>
        <u/>
      </rPr>
      <t>vangorprenee@gmail.com</t>
    </r>
  </si>
  <si>
    <t>Corien</t>
  </si>
  <si>
    <t>Driessen</t>
  </si>
  <si>
    <r>
      <rPr>
        <rFont val="Helvetica Neue"/>
        <color rgb="FF1155CC"/>
        <u/>
      </rPr>
      <t>info@coriendriessen.nl</t>
    </r>
  </si>
  <si>
    <t>Jireel</t>
  </si>
  <si>
    <t>Verhage</t>
  </si>
  <si>
    <r>
      <rPr>
        <rFont val="Helvetica Neue"/>
        <color rgb="FF1155CC"/>
        <u/>
      </rPr>
      <t>jireelverhage@gmail.com</t>
    </r>
  </si>
  <si>
    <t>Evalinde</t>
  </si>
  <si>
    <t>van Winden</t>
  </si>
  <si>
    <r>
      <rPr>
        <rFont val="Helvetica Neue"/>
        <color rgb="FF1155CC"/>
        <u/>
      </rPr>
      <t>evalindevanwinden@gmail.com</t>
    </r>
  </si>
  <si>
    <t>Wybrand</t>
  </si>
  <si>
    <t>Boersma</t>
  </si>
  <si>
    <r>
      <rPr>
        <rFont val="Helvetica Neue"/>
        <color rgb="FF1155CC"/>
        <u/>
      </rPr>
      <t>boersma_devries@kpnmail.nl</t>
    </r>
  </si>
  <si>
    <r>
      <rPr>
        <rFont val="Helvetica Neue"/>
        <color rgb="FF1155CC"/>
        <u/>
      </rPr>
      <t>anita.vanderlugt@chello.nl</t>
    </r>
  </si>
  <si>
    <t>Pennings</t>
  </si>
  <si>
    <r>
      <rPr>
        <rFont val="Helvetica Neue"/>
        <color rgb="FF1155CC"/>
        <u/>
      </rPr>
      <t>nooruitamsterdam@gmail.com</t>
    </r>
  </si>
  <si>
    <t>Van Winkel</t>
  </si>
  <si>
    <r>
      <rPr>
        <rFont val="Helvetica Neue"/>
        <color rgb="FF1155CC"/>
        <u/>
      </rPr>
      <t>irene.vanwinkel@gmail.com</t>
    </r>
  </si>
  <si>
    <t>Juriaan</t>
  </si>
  <si>
    <t>Stassen</t>
  </si>
  <si>
    <r>
      <rPr>
        <rFont val="Helvetica Neue"/>
        <color rgb="FF1155CC"/>
        <u/>
      </rPr>
      <t>juriaan.marie@gmail.com</t>
    </r>
  </si>
  <si>
    <t>Mareile</t>
  </si>
  <si>
    <t>Zuber</t>
  </si>
  <si>
    <r>
      <rPr>
        <rFont val="Helvetica Neue"/>
        <color rgb="FF1155CC"/>
        <u/>
      </rPr>
      <t>mareilezuber@gmail.com</t>
    </r>
  </si>
  <si>
    <t>#BB-25-8438</t>
  </si>
  <si>
    <t>Melissa</t>
  </si>
  <si>
    <t>de Jong</t>
  </si>
  <si>
    <r>
      <rPr>
        <rFont val="Helvetica Neue"/>
        <color rgb="FF1155CC"/>
        <u/>
      </rPr>
      <t>melissa.i.dejong@hotmail.com</t>
    </r>
  </si>
  <si>
    <t>Ferdi</t>
  </si>
  <si>
    <t>Verhulst</t>
  </si>
  <si>
    <r>
      <rPr>
        <rFont val="Helvetica Neue"/>
        <color rgb="FF1155CC"/>
        <u/>
      </rPr>
      <t>ferdi.verhulst@gmail.com</t>
    </r>
  </si>
  <si>
    <r>
      <rPr>
        <rFont val="Helvetica Neue"/>
        <color rgb="FF1155CC"/>
        <u/>
      </rPr>
      <t>tomhemmer@proton.me</t>
    </r>
  </si>
  <si>
    <t>Yuliya</t>
  </si>
  <si>
    <t>Gwilym</t>
  </si>
  <si>
    <r>
      <rPr>
        <rFont val="Helvetica Neue"/>
        <color rgb="FF1155CC"/>
        <u/>
      </rPr>
      <t>yufrukt@gmail.com</t>
    </r>
  </si>
  <si>
    <t>Bootsma-Uiterwaal</t>
  </si>
  <si>
    <r>
      <rPr>
        <rFont val="Helvetica Neue"/>
        <color rgb="FF1155CC"/>
        <u/>
      </rPr>
      <t>kirstenfokke@kpnmail.nl</t>
    </r>
  </si>
  <si>
    <t>Roswitha</t>
  </si>
  <si>
    <t>de Joode</t>
  </si>
  <si>
    <r>
      <rPr>
        <rFont val="Helvetica Neue"/>
        <color rgb="FF1155CC"/>
        <u/>
      </rPr>
      <t>roswitha.dejoode@gmail.com</t>
    </r>
  </si>
  <si>
    <t>Petra</t>
  </si>
  <si>
    <t>van der Veer</t>
  </si>
  <si>
    <r>
      <rPr>
        <rFont val="Helvetica Neue"/>
        <color rgb="FF1155CC"/>
        <u/>
      </rPr>
      <t>vanderveer.petra@gmail.com</t>
    </r>
  </si>
  <si>
    <t>hessel</t>
  </si>
  <si>
    <t>westera</t>
  </si>
  <si>
    <r>
      <rPr>
        <rFont val="Helvetica Neue"/>
        <color rgb="FF1155CC"/>
        <u/>
      </rPr>
      <t>heswes@live.nl</t>
    </r>
  </si>
  <si>
    <t>Frenky</t>
  </si>
  <si>
    <t>van Zeelst</t>
  </si>
  <si>
    <r>
      <rPr>
        <rFont val="Helvetica Neue"/>
        <color rgb="FF1155CC"/>
        <u/>
      </rPr>
      <t>frenkyvz@gmail.com</t>
    </r>
  </si>
  <si>
    <t>Jolijt</t>
  </si>
  <si>
    <t>Bosch</t>
  </si>
  <si>
    <r>
      <rPr>
        <rFont val="Helvetica Neue"/>
        <color rgb="FF1155CC"/>
        <u/>
      </rPr>
      <t>boschjolijt@gmail.com</t>
    </r>
  </si>
  <si>
    <t>Tielen</t>
  </si>
  <si>
    <r>
      <rPr>
        <rFont val="Helvetica Neue"/>
        <color rgb="FF1155CC"/>
        <u/>
      </rPr>
      <t>ntielen@pm.me</t>
    </r>
  </si>
  <si>
    <t>Verhoef</t>
  </si>
  <si>
    <r>
      <rPr>
        <rFont val="Helvetica Neue"/>
        <color rgb="FF1155CC"/>
        <u/>
      </rPr>
      <t>annette.verhoef28@gmail.com</t>
    </r>
  </si>
  <si>
    <t>Boelens</t>
  </si>
  <si>
    <r>
      <rPr>
        <rFont val="Helvetica Neue"/>
        <color rgb="FF1155CC"/>
        <u/>
      </rPr>
      <t>raboelens@hotmail.com</t>
    </r>
  </si>
  <si>
    <t>Hidde</t>
  </si>
  <si>
    <t>Wagenbuur</t>
  </si>
  <si>
    <r>
      <rPr>
        <rFont val="Helvetica Neue"/>
        <color rgb="FF1155CC"/>
        <u/>
      </rPr>
      <t>tokahw@hotmail.com</t>
    </r>
  </si>
  <si>
    <t>Alice</t>
  </si>
  <si>
    <t>Lamain</t>
  </si>
  <si>
    <r>
      <rPr>
        <rFont val="Helvetica Neue"/>
        <color rgb="FF1155CC"/>
        <u/>
      </rPr>
      <t>alicelamain@hotmail.com</t>
    </r>
  </si>
  <si>
    <t>Mechteld</t>
  </si>
  <si>
    <t>Haffmans</t>
  </si>
  <si>
    <r>
      <rPr>
        <rFont val="Helvetica Neue"/>
        <color rgb="FF1155CC"/>
        <u/>
      </rPr>
      <t>mech021@hotmail.com</t>
    </r>
  </si>
  <si>
    <t>Meeske</t>
  </si>
  <si>
    <t>Hayes</t>
  </si>
  <si>
    <r>
      <rPr>
        <rFont val="Helvetica Neue"/>
        <color rgb="FF1155CC"/>
        <u/>
      </rPr>
      <t>meeskehayes@outlook.com</t>
    </r>
  </si>
  <si>
    <t>Nicolien</t>
  </si>
  <si>
    <t>Karskens</t>
  </si>
  <si>
    <r>
      <rPr>
        <rFont val="Helvetica Neue"/>
        <color rgb="FF1155CC"/>
        <u/>
      </rPr>
      <t>n.g.c.m.karskens@me.com</t>
    </r>
  </si>
  <si>
    <t>Maja</t>
  </si>
  <si>
    <t>van der Voet</t>
  </si>
  <si>
    <r>
      <rPr>
        <rFont val="Helvetica Neue"/>
        <color rgb="FF1155CC"/>
        <u/>
      </rPr>
      <t>maja.vandervoet@gmx.net</t>
    </r>
  </si>
  <si>
    <t>van der Sar</t>
  </si>
  <si>
    <r>
      <rPr>
        <rFont val="Helvetica Neue"/>
        <color rgb="FF1155CC"/>
        <u/>
      </rPr>
      <t>mirjamdg@gmail.com</t>
    </r>
  </si>
  <si>
    <t>Roline</t>
  </si>
  <si>
    <t>van Pelser</t>
  </si>
  <si>
    <r>
      <rPr>
        <rFont val="Helvetica Neue"/>
        <color rgb="FF1155CC"/>
        <u/>
      </rPr>
      <t>roline56@hotmail.nl</t>
    </r>
  </si>
  <si>
    <t>Vliet</t>
  </si>
  <si>
    <r>
      <rPr>
        <rFont val="Helvetica Neue"/>
        <color rgb="FF1155CC"/>
        <u/>
      </rPr>
      <t>meerievliet@gmail.com</t>
    </r>
  </si>
  <si>
    <t>Kruger</t>
  </si>
  <si>
    <r>
      <rPr>
        <rFont val="Helvetica Neue"/>
        <color rgb="FF1155CC"/>
        <u/>
      </rPr>
      <t>laura@laurakruger.com</t>
    </r>
  </si>
  <si>
    <t>Remy</t>
  </si>
  <si>
    <t>Petersen</t>
  </si>
  <si>
    <r>
      <rPr>
        <rFont val="Helvetica Neue"/>
        <color rgb="FF1155CC"/>
        <u/>
      </rPr>
      <t>remyspetersen@gmail.com</t>
    </r>
  </si>
  <si>
    <t>ter Steege</t>
  </si>
  <si>
    <r>
      <rPr>
        <rFont val="Helvetica Neue"/>
        <color rgb="FF1155CC"/>
        <u/>
      </rPr>
      <t>willemijn2008@live.nl</t>
    </r>
  </si>
  <si>
    <t>Timmermans</t>
  </si>
  <si>
    <r>
      <rPr>
        <rFont val="Helvetica Neue"/>
        <color rgb="FF1155CC"/>
        <u/>
      </rPr>
      <t>taxibaan.01.arriverend@icloud.com</t>
    </r>
  </si>
  <si>
    <t>Friedemann</t>
  </si>
  <si>
    <t>Polzin</t>
  </si>
  <si>
    <r>
      <rPr>
        <rFont val="Helvetica Neue"/>
        <color rgb="FF1155CC"/>
        <u/>
      </rPr>
      <t>f_polzin@gmx.net</t>
    </r>
  </si>
  <si>
    <t>van den Boogaard</t>
  </si>
  <si>
    <r>
      <rPr>
        <rFont val="Helvetica Neue"/>
        <color rgb="FF1155CC"/>
        <u/>
      </rPr>
      <t>joni_stolk@hotmail.com</t>
    </r>
  </si>
  <si>
    <t>Boukje</t>
  </si>
  <si>
    <t>Groenenberg</t>
  </si>
  <si>
    <r>
      <rPr>
        <rFont val="Helvetica Neue"/>
        <color rgb="FF1155CC"/>
        <u/>
      </rPr>
      <t>dijkstra.boukje@gmail.com</t>
    </r>
  </si>
  <si>
    <t>Savannah</t>
  </si>
  <si>
    <t>Drenth</t>
  </si>
  <si>
    <r>
      <rPr>
        <rFont val="Helvetica Neue"/>
        <color rgb="FF1155CC"/>
        <u/>
      </rPr>
      <t>savannah.drenth@gmail.com</t>
    </r>
  </si>
  <si>
    <t>Felipe</t>
  </si>
  <si>
    <t>Rojas</t>
  </si>
  <si>
    <r>
      <rPr>
        <rFont val="Helvetica Neue"/>
        <color rgb="FF1155CC"/>
        <u/>
      </rPr>
      <t>rojas.pipe@gmail.com</t>
    </r>
  </si>
  <si>
    <t>thiara</t>
  </si>
  <si>
    <t>raams</t>
  </si>
  <si>
    <r>
      <rPr>
        <rFont val="Helvetica Neue"/>
        <color rgb="FF1155CC"/>
        <u/>
      </rPr>
      <t>thiaraams@gmail.com</t>
    </r>
  </si>
  <si>
    <t>Rasker</t>
  </si>
  <si>
    <r>
      <rPr>
        <rFont val="Helvetica Neue"/>
        <color rgb="FF1155CC"/>
        <u/>
      </rPr>
      <t>mjmrasker@gmail.com</t>
    </r>
  </si>
  <si>
    <t>Van Gelderen</t>
  </si>
  <si>
    <r>
      <rPr>
        <rFont val="Helvetica Neue"/>
        <color rgb="FF1155CC"/>
        <u/>
      </rPr>
      <t>ankevangelderen@gmail.com</t>
    </r>
  </si>
  <si>
    <t>Van der Net</t>
  </si>
  <si>
    <r>
      <rPr>
        <rFont val="Helvetica Neue"/>
        <color rgb="FF1155CC"/>
        <u/>
      </rPr>
      <t>hildevdnet@hotmail.com</t>
    </r>
  </si>
  <si>
    <t>#BB-25-8486</t>
  </si>
  <si>
    <t>Am</t>
  </si>
  <si>
    <t>Heijnen</t>
  </si>
  <si>
    <r>
      <rPr>
        <rFont val="Helvetica Neue"/>
        <color rgb="FF1155CC"/>
        <u/>
      </rPr>
      <t>marieke.heijnen@gmail.com</t>
    </r>
  </si>
  <si>
    <t>Kerckhaert</t>
  </si>
  <si>
    <r>
      <rPr>
        <rFont val="Helvetica Neue"/>
        <color rgb="FF1155CC"/>
        <u/>
      </rPr>
      <t>natascha.kerckhaert@xs4all.nl</t>
    </r>
  </si>
  <si>
    <t>Caulkins</t>
  </si>
  <si>
    <r>
      <rPr>
        <rFont val="Helvetica Neue"/>
        <color rgb="FF1155CC"/>
        <u/>
      </rPr>
      <t>juliette.caulkins@gmail.com</t>
    </r>
  </si>
  <si>
    <t>Ewout</t>
  </si>
  <si>
    <t>Spronk</t>
  </si>
  <si>
    <r>
      <rPr>
        <rFont val="Helvetica Neue"/>
        <color rgb="FF1155CC"/>
        <u/>
      </rPr>
      <t>ahcvankooten@gmail.com</t>
    </r>
  </si>
  <si>
    <t>#BB-25-8494</t>
  </si>
  <si>
    <t>June</t>
  </si>
  <si>
    <t>Fermie</t>
  </si>
  <si>
    <r>
      <rPr>
        <rFont val="Helvetica Neue"/>
        <color rgb="FF1155CC"/>
        <u/>
      </rPr>
      <t>junefermie@gmail.com</t>
    </r>
  </si>
  <si>
    <t>Bevort</t>
  </si>
  <si>
    <r>
      <rPr>
        <rFont val="Helvetica Neue"/>
        <color rgb="FF1155CC"/>
        <u/>
      </rPr>
      <t>helenebevort@gmail.com</t>
    </r>
  </si>
  <si>
    <t>Hester</t>
  </si>
  <si>
    <r>
      <rPr>
        <rFont val="Helvetica Neue"/>
        <color rgb="FF1155CC"/>
        <u/>
      </rPr>
      <t>hesterdeboer@gmail.com</t>
    </r>
  </si>
  <si>
    <t>Edward</t>
  </si>
  <si>
    <t>van Os</t>
  </si>
  <si>
    <r>
      <rPr>
        <rFont val="Helvetica Neue"/>
        <color rgb="FF1155CC"/>
        <u/>
      </rPr>
      <t>edwardvanos@gmail.com</t>
    </r>
  </si>
  <si>
    <t>Elisabeth</t>
  </si>
  <si>
    <r>
      <rPr>
        <rFont val="Helvetica Neue"/>
        <color rgb="FF1155CC"/>
        <u/>
      </rPr>
      <t>elisabeth.bakker@solconmail.nl</t>
    </r>
  </si>
  <si>
    <r>
      <rPr>
        <rFont val="Helvetica Neue"/>
        <color rgb="FF1155CC"/>
        <u/>
      </rPr>
      <t>thijs.bosselaar@gmail.com</t>
    </r>
  </si>
  <si>
    <t>Memelink</t>
  </si>
  <si>
    <r>
      <rPr>
        <rFont val="Helvetica Neue"/>
        <color rgb="FF1155CC"/>
        <u/>
      </rPr>
      <t>hesterm@live.nl</t>
    </r>
  </si>
  <si>
    <t>G</t>
  </si>
  <si>
    <t>Petrenko</t>
  </si>
  <si>
    <r>
      <rPr>
        <rFont val="Helvetica Neue"/>
        <color rgb="FF1155CC"/>
        <u/>
      </rPr>
      <t>moscow.rotterdam@gmail.com</t>
    </r>
  </si>
  <si>
    <t>Johanneke</t>
  </si>
  <si>
    <t>Van ‘t Land</t>
  </si>
  <si>
    <r>
      <rPr>
        <rFont val="Helvetica Neue"/>
        <color rgb="FF1155CC"/>
        <u/>
      </rPr>
      <t>jvantland@live.nl</t>
    </r>
  </si>
  <si>
    <t>Ruijgrok</t>
  </si>
  <si>
    <r>
      <rPr>
        <rFont val="Helvetica Neue"/>
        <color rgb="FF1155CC"/>
        <u/>
      </rPr>
      <t>michelleruygrok@gmail.com</t>
    </r>
  </si>
  <si>
    <t>Dautse</t>
  </si>
  <si>
    <t>Heimovaara</t>
  </si>
  <si>
    <r>
      <rPr>
        <rFont val="Helvetica Neue"/>
        <color rgb="FF1155CC"/>
        <u/>
      </rPr>
      <t>hdautse@gmail.com</t>
    </r>
  </si>
  <si>
    <t>Bovenlander</t>
  </si>
  <si>
    <r>
      <rPr>
        <rFont val="Helvetica Neue"/>
        <color rgb="FF1155CC"/>
        <u/>
      </rPr>
      <t>v.j.bovenlander@gmail.com</t>
    </r>
  </si>
  <si>
    <t>Hof</t>
  </si>
  <si>
    <r>
      <rPr>
        <rFont val="Helvetica Neue"/>
        <color rgb="FF1155CC"/>
        <u/>
      </rPr>
      <t>liefbeth@hotmail.com</t>
    </r>
  </si>
  <si>
    <t>Janna</t>
  </si>
  <si>
    <t>Smit Slurink</t>
  </si>
  <si>
    <r>
      <rPr>
        <rFont val="Helvetica Neue"/>
        <color rgb="FF1155CC"/>
        <u/>
      </rPr>
      <t>jannasmitslurink@gmail.com</t>
    </r>
  </si>
  <si>
    <t>Iemy</t>
  </si>
  <si>
    <r>
      <rPr>
        <rFont val="Helvetica Neue"/>
        <color rgb="FF1155CC"/>
        <u/>
      </rPr>
      <t>iemymartine@gmail.com</t>
    </r>
  </si>
  <si>
    <t>Sprenger</t>
  </si>
  <si>
    <r>
      <rPr>
        <rFont val="Helvetica Neue"/>
        <color rgb="FF1155CC"/>
        <u/>
      </rPr>
      <t>laura_sprenger@hotmail.com</t>
    </r>
  </si>
  <si>
    <t>Larissa</t>
  </si>
  <si>
    <r>
      <rPr>
        <rFont val="Helvetica Neue"/>
        <color rgb="FF1155CC"/>
        <u/>
      </rPr>
      <t>ljvandermeer94@gmail.com</t>
    </r>
  </si>
  <si>
    <t>Florian</t>
  </si>
  <si>
    <t>Lansink</t>
  </si>
  <si>
    <r>
      <rPr>
        <rFont val="Helvetica Neue"/>
        <color rgb="FF1155CC"/>
        <u/>
      </rPr>
      <t>florian.lansink@hotmail.com</t>
    </r>
  </si>
  <si>
    <t>Kik</t>
  </si>
  <si>
    <r>
      <rPr>
        <rFont val="Helvetica Neue"/>
        <color rgb="FF1155CC"/>
        <u/>
      </rPr>
      <t>joostjemail@gmail.com</t>
    </r>
  </si>
  <si>
    <t>Feitsma</t>
  </si>
  <si>
    <r>
      <rPr>
        <rFont val="Helvetica Neue"/>
        <color rgb="FF1155CC"/>
        <u/>
      </rPr>
      <t>mfeitsma@yahoo.com</t>
    </r>
  </si>
  <si>
    <t>Parren</t>
  </si>
  <si>
    <r>
      <rPr>
        <rFont val="Helvetica Neue"/>
        <color rgb="FF1155CC"/>
        <u/>
      </rPr>
      <t>ellenparren@gmail.com</t>
    </r>
  </si>
  <si>
    <t>Meier Mattern</t>
  </si>
  <si>
    <r>
      <rPr>
        <rFont val="Helvetica Neue"/>
        <color rgb="FF1155CC"/>
        <u/>
      </rPr>
      <t>m.meiermattern@gmail.com</t>
    </r>
  </si>
  <si>
    <t>Wendel</t>
  </si>
  <si>
    <r>
      <rPr>
        <rFont val="Helvetica Neue"/>
        <color rgb="FF1155CC"/>
        <u/>
      </rPr>
      <t>judithwendelpost@gmail.com</t>
    </r>
  </si>
  <si>
    <t>Lindsey</t>
  </si>
  <si>
    <t>Bolle</t>
  </si>
  <si>
    <r>
      <rPr>
        <rFont val="Helvetica Neue"/>
        <color rgb="FF1155CC"/>
        <u/>
      </rPr>
      <t>lindseybolle@gmail.com</t>
    </r>
  </si>
  <si>
    <r>
      <rPr>
        <rFont val="Helvetica Neue"/>
        <color rgb="FF1155CC"/>
        <u/>
      </rPr>
      <t>kaufenkoop@daveran.nl</t>
    </r>
  </si>
  <si>
    <t>Hesseling</t>
  </si>
  <si>
    <r>
      <rPr>
        <rFont val="Helvetica Neue"/>
        <color rgb="FF1155CC"/>
        <u/>
      </rPr>
      <t>mhesseling@xs4all.nl</t>
    </r>
  </si>
  <si>
    <t>Olga</t>
  </si>
  <si>
    <t>Leonhard</t>
  </si>
  <si>
    <r>
      <rPr>
        <rFont val="Helvetica Neue"/>
        <color rgb="FF1155CC"/>
        <u/>
      </rPr>
      <t>olgaleonhard@gmail.com</t>
    </r>
  </si>
  <si>
    <t>MMP</t>
  </si>
  <si>
    <r>
      <rPr>
        <rFont val="Helvetica Neue"/>
        <color rgb="FF1155CC"/>
        <u/>
      </rPr>
      <t>mmpdriessen@gmail.com</t>
    </r>
  </si>
  <si>
    <t>Zoë</t>
  </si>
  <si>
    <t>Bailleux</t>
  </si>
  <si>
    <r>
      <rPr>
        <rFont val="Helvetica Neue"/>
        <color rgb="FF1155CC"/>
        <u/>
      </rPr>
      <t>zbailleux@gmail.com</t>
    </r>
  </si>
  <si>
    <r>
      <rPr>
        <rFont val="Helvetica Neue"/>
        <color rgb="FF1155CC"/>
        <u/>
      </rPr>
      <t>freekschouten@hotmail.com</t>
    </r>
  </si>
  <si>
    <t>Bolink</t>
  </si>
  <si>
    <r>
      <rPr>
        <rFont val="Helvetica Neue"/>
        <color rgb="FF1155CC"/>
        <u/>
      </rPr>
      <t>cobolink@live.nl</t>
    </r>
  </si>
  <si>
    <t>Bonny</t>
  </si>
  <si>
    <t>Tromp</t>
  </si>
  <si>
    <r>
      <rPr>
        <rFont val="Helvetica Neue"/>
        <color rgb="FF1155CC"/>
        <u/>
      </rPr>
      <t>bjtromp_96@ziggo.nl</t>
    </r>
  </si>
  <si>
    <t>Cynthia</t>
  </si>
  <si>
    <t>Verboom</t>
  </si>
  <si>
    <r>
      <rPr>
        <rFont val="Helvetica Neue"/>
        <color rgb="FF1155CC"/>
        <u/>
      </rPr>
      <t>cynthia.verboom@gmail.com</t>
    </r>
  </si>
  <si>
    <t>Bordewijk</t>
  </si>
  <si>
    <r>
      <rPr>
        <rFont val="Helvetica Neue"/>
        <color rgb="FF1155CC"/>
        <u/>
      </rPr>
      <t>l.c.bordewijk@gmail.com</t>
    </r>
  </si>
  <si>
    <t>Antuma</t>
  </si>
  <si>
    <r>
      <rPr>
        <rFont val="Helvetica Neue"/>
        <color rgb="FF1155CC"/>
        <u/>
      </rPr>
      <t>j.e.antuma@gmail.com</t>
    </r>
  </si>
  <si>
    <t>Ramondt</t>
  </si>
  <si>
    <r>
      <rPr>
        <rFont val="Helvetica Neue"/>
        <color rgb="FF1155CC"/>
        <u/>
      </rPr>
      <t>jwramondt@hotmail.com</t>
    </r>
  </si>
  <si>
    <t>Annelot</t>
  </si>
  <si>
    <t>Jonges</t>
  </si>
  <si>
    <r>
      <rPr>
        <rFont val="Helvetica Neue"/>
        <color rgb="FF1155CC"/>
        <u/>
      </rPr>
      <t>ajonges@gmail.com</t>
    </r>
  </si>
  <si>
    <t>Ellermann</t>
  </si>
  <si>
    <r>
      <rPr>
        <rFont val="Helvetica Neue"/>
        <color rgb="FF1155CC"/>
        <u/>
      </rPr>
      <t>anne.ellermann@gmail.com</t>
    </r>
  </si>
  <si>
    <t>Boy</t>
  </si>
  <si>
    <t>Steenkist</t>
  </si>
  <si>
    <r>
      <rPr>
        <rFont val="Helvetica Neue"/>
        <color rgb="FF1155CC"/>
        <u/>
      </rPr>
      <t>boyenesther@hotmail.com</t>
    </r>
  </si>
  <si>
    <t>Zouwen</t>
  </si>
  <si>
    <r>
      <rPr>
        <rFont val="Helvetica Neue"/>
        <color rgb="FF1155CC"/>
        <u/>
      </rPr>
      <t>aevdzouwen@hotmail.com</t>
    </r>
  </si>
  <si>
    <r>
      <rPr>
        <rFont val="Helvetica Neue"/>
        <color rgb="FF1155CC"/>
        <u/>
      </rPr>
      <t>13stap_stop@icloud.com</t>
    </r>
  </si>
  <si>
    <t>Vreugdenhil</t>
  </si>
  <si>
    <r>
      <rPr>
        <rFont val="Helvetica Neue"/>
        <color rgb="FF1155CC"/>
        <u/>
      </rPr>
      <t>rmavreugde@gmail.com</t>
    </r>
  </si>
  <si>
    <t>Erna</t>
  </si>
  <si>
    <t>Vd Wal</t>
  </si>
  <si>
    <r>
      <rPr>
        <rFont val="Helvetica Neue"/>
        <color rgb="FF1155CC"/>
        <u/>
      </rPr>
      <t>ebvdwal@gmail.com</t>
    </r>
  </si>
  <si>
    <t>Seda</t>
  </si>
  <si>
    <t>Angenent</t>
  </si>
  <si>
    <r>
      <rPr>
        <rFont val="Helvetica Neue"/>
        <color rgb="FF1155CC"/>
        <u/>
      </rPr>
      <t>seda@studiovrijdag.nl</t>
    </r>
  </si>
  <si>
    <r>
      <rPr>
        <rFont val="Helvetica Neue"/>
        <color rgb="FF1155CC"/>
        <u/>
      </rPr>
      <t>sabine1011@hotmail.com</t>
    </r>
  </si>
  <si>
    <t>Marlieke</t>
  </si>
  <si>
    <r>
      <rPr>
        <rFont val="Helvetica Neue"/>
        <color rgb="FF1155CC"/>
        <u/>
      </rPr>
      <t>mtenbosch@Live.nl</t>
    </r>
  </si>
  <si>
    <t>Van tilburg</t>
  </si>
  <si>
    <r>
      <rPr>
        <rFont val="Helvetica Neue"/>
        <color rgb="FF1155CC"/>
        <u/>
      </rPr>
      <t>tilburg.mieke@gmail.com</t>
    </r>
  </si>
  <si>
    <t>Krista</t>
  </si>
  <si>
    <t>Koppelman</t>
  </si>
  <si>
    <r>
      <rPr>
        <rFont val="Helvetica Neue"/>
        <color rgb="FF1155CC"/>
        <u/>
      </rPr>
      <t>koppelmankrista@hotmail.com</t>
    </r>
  </si>
  <si>
    <t>De Leeuw</t>
  </si>
  <si>
    <r>
      <rPr>
        <rFont val="Helvetica Neue"/>
        <color rgb="FF1155CC"/>
        <u/>
      </rPr>
      <t>hmvdschraaf@hotmail.com</t>
    </r>
  </si>
  <si>
    <t>Enderink</t>
  </si>
  <si>
    <r>
      <rPr>
        <rFont val="Helvetica Neue"/>
        <color rgb="FF1155CC"/>
        <u/>
      </rPr>
      <t>e.jan.enderink@gmail.com</t>
    </r>
  </si>
  <si>
    <t>Wellens</t>
  </si>
  <si>
    <r>
      <rPr>
        <rFont val="Helvetica Neue"/>
        <color rgb="FF1155CC"/>
        <u/>
      </rPr>
      <t>liannewellens@gmail.com</t>
    </r>
  </si>
  <si>
    <t>Elfri</t>
  </si>
  <si>
    <t>Stoop</t>
  </si>
  <si>
    <r>
      <rPr>
        <rFont val="Helvetica Neue"/>
        <color rgb="FF1155CC"/>
        <u/>
      </rPr>
      <t>elfristoop@gmail.com</t>
    </r>
  </si>
  <si>
    <t>Gunnink</t>
  </si>
  <si>
    <r>
      <rPr>
        <rFont val="Helvetica Neue"/>
        <color rgb="FF1155CC"/>
        <u/>
      </rPr>
      <t>flipjefluitketel86@gmail.com</t>
    </r>
  </si>
  <si>
    <t>Gaby</t>
  </si>
  <si>
    <t>Fernandes</t>
  </si>
  <si>
    <r>
      <rPr>
        <rFont val="Helvetica Neue"/>
        <color rgb="FF1155CC"/>
        <u/>
      </rPr>
      <t>angoras.native-9l@icloud.com</t>
    </r>
  </si>
  <si>
    <t>Lorain</t>
  </si>
  <si>
    <t>Giesbers</t>
  </si>
  <si>
    <r>
      <rPr>
        <rFont val="Helvetica Neue"/>
        <color rgb="FF1155CC"/>
        <u/>
      </rPr>
      <t>loraing@gmail.com</t>
    </r>
  </si>
  <si>
    <t>Van der Sluis - Gramberg</t>
  </si>
  <si>
    <r>
      <rPr>
        <rFont val="Helvetica Neue"/>
        <color rgb="FF1155CC"/>
        <u/>
      </rPr>
      <t>merylgramberg@gmail.com</t>
    </r>
  </si>
  <si>
    <t>Jet</t>
  </si>
  <si>
    <t>Winkelhuijzen</t>
  </si>
  <si>
    <r>
      <rPr>
        <rFont val="Helvetica Neue"/>
        <color rgb="FF1155CC"/>
        <u/>
      </rPr>
      <t>jetw1986@gmail.com</t>
    </r>
  </si>
  <si>
    <t>Benders</t>
  </si>
  <si>
    <r>
      <rPr>
        <rFont val="Helvetica Neue"/>
        <color rgb="FF1155CC"/>
        <u/>
      </rPr>
      <t>imbenders@gmail.com</t>
    </r>
  </si>
  <si>
    <t>de Vries-Jurriansen</t>
  </si>
  <si>
    <r>
      <rPr>
        <rFont val="Helvetica Neue"/>
        <color rgb="FF1155CC"/>
        <u/>
      </rPr>
      <t>carolinejurriansen@gmail.com</t>
    </r>
  </si>
  <si>
    <t>Dijcks</t>
  </si>
  <si>
    <r>
      <rPr>
        <rFont val="Helvetica Neue"/>
        <color rgb="FF1155CC"/>
        <u/>
      </rPr>
      <t>dijcks.anna@gmail.com</t>
    </r>
  </si>
  <si>
    <t>Vlaardingerbroek</t>
  </si>
  <si>
    <r>
      <rPr>
        <rFont val="Helvetica Neue"/>
        <color rgb="FF1155CC"/>
        <u/>
      </rPr>
      <t>schrijfsonja@gmail.com</t>
    </r>
  </si>
  <si>
    <t>Cannoo</t>
  </si>
  <si>
    <r>
      <rPr>
        <rFont val="Helvetica Neue"/>
        <color rgb="FF1155CC"/>
        <u/>
      </rPr>
      <t>Isabelle.cannoo@gmail.com</t>
    </r>
  </si>
  <si>
    <r>
      <rPr>
        <rFont val="Helvetica Neue"/>
        <color rgb="FF1155CC"/>
        <u/>
      </rPr>
      <t>lindevanderpol@gmail.com</t>
    </r>
  </si>
  <si>
    <t>Ilay</t>
  </si>
  <si>
    <t>den Boer</t>
  </si>
  <si>
    <r>
      <rPr>
        <rFont val="Helvetica Neue"/>
        <color rgb="FF1155CC"/>
        <u/>
      </rPr>
      <t>thuisilay@gmail.com</t>
    </r>
  </si>
  <si>
    <t>Sanders</t>
  </si>
  <si>
    <r>
      <rPr>
        <rFont val="Helvetica Neue"/>
        <color rgb="FF1155CC"/>
        <u/>
      </rPr>
      <t>eahsanders@gmail.com</t>
    </r>
  </si>
  <si>
    <t>van Iterson</t>
  </si>
  <si>
    <r>
      <rPr>
        <rFont val="Helvetica Neue"/>
        <color rgb="FF1155CC"/>
        <u/>
      </rPr>
      <t>marliesvani@outlook.com</t>
    </r>
  </si>
  <si>
    <t>Olivier</t>
  </si>
  <si>
    <t>Thuong</t>
  </si>
  <si>
    <r>
      <rPr>
        <rFont val="Helvetica Neue"/>
        <color rgb="FF1155CC"/>
        <u/>
      </rPr>
      <t>minke.and.oli@gmail.com</t>
    </r>
  </si>
  <si>
    <t>Steunenberg</t>
  </si>
  <si>
    <r>
      <rPr>
        <rFont val="Helvetica Neue"/>
        <color rgb="FF1155CC"/>
        <u/>
      </rPr>
      <t>mark@marksteunenberg.nl</t>
    </r>
  </si>
  <si>
    <t>Melanie en Jan-Matthijs</t>
  </si>
  <si>
    <t>Maij- Harderwijk</t>
  </si>
  <si>
    <r>
      <rPr>
        <rFont val="Helvetica Neue"/>
        <color rgb="FF1155CC"/>
        <u/>
      </rPr>
      <t>melmaij@hotmail.com</t>
    </r>
  </si>
  <si>
    <t>Jorine</t>
  </si>
  <si>
    <t>Roelants</t>
  </si>
  <si>
    <r>
      <rPr>
        <rFont val="Helvetica Neue"/>
        <color rgb="FF1155CC"/>
        <u/>
      </rPr>
      <t>jorineroelants@hotmail.com</t>
    </r>
  </si>
  <si>
    <t>Bohmer</t>
  </si>
  <si>
    <r>
      <rPr>
        <rFont val="Helvetica Neue"/>
        <color rgb="FF1155CC"/>
        <u/>
      </rPr>
      <t>nicolebohmer@gmail.com</t>
    </r>
  </si>
  <si>
    <t>Doorschodt</t>
  </si>
  <si>
    <r>
      <rPr>
        <rFont val="Helvetica Neue"/>
        <color rgb="FF1155CC"/>
        <u/>
      </rPr>
      <t>tomdoorschodt@hotmail.com</t>
    </r>
  </si>
  <si>
    <t>Van Keulen</t>
  </si>
  <si>
    <r>
      <rPr>
        <rFont val="Helvetica Neue"/>
        <color rgb="FF1155CC"/>
        <u/>
      </rPr>
      <t>blvankeulen@hotmail.com</t>
    </r>
  </si>
  <si>
    <t>van den Noort</t>
  </si>
  <si>
    <r>
      <rPr>
        <rFont val="Helvetica Neue"/>
        <color rgb="FF1155CC"/>
        <u/>
      </rPr>
      <t>koen.loes@rapperdepap.nl</t>
    </r>
  </si>
  <si>
    <r>
      <rPr>
        <rFont val="Helvetica Neue"/>
        <color rgb="FF1155CC"/>
        <u/>
      </rPr>
      <t>drostmargriet@gmail.com</t>
    </r>
  </si>
  <si>
    <t>Justin</t>
  </si>
  <si>
    <t>de Visser</t>
  </si>
  <si>
    <r>
      <rPr>
        <rFont val="Helvetica Neue"/>
        <color rgb="FF1155CC"/>
        <u/>
      </rPr>
      <t>jec.devisser@gmail.com</t>
    </r>
  </si>
  <si>
    <t>Roger</t>
  </si>
  <si>
    <r>
      <rPr>
        <rFont val="Helvetica Neue"/>
        <color rgb="FF1155CC"/>
        <u/>
      </rPr>
      <t>rogerenleonie@quicknet.nl</t>
    </r>
  </si>
  <si>
    <t>Rous</t>
  </si>
  <si>
    <r>
      <rPr>
        <rFont val="Helvetica Neue"/>
        <color rgb="FF1155CC"/>
        <u/>
      </rPr>
      <t>mariekerous@hotmail.com</t>
    </r>
  </si>
  <si>
    <t>Carmen</t>
  </si>
  <si>
    <t>Dingjan</t>
  </si>
  <si>
    <r>
      <rPr>
        <rFont val="Helvetica Neue"/>
        <color rgb="FF1155CC"/>
        <u/>
      </rPr>
      <t>carmendingjan@hotmail.com</t>
    </r>
  </si>
  <si>
    <t>Janne</t>
  </si>
  <si>
    <t>Coumou</t>
  </si>
  <si>
    <r>
      <rPr>
        <rFont val="Helvetica Neue"/>
        <color rgb="FF1155CC"/>
        <u/>
      </rPr>
      <t>janne_c@hotmail.com</t>
    </r>
  </si>
  <si>
    <t>Eleni</t>
  </si>
  <si>
    <t>Georgaki</t>
  </si>
  <si>
    <r>
      <rPr>
        <rFont val="Helvetica Neue"/>
        <color rgb="FF1155CC"/>
        <u/>
      </rPr>
      <t>minteleni@gmail.com</t>
    </r>
  </si>
  <si>
    <t>Moes</t>
  </si>
  <si>
    <r>
      <rPr>
        <rFont val="Helvetica Neue"/>
        <color rgb="FF1155CC"/>
        <u/>
      </rPr>
      <t>joke.moes@gmail.com</t>
    </r>
  </si>
  <si>
    <t>Nathalie</t>
  </si>
  <si>
    <t>Tukker</t>
  </si>
  <si>
    <r>
      <rPr>
        <rFont val="Helvetica Neue"/>
        <color rgb="FF1155CC"/>
        <u/>
      </rPr>
      <t>nathalie.tukker@gmail.com</t>
    </r>
  </si>
  <si>
    <t>Onsman</t>
  </si>
  <si>
    <r>
      <rPr>
        <rFont val="Helvetica Neue"/>
        <color rgb="FF1155CC"/>
        <u/>
      </rPr>
      <t>barbara.onsman@gmail.com</t>
    </r>
  </si>
  <si>
    <t>Straatman</t>
  </si>
  <si>
    <r>
      <rPr>
        <rFont val="Helvetica Neue"/>
        <color rgb="FF1155CC"/>
        <u/>
      </rPr>
      <t>marionstraatman@hotmail.com</t>
    </r>
  </si>
  <si>
    <t>Kimberly</t>
  </si>
  <si>
    <t>Schoenmaker</t>
  </si>
  <si>
    <r>
      <rPr>
        <rFont val="Helvetica Neue"/>
        <color rgb="FF1155CC"/>
        <u/>
      </rPr>
      <t>kim.schnmkr@gmail.com</t>
    </r>
  </si>
  <si>
    <t>Zjoske</t>
  </si>
  <si>
    <t>Michielsen</t>
  </si>
  <si>
    <r>
      <rPr>
        <rFont val="Helvetica Neue"/>
        <color rgb="FF1155CC"/>
        <u/>
      </rPr>
      <t>zjoskemichielsen@live.nl</t>
    </r>
  </si>
  <si>
    <t>Wellinga</t>
  </si>
  <si>
    <r>
      <rPr>
        <rFont val="Helvetica Neue"/>
        <color rgb="FF1155CC"/>
        <u/>
      </rPr>
      <t>hannahjelmer@gmail.com</t>
    </r>
  </si>
  <si>
    <t>jeroen</t>
  </si>
  <si>
    <t>verveer</t>
  </si>
  <si>
    <r>
      <rPr>
        <rFont val="Helvetica Neue"/>
        <color rgb="FF1155CC"/>
        <u/>
      </rPr>
      <t>jeroenverveer010@gmail.com</t>
    </r>
  </si>
  <si>
    <t>Heilbron</t>
  </si>
  <si>
    <r>
      <rPr>
        <rFont val="Helvetica Neue"/>
        <color rgb="FF1155CC"/>
        <u/>
      </rPr>
      <t>merelheilbron@gmail.com</t>
    </r>
  </si>
  <si>
    <r>
      <rPr>
        <rFont val="Helvetica Neue"/>
        <color rgb="FF1155CC"/>
        <u/>
      </rPr>
      <t>annekedon@gmail.com</t>
    </r>
  </si>
  <si>
    <t>Gertien</t>
  </si>
  <si>
    <t>Bergstra</t>
  </si>
  <si>
    <r>
      <rPr>
        <rFont val="Helvetica Neue"/>
        <color rgb="FF1155CC"/>
        <u/>
      </rPr>
      <t>gertienbergstra@gmail.com</t>
    </r>
  </si>
  <si>
    <t>Suze</t>
  </si>
  <si>
    <t>van der Aa</t>
  </si>
  <si>
    <r>
      <rPr>
        <rFont val="Helvetica Neue"/>
        <color rgb="FF1155CC"/>
        <u/>
      </rPr>
      <t>suzevanderaa@gmail.com</t>
    </r>
  </si>
  <si>
    <t>#BB-25-8617</t>
  </si>
  <si>
    <t>Velthuis</t>
  </si>
  <si>
    <r>
      <rPr>
        <rFont val="Helvetica Neue"/>
        <color rgb="FF1155CC"/>
        <u/>
      </rPr>
      <t>evelthuis@hotmail.com</t>
    </r>
  </si>
  <si>
    <t>Jansen-Veenis</t>
  </si>
  <si>
    <r>
      <rPr>
        <rFont val="Helvetica Neue"/>
        <color rgb="FF1155CC"/>
        <u/>
      </rPr>
      <t>angeliquejansuh@hotmail.com</t>
    </r>
  </si>
  <si>
    <t>joke</t>
  </si>
  <si>
    <t>ruiter</t>
  </si>
  <si>
    <r>
      <rPr>
        <rFont val="Helvetica Neue"/>
        <color rgb="FF1155CC"/>
        <u/>
      </rPr>
      <t>joke.ruiter@gmail.com</t>
    </r>
  </si>
  <si>
    <t>Lisa en Daan</t>
  </si>
  <si>
    <t>Morsink - Martin</t>
  </si>
  <si>
    <r>
      <rPr>
        <rFont val="Helvetica Neue"/>
        <color rgb="FF1155CC"/>
        <u/>
      </rPr>
      <t>lisamorsink@gmail.com</t>
    </r>
  </si>
  <si>
    <t>Matthijs</t>
  </si>
  <si>
    <t>Wubbolts</t>
  </si>
  <si>
    <r>
      <rPr>
        <rFont val="Helvetica Neue"/>
        <color rgb="FF1155CC"/>
        <u/>
      </rPr>
      <t>m.a.wubbolts@hotmail.com</t>
    </r>
  </si>
  <si>
    <t>van der Schaaf</t>
  </si>
  <si>
    <r>
      <rPr>
        <rFont val="Helvetica Neue"/>
        <color rgb="FF1155CC"/>
        <u/>
      </rPr>
      <t>l.punt@hotmail.com</t>
    </r>
  </si>
  <si>
    <t>Tamar</t>
  </si>
  <si>
    <t>Houtman</t>
  </si>
  <si>
    <r>
      <rPr>
        <rFont val="Helvetica Neue"/>
        <color rgb="FF1155CC"/>
        <u/>
      </rPr>
      <t>tamarhoutman@gmail.com</t>
    </r>
  </si>
  <si>
    <t>Joanneke</t>
  </si>
  <si>
    <t>Bouwmeester</t>
  </si>
  <si>
    <r>
      <rPr>
        <rFont val="Helvetica Neue"/>
        <color rgb="FF1155CC"/>
        <u/>
      </rPr>
      <t>Joanneke84@hotmail.com</t>
    </r>
  </si>
  <si>
    <t>Crucq</t>
  </si>
  <si>
    <r>
      <rPr>
        <rFont val="Helvetica Neue"/>
        <color rgb="FF1155CC"/>
        <u/>
      </rPr>
      <t>acrucq@xs4all.nl</t>
    </r>
  </si>
  <si>
    <t>Hoekstra</t>
  </si>
  <si>
    <r>
      <rPr>
        <rFont val="Helvetica Neue"/>
        <color rgb="FF1155CC"/>
        <u/>
      </rPr>
      <t>meikeelise@hotmail.com</t>
    </r>
  </si>
  <si>
    <t>Luijten</t>
  </si>
  <si>
    <r>
      <rPr>
        <rFont val="Helvetica Neue"/>
        <color rgb="FF1155CC"/>
        <u/>
      </rPr>
      <t>renske.luijten@gmail.com</t>
    </r>
  </si>
  <si>
    <t>Jette</t>
  </si>
  <si>
    <t>Pellemans</t>
  </si>
  <si>
    <r>
      <rPr>
        <rFont val="Helvetica Neue"/>
        <color rgb="FF1155CC"/>
        <u/>
      </rPr>
      <t>jettepellemans@gmail.com</t>
    </r>
  </si>
  <si>
    <t>Holweg</t>
  </si>
  <si>
    <r>
      <rPr>
        <rFont val="Helvetica Neue"/>
        <color rgb="FF1155CC"/>
        <u/>
      </rPr>
      <t>saholweg@gmail.com</t>
    </r>
  </si>
  <si>
    <r>
      <rPr>
        <rFont val="Helvetica Neue"/>
        <color rgb="FF1155CC"/>
        <u/>
      </rPr>
      <t>fleurbrouwer@live.nl</t>
    </r>
  </si>
  <si>
    <t>Maarten</t>
  </si>
  <si>
    <t>Nieuwenhuize</t>
  </si>
  <si>
    <r>
      <rPr>
        <rFont val="Helvetica Neue"/>
        <color rgb="FF1155CC"/>
        <u/>
      </rPr>
      <t>maarten.Nieuwenhuize@gmail.com</t>
    </r>
  </si>
  <si>
    <t>Sigrid</t>
  </si>
  <si>
    <r>
      <rPr>
        <rFont val="Helvetica Neue"/>
        <color rgb="FF1155CC"/>
        <u/>
      </rPr>
      <t>s.n.vdmeer@gmail.com</t>
    </r>
  </si>
  <si>
    <t>Overzier</t>
  </si>
  <si>
    <r>
      <rPr>
        <rFont val="Helvetica Neue"/>
        <color rgb="FF1155CC"/>
        <u/>
      </rPr>
      <t>michaeloverzier@gmail.com</t>
    </r>
  </si>
  <si>
    <t>Muller/Schoof</t>
  </si>
  <si>
    <r>
      <rPr>
        <rFont val="Helvetica Neue"/>
        <color rgb="FF1155CC"/>
        <u/>
      </rPr>
      <t>imullerschoof@chello.nl</t>
    </r>
  </si>
  <si>
    <t>Lintsen</t>
  </si>
  <si>
    <r>
      <rPr>
        <rFont val="Helvetica Neue"/>
        <color rgb="FF1155CC"/>
        <u/>
      </rPr>
      <t>marije.lintsen@gmail.com</t>
    </r>
  </si>
  <si>
    <t>Astrid</t>
  </si>
  <si>
    <t>Klabbers</t>
  </si>
  <si>
    <r>
      <rPr>
        <rFont val="Helvetica Neue"/>
        <color rgb="FF1155CC"/>
        <u/>
      </rPr>
      <t>astrid.1991@live.nl</t>
    </r>
  </si>
  <si>
    <t>Lital</t>
  </si>
  <si>
    <t>Ephraim</t>
  </si>
  <si>
    <r>
      <rPr>
        <rFont val="Helvetica Neue"/>
        <color rgb="FF1155CC"/>
        <u/>
      </rPr>
      <t>litalephraim@hotmail.com</t>
    </r>
  </si>
  <si>
    <t>Ysebaert</t>
  </si>
  <si>
    <r>
      <rPr>
        <rFont val="Helvetica Neue"/>
        <color rgb="FF1155CC"/>
        <u/>
      </rPr>
      <t>reneeijsebaert@gmail.com</t>
    </r>
  </si>
  <si>
    <t>Huising</t>
  </si>
  <si>
    <r>
      <rPr>
        <rFont val="Helvetica Neue"/>
        <color rgb="FF1155CC"/>
        <u/>
      </rPr>
      <t>mjuhuising88@gmail.com</t>
    </r>
  </si>
  <si>
    <t>Zwagerman</t>
  </si>
  <si>
    <r>
      <rPr>
        <rFont val="Helvetica Neue"/>
        <color rgb="FF1155CC"/>
        <u/>
      </rPr>
      <t>marieke.zwagerman@gmail.com</t>
    </r>
  </si>
  <si>
    <t>Nellen</t>
  </si>
  <si>
    <r>
      <rPr>
        <rFont val="Helvetica Neue"/>
        <color rgb="FF1155CC"/>
        <u/>
      </rPr>
      <t>kees.nellen@gmail.com</t>
    </r>
  </si>
  <si>
    <t>Breddels</t>
  </si>
  <si>
    <r>
      <rPr>
        <rFont val="Helvetica Neue"/>
        <color rgb="FF1155CC"/>
        <u/>
      </rPr>
      <t>bart@schoonmaakbedrijfbreddels.nl</t>
    </r>
  </si>
  <si>
    <t>Anne-Sophie</t>
  </si>
  <si>
    <t>Safi-Harb</t>
  </si>
  <si>
    <r>
      <rPr>
        <rFont val="Helvetica Neue"/>
        <color rgb="FF1155CC"/>
        <u/>
      </rPr>
      <t>annesophiemailt@gmail.com</t>
    </r>
  </si>
  <si>
    <t>Annelieke</t>
  </si>
  <si>
    <t>Schoonderwoerd</t>
  </si>
  <si>
    <r>
      <rPr>
        <rFont val="Helvetica Neue"/>
        <color rgb="FF1155CC"/>
        <u/>
      </rPr>
      <t>anneliekeschoonderwoerd@hotmail.com</t>
    </r>
  </si>
  <si>
    <t>Viona</t>
  </si>
  <si>
    <t>Terleth</t>
  </si>
  <si>
    <r>
      <rPr>
        <rFont val="Helvetica Neue"/>
        <color rgb="FF1155CC"/>
        <u/>
      </rPr>
      <t>vterleth@icloud.com</t>
    </r>
  </si>
  <si>
    <r>
      <rPr>
        <rFont val="Helvetica Neue"/>
        <color rgb="FF1155CC"/>
        <u/>
      </rPr>
      <t>s.a.j.vanbeek@gmail.com</t>
    </r>
  </si>
  <si>
    <t>Dorotheé</t>
  </si>
  <si>
    <t>Beens - Nieuwveld</t>
  </si>
  <si>
    <r>
      <rPr>
        <rFont val="Helvetica Neue"/>
        <color rgb="FF1155CC"/>
        <u/>
      </rPr>
      <t>Info@eigen-wijsz.nl</t>
    </r>
  </si>
  <si>
    <t>Berend</t>
  </si>
  <si>
    <t>van Breda</t>
  </si>
  <si>
    <r>
      <rPr>
        <rFont val="Helvetica Neue"/>
        <color rgb="FF1155CC"/>
        <u/>
      </rPr>
      <t>berendvanbreda@live.nl</t>
    </r>
  </si>
  <si>
    <t>Lorraine</t>
  </si>
  <si>
    <t>van der Stok-Sleijffers</t>
  </si>
  <si>
    <r>
      <rPr>
        <rFont val="Helvetica Neue"/>
        <color rgb="FF1155CC"/>
        <u/>
      </rPr>
      <t>lorrainevanderstok@gmail.com</t>
    </r>
  </si>
  <si>
    <t>Jelena</t>
  </si>
  <si>
    <t>Sjatskig</t>
  </si>
  <si>
    <r>
      <rPr>
        <rFont val="Helvetica Neue"/>
        <color rgb="FF1155CC"/>
        <u/>
      </rPr>
      <t>lesjabohlen@gmail.com</t>
    </r>
  </si>
  <si>
    <t>Nynke</t>
  </si>
  <si>
    <t>Massop</t>
  </si>
  <si>
    <r>
      <rPr>
        <rFont val="Helvetica Neue"/>
        <color rgb="FF1155CC"/>
        <u/>
      </rPr>
      <t>sjoerdnynke@outlook.com</t>
    </r>
  </si>
  <si>
    <r>
      <rPr>
        <rFont val="Helvetica Neue"/>
        <color rgb="FF1155CC"/>
        <u/>
      </rPr>
      <t>neutimo@dds.nl</t>
    </r>
  </si>
  <si>
    <t>Luuk</t>
  </si>
  <si>
    <t>van Santen</t>
  </si>
  <si>
    <r>
      <rPr>
        <rFont val="Helvetica Neue"/>
        <color rgb="FF1155CC"/>
        <u/>
      </rPr>
      <t>luukvansanten1997@hotmail.com</t>
    </r>
  </si>
  <si>
    <t>Levendig</t>
  </si>
  <si>
    <r>
      <rPr>
        <rFont val="Helvetica Neue"/>
        <color rgb="FF1155CC"/>
        <u/>
      </rPr>
      <t>daanlevendig@gmail.com</t>
    </r>
  </si>
  <si>
    <t>Andries</t>
  </si>
  <si>
    <t>Akkerman</t>
  </si>
  <si>
    <r>
      <rPr>
        <rFont val="Helvetica Neue"/>
        <color rgb="FF1155CC"/>
        <u/>
      </rPr>
      <t>aga_007@hotmail.com</t>
    </r>
  </si>
  <si>
    <t>van der Bruggen</t>
  </si>
  <si>
    <r>
      <rPr>
        <rFont val="Helvetica Neue"/>
        <color rgb="FF1155CC"/>
        <u/>
      </rPr>
      <t>sorbitollisollie@gmail.com</t>
    </r>
  </si>
  <si>
    <t>Julius</t>
  </si>
  <si>
    <r>
      <rPr>
        <rFont val="Helvetica Neue"/>
        <color rgb="FF1155CC"/>
        <u/>
      </rPr>
      <t>juliusbijlsma@hotmail.com</t>
    </r>
  </si>
  <si>
    <t>Lievaart</t>
  </si>
  <si>
    <r>
      <rPr>
        <rFont val="Helvetica Neue"/>
        <color rgb="FF1155CC"/>
        <u/>
      </rPr>
      <t>esther.lievaart@gmaip.com</t>
    </r>
  </si>
  <si>
    <t>Jeanine</t>
  </si>
  <si>
    <t>Duijst</t>
  </si>
  <si>
    <r>
      <rPr>
        <rFont val="Helvetica Neue"/>
        <color rgb="FF1155CC"/>
        <u/>
      </rPr>
      <t>jeanineduijst@gmail.com</t>
    </r>
  </si>
  <si>
    <t>Maritza</t>
  </si>
  <si>
    <t>Rietdijk</t>
  </si>
  <si>
    <r>
      <rPr>
        <rFont val="Helvetica Neue"/>
        <color rgb="FF1155CC"/>
        <u/>
      </rPr>
      <t>m.rietdijk82@gmail.com</t>
    </r>
  </si>
  <si>
    <t>van der Heide</t>
  </si>
  <si>
    <r>
      <rPr>
        <rFont val="Helvetica Neue"/>
        <color rgb="FF1155CC"/>
        <u/>
      </rPr>
      <t>heide.weiss@upcmail.nl</t>
    </r>
  </si>
  <si>
    <t>Blinkhof</t>
  </si>
  <si>
    <r>
      <rPr>
        <rFont val="Helvetica Neue"/>
        <color rgb="FF1155CC"/>
        <u/>
      </rPr>
      <t>g.j.m.schoorl@gmail.com</t>
    </r>
  </si>
  <si>
    <t>Leontien</t>
  </si>
  <si>
    <t>Los</t>
  </si>
  <si>
    <r>
      <rPr>
        <rFont val="Helvetica Neue"/>
        <color rgb="FF1155CC"/>
        <u/>
      </rPr>
      <t>lwlos@xs4all.nl</t>
    </r>
  </si>
  <si>
    <t>Velsma</t>
  </si>
  <si>
    <r>
      <rPr>
        <rFont val="Helvetica Neue"/>
        <color rgb="FF1155CC"/>
        <u/>
      </rPr>
      <t>marloes.velsma@hotmail.com</t>
    </r>
  </si>
  <si>
    <t>Hol</t>
  </si>
  <si>
    <r>
      <rPr>
        <rFont val="Helvetica Neue"/>
        <color rgb="FF1155CC"/>
        <u/>
      </rPr>
      <t>inge_hol@yahoo.com</t>
    </r>
  </si>
  <si>
    <t>Engel</t>
  </si>
  <si>
    <r>
      <rPr>
        <rFont val="Helvetica Neue"/>
        <color rgb="FF1155CC"/>
        <u/>
      </rPr>
      <t>aemengel@gmail.com</t>
    </r>
  </si>
  <si>
    <t>Henzen</t>
  </si>
  <si>
    <r>
      <rPr>
        <rFont val="Helvetica Neue"/>
        <color rgb="FF1155CC"/>
        <u/>
      </rPr>
      <t>evaezendam@gmail.com</t>
    </r>
  </si>
  <si>
    <r>
      <rPr>
        <rFont val="Helvetica Neue"/>
        <color rgb="FF1155CC"/>
        <u/>
      </rPr>
      <t>evaezendam@gmail.com</t>
    </r>
  </si>
  <si>
    <t>Burger</t>
  </si>
  <si>
    <r>
      <rPr>
        <rFont val="Helvetica Neue"/>
        <color rgb="FF1155CC"/>
        <u/>
      </rPr>
      <t>ellen.burger@kpnplanet.nl</t>
    </r>
  </si>
  <si>
    <t>Tomas</t>
  </si>
  <si>
    <r>
      <rPr>
        <rFont val="Helvetica Neue"/>
        <color rgb="FF1155CC"/>
        <u/>
      </rPr>
      <t>tomas.loeffen@gmail.com</t>
    </r>
  </si>
  <si>
    <t>Hiltje</t>
  </si>
  <si>
    <t>Osinga</t>
  </si>
  <si>
    <r>
      <rPr>
        <rFont val="Helvetica Neue"/>
        <color rgb="FF1155CC"/>
        <u/>
      </rPr>
      <t>hiltjeosinga@gmail.com</t>
    </r>
  </si>
  <si>
    <t>Gertjan</t>
  </si>
  <si>
    <t>Gardenbroek</t>
  </si>
  <si>
    <r>
      <rPr>
        <rFont val="Helvetica Neue"/>
        <color rgb="FF1155CC"/>
        <u/>
      </rPr>
      <t>gardog@hotmail.com</t>
    </r>
  </si>
  <si>
    <t>Wielenga</t>
  </si>
  <si>
    <r>
      <rPr>
        <rFont val="Helvetica Neue"/>
        <color rgb="FF1155CC"/>
        <u/>
      </rPr>
      <t>ibeijer@gmail.com</t>
    </r>
  </si>
  <si>
    <t>Van Nijnatten</t>
  </si>
  <si>
    <r>
      <rPr>
        <rFont val="Helvetica Neue"/>
        <color rgb="FF1155CC"/>
        <u/>
      </rPr>
      <t>marcelvannijnatten@gmail.com</t>
    </r>
  </si>
  <si>
    <t>Tanja</t>
  </si>
  <si>
    <t>Dammers</t>
  </si>
  <si>
    <r>
      <rPr>
        <rFont val="Helvetica Neue"/>
        <color rgb="FF1155CC"/>
        <u/>
      </rPr>
      <t>tanjadammers@gmail.com</t>
    </r>
  </si>
  <si>
    <t>Yvette</t>
  </si>
  <si>
    <t>Nelen</t>
  </si>
  <si>
    <r>
      <rPr>
        <rFont val="Helvetica Neue"/>
        <color rgb="FF1155CC"/>
        <u/>
      </rPr>
      <t>ynelen@gmail.com</t>
    </r>
  </si>
  <si>
    <t>marjolein</t>
  </si>
  <si>
    <t>bos</t>
  </si>
  <si>
    <r>
      <rPr>
        <rFont val="Helvetica Neue"/>
        <color rgb="FF1155CC"/>
        <u/>
      </rPr>
      <t>bosmarjolein@gmail.com</t>
    </r>
  </si>
  <si>
    <t>Pistecky</t>
  </si>
  <si>
    <r>
      <rPr>
        <rFont val="Helvetica Neue"/>
        <color rgb="FF1155CC"/>
        <u/>
      </rPr>
      <t>hipandhub@gmail.com</t>
    </r>
  </si>
  <si>
    <t>Philippe</t>
  </si>
  <si>
    <t>Brouwers</t>
  </si>
  <si>
    <r>
      <rPr>
        <rFont val="Helvetica Neue"/>
        <color rgb="FF1155CC"/>
        <u/>
      </rPr>
      <t>pcxm.brouwers@gmail.com</t>
    </r>
  </si>
  <si>
    <r>
      <rPr>
        <rFont val="Helvetica Neue"/>
        <color rgb="FF1155CC"/>
        <u/>
      </rPr>
      <t>vissabine@gmail.com</t>
    </r>
  </si>
  <si>
    <t>Bujalska</t>
  </si>
  <si>
    <r>
      <rPr>
        <rFont val="Helvetica Neue"/>
        <color rgb="FF1155CC"/>
        <u/>
      </rPr>
      <t>mariabujalska@gmail.com</t>
    </r>
  </si>
  <si>
    <r>
      <rPr>
        <rFont val="Helvetica Neue"/>
        <color rgb="FF1155CC"/>
        <u/>
      </rPr>
      <t>mariabujalska@gmail.com</t>
    </r>
  </si>
  <si>
    <t>Scheffer</t>
  </si>
  <si>
    <r>
      <rPr>
        <rFont val="Helvetica Neue"/>
        <color rgb="FF1155CC"/>
        <u/>
      </rPr>
      <t>anouk.scheffer@gmail.com</t>
    </r>
  </si>
  <si>
    <t>van Wingerde</t>
  </si>
  <si>
    <r>
      <rPr>
        <rFont val="Helvetica Neue"/>
        <color rgb="FF1155CC"/>
        <u/>
      </rPr>
      <t>avwingerde@gmail.com</t>
    </r>
  </si>
  <si>
    <t>Mireille</t>
  </si>
  <si>
    <r>
      <rPr>
        <rFont val="Helvetica Neue"/>
        <color rgb="FF1155CC"/>
        <u/>
      </rPr>
      <t>mireille.vink@ziggo.nl</t>
    </r>
  </si>
  <si>
    <t>Natasja</t>
  </si>
  <si>
    <t>Schutter</t>
  </si>
  <si>
    <r>
      <rPr>
        <rFont val="Helvetica Neue"/>
        <color rgb="FF1155CC"/>
        <u/>
      </rPr>
      <t>natasjaschutter@me.com</t>
    </r>
  </si>
  <si>
    <t>Kempen</t>
  </si>
  <si>
    <r>
      <rPr>
        <rFont val="Helvetica Neue"/>
        <color rgb="FF1155CC"/>
        <u/>
      </rPr>
      <t>emmaewkempen@gmail.com</t>
    </r>
  </si>
  <si>
    <t>Reid</t>
  </si>
  <si>
    <r>
      <rPr>
        <rFont val="Helvetica Neue"/>
        <color rgb="FF1155CC"/>
        <u/>
      </rPr>
      <t>nickireid169@hotmail.com</t>
    </r>
  </si>
  <si>
    <t>#BB-25-8709</t>
  </si>
  <si>
    <t>Kleff</t>
  </si>
  <si>
    <r>
      <rPr>
        <rFont val="Helvetica Neue"/>
        <color rgb="FF1155CC"/>
        <u/>
      </rPr>
      <t>nkleff71@gmail.com</t>
    </r>
  </si>
  <si>
    <t>Maurits</t>
  </si>
  <si>
    <t>Dorlandt</t>
  </si>
  <si>
    <r>
      <rPr>
        <rFont val="Helvetica Neue"/>
        <color rgb="FF1155CC"/>
        <u/>
      </rPr>
      <t>maurits.dorlandt@gmail.com</t>
    </r>
  </si>
  <si>
    <t>Marjon</t>
  </si>
  <si>
    <r>
      <rPr>
        <rFont val="Helvetica Neue"/>
        <color rgb="FF1155CC"/>
        <u/>
      </rPr>
      <t>mpvr50@hotmail.com</t>
    </r>
  </si>
  <si>
    <t>Tanita</t>
  </si>
  <si>
    <r>
      <rPr>
        <rFont val="Helvetica Neue"/>
        <color rgb="FF1155CC"/>
        <u/>
      </rPr>
      <t>tanitajansen93@gmail.com</t>
    </r>
  </si>
  <si>
    <t>Roel</t>
  </si>
  <si>
    <t>Sillevis Smitt</t>
  </si>
  <si>
    <r>
      <rPr>
        <rFont val="Helvetica Neue"/>
        <color rgb="FF1155CC"/>
        <u/>
      </rPr>
      <t>rsillevissmitt@gmail.com</t>
    </r>
  </si>
  <si>
    <t>Kemp</t>
  </si>
  <si>
    <r>
      <rPr>
        <rFont val="Helvetica Neue"/>
        <color rgb="FF1155CC"/>
        <u/>
      </rPr>
      <t>tessajacobinekemp@hotmail.com</t>
    </r>
  </si>
  <si>
    <t>#BB-25-8661</t>
  </si>
  <si>
    <t>Kathinka</t>
  </si>
  <si>
    <r>
      <rPr>
        <rFont val="Helvetica Neue"/>
        <color rgb="FF1155CC"/>
        <u/>
      </rPr>
      <t>kathinka.veldkamp@gmail.com</t>
    </r>
  </si>
  <si>
    <t>Marinda</t>
  </si>
  <si>
    <t>Giethoorn</t>
  </si>
  <si>
    <r>
      <rPr>
        <rFont val="Helvetica Neue"/>
        <color rgb="FF1155CC"/>
        <u/>
      </rPr>
      <t>marindagiethoorn@hotmail.com</t>
    </r>
  </si>
  <si>
    <t>Stijns</t>
  </si>
  <si>
    <r>
      <rPr>
        <rFont val="Helvetica Neue"/>
        <color rgb="FF1155CC"/>
        <u/>
      </rPr>
      <t>ct.stijns@gmail.com</t>
    </r>
  </si>
  <si>
    <t>Jeuken</t>
  </si>
  <si>
    <r>
      <rPr>
        <rFont val="Helvetica Neue"/>
        <color rgb="FF1155CC"/>
        <u/>
      </rPr>
      <t>manonj@live.nl</t>
    </r>
  </si>
  <si>
    <t>Dagmar</t>
  </si>
  <si>
    <r>
      <rPr>
        <rFont val="Helvetica Neue"/>
        <color rgb="FF1155CC"/>
        <u/>
      </rPr>
      <t>dagmarmeijerx@gmail.com</t>
    </r>
  </si>
  <si>
    <t>#BB-25-8725</t>
  </si>
  <si>
    <r>
      <rPr>
        <rFont val="Helvetica Neue"/>
        <color rgb="FF1155CC"/>
        <u/>
      </rPr>
      <t>lisalkmaas@gmail.com</t>
    </r>
  </si>
  <si>
    <r>
      <rPr>
        <rFont val="Helvetica Neue"/>
        <color rgb="FF1155CC"/>
        <u/>
      </rPr>
      <t>daan.ooms@gmail.com</t>
    </r>
  </si>
  <si>
    <t>leonie</t>
  </si>
  <si>
    <t>wijnsema</t>
  </si>
  <si>
    <r>
      <rPr>
        <rFont val="Helvetica Neue"/>
        <color rgb="FF1155CC"/>
        <u/>
      </rPr>
      <t>leoniewijnsema@gmail.com</t>
    </r>
  </si>
  <si>
    <r>
      <rPr>
        <rFont val="Helvetica Neue"/>
        <color rgb="FF1155CC"/>
        <u/>
      </rPr>
      <t>emma_smit@hotmail.com</t>
    </r>
  </si>
  <si>
    <t>Danny</t>
  </si>
  <si>
    <t>Sjouwerman</t>
  </si>
  <si>
    <r>
      <rPr>
        <rFont val="Helvetica Neue"/>
        <color rgb="FF1155CC"/>
        <u/>
      </rPr>
      <t>dannydoucheman@hotmail.com</t>
    </r>
  </si>
  <si>
    <t>#BB-25-8731</t>
  </si>
  <si>
    <t>Belle</t>
  </si>
  <si>
    <r>
      <rPr>
        <rFont val="Helvetica Neue"/>
        <color rgb="FF1155CC"/>
        <u/>
      </rPr>
      <t>bellejulielammers@hotmail.com</t>
    </r>
  </si>
  <si>
    <r>
      <rPr>
        <rFont val="Helvetica Neue"/>
        <color rgb="FF1155CC"/>
        <u/>
      </rPr>
      <t>anoukwouters@gmail.com</t>
    </r>
  </si>
  <si>
    <t>Cornelie</t>
  </si>
  <si>
    <t>Renckens</t>
  </si>
  <si>
    <r>
      <rPr>
        <rFont val="Helvetica Neue"/>
        <color rgb="FF1155CC"/>
        <u/>
      </rPr>
      <t>c.renckens@gmail.com</t>
    </r>
  </si>
  <si>
    <r>
      <rPr>
        <rFont val="Helvetica Neue"/>
        <color rgb="FF1155CC"/>
        <u/>
      </rPr>
      <t>irina.feenstra@live.nl</t>
    </r>
  </si>
  <si>
    <r>
      <rPr>
        <rFont val="Helvetica Neue"/>
        <color rgb="FF1155CC"/>
        <u/>
      </rPr>
      <t>joycedevries1987@gmail.com</t>
    </r>
  </si>
  <si>
    <t>Van der meulen</t>
  </si>
  <si>
    <r>
      <rPr>
        <rFont val="Helvetica Neue"/>
        <color rgb="FF1155CC"/>
        <u/>
      </rPr>
      <t>sanne_vandermeulen@hotmail.com</t>
    </r>
  </si>
  <si>
    <r>
      <rPr>
        <rFont val="Helvetica Neue"/>
        <color rgb="FF1155CC"/>
        <u/>
      </rPr>
      <t>solveigelisa@gmail.com</t>
    </r>
  </si>
  <si>
    <t>Niko</t>
  </si>
  <si>
    <t>Kettunen</t>
  </si>
  <si>
    <r>
      <rPr>
        <rFont val="Helvetica Neue"/>
        <color rgb="FF1155CC"/>
        <u/>
      </rPr>
      <t>nk.kopio@gmail.com</t>
    </r>
  </si>
  <si>
    <t>Wittenboer</t>
  </si>
  <si>
    <r>
      <rPr>
        <rFont val="Helvetica Neue"/>
        <color rgb="FF1155CC"/>
        <u/>
      </rPr>
      <t>twitterpated@live.nl</t>
    </r>
  </si>
  <si>
    <t>Klaartje</t>
  </si>
  <si>
    <t>de Looze</t>
  </si>
  <si>
    <r>
      <rPr>
        <rFont val="Helvetica Neue"/>
        <color rgb="FF1155CC"/>
        <u/>
      </rPr>
      <t>klaartjedelooze@hotmail.com</t>
    </r>
  </si>
  <si>
    <t>Sandjay</t>
  </si>
  <si>
    <t>Tuithof</t>
  </si>
  <si>
    <r>
      <rPr>
        <rFont val="Helvetica Neue"/>
        <color rgb="FF1155CC"/>
        <u/>
      </rPr>
      <t>sktuithof@gmail.com</t>
    </r>
  </si>
  <si>
    <t>Steffie</t>
  </si>
  <si>
    <r>
      <rPr>
        <rFont val="Helvetica Neue"/>
        <color rgb="FF1155CC"/>
        <u/>
      </rPr>
      <t>steffievdberg@gmail.com</t>
    </r>
  </si>
  <si>
    <r>
      <rPr>
        <rFont val="Helvetica Neue"/>
        <color rgb="FF1155CC"/>
        <u/>
      </rPr>
      <t>steffievdberg@gmail.com</t>
    </r>
  </si>
  <si>
    <t>Vons</t>
  </si>
  <si>
    <r>
      <rPr>
        <rFont val="Helvetica Neue"/>
        <color rgb="FF1155CC"/>
        <u/>
      </rPr>
      <t>vonsje@hotmail.com</t>
    </r>
  </si>
  <si>
    <t>Talitha</t>
  </si>
  <si>
    <t>Hoogendoorn</t>
  </si>
  <si>
    <r>
      <rPr>
        <rFont val="Helvetica Neue"/>
        <color rgb="FF1155CC"/>
        <u/>
      </rPr>
      <t>talithahoogendoorn@hotmail.com</t>
    </r>
  </si>
  <si>
    <t>Rikkert</t>
  </si>
  <si>
    <t>Jolink</t>
  </si>
  <si>
    <r>
      <rPr>
        <rFont val="Helvetica Neue"/>
        <color rgb="FF1155CC"/>
        <u/>
      </rPr>
      <t>rikkertjolink@gmail.com</t>
    </r>
  </si>
  <si>
    <t>Adamse-Admiraal</t>
  </si>
  <si>
    <r>
      <rPr>
        <rFont val="Helvetica Neue"/>
        <color rgb="FF1155CC"/>
        <u/>
      </rPr>
      <t>natasjaadmiraal@gmail.com</t>
    </r>
  </si>
  <si>
    <t>Olivia</t>
  </si>
  <si>
    <t>Maccario</t>
  </si>
  <si>
    <r>
      <rPr>
        <rFont val="Helvetica Neue"/>
        <color rgb="FF1155CC"/>
        <u/>
      </rPr>
      <t>olivia.vanhartesveldt@gmail.com</t>
    </r>
  </si>
  <si>
    <t>#BB-25-8757</t>
  </si>
  <si>
    <t>Pijnenburg</t>
  </si>
  <si>
    <r>
      <rPr>
        <rFont val="Helvetica Neue"/>
        <color rgb="FF1155CC"/>
        <u/>
      </rPr>
      <t>margot.13@hotmail.nl</t>
    </r>
  </si>
  <si>
    <t>Jort</t>
  </si>
  <si>
    <t>Wildschut</t>
  </si>
  <si>
    <r>
      <rPr>
        <rFont val="Helvetica Neue"/>
        <color rgb="FF1155CC"/>
        <u/>
      </rPr>
      <t>jwildschut@gmail.com</t>
    </r>
  </si>
  <si>
    <t>Rory</t>
  </si>
  <si>
    <r>
      <rPr>
        <rFont val="Helvetica Neue"/>
        <color rgb="FF1155CC"/>
        <u/>
      </rPr>
      <t>clang_node.1n@icloud.com</t>
    </r>
  </si>
  <si>
    <t>Rina</t>
  </si>
  <si>
    <t>Siemonsma</t>
  </si>
  <si>
    <r>
      <rPr>
        <rFont val="Helvetica Neue"/>
        <color rgb="FF1155CC"/>
        <u/>
      </rPr>
      <t>rinasiemonsma@gmail.com</t>
    </r>
  </si>
  <si>
    <t>Ricardo</t>
  </si>
  <si>
    <r>
      <rPr>
        <rFont val="Helvetica Neue"/>
        <color rgb="FF1155CC"/>
        <u/>
      </rPr>
      <t>vandenbos.ricardo@gmail.com</t>
    </r>
  </si>
  <si>
    <t>Knook</t>
  </si>
  <si>
    <r>
      <rPr>
        <rFont val="Helvetica Neue"/>
        <color rgb="FF1155CC"/>
        <u/>
      </rPr>
      <t>lauraknook@gmail.com</t>
    </r>
  </si>
  <si>
    <t>Liana</t>
  </si>
  <si>
    <t>Barenbrug</t>
  </si>
  <si>
    <r>
      <rPr>
        <rFont val="Helvetica Neue"/>
        <color rgb="FF1155CC"/>
        <u/>
      </rPr>
      <t>ad6liana@gmail.com</t>
    </r>
  </si>
  <si>
    <r>
      <rPr>
        <rFont val="Helvetica Neue"/>
        <color rgb="FF1155CC"/>
        <u/>
      </rPr>
      <t>daphne.smits@live.nl</t>
    </r>
  </si>
  <si>
    <t>Jarno</t>
  </si>
  <si>
    <t>Roemer</t>
  </si>
  <si>
    <r>
      <rPr>
        <rFont val="Helvetica Neue"/>
        <color rgb="FF1155CC"/>
        <u/>
      </rPr>
      <t>jcjroemer@gmail.com</t>
    </r>
  </si>
  <si>
    <t>Meulepas</t>
  </si>
  <si>
    <r>
      <rPr>
        <rFont val="Helvetica Neue"/>
        <color rgb="FF1155CC"/>
        <u/>
      </rPr>
      <t>miloumeulepas@hotmail.com</t>
    </r>
  </si>
  <si>
    <r>
      <rPr>
        <rFont val="Helvetica Neue"/>
        <color rgb="FF1155CC"/>
        <u/>
      </rPr>
      <t>charlottesmityoga@gmail.com</t>
    </r>
  </si>
  <si>
    <t>Peijster</t>
  </si>
  <si>
    <r>
      <rPr>
        <rFont val="Helvetica Neue"/>
        <color rgb="FF1155CC"/>
        <u/>
      </rPr>
      <t>epeijster@gmail.com</t>
    </r>
  </si>
  <si>
    <t>#BB-25-8772</t>
  </si>
  <si>
    <t>Arne</t>
  </si>
  <si>
    <t>Freriks</t>
  </si>
  <si>
    <r>
      <rPr>
        <rFont val="Helvetica Neue"/>
        <color rgb="FF1155CC"/>
        <u/>
      </rPr>
      <t>arne@freedom.nl</t>
    </r>
  </si>
  <si>
    <t>van Dun</t>
  </si>
  <si>
    <r>
      <rPr>
        <rFont val="Helvetica Neue"/>
        <color rgb="FF1155CC"/>
        <u/>
      </rPr>
      <t>gootje_31@hotmail.com</t>
    </r>
  </si>
  <si>
    <t>Margaux</t>
  </si>
  <si>
    <t>Duchâtel</t>
  </si>
  <si>
    <r>
      <rPr>
        <rFont val="Helvetica Neue"/>
        <color rgb="FF1155CC"/>
        <u/>
      </rPr>
      <t>m-argaux.d@live.fr</t>
    </r>
  </si>
  <si>
    <t>Haverdings</t>
  </si>
  <si>
    <r>
      <rPr>
        <rFont val="Helvetica Neue"/>
        <color rgb="FF1155CC"/>
        <u/>
      </rPr>
      <t>mbhaverdings@hotmail.com</t>
    </r>
  </si>
  <si>
    <t>E.</t>
  </si>
  <si>
    <t>Spuyman</t>
  </si>
  <si>
    <r>
      <rPr>
        <rFont val="Helvetica Neue"/>
        <color rgb="FF1155CC"/>
        <u/>
      </rPr>
      <t>spuyman@gmail.com</t>
    </r>
  </si>
  <si>
    <t>#BB-25-8779</t>
  </si>
  <si>
    <t>Kooper</t>
  </si>
  <si>
    <r>
      <rPr>
        <rFont val="Helvetica Neue"/>
        <color rgb="FF1155CC"/>
        <u/>
      </rPr>
      <t>maria0653530365@gmail.com</t>
    </r>
  </si>
  <si>
    <t>Hazen</t>
  </si>
  <si>
    <r>
      <rPr>
        <rFont val="Helvetica Neue"/>
        <color rgb="FF1155CC"/>
        <u/>
      </rPr>
      <t>michiel.hazen@proton.me</t>
    </r>
  </si>
  <si>
    <t>#BB-25-8764</t>
  </si>
  <si>
    <t>Berghuijs</t>
  </si>
  <si>
    <r>
      <rPr>
        <rFont val="Helvetica Neue"/>
        <color rgb="FF1155CC"/>
        <u/>
      </rPr>
      <t>beterboompje@robinberghuijs.com</t>
    </r>
  </si>
  <si>
    <r>
      <rPr>
        <rFont val="Helvetica Neue"/>
        <color rgb="FF1155CC"/>
        <u/>
      </rPr>
      <t>juulligtenberg@gmail.com</t>
    </r>
  </si>
  <si>
    <t>Grond</t>
  </si>
  <si>
    <r>
      <rPr>
        <rFont val="Helvetica Neue"/>
        <color rgb="FF1155CC"/>
        <u/>
      </rPr>
      <t>kevingrond@gmail.com</t>
    </r>
  </si>
  <si>
    <t>#BB-25-8782</t>
  </si>
  <si>
    <t>Beijering</t>
  </si>
  <si>
    <r>
      <rPr>
        <rFont val="Helvetica Neue"/>
        <color rgb="FF1155CC"/>
        <u/>
      </rPr>
      <t>mjbeijering@gmail.com</t>
    </r>
  </si>
  <si>
    <t>Edith</t>
  </si>
  <si>
    <t>Heuders</t>
  </si>
  <si>
    <r>
      <rPr>
        <rFont val="Helvetica Neue"/>
        <color rgb="FF1155CC"/>
        <u/>
      </rPr>
      <t>edithheuders@gmail.com</t>
    </r>
  </si>
  <si>
    <t>Jackie</t>
  </si>
  <si>
    <t>Seegers</t>
  </si>
  <si>
    <r>
      <rPr>
        <rFont val="Helvetica Neue"/>
        <color rgb="FF1155CC"/>
        <u/>
      </rPr>
      <t>jmh.seegers15@gmail.com</t>
    </r>
  </si>
  <si>
    <t>Oomen</t>
  </si>
  <si>
    <r>
      <rPr>
        <rFont val="Helvetica Neue"/>
        <color rgb="FF1155CC"/>
        <u/>
      </rPr>
      <t>femke448@gmail.com</t>
    </r>
  </si>
  <si>
    <t>Matsinger</t>
  </si>
  <si>
    <r>
      <rPr>
        <rFont val="Helvetica Neue"/>
        <color rgb="FF1155CC"/>
        <u/>
      </rPr>
      <t>annekematsinger@gmail.com</t>
    </r>
  </si>
  <si>
    <t>Sarphatie</t>
  </si>
  <si>
    <r>
      <rPr>
        <rFont val="Helvetica Neue"/>
        <color rgb="FF1155CC"/>
        <u/>
      </rPr>
      <t>esthersarphatie@xs4all.nl</t>
    </r>
  </si>
  <si>
    <r>
      <rPr>
        <rFont val="Helvetica Neue"/>
        <color rgb="FF1155CC"/>
        <u/>
      </rPr>
      <t>lindamarloesvdmeulen@gmail.com</t>
    </r>
  </si>
  <si>
    <t>Versteegh</t>
  </si>
  <si>
    <r>
      <rPr>
        <rFont val="Helvetica Neue"/>
        <color rgb="FF1155CC"/>
        <u/>
      </rPr>
      <t>m.e.versteegh@gmail.com</t>
    </r>
  </si>
  <si>
    <r>
      <rPr>
        <rFont val="Helvetica Neue"/>
        <color rgb="FF1155CC"/>
        <u/>
      </rPr>
      <t>marieke-smit@live.nl</t>
    </r>
  </si>
  <si>
    <r>
      <rPr>
        <rFont val="Helvetica Neue"/>
        <color rgb="FF1155CC"/>
        <u/>
      </rPr>
      <t>marleendorlandt@yahoo.co.uk</t>
    </r>
  </si>
  <si>
    <t>Groesdonk</t>
  </si>
  <si>
    <r>
      <rPr>
        <rFont val="Helvetica Neue"/>
        <color rgb="FF1155CC"/>
        <u/>
      </rPr>
      <t>j.groesdonk@gmail.com</t>
    </r>
  </si>
  <si>
    <t>Laurie</t>
  </si>
  <si>
    <t>Van der Burg</t>
  </si>
  <si>
    <r>
      <rPr>
        <rFont val="Helvetica Neue"/>
        <color rgb="FF1155CC"/>
        <u/>
      </rPr>
      <t>laurievanderburg@hotmail.com</t>
    </r>
  </si>
  <si>
    <t>Roxanne</t>
  </si>
  <si>
    <t>Tegelenbosch</t>
  </si>
  <si>
    <r>
      <rPr>
        <rFont val="Helvetica Neue"/>
        <color rgb="FF1155CC"/>
        <u/>
      </rPr>
      <t>roxanne.tegelenbosch@hotmail.com</t>
    </r>
  </si>
  <si>
    <t>Rombouts</t>
  </si>
  <si>
    <r>
      <rPr>
        <rFont val="Helvetica Neue"/>
        <color rgb="FF1155CC"/>
        <u/>
      </rPr>
      <t>rombouts.kevin@gmail.com</t>
    </r>
  </si>
  <si>
    <t>Nelly</t>
  </si>
  <si>
    <t>van de Pas</t>
  </si>
  <si>
    <r>
      <rPr>
        <rFont val="Helvetica Neue"/>
        <color rgb="FF1155CC"/>
        <u/>
      </rPr>
      <t>lammerspas@kpnmail.nl</t>
    </r>
  </si>
  <si>
    <t>van Duijvenvoorde</t>
  </si>
  <si>
    <r>
      <rPr>
        <rFont val="Helvetica Neue"/>
        <color rgb="FF1155CC"/>
        <u/>
      </rPr>
      <t>avanduijvenvoorde@live.nl</t>
    </r>
  </si>
  <si>
    <t>YUSUF</t>
  </si>
  <si>
    <t>SAYITA</t>
  </si>
  <si>
    <r>
      <rPr>
        <rFont val="Helvetica Neue"/>
        <color rgb="FF1155CC"/>
        <u/>
      </rPr>
      <t>ysayita@gmail.com</t>
    </r>
  </si>
  <si>
    <t>Coco</t>
  </si>
  <si>
    <t>Rae</t>
  </si>
  <si>
    <r>
      <rPr>
        <rFont val="Helvetica Neue"/>
        <color rgb="FF1155CC"/>
        <u/>
      </rPr>
      <t>cocobosma5@gmail.com</t>
    </r>
  </si>
  <si>
    <t>Bo</t>
  </si>
  <si>
    <t>Botteberg</t>
  </si>
  <si>
    <r>
      <rPr>
        <rFont val="Helvetica Neue"/>
        <color rgb="FF1155CC"/>
        <u/>
      </rPr>
      <t>bobottenberg@hotmail.com</t>
    </r>
  </si>
  <si>
    <t>Sangster-Bullers</t>
  </si>
  <si>
    <r>
      <rPr>
        <rFont val="Helvetica Neue"/>
        <color rgb="FF1155CC"/>
        <u/>
      </rPr>
      <t>tsangsterbullers@gmail.com</t>
    </r>
  </si>
  <si>
    <t>Meijeren</t>
  </si>
  <si>
    <r>
      <rPr>
        <rFont val="Helvetica Neue"/>
        <color rgb="FF1155CC"/>
        <u/>
      </rPr>
      <t>marit_meijeren@hotmail.com</t>
    </r>
  </si>
  <si>
    <t>Donate</t>
  </si>
  <si>
    <t>Hofstra</t>
  </si>
  <si>
    <r>
      <rPr>
        <rFont val="Helvetica Neue"/>
        <color rgb="FF1155CC"/>
        <u/>
      </rPr>
      <t>donatehofstra@gmail.com</t>
    </r>
  </si>
  <si>
    <t>Xante</t>
  </si>
  <si>
    <t>van der Velden</t>
  </si>
  <si>
    <r>
      <rPr>
        <rFont val="Helvetica Neue"/>
        <color rgb="FF1155CC"/>
        <u/>
      </rPr>
      <t>xantevdv@gmail.com</t>
    </r>
  </si>
  <si>
    <t>Margreet</t>
  </si>
  <si>
    <t>van Gils</t>
  </si>
  <si>
    <r>
      <rPr>
        <rFont val="Helvetica Neue"/>
        <color rgb="FF1155CC"/>
        <u/>
      </rPr>
      <t>margreetvangils@yahoo.com</t>
    </r>
  </si>
  <si>
    <t>Eyckmans</t>
  </si>
  <si>
    <r>
      <rPr>
        <rFont val="Helvetica Neue"/>
        <color rgb="FF1155CC"/>
        <u/>
      </rPr>
      <t>saareyckmans@gmail.com</t>
    </r>
  </si>
  <si>
    <r>
      <rPr>
        <rFont val="Helvetica Neue"/>
        <color rgb="FF1155CC"/>
        <u/>
      </rPr>
      <t>saareyckmans@gmail.com</t>
    </r>
  </si>
  <si>
    <t>Denise</t>
  </si>
  <si>
    <t>van Galen</t>
  </si>
  <si>
    <r>
      <rPr>
        <rFont val="Helvetica Neue"/>
        <color rgb="FF1155CC"/>
        <u/>
      </rPr>
      <t>denise.van.galen@hotmail.com</t>
    </r>
  </si>
  <si>
    <t>Alina</t>
  </si>
  <si>
    <t>Petre</t>
  </si>
  <si>
    <r>
      <rPr>
        <rFont val="Helvetica Neue"/>
        <color rgb="FF1155CC"/>
        <u/>
      </rPr>
      <t>alina.petre.nutrition@gmail.com</t>
    </r>
  </si>
  <si>
    <t>Hijlkema</t>
  </si>
  <si>
    <r>
      <rPr>
        <rFont val="Helvetica Neue"/>
        <color rgb="FF1155CC"/>
        <u/>
      </rPr>
      <t>wolfhijlkema@gmail.com</t>
    </r>
  </si>
  <si>
    <t>Alissa</t>
  </si>
  <si>
    <t>Panis</t>
  </si>
  <si>
    <r>
      <rPr>
        <rFont val="Helvetica Neue"/>
        <color rgb="FF1155CC"/>
        <u/>
      </rPr>
      <t>alissapanis@hotmail.com</t>
    </r>
  </si>
  <si>
    <t>Ceres</t>
  </si>
  <si>
    <t>Bekers</t>
  </si>
  <si>
    <r>
      <rPr>
        <rFont val="Helvetica Neue"/>
        <color rgb="FF1155CC"/>
        <u/>
      </rPr>
      <t>ceresbekers@hotmail.com</t>
    </r>
  </si>
  <si>
    <r>
      <rPr>
        <rFont val="Helvetica Neue"/>
        <color rgb="FF1155CC"/>
        <u/>
      </rPr>
      <t>ramonblok1996@gmail.com</t>
    </r>
  </si>
  <si>
    <t>Bockweg</t>
  </si>
  <si>
    <r>
      <rPr>
        <rFont val="Helvetica Neue"/>
        <color rgb="FF1155CC"/>
        <u/>
      </rPr>
      <t>bockweg_scheffers@hetnet.nl</t>
    </r>
  </si>
  <si>
    <t>Coumans</t>
  </si>
  <si>
    <r>
      <rPr>
        <rFont val="Helvetica Neue"/>
        <color rgb="FF1155CC"/>
        <u/>
      </rPr>
      <t>sara.vida.coumans@gmail.com</t>
    </r>
  </si>
  <si>
    <t>#BB-25-8825</t>
  </si>
  <si>
    <t>van Selm</t>
  </si>
  <si>
    <r>
      <rPr>
        <rFont val="Helvetica Neue"/>
        <color rgb="FF1155CC"/>
        <u/>
      </rPr>
      <t>annemarievanselm@gmail.com</t>
    </r>
  </si>
  <si>
    <t>Dingemans</t>
  </si>
  <si>
    <r>
      <rPr>
        <rFont val="Helvetica Neue"/>
        <color rgb="FF1155CC"/>
        <u/>
      </rPr>
      <t>ruben@rubendingemans.nl</t>
    </r>
  </si>
  <si>
    <r>
      <rPr>
        <rFont val="Helvetica Neue"/>
        <color rgb="FF1155CC"/>
        <u/>
      </rPr>
      <t>ruben@rubendingemans.nl</t>
    </r>
  </si>
  <si>
    <t>Middelweerd</t>
  </si>
  <si>
    <r>
      <rPr>
        <rFont val="Helvetica Neue"/>
        <color rgb="FF1155CC"/>
        <u/>
      </rPr>
      <t>hi.middelweerd@gmail.com</t>
    </r>
  </si>
  <si>
    <t>Mariana</t>
  </si>
  <si>
    <t>Garcia</t>
  </si>
  <si>
    <r>
      <rPr>
        <rFont val="Helvetica Neue"/>
        <color rgb="FF1155CC"/>
        <u/>
      </rPr>
      <t>garciapouillaude@gmail.com</t>
    </r>
  </si>
  <si>
    <r>
      <rPr>
        <rFont val="Helvetica Neue"/>
        <color rgb="FF1155CC"/>
        <u/>
      </rPr>
      <t>julietteoverzier@gmail.com</t>
    </r>
  </si>
  <si>
    <t>Rahn</t>
  </si>
  <si>
    <r>
      <rPr>
        <rFont val="Helvetica Neue"/>
        <color rgb="FF1155CC"/>
        <u/>
      </rPr>
      <t>christien54@hotmail.com</t>
    </r>
  </si>
  <si>
    <t>Fieke</t>
  </si>
  <si>
    <t>de Vlieger</t>
  </si>
  <si>
    <r>
      <rPr>
        <rFont val="Helvetica Neue"/>
        <color rgb="FF1155CC"/>
        <u/>
      </rPr>
      <t>fiekedevlieger@gmail.com</t>
    </r>
  </si>
  <si>
    <t>Wolthuis</t>
  </si>
  <si>
    <r>
      <rPr>
        <rFont val="Helvetica Neue"/>
        <color rgb="FF1155CC"/>
        <u/>
      </rPr>
      <t>wolthuis.e@gmail.com</t>
    </r>
  </si>
  <si>
    <t>Mart</t>
  </si>
  <si>
    <t>van Schooten</t>
  </si>
  <si>
    <r>
      <rPr>
        <rFont val="Helvetica Neue"/>
        <color rgb="FF1155CC"/>
        <u/>
      </rPr>
      <t>martbvanschooten@gmail.com</t>
    </r>
  </si>
  <si>
    <t>Wensing</t>
  </si>
  <si>
    <r>
      <rPr>
        <rFont val="Helvetica Neue"/>
        <color rgb="FF1155CC"/>
        <u/>
      </rPr>
      <t>hans.wensing@hotmail.nl</t>
    </r>
  </si>
  <si>
    <r>
      <rPr>
        <rFont val="Helvetica Neue"/>
        <color rgb="FF1155CC"/>
        <u/>
      </rPr>
      <t>ebbens@ziggo.nl</t>
    </r>
  </si>
  <si>
    <t>Looije</t>
  </si>
  <si>
    <r>
      <rPr>
        <rFont val="Helvetica Neue"/>
        <color rgb="FF1155CC"/>
        <u/>
      </rPr>
      <t>dlooije@gmail.com</t>
    </r>
  </si>
  <si>
    <t>#BB-25-8844</t>
  </si>
  <si>
    <t>Swaan</t>
  </si>
  <si>
    <t>Mostert</t>
  </si>
  <si>
    <r>
      <rPr>
        <rFont val="Helvetica Neue"/>
        <color rgb="FF1155CC"/>
        <u/>
      </rPr>
      <t>swaantje1@hotmail.com</t>
    </r>
  </si>
  <si>
    <t>Gerben</t>
  </si>
  <si>
    <t>Beeuwkes</t>
  </si>
  <si>
    <r>
      <rPr>
        <rFont val="Helvetica Neue"/>
        <color rgb="FF1155CC"/>
        <u/>
      </rPr>
      <t>gerbenn08@hotmail.com</t>
    </r>
  </si>
  <si>
    <t>Bruin</t>
  </si>
  <si>
    <r>
      <rPr>
        <rFont val="Helvetica Neue"/>
        <color rgb="FF1155CC"/>
        <u/>
      </rPr>
      <t>amberbruin@hotmail.com</t>
    </r>
  </si>
  <si>
    <t>Sandra</t>
  </si>
  <si>
    <t>Witman</t>
  </si>
  <si>
    <r>
      <rPr>
        <rFont val="Helvetica Neue"/>
        <color rgb="FF1155CC"/>
        <u/>
      </rPr>
      <t>sandrawitman@gmail.com</t>
    </r>
  </si>
  <si>
    <t>Bouwmans</t>
  </si>
  <si>
    <r>
      <rPr>
        <rFont val="Helvetica Neue"/>
        <color rgb="FF1155CC"/>
        <u/>
      </rPr>
      <t>ccbouwmans@gmail.com</t>
    </r>
  </si>
  <si>
    <t>Dinky</t>
  </si>
  <si>
    <t>Agroh - de Haseth</t>
  </si>
  <si>
    <r>
      <rPr>
        <rFont val="Helvetica Neue"/>
        <color rgb="FF1155CC"/>
        <u/>
      </rPr>
      <t>dinky_de_haseth@hotmail.com</t>
    </r>
  </si>
  <si>
    <r>
      <rPr>
        <rFont val="Helvetica Neue"/>
        <color rgb="FF1155CC"/>
        <u/>
      </rPr>
      <t>marjolijndebruijn@gmail.com</t>
    </r>
  </si>
  <si>
    <t>Yessie</t>
  </si>
  <si>
    <t>Vanden Branden</t>
  </si>
  <si>
    <r>
      <rPr>
        <rFont val="Helvetica Neue"/>
        <color rgb="FF1155CC"/>
        <u/>
      </rPr>
      <t>yessievandenbranden@hotmail.com</t>
    </r>
  </si>
  <si>
    <t>Van Hooijdonk</t>
  </si>
  <si>
    <r>
      <rPr>
        <rFont val="Helvetica Neue"/>
        <color rgb="FF1155CC"/>
        <u/>
      </rPr>
      <t>rubyvhooijdonk@hotmail.com</t>
    </r>
  </si>
  <si>
    <t>Oosthoek</t>
  </si>
  <si>
    <r>
      <rPr>
        <rFont val="Helvetica Neue"/>
        <color rgb="FF1155CC"/>
        <u/>
      </rPr>
      <t>info@belevenisboerderij.nl</t>
    </r>
  </si>
  <si>
    <r>
      <rPr>
        <rFont val="Helvetica Neue"/>
        <color rgb="FF1155CC"/>
        <u/>
      </rPr>
      <t>info@belevenisboerderij.nl</t>
    </r>
  </si>
  <si>
    <t>#BB-25-8860</t>
  </si>
  <si>
    <t>Cem</t>
  </si>
  <si>
    <t>Bouwman</t>
  </si>
  <si>
    <r>
      <rPr>
        <rFont val="Helvetica Neue"/>
        <color rgb="FF1155CC"/>
        <u/>
      </rPr>
      <t>cembouwman@gmail.com</t>
    </r>
  </si>
  <si>
    <t>Hemmes</t>
  </si>
  <si>
    <r>
      <rPr>
        <rFont val="Helvetica Neue"/>
        <color rgb="FF1155CC"/>
        <u/>
      </rPr>
      <t>maartje.koelemij@hotmail.nl</t>
    </r>
  </si>
  <si>
    <t>Steendam</t>
  </si>
  <si>
    <r>
      <rPr>
        <rFont val="Helvetica Neue"/>
        <color rgb="FF1155CC"/>
        <u/>
      </rPr>
      <t>steendam95@gmail.com</t>
    </r>
  </si>
  <si>
    <t>Moniek</t>
  </si>
  <si>
    <r>
      <rPr>
        <rFont val="Helvetica Neue"/>
        <color rgb="FF1155CC"/>
        <u/>
      </rPr>
      <t>moniekjanssen@hotmail.com</t>
    </r>
  </si>
  <si>
    <t>Liam</t>
  </si>
  <si>
    <t>Gillespie</t>
  </si>
  <si>
    <r>
      <rPr>
        <rFont val="Helvetica Neue"/>
        <color rgb="FF1155CC"/>
        <u/>
      </rPr>
      <t>liam.gillespie96@gmail.com</t>
    </r>
  </si>
  <si>
    <t>c</t>
  </si>
  <si>
    <t>sietses</t>
  </si>
  <si>
    <r>
      <rPr>
        <rFont val="Helvetica Neue"/>
        <color rgb="FF1155CC"/>
        <u/>
      </rPr>
      <t>cocky.sietses@gmail.com</t>
    </r>
  </si>
  <si>
    <r>
      <rPr>
        <rFont val="Helvetica Neue"/>
        <color rgb="FF1155CC"/>
        <u/>
      </rPr>
      <t>mireille@hetwittepaardrotterdam.nl</t>
    </r>
  </si>
  <si>
    <r>
      <rPr>
        <rFont val="Helvetica Neue"/>
        <color rgb="FF1155CC"/>
        <u/>
      </rPr>
      <t>mireille@hetwittepaardrotterdam.nl</t>
    </r>
  </si>
  <si>
    <t>Kuijt</t>
  </si>
  <si>
    <r>
      <rPr>
        <rFont val="Helvetica Neue"/>
        <color rgb="FF1155CC"/>
        <u/>
      </rPr>
      <t>maritkuijt@hotmail.com</t>
    </r>
  </si>
  <si>
    <t>Jorijn</t>
  </si>
  <si>
    <r>
      <rPr>
        <rFont val="Helvetica Neue"/>
        <color rgb="FF1155CC"/>
        <u/>
      </rPr>
      <t>jorijnz@hotmail.com</t>
    </r>
  </si>
  <si>
    <r>
      <rPr>
        <rFont val="Helvetica Neue"/>
        <color rgb="FF1155CC"/>
        <u/>
      </rPr>
      <t>lieke.visser@gmail.com</t>
    </r>
  </si>
  <si>
    <t>#BB-25-8871</t>
  </si>
  <si>
    <t>van Ee</t>
  </si>
  <si>
    <r>
      <rPr>
        <rFont val="Helvetica Neue"/>
        <color rgb="FF1155CC"/>
        <u/>
      </rPr>
      <t>nina.vanee2@gmail.com</t>
    </r>
  </si>
  <si>
    <t>Janiek</t>
  </si>
  <si>
    <t>Brouwers-Eising</t>
  </si>
  <si>
    <r>
      <rPr>
        <rFont val="Helvetica Neue"/>
        <color rgb="FF1155CC"/>
        <u/>
      </rPr>
      <t>eising.ja@gmail.com</t>
    </r>
  </si>
  <si>
    <t>Aniek</t>
  </si>
  <si>
    <r>
      <rPr>
        <rFont val="Helvetica Neue"/>
        <color rgb="FF1155CC"/>
        <u/>
      </rPr>
      <t>aniek.moonen@gmail.com</t>
    </r>
  </si>
  <si>
    <t>Van Kempen</t>
  </si>
  <si>
    <r>
      <rPr>
        <rFont val="Helvetica Neue"/>
        <color rgb="FF1155CC"/>
        <u/>
      </rPr>
      <t>mvk1563@gmail.com</t>
    </r>
  </si>
  <si>
    <t>Sijmons</t>
  </si>
  <si>
    <r>
      <rPr>
        <rFont val="Helvetica Neue"/>
        <color rgb="FF1155CC"/>
        <u/>
      </rPr>
      <t>easijmons@gmail.com</t>
    </r>
  </si>
  <si>
    <t>John</t>
  </si>
  <si>
    <r>
      <rPr>
        <rFont val="Helvetica Neue"/>
        <color rgb="FF1155CC"/>
        <u/>
      </rPr>
      <t>veldenj@gmail.com</t>
    </r>
  </si>
  <si>
    <t>Hugo</t>
  </si>
  <si>
    <t>van Joolingen</t>
  </si>
  <si>
    <r>
      <rPr>
        <rFont val="Helvetica Neue"/>
        <color rgb="FF1155CC"/>
        <u/>
      </rPr>
      <t>hugo@vanjoolingen.nl</t>
    </r>
  </si>
  <si>
    <t>Evie</t>
  </si>
  <si>
    <t>Roebroek</t>
  </si>
  <si>
    <r>
      <rPr>
        <rFont val="Helvetica Neue"/>
        <color rgb="FF1155CC"/>
        <u/>
      </rPr>
      <t>evieroebroek@hotmail.com</t>
    </r>
  </si>
  <si>
    <r>
      <rPr>
        <rFont val="Helvetica Neue"/>
        <color rgb="FF1155CC"/>
        <u/>
      </rPr>
      <t>marjolijnvanegmond@gmail.com</t>
    </r>
  </si>
  <si>
    <t>Debbie</t>
  </si>
  <si>
    <t>Diepenhorst</t>
  </si>
  <si>
    <r>
      <rPr>
        <rFont val="Helvetica Neue"/>
        <color rgb="FF1155CC"/>
        <u/>
      </rPr>
      <t>Ddiepenhorst@gmail.com</t>
    </r>
  </si>
  <si>
    <t>Moen</t>
  </si>
  <si>
    <r>
      <rPr>
        <rFont val="Helvetica Neue"/>
        <color rgb="FF1155CC"/>
        <u/>
      </rPr>
      <t>malou.moen@gmail.com</t>
    </r>
  </si>
  <si>
    <t>#BB-25-8888</t>
  </si>
  <si>
    <t>Dani</t>
  </si>
  <si>
    <t>van der Burg</t>
  </si>
  <si>
    <r>
      <rPr>
        <rFont val="Helvetica Neue"/>
        <color rgb="FF1155CC"/>
        <u/>
      </rPr>
      <t>danivanderburg@outlook.com</t>
    </r>
  </si>
  <si>
    <t>V.J.</t>
  </si>
  <si>
    <t>Kardaun</t>
  </si>
  <si>
    <r>
      <rPr>
        <rFont val="Helvetica Neue"/>
        <color rgb="FF1155CC"/>
        <u/>
      </rPr>
      <t>vjkardaun@gmail.com</t>
    </r>
  </si>
  <si>
    <t>Aalberts</t>
  </si>
  <si>
    <r>
      <rPr>
        <rFont val="Helvetica Neue"/>
        <color rgb="FF1155CC"/>
        <u/>
      </rPr>
      <t>aalberts.karin@gmail.com</t>
    </r>
  </si>
  <si>
    <t>Koekkoek</t>
  </si>
  <si>
    <r>
      <rPr>
        <rFont val="Helvetica Neue"/>
        <color rgb="FF1155CC"/>
        <u/>
      </rPr>
      <t>beterboompje@jelmer.org</t>
    </r>
  </si>
  <si>
    <t>Dennis</t>
  </si>
  <si>
    <t>van der Horst</t>
  </si>
  <si>
    <r>
      <rPr>
        <rFont val="Helvetica Neue"/>
        <color rgb="FF1155CC"/>
        <u/>
      </rPr>
      <t>dennis.vdh@live.nl</t>
    </r>
  </si>
  <si>
    <t>Lois</t>
  </si>
  <si>
    <r>
      <rPr>
        <rFont val="Helvetica Neue"/>
        <color rgb="FF1155CC"/>
        <u/>
      </rPr>
      <t>lois-smit@hotmail.com</t>
    </r>
  </si>
  <si>
    <t>Geerte</t>
  </si>
  <si>
    <r>
      <rPr>
        <rFont val="Helvetica Neue"/>
        <color rgb="FF1155CC"/>
        <u/>
      </rPr>
      <t>geertekoster@hotmail.com</t>
    </r>
  </si>
  <si>
    <r>
      <rPr>
        <rFont val="Helvetica Neue"/>
        <color rgb="FF1155CC"/>
        <u/>
      </rPr>
      <t>noorgeluk@hotmail.com</t>
    </r>
  </si>
  <si>
    <t>Paula</t>
  </si>
  <si>
    <t>van Wees</t>
  </si>
  <si>
    <r>
      <rPr>
        <rFont val="Helvetica Neue"/>
        <color rgb="FF1155CC"/>
        <u/>
      </rPr>
      <t>paulvanwees@gmail.com</t>
    </r>
  </si>
  <si>
    <r>
      <rPr>
        <rFont val="Helvetica Neue"/>
        <color rgb="FF1155CC"/>
        <u/>
      </rPr>
      <t>ninalinders6@live.nl</t>
    </r>
  </si>
  <si>
    <t>Lucia</t>
  </si>
  <si>
    <t>Fonseca</t>
  </si>
  <si>
    <r>
      <rPr>
        <rFont val="Helvetica Neue"/>
        <color rgb="FF1155CC"/>
        <u/>
      </rPr>
      <t>010190@gmail.com</t>
    </r>
  </si>
  <si>
    <t>de Bood</t>
  </si>
  <si>
    <r>
      <rPr>
        <rFont val="Helvetica Neue"/>
        <color rgb="FF1155CC"/>
        <u/>
      </rPr>
      <t>manon_de_bood@hotmail.com</t>
    </r>
  </si>
  <si>
    <t>Shelby</t>
  </si>
  <si>
    <t>Sissing</t>
  </si>
  <si>
    <r>
      <rPr>
        <rFont val="Helvetica Neue"/>
        <color rgb="FF1155CC"/>
        <u/>
      </rPr>
      <t>shsissing@gmail.com</t>
    </r>
  </si>
  <si>
    <t>Naeff</t>
  </si>
  <si>
    <r>
      <rPr>
        <rFont val="Helvetica Neue"/>
        <color rgb="FF1155CC"/>
        <u/>
      </rPr>
      <t>juudkid@hotmail.com</t>
    </r>
  </si>
  <si>
    <t>Kuperus</t>
  </si>
  <si>
    <r>
      <rPr>
        <rFont val="Helvetica Neue"/>
        <color rgb="FF1155CC"/>
        <u/>
      </rPr>
      <t>deborahkuperus1@gmail.com</t>
    </r>
  </si>
  <si>
    <t>Heinrich</t>
  </si>
  <si>
    <r>
      <rPr>
        <rFont val="Helvetica Neue"/>
        <color rgb="FF1155CC"/>
        <u/>
      </rPr>
      <t>sarah.heinrich@live.nl</t>
    </r>
  </si>
  <si>
    <t>Marinthe</t>
  </si>
  <si>
    <t>Bos</t>
  </si>
  <si>
    <r>
      <rPr>
        <rFont val="Helvetica Neue"/>
        <color rgb="FF1155CC"/>
        <u/>
      </rPr>
      <t>marinthe.bos@gmail.com</t>
    </r>
  </si>
  <si>
    <t>Coky</t>
  </si>
  <si>
    <r>
      <rPr>
        <rFont val="Helvetica Neue"/>
        <color rgb="FF1155CC"/>
        <u/>
      </rPr>
      <t>cdevalk1@gmail.com</t>
    </r>
  </si>
  <si>
    <t>Sonia</t>
  </si>
  <si>
    <t>Kneepkens</t>
  </si>
  <si>
    <r>
      <rPr>
        <rFont val="Helvetica Neue"/>
        <color rgb="FF1155CC"/>
        <u/>
      </rPr>
      <t>sonia.kneepkens@gmail.com</t>
    </r>
  </si>
  <si>
    <t>ISABELLE</t>
  </si>
  <si>
    <t>PORSKAMP</t>
  </si>
  <si>
    <r>
      <rPr>
        <rFont val="Helvetica Neue"/>
        <color rgb="FF1155CC"/>
        <u/>
      </rPr>
      <t>isabelle.porskamp@gmail.com</t>
    </r>
  </si>
  <si>
    <r>
      <rPr>
        <rFont val="Helvetica Neue"/>
        <color rgb="FF1155CC"/>
        <u/>
      </rPr>
      <t>hansdekker95@gmail.com</t>
    </r>
  </si>
  <si>
    <t>Karlien</t>
  </si>
  <si>
    <r>
      <rPr>
        <rFont val="Helvetica Neue"/>
        <color rgb="FF1155CC"/>
        <u/>
      </rPr>
      <t>karlienwouters@protonmail.com</t>
    </r>
  </si>
  <si>
    <t>Kathelijn</t>
  </si>
  <si>
    <t>Voets</t>
  </si>
  <si>
    <r>
      <rPr>
        <rFont val="Helvetica Neue"/>
        <color rgb="FF1155CC"/>
        <u/>
      </rPr>
      <t>kathelijnvoets@me.com</t>
    </r>
  </si>
  <si>
    <t>van den Bergh</t>
  </si>
  <si>
    <r>
      <rPr>
        <rFont val="Helvetica Neue"/>
        <color rgb="FF1155CC"/>
        <u/>
      </rPr>
      <t>marthabergh@hotmail.com</t>
    </r>
  </si>
  <si>
    <t>#BB-25-8932</t>
  </si>
  <si>
    <t>Hilko</t>
  </si>
  <si>
    <t>Swank</t>
  </si>
  <si>
    <r>
      <rPr>
        <rFont val="Helvetica Neue"/>
        <color rgb="FF1155CC"/>
        <u/>
      </rPr>
      <t>swenkie@hotmail.com</t>
    </r>
  </si>
  <si>
    <t>Veliz Sandoval</t>
  </si>
  <si>
    <r>
      <rPr>
        <rFont val="Helvetica Neue"/>
        <color rgb="FF1155CC"/>
        <u/>
      </rPr>
      <t>cvelizsandoval@gmail.com</t>
    </r>
  </si>
  <si>
    <r>
      <rPr>
        <rFont val="Helvetica Neue"/>
        <color rgb="FF1155CC"/>
        <u/>
      </rPr>
      <t>cvelizsandoval@gmail.com</t>
    </r>
  </si>
  <si>
    <t>Esmee</t>
  </si>
  <si>
    <t>Veenstra</t>
  </si>
  <si>
    <r>
      <rPr>
        <rFont val="Helvetica Neue"/>
        <color rgb="FF1155CC"/>
        <u/>
      </rPr>
      <t>esmeeveenstra.93@gmail.com</t>
    </r>
  </si>
  <si>
    <t>Feij</t>
  </si>
  <si>
    <r>
      <rPr>
        <rFont val="Helvetica Neue"/>
        <color rgb="FF1155CC"/>
        <u/>
      </rPr>
      <t>lisafeij@gmail.com</t>
    </r>
  </si>
  <si>
    <t>Britt</t>
  </si>
  <si>
    <t>Mekel</t>
  </si>
  <si>
    <r>
      <rPr>
        <rFont val="Helvetica Neue"/>
        <color rgb="FF1155CC"/>
        <u/>
      </rPr>
      <t>brittmekel@gmail.com</t>
    </r>
  </si>
  <si>
    <t>#BB-25-8937</t>
  </si>
  <si>
    <t>Goyvaerts</t>
  </si>
  <si>
    <r>
      <rPr>
        <rFont val="Helvetica Neue"/>
        <color rgb="FF1155CC"/>
        <u/>
      </rPr>
      <t>sara.aartselaar@gmail.com</t>
    </r>
  </si>
  <si>
    <t>#BB-25-8938</t>
  </si>
  <si>
    <t>Schwidder</t>
  </si>
  <si>
    <r>
      <rPr>
        <rFont val="Helvetica Neue"/>
        <color rgb="FF1155CC"/>
        <u/>
      </rPr>
      <t>lindsey.schwidder@gmail.com</t>
    </r>
  </si>
  <si>
    <t>#BB-25-8939</t>
  </si>
  <si>
    <t>abel</t>
  </si>
  <si>
    <t>vlaanderen</t>
  </si>
  <si>
    <r>
      <rPr>
        <rFont val="Helvetica Neue"/>
        <color rgb="FF1155CC"/>
        <u/>
      </rPr>
      <t>abelvlaanderen@gmail.com</t>
    </r>
  </si>
  <si>
    <t>Devin</t>
  </si>
  <si>
    <t>Stigter</t>
  </si>
  <si>
    <r>
      <rPr>
        <rFont val="Helvetica Neue"/>
        <color rgb="FF1155CC"/>
        <u/>
      </rPr>
      <t>Devin.stigter@gmail.com</t>
    </r>
  </si>
  <si>
    <t>van As</t>
  </si>
  <si>
    <r>
      <rPr>
        <rFont val="Helvetica Neue"/>
        <color rgb="FF1155CC"/>
        <u/>
      </rPr>
      <t>joke_vanas@hotmail.com</t>
    </r>
  </si>
  <si>
    <t>Lenny</t>
  </si>
  <si>
    <r>
      <rPr>
        <rFont val="Helvetica Neue"/>
        <color rgb="FF1155CC"/>
        <u/>
      </rPr>
      <t>lennyschouten@gmail.com</t>
    </r>
  </si>
  <si>
    <r>
      <rPr>
        <rFont val="Helvetica Neue"/>
        <color rgb="FF1155CC"/>
        <u/>
      </rPr>
      <t>dennis.djm@gmail.com</t>
    </r>
  </si>
  <si>
    <t>Afke</t>
  </si>
  <si>
    <t>Holthuis</t>
  </si>
  <si>
    <r>
      <rPr>
        <rFont val="Helvetica Neue"/>
        <color rgb="FF1155CC"/>
        <u/>
      </rPr>
      <t>afholt@gmail.com</t>
    </r>
  </si>
  <si>
    <t>Companjen</t>
  </si>
  <si>
    <r>
      <rPr>
        <rFont val="Helvetica Neue"/>
        <color rgb="FF1155CC"/>
        <u/>
      </rPr>
      <t>tijmenmila@hotmail.com</t>
    </r>
  </si>
  <si>
    <t>Sicurani</t>
  </si>
  <si>
    <r>
      <rPr>
        <rFont val="Helvetica Neue"/>
        <color rgb="FF1155CC"/>
        <u/>
      </rPr>
      <t>olivia.sicurani@gmail.com</t>
    </r>
  </si>
  <si>
    <t>Yvon</t>
  </si>
  <si>
    <t>Lustenhouwer</t>
  </si>
  <si>
    <r>
      <rPr>
        <rFont val="Helvetica Neue"/>
        <color rgb="FF1155CC"/>
        <u/>
      </rPr>
      <t>yvonlustenhouwer@hotmail.com</t>
    </r>
  </si>
  <si>
    <t>Pronk</t>
  </si>
  <si>
    <r>
      <rPr>
        <rFont val="Helvetica Neue"/>
        <color rgb="FF1155CC"/>
        <u/>
      </rPr>
      <t>mctups@yahoo.com</t>
    </r>
  </si>
  <si>
    <t>Thalina</t>
  </si>
  <si>
    <t>Rose</t>
  </si>
  <si>
    <r>
      <rPr>
        <rFont val="Helvetica Neue"/>
        <color rgb="FF1155CC"/>
        <u/>
      </rPr>
      <t>thalina_rose@hotmail.com</t>
    </r>
  </si>
  <si>
    <t>Robert Jan</t>
  </si>
  <si>
    <t>van Noort</t>
  </si>
  <si>
    <r>
      <rPr>
        <rFont val="Helvetica Neue"/>
        <color rgb="FF1155CC"/>
        <u/>
      </rPr>
      <t>robert@pankra.com</t>
    </r>
  </si>
  <si>
    <t>Broers</t>
  </si>
  <si>
    <r>
      <rPr>
        <rFont val="Helvetica Neue"/>
        <color rgb="FF1155CC"/>
        <u/>
      </rPr>
      <t>bejbroers@gmail.com</t>
    </r>
  </si>
  <si>
    <t>Celie</t>
  </si>
  <si>
    <t>Verstelle</t>
  </si>
  <si>
    <r>
      <rPr>
        <rFont val="Helvetica Neue"/>
        <color rgb="FF1155CC"/>
        <u/>
      </rPr>
      <t>cafverstelle@live.nl</t>
    </r>
  </si>
  <si>
    <t>Eugene</t>
  </si>
  <si>
    <t>Pek</t>
  </si>
  <si>
    <r>
      <rPr>
        <rFont val="Helvetica Neue"/>
        <color rgb="FF1155CC"/>
        <u/>
      </rPr>
      <t>eugenepek59@gmail.com</t>
    </r>
  </si>
  <si>
    <t>Willy</t>
  </si>
  <si>
    <t>Duffhues</t>
  </si>
  <si>
    <r>
      <rPr>
        <rFont val="Helvetica Neue"/>
        <color rgb="FF1155CC"/>
        <u/>
      </rPr>
      <t>willyduffhues@outlook.com</t>
    </r>
  </si>
  <si>
    <r>
      <rPr>
        <rFont val="Helvetica Neue"/>
        <color rgb="FF1155CC"/>
        <u/>
      </rPr>
      <t>willyduffhues@outlook.com</t>
    </r>
  </si>
  <si>
    <t>Rutjens</t>
  </si>
  <si>
    <r>
      <rPr>
        <rFont val="Helvetica Neue"/>
        <color rgb="FF1155CC"/>
        <u/>
      </rPr>
      <t>romy.lee@gmail.com</t>
    </r>
  </si>
  <si>
    <t>Matthew</t>
  </si>
  <si>
    <t>Vaughan</t>
  </si>
  <si>
    <r>
      <rPr>
        <rFont val="Helvetica Neue"/>
        <color rgb="FF1155CC"/>
        <u/>
      </rPr>
      <t>matthewvaughan90@gmail.com</t>
    </r>
  </si>
  <si>
    <t>Muysson</t>
  </si>
  <si>
    <r>
      <rPr>
        <rFont val="Helvetica Neue"/>
        <color rgb="FF1155CC"/>
        <u/>
      </rPr>
      <t>lindamuysson@gmail.com</t>
    </r>
  </si>
  <si>
    <r>
      <rPr>
        <rFont val="Helvetica Neue"/>
        <color rgb="FF1155CC"/>
        <u/>
      </rPr>
      <t>lucaskoot@hotmail.com</t>
    </r>
  </si>
  <si>
    <t>Durba</t>
  </si>
  <si>
    <t>Silam</t>
  </si>
  <si>
    <r>
      <rPr>
        <rFont val="Helvetica Neue"/>
        <color rgb="FF1155CC"/>
        <u/>
      </rPr>
      <t>durba.i.telkamp@gmail.com</t>
    </r>
  </si>
  <si>
    <t>Hulsman</t>
  </si>
  <si>
    <r>
      <rPr>
        <rFont val="Helvetica Neue"/>
        <color rgb="FF1155CC"/>
        <u/>
      </rPr>
      <t>widisan@gmail.com</t>
    </r>
  </si>
  <si>
    <t>Meerdink</t>
  </si>
  <si>
    <r>
      <rPr>
        <rFont val="Helvetica Neue"/>
        <color rgb="FF1155CC"/>
        <u/>
      </rPr>
      <t>meerdinksusanne@gmail.com</t>
    </r>
  </si>
  <si>
    <t>Lente</t>
  </si>
  <si>
    <t>Zwaal</t>
  </si>
  <si>
    <r>
      <rPr>
        <rFont val="Helvetica Neue"/>
        <color rgb="FF1155CC"/>
        <u/>
      </rPr>
      <t>lentezwaal@hotmail.com</t>
    </r>
  </si>
  <si>
    <t>Caspar</t>
  </si>
  <si>
    <t>Nieuwenhuis</t>
  </si>
  <si>
    <r>
      <rPr>
        <rFont val="Helvetica Neue"/>
        <color rgb="FF1155CC"/>
        <u/>
      </rPr>
      <t>caspar.nieuwenhuis@gmail.com</t>
    </r>
  </si>
  <si>
    <t>Ernst</t>
  </si>
  <si>
    <r>
      <rPr>
        <rFont val="Helvetica Neue"/>
        <color rgb="FF1155CC"/>
        <u/>
      </rPr>
      <t>metiels@hotmail.com</t>
    </r>
  </si>
  <si>
    <t>Elina</t>
  </si>
  <si>
    <t>Eiekelenboom</t>
  </si>
  <si>
    <r>
      <rPr>
        <rFont val="Helvetica Neue"/>
        <color rgb="FF1155CC"/>
        <u/>
      </rPr>
      <t>elinaeikelenboom@gmail.com</t>
    </r>
  </si>
  <si>
    <t>Van der Schee</t>
  </si>
  <si>
    <r>
      <rPr>
        <rFont val="Helvetica Neue"/>
        <color rgb="FF1155CC"/>
        <u/>
      </rPr>
      <t>hannekeschee@gmail.com</t>
    </r>
  </si>
  <si>
    <t>Goudswaard</t>
  </si>
  <si>
    <r>
      <rPr>
        <rFont val="Helvetica Neue"/>
        <color rgb="FF1155CC"/>
        <u/>
      </rPr>
      <t>hugo@hugogoudswaard.com</t>
    </r>
  </si>
  <si>
    <r>
      <rPr>
        <rFont val="Helvetica Neue"/>
        <color rgb="FF1155CC"/>
        <u/>
      </rPr>
      <t>lotte.john@outlook.com</t>
    </r>
  </si>
  <si>
    <t>Volp</t>
  </si>
  <si>
    <r>
      <rPr>
        <rFont val="Helvetica Neue"/>
        <color rgb="FF1155CC"/>
        <u/>
      </rPr>
      <t>anneke.volp@gmail.com</t>
    </r>
  </si>
  <si>
    <t>Marlou</t>
  </si>
  <si>
    <t>Hoeksma</t>
  </si>
  <si>
    <r>
      <rPr>
        <rFont val="Helvetica Neue"/>
        <color rgb="FF1155CC"/>
        <u/>
      </rPr>
      <t>marlouhoeksma@gmail.com</t>
    </r>
  </si>
  <si>
    <t>Herman</t>
  </si>
  <si>
    <t>Helder</t>
  </si>
  <si>
    <r>
      <rPr>
        <rFont val="Helvetica Neue"/>
        <color rgb="FF1155CC"/>
        <u/>
      </rPr>
      <t>veerleleenknegt@hotmail.com</t>
    </r>
  </si>
  <si>
    <t>Bron</t>
  </si>
  <si>
    <r>
      <rPr>
        <rFont val="Helvetica Neue"/>
        <color rgb="FF1155CC"/>
        <u/>
      </rPr>
      <t>ae.bron@gmail.com</t>
    </r>
  </si>
  <si>
    <t>van Tuil</t>
  </si>
  <si>
    <r>
      <rPr>
        <rFont val="Helvetica Neue"/>
        <color rgb="FF1155CC"/>
        <u/>
      </rPr>
      <t>vantuilnicole@gmail.com</t>
    </r>
  </si>
  <si>
    <t>Conrad</t>
  </si>
  <si>
    <r>
      <rPr>
        <rFont val="Helvetica Neue"/>
        <color rgb="FF1155CC"/>
        <u/>
      </rPr>
      <t>conrad307@hotmail.com</t>
    </r>
  </si>
  <si>
    <t>Sjouken</t>
  </si>
  <si>
    <r>
      <rPr>
        <rFont val="Helvetica Neue"/>
        <color rgb="FF1155CC"/>
        <u/>
      </rPr>
      <t>fionasjouken@gmail.com</t>
    </r>
  </si>
  <si>
    <t>Nydia</t>
  </si>
  <si>
    <t>van Voorthuizen</t>
  </si>
  <si>
    <r>
      <rPr>
        <rFont val="Helvetica Neue"/>
        <color rgb="FF1155CC"/>
        <u/>
      </rPr>
      <t>nydiavanvoorthuizen@gmail.com</t>
    </r>
  </si>
  <si>
    <t>Milan</t>
  </si>
  <si>
    <r>
      <rPr>
        <rFont val="Helvetica Neue"/>
        <color rgb="FF1155CC"/>
        <u/>
      </rPr>
      <t>milanbaars92@gmail.com</t>
    </r>
  </si>
  <si>
    <t>van der Molen</t>
  </si>
  <si>
    <r>
      <rPr>
        <rFont val="Helvetica Neue"/>
        <color rgb="FF1155CC"/>
        <u/>
      </rPr>
      <t>thijsvdmolen@gmail.com</t>
    </r>
  </si>
  <si>
    <t>tijs</t>
  </si>
  <si>
    <t>van de vijver</t>
  </si>
  <si>
    <r>
      <rPr>
        <rFont val="Helvetica Neue"/>
        <color rgb="FF1155CC"/>
        <u/>
      </rPr>
      <t>tijscornelisvandevijver@gmail.com</t>
    </r>
  </si>
  <si>
    <t>van Groesen</t>
  </si>
  <si>
    <r>
      <rPr>
        <rFont val="Helvetica Neue"/>
        <color rgb="FF1155CC"/>
        <u/>
      </rPr>
      <t>mvgr1975@outlook.com</t>
    </r>
  </si>
  <si>
    <t>#BB-25-8999</t>
  </si>
  <si>
    <t>Van Aelst</t>
  </si>
  <si>
    <r>
      <rPr>
        <rFont val="Helvetica Neue"/>
        <color rgb="FF1155CC"/>
        <u/>
      </rPr>
      <t>anengeert@gmail.com</t>
    </r>
  </si>
  <si>
    <t>Frederike</t>
  </si>
  <si>
    <t>Riemer</t>
  </si>
  <si>
    <r>
      <rPr>
        <rFont val="Helvetica Neue"/>
        <color rgb="FF1155CC"/>
        <u/>
      </rPr>
      <t>frederikeriemer@gmail.com</t>
    </r>
  </si>
  <si>
    <t>Juli</t>
  </si>
  <si>
    <t>Muijderman</t>
  </si>
  <si>
    <r>
      <rPr>
        <rFont val="Helvetica Neue"/>
        <color rgb="FF1155CC"/>
        <u/>
      </rPr>
      <t>julimuijderman@yahoo.com</t>
    </r>
  </si>
  <si>
    <t>anne</t>
  </si>
  <si>
    <t>de Haij</t>
  </si>
  <si>
    <r>
      <rPr>
        <rFont val="Helvetica Neue"/>
        <color rgb="FF1155CC"/>
        <u/>
      </rPr>
      <t>annedehaij@gmail.com</t>
    </r>
  </si>
  <si>
    <t>Kamstra</t>
  </si>
  <si>
    <r>
      <rPr>
        <rFont val="Helvetica Neue"/>
        <color rgb="FF1155CC"/>
        <u/>
      </rPr>
      <t>romykamstra@hotmail.com</t>
    </r>
  </si>
  <si>
    <t>Verweij</t>
  </si>
  <si>
    <r>
      <rPr>
        <rFont val="Helvetica Neue"/>
        <color rgb="FF1155CC"/>
        <u/>
      </rPr>
      <t>m.c.verweij@gmail.com</t>
    </r>
  </si>
  <si>
    <t>Emiel</t>
  </si>
  <si>
    <t>Bijlmakers</t>
  </si>
  <si>
    <r>
      <rPr>
        <rFont val="Helvetica Neue"/>
        <color rgb="FF1155CC"/>
        <u/>
      </rPr>
      <t>bijlkoet@outlook.com</t>
    </r>
  </si>
  <si>
    <t>Oscar</t>
  </si>
  <si>
    <t>Schalk</t>
  </si>
  <si>
    <r>
      <rPr>
        <rFont val="Helvetica Neue"/>
        <color rgb="FF1155CC"/>
        <u/>
      </rPr>
      <t>oscar.schalk@gmail.com</t>
    </r>
  </si>
  <si>
    <t>Myriam</t>
  </si>
  <si>
    <t>Bruijne</t>
  </si>
  <si>
    <r>
      <rPr>
        <rFont val="Helvetica Neue"/>
        <color rgb="FF1155CC"/>
        <u/>
      </rPr>
      <t>myriam.bruijne@gmail.com</t>
    </r>
  </si>
  <si>
    <t>Van Hasselt</t>
  </si>
  <si>
    <r>
      <rPr>
        <rFont val="Helvetica Neue"/>
        <color rgb="FF1155CC"/>
        <u/>
      </rPr>
      <t>wiekecool@hotmail.com</t>
    </r>
  </si>
  <si>
    <t>Vissers</t>
  </si>
  <si>
    <r>
      <rPr>
        <rFont val="Helvetica Neue"/>
        <color rgb="FF1155CC"/>
        <u/>
      </rPr>
      <t>juriaanvissers@gmail.com</t>
    </r>
  </si>
  <si>
    <r>
      <rPr>
        <rFont val="Helvetica Neue"/>
        <color rgb="FF1155CC"/>
        <u/>
      </rPr>
      <t>vissernick@live.nl</t>
    </r>
  </si>
  <si>
    <t>#BB-25-9013</t>
  </si>
  <si>
    <t>Bakx</t>
  </si>
  <si>
    <r>
      <rPr>
        <rFont val="Helvetica Neue"/>
        <color rgb="FF1155CC"/>
        <u/>
      </rPr>
      <t>renebwanika@gmail.com</t>
    </r>
  </si>
  <si>
    <t>Vervoort</t>
  </si>
  <si>
    <r>
      <rPr>
        <rFont val="Helvetica Neue"/>
        <color rgb="FF1155CC"/>
        <u/>
      </rPr>
      <t>tessa0004@hotmail.com</t>
    </r>
  </si>
  <si>
    <t>Brinkers</t>
  </si>
  <si>
    <r>
      <rPr>
        <rFont val="Helvetica Neue"/>
        <color rgb="FF1155CC"/>
        <u/>
      </rPr>
      <t>annabrinkers@hotmail.com</t>
    </r>
  </si>
  <si>
    <t>#BB-25-9017</t>
  </si>
  <si>
    <t>Recter</t>
  </si>
  <si>
    <r>
      <rPr>
        <rFont val="Helvetica Neue"/>
        <color rgb="FF1155CC"/>
        <u/>
      </rPr>
      <t>margotrecter@gmail.com</t>
    </r>
  </si>
  <si>
    <t>Carien</t>
  </si>
  <si>
    <t>Bartels</t>
  </si>
  <si>
    <r>
      <rPr>
        <rFont val="Helvetica Neue"/>
        <color rgb="FF1155CC"/>
        <u/>
      </rPr>
      <t>carien_bartels@yahoo.com</t>
    </r>
  </si>
  <si>
    <t>Jonas</t>
  </si>
  <si>
    <t>van Nijnatten</t>
  </si>
  <si>
    <r>
      <rPr>
        <rFont val="Helvetica Neue"/>
        <color rgb="FF1155CC"/>
        <u/>
      </rPr>
      <t>jonasvannijnatten@gmail.com</t>
    </r>
  </si>
  <si>
    <t>Dieuwertje</t>
  </si>
  <si>
    <t>Poot</t>
  </si>
  <si>
    <r>
      <rPr>
        <rFont val="Helvetica Neue"/>
        <color rgb="FF1155CC"/>
        <u/>
      </rPr>
      <t>dieuwertjepoot@outlook.com</t>
    </r>
  </si>
  <si>
    <t>Ymke</t>
  </si>
  <si>
    <t>De Vries</t>
  </si>
  <si>
    <r>
      <rPr>
        <rFont val="Helvetica Neue"/>
        <color rgb="FF1155CC"/>
        <u/>
      </rPr>
      <t>ymkedevries1991@gmail.com</t>
    </r>
  </si>
  <si>
    <t>Marcia</t>
  </si>
  <si>
    <t>Stevens</t>
  </si>
  <si>
    <r>
      <rPr>
        <rFont val="Helvetica Neue"/>
        <color rgb="FF1155CC"/>
        <u/>
      </rPr>
      <t>marciahugo17@gmail.com</t>
    </r>
  </si>
  <si>
    <t>Marie Lotte</t>
  </si>
  <si>
    <t>Hagen</t>
  </si>
  <si>
    <r>
      <rPr>
        <rFont val="Helvetica Neue"/>
        <color rgb="FF1155CC"/>
        <u/>
      </rPr>
      <t>marielottehagen@gmail.com</t>
    </r>
  </si>
  <si>
    <t>Bijl</t>
  </si>
  <si>
    <r>
      <rPr>
        <rFont val="Helvetica Neue"/>
        <color rgb="FF1155CC"/>
        <u/>
      </rPr>
      <t>evelienbijl@hotmail.com</t>
    </r>
  </si>
  <si>
    <t>jacqueline</t>
  </si>
  <si>
    <t>vrolijk</t>
  </si>
  <si>
    <r>
      <rPr>
        <rFont val="Helvetica Neue"/>
        <color rgb="FF1155CC"/>
        <u/>
      </rPr>
      <t>jacqhpvrolijk@gmail.com</t>
    </r>
  </si>
  <si>
    <t>van Santvoort</t>
  </si>
  <si>
    <r>
      <rPr>
        <rFont val="Helvetica Neue"/>
        <color rgb="FF1155CC"/>
        <u/>
      </rPr>
      <t>lukasvansantvoort@gmail.com</t>
    </r>
  </si>
  <si>
    <r>
      <rPr>
        <rFont val="Helvetica Neue"/>
        <color rgb="FF1155CC"/>
        <u/>
      </rPr>
      <t>sophie.brouwer@planet.nl</t>
    </r>
  </si>
  <si>
    <t>Liselotte</t>
  </si>
  <si>
    <t>Out</t>
  </si>
  <si>
    <r>
      <rPr>
        <rFont val="Helvetica Neue"/>
        <color rgb="FF1155CC"/>
        <u/>
      </rPr>
      <t>liselotte.out@gmail.com</t>
    </r>
  </si>
  <si>
    <t>den Bol</t>
  </si>
  <si>
    <r>
      <rPr>
        <rFont val="Helvetica Neue"/>
        <color rgb="FF1155CC"/>
        <u/>
      </rPr>
      <t>nickdenbol@hotmail.com</t>
    </r>
  </si>
  <si>
    <t>Lugtenberg</t>
  </si>
  <si>
    <r>
      <rPr>
        <rFont val="Helvetica Neue"/>
        <color rgb="FF1155CC"/>
        <u/>
      </rPr>
      <t>ahclugtenberg@gmail.com</t>
    </r>
  </si>
  <si>
    <t>Beentjes</t>
  </si>
  <si>
    <r>
      <rPr>
        <rFont val="Helvetica Neue"/>
        <color rgb="FF1155CC"/>
        <u/>
      </rPr>
      <t>rmmbeentjes@gmail.com</t>
    </r>
  </si>
  <si>
    <t>Jong</t>
  </si>
  <si>
    <r>
      <rPr>
        <rFont val="Helvetica Neue"/>
        <color rgb="FF1155CC"/>
        <u/>
      </rPr>
      <t>dncjong@gmail.com</t>
    </r>
  </si>
  <si>
    <t>Minke</t>
  </si>
  <si>
    <t>Bijkerk</t>
  </si>
  <si>
    <r>
      <rPr>
        <rFont val="Helvetica Neue"/>
        <color rgb="FF1155CC"/>
        <u/>
      </rPr>
      <t>frankenminke@gmail.com</t>
    </r>
  </si>
  <si>
    <t>de Koff</t>
  </si>
  <si>
    <r>
      <rPr>
        <rFont val="Helvetica Neue"/>
        <color rgb="FF1155CC"/>
        <u/>
      </rPr>
      <t>rdekoff@xs4all.nl</t>
    </r>
  </si>
  <si>
    <t>I.</t>
  </si>
  <si>
    <r>
      <rPr>
        <rFont val="Helvetica Neue"/>
        <color rgb="FF1155CC"/>
        <u/>
      </rPr>
      <t>a.verleg@kpnmail.nl</t>
    </r>
  </si>
  <si>
    <t>Aneta</t>
  </si>
  <si>
    <t>Urban</t>
  </si>
  <si>
    <r>
      <rPr>
        <rFont val="Helvetica Neue"/>
        <color rgb="FF1155CC"/>
        <u/>
      </rPr>
      <t>aneta.urban3@gmail.com</t>
    </r>
  </si>
  <si>
    <t>Elske</t>
  </si>
  <si>
    <t>Bogaerts</t>
  </si>
  <si>
    <r>
      <rPr>
        <rFont val="Helvetica Neue"/>
        <color rgb="FF1155CC"/>
        <u/>
      </rPr>
      <t>elske.bogaerts@gmail.com</t>
    </r>
  </si>
  <si>
    <t>Cieremans</t>
  </si>
  <si>
    <r>
      <rPr>
        <rFont val="Helvetica Neue"/>
        <color rgb="FF1155CC"/>
        <u/>
      </rPr>
      <t>emma_cieremans@hotmail.com</t>
    </r>
  </si>
  <si>
    <t>AM</t>
  </si>
  <si>
    <t>Vanderploeg</t>
  </si>
  <si>
    <r>
      <rPr>
        <rFont val="Helvetica Neue"/>
        <color rgb="FF1155CC"/>
        <u/>
      </rPr>
      <t>amanda.vp@gmail.com</t>
    </r>
  </si>
  <si>
    <t>van Riet</t>
  </si>
  <si>
    <r>
      <rPr>
        <rFont val="Helvetica Neue"/>
        <color rgb="FF1155CC"/>
        <u/>
      </rPr>
      <t>marleenvanriet80@gmail.com</t>
    </r>
  </si>
  <si>
    <t>Tessel</t>
  </si>
  <si>
    <t>Boertien</t>
  </si>
  <si>
    <r>
      <rPr>
        <rFont val="Helvetica Neue"/>
        <color rgb="FF1155CC"/>
        <u/>
      </rPr>
      <t>tessel_boertien@hotmail.com</t>
    </r>
  </si>
  <si>
    <t>#BB-25-9053</t>
  </si>
  <si>
    <r>
      <rPr>
        <rFont val="Helvetica Neue"/>
        <color rgb="FF1155CC"/>
        <u/>
      </rPr>
      <t>reneevanderhoek@gmail.com</t>
    </r>
  </si>
  <si>
    <t>Hoonakker</t>
  </si>
  <si>
    <r>
      <rPr>
        <rFont val="Helvetica Neue"/>
        <color rgb="FF1155CC"/>
        <u/>
      </rPr>
      <t>marieke_esther@hotmail.com</t>
    </r>
  </si>
  <si>
    <t>Bredenoord</t>
  </si>
  <si>
    <r>
      <rPr>
        <rFont val="Helvetica Neue"/>
        <color rgb="FF1155CC"/>
        <u/>
      </rPr>
      <t>matthijs_bredenoord@hotmail.com</t>
    </r>
  </si>
  <si>
    <t>Dijkema</t>
  </si>
  <si>
    <r>
      <rPr>
        <rFont val="Helvetica Neue"/>
        <color rgb="FF1155CC"/>
        <u/>
      </rPr>
      <t>sannedijkema@gmail.com</t>
    </r>
  </si>
  <si>
    <r>
      <rPr>
        <rFont val="Helvetica Neue"/>
        <color rgb="FF1155CC"/>
        <u/>
      </rPr>
      <t>maritfolkertsma@gmail.com</t>
    </r>
  </si>
  <si>
    <r>
      <rPr>
        <rFont val="Helvetica Neue"/>
        <color rgb="FF1155CC"/>
        <u/>
      </rPr>
      <t>maritfolkertsma@gmail.com</t>
    </r>
  </si>
  <si>
    <t>Charlene</t>
  </si>
  <si>
    <r>
      <rPr>
        <rFont val="Helvetica Neue"/>
        <color rgb="FF1155CC"/>
        <u/>
      </rPr>
      <t>charlenevos94@hotmail.com</t>
    </r>
  </si>
  <si>
    <t>Viola</t>
  </si>
  <si>
    <t>Kieffer</t>
  </si>
  <si>
    <r>
      <rPr>
        <rFont val="Helvetica Neue"/>
        <color rgb="FF1155CC"/>
        <u/>
      </rPr>
      <t>violarijnsdorp@gmail.com</t>
    </r>
  </si>
  <si>
    <t>van Zomeren</t>
  </si>
  <si>
    <r>
      <rPr>
        <rFont val="Helvetica Neue"/>
        <color rgb="FF1155CC"/>
        <u/>
      </rPr>
      <t>karlijnelisabeth@hotmail.com</t>
    </r>
  </si>
  <si>
    <t>Ralph</t>
  </si>
  <si>
    <t>Geuskens</t>
  </si>
  <si>
    <r>
      <rPr>
        <rFont val="Helvetica Neue"/>
        <color rgb="FF1155CC"/>
        <u/>
      </rPr>
      <t>ralph.geuskens@live.nl</t>
    </r>
  </si>
  <si>
    <t>Kenza</t>
  </si>
  <si>
    <t>Cruden</t>
  </si>
  <si>
    <r>
      <rPr>
        <rFont val="Helvetica Neue"/>
        <color rgb="FF1155CC"/>
        <u/>
      </rPr>
      <t>kenzacruden@gmail.com</t>
    </r>
  </si>
  <si>
    <t>Lies</t>
  </si>
  <si>
    <t>Scholtens</t>
  </si>
  <si>
    <r>
      <rPr>
        <rFont val="Helvetica Neue"/>
        <color rgb="FF1155CC"/>
        <u/>
      </rPr>
      <t>ejscholtens@planet.nl</t>
    </r>
  </si>
  <si>
    <r>
      <rPr>
        <rFont val="Helvetica Neue"/>
        <color rgb="FF1155CC"/>
        <u/>
      </rPr>
      <t>ruby.broekman@gmail.com</t>
    </r>
  </si>
  <si>
    <t>Kolk</t>
  </si>
  <si>
    <r>
      <rPr>
        <rFont val="Helvetica Neue"/>
        <color rgb="FF1155CC"/>
        <u/>
      </rPr>
      <t>kolkwj@yahoo.com</t>
    </r>
  </si>
  <si>
    <t>Hoogendam</t>
  </si>
  <si>
    <r>
      <rPr>
        <rFont val="Helvetica Neue"/>
        <color rgb="FF1155CC"/>
        <u/>
      </rPr>
      <t>irene.hoogendam@outlook.com</t>
    </r>
  </si>
  <si>
    <t>van Soest</t>
  </si>
  <si>
    <r>
      <rPr>
        <rFont val="Helvetica Neue"/>
        <color rgb="FF1155CC"/>
        <u/>
      </rPr>
      <t>joostvs83@hotmail.com</t>
    </r>
  </si>
  <si>
    <t>Pluk</t>
  </si>
  <si>
    <r>
      <rPr>
        <rFont val="Helvetica Neue"/>
        <color rgb="FF1155CC"/>
        <u/>
      </rPr>
      <t>restaurant@samenoppluk.nl</t>
    </r>
  </si>
  <si>
    <r>
      <rPr>
        <rFont val="Helvetica Neue"/>
        <color rgb="FF1155CC"/>
        <u/>
      </rPr>
      <t>restaurant@samenoppluk.nl</t>
    </r>
  </si>
  <si>
    <t>Geertje</t>
  </si>
  <si>
    <t>Wismans</t>
  </si>
  <si>
    <r>
      <rPr>
        <rFont val="Helvetica Neue"/>
        <color rgb="FF1155CC"/>
        <u/>
      </rPr>
      <t>geertjewismans@hotmail.com</t>
    </r>
  </si>
  <si>
    <t>de Groot</t>
  </si>
  <si>
    <r>
      <rPr>
        <rFont val="Helvetica Neue"/>
        <color rgb="FF1155CC"/>
        <u/>
      </rPr>
      <t>info@queenofjetlags.com</t>
    </r>
  </si>
  <si>
    <r>
      <rPr>
        <rFont val="Helvetica Neue"/>
        <color rgb="FF1155CC"/>
        <u/>
      </rPr>
      <t>info@queenofjetlags.com</t>
    </r>
  </si>
  <si>
    <t>de Bruin</t>
  </si>
  <si>
    <r>
      <rPr>
        <rFont val="Helvetica Neue"/>
        <color rgb="FF1155CC"/>
        <u/>
      </rPr>
      <t>thebrownpeacock@gmail.com</t>
    </r>
  </si>
  <si>
    <t>Hartog</t>
  </si>
  <si>
    <r>
      <rPr>
        <rFont val="Helvetica Neue"/>
        <color rgb="FF1155CC"/>
        <u/>
      </rPr>
      <t>nico.hartog@xs4all.nl</t>
    </r>
  </si>
  <si>
    <t>Tanis</t>
  </si>
  <si>
    <r>
      <rPr>
        <rFont val="Helvetica Neue"/>
        <color rgb="FF1155CC"/>
        <u/>
      </rPr>
      <t>ilsetanis@hotmail.com</t>
    </r>
  </si>
  <si>
    <t>Drouen</t>
  </si>
  <si>
    <r>
      <rPr>
        <rFont val="Helvetica Neue"/>
        <color rgb="FF1155CC"/>
        <u/>
      </rPr>
      <t>lottedrouen@hotmail.com</t>
    </r>
  </si>
  <si>
    <t>Schuitman</t>
  </si>
  <si>
    <r>
      <rPr>
        <rFont val="Helvetica Neue"/>
        <color rgb="FF1155CC"/>
        <u/>
      </rPr>
      <t>e.de.zwart@hotmail.com</t>
    </r>
  </si>
  <si>
    <r>
      <rPr>
        <rFont val="Helvetica Neue"/>
        <color rgb="FF1155CC"/>
        <u/>
      </rPr>
      <t>ruthscheepers@gmail.com</t>
    </r>
  </si>
  <si>
    <t>Roeland</t>
  </si>
  <si>
    <r>
      <rPr>
        <rFont val="Helvetica Neue"/>
        <color rgb="FF1155CC"/>
        <u/>
      </rPr>
      <t>roelandmuller1@gmail.com</t>
    </r>
  </si>
  <si>
    <t>Seb</t>
  </si>
  <si>
    <t>Vrijlandt</t>
  </si>
  <si>
    <r>
      <rPr>
        <rFont val="Helvetica Neue"/>
        <color rgb="FF1155CC"/>
        <u/>
      </rPr>
      <t>s.vrijlandt@gmail.com</t>
    </r>
  </si>
  <si>
    <t>Boyd</t>
  </si>
  <si>
    <t>Beerling</t>
  </si>
  <si>
    <r>
      <rPr>
        <rFont val="Helvetica Neue"/>
        <color rgb="FF1155CC"/>
        <u/>
      </rPr>
      <t>bd.beerling@gmail.com</t>
    </r>
  </si>
  <si>
    <t>de Koning</t>
  </si>
  <si>
    <t>Jaap Peter</t>
  </si>
  <si>
    <t>Enderle</t>
  </si>
  <si>
    <t>Martien</t>
  </si>
  <si>
    <t>Customer: First Name</t>
  </si>
  <si>
    <t>Customer: Last Name</t>
  </si>
  <si>
    <t>Pickup-Location-Id: 278025
 Pickup-Day: tuesday
 Pickup-Date: 2025/12/09
 Pickup-Time: 5\:30 PM
 Pickup-Location-Company: ANTWERPEN - Dille &amp; Kamille
 Pickup-Location-Address-Line-1: Vleminckstraat 9
 Pickup-Location-City: Antwerpen
 Pickup-Location-Postal-Code: 2000
 Pickup-Location-Country: Belgium
 Checkout-Method: pickup</t>
  </si>
  <si>
    <t>ant-dille-kamille-boom-met-borg</t>
  </si>
  <si>
    <t>09-12-2025, 17:30, ANTWERPEN-DENK, Pickup Order, Tuesday, WAKE-UP</t>
  </si>
  <si>
    <t>Antwerpen Dille &amp; Kamille - BB met kluit (incl. €10 borg)</t>
  </si>
  <si>
    <t>Pickup-Location-Id: 278029
 Pickup-Day: monday
 Pickup-Date: 2025/12/08
 Pickup-Time: 2\:00 PM
 Pickup-Location-Company: ROTTERDAM - Dille &amp; Kamille
 Pickup-Location-Address-Line-1: Korte Hoogstraat 22
 Pickup-Location-City: Rotterdam
 Pickup-Location-Postal-Code: 3011 GL
 Pickup-Location-Country: Netherlands
 Checkout-Method: pickup</t>
  </si>
  <si>
    <t>rtd-dille-kamille-boom-met-borg</t>
  </si>
  <si>
    <t>08-12-2025, 14:00, Monday, Pickup Order, ROTTERDAM-DENK, WAKE-UP</t>
  </si>
  <si>
    <t>Rotterdam Dille &amp; Kamille - BB met kluit (incl. €10 borg)</t>
  </si>
  <si>
    <t>Pickup-Location-Id: 278025
 Pickup-Day: tuesday
 Pickup-Date: 2025/12/09
 Pickup-Time: 12\:00 PM
 Pickup-Location-Company: ANTWERPEN - Dille &amp; Kamille
 Pickup-Location-Address-Line-1: Vleminckstraat 9
 Pickup-Location-City: Antwerpen
 Pickup-Location-Postal-Code: 2000
 Pickup-Location-Country: Belgium
 Checkout-Method: pickup</t>
  </si>
  <si>
    <t>09-12-2025, 12:00, ANTWERPEN-DENK, Pickup Order, Tuesday, WAKE-UP</t>
  </si>
  <si>
    <t>Pickup-Location-Id: 278032
 Pickup-Day: monday
 Pickup-Date: 2025/12/01
 Pickup-Time: 5\:00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</si>
  <si>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amd-dille-kamille-boom-met-borg</t>
  </si>
  <si>
    <t>01-12-2025, 17:00, AMSTERDAM, DENK, Monday, Pickup Order, WAKE-UP</t>
  </si>
  <si>
    <t>Amsterdam Dille &amp; Kamille - BB met kluit (incl. €10 borg)</t>
  </si>
  <si>
    <t>Pickup-Location-Id: 278029
 Pickup-Day: wednesday
 Pickup-Date: 2025/12/10
 Pickup-Time: 3\:00 PM
 Pickup-Location-Company: ROTTERDAM - Dille &amp; Kamille
 Pickup-Location-Address-Line-1: Korte Hoogstraat 22
 Pickup-Location-City: Rotterdam
 Pickup-Location-Postal-Code: 3011 GL
 Pickup-Location-Country: Netherlands
 Checkout-Method: pickup</t>
  </si>
  <si>
    <t>10-12-2025, 15:00, Pickup Order, ROTTERDAM-DENK, WAKE-UP, Wednesday</t>
  </si>
  <si>
    <t>Pickup-Location-Id: 278029
 Pickup-Day: wednesday
 Pickup-Date: 2025/12/03
 Pickup-Time: 3\:00 PM
 Pickup-Location-Company: ROTTERDAM - Dille &amp; Kamille
 Pickup-Location-Address-Line-1: Korte Hoogstraat 22
 Pickup-Location-City: Rotterdam
 Pickup-Location-Postal-Code: 3011 GL
 Pickup-Location-Country: Netherlands
 Checkout-Method: pickup</t>
  </si>
  <si>
    <t>03-12-2025, 15:00, Pickup Order, ROTTERDAM-DENK, WAKE-UP, Wednesday</t>
  </si>
  <si>
    <t>Pickup-Location-Id: 278036
 Pickup-Day: tuesday
 Pickup-Date: 2025/12/02
 Pickup-Time: 5\:30 PM
 Pickup-Location-Company: ARNHEM - Dille &amp; Kamille
 Pickup-Location-Address-Line-1: Bakkerstraat 60
 Pickup-Location-City: Arnhem
 Pickup-Location-Postal-Code: 6811 EJ
 Pickup-Location-Country: Netherlands
 Checkout-Method: pickup</t>
  </si>
  <si>
    <t>arh-dille-kamille-boom-met-borg</t>
  </si>
  <si>
    <t>02-12-2025, 17:30, ARNHEM-DENK, Pickup Order, Tuesday, WAKE-UP</t>
  </si>
  <si>
    <t>Arnhem Dille &amp; Kamille - BB met kluit (incl. €10 borg)</t>
  </si>
  <si>
    <t>Pickup-Location-Id: 278032
 Pickup-Day: monday
 Pickup-Date: 2025/12/01
 Pickup-Time: 2\:00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</si>
  <si>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01-12-2025, 14:00, AMSTERDAM, DENK, Monday, Pickup Order, WAKE-UP</t>
  </si>
  <si>
    <t>Pickup-Location-Id: 278029
 Pickup-Day: monday
 Pickup-Date: 2025/12/08
 Pickup-Time: 4\:30 PM
 Pickup-Location-Company: ROTTERDAM - Dille &amp; Kamille
 Pickup-Location-Address-Line-1: Korte Hoogstraat 22
 Pickup-Location-City: Rotterdam
 Pickup-Location-Postal-Code: 3011 GL
 Pickup-Location-Country: Netherlands
 Checkout-Method: pickup</t>
  </si>
  <si>
    <t>08-12-2025, 16:30, Monday, Pickup Order, ROTTERDAM-DENK, WAKE-UP</t>
  </si>
  <si>
    <t>Pickup-Location-Id: 278035
 Pickup-Day: monday
 Pickup-Date: 2025/12/01
 Pickup-Time: 12\:00 PM
 Pickup-Location-Company: DEN HAAG - Dille &amp; Kamille
 Pickup-Location-Address-Line-1: Noordeinde 44
 Pickup-Location-City: Den Haag
 Pickup-Location-Postal-Code: 2514 GJ
 Pickup-Location-Country: Netherlands
 Checkout-Method: pickup</t>
  </si>
  <si>
    <t>dh-dille-kamille-boom-met-borg</t>
  </si>
  <si>
    <t>01-12-2025, 12:00, DENHAAG-DENK, Monday, Pickup Order, WAKE-UP</t>
  </si>
  <si>
    <t>Den Haag Dille &amp; Kamille - BB met kluit (incl. €10 borg)</t>
  </si>
  <si>
    <t>Pickup-Location-Id: 278035
 Pickup-Day: monday
 Pickup-Date: 2025/12/08
 Pickup-Time: 5\:00 PM
 Pickup-Location-Company: DEN HAAG - Dille &amp; Kamille
 Pickup-Location-Address-Line-1: Noordeinde 44
 Pickup-Location-City: Den Haag
 Pickup-Location-Postal-Code: 2514 GJ
 Pickup-Location-Country: Netherlands
 Checkout-Method: pickup</t>
  </si>
  <si>
    <t>08-12-2025, 17:00, DENHAAG-DENK, Monday, Pickup Order, WAKE-UP</t>
  </si>
  <si>
    <t>Pickup-Location-Id: 278032
 Pickup-Day: monday
 Pickup-Date: 2025/12/08
 Pickup-Time: 4\:00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</si>
  <si>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08-12-2025, 16:00, AMSTERDAM, DENK, Monday, Pickup Order, WAKE-UP</t>
  </si>
  <si>
    <t>Pickup-Location-Id: 278029
 Pickup-Day: monday
 Pickup-Date: 2025/12/01
 Pickup-Time: 2\:00 PM
 Pickup-Location-Company: ROTTERDAM - Dille &amp; Kamille
 Pickup-Location-Address-Line-1: Korte Hoogstraat 22
 Pickup-Location-City: Rotterdam
 Pickup-Location-Postal-Code: 3011 GL
 Pickup-Location-Country: Netherlands
 Checkout-Method: pickup</t>
  </si>
  <si>
    <t>01-12-2025, 14:00, Monday, Pickup Order, ROTTERDAM-DENK, WAKE-UP</t>
  </si>
  <si>
    <t>Pickup-Location-Id: 278036
 Pickup-Day: tuesday
 Pickup-Date: 2025/12/09
 Pickup-Time: 5\:00 PM
 Pickup-Location-Company: ARNHEM - Dille &amp; Kamille
 Pickup-Location-Address-Line-1: Bakkerstraat 60
 Pickup-Location-City: Arnhem
 Pickup-Location-Postal-Code: 6811 EJ
 Pickup-Location-Country: Netherlands
 Checkout-Method: pickup</t>
  </si>
  <si>
    <t>09-12-2025, 17:00, ARNHEM-DENK, Pickup Order, Tuesday, WAKE-UP</t>
  </si>
  <si>
    <t>Pickup-Location-Id: 278036
 Pickup-Day: tuesday
 Pickup-Date: 2025/12/02
 Pickup-Time: 12\:00 PM
 Pickup-Location-Company: ARNHEM - Dille &amp; Kamille
 Pickup-Location-Address-Line-1: Bakkerstraat 60
 Pickup-Location-City: Arnhem
 Pickup-Location-Postal-Code: 6811 EJ
 Pickup-Location-Country: Netherlands
 Checkout-Method: pickup</t>
  </si>
  <si>
    <t>02-12-2025, 12:00, ARNHEM-DENK, Pickup Order, Tuesday, WAKE-UP</t>
  </si>
  <si>
    <t>den Boogert</t>
  </si>
  <si>
    <t>Pickup-Location-Id: 278036
 Pickup-Day: friday
 Pickup-Date: 2025/12/05
 Pickup-Time: 1\:00 PM
 Pickup-Location-Company: ARNHEM - Dille &amp; Kamille
 Pickup-Location-Address-Line-1: Bakkerstraat 60
 Pickup-Location-City: Arnhem
 Pickup-Location-Postal-Code: 6811 EJ
 Pickup-Location-Country: Netherlands
 Checkout-Method: pickup</t>
  </si>
  <si>
    <t>05-12-2025, 13:00, ARNHEM-DENK, Friday, Pickup Order, WAKE-UP</t>
  </si>
  <si>
    <t>Pickup-Location-Id: 278032
 Pickup-Day: wednesday
 Pickup-Date: 2025/12/10
 Pickup-Time: 3\:00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</si>
  <si>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10-12-2025, 15:00, AMSTERDAM, DENK, Pickup Order, WAKE-UP, Wednesday</t>
  </si>
  <si>
    <t>Pickup-Location-Id: 278025
 Pickup-Day: tuesday
 Pickup-Date: 2025/12/02
 Pickup-Time: 12\:00 PM
 Pickup-Location-Company: ANTWERPEN - Dille &amp; Kamille
 Pickup-Location-Address-Line-1: Vleminckstraat 9
 Pickup-Location-City: Antwerpen
 Pickup-Location-Postal-Code: 2000
 Pickup-Location-Country: Belgium
 Checkout-Method: pickup</t>
  </si>
  <si>
    <t>02-12-2025, 12:00, ANTWERPEN-DENK, Pickup Order, Tuesday, WAKE-UP</t>
  </si>
  <si>
    <t>Pickup-Location-Id: 278035
 Pickup-Day: thursday
 Pickup-Date: 2025/12/04
 Pickup-Time: 1\:00 PM
 Pickup-Location-Company: DEN HAAG - Dille &amp; Kamille
 Pickup-Location-Address-Line-1: Noordeinde 44
 Pickup-Location-City: Den Haag
 Pickup-Location-Postal-Code: 2514 GJ
 Pickup-Location-Country: Netherlands
 Checkout-Method: pickup</t>
  </si>
  <si>
    <t>04-12-2025, 13:00, DENHAAG-DENK, Pickup Order, Thursday, WAKE-UP</t>
  </si>
  <si>
    <t>Pickup-Location-Id: 278036
 Pickup-Day: friday
 Pickup-Date: 2025/12/05
 Pickup-Time: 5\:30 PM
 Pickup-Location-Company: ARNHEM - Dille &amp; Kamille
 Pickup-Location-Address-Line-1: Bakkerstraat 60
 Pickup-Location-City: Arnhem
 Pickup-Location-Postal-Code: 6811 EJ
 Pickup-Location-Country: Netherlands
 Checkout-Method: pickup</t>
  </si>
  <si>
    <t>05-12-2025, 17:30, ARNHEM-DENK, Friday, Pickup Order, WAKE-UP</t>
  </si>
  <si>
    <t>Pickup-Location-Id: 278025
 Pickup-Day: thursday
 Pickup-Date: 2025/12/11
 Pickup-Time: 12\:00 PM
 Pickup-Location-Company: ANTWERPEN - Dille &amp; Kamille
 Pickup-Location-Address-Line-1: Vleminckstraat 9
 Pickup-Location-City: Antwerpen
 Pickup-Location-Postal-Code: 2000
 Pickup-Location-Country: Belgium
 Checkout-Method: pickup</t>
  </si>
  <si>
    <t>11-12-2025, 12:00, ANTWERPEN-DENK, Pickup Order, Thursday, WAKE-UP</t>
  </si>
  <si>
    <t>DENUTTE</t>
  </si>
  <si>
    <t>Pickup-Location-Id: 278035
 Pickup-Day: monday
 Pickup-Date: 2025/12/08
 Pickup-Time: 12\:00 PM
 Pickup-Location-Company: DEN HAAG - Dille &amp; Kamille
 Pickup-Location-Address-Line-1: Noordeinde 44
 Pickup-Location-City: Den Haag
 Pickup-Location-Postal-Code: 2514 GJ
 Pickup-Location-Country: Netherlands
 Checkout-Method: pickup</t>
  </si>
  <si>
    <t>08-12-2025, 12:00, DENHAAG-DENK, Monday, Pickup Order, WAKE-UP</t>
  </si>
  <si>
    <t>Pickup-Location-Id: 278032
 Pickup-Day: monday
 Pickup-Date: 2025/12/01
 Pickup-Time: 1\:00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</si>
  <si>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01-12-2025, 13:00, AMSTERDAM, DENK, Monday, Pickup Order, WAKE-UP</t>
  </si>
  <si>
    <t>Pickup-Location-Id: 278036
 Pickup-Day: friday
 Pickup-Date: 2025/12/12
 Pickup-Time: 12\:00 PM
 Pickup-Location-Company: ARNHEM - Dille &amp; Kamille
 Pickup-Location-Address-Line-1: Bakkerstraat 60
 Pickup-Location-City: Arnhem
 Pickup-Location-Postal-Code: 6811 EJ
 Pickup-Location-Country: Netherlands
 Checkout-Method: pickup</t>
  </si>
  <si>
    <t>12-12-2025, 12:00, ARNHEM-DENK, Friday, Pickup Order, WAKE-UP</t>
  </si>
  <si>
    <t>Pickup-Location-Id: 278032
 Pickup-Day: monday
 Pickup-Date: 2025/12/01
 Pickup-Time: 5\:20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</si>
  <si>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01-12-2025, 17:20, AMSTERDAM, DENK, Monday, Pickup Order, WAKE-UP</t>
  </si>
  <si>
    <t>Pickup-Location-Id: 278029
 Pickup-Day: monday
 Pickup-Date: 2025/12/01
 Pickup-Time: 4\:30 PM
 Pickup-Location-Company: ROTTERDAM - Dille &amp; Kamille
 Pickup-Location-Address-Line-1: Korte Hoogstraat 22
 Pickup-Location-City: Rotterdam
 Pickup-Location-Postal-Code: 3011 GL
 Pickup-Location-Country: Netherlands
 Checkout-Method: pickup</t>
  </si>
  <si>
    <t>01-12-2025, 16:30, Monday, Pickup Order, ROTTERDAM-DENK, WAKE-UP</t>
  </si>
  <si>
    <t>Pickup-Location-Id: 278032
 Pickup-Day: wednesday
 Pickup-Date: 2025/12/03
 Pickup-Time: 1\:00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</si>
  <si>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03-12-2025, 13:00, AMSTERDAM, DENK, Pickup Order, WAKE-UP, Wednesday</t>
  </si>
  <si>
    <t>Pickup-Location-Id: 278036
 Pickup-Day: friday
 Pickup-Date: 2025/12/05
 Pickup-Time: 2\:00 PM
 Pickup-Location-Company: ARNHEM - Dille &amp; Kamille
 Pickup-Location-Address-Line-1: Bakkerstraat 60
 Pickup-Location-City: Arnhem
 Pickup-Location-Postal-Code: 6811 EJ
 Pickup-Location-Country: Netherlands
 Checkout-Method: pickup</t>
  </si>
  <si>
    <t>05-12-2025, 14:00, ARNHEM-DENK, Friday, Pickup Order, WAKE-UP</t>
  </si>
  <si>
    <t>Graat</t>
  </si>
  <si>
    <t>Pickup-Location-Id: 278032
 Pickup-Day: wednesday
 Pickup-Date: 2025/12/10
 Pickup-Time: 1\:40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</si>
  <si>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10-12-2025, 13:40, AMSTERDAM, DENK, Pickup Order, WAKE-UP, Wednesday</t>
  </si>
  <si>
    <t>Pickup-Location-Id: 278029
 Pickup-Day: wednesday
 Pickup-Date: 2025/12/03
 Pickup-Time: 2\:00 PM
 Pickup-Location-Company: ROTTERDAM - Dille &amp; Kamille
 Pickup-Location-Address-Line-1: Korte Hoogstraat 22
 Pickup-Location-City: Rotterdam
 Pickup-Location-Postal-Code: 3011 GL
 Pickup-Location-Country: Netherlands
 Checkout-Method: pickup</t>
  </si>
  <si>
    <t>03-12-2025, 14:00, Pickup Order, ROTTERDAM-DENK, WAKE-UP, Wednesday</t>
  </si>
  <si>
    <t>Pickup-Location-Id: 278029
 Pickup-Day: wednesday
 Pickup-Date: 2025/12/10
 Pickup-Time: 4\:00 PM
 Pickup-Location-Company: ROTTERDAM - Dille &amp; Kamille
 Pickup-Location-Address-Line-1: Korte Hoogstraat 22
 Pickup-Location-City: Rotterdam
 Pickup-Location-Postal-Code: 3011 GL
 Pickup-Location-Country: Netherlands
 Checkout-Method: pickup</t>
  </si>
  <si>
    <t>10-12-2025, 16:00, Pickup Order, ROTTERDAM-DENK, WAKE-UP, Wednesday</t>
  </si>
  <si>
    <t>Koulouki</t>
  </si>
  <si>
    <t>Pickup-Location-Id: 278025
 Pickup-Day: tuesday
 Pickup-Date: 2025/12/02
 Pickup-Time: 5\:00 PM
 Pickup-Location-Company: ANTWERPEN - Dille &amp; Kamille
 Pickup-Location-Address-Line-1: Vleminckstraat 9
 Pickup-Location-City: Antwerpen
 Pickup-Location-Postal-Code: 2000
 Pickup-Location-Country: Belgium
 Checkout-Method: pickup</t>
  </si>
  <si>
    <t>02-12-2025, 17:00, ANTWERPEN-DENK, Pickup Order, Tuesday, WAKE-UP</t>
  </si>
  <si>
    <t>Pickup-Location-Id: 278032
 Pickup-Day: monday
 Pickup-Date: 2025/12/08
 Pickup-Time: 1\:00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</si>
  <si>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08-12-2025, 13:00, AMSTERDAM, DENK, Monday, Pickup Order, WAKE-UP</t>
  </si>
  <si>
    <t>Pickup-Location-Id: 278032
 Pickup-Day: wednesday
 Pickup-Date: 2025/12/10
 Pickup-Time: 1\:00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</si>
  <si>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10-12-2025, 13:00, AMSTERDAM, DENK, Pickup Order, WAKE-UP, Wednesday</t>
  </si>
  <si>
    <t>Pickup-Location-Id: 278036
 Pickup-Day: tuesday
 Pickup-Date: 2025/12/02
 Pickup-Time: 2\:00 PM
 Pickup-Location-Company: ARNHEM - Dille &amp; Kamille
 Pickup-Location-Address-Line-1: Bakkerstraat 60
 Pickup-Location-City: Arnhem
 Pickup-Location-Postal-Code: 6811 EJ
 Pickup-Location-Country: Netherlands
 Checkout-Method: pickup</t>
  </si>
  <si>
    <t>02-12-2025, 14:00, ARNHEM-DENK, Pickup Order, Tuesday, WAKE-UP</t>
  </si>
  <si>
    <t>Checkout-Method: pickup
 Pickup-Location-Id: 278036
 Pickup-Day: tuesday
 Pickup-Date: 2025/12/02
 Pickup-Time: 4\:30 PM
 Pickup-Location-Company: ARNHEM - Dille &amp; Kamille
 Pickup-Location-Address-Line-1: Bakkerstraat 60
 Pickup-Location-City: Arnhem
 Pickup-Location-Postal-Code: 6811 EJ
 Pickup-Location-Country: Netherlands</t>
  </si>
  <si>
    <t>02-12-2025, 16:30, ARNHEM-DENK, Pickup Order, Tuesday, WAKE-UP</t>
  </si>
  <si>
    <t>Pickup-Location-Id: 278032
 Pickup-Day: wednesday
 Pickup-Date: 2025/12/10
 Pickup-Time: 2\:00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</si>
  <si>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10-12-2025, 14:00, AMSTERDAM, DENK, Pickup Order, WAKE-UP, Wednesday</t>
  </si>
  <si>
    <t>Pickup-Location-Id: 278036
 Pickup-Day: friday
 Pickup-Date: 2025/12/05
 Pickup-Time: 4\:00 PM
 Pickup-Location-Company: ARNHEM - Dille &amp; Kamille
 Pickup-Location-Address-Line-1: Bakkerstraat 60
 Pickup-Location-City: Arnhem
 Pickup-Location-Postal-Code: 6811 EJ
 Pickup-Location-Country: Netherlands
 Checkout-Method: pickup</t>
  </si>
  <si>
    <t>05-12-2025, 16:00, ARNHEM-DENK, Friday, Pickup Order, WAKE-UP</t>
  </si>
  <si>
    <t>Pickup-Location-Id: 278035
 Pickup-Day: thursday
 Pickup-Date: 2025/12/04
 Pickup-Time: 4\:00 PM
 Pickup-Location-Company: DEN HAAG - Dille &amp; Kamille
 Pickup-Location-Address-Line-1: Noordeinde 44
 Pickup-Location-City: Den Haag
 Pickup-Location-Postal-Code: 2514 GJ
 Pickup-Location-Country: Netherlands
 Checkout-Method: pickup</t>
  </si>
  <si>
    <t>04-12-2025, 16:00, DENHAAG-DENK, Pickup Order, Thursday, WAKE-UP</t>
  </si>
  <si>
    <t>Pickup-Location-Id: 278032
 Pickup-Day: monday
 Pickup-Date: 2025/12/08
 Pickup-Time: 2\:40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</si>
  <si>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08-12-2025, 14:40, AMSTERDAM, DENK, Monday, Pickup Order, WAKE-UP</t>
  </si>
  <si>
    <t>Pickup-Location-Id: 278035
 Pickup-Day: monday
 Pickup-Date: 2025/12/01
 Pickup-Time: 5\:30 PM
 Pickup-Location-Company: DEN HAAG - Dille &amp; Kamille
 Pickup-Location-Address-Line-1: Noordeinde 44
 Pickup-Location-City: Den Haag
 Pickup-Location-Postal-Code: 2514 GJ
 Pickup-Location-Country: Netherlands
 Checkout-Method: pickup</t>
  </si>
  <si>
    <t>01-12-2025, 17:30, DENHAAG-DENK, Monday, Pickup Order, WAKE-UP</t>
  </si>
  <si>
    <t>Pickup-Location-Id: 278035
 Pickup-Day: wednesday
 Pickup-Date: 2025/12/10
 Pickup-Time: 5\:30 PM
 Pickup-Location-Company: DEN HAAG - Dille &amp; Kamille
 Pickup-Location-Address-Line-1: Noordeinde 44
 Pickup-Location-City: Den Haag
 Pickup-Location-Postal-Code: 2514 GJ
 Pickup-Location-Country: Netherlands
 Checkout-Method: pickup</t>
  </si>
  <si>
    <t>10-12-2025, 17:30, DENHAAG-DENK, Pickup Order, WAKE-UP, Wednesday</t>
  </si>
  <si>
    <t>Pickup-Location-Id: 278032
 Pickup-Day: monday
 Pickup-Date: 2025/12/08
 Pickup-Time: 2\:00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</si>
  <si>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08-12-2025, 14:00, AMSTERDAM, DENK, Monday, Pickup Order, WAKE-UP</t>
  </si>
  <si>
    <t>Pickup-Location-Id: 278025
 Pickup-Day: thursday
 Pickup-Date: 2025/12/11
 Pickup-Time: 3\:30 PM
 Pickup-Location-Company: ANTWERPEN - Dille &amp; Kamille
 Pickup-Location-Address-Line-1: Vleminckstraat 9
 Pickup-Location-City: Antwerpen
 Pickup-Location-Postal-Code: 2000
 Pickup-Location-Country: Belgium
 Checkout-Method: pickup</t>
  </si>
  <si>
    <t>11-12-2025, 15:30, ANTWERPEN-DENK, Pickup Order, Thursday, WAKE-UP</t>
  </si>
  <si>
    <t>Pickup-Location-Id: 278032
 Pickup-Day: monday
 Pickup-Date: 2025/12/01
 Pickup-Time: 4\:40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</si>
  <si>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01-12-2025, 16:40, AMSTERDAM, DENK, Monday, Pickup Order, WAKE-UP</t>
  </si>
  <si>
    <t>Pickup-Location-Id: 278032
 Pickup-Day: wednesday
 Pickup-Date: 2025/12/03
 Pickup-Time: 5\:20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</si>
  <si>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03-12-2025, 17:20, AMSTERDAM, DENK, Pickup Order, WAKE-UP, Wednesday</t>
  </si>
  <si>
    <t>Pickup-Location-Id: 278029
 Pickup-Day: wednesday
 Pickup-Date: 2025/12/03
 Pickup-Time: 4\:30 PM
 Pickup-Location-Company: ROTTERDAM - Dille &amp; Kamille
 Pickup-Location-Address-Line-1: Korte Hoogstraat 22
 Pickup-Location-City: Rotterdam
 Pickup-Location-Postal-Code: 3011 GL
 Pickup-Location-Country: Netherlands
 Checkout-Method: pickup</t>
  </si>
  <si>
    <t>03-12-2025, 16:30, Pickup Order, ROTTERDAM-DENK, Wednesday</t>
  </si>
  <si>
    <t>03-12-2025, 14:00, Pickup Order, ROTTERDAM-DENK, Wednesday</t>
  </si>
  <si>
    <t>11-12-2025, 12:00, ANTWERPEN-DENK, Pickup Order, Thursday</t>
  </si>
  <si>
    <t>Pickup-Location-Id: 278025
 Pickup-Day: thursday
 Pickup-Date: 2025/12/04
 Pickup-Time: 2\:00 PM
 Pickup-Location-Company: ANTWERPEN - Dille &amp; Kamille
 Pickup-Location-Address-Line-1: Vleminckstraat 9
 Pickup-Location-City: Antwerpen
 Pickup-Location-Postal-Code: 2000
 Pickup-Location-Country: Belgium
 Checkout-Method: pickup</t>
  </si>
  <si>
    <t>04-12-2025, 14:00, ANTWERPEN-DENK, Pickup Order, Thursday</t>
  </si>
  <si>
    <t>Checkout-Method: pickup
 Pickup-Location-Id: 278035
 Pickup-Day: wednesday
 Pickup-Date: 2025/12/10
 Pickup-Time: 4\:00 PM
 Pickup-Location-Company: DEN HAAG - Dille &amp; Kamille
 Pickup-Location-Address-Line-1: Noordeinde 44
 Pickup-Location-City: Den Haag
 Pickup-Location-Postal-Code: 2514 GJ
 Pickup-Location-Country: Netherlands</t>
  </si>
  <si>
    <t>10-12-2025, 16:00, DENHAAG-DENK, Pickup Order, Wednesday</t>
  </si>
  <si>
    <t>08-12-2025, 14:00, Monday, Pickup Order, ROTTERDAM-DENK</t>
  </si>
  <si>
    <t>Pickup-Location-Id: 278035
 Pickup-Day: monday
 Pickup-Date: 2025/12/01
 Pickup-Time: 1\:30 PM
 Pickup-Location-Company: DEN HAAG - Dille &amp; Kamille
 Pickup-Location-Address-Line-1: Noordeinde 44
 Pickup-Location-City: Den Haag
 Pickup-Location-Postal-Code: 2514 GJ
 Pickup-Location-Country: Netherlands
 Checkout-Method: pickup</t>
  </si>
  <si>
    <t>01-12-2025, 13:30, DENHAAG-DENK, Monday, Pickup Order</t>
  </si>
  <si>
    <t>Abel</t>
  </si>
  <si>
    <t>Vlaanderen</t>
  </si>
  <si>
    <t>01-12-2025, 14:00, AMSTERDAM, DENK, Monday, Pickup Order</t>
  </si>
  <si>
    <t>01-12-2025, 17:00, AMSTERDAM, DENK, Monday, Pickup Order</t>
  </si>
  <si>
    <t>Laurette</t>
  </si>
  <si>
    <t>SCHILLINGS</t>
  </si>
  <si>
    <t>Pickup-Location-Id: 278036
 Pickup-Day: friday
 Pickup-Date: 2025/12/05
 Pickup-Time: 12\:00 PM
 Pickup-Location-Company: ARNHEM - Dille &amp; Kamille
 Pickup-Location-Address-Line-1: Bakkerstraat 60
 Pickup-Location-City: Arnhem
 Pickup-Location-Postal-Code: 6811 EJ
 Pickup-Location-Country: Netherlands
 Checkout-Method: pickup</t>
  </si>
  <si>
    <t>05-12-2025, 12:00, ARNHEM-DENK, Friday, Pickup Order</t>
  </si>
  <si>
    <t>Inger</t>
  </si>
  <si>
    <t>Deijle</t>
  </si>
  <si>
    <t>Pickup-Location-Id: 278032
 Pickup-Day: monday
 Pickup-Date: 2025/12/08
 Pickup-Time: 4\:40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</si>
  <si>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08-12-2025, 16:40, AMSTERDAM, DENK, Monday, Pickup Order</t>
  </si>
  <si>
    <t>Aimy</t>
  </si>
  <si>
    <t>Eyzenbach</t>
  </si>
  <si>
    <t>Checkout-Method: pickup
 Pickup-Location-Id: 278032
 Pickup-Day: wednesday
 Pickup-Date: 2025/12/03
 Pickup-Time: 4\:00 PM
 Pickup-Location-Company: AMSTERDAM BILDERDIJK - Dille &amp; Kamille
 Pickup-Location-Address-Line-1: Bilderdijkstraat 187 - 189
 Pickup-Location-City: Amsterdam
 Pickup-Location-Postal-Code: 1053 KR
 Pickup-Location-Country: Netherlands</t>
  </si>
  <si>
    <t>03-12-2025, 16:00, AMSTERDAM, DENK, Pickup Order, Wednesday</t>
  </si>
  <si>
    <t>Cyr</t>
  </si>
  <si>
    <t>Everaerts</t>
  </si>
  <si>
    <t>Pickup-Location-Id: 278035
 Pickup-Day: monday
 Pickup-Date: 2025/12/08
 Pickup-Time: 4\:30 PM
 Pickup-Location-Company: DEN HAAG - Dille &amp; Kamille
 Pickup-Location-Address-Line-1: Noordeinde 44
 Pickup-Location-City: Den Haag
 Pickup-Location-Postal-Code: 2514 GJ
 Pickup-Location-Country: Netherlands
 Checkout-Method: pickup</t>
  </si>
  <si>
    <t>08-12-2025, 16:30, DENHAAG-DENK, Monday, Pickup Order</t>
  </si>
  <si>
    <t>Reinier</t>
  </si>
  <si>
    <t>van Iwaarden</t>
  </si>
  <si>
    <t>04-12-2025, 13:00, DENHAAG-DENK, Pickup Order, Thursday</t>
  </si>
  <si>
    <t>De Koninck</t>
  </si>
  <si>
    <t>08-12-2025, 14:00, AMSTERDAM, DENK, Monday, Pickup Order</t>
  </si>
  <si>
    <t>Mary</t>
  </si>
  <si>
    <t>Roelofsen</t>
  </si>
  <si>
    <t>Checkout-Method: pickup
 Pickup-Location-Id: 278036
 Pickup-Day: friday
 Pickup-Date: 2025/12/05
 Pickup-Time: 3\:30 PM
 Pickup-Location-Company: ARNHEM - Dille &amp; Kamille
 Pickup-Location-Address-Line-1: Bakkerstraat 60
 Pickup-Location-City: Arnhem
 Pickup-Location-Postal-Code: 6811 EJ
 Pickup-Location-Country: Netherlands</t>
  </si>
  <si>
    <t>05-12-2025, 15:30, ARNHEM-DENK, Friday, Pickup Order</t>
  </si>
  <si>
    <t>van Stuijvenberg</t>
  </si>
  <si>
    <t>Pickup-Location-Id: 278032
 Pickup-Day: wednesday
 Pickup-Date: 2025/12/03
 Pickup-Time: 3\:00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</si>
  <si>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03-12-2025, 15:00, AMSTERDAM, DENK, Pickup Order, Wednesday</t>
  </si>
  <si>
    <t>Giovanni</t>
  </si>
  <si>
    <t>Giaquinto</t>
  </si>
  <si>
    <t>Pickup-Location-Id: 278032
 Pickup-Day: wednesday
 Pickup-Date: 2025/12/03
 Pickup-Time: 5\:00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</si>
  <si>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03-12-2025, 17:00, AMSTERDAM, DENK, Pickup Order, Wednesday</t>
  </si>
  <si>
    <t>Julian</t>
  </si>
  <si>
    <t>Simonse</t>
  </si>
  <si>
    <t>Pickup-Location-Id: 278025
 Pickup-Day: thursday
 Pickup-Date: 2025/12/04
 Pickup-Time: 5\:30 PM
 Pickup-Location-Company: ANTWERPEN - Dille &amp; Kamille
 Pickup-Location-Address-Line-1: Vleminckstraat 9
 Pickup-Location-City: Antwerpen
 Pickup-Location-Postal-Code: 2000
 Pickup-Location-Country: Belgium
 Checkout-Method: pickup</t>
  </si>
  <si>
    <t>04-12-2025, 17:30, ANTWERPEN-DENK, Pickup Order, Thursday</t>
  </si>
  <si>
    <t>Pitz</t>
  </si>
  <si>
    <t>Pickup-Location-Id: 278035
 Pickup-Day: wednesday
 Pickup-Date: 2025/12/10
 Pickup-Time: 4\:00 PM
 Pickup-Location-Company: DEN HAAG - Dille &amp; Kamille
 Pickup-Location-Address-Line-1: Noordeinde 44
 Pickup-Location-City: Den Haag
 Pickup-Location-Postal-Code: 2514 GJ
 Pickup-Location-Country: Netherlands
 Checkout-Method: pickup</t>
  </si>
  <si>
    <t>Reinking</t>
  </si>
  <si>
    <t>10-12-2025, 16:00, Pickup Order, ROTTERDAM-DENK, Wednesday</t>
  </si>
  <si>
    <t>Jules</t>
  </si>
  <si>
    <t>Geeraert</t>
  </si>
  <si>
    <t>Pickup-Location-Id: 278032
 Pickup-Day: wednesday
 Pickup-Date: 2025/12/03
 Pickup-Time: 4\:40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</si>
  <si>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03-12-2025, 16:40, AMSTERDAM, DENK, Pickup Order, Wednesday</t>
  </si>
  <si>
    <t>Patricia</t>
  </si>
  <si>
    <t>Pickup-Location-Id: 278036
 Pickup-Day: tuesday
 Pickup-Date: 2025/12/09
 Pickup-Time: 4\:00 PM
 Pickup-Location-Company: ARNHEM - Dille &amp; Kamille
 Pickup-Location-Address-Line-1: Bakkerstraat 60
 Pickup-Location-City: Arnhem
 Pickup-Location-Postal-Code: 6811 EJ
 Pickup-Location-Country: Netherlands
 Checkout-Method: pickup</t>
  </si>
  <si>
    <t>09-12-2025, 16:00, ARNHEM-DENK, Pickup Order, Tuesday</t>
  </si>
  <si>
    <t>wendy</t>
  </si>
  <si>
    <t>van der wekken</t>
  </si>
  <si>
    <t>Kwa</t>
  </si>
  <si>
    <t>Pickup-Location-Id: 278035
 Pickup-Day: thursday
 Pickup-Date: 2025/12/04
 Pickup-Time: 5\:30 PM
 Pickup-Location-Company: DEN HAAG - Dille &amp; Kamille
 Pickup-Location-Address-Line-1: Noordeinde 44
 Pickup-Location-City: Den Haag
 Pickup-Location-Postal-Code: 2514 GJ
 Pickup-Location-Country: Netherlands
 Checkout-Method: pickup</t>
  </si>
  <si>
    <t>04-12-2025, 17:30, DENHAAG-DENK, Pickup Order, Thursday</t>
  </si>
  <si>
    <t>Stehouwer</t>
  </si>
  <si>
    <t>Pickup-Location-Id: 278029
 Pickup-Day: monday
 Pickup-Date: 2025/12/08
 Pickup-Time: 3\:30 PM
 Pickup-Location-Company: ROTTERDAM - Dille &amp; Kamille
 Pickup-Location-Address-Line-1: Korte Hoogstraat 22
 Pickup-Location-City: Rotterdam
 Pickup-Location-Postal-Code: 3011 GL
 Pickup-Location-Country: Netherlands
 Checkout-Method: pickup</t>
  </si>
  <si>
    <t>08-12-2025, 15:30, Monday, Pickup Order, ROTTERDAM-DENK</t>
  </si>
  <si>
    <t>Madara</t>
  </si>
  <si>
    <t>Petersone</t>
  </si>
  <si>
    <t>Pickup-Location-Id: 278035
 Pickup-Day: thursday
 Pickup-Date: 2025/12/04
 Pickup-Time: 12\:00 PM
 Pickup-Location-Company: DEN HAAG - Dille &amp; Kamille
 Pickup-Location-Address-Line-1: Noordeinde 44
 Pickup-Location-City: Den Haag
 Pickup-Location-Postal-Code: 2514 GJ
 Pickup-Location-Country: Netherlands
 Checkout-Method: pickup</t>
  </si>
  <si>
    <t>04-12-2025, 12:00, DENHAAG-DENK, Pickup Order, Thursday</t>
  </si>
  <si>
    <t>van Duivenboden</t>
  </si>
  <si>
    <t>Checkout-Method: pickup
 Pickup-Location-Id: 278025
 Pickup-Day: thursday
 Pickup-Date: 2025/12/04
 Pickup-Time: 4\:00 PM
 Pickup-Location-Company: ANTWERPEN - Dille &amp; Kamille
 Pickup-Location-Address-Line-1: Vleminckstraat 9
 Pickup-Location-City: Antwerpen
 Pickup-Location-Postal-Code: 2000
 Pickup-Location-Country: Belgium</t>
  </si>
  <si>
    <t>04-12-2025, 16:00, ANTWERPEN-DENK, Pickup Order, Thursday</t>
  </si>
  <si>
    <t>De Maeyer</t>
  </si>
  <si>
    <t>Pickup-Location-Id: 278035
 Pickup-Day: monday
 Pickup-Date: 2025/12/08
 Pickup-Time: 3\:30 PM
 Pickup-Location-Company: DEN HAAG - Dille &amp; Kamille
 Pickup-Location-Address-Line-1: Noordeinde 44
 Pickup-Location-City: Den Haag
 Pickup-Location-Postal-Code: 2514 GJ
 Pickup-Location-Country: Netherlands
 Checkout-Method: pickup</t>
  </si>
  <si>
    <t>08-12-2025, 15:30, DENHAAG-DENK, Monday, Pickup Order</t>
  </si>
  <si>
    <t>Luka</t>
  </si>
  <si>
    <t>Kreisler</t>
  </si>
  <si>
    <t>P.</t>
  </si>
  <si>
    <t>Messercola</t>
  </si>
  <si>
    <t>Ronteltap</t>
  </si>
  <si>
    <t>Slor</t>
  </si>
  <si>
    <t>Van Boggelen</t>
  </si>
  <si>
    <t>Pickup-Location-Id: 278035
 Pickup-Day: monday
 Pickup-Date: 2025/12/08
 Pickup-Time: 3\:00 PM
 Pickup-Location-Company: DEN HAAG - Dille &amp; Kamille
 Pickup-Location-Address-Line-1: Noordeinde 44
 Pickup-Location-City: Den Haag
 Pickup-Location-Postal-Code: 2514 GJ
 Pickup-Location-Country: Netherlands
 Checkout-Method: pickup</t>
  </si>
  <si>
    <t>08-12-2025, 15:00, DENHAAG-DENK, Monday, Pickup Order</t>
  </si>
  <si>
    <t>Younes</t>
  </si>
  <si>
    <t>Bouadi</t>
  </si>
  <si>
    <t>Pickup-Location-Id: 278032
 Pickup-Day: monday
 Pickup-Date: 2025/12/08
 Pickup-Time: 3\:20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</si>
  <si>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08-12-2025, 15:20, AMSTERDAM, DENK, Monday, Pickup Order</t>
  </si>
  <si>
    <t>Fam.</t>
  </si>
  <si>
    <t>Hoen</t>
  </si>
  <si>
    <t>Pickup-Location-Id: 278035
 Pickup-Day: monday
 Pickup-Date: 2025/12/08
 Pickup-Time: 5\:30 PM
 Pickup-Location-Company: DEN HAAG - Dille &amp; Kamille
 Pickup-Location-Address-Line-1: Noordeinde 44
 Pickup-Location-City: Den Haag
 Pickup-Location-Postal-Code: 2514 GJ
 Pickup-Location-Country: Netherlands
 Checkout-Method: pickup</t>
  </si>
  <si>
    <t>08-12-2025, 17:30, DENHAAG-DENK, Monday, Pickup Order</t>
  </si>
  <si>
    <t>Pickup-Location-Id: 278032
 Pickup-Day: wednesday
 Pickup-Date: 2025/12/03
 Pickup-Time: 2\:00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</si>
  <si>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03-12-2025, 14:00, AMSTERDAM, DENK, Pickup Order, Wednesday</t>
  </si>
  <si>
    <t>Melle</t>
  </si>
  <si>
    <t>Godfried</t>
  </si>
  <si>
    <t>Pickup-Location-Id: 278032
 Pickup-Day: monday
 Pickup-Date: 2025/12/08
 Pickup-Time: 5\:00 PM
 Pickup-Location-Company: AMSTERDAM BILDERDIJK - Dille &amp; Kamille
 Pickup-Location-Address-Line-1: Bilderdijkstraat 187 - 189
 Pickup-Location-City: Amsterdam
 Pickup-Location-Postal-Code: 1053 KR
 Pickup-Location-Country: Netherlands
 Checkout-Method: pickup</t>
  </si>
  <si>
    <t>08-12-2025, 17:00, AMSTERDAM, DENK, Monday, Pickup Order</t>
  </si>
  <si>
    <t>Mees</t>
  </si>
  <si>
    <t>SUM van Line: Quantity</t>
  </si>
  <si>
    <t xml:space="preserve">Totaal van  </t>
  </si>
  <si>
    <t xml:space="preserve">Totaal van 2025/12/01 </t>
  </si>
  <si>
    <t xml:space="preserve">Totaal van 2025/12/03 </t>
  </si>
  <si>
    <t xml:space="preserve">Totaal van 2025/12/08 </t>
  </si>
  <si>
    <t xml:space="preserve">Totaal van 2025/12/10 </t>
  </si>
  <si>
    <t xml:space="preserve">Totaal van AMSTERDAM BILDERDIJK - Dille &amp; Kamille </t>
  </si>
  <si>
    <t xml:space="preserve">Totaal van 2025/12/02 </t>
  </si>
  <si>
    <t xml:space="preserve">Totaal van 2025/12/04 </t>
  </si>
  <si>
    <t xml:space="preserve">Totaal van 2025/12/09 </t>
  </si>
  <si>
    <t xml:space="preserve">Totaal van 2025/12/11 </t>
  </si>
  <si>
    <t xml:space="preserve">Totaal van ANTWERPEN - Dille &amp; Kamille </t>
  </si>
  <si>
    <t xml:space="preserve">Totaal van 2025/12/05 </t>
  </si>
  <si>
    <t xml:space="preserve">Totaal van 2025/12/12 </t>
  </si>
  <si>
    <t xml:space="preserve">Totaal van ARNHEM - Dille &amp; Kamille </t>
  </si>
  <si>
    <t xml:space="preserve">Totaal van DEN HAAG - Dille &amp; Kamille </t>
  </si>
  <si>
    <t xml:space="preserve">Totaal van ROTTERDAM - Dille &amp; Kamille </t>
  </si>
  <si>
    <t>Eindtotaal</t>
  </si>
  <si>
    <t>Line: Variant ID</t>
  </si>
  <si>
    <t>Fulfillment: Tracking URL</t>
  </si>
  <si>
    <t>Shipping: First Name</t>
  </si>
  <si>
    <t>Shipping: Last Name</t>
  </si>
  <si>
    <t>Shipping: Name</t>
  </si>
  <si>
    <t>Shipping: Company</t>
  </si>
  <si>
    <t>Shipping: Phone</t>
  </si>
  <si>
    <t>Shipping: Address 1</t>
  </si>
  <si>
    <t>Shipping: Address 2</t>
  </si>
  <si>
    <t>Shipping: Zip</t>
  </si>
  <si>
    <t>Shipping: City</t>
  </si>
  <si>
    <t>Shipping: Province</t>
  </si>
  <si>
    <t>Shipping: Province Code</t>
  </si>
  <si>
    <t>Shipping: Country</t>
  </si>
  <si>
    <t>Shipping: Country Code</t>
  </si>
  <si>
    <t>Cancelled At</t>
  </si>
  <si>
    <t>Line: Command</t>
  </si>
  <si>
    <t>Refund: Restock</t>
  </si>
  <si>
    <t>Customer: ID</t>
  </si>
  <si>
    <t>Refund: ID</t>
  </si>
  <si>
    <t>Fulfillment: ID</t>
  </si>
  <si>
    <t>TP-TICKET</t>
  </si>
  <si>
    <t>Terugplant Ticket</t>
  </si>
  <si>
    <t>#BB-25-6868</t>
  </si>
  <si>
    <t>ZNDRKLUIT-140150</t>
  </si>
  <si>
    <t>Shipping-Date: 2025/12/05</t>
  </si>
  <si>
    <t>BeterBoompje zonder kluit - verzending</t>
  </si>
  <si>
    <t>Wij willen de boom graag ontvangen op 5, 6 of 7 december</t>
  </si>
  <si>
    <t>van Toor</t>
  </si>
  <si>
    <t>Willem van Toor</t>
  </si>
  <si>
    <t>+31637238467</t>
  </si>
  <si>
    <t>Balijelaan 22</t>
  </si>
  <si>
    <t>3521 GS</t>
  </si>
  <si>
    <t>Utrecht</t>
  </si>
  <si>
    <t>Netherlands</t>
  </si>
  <si>
    <t>NL</t>
  </si>
  <si>
    <t>echte-duurzame-nordmann-kerstboom</t>
  </si>
  <si>
    <t>DEFAULT</t>
  </si>
  <si>
    <t>BeterBoompje zonder kluit - verzending - NORDMANN zonder kluit 125-150 cm</t>
  </si>
  <si>
    <t>BeterBoompje zonder kluit - verzending - NORDMANN zonder kluit 150-175 cm</t>
  </si>
  <si>
    <t>ZONDER-140-150</t>
  </si>
  <si>
    <t>Standard</t>
  </si>
  <si>
    <t>Shipping Line</t>
  </si>
  <si>
    <t>BeterBoompje met Kluit - verzending - Picea Omorika met kluit 150-175 cm / Ja inclusief terugplant ticket (+€7.50)</t>
  </si>
  <si>
    <t>#BB-25-6866</t>
  </si>
  <si>
    <t>ZNDRKLUIT-160170</t>
  </si>
  <si>
    <t>Shipping-Day: friday
 Shipping-Date: 2025/12/05
 Checkout-Method: shipping</t>
  </si>
  <si>
    <t>Monica</t>
  </si>
  <si>
    <t>Lozza</t>
  </si>
  <si>
    <t>Monica Lozza</t>
  </si>
  <si>
    <t>+31681797028</t>
  </si>
  <si>
    <t>Donkerstraat, 41</t>
  </si>
  <si>
    <t>2611 TE</t>
  </si>
  <si>
    <t>DELFT</t>
  </si>
  <si>
    <t>een boom met kluit</t>
  </si>
  <si>
    <t>ZONDER-160-170</t>
  </si>
  <si>
    <t>BeterBoompje met Kluit - verzending - Picea Omorika met kluit 100-125 cm / Nee geen terugplant ticket</t>
  </si>
  <si>
    <t>#BB-25-6867</t>
  </si>
  <si>
    <t>KLUIT-125150-VERZENDEN</t>
  </si>
  <si>
    <t>Shipping-Date: 2025/12/16</t>
  </si>
  <si>
    <t>BeterBoompje met Kluit - verzending</t>
  </si>
  <si>
    <t>Carien Mol</t>
  </si>
  <si>
    <t>+31649657540</t>
  </si>
  <si>
    <t>Purpervlinder 2</t>
  </si>
  <si>
    <t>3723 TZ</t>
  </si>
  <si>
    <t>Bilthoven</t>
  </si>
  <si>
    <t>beterboompje-met-kluit</t>
  </si>
  <si>
    <t>BeterBoompje met Kluit - verzending - Picea Omorika met kluit 125-150 cm / Nee geen terugplant ticket</t>
  </si>
  <si>
    <t>#BB-25-6869</t>
  </si>
  <si>
    <t>Checkout-Method: shipping
 Shipping-Date: 2025/12/09
 Shipping-Day: tuesday</t>
  </si>
  <si>
    <t>Onbekende bezorgdatum, wachten.</t>
  </si>
  <si>
    <t>Rekia</t>
  </si>
  <si>
    <t>Moumen</t>
  </si>
  <si>
    <t>Rekia Moumen</t>
  </si>
  <si>
    <t>+31640292696</t>
  </si>
  <si>
    <t>zadelmaker 108</t>
  </si>
  <si>
    <t>2401 PJ</t>
  </si>
  <si>
    <t>Alphen aan den Rijn</t>
  </si>
  <si>
    <t>BeterBoompje met Kluit - verzending - Picea Omorika met kluit 125-150 cm / Ja inclusief terugplant ticket (+€7.50)</t>
  </si>
  <si>
    <t>#BB-25-6871</t>
  </si>
  <si>
    <t>Shipping-Day: thursday
 Shipping-Date: 2025/11/27
 Checkout-Method: shipping</t>
  </si>
  <si>
    <t>Deppe</t>
  </si>
  <si>
    <t>Iris Deppe</t>
  </si>
  <si>
    <t>+31621940183</t>
  </si>
  <si>
    <t>Korenbloem 44</t>
  </si>
  <si>
    <t>4102 HT</t>
  </si>
  <si>
    <t>Culemborg</t>
  </si>
  <si>
    <t>success</t>
  </si>
  <si>
    <r>
      <rPr>
        <rFont val="Helvetica Neue"/>
        <color rgb="FF1155CC"/>
        <u/>
      </rPr>
      <t>https://ws01.ffdx.net/v4/etrack_blank.aspx?stid=SKYNET&amp;viewtype=&amp;cn=006562533600</t>
    </r>
  </si>
  <si>
    <t>Fulfillment Line</t>
  </si>
  <si>
    <t>#BB-25-6885</t>
  </si>
  <si>
    <t>Checkout-Method: shipping
 Shipping-Date: 2025/11/29
 Shipping-Day: saturday</t>
  </si>
  <si>
    <t>Sterre</t>
  </si>
  <si>
    <t>Rechtuijt</t>
  </si>
  <si>
    <t>Sterre Rechtuijt</t>
  </si>
  <si>
    <t>+31643487797</t>
  </si>
  <si>
    <t>Cees Sipkeslaan 328</t>
  </si>
  <si>
    <t>1112 XK</t>
  </si>
  <si>
    <t>Diemen</t>
  </si>
  <si>
    <t>#BB-25-6888</t>
  </si>
  <si>
    <t>Checkout-Method: shipping
 Shipping-Day: saturday
 Shipping-Date: 2025/12/06</t>
  </si>
  <si>
    <t>Renske van der Meulen</t>
  </si>
  <si>
    <t>+31610697598</t>
  </si>
  <si>
    <t>Oudaen 9</t>
  </si>
  <si>
    <t>5653 KA</t>
  </si>
  <si>
    <t>Eindhoven</t>
  </si>
  <si>
    <t>BeterBoompje met Kluit - verzending - Picea Omorika met kluit 175-200 cm / Ja inclusief terugplant ticket (+€7.50)</t>
  </si>
  <si>
    <t>#BB-25-6873</t>
  </si>
  <si>
    <t>Shipping-Day: tuesday
 Shipping-Date: 2025/12/09
 Checkout-Method: shipping</t>
  </si>
  <si>
    <t>Birgit</t>
  </si>
  <si>
    <t>Benscheidt-Oostveen</t>
  </si>
  <si>
    <t>Birgit Benscheidt-Oostveen</t>
  </si>
  <si>
    <t>+31618164865</t>
  </si>
  <si>
    <t>Van Swindenstraat 115</t>
  </si>
  <si>
    <t>3514 XR</t>
  </si>
  <si>
    <t>#BB-25-6881</t>
  </si>
  <si>
    <t>KLUIT-100125-VERZENDEN</t>
  </si>
  <si>
    <t>Shipping-Day: friday
 Shipping-Date: 2025/11/28
 Checkout-Method: shipping</t>
  </si>
  <si>
    <t>Bob</t>
  </si>
  <si>
    <t>Oorsprong</t>
  </si>
  <si>
    <t>Bob Oorsprong</t>
  </si>
  <si>
    <t>+31648137206</t>
  </si>
  <si>
    <t>Buitendijk 12</t>
  </si>
  <si>
    <t>4255 GV</t>
  </si>
  <si>
    <t>Nieuwendijk</t>
  </si>
  <si>
    <t>#BB-25-6896</t>
  </si>
  <si>
    <t>Shipping-Day: saturday
 Shipping-Date: 2025/12/06
 Checkout-Method: shipping</t>
  </si>
  <si>
    <t>Pietersen</t>
  </si>
  <si>
    <t>Inger Pietersen</t>
  </si>
  <si>
    <t>+31615886382</t>
  </si>
  <si>
    <t>Verlengde Parkweg 6</t>
  </si>
  <si>
    <t>6717 GN</t>
  </si>
  <si>
    <t>Ede</t>
  </si>
  <si>
    <t>#BB-25-6908</t>
  </si>
  <si>
    <t>Checkout-Method: shipping
 Shipping-Day: tuesday
 Shipping-Date: 2025/12/02</t>
  </si>
  <si>
    <t>Entius</t>
  </si>
  <si>
    <t>Roos Entius</t>
  </si>
  <si>
    <t>+31637561291</t>
  </si>
  <si>
    <t>Houtstraat 49</t>
  </si>
  <si>
    <t>3513 XG</t>
  </si>
  <si>
    <t>#BB-25-6911</t>
  </si>
  <si>
    <t>Shipping-Date: 2025/11/29
 Checkout-Method: shipping
 Shipping-Day: saturday</t>
  </si>
  <si>
    <t>Barnhoorn</t>
  </si>
  <si>
    <t>Tim Barnhoorn</t>
  </si>
  <si>
    <t>0624980369</t>
  </si>
  <si>
    <t>Roomburgerlaan 23</t>
  </si>
  <si>
    <t>2313 PP</t>
  </si>
  <si>
    <t>Leiden</t>
  </si>
  <si>
    <t>BeterBoompje met Kluit - verzending - Picea Omorika met kluit 175-200 cm / Nee geen terugplant ticket</t>
  </si>
  <si>
    <t>#BB-25-6912</t>
  </si>
  <si>
    <t>Shipping-Day: tuesday
 Shipping-Date: 2025/12/16
 Checkout-Method: shipping</t>
  </si>
  <si>
    <t>Venekamp</t>
  </si>
  <si>
    <t>Ingrid Venekamp</t>
  </si>
  <si>
    <t>0651310950</t>
  </si>
  <si>
    <t>Honingerhof 6</t>
  </si>
  <si>
    <t>3063 BZ</t>
  </si>
  <si>
    <t>Rotterdam</t>
  </si>
  <si>
    <t>Tarfief Belgie</t>
  </si>
  <si>
    <t>#BB-25-6878</t>
  </si>
  <si>
    <t>Shipping-Day: wednesday
 Shipping-Date: 2025/12/10
 Checkout-Method: shipping</t>
  </si>
  <si>
    <t>Schets</t>
  </si>
  <si>
    <t>Miranda Schets</t>
  </si>
  <si>
    <t>+31624134596</t>
  </si>
  <si>
    <t>Krepelstraat 4</t>
  </si>
  <si>
    <t>4301 AM</t>
  </si>
  <si>
    <t>Zierikzee</t>
  </si>
  <si>
    <t>#BB-25-6927</t>
  </si>
  <si>
    <t>KLUIT-150175-VERZENDEN</t>
  </si>
  <si>
    <t>Lisa Rutten</t>
  </si>
  <si>
    <t>+31628030002</t>
  </si>
  <si>
    <t>tt. Vasumweg</t>
  </si>
  <si>
    <t>32 G1</t>
  </si>
  <si>
    <t>1033 SC</t>
  </si>
  <si>
    <t>AMSTERDAM</t>
  </si>
  <si>
    <t>BeterBoompje met Kluit - verzending - Picea Omorika met kluit 150-175 cm / Nee geen terugplant ticket</t>
  </si>
  <si>
    <t>#BB-25-6901</t>
  </si>
  <si>
    <t>van Velzen</t>
  </si>
  <si>
    <t>Roos van Velzen</t>
  </si>
  <si>
    <t>+31631949606</t>
  </si>
  <si>
    <t>Obistraat 54</t>
  </si>
  <si>
    <t>2022 CJ</t>
  </si>
  <si>
    <t>Haarlem</t>
  </si>
  <si>
    <t>#BB-25-6946</t>
  </si>
  <si>
    <t>Shipping-Day: wednesday
 Shipping-Date: 2025/12/03
 Checkout-Method: shipping</t>
  </si>
  <si>
    <t>Moss</t>
  </si>
  <si>
    <t>Nadia Moss</t>
  </si>
  <si>
    <t>0623558245</t>
  </si>
  <si>
    <t>Hartingstraat 266</t>
  </si>
  <si>
    <t>3511 HV</t>
  </si>
  <si>
    <t>#BB-25-6958</t>
  </si>
  <si>
    <t>Lieke Lieke</t>
  </si>
  <si>
    <t>+31684169846</t>
  </si>
  <si>
    <t>Prinsengracht 689E</t>
  </si>
  <si>
    <t>1017 JV</t>
  </si>
  <si>
    <t>Amsterdam</t>
  </si>
  <si>
    <t>#BB-25-6962</t>
  </si>
  <si>
    <t>Adri</t>
  </si>
  <si>
    <t>Sloot</t>
  </si>
  <si>
    <t>Adri Sloot</t>
  </si>
  <si>
    <t>0681458048</t>
  </si>
  <si>
    <t>Benedenberg 47</t>
  </si>
  <si>
    <t>2861 LC</t>
  </si>
  <si>
    <t>Bergambacht</t>
  </si>
  <si>
    <t>#BB-25-6964</t>
  </si>
  <si>
    <t>Bloemendal</t>
  </si>
  <si>
    <t>Lieke Bloemendal</t>
  </si>
  <si>
    <t>+31649706169</t>
  </si>
  <si>
    <t>Leidatoweg, 21</t>
  </si>
  <si>
    <t>2316 LJ</t>
  </si>
  <si>
    <t>#BB-25-6965</t>
  </si>
  <si>
    <t>Shipping-Day: friday
 Shipping-Date: 2025/12/12
 Checkout-Method: shipping</t>
  </si>
  <si>
    <t>Bliekendaal</t>
  </si>
  <si>
    <t>Marlies Bliekendaal</t>
  </si>
  <si>
    <t>+31628830027</t>
  </si>
  <si>
    <t>Sophiakade</t>
  </si>
  <si>
    <t>3061 DK</t>
  </si>
  <si>
    <t>driebomen</t>
  </si>
  <si>
    <t>#BB-25-6966</t>
  </si>
  <si>
    <t>Deirdre</t>
  </si>
  <si>
    <t>Reijerman</t>
  </si>
  <si>
    <t>Deirdre Reijerman</t>
  </si>
  <si>
    <t>626500027</t>
  </si>
  <si>
    <t>Rustenburgherweg 19</t>
  </si>
  <si>
    <t>2061 JA</t>
  </si>
  <si>
    <t>Bloemendaal</t>
  </si>
  <si>
    <t>Twee bomen met kluit</t>
  </si>
  <si>
    <t>#BB-25-6970</t>
  </si>
  <si>
    <t>Maurice</t>
  </si>
  <si>
    <t>Grendelman</t>
  </si>
  <si>
    <t>Maurice Grendelman</t>
  </si>
  <si>
    <t>0627360352</t>
  </si>
  <si>
    <t>Hagelstraat 5c</t>
  </si>
  <si>
    <t>8011 RN</t>
  </si>
  <si>
    <t>Zwolle</t>
  </si>
  <si>
    <t>#BB-25-6976</t>
  </si>
  <si>
    <t>Bastmeijer</t>
  </si>
  <si>
    <t>Ilse Bastmeijer</t>
  </si>
  <si>
    <t>0650694704</t>
  </si>
  <si>
    <t>Rietveld</t>
  </si>
  <si>
    <t>4241 EB</t>
  </si>
  <si>
    <t>Arkel</t>
  </si>
  <si>
    <t>BeterBoompje met Kluit - verzending - Picea Omorika met kluit 100-125 cm / Ja inclusief terugplant ticket (+€7.50)</t>
  </si>
  <si>
    <t>#BB-25-6892</t>
  </si>
  <si>
    <t>Deanna</t>
  </si>
  <si>
    <t>Stephenson</t>
  </si>
  <si>
    <t>Deanna Stephenson</t>
  </si>
  <si>
    <t>+31648571007</t>
  </si>
  <si>
    <t>Van sijpesteijnkade 17J</t>
  </si>
  <si>
    <t>3521 AH</t>
  </si>
  <si>
    <t>#BB-25-6983</t>
  </si>
  <si>
    <t>Shipping-Day: saturday
 Shipping-Date: 2025/12/20
 Checkout-Method: shipping</t>
  </si>
  <si>
    <t>J.W.</t>
  </si>
  <si>
    <t>Bult</t>
  </si>
  <si>
    <t>J.W. Bult</t>
  </si>
  <si>
    <t>0616803918</t>
  </si>
  <si>
    <t>Sumatrakade 193</t>
  </si>
  <si>
    <t>1019 PK</t>
  </si>
  <si>
    <t>#BB-25-7013</t>
  </si>
  <si>
    <t>Svetlana</t>
  </si>
  <si>
    <t>Undalova</t>
  </si>
  <si>
    <t>Svetlana Undalova</t>
  </si>
  <si>
    <t>0638895256</t>
  </si>
  <si>
    <t>Sint-Bonifaciusstraat 51</t>
  </si>
  <si>
    <t>3553 SP</t>
  </si>
  <si>
    <t>#BB-25-7014</t>
  </si>
  <si>
    <t>Graag bezorgen op dinsdag 02-12-2025</t>
  </si>
  <si>
    <t>Spann</t>
  </si>
  <si>
    <t>Lieke Spann</t>
  </si>
  <si>
    <t>BMD Advies Centraal Nederland BV</t>
  </si>
  <si>
    <t>0852106471</t>
  </si>
  <si>
    <t>Kraanstraat 22</t>
  </si>
  <si>
    <t>6541 EJ</t>
  </si>
  <si>
    <t>Nijmegen</t>
  </si>
  <si>
    <r>
      <rPr>
        <rFont val="Helvetica Neue"/>
        <color rgb="FF1155CC"/>
        <u/>
      </rPr>
      <t>https://ws01.ffdx.net/v4/etrack_blank.aspx?stid=SKYNET&amp;viewtype=&amp;cn=006562550573</t>
    </r>
  </si>
  <si>
    <t>#BB-25-7015</t>
  </si>
  <si>
    <t>KLUIT-150175-VERZENDEN_TRGPLNTN</t>
  </si>
  <si>
    <t>Shipping-Day: saturday
 Shipping-Date: 2025/11/29
 Checkout-Method: shipping</t>
  </si>
  <si>
    <t>Reinen-van den Baar</t>
  </si>
  <si>
    <t>Gemmie</t>
  </si>
  <si>
    <t>Reinen</t>
  </si>
  <si>
    <t>Gemmie Reinen</t>
  </si>
  <si>
    <t>geen bedrijf</t>
  </si>
  <si>
    <t>0613445328</t>
  </si>
  <si>
    <t>2e de Riemerstraat, 146</t>
  </si>
  <si>
    <t>2513 CZ</t>
  </si>
  <si>
    <t>Den Haag</t>
  </si>
  <si>
    <t>#BB-25-7023</t>
  </si>
  <si>
    <t>Lysanne</t>
  </si>
  <si>
    <t>Merkestein</t>
  </si>
  <si>
    <t>Lysanne Merkestein</t>
  </si>
  <si>
    <t>0653526471</t>
  </si>
  <si>
    <t>DUYVENDAKSTRAAT 1</t>
  </si>
  <si>
    <t>2313 PZ</t>
  </si>
  <si>
    <r>
      <rPr>
        <rFont val="Helvetica Neue"/>
        <color rgb="FF1155CC"/>
        <u/>
      </rPr>
      <t>https://ws01.ffdx.net/v4/etrack_blank.aspx?stid=SKYNET&amp;viewtype=&amp;cn=006562545640</t>
    </r>
  </si>
  <si>
    <t>#BB-25-6999</t>
  </si>
  <si>
    <t>van Sandick</t>
  </si>
  <si>
    <t>Maud van Sandick</t>
  </si>
  <si>
    <t>0638448473</t>
  </si>
  <si>
    <t>Javastraat 121</t>
  </si>
  <si>
    <t>2585 AH</t>
  </si>
  <si>
    <t>#BB-25-7027</t>
  </si>
  <si>
    <t>Brenda Kamphuis</t>
  </si>
  <si>
    <t>De Rotterdam Tours</t>
  </si>
  <si>
    <t>0629242525</t>
  </si>
  <si>
    <t>Paul Krugerstraat 12D</t>
  </si>
  <si>
    <t>3072 GL</t>
  </si>
  <si>
    <r>
      <rPr>
        <rFont val="Helvetica Neue"/>
        <color rgb="FF1155CC"/>
        <u/>
      </rPr>
      <t>https://ws01.ffdx.net/v4/etrack_blank.aspx?stid=SKYNET&amp;viewtype=&amp;cn=006562533574</t>
    </r>
  </si>
  <si>
    <t>#BB-25-7041</t>
  </si>
  <si>
    <t>KLUIT-175200-VERZENDEN</t>
  </si>
  <si>
    <t>Camila</t>
  </si>
  <si>
    <t>Perez</t>
  </si>
  <si>
    <t>Camila Perez</t>
  </si>
  <si>
    <t>Crobox Services B.V</t>
  </si>
  <si>
    <t>0687841100</t>
  </si>
  <si>
    <t>kloveniersburgwal 131H</t>
  </si>
  <si>
    <t>1011 KD</t>
  </si>
  <si>
    <t>#BB-25-7042</t>
  </si>
  <si>
    <t>Checkout-Method: shipping
 Shipping-Day: wednesday
 Shipping-Date: 2025/12/17</t>
  </si>
  <si>
    <t>Shirley</t>
  </si>
  <si>
    <t>Shirley Lam</t>
  </si>
  <si>
    <t>0641874465</t>
  </si>
  <si>
    <t>Wijnand Nuijenstraat 93</t>
  </si>
  <si>
    <t>1061 WB</t>
  </si>
  <si>
    <t>#BB-25-7045</t>
  </si>
  <si>
    <t>Shipping-Day: thursday
 Shipping-Date: 2025/12/11
 Checkout-Method: shipping</t>
  </si>
  <si>
    <t>vanessa</t>
  </si>
  <si>
    <t>janssens</t>
  </si>
  <si>
    <t>Vanessa Janssens</t>
  </si>
  <si>
    <t>0485622698</t>
  </si>
  <si>
    <t>Karel Boomstraat 13</t>
  </si>
  <si>
    <t>Hoogstraten</t>
  </si>
  <si>
    <t>Belgium</t>
  </si>
  <si>
    <t>BE</t>
  </si>
  <si>
    <t>#BB-25-7046</t>
  </si>
  <si>
    <t>KLUIT-175200-VERZENDEN_TRGPLNTN</t>
  </si>
  <si>
    <t>Bekkema</t>
  </si>
  <si>
    <t>Sanne Bekkema</t>
  </si>
  <si>
    <t>Energie Samen</t>
  </si>
  <si>
    <t>0621954715</t>
  </si>
  <si>
    <t>Australiëlaan 5-13</t>
  </si>
  <si>
    <t>3526 AB</t>
  </si>
  <si>
    <t>#BB-25-7051</t>
  </si>
  <si>
    <t>Yvonne Vervoort</t>
  </si>
  <si>
    <t>0681332100</t>
  </si>
  <si>
    <t>Heuvel 17</t>
  </si>
  <si>
    <t>5463 XC</t>
  </si>
  <si>
    <t>Veghel</t>
  </si>
  <si>
    <t>#BB-25-7025</t>
  </si>
  <si>
    <t>Geijteman</t>
  </si>
  <si>
    <t>Wietske Geijteman</t>
  </si>
  <si>
    <t>Particulier</t>
  </si>
  <si>
    <t>+31615673049</t>
  </si>
  <si>
    <t>Roodborstje</t>
  </si>
  <si>
    <t>1628 CT</t>
  </si>
  <si>
    <t>Hoorn</t>
  </si>
  <si>
    <r>
      <rPr>
        <rFont val="Helvetica Neue"/>
        <color rgb="FF1155CC"/>
        <u/>
      </rPr>
      <t>https://ws01.ffdx.net/v4/etrack_blank.aspx?stid=SKYNET&amp;viewtype=&amp;cn=006562533585</t>
    </r>
  </si>
  <si>
    <t>#BB-25-7056</t>
  </si>
  <si>
    <t>Van Antwerpen</t>
  </si>
  <si>
    <t>Michael Van Antwerpen</t>
  </si>
  <si>
    <t>0620468039</t>
  </si>
  <si>
    <t>Kapelstraat 16</t>
  </si>
  <si>
    <t>3572 CM</t>
  </si>
  <si>
    <t>Tweebomen</t>
  </si>
  <si>
    <r>
      <rPr>
        <rFont val="Helvetica Neue"/>
        <color rgb="FF1155CC"/>
        <u/>
      </rPr>
      <t>https://ws01.ffdx.net/v4/etrack_blank.aspx?stid=SKYNET&amp;viewtype=&amp;cn=006562543116</t>
    </r>
  </si>
  <si>
    <t>#BB-25-7060</t>
  </si>
  <si>
    <t>Sabrina</t>
  </si>
  <si>
    <t>de Haseth</t>
  </si>
  <si>
    <t>Sabrina de Haseth</t>
  </si>
  <si>
    <t>0633104239</t>
  </si>
  <si>
    <t>Mijnsherenlaan 64D</t>
  </si>
  <si>
    <t>3081 CD</t>
  </si>
  <si>
    <t>#BB-25-7061</t>
  </si>
  <si>
    <t>KLUIT-125150-VERZENDEN_TRGPLNTN</t>
  </si>
  <si>
    <t>Rosalyn</t>
  </si>
  <si>
    <t>van houwelingen</t>
  </si>
  <si>
    <t>Rosalyn van houwelingen</t>
  </si>
  <si>
    <t>0621585800</t>
  </si>
  <si>
    <t>Pluim-es 7</t>
  </si>
  <si>
    <t>2925 CL</t>
  </si>
  <si>
    <t>Krimpen aan den ijssel</t>
  </si>
  <si>
    <r>
      <rPr>
        <rFont val="Helvetica Neue"/>
        <color rgb="FF1155CC"/>
        <u/>
      </rPr>
      <t>https://ws01.ffdx.net/v4/etrack_blank.aspx?stid=SKYNET&amp;viewtype=&amp;cn=006562545975</t>
    </r>
  </si>
  <si>
    <t>#BB-25-7073</t>
  </si>
  <si>
    <t>Rochelle</t>
  </si>
  <si>
    <t>Niemeijer</t>
  </si>
  <si>
    <t>Rochelle Niemeijer</t>
  </si>
  <si>
    <t>+31612309456</t>
  </si>
  <si>
    <t>Burmanstraat 12-2</t>
  </si>
  <si>
    <t>1091 SJ</t>
  </si>
  <si>
    <r>
      <rPr>
        <rFont val="Helvetica Neue"/>
        <color rgb="FF1155CC"/>
        <u/>
      </rPr>
      <t>https://ws01.ffdx.net/v4/etrack_blank.aspx?stid=SKYNET&amp;viewtype=&amp;cn=006562533563</t>
    </r>
  </si>
  <si>
    <t>#BB-25-7052</t>
  </si>
  <si>
    <t>Rebekah</t>
  </si>
  <si>
    <t>Mays</t>
  </si>
  <si>
    <t>Rebekah Mays</t>
  </si>
  <si>
    <t>0611624432</t>
  </si>
  <si>
    <t>Usselincxstraat 11</t>
  </si>
  <si>
    <t>2593 VG</t>
  </si>
  <si>
    <t>BETERBOOMPJE5BKCXBFMG</t>
  </si>
  <si>
    <r>
      <rPr>
        <rFont val="Helvetica Neue"/>
        <color rgb="FF1155CC"/>
        <u/>
      </rPr>
      <t>https://ws01.ffdx.net/v4/etrack_blank.aspx?stid=SKYNET&amp;viewtype=&amp;cn=006562545625</t>
    </r>
  </si>
  <si>
    <t>#BB-25-7078</t>
  </si>
  <si>
    <t>Checkout-Method: shipping
 Shipping-Day: friday
 Shipping-Date: 2025/12/05</t>
  </si>
  <si>
    <t>Koert</t>
  </si>
  <si>
    <t>Willemijn Koert</t>
  </si>
  <si>
    <t>0618914319</t>
  </si>
  <si>
    <t>Woiskistraat 98</t>
  </si>
  <si>
    <t>1087 VT</t>
  </si>
  <si>
    <t>#BB-25-7083</t>
  </si>
  <si>
    <t>Shipping-Day: tuesday
 Shipping-Date: 2025/12/02
 Checkout-Method: shipping</t>
  </si>
  <si>
    <t>Andreea</t>
  </si>
  <si>
    <t>Mircescu</t>
  </si>
  <si>
    <t>Andreea Mircescu</t>
  </si>
  <si>
    <t>Fliteboard Europe B.V.</t>
  </si>
  <si>
    <t>+31681946267</t>
  </si>
  <si>
    <t>Tt. Vasumweg 114</t>
  </si>
  <si>
    <t>1033 SH</t>
  </si>
  <si>
    <t>#BB-25-7085</t>
  </si>
  <si>
    <t>Ellinoor</t>
  </si>
  <si>
    <t>Bergvelt</t>
  </si>
  <si>
    <t>Ellinoor Bergvelt</t>
  </si>
  <si>
    <t>0628470735</t>
  </si>
  <si>
    <t>Van Breestraat 123HS</t>
  </si>
  <si>
    <t>1071 ZK</t>
  </si>
  <si>
    <t>#BB-25-7086</t>
  </si>
  <si>
    <t>Sara de Jong</t>
  </si>
  <si>
    <t>Kinderopvang de Wonderberk</t>
  </si>
  <si>
    <t>0238200955</t>
  </si>
  <si>
    <t>Rijksstraatweg 26</t>
  </si>
  <si>
    <t>2022 DA</t>
  </si>
  <si>
    <t>Drie bomen met kluit</t>
  </si>
  <si>
    <t>#BB-25-7087</t>
  </si>
  <si>
    <t>#BB-25-7076</t>
  </si>
  <si>
    <t>Jacobsen</t>
  </si>
  <si>
    <t>Carla Jacobsen</t>
  </si>
  <si>
    <t>0630022779</t>
  </si>
  <si>
    <t>Robert Stolzplantsoen 167</t>
  </si>
  <si>
    <t>2555 SH</t>
  </si>
  <si>
    <t>#BB-25-7091</t>
  </si>
  <si>
    <t>Yasmina</t>
  </si>
  <si>
    <t>Werlich</t>
  </si>
  <si>
    <t>Yasmina Werlich</t>
  </si>
  <si>
    <t>0620688756</t>
  </si>
  <si>
    <t>Yoka Berrettyhof 5</t>
  </si>
  <si>
    <t>3025 GR</t>
  </si>
  <si>
    <t>#BB-25-7097</t>
  </si>
  <si>
    <t>marielle</t>
  </si>
  <si>
    <t>Scalé</t>
  </si>
  <si>
    <t>Mariëlle</t>
  </si>
  <si>
    <t>Scale</t>
  </si>
  <si>
    <t>Mariëlle Scale</t>
  </si>
  <si>
    <t>0615676473</t>
  </si>
  <si>
    <t>Jacob Van Ruisdaelweg 12</t>
  </si>
  <si>
    <t>1191 EG</t>
  </si>
  <si>
    <t>Ouderkerk aan de Amstel</t>
  </si>
  <si>
    <t>#BB-25-7108</t>
  </si>
  <si>
    <t>Janson-Korhorn</t>
  </si>
  <si>
    <t>Wouter Janson-Korhorn</t>
  </si>
  <si>
    <t>0640518520</t>
  </si>
  <si>
    <t>Rijvordtlaan 84</t>
  </si>
  <si>
    <t>1944 TM</t>
  </si>
  <si>
    <t>Beverwijk</t>
  </si>
  <si>
    <t>#BB-25-7111</t>
  </si>
  <si>
    <t>Jager</t>
  </si>
  <si>
    <t>Lina Jager</t>
  </si>
  <si>
    <t>0630904026</t>
  </si>
  <si>
    <t>Vijverpad 1</t>
  </si>
  <si>
    <t>7081 ES</t>
  </si>
  <si>
    <t>Gendringen</t>
  </si>
  <si>
    <t>#BB-25-7095</t>
  </si>
  <si>
    <t>Eva Jansen</t>
  </si>
  <si>
    <t>+31640260452</t>
  </si>
  <si>
    <t>Acaciaplein 91</t>
  </si>
  <si>
    <t>2803 WE</t>
  </si>
  <si>
    <t>Gouda</t>
  </si>
  <si>
    <t>#BB-25-6924</t>
  </si>
  <si>
    <t>Maduro</t>
  </si>
  <si>
    <t>Stephen Maduro</t>
  </si>
  <si>
    <t>0610247070</t>
  </si>
  <si>
    <t>Prinsengracht 301C</t>
  </si>
  <si>
    <t>1016 GX</t>
  </si>
  <si>
    <t>terugplant-ticket</t>
  </si>
  <si>
    <t>#BB-25-6938</t>
  </si>
  <si>
    <t>Janse</t>
  </si>
  <si>
    <t>Els Janse</t>
  </si>
  <si>
    <t>+31612530138</t>
  </si>
  <si>
    <t>Zutphenstraat 15</t>
  </si>
  <si>
    <t>5651 ER</t>
  </si>
  <si>
    <t>#BB-25-7132</t>
  </si>
  <si>
    <t>Shipping-Day: thursday
 Shipping-Date: 2025/12/04
 Checkout-Method: shipping</t>
  </si>
  <si>
    <t>Ira-lisa</t>
  </si>
  <si>
    <t>ter Beek</t>
  </si>
  <si>
    <t>Ira-lisa ter Beek</t>
  </si>
  <si>
    <t>+31643460933</t>
  </si>
  <si>
    <t>Rustenburgerstraat 145-3</t>
  </si>
  <si>
    <t>1073 EX</t>
  </si>
  <si>
    <t>#BB-25-7134</t>
  </si>
  <si>
    <t>Ruiter</t>
  </si>
  <si>
    <t>Angelique Ruiter</t>
  </si>
  <si>
    <t>0610719795</t>
  </si>
  <si>
    <t>Srefidensiplein 212</t>
  </si>
  <si>
    <t>1087 VE</t>
  </si>
  <si>
    <t>#BB-25-7136</t>
  </si>
  <si>
    <t>C. Smits</t>
  </si>
  <si>
    <t>0626604510</t>
  </si>
  <si>
    <t>Maldenhof 272</t>
  </si>
  <si>
    <t>1106 EZ</t>
  </si>
  <si>
    <t>#BB-25-7139</t>
  </si>
  <si>
    <t>Jacintha</t>
  </si>
  <si>
    <t>De graaf</t>
  </si>
  <si>
    <t>Jacintha De graaf</t>
  </si>
  <si>
    <t>0617310809</t>
  </si>
  <si>
    <t>Voorduinstraat 48</t>
  </si>
  <si>
    <t>2023 PE</t>
  </si>
  <si>
    <t>#BB-25-7148</t>
  </si>
  <si>
    <t>van Haaften</t>
  </si>
  <si>
    <t>Anna van Haaften</t>
  </si>
  <si>
    <t>0624714204</t>
  </si>
  <si>
    <t>Hogeweg 88</t>
  </si>
  <si>
    <t>1098 CH</t>
  </si>
  <si>
    <t>#BB-25-7155</t>
  </si>
  <si>
    <t>Shipping-Date: 2025/11/29
 Shipping-Day: saturday
 Checkout-Method: shipping</t>
  </si>
  <si>
    <t>Sanneke</t>
  </si>
  <si>
    <t>Pijning-Kurpershoek</t>
  </si>
  <si>
    <t>Sanneke Pijning-Kurpershoek</t>
  </si>
  <si>
    <t>0619649185</t>
  </si>
  <si>
    <t>Wilgenhage 7</t>
  </si>
  <si>
    <t>7002 CJ</t>
  </si>
  <si>
    <t>Doetinchem</t>
  </si>
  <si>
    <t>#BB-25-7118</t>
  </si>
  <si>
    <t>Shipping-Day: saturday
 Shipping-Date: 2025/11/28
 Checkout-Method: shipping</t>
  </si>
  <si>
    <t>Nataliya</t>
  </si>
  <si>
    <t>Fateeva</t>
  </si>
  <si>
    <t>Nataliya Fateeva</t>
  </si>
  <si>
    <t>0627532267</t>
  </si>
  <si>
    <t>Voorplecht 25</t>
  </si>
  <si>
    <t>1186 WP</t>
  </si>
  <si>
    <t>AMSTELVEEN</t>
  </si>
  <si>
    <t>#BB-25-7127</t>
  </si>
  <si>
    <t>Gravemaker</t>
  </si>
  <si>
    <t>Marieke Gravemaker</t>
  </si>
  <si>
    <t>+31645006756</t>
  </si>
  <si>
    <t>Kleverlaan</t>
  </si>
  <si>
    <t>2023 JL</t>
  </si>
  <si>
    <t>#BB-25-7160</t>
  </si>
  <si>
    <t>Tonnie</t>
  </si>
  <si>
    <t>Tonnie Van Dijk</t>
  </si>
  <si>
    <t>0610530736</t>
  </si>
  <si>
    <t>Den Ong</t>
  </si>
  <si>
    <t>5371 DJ</t>
  </si>
  <si>
    <t>Ravenstein</t>
  </si>
  <si>
    <t>#BB-25-7164</t>
  </si>
  <si>
    <t>O'Toole</t>
  </si>
  <si>
    <t>R. O'Toole</t>
  </si>
  <si>
    <t>0650549926</t>
  </si>
  <si>
    <t>Stoel en Spreehof 20</t>
  </si>
  <si>
    <t>1068 WE</t>
  </si>
  <si>
    <t>#BB-25-7166</t>
  </si>
  <si>
    <t>Hoogeboom</t>
  </si>
  <si>
    <t>HJ</t>
  </si>
  <si>
    <t>HJ Hoogeboom</t>
  </si>
  <si>
    <t>0652407795</t>
  </si>
  <si>
    <t>Jogchum Nieuwenhuisstraat 52</t>
  </si>
  <si>
    <t>9001 BX</t>
  </si>
  <si>
    <t>Grou</t>
  </si>
  <si>
    <t>#BB-25-7170</t>
  </si>
  <si>
    <t>Roelands</t>
  </si>
  <si>
    <t>José Roelands</t>
  </si>
  <si>
    <t>0653748765</t>
  </si>
  <si>
    <t>Wederiktuin 37</t>
  </si>
  <si>
    <t>4824 PC</t>
  </si>
  <si>
    <t>Breda</t>
  </si>
  <si>
    <t>#BB-25-7172</t>
  </si>
  <si>
    <t>Wies</t>
  </si>
  <si>
    <t>Selman</t>
  </si>
  <si>
    <t>Wies Selman</t>
  </si>
  <si>
    <t>0645888062</t>
  </si>
  <si>
    <t>Kanaalweg 5</t>
  </si>
  <si>
    <t>2628 EB</t>
  </si>
  <si>
    <t>Delft</t>
  </si>
  <si>
    <t>#BB-25-7163</t>
  </si>
  <si>
    <t>Mick ten Bosch</t>
  </si>
  <si>
    <t>AREA</t>
  </si>
  <si>
    <t>0628242006</t>
  </si>
  <si>
    <t>Sluisstraat 65 H</t>
  </si>
  <si>
    <t>1075 TD</t>
  </si>
  <si>
    <t>#BB-25-7185</t>
  </si>
  <si>
    <t>de Jonge</t>
  </si>
  <si>
    <t>Spape</t>
  </si>
  <si>
    <t>Eline Spape</t>
  </si>
  <si>
    <t>0615340408</t>
  </si>
  <si>
    <t>Gijsbrecht van Amstelstraat 32</t>
  </si>
  <si>
    <t>1213 CK</t>
  </si>
  <si>
    <t>Hilversum</t>
  </si>
  <si>
    <t>#BB-25-7196</t>
  </si>
  <si>
    <t>Marjolein Smits</t>
  </si>
  <si>
    <t>0612402203</t>
  </si>
  <si>
    <t>Bongerdpad 22</t>
  </si>
  <si>
    <t>7322 HV</t>
  </si>
  <si>
    <t>Apeldoorn</t>
  </si>
  <si>
    <t>#BB-25-7199</t>
  </si>
  <si>
    <t>van de Wijdeven</t>
  </si>
  <si>
    <t>Anne van de Wijdeven</t>
  </si>
  <si>
    <t>0641699543</t>
  </si>
  <si>
    <t>Acaciastraat 277</t>
  </si>
  <si>
    <t>2565 KA</t>
  </si>
  <si>
    <t>#BB-25-7206</t>
  </si>
  <si>
    <t>Lieselot</t>
  </si>
  <si>
    <t>Van Hoorn</t>
  </si>
  <si>
    <t>van Hoorn</t>
  </si>
  <si>
    <t>Lieselot van Hoorn</t>
  </si>
  <si>
    <t>0653835861</t>
  </si>
  <si>
    <t>Avenue Concordia 4</t>
  </si>
  <si>
    <t>3062 LH</t>
  </si>
  <si>
    <t>#BB-25-7211</t>
  </si>
  <si>
    <t>KLUIT-100125-VERZENDEN_TRGPLNTN</t>
  </si>
  <si>
    <t>Alexandra</t>
  </si>
  <si>
    <t>Alexandra van Selm</t>
  </si>
  <si>
    <t>31615307420</t>
  </si>
  <si>
    <t>François Maelsonstraat 60</t>
  </si>
  <si>
    <t>2582 KD</t>
  </si>
  <si>
    <t>#BB-25-7213</t>
  </si>
  <si>
    <t>Paulien</t>
  </si>
  <si>
    <t>van Hessen</t>
  </si>
  <si>
    <t>Paulien van Hessen</t>
  </si>
  <si>
    <t>0357721734</t>
  </si>
  <si>
    <t>Laan van Vogelenzang 20</t>
  </si>
  <si>
    <t>1217 PH</t>
  </si>
  <si>
    <t>#BB-25-7225</t>
  </si>
  <si>
    <t>Shipping-Day: friday
 Shipping-Date: 2025/12/19
 Checkout-Method: shipping</t>
  </si>
  <si>
    <t>Alix</t>
  </si>
  <si>
    <t>Royer</t>
  </si>
  <si>
    <t>Alix Royer</t>
  </si>
  <si>
    <t>0655704082</t>
  </si>
  <si>
    <t>Galerij 27</t>
  </si>
  <si>
    <t>1411 LH</t>
  </si>
  <si>
    <t>Naarden</t>
  </si>
  <si>
    <t>#BB-25-7156</t>
  </si>
  <si>
    <t>Sleeswijk visser</t>
  </si>
  <si>
    <t>Fenna Sleeswijk visser</t>
  </si>
  <si>
    <t>0628904120</t>
  </si>
  <si>
    <t>Okkernootstraat 97</t>
  </si>
  <si>
    <t>2555 ZC</t>
  </si>
  <si>
    <t>#BB-25-7230</t>
  </si>
  <si>
    <t>Annemieke Poelman</t>
  </si>
  <si>
    <t>0642359752</t>
  </si>
  <si>
    <t>V.O.C.-Plein 49</t>
  </si>
  <si>
    <t>3024 SV</t>
  </si>
  <si>
    <t>#BB-25-7231</t>
  </si>
  <si>
    <t>Moesker</t>
  </si>
  <si>
    <t>Moesker-van der Wal</t>
  </si>
  <si>
    <t>Marleen Moesker-van der Wal</t>
  </si>
  <si>
    <t>0618319300</t>
  </si>
  <si>
    <t>Brons 44</t>
  </si>
  <si>
    <t>6846 PK</t>
  </si>
  <si>
    <t>Arnhem</t>
  </si>
  <si>
    <t>#BB-25-7232</t>
  </si>
  <si>
    <t>Altena</t>
  </si>
  <si>
    <t>Chantal Altena</t>
  </si>
  <si>
    <t>0641495200</t>
  </si>
  <si>
    <t>Tapuitstraat 101A</t>
  </si>
  <si>
    <t>3083 WL</t>
  </si>
  <si>
    <t>#BB-25-7237</t>
  </si>
  <si>
    <t>Tielemans</t>
  </si>
  <si>
    <t>Sanne Tielemans</t>
  </si>
  <si>
    <t>0639565677</t>
  </si>
  <si>
    <t>Hartingstraat 174</t>
  </si>
  <si>
    <t>#BB-25-7119</t>
  </si>
  <si>
    <t>Boot</t>
  </si>
  <si>
    <t>Carlijn Boot</t>
  </si>
  <si>
    <t>0654764889</t>
  </si>
  <si>
    <t>Plantage Parklaan 13B</t>
  </si>
  <si>
    <t>1018 ST</t>
  </si>
  <si>
    <t>#BB-25-7228</t>
  </si>
  <si>
    <t>Shipping-Day: wednesday
 Shipping-Date: 2025/12/17
 Checkout-Method: shipping</t>
  </si>
  <si>
    <t>Depla</t>
  </si>
  <si>
    <t>Floor Depla</t>
  </si>
  <si>
    <t>0611274334</t>
  </si>
  <si>
    <t>Hubertastraat</t>
  </si>
  <si>
    <t>5616 PH</t>
  </si>
  <si>
    <t>#BB-25-7177</t>
  </si>
  <si>
    <t>Elma</t>
  </si>
  <si>
    <t>Kleijwegt</t>
  </si>
  <si>
    <t>Elma Kleijwegt</t>
  </si>
  <si>
    <t>0620056040</t>
  </si>
  <si>
    <t>Jan Steenstraat 16</t>
  </si>
  <si>
    <t>7412 TC</t>
  </si>
  <si>
    <t>Deventer</t>
  </si>
  <si>
    <t>#BB-25-7274</t>
  </si>
  <si>
    <t>Willempje</t>
  </si>
  <si>
    <t>Vrins</t>
  </si>
  <si>
    <t>Willempje Vrins</t>
  </si>
  <si>
    <t>31639149086</t>
  </si>
  <si>
    <t>Meidoornweg 7</t>
  </si>
  <si>
    <t>huis</t>
  </si>
  <si>
    <t>1031 GE</t>
  </si>
  <si>
    <r>
      <rPr>
        <rFont val="Helvetica Neue"/>
        <color rgb="FF1155CC"/>
        <u/>
      </rPr>
      <t>https://ws01.ffdx.net/v4/etrack_blank.aspx?stid=SKYNET&amp;viewtype=&amp;cn=006562543120</t>
    </r>
  </si>
  <si>
    <t>#BB-25-7275</t>
  </si>
  <si>
    <t>Nagtegaal</t>
  </si>
  <si>
    <t>Nagtegaal - Kats</t>
  </si>
  <si>
    <t>Stefan Nagtegaal - Kats</t>
  </si>
  <si>
    <t>0612359991</t>
  </si>
  <si>
    <t>Brugsteeg 2</t>
  </si>
  <si>
    <t>3582 AZ</t>
  </si>
  <si>
    <t>#BB-25-7282</t>
  </si>
  <si>
    <t>Rens</t>
  </si>
  <si>
    <t>rens</t>
  </si>
  <si>
    <t>gerritsen</t>
  </si>
  <si>
    <t>rens gerritsen</t>
  </si>
  <si>
    <t>0641764508</t>
  </si>
  <si>
    <t>Helmholtzstraat 69-1</t>
  </si>
  <si>
    <t>1098 LG</t>
  </si>
  <si>
    <t>#BB-25-7284</t>
  </si>
  <si>
    <t>Teunissen van Manen</t>
  </si>
  <si>
    <t>Paul Teunissen van Manen</t>
  </si>
  <si>
    <t>0645742156</t>
  </si>
  <si>
    <t>Grote Schoorsteenplein 32</t>
  </si>
  <si>
    <t>6717 ZR</t>
  </si>
  <si>
    <t>#BB-25-7286</t>
  </si>
  <si>
    <t>Bette Dijkema</t>
  </si>
  <si>
    <t>0683640306</t>
  </si>
  <si>
    <t>Ruurlostraat 32</t>
  </si>
  <si>
    <t>5651 ED</t>
  </si>
  <si>
    <t>#BB-25-7288</t>
  </si>
  <si>
    <t>Femke Prins</t>
  </si>
  <si>
    <t>Oogst Haarlem</t>
  </si>
  <si>
    <t>0641145470</t>
  </si>
  <si>
    <t>Beukenlaan</t>
  </si>
  <si>
    <t>2121 TL</t>
  </si>
  <si>
    <t>Bennebroek</t>
  </si>
  <si>
    <t>#BB-25-7289</t>
  </si>
  <si>
    <t>Katrin</t>
  </si>
  <si>
    <t>Schnor</t>
  </si>
  <si>
    <t>Katrin Schnor</t>
  </si>
  <si>
    <t>0615346339</t>
  </si>
  <si>
    <t>Bellefleurhof 42</t>
  </si>
  <si>
    <t>1036 LC</t>
  </si>
  <si>
    <t>#BB-25-7250</t>
  </si>
  <si>
    <t>Simpson</t>
  </si>
  <si>
    <t>Emily Simpson</t>
  </si>
  <si>
    <t>0612345678</t>
  </si>
  <si>
    <t>Vuurvlindersingel 387</t>
  </si>
  <si>
    <t>3544 DB</t>
  </si>
  <si>
    <t>#BB-25-7292</t>
  </si>
  <si>
    <t>Mortier</t>
  </si>
  <si>
    <t>Bitter</t>
  </si>
  <si>
    <t>Chantal Bitter</t>
  </si>
  <si>
    <t>0615919085</t>
  </si>
  <si>
    <t>Arthur van Schendelstraat 650</t>
  </si>
  <si>
    <t>3511 MJ</t>
  </si>
  <si>
    <t>#BB-25-7295</t>
  </si>
  <si>
    <t>Letitia</t>
  </si>
  <si>
    <t>Mukherjee</t>
  </si>
  <si>
    <t>Letitia Mukherjee</t>
  </si>
  <si>
    <t>0638607566</t>
  </si>
  <si>
    <t>Oude Karselaan 16</t>
  </si>
  <si>
    <t>1182 CR</t>
  </si>
  <si>
    <t>Amstelveen</t>
  </si>
  <si>
    <t>#BB-25-7297</t>
  </si>
  <si>
    <t>Kyra</t>
  </si>
  <si>
    <t>Bououargane</t>
  </si>
  <si>
    <t>Kyra Bououargane</t>
  </si>
  <si>
    <t>0648018188</t>
  </si>
  <si>
    <t>Linnaeushof 62-2</t>
  </si>
  <si>
    <t>1098 KP</t>
  </si>
  <si>
    <t>#BB-25-7302</t>
  </si>
  <si>
    <t>Verron</t>
  </si>
  <si>
    <t>Isabelle Verron</t>
  </si>
  <si>
    <t>0619850930</t>
  </si>
  <si>
    <t>38-3, Saxen Weimarlaan</t>
  </si>
  <si>
    <t>1075 CD</t>
  </si>
  <si>
    <t>#BB-25-7303</t>
  </si>
  <si>
    <t>Evelyne</t>
  </si>
  <si>
    <t>Jongenelen</t>
  </si>
  <si>
    <t>Evelyne Jongenelen</t>
  </si>
  <si>
    <t>0612686210</t>
  </si>
  <si>
    <t>Catharina van Clevelaan 31</t>
  </si>
  <si>
    <t>1181 BG</t>
  </si>
  <si>
    <t>#BB-25-7304</t>
  </si>
  <si>
    <t>Lukas Verweij</t>
  </si>
  <si>
    <t>0643726288</t>
  </si>
  <si>
    <t>Niemeyerstraat 209</t>
  </si>
  <si>
    <t>2132 HE</t>
  </si>
  <si>
    <t>Hoofddorp</t>
  </si>
  <si>
    <r>
      <rPr>
        <rFont val="Helvetica Neue"/>
        <color rgb="FF1155CC"/>
        <u/>
      </rPr>
      <t>https://ws01.ffdx.net/v4/etrack_blank.aspx?stid=SKYNET&amp;viewtype=&amp;cn=006562545636</t>
    </r>
  </si>
  <si>
    <t>#BB-25-7263</t>
  </si>
  <si>
    <t>Loraine</t>
  </si>
  <si>
    <t>Lambrechts</t>
  </si>
  <si>
    <t>Loraine Lambrechts</t>
  </si>
  <si>
    <t>0650671504</t>
  </si>
  <si>
    <t>Stieltjesstraat 73</t>
  </si>
  <si>
    <t>6511 AJ</t>
  </si>
  <si>
    <t>#BB-25-7315</t>
  </si>
  <si>
    <t>Kok</t>
  </si>
  <si>
    <t>M Kok</t>
  </si>
  <si>
    <t>0649942094</t>
  </si>
  <si>
    <t>Baak van Wijk aan Zee 6</t>
  </si>
  <si>
    <t>3826 HS</t>
  </si>
  <si>
    <t>Amersfoort</t>
  </si>
  <si>
    <t>#BB-25-7319</t>
  </si>
  <si>
    <t>Jessica Meijer</t>
  </si>
  <si>
    <t>0623567660</t>
  </si>
  <si>
    <t>Bajonetstraat 62</t>
  </si>
  <si>
    <t>3014 ZL</t>
  </si>
  <si>
    <r>
      <rPr>
        <rFont val="Helvetica Neue"/>
        <color rgb="FF1155CC"/>
        <u/>
      </rPr>
      <t>https://ws01.ffdx.net/v4/etrack_blank.aspx?stid=SKYNET&amp;viewtype=&amp;cn=006562533552</t>
    </r>
  </si>
  <si>
    <t>#BB-25-7320</t>
  </si>
  <si>
    <t>Van Putten</t>
  </si>
  <si>
    <t>Annemarie Van Putten</t>
  </si>
  <si>
    <t>0618133029</t>
  </si>
  <si>
    <t>Silodam 124</t>
  </si>
  <si>
    <t>1013 AS</t>
  </si>
  <si>
    <t>#BB-25-7327</t>
  </si>
  <si>
    <t>Reina</t>
  </si>
  <si>
    <t>Reina van Leeuwen</t>
  </si>
  <si>
    <t>0681348904</t>
  </si>
  <si>
    <t>Havenstraat 94C</t>
  </si>
  <si>
    <t>3024 TH</t>
  </si>
  <si>
    <t>#BB-25-7331</t>
  </si>
  <si>
    <t>Shipping-Day: thursday
 Shipping-Date: 2025/12/18
 Checkout-Method: shipping</t>
  </si>
  <si>
    <t>ODea</t>
  </si>
  <si>
    <t>Kathleen ODea</t>
  </si>
  <si>
    <t>0611442192</t>
  </si>
  <si>
    <t>Tweede Weteringdwarsstraat 49</t>
  </si>
  <si>
    <t>1017 ST</t>
  </si>
  <si>
    <t>#BB-25-7332</t>
  </si>
  <si>
    <t>Marlinda</t>
  </si>
  <si>
    <t>Bauer</t>
  </si>
  <si>
    <t>Marlinda Bauer</t>
  </si>
  <si>
    <t>0637416317</t>
  </si>
  <si>
    <t>Royaardsplein 98</t>
  </si>
  <si>
    <t>3123 AR</t>
  </si>
  <si>
    <t>SCHIEDAM</t>
  </si>
  <si>
    <t>#BB-25-7337</t>
  </si>
  <si>
    <t>Donker</t>
  </si>
  <si>
    <t>Mark Donker</t>
  </si>
  <si>
    <t>0622346744</t>
  </si>
  <si>
    <t>Damweg 12</t>
  </si>
  <si>
    <t>2989 AD</t>
  </si>
  <si>
    <t>Ridderkerk</t>
  </si>
  <si>
    <t>#BB-25-7290</t>
  </si>
  <si>
    <t>Besuyen</t>
  </si>
  <si>
    <t>Ineke Besuyen</t>
  </si>
  <si>
    <t>0631697097</t>
  </si>
  <si>
    <t>President Kennedylaan 69</t>
  </si>
  <si>
    <t>4334 EH</t>
  </si>
  <si>
    <t>Middelburg</t>
  </si>
  <si>
    <t>#BB-25-7342</t>
  </si>
  <si>
    <t>Van Kranendonk</t>
  </si>
  <si>
    <t>van Kranendonk</t>
  </si>
  <si>
    <t>Nina van Kranendonk</t>
  </si>
  <si>
    <t>0642089729</t>
  </si>
  <si>
    <t>Weiver 20a</t>
  </si>
  <si>
    <t>1546 LB</t>
  </si>
  <si>
    <t>Jisp</t>
  </si>
  <si>
    <t>#BB-25-7343</t>
  </si>
  <si>
    <t>Rooimans</t>
  </si>
  <si>
    <t>Kim Rooimans</t>
  </si>
  <si>
    <t>0628432150</t>
  </si>
  <si>
    <t>Bentincklaan 43A</t>
  </si>
  <si>
    <t>3039 KH</t>
  </si>
  <si>
    <r>
      <rPr>
        <rFont val="Helvetica Neue"/>
        <color rgb="FF1155CC"/>
        <u/>
      </rPr>
      <t>https://ws01.ffdx.net/v4/etrack_blank.aspx?stid=SKYNET&amp;viewtype=&amp;cn=006562545614</t>
    </r>
  </si>
  <si>
    <t>#BB-25-7344</t>
  </si>
  <si>
    <t>van Berkom</t>
  </si>
  <si>
    <t>Nathalie van Berkom</t>
  </si>
  <si>
    <t>0651252465</t>
  </si>
  <si>
    <t>Vliegwielstraat 30</t>
  </si>
  <si>
    <t>2516 XE</t>
  </si>
  <si>
    <r>
      <rPr>
        <rFont val="Helvetica Neue"/>
        <color rgb="FF1155CC"/>
        <u/>
      </rPr>
      <t>https://ws01.ffdx.net/v4/etrack_blank.aspx?stid=SKYNET&amp;viewtype=&amp;cn=006562533541</t>
    </r>
  </si>
  <si>
    <t>#BB-25-7345</t>
  </si>
  <si>
    <t>De Bruijn</t>
  </si>
  <si>
    <t>Judith De Bruijn</t>
  </si>
  <si>
    <t>0613397742</t>
  </si>
  <si>
    <t>Schapenweide 9</t>
  </si>
  <si>
    <t>2353 MN</t>
  </si>
  <si>
    <t>Leiderdorp</t>
  </si>
  <si>
    <t>#BB-25-7348</t>
  </si>
  <si>
    <t>Shipping-Day: saturday
 Shipping-Date: 2025/12/13
 Checkout-Method: shipping</t>
  </si>
  <si>
    <t>Miller</t>
  </si>
  <si>
    <t>Tanja Miller</t>
  </si>
  <si>
    <t>0620782852</t>
  </si>
  <si>
    <t>Van Noremborghstraat 58</t>
  </si>
  <si>
    <t>5212 ND</t>
  </si>
  <si>
    <t>s-Hertogenbosch</t>
  </si>
  <si>
    <t>#BB-25-7341</t>
  </si>
  <si>
    <t>Antoinette Visser</t>
  </si>
  <si>
    <t>0619685588</t>
  </si>
  <si>
    <t>Zaanweg 121G</t>
  </si>
  <si>
    <t>1521 DS</t>
  </si>
  <si>
    <t>Wormerveer</t>
  </si>
  <si>
    <t>#BB-25-7353</t>
  </si>
  <si>
    <t>W.D.</t>
  </si>
  <si>
    <t>Westhoek</t>
  </si>
  <si>
    <t>Daniël Westhoek</t>
  </si>
  <si>
    <t>0625322283</t>
  </si>
  <si>
    <t>Westland 15</t>
  </si>
  <si>
    <t>2716 AC</t>
  </si>
  <si>
    <t>Zoetermeer</t>
  </si>
  <si>
    <t>#BB-25-7266</t>
  </si>
  <si>
    <t>Checkout-Method: shipping
 Shipping-Date: 2025/11/28
 Shipping-Day: friday</t>
  </si>
  <si>
    <t>LEES MIJ!!! We doen het hek van de oprit niet op slot, zodat ze daar neergezet kunnen worden zonder dat wij thuis moeten zijn.</t>
  </si>
  <si>
    <t>Reijngoud</t>
  </si>
  <si>
    <t>Lars Reijngoud</t>
  </si>
  <si>
    <t>0643200256</t>
  </si>
  <si>
    <t>Everdineweerd 17</t>
  </si>
  <si>
    <t>5433 KH</t>
  </si>
  <si>
    <t>Katwijk NB</t>
  </si>
  <si>
    <t>#BB-25-7307</t>
  </si>
  <si>
    <t>Frederique van Zomeren</t>
  </si>
  <si>
    <t>0624547050</t>
  </si>
  <si>
    <t>Reggelaan 22</t>
  </si>
  <si>
    <t>2105 VH</t>
  </si>
  <si>
    <t>Heemstede</t>
  </si>
  <si>
    <t>#BB-25-7363</t>
  </si>
  <si>
    <t>Aniek Meijer</t>
  </si>
  <si>
    <t>0651231914</t>
  </si>
  <si>
    <t>Krugerplein 16B</t>
  </si>
  <si>
    <t>1091 KX</t>
  </si>
  <si>
    <t>#BB-25-7388</t>
  </si>
  <si>
    <t>Nikkie</t>
  </si>
  <si>
    <t>Hegnauer</t>
  </si>
  <si>
    <t>Nikkie Hegnauer</t>
  </si>
  <si>
    <t>0613541901</t>
  </si>
  <si>
    <t>De Savornin Lohmanlaan 27</t>
  </si>
  <si>
    <t>3038 NB</t>
  </si>
  <si>
    <t>#BB-25-7400</t>
  </si>
  <si>
    <t>Duijnhoven</t>
  </si>
  <si>
    <t>Marieke Duijnhoven</t>
  </si>
  <si>
    <t>0626176495</t>
  </si>
  <si>
    <t>Melkweg</t>
  </si>
  <si>
    <t>3721 RG</t>
  </si>
  <si>
    <t>#BB-25-7405</t>
  </si>
  <si>
    <t>Jasmijn</t>
  </si>
  <si>
    <t>Jasmijn Kleij</t>
  </si>
  <si>
    <t>0683705403</t>
  </si>
  <si>
    <t>Loondermolen 65</t>
  </si>
  <si>
    <t>5612 MJ</t>
  </si>
  <si>
    <r>
      <rPr>
        <rFont val="Helvetica Neue"/>
        <color rgb="FF1155CC"/>
        <u/>
      </rPr>
      <t>https://ws01.ffdx.net/v4/etrack_blank.aspx?stid=SKYNET&amp;viewtype=&amp;cn=006562543050</t>
    </r>
  </si>
  <si>
    <t>#BB-25-7385</t>
  </si>
  <si>
    <t>Verbrugge</t>
  </si>
  <si>
    <t>Lisa Verbrugge</t>
  </si>
  <si>
    <t>0616930529</t>
  </si>
  <si>
    <t>Sint Walburgbuitensingel 50</t>
  </si>
  <si>
    <t>4001 MP</t>
  </si>
  <si>
    <t>Tiel</t>
  </si>
  <si>
    <t>#BB-25-7418</t>
  </si>
  <si>
    <t>A.C.</t>
  </si>
  <si>
    <t>Beffers</t>
  </si>
  <si>
    <t>Annemarie Chantal</t>
  </si>
  <si>
    <t>0643562147</t>
  </si>
  <si>
    <t>De Cloese 56</t>
  </si>
  <si>
    <t>7339 CP</t>
  </si>
  <si>
    <t>Ugchelen</t>
  </si>
  <si>
    <t>#BB-25-7423</t>
  </si>
  <si>
    <t>Cruts</t>
  </si>
  <si>
    <t>Maarten Cruts</t>
  </si>
  <si>
    <t>WOW Chocolao</t>
  </si>
  <si>
    <t>0612340475</t>
  </si>
  <si>
    <t>Europalaan 33</t>
  </si>
  <si>
    <t>6199 AB</t>
  </si>
  <si>
    <t>Maastricht Airport</t>
  </si>
  <si>
    <t>#BB-25-7429</t>
  </si>
  <si>
    <t>Dorinde</t>
  </si>
  <si>
    <t>Bookholt</t>
  </si>
  <si>
    <t>Dorinde Bookholt</t>
  </si>
  <si>
    <t>0613542348</t>
  </si>
  <si>
    <t>Gabriël Metzustraat 45</t>
  </si>
  <si>
    <t>2316 AJ</t>
  </si>
  <si>
    <t>#BB-25-7435</t>
  </si>
  <si>
    <t>Roelie</t>
  </si>
  <si>
    <t>Van Klink</t>
  </si>
  <si>
    <t>Roelie Van Klink</t>
  </si>
  <si>
    <t>0633904354</t>
  </si>
  <si>
    <t>Rijnkade 7B</t>
  </si>
  <si>
    <t>2315 LT</t>
  </si>
  <si>
    <t>#BB-25-7437</t>
  </si>
  <si>
    <t>M E</t>
  </si>
  <si>
    <t>Prinsen</t>
  </si>
  <si>
    <t>PRINSEN</t>
  </si>
  <si>
    <t>M E PRINSEN</t>
  </si>
  <si>
    <t>0182582021</t>
  </si>
  <si>
    <t>Rentmeesterslag 24</t>
  </si>
  <si>
    <t>2805 ES</t>
  </si>
  <si>
    <t>#BB-25-7438</t>
  </si>
  <si>
    <t>Marck</t>
  </si>
  <si>
    <t>Feller</t>
  </si>
  <si>
    <t>Marck Feller</t>
  </si>
  <si>
    <t>Feller Media BV</t>
  </si>
  <si>
    <t>0653125486</t>
  </si>
  <si>
    <t>tt Vasumweg 58D</t>
  </si>
  <si>
    <t>#BB-25-7444</t>
  </si>
  <si>
    <t>Christiane</t>
  </si>
  <si>
    <t>Kuby</t>
  </si>
  <si>
    <t>Christiane Kuby</t>
  </si>
  <si>
    <t>0640207177</t>
  </si>
  <si>
    <t>Groenendaalstraat</t>
  </si>
  <si>
    <t>26 twee</t>
  </si>
  <si>
    <t>1058 LH</t>
  </si>
  <si>
    <t>#BB-25-7384</t>
  </si>
  <si>
    <t>Dotinga</t>
  </si>
  <si>
    <t>Ismay Dotinga</t>
  </si>
  <si>
    <t>+31630055846</t>
  </si>
  <si>
    <t>Bercylaan 13</t>
  </si>
  <si>
    <t>1031 KP</t>
  </si>
  <si>
    <r>
      <rPr>
        <rFont val="Helvetica Neue"/>
        <color rgb="FF1155CC"/>
        <u/>
      </rPr>
      <t>https://ws01.ffdx.net/v4/etrack_blank.aspx?stid=SKYNET&amp;viewtype=&amp;cn=006562545603</t>
    </r>
  </si>
  <si>
    <t>#BB-25-7470</t>
  </si>
  <si>
    <t>Meijers</t>
  </si>
  <si>
    <t>Eva Meijers</t>
  </si>
  <si>
    <t>0615187835</t>
  </si>
  <si>
    <t>Lijsterbes 17</t>
  </si>
  <si>
    <t>2318 AH</t>
  </si>
  <si>
    <t>#BB-25-7480</t>
  </si>
  <si>
    <t>Blaha</t>
  </si>
  <si>
    <t>Annemieke Blaha</t>
  </si>
  <si>
    <t>0641521025</t>
  </si>
  <si>
    <t>2e Sweelinckstraat 87</t>
  </si>
  <si>
    <t>2517 GV</t>
  </si>
  <si>
    <t>#BB-25-7481</t>
  </si>
  <si>
    <t>Lenna</t>
  </si>
  <si>
    <t>Aden</t>
  </si>
  <si>
    <t>Lenna Aden</t>
  </si>
  <si>
    <t>0643434082</t>
  </si>
  <si>
    <t>Alexanderstraat 208</t>
  </si>
  <si>
    <t>6812 BL</t>
  </si>
  <si>
    <t>#BB-25-7483</t>
  </si>
  <si>
    <t>Checkout-Method: shipping
 Shipping-Date: 2025/12/05
 Shipping-Day: friday</t>
  </si>
  <si>
    <t>Kruijssen</t>
  </si>
  <si>
    <t>Arthur Kruijssen</t>
  </si>
  <si>
    <t>0651701552</t>
  </si>
  <si>
    <t>Fuhrhopstraat 24</t>
  </si>
  <si>
    <t>2024 VB</t>
  </si>
  <si>
    <t>#BB-25-7487</t>
  </si>
  <si>
    <t>van Lankveld</t>
  </si>
  <si>
    <t>Thomas van Lankveld</t>
  </si>
  <si>
    <t>0636388255</t>
  </si>
  <si>
    <t>Neel Gijsenpad 5</t>
  </si>
  <si>
    <t>3043 MB</t>
  </si>
  <si>
    <t>#BB-25-7488</t>
  </si>
  <si>
    <t>Louwrier</t>
  </si>
  <si>
    <t>Nina Louwrier</t>
  </si>
  <si>
    <t>0615284611</t>
  </si>
  <si>
    <t>Friezenstraat 2</t>
  </si>
  <si>
    <t>2033 EA</t>
  </si>
  <si>
    <t>#BB-25-7370</t>
  </si>
  <si>
    <t>Kasia</t>
  </si>
  <si>
    <t>Kubica</t>
  </si>
  <si>
    <t>Kasia Kubica</t>
  </si>
  <si>
    <t>BECIS I DIOR</t>
  </si>
  <si>
    <t>0630488274</t>
  </si>
  <si>
    <t>Bezuidenhoutseweg 27</t>
  </si>
  <si>
    <t>2594 AC</t>
  </si>
  <si>
    <t>#BB-25-7421</t>
  </si>
  <si>
    <t>Schultink</t>
  </si>
  <si>
    <t>Marieke Schultink</t>
  </si>
  <si>
    <t>0611969167</t>
  </si>
  <si>
    <t>Plutostraat 40</t>
  </si>
  <si>
    <t>6543 WR</t>
  </si>
  <si>
    <t>#BB-25-7446</t>
  </si>
  <si>
    <t>Checkout-Method: shipping
 Shipping-Day: friday
 Shipping-Date: 2025/12/12</t>
  </si>
  <si>
    <t>Mar</t>
  </si>
  <si>
    <t>Warm</t>
  </si>
  <si>
    <t>Warmenhoven</t>
  </si>
  <si>
    <t>Maartje Warmenhoven</t>
  </si>
  <si>
    <t>0645204208</t>
  </si>
  <si>
    <t>Laagte Kadijk 36C</t>
  </si>
  <si>
    <t>1018 BB</t>
  </si>
  <si>
    <t>#BB-25-7506</t>
  </si>
  <si>
    <t>Kirstin</t>
  </si>
  <si>
    <t>van Berkel</t>
  </si>
  <si>
    <t>Kirstin van Berkel</t>
  </si>
  <si>
    <t>0631346462</t>
  </si>
  <si>
    <t>Kanaalstraat 5-3</t>
  </si>
  <si>
    <t>1054 WX</t>
  </si>
  <si>
    <t>#BB-25-7508</t>
  </si>
  <si>
    <t>Lauren</t>
  </si>
  <si>
    <t>Philtjens</t>
  </si>
  <si>
    <t>Lauren Philtjens</t>
  </si>
  <si>
    <t>0496373086</t>
  </si>
  <si>
    <t>Johan Westerlundplein 30/104</t>
  </si>
  <si>
    <t>Antwerpen</t>
  </si>
  <si>
    <t>#BB-25-7509</t>
  </si>
  <si>
    <t>Roy</t>
  </si>
  <si>
    <t>Roy Lammers</t>
  </si>
  <si>
    <t>Bar Bocht</t>
  </si>
  <si>
    <t>0629585385</t>
  </si>
  <si>
    <t>Goudsesingel 230B</t>
  </si>
  <si>
    <t>3011 KE</t>
  </si>
  <si>
    <r>
      <rPr>
        <rFont val="Helvetica Neue"/>
        <color rgb="FF1155CC"/>
        <u/>
      </rPr>
      <t>https://ws01.ffdx.net/v4/etrack_blank.aspx?stid=SKYNET&amp;viewtype=&amp;cn=006562543061</t>
    </r>
  </si>
  <si>
    <t>#BB-25-7494</t>
  </si>
  <si>
    <t>Pancras</t>
  </si>
  <si>
    <t>Iris Pancras</t>
  </si>
  <si>
    <t>0628685129</t>
  </si>
  <si>
    <t>Van der steenstraat</t>
  </si>
  <si>
    <t>3552 XV</t>
  </si>
  <si>
    <t>#BB-25-7514</t>
  </si>
  <si>
    <t>Felice</t>
  </si>
  <si>
    <t>Andreae</t>
  </si>
  <si>
    <t>Felice Andreae</t>
  </si>
  <si>
    <t>0625255198</t>
  </si>
  <si>
    <t>Rooseveltlaan 32-2</t>
  </si>
  <si>
    <t>1078 NJ</t>
  </si>
  <si>
    <t>#BB-25-7515</t>
  </si>
  <si>
    <t>GONNY</t>
  </si>
  <si>
    <t>SLIEKERS</t>
  </si>
  <si>
    <t>GONNY SLIEKERS</t>
  </si>
  <si>
    <t>0644424315</t>
  </si>
  <si>
    <t>VAN LAWICK VAN PABST</t>
  </si>
  <si>
    <t>3453 RB</t>
  </si>
  <si>
    <t>De Meern</t>
  </si>
  <si>
    <t>#BB-25-7517</t>
  </si>
  <si>
    <t>Chiara Bijl</t>
  </si>
  <si>
    <t>Bijl Consult</t>
  </si>
  <si>
    <t>0624776639</t>
  </si>
  <si>
    <t>Ringdijk 24-2</t>
  </si>
  <si>
    <t>1097 AC</t>
  </si>
  <si>
    <t>#BB-25-7524</t>
  </si>
  <si>
    <t>Van Dam</t>
  </si>
  <si>
    <t>Maria Van Dam</t>
  </si>
  <si>
    <t>0626050998</t>
  </si>
  <si>
    <t>Grootzeil 10</t>
  </si>
  <si>
    <t>2924 BW</t>
  </si>
  <si>
    <t>Krimpen aan den IJssel</t>
  </si>
  <si>
    <t>#BB-25-7527</t>
  </si>
  <si>
    <t>Aafke</t>
  </si>
  <si>
    <t>van Welbergen-Knijn</t>
  </si>
  <si>
    <t>Aafke van Welbergen-Knijn</t>
  </si>
  <si>
    <t>Digitaal Toegankelijk</t>
  </si>
  <si>
    <t>0629342411</t>
  </si>
  <si>
    <t>Plompetorengracht 4</t>
  </si>
  <si>
    <t>3512 CC</t>
  </si>
  <si>
    <t>#BB-25-7530</t>
  </si>
  <si>
    <t>Anneleentje</t>
  </si>
  <si>
    <t>Warmerdam</t>
  </si>
  <si>
    <t>Anneleentje Warmerdam</t>
  </si>
  <si>
    <t>0644174305</t>
  </si>
  <si>
    <t>Lange Nobelstraat 36</t>
  </si>
  <si>
    <t>4301 HG</t>
  </si>
  <si>
    <r>
      <rPr>
        <rFont val="Helvetica Neue"/>
        <color rgb="FF1155CC"/>
        <u/>
      </rPr>
      <t>https://ws01.ffdx.net/v4/etrack_blank.aspx?stid=SKYNET&amp;viewtype=&amp;cn=006562545581</t>
    </r>
  </si>
  <si>
    <t>#BB-25-7532</t>
  </si>
  <si>
    <t>Herenda</t>
  </si>
  <si>
    <t>Angela Herenda</t>
  </si>
  <si>
    <t>0630866647</t>
  </si>
  <si>
    <t>Parkweg 25</t>
  </si>
  <si>
    <t>9725 EA</t>
  </si>
  <si>
    <t>Groningen</t>
  </si>
  <si>
    <t>Refund Line</t>
  </si>
  <si>
    <t>#BB-25-7493</t>
  </si>
  <si>
    <t>Schenk</t>
  </si>
  <si>
    <t>Marieke Schenk</t>
  </si>
  <si>
    <t>0652480971</t>
  </si>
  <si>
    <t>Haagweg 109A</t>
  </si>
  <si>
    <t>2681 PC</t>
  </si>
  <si>
    <t>Monster</t>
  </si>
  <si>
    <r>
      <rPr>
        <rFont val="Helvetica Neue"/>
        <color rgb="FF1155CC"/>
        <u/>
      </rPr>
      <t>https://ws01.ffdx.net/v4/etrack_blank.aspx?stid=SKYNET&amp;viewtype=&amp;cn=006562533530</t>
    </r>
  </si>
  <si>
    <t>#BB-25-7545</t>
  </si>
  <si>
    <t>Dorresteijn</t>
  </si>
  <si>
    <t>Michelle Dorresteijn</t>
  </si>
  <si>
    <t>0647394033</t>
  </si>
  <si>
    <t>Agnietenstraat 84</t>
  </si>
  <si>
    <t>6822 JW</t>
  </si>
  <si>
    <t>#BB-25-7546</t>
  </si>
  <si>
    <t>Devika</t>
  </si>
  <si>
    <t>Partiman</t>
  </si>
  <si>
    <t>Devika Partiman</t>
  </si>
  <si>
    <t>0630170548</t>
  </si>
  <si>
    <t>Groeneveen 165</t>
  </si>
  <si>
    <t>1103 EL</t>
  </si>
  <si>
    <t>#BB-25-7555</t>
  </si>
  <si>
    <t>Jorick</t>
  </si>
  <si>
    <t>Houwer</t>
  </si>
  <si>
    <t>Jorick Houwer</t>
  </si>
  <si>
    <t>0640392032</t>
  </si>
  <si>
    <t>De Ruyterstraat 22</t>
  </si>
  <si>
    <t>6551 CJ</t>
  </si>
  <si>
    <t>Weurt</t>
  </si>
  <si>
    <t>#BB-25-7560</t>
  </si>
  <si>
    <t>Bergshoeff</t>
  </si>
  <si>
    <t>Ruby Bergshoeff</t>
  </si>
  <si>
    <t>0636555203</t>
  </si>
  <si>
    <t>Vechtplantsoen</t>
  </si>
  <si>
    <t>3554 TD</t>
  </si>
  <si>
    <t>#BB-25-7566</t>
  </si>
  <si>
    <t>Kelly</t>
  </si>
  <si>
    <t>Kelly van Doorn</t>
  </si>
  <si>
    <t>0622348707</t>
  </si>
  <si>
    <t>Beethovenstraat 34-4</t>
  </si>
  <si>
    <t>1077 JH</t>
  </si>
  <si>
    <r>
      <rPr>
        <rFont val="Helvetica Neue"/>
        <color rgb="FF1155CC"/>
        <u/>
      </rPr>
      <t>https://ws01.ffdx.net/v4/etrack_blank.aspx?stid=SKYNET&amp;viewtype=&amp;cn=006562532594</t>
    </r>
  </si>
  <si>
    <t>#BB-25-7535</t>
  </si>
  <si>
    <t>Dave</t>
  </si>
  <si>
    <t>Smulders</t>
  </si>
  <si>
    <t>Dave Smulders</t>
  </si>
  <si>
    <t>0624657052</t>
  </si>
  <si>
    <t>Jan Tinbergenlaan 36</t>
  </si>
  <si>
    <t>5056 WG</t>
  </si>
  <si>
    <t>Berkel-Enschot</t>
  </si>
  <si>
    <t>#BB-25-7570</t>
  </si>
  <si>
    <t>Spruijtenburg</t>
  </si>
  <si>
    <t>Petra Spruijtenburg</t>
  </si>
  <si>
    <t>0630131120</t>
  </si>
  <si>
    <t>Prins Clausstraat 20</t>
  </si>
  <si>
    <t>2974 BL</t>
  </si>
  <si>
    <t>Brandwijk</t>
  </si>
  <si>
    <t>#BB-25-7575</t>
  </si>
  <si>
    <t>van Vugt</t>
  </si>
  <si>
    <t>Nienoe</t>
  </si>
  <si>
    <t>Van Vugt</t>
  </si>
  <si>
    <t>Nienoe Van Vugt</t>
  </si>
  <si>
    <t>0614951956</t>
  </si>
  <si>
    <t>Pinksterblomstraat 33</t>
  </si>
  <si>
    <t>1636 XK</t>
  </si>
  <si>
    <t>Schermerhorn</t>
  </si>
  <si>
    <t>#BB-25-7585</t>
  </si>
  <si>
    <t>sky werkt niet vrij
 Indien ze niet thuis is graag de boom bij de voordeur zetten</t>
  </si>
  <si>
    <t>Charlayne</t>
  </si>
  <si>
    <t>Racamy</t>
  </si>
  <si>
    <t>Charlayne Racamy</t>
  </si>
  <si>
    <t>0653160589</t>
  </si>
  <si>
    <t>Doelstraat 9D</t>
  </si>
  <si>
    <t>5101 PA</t>
  </si>
  <si>
    <t>Dongen</t>
  </si>
  <si>
    <t>#BB-25-7586</t>
  </si>
  <si>
    <t>Zwamborn</t>
  </si>
  <si>
    <t>Anneke Zwamborn</t>
  </si>
  <si>
    <t>0615853415</t>
  </si>
  <si>
    <t>Weide 16</t>
  </si>
  <si>
    <t>4143 EA</t>
  </si>
  <si>
    <t>Leerdam</t>
  </si>
  <si>
    <t>#BB-25-7593</t>
  </si>
  <si>
    <t>Alexia</t>
  </si>
  <si>
    <t>Gultlingen</t>
  </si>
  <si>
    <t>Alexia Gultlingen</t>
  </si>
  <si>
    <t>+31625477470</t>
  </si>
  <si>
    <t>Rusland 6C</t>
  </si>
  <si>
    <t>1012 CL</t>
  </si>
  <si>
    <t>#BB-25-7568</t>
  </si>
  <si>
    <t>Merel de Groot</t>
  </si>
  <si>
    <t>0620316686</t>
  </si>
  <si>
    <t>Ridderspoor 98</t>
  </si>
  <si>
    <t>6542 HE</t>
  </si>
  <si>
    <t>#BB-25-7602</t>
  </si>
  <si>
    <t>Huurnink</t>
  </si>
  <si>
    <t>Pauline Huurnink</t>
  </si>
  <si>
    <t>0652503105</t>
  </si>
  <si>
    <t>Van Heemstralaan 43</t>
  </si>
  <si>
    <t>6814 KC</t>
  </si>
  <si>
    <t>#BB-25-7604</t>
  </si>
  <si>
    <t>Schoo</t>
  </si>
  <si>
    <t>Denise Schoo</t>
  </si>
  <si>
    <t>0623484875</t>
  </si>
  <si>
    <t>Stationsstraat 7</t>
  </si>
  <si>
    <t>2741 HN</t>
  </si>
  <si>
    <t>Waddinxveen</t>
  </si>
  <si>
    <t>#BB-25-7609</t>
  </si>
  <si>
    <t>Houwen</t>
  </si>
  <si>
    <t>Julian Houwen</t>
  </si>
  <si>
    <t>0643991522</t>
  </si>
  <si>
    <t>Bloemstraat 31</t>
  </si>
  <si>
    <t>2315 HS</t>
  </si>
  <si>
    <t>#BB-25-7611</t>
  </si>
  <si>
    <t>Amijs</t>
  </si>
  <si>
    <t>Breunesse</t>
  </si>
  <si>
    <t>Amijs Breunesse</t>
  </si>
  <si>
    <t>0623995634</t>
  </si>
  <si>
    <t>Eerste Tuindwarsstraat 19</t>
  </si>
  <si>
    <t>1015 RT</t>
  </si>
  <si>
    <t>#BB-25-7612</t>
  </si>
  <si>
    <t>Lydia</t>
  </si>
  <si>
    <t>Hubbelmeijer</t>
  </si>
  <si>
    <t>Lydia Hubbelmeijer</t>
  </si>
  <si>
    <t>0624451824</t>
  </si>
  <si>
    <t>2e Kekerstraat 47</t>
  </si>
  <si>
    <t>1104 VB</t>
  </si>
  <si>
    <t>#BB-25-7597</t>
  </si>
  <si>
    <t>Boerhave</t>
  </si>
  <si>
    <t>Frank Boerhave</t>
  </si>
  <si>
    <t>0648187448</t>
  </si>
  <si>
    <t>Admiralengracht</t>
  </si>
  <si>
    <t>61-3</t>
  </si>
  <si>
    <t>1057 EN</t>
  </si>
  <si>
    <t>#BB-25-7512</t>
  </si>
  <si>
    <t>Termeer</t>
  </si>
  <si>
    <t>Janna Termeer</t>
  </si>
  <si>
    <t>0638078093</t>
  </si>
  <si>
    <t>Barkasstraat 9</t>
  </si>
  <si>
    <t>3534 PH</t>
  </si>
  <si>
    <t>UTRECHT</t>
  </si>
  <si>
    <t>#BB-25-7491</t>
  </si>
  <si>
    <t>De Nijs</t>
  </si>
  <si>
    <t>britley</t>
  </si>
  <si>
    <t>smits</t>
  </si>
  <si>
    <t>britley smits</t>
  </si>
  <si>
    <t>purelou</t>
  </si>
  <si>
    <t>0636091516</t>
  </si>
  <si>
    <t>Wilhelminastraat 18</t>
  </si>
  <si>
    <t>4818 SG</t>
  </si>
  <si>
    <r>
      <rPr>
        <rFont val="Helvetica Neue"/>
        <color rgb="FF1155CC"/>
        <u/>
      </rPr>
      <t>https://ws01.ffdx.net/v4/etrack_blank.aspx?stid=SKYNET&amp;viewtype=&amp;cn=006562545592</t>
    </r>
  </si>
  <si>
    <t>#BB-25-7632</t>
  </si>
  <si>
    <t>Hegarty</t>
  </si>
  <si>
    <t>Emma Hegarty</t>
  </si>
  <si>
    <t>0638558381</t>
  </si>
  <si>
    <t>Sagitta 45</t>
  </si>
  <si>
    <t>5505 RV</t>
  </si>
  <si>
    <t>#BB-25-7635</t>
  </si>
  <si>
    <t>Checkout-Method: shipping
 Shipping-Day: thursday
 Shipping-Date: 2025/11/27</t>
  </si>
  <si>
    <t>Veronika</t>
  </si>
  <si>
    <t>Gribacova</t>
  </si>
  <si>
    <t>Veronika Gribacova</t>
  </si>
  <si>
    <t>Mevrouw</t>
  </si>
  <si>
    <t>0612373494</t>
  </si>
  <si>
    <t>Vulcanusstraat 16</t>
  </si>
  <si>
    <t>2314 BL</t>
  </si>
  <si>
    <r>
      <rPr>
        <rFont val="Helvetica Neue"/>
        <color rgb="FF1155CC"/>
        <u/>
      </rPr>
      <t>https://ws01.ffdx.net/v4/etrack_blank.aspx?stid=SKYNET&amp;viewtype=&amp;cn=006562543105</t>
    </r>
  </si>
  <si>
    <t>#BB-25-7646</t>
  </si>
  <si>
    <t>Lea</t>
  </si>
  <si>
    <t>Nockemann</t>
  </si>
  <si>
    <t>Lea Nockemann</t>
  </si>
  <si>
    <t>0631910515</t>
  </si>
  <si>
    <t>Vredenburchsingel 33</t>
  </si>
  <si>
    <t>4811 SJ</t>
  </si>
  <si>
    <t>#BB-25-7650</t>
  </si>
  <si>
    <t>Monique Troost</t>
  </si>
  <si>
    <t>0647663115</t>
  </si>
  <si>
    <t>2272 ND</t>
  </si>
  <si>
    <t>Voorburg</t>
  </si>
  <si>
    <t>#BB-25-7651</t>
  </si>
  <si>
    <t>van Oortmerssen-Schutte</t>
  </si>
  <si>
    <t>E</t>
  </si>
  <si>
    <t>Van Oortmerssen-Schutte</t>
  </si>
  <si>
    <t>E Van Oortmerssen-Schutte</t>
  </si>
  <si>
    <t>0626010059</t>
  </si>
  <si>
    <t>Ln Van Meerdervoort 55-B5</t>
  </si>
  <si>
    <t>2517 AG</t>
  </si>
  <si>
    <t>#BB-25-7627</t>
  </si>
  <si>
    <t>Aitchison</t>
  </si>
  <si>
    <t>Tiffany Aitchison</t>
  </si>
  <si>
    <t>0613614767</t>
  </si>
  <si>
    <t>Sluisstraat 20H</t>
  </si>
  <si>
    <t>1075 TE</t>
  </si>
  <si>
    <t>#BB-25-7656</t>
  </si>
  <si>
    <t>Masset</t>
  </si>
  <si>
    <t>Angelique Masset</t>
  </si>
  <si>
    <t>0617802678</t>
  </si>
  <si>
    <t>De Fallastraat 100</t>
  </si>
  <si>
    <t>5011 HC</t>
  </si>
  <si>
    <t>#BB-25-7667</t>
  </si>
  <si>
    <t>Shipping-Day: saturday
 Checkout-Method: shipping
 Shipping-Date: 2025/11/29</t>
  </si>
  <si>
    <t>sky net werkt niet vrijdag</t>
  </si>
  <si>
    <t>Zuzana</t>
  </si>
  <si>
    <t>Van der Werf</t>
  </si>
  <si>
    <t>van der Werf</t>
  </si>
  <si>
    <t>Zuzana van der Werf</t>
  </si>
  <si>
    <t>0614539399</t>
  </si>
  <si>
    <t>Uiverstraat 7</t>
  </si>
  <si>
    <t>2623 RA</t>
  </si>
  <si>
    <t>#BB-25-7676</t>
  </si>
  <si>
    <t>Harriët</t>
  </si>
  <si>
    <t>Joolink</t>
  </si>
  <si>
    <t>Harriët Joolink</t>
  </si>
  <si>
    <t>0651634084</t>
  </si>
  <si>
    <t>Berkelseweg 33</t>
  </si>
  <si>
    <t>5071 VN</t>
  </si>
  <si>
    <t>Udenhout</t>
  </si>
  <si>
    <r>
      <rPr>
        <rFont val="Helvetica Neue"/>
        <color rgb="FF1155CC"/>
        <u/>
      </rPr>
      <t>https://ws01.ffdx.net/v4/etrack_blank.aspx?stid=SKYNET&amp;viewtype=&amp;cn=006562545953</t>
    </r>
  </si>
  <si>
    <t>#BB-25-7677</t>
  </si>
  <si>
    <t>Schoenmakers</t>
  </si>
  <si>
    <t>Harriët Schoenmakers</t>
  </si>
  <si>
    <t>0616239502</t>
  </si>
  <si>
    <t>Bonairedreef 6</t>
  </si>
  <si>
    <t>3563 SJ</t>
  </si>
  <si>
    <t>#BB-25-7678</t>
  </si>
  <si>
    <t>van kolck</t>
  </si>
  <si>
    <t>Jennifer van kolck</t>
  </si>
  <si>
    <t>0615208550</t>
  </si>
  <si>
    <t>Fazantstraat 44</t>
  </si>
  <si>
    <t>2162 GL</t>
  </si>
  <si>
    <t>#BB-25-7681</t>
  </si>
  <si>
    <t>Mingelen-van den Berg</t>
  </si>
  <si>
    <t>Mingelen</t>
  </si>
  <si>
    <t>Marike Mingelen</t>
  </si>
  <si>
    <t>31612791441</t>
  </si>
  <si>
    <t>Balistraat</t>
  </si>
  <si>
    <t>2585 XV</t>
  </si>
  <si>
    <t>#BB-25-7659</t>
  </si>
  <si>
    <t>Slotman</t>
  </si>
  <si>
    <t>Frank Slotman</t>
  </si>
  <si>
    <t>0654682588</t>
  </si>
  <si>
    <t>Kijkduinstraat</t>
  </si>
  <si>
    <t>69-2</t>
  </si>
  <si>
    <t>1055 XS</t>
  </si>
  <si>
    <t>#BB-25-7684</t>
  </si>
  <si>
    <t>Stans</t>
  </si>
  <si>
    <t>Van Egmond</t>
  </si>
  <si>
    <t>Stans Van Egmond</t>
  </si>
  <si>
    <t>0610175031</t>
  </si>
  <si>
    <t>Sumatrastraat 57A</t>
  </si>
  <si>
    <t>1094 LP</t>
  </si>
  <si>
    <t>#BB-25-7694</t>
  </si>
  <si>
    <t>Tinke</t>
  </si>
  <si>
    <t>Bloem</t>
  </si>
  <si>
    <t>Tinke Bloem</t>
  </si>
  <si>
    <t>0624232547</t>
  </si>
  <si>
    <t>Van der Waalslaan 4</t>
  </si>
  <si>
    <t>3045 BG</t>
  </si>
  <si>
    <t>#BB-25-7700</t>
  </si>
  <si>
    <t>Erkens</t>
  </si>
  <si>
    <t>Martijn Erkens</t>
  </si>
  <si>
    <t>0643171121</t>
  </si>
  <si>
    <t>Willy Martensstraat 18</t>
  </si>
  <si>
    <t>3314 XW</t>
  </si>
  <si>
    <t>DORDRECHT</t>
  </si>
  <si>
    <t>#BB-25-7704</t>
  </si>
  <si>
    <t>Meerhof</t>
  </si>
  <si>
    <t>Jolanda Meerhof</t>
  </si>
  <si>
    <t>0646676524</t>
  </si>
  <si>
    <t>Wilgenwede 50</t>
  </si>
  <si>
    <t>2993 TB</t>
  </si>
  <si>
    <t>Barendrecht</t>
  </si>
  <si>
    <t>#BB-25-7705</t>
  </si>
  <si>
    <t>Daan de Vries</t>
  </si>
  <si>
    <t>0642800677</t>
  </si>
  <si>
    <t>Overschiese Dorpsstraat 50a</t>
  </si>
  <si>
    <t>3043 CS</t>
  </si>
  <si>
    <t>#BB-25-7706</t>
  </si>
  <si>
    <t>Wintzen</t>
  </si>
  <si>
    <t>Marieke Wintzen</t>
  </si>
  <si>
    <t>0614984323</t>
  </si>
  <si>
    <t>Burghstraat 35</t>
  </si>
  <si>
    <t>5614 BC</t>
  </si>
  <si>
    <t>#BB-25-7709</t>
  </si>
  <si>
    <t>du Pré</t>
  </si>
  <si>
    <t>Florence du Pré</t>
  </si>
  <si>
    <t>0621313877</t>
  </si>
  <si>
    <t>Hertog Janlaan 6</t>
  </si>
  <si>
    <t>5062 CM</t>
  </si>
  <si>
    <t>Oisterwijk</t>
  </si>
  <si>
    <t>#BB-25-7631</t>
  </si>
  <si>
    <t>Matthijs Bos</t>
  </si>
  <si>
    <t>0653876066</t>
  </si>
  <si>
    <t>Landstraat 12</t>
  </si>
  <si>
    <t>9714 GR</t>
  </si>
  <si>
    <t>#BB-25-7712</t>
  </si>
  <si>
    <t>Djoke</t>
  </si>
  <si>
    <t>Bosga</t>
  </si>
  <si>
    <t>Djoke Bosga</t>
  </si>
  <si>
    <t>0619985315</t>
  </si>
  <si>
    <t>De kwekerij 70</t>
  </si>
  <si>
    <t>3741 WM</t>
  </si>
  <si>
    <t>Baarn</t>
  </si>
  <si>
    <t>#BB-25-7714</t>
  </si>
  <si>
    <t>Beele</t>
  </si>
  <si>
    <t>Claudia Beele</t>
  </si>
  <si>
    <t>0610627014</t>
  </si>
  <si>
    <t>Kruitmolen 21</t>
  </si>
  <si>
    <t>1398 HA</t>
  </si>
  <si>
    <t>Muiden</t>
  </si>
  <si>
    <t>#BB-25-7716</t>
  </si>
  <si>
    <t>Jeroen Tuin</t>
  </si>
  <si>
    <t>0622916305</t>
  </si>
  <si>
    <t>Elisabeth Kampenlaan 18</t>
  </si>
  <si>
    <t>8265 TW</t>
  </si>
  <si>
    <t>Kampen</t>
  </si>
  <si>
    <t>#BB-25-7719</t>
  </si>
  <si>
    <t>mirjam</t>
  </si>
  <si>
    <t>gilhuis</t>
  </si>
  <si>
    <t>mirjam gilhuis</t>
  </si>
  <si>
    <t>0647818747</t>
  </si>
  <si>
    <t>Nansenplaats 22</t>
  </si>
  <si>
    <t>3069 CV</t>
  </si>
  <si>
    <t>#BB-25-7720</t>
  </si>
  <si>
    <t>Heikens</t>
  </si>
  <si>
    <t>Astrid Heikens</t>
  </si>
  <si>
    <t>0641103820</t>
  </si>
  <si>
    <t>Geuzenkade 98B</t>
  </si>
  <si>
    <t>1056 LB</t>
  </si>
  <si>
    <t>#BB-25-7721</t>
  </si>
  <si>
    <t>Shipping-Date: 2025/12/05
 Checkout-Method: shipping
 Shipping-Day: friday</t>
  </si>
  <si>
    <t>Gargoskij</t>
  </si>
  <si>
    <t>Harriët Gargoskij</t>
  </si>
  <si>
    <t>0619190007</t>
  </si>
  <si>
    <t>Doctor A. Kuyperstraat 27</t>
  </si>
  <si>
    <t>2841 CG</t>
  </si>
  <si>
    <t>Moordrecht</t>
  </si>
  <si>
    <t>#BB-25-7727</t>
  </si>
  <si>
    <t>Nijkamp</t>
  </si>
  <si>
    <t>Liesbeth Nijkamp</t>
  </si>
  <si>
    <t>0619908188</t>
  </si>
  <si>
    <t>Swammerdamstraat 15a</t>
  </si>
  <si>
    <t>1091 RP</t>
  </si>
  <si>
    <t>#BB-25-7736</t>
  </si>
  <si>
    <t>Menger</t>
  </si>
  <si>
    <t>Stephanie Menger</t>
  </si>
  <si>
    <t>0647352493</t>
  </si>
  <si>
    <t>Abraham Kuyperlaan 92</t>
  </si>
  <si>
    <t>B</t>
  </si>
  <si>
    <t>3038 PN</t>
  </si>
  <si>
    <t>#BB-25-7711</t>
  </si>
  <si>
    <t>Elin</t>
  </si>
  <si>
    <t>Hoeve</t>
  </si>
  <si>
    <t>Elin Hoeve</t>
  </si>
  <si>
    <t>0651564501</t>
  </si>
  <si>
    <t>Kruisvoorde 48</t>
  </si>
  <si>
    <t>7339 KV</t>
  </si>
  <si>
    <t>#BB-25-7740</t>
  </si>
  <si>
    <t>VAN BUUREN</t>
  </si>
  <si>
    <t>van Buuren</t>
  </si>
  <si>
    <t>Maarten van Buuren</t>
  </si>
  <si>
    <t>Refugio B.V.</t>
  </si>
  <si>
    <t>0652441991</t>
  </si>
  <si>
    <t>Jaagpad</t>
  </si>
  <si>
    <t>2034 JM</t>
  </si>
  <si>
    <t>#BB-25-7622</t>
  </si>
  <si>
    <t>Keijzer-Drent</t>
  </si>
  <si>
    <t>Jenneke Keijzer-Drent</t>
  </si>
  <si>
    <t>0627575891</t>
  </si>
  <si>
    <t>Daalseweg 82</t>
  </si>
  <si>
    <t>3555 SW</t>
  </si>
  <si>
    <t>#BB-25-7737</t>
  </si>
  <si>
    <t>Brook</t>
  </si>
  <si>
    <t>duBois</t>
  </si>
  <si>
    <t>Brook duBois</t>
  </si>
  <si>
    <t>630286141</t>
  </si>
  <si>
    <t>Geldropseweg 137C</t>
  </si>
  <si>
    <t>5611 SG</t>
  </si>
  <si>
    <r>
      <rPr>
        <rFont val="Helvetica Neue"/>
        <color rgb="FF1155CC"/>
        <u/>
      </rPr>
      <t>http://postnl.nl/tracktrace/?L=&amp;B=3SBKM2988393993&amp;P=5611SG&amp;D=NL&amp;T=C</t>
    </r>
  </si>
  <si>
    <t>#BB-25-7683</t>
  </si>
  <si>
    <t>Vroomans</t>
  </si>
  <si>
    <t>Margriet Vroomans</t>
  </si>
  <si>
    <t>0653364139</t>
  </si>
  <si>
    <t>Beethovenlaan 70</t>
  </si>
  <si>
    <t>1411 HT</t>
  </si>
  <si>
    <t>#BB-25-7746</t>
  </si>
  <si>
    <t>Lugt</t>
  </si>
  <si>
    <t>Anne Lugt</t>
  </si>
  <si>
    <t>0470355784</t>
  </si>
  <si>
    <t>Duinendreef 18</t>
  </si>
  <si>
    <t>Kapellen</t>
  </si>
  <si>
    <t>#BB-25-7748</t>
  </si>
  <si>
    <t>Jaspers</t>
  </si>
  <si>
    <t>Danielle Jaspers</t>
  </si>
  <si>
    <t>0618530813</t>
  </si>
  <si>
    <t>Singel 314</t>
  </si>
  <si>
    <t>1016 AE</t>
  </si>
  <si>
    <r>
      <rPr>
        <rFont val="Helvetica Neue"/>
        <color rgb="FF1155CC"/>
        <u/>
      </rPr>
      <t>https://ws01.ffdx.net/v4/etrack_blank.aspx?stid=SKYNET&amp;viewtype=&amp;cn=006562545570</t>
    </r>
  </si>
  <si>
    <t>#BB-25-7743</t>
  </si>
  <si>
    <t>van de Sande</t>
  </si>
  <si>
    <t>Marjo van de Sande</t>
  </si>
  <si>
    <t>0629057679</t>
  </si>
  <si>
    <t>Oranjeboomstraat 14B</t>
  </si>
  <si>
    <t>3071 BA</t>
  </si>
  <si>
    <t>#BB-25-7756</t>
  </si>
  <si>
    <t>Christof</t>
  </si>
  <si>
    <t>Abspoel</t>
  </si>
  <si>
    <t>Christof Abspoel</t>
  </si>
  <si>
    <t>0633105041</t>
  </si>
  <si>
    <t>Vuurvlindersingel 88</t>
  </si>
  <si>
    <t>3544 DL</t>
  </si>
  <si>
    <t>#BB-25-7758</t>
  </si>
  <si>
    <t>Samuel</t>
  </si>
  <si>
    <t>Millington</t>
  </si>
  <si>
    <t>Samuel Millington</t>
  </si>
  <si>
    <t>0651092943</t>
  </si>
  <si>
    <t>Gerard Doustraat 230H</t>
  </si>
  <si>
    <t>1073 XC</t>
  </si>
  <si>
    <r>
      <rPr>
        <rFont val="Helvetica Neue"/>
        <color rgb="FF1155CC"/>
        <u/>
      </rPr>
      <t>https://ws01.ffdx.net/v4/etrack_blank.aspx?stid=SKYNET&amp;viewtype=&amp;cn=006562543094</t>
    </r>
  </si>
  <si>
    <t>#BB-25-7760</t>
  </si>
  <si>
    <t>Kras</t>
  </si>
  <si>
    <t>Marike Kras</t>
  </si>
  <si>
    <t>0651637568</t>
  </si>
  <si>
    <t>Laan der Zeven Linden 19</t>
  </si>
  <si>
    <t>2645 GR</t>
  </si>
  <si>
    <t>Delfgauw</t>
  </si>
  <si>
    <t>#BB-25-7766</t>
  </si>
  <si>
    <t>Dubbelman</t>
  </si>
  <si>
    <t>Marije Dubbelman</t>
  </si>
  <si>
    <t>0628168211</t>
  </si>
  <si>
    <t>Viool</t>
  </si>
  <si>
    <t>3261 GG</t>
  </si>
  <si>
    <t>Oud-Beijerland</t>
  </si>
  <si>
    <t>#BB-25-7767</t>
  </si>
  <si>
    <t>Daisy</t>
  </si>
  <si>
    <t>Daisy Brouwer</t>
  </si>
  <si>
    <t>0629103865</t>
  </si>
  <si>
    <t>Van Noortlaan 4</t>
  </si>
  <si>
    <t>3843 HC</t>
  </si>
  <si>
    <t>Harderwijk</t>
  </si>
  <si>
    <t>#BB-25-7774</t>
  </si>
  <si>
    <t>Rixt</t>
  </si>
  <si>
    <t>Wijma</t>
  </si>
  <si>
    <t>Rixt Wijma</t>
  </si>
  <si>
    <t>629265823</t>
  </si>
  <si>
    <t>Willem van Beelenstraat 11</t>
  </si>
  <si>
    <t>2202 XE</t>
  </si>
  <si>
    <t>Noordwijk</t>
  </si>
  <si>
    <t>#BB-25-7744</t>
  </si>
  <si>
    <t>Cats</t>
  </si>
  <si>
    <t>Anja Cats</t>
  </si>
  <si>
    <t>0622215546</t>
  </si>
  <si>
    <t>Doctor Dirk Bakkerlaan 48</t>
  </si>
  <si>
    <t>2061 EW</t>
  </si>
  <si>
    <t>#BB-25-7787</t>
  </si>
  <si>
    <t>Lodovico</t>
  </si>
  <si>
    <t>Marchesini</t>
  </si>
  <si>
    <t>Lodovico Marchesini</t>
  </si>
  <si>
    <t>0642580930</t>
  </si>
  <si>
    <t>Schiebroekselaan 65A</t>
  </si>
  <si>
    <t>3037 RL</t>
  </si>
  <si>
    <t>#BB-25-7793</t>
  </si>
  <si>
    <t>Eric</t>
  </si>
  <si>
    <t>Kochen</t>
  </si>
  <si>
    <t>Eric Kochen</t>
  </si>
  <si>
    <t>0630201055</t>
  </si>
  <si>
    <t>Brabantplein 7</t>
  </si>
  <si>
    <t>5401 GS</t>
  </si>
  <si>
    <t>Uden</t>
  </si>
  <si>
    <t>2025-11-16 17:54:56 +0100</t>
  </si>
  <si>
    <t>Refund Shipping</t>
  </si>
  <si>
    <t>#BB-25-7795</t>
  </si>
  <si>
    <t>Gijsman</t>
  </si>
  <si>
    <t>Daan Gijsman</t>
  </si>
  <si>
    <t>0641811788</t>
  </si>
  <si>
    <t>Stadhoudersweg 75</t>
  </si>
  <si>
    <t>3039 EA</t>
  </si>
  <si>
    <t>#BB-25-7796</t>
  </si>
  <si>
    <t>Vyborova</t>
  </si>
  <si>
    <t>Anna Vyborova</t>
  </si>
  <si>
    <t>0619619600</t>
  </si>
  <si>
    <t>Snoeksloot 70</t>
  </si>
  <si>
    <t>3993 HM</t>
  </si>
  <si>
    <t>Houten</t>
  </si>
  <si>
    <t>#BB-25-7798</t>
  </si>
  <si>
    <t>Nette</t>
  </si>
  <si>
    <t>Anna-Sterre</t>
  </si>
  <si>
    <t>Anna-Sterre Nette</t>
  </si>
  <si>
    <t>0641012191</t>
  </si>
  <si>
    <t>Lomanstraat 33</t>
  </si>
  <si>
    <t>1075 PT</t>
  </si>
  <si>
    <t>#BB-25-7806</t>
  </si>
  <si>
    <t>Lumbert</t>
  </si>
  <si>
    <t>Laura Lumbert</t>
  </si>
  <si>
    <t>648011123</t>
  </si>
  <si>
    <t>Wilhelminasingel 9</t>
  </si>
  <si>
    <t>4818 AA</t>
  </si>
  <si>
    <t>#BB-25-7742</t>
  </si>
  <si>
    <t>van Erk</t>
  </si>
  <si>
    <t>Martine van Erk</t>
  </si>
  <si>
    <t>0657584748</t>
  </si>
  <si>
    <t>Dijkgraafslag 4</t>
  </si>
  <si>
    <t>2805 DG</t>
  </si>
  <si>
    <t>#BB-25-7813</t>
  </si>
  <si>
    <t>Jackson</t>
  </si>
  <si>
    <t>Jacob Jackson</t>
  </si>
  <si>
    <t>0640485895</t>
  </si>
  <si>
    <t>Galgewater 38</t>
  </si>
  <si>
    <t>2311 VZ</t>
  </si>
  <si>
    <t>#BB-25-7814</t>
  </si>
  <si>
    <t>Haringa</t>
  </si>
  <si>
    <t>Tanja Haringa</t>
  </si>
  <si>
    <t>0613770374</t>
  </si>
  <si>
    <t>Groenmarktkade 52</t>
  </si>
  <si>
    <t>1016 TA</t>
  </si>
  <si>
    <t>#BB-25-7817</t>
  </si>
  <si>
    <t>Suzy</t>
  </si>
  <si>
    <t>Huber</t>
  </si>
  <si>
    <t>Suzy Huber</t>
  </si>
  <si>
    <t>0619043742</t>
  </si>
  <si>
    <t>Beeklaan 360</t>
  </si>
  <si>
    <t>2562 BG</t>
  </si>
  <si>
    <t>#BB-25-7821</t>
  </si>
  <si>
    <t>Ineke van Dijk</t>
  </si>
  <si>
    <t>0640344857</t>
  </si>
  <si>
    <t>2564 TL</t>
  </si>
  <si>
    <t>s-Gravenhage</t>
  </si>
  <si>
    <t>#BB-25-7822</t>
  </si>
  <si>
    <t>Kim Bakker</t>
  </si>
  <si>
    <t>0643112882</t>
  </si>
  <si>
    <t>Overschiese Kleiweg 603</t>
  </si>
  <si>
    <t>3045 LJ</t>
  </si>
  <si>
    <t>#BB-25-7823</t>
  </si>
  <si>
    <t>Van der Linden</t>
  </si>
  <si>
    <t>Marlieke Van der Linden</t>
  </si>
  <si>
    <t>0683508930</t>
  </si>
  <si>
    <t>George Gershwinlaan 11</t>
  </si>
  <si>
    <t>1082 MT</t>
  </si>
  <si>
    <t>#BB-25-7824</t>
  </si>
  <si>
    <t>Floor van Dijk</t>
  </si>
  <si>
    <t>0617395595</t>
  </si>
  <si>
    <t>2e Schansstraat 50</t>
  </si>
  <si>
    <t>3025 XP</t>
  </si>
  <si>
    <t>#BB-25-7809</t>
  </si>
  <si>
    <t>Bremmers</t>
  </si>
  <si>
    <t>Anke Bremmers</t>
  </si>
  <si>
    <t>0651921041</t>
  </si>
  <si>
    <t>Moeraswederik 12</t>
  </si>
  <si>
    <t>2498 CJ</t>
  </si>
  <si>
    <r>
      <rPr>
        <rFont val="Helvetica Neue"/>
        <color rgb="FF1155CC"/>
        <u/>
      </rPr>
      <t>https://ws01.ffdx.net/v4/etrack_blank.aspx?stid=SKYNET&amp;viewtype=&amp;cn=006562545931</t>
    </r>
  </si>
  <si>
    <t>#BB-25-7778</t>
  </si>
  <si>
    <t>Rouwenhorst</t>
  </si>
  <si>
    <t>Linda Rouwenhorst</t>
  </si>
  <si>
    <t>0653448208</t>
  </si>
  <si>
    <t>De Zeis 35</t>
  </si>
  <si>
    <t>7335 KD</t>
  </si>
  <si>
    <t>#BB-25-7828</t>
  </si>
  <si>
    <t>Mildred</t>
  </si>
  <si>
    <t>Theunisz</t>
  </si>
  <si>
    <t>Mildred Theunisz</t>
  </si>
  <si>
    <t>0613913882</t>
  </si>
  <si>
    <t>Wiltzanghlaan 3HS</t>
  </si>
  <si>
    <t>1055 KD</t>
  </si>
  <si>
    <t>#BB-25-7835</t>
  </si>
  <si>
    <t>Wildeman</t>
  </si>
  <si>
    <t>Geeske Wildeman</t>
  </si>
  <si>
    <t>0626232367</t>
  </si>
  <si>
    <t>Apothekersdijk 20</t>
  </si>
  <si>
    <t>2312 DC</t>
  </si>
  <si>
    <t>#BB-25-7849</t>
  </si>
  <si>
    <t>Nikita</t>
  </si>
  <si>
    <t>van den Berge</t>
  </si>
  <si>
    <t>Nikita van den Berge</t>
  </si>
  <si>
    <t>0031610903039</t>
  </si>
  <si>
    <t>Oosterdwarsstraat 47</t>
  </si>
  <si>
    <t>2315 LN</t>
  </si>
  <si>
    <t>#BB-25-7850</t>
  </si>
  <si>
    <t>Jacobien</t>
  </si>
  <si>
    <t>Crol</t>
  </si>
  <si>
    <t>Jacobien Crol</t>
  </si>
  <si>
    <t>0681314839</t>
  </si>
  <si>
    <t>Koolsteeg 10</t>
  </si>
  <si>
    <t>2011 BJ</t>
  </si>
  <si>
    <t>#BB-25-7825</t>
  </si>
  <si>
    <t>Fornara</t>
  </si>
  <si>
    <t>Laura Fornara</t>
  </si>
  <si>
    <t>0657782306</t>
  </si>
  <si>
    <t>Oasisstraat 34</t>
  </si>
  <si>
    <t>6663 JD</t>
  </si>
  <si>
    <t>#BB-25-7855</t>
  </si>
  <si>
    <t>Borst</t>
  </si>
  <si>
    <t>Femke Borst</t>
  </si>
  <si>
    <t>0652599843</t>
  </si>
  <si>
    <t>Haringvlietstraat 59</t>
  </si>
  <si>
    <t>1078 KA</t>
  </si>
  <si>
    <t>#BB-25-7859</t>
  </si>
  <si>
    <t>Naomi Jacobs</t>
  </si>
  <si>
    <t>0643745733</t>
  </si>
  <si>
    <t>Maria Austriastraat 154</t>
  </si>
  <si>
    <t>1087 EK</t>
  </si>
  <si>
    <t>#BB-25-7860</t>
  </si>
  <si>
    <t>Haex</t>
  </si>
  <si>
    <t>Renée Haex</t>
  </si>
  <si>
    <t>0614627386</t>
  </si>
  <si>
    <t>Bovenover 21</t>
  </si>
  <si>
    <t>1025 JH</t>
  </si>
  <si>
    <t>#BB-25-7862</t>
  </si>
  <si>
    <t>Briggeman</t>
  </si>
  <si>
    <t>Wilma Briggeman</t>
  </si>
  <si>
    <t>0642656343</t>
  </si>
  <si>
    <t>Tijs van Zeventerstraat 28</t>
  </si>
  <si>
    <t>3062 XP</t>
  </si>
  <si>
    <t>#BB-25-7863</t>
  </si>
  <si>
    <t>Suzette</t>
  </si>
  <si>
    <t>Suzette van Maanen</t>
  </si>
  <si>
    <t>0621868989</t>
  </si>
  <si>
    <t>Van Musschenbroekstraat 29</t>
  </si>
  <si>
    <t>3514 XH</t>
  </si>
  <si>
    <t>#BB-25-7864</t>
  </si>
  <si>
    <t>Snoeker</t>
  </si>
  <si>
    <t>Bas Snoeker</t>
  </si>
  <si>
    <t>0642267281</t>
  </si>
  <si>
    <t>Heuvelhof 14</t>
  </si>
  <si>
    <t>2742 AW</t>
  </si>
  <si>
    <t>#BB-25-7831</t>
  </si>
  <si>
    <t>Chris</t>
  </si>
  <si>
    <t>Vemer</t>
  </si>
  <si>
    <t>Chris Vemer</t>
  </si>
  <si>
    <t>0031612367844</t>
  </si>
  <si>
    <t>Kraaijvangerstraat 12</t>
  </si>
  <si>
    <t>3071 MC</t>
  </si>
  <si>
    <t>#BB-25-7754</t>
  </si>
  <si>
    <t>Erica Jacobs</t>
  </si>
  <si>
    <t>0681133965</t>
  </si>
  <si>
    <t>Rasopark</t>
  </si>
  <si>
    <t>4741 EA</t>
  </si>
  <si>
    <t>Hoeven</t>
  </si>
  <si>
    <t>#BB-25-7852</t>
  </si>
  <si>
    <t>Jessica Splinter</t>
  </si>
  <si>
    <t>0650636834</t>
  </si>
  <si>
    <t>Wisentstraat 23</t>
  </si>
  <si>
    <t>4817 LZ</t>
  </si>
  <si>
    <t>#BB-25-7868</t>
  </si>
  <si>
    <t>Ha</t>
  </si>
  <si>
    <t>Rieff</t>
  </si>
  <si>
    <t>Ha Rieff</t>
  </si>
  <si>
    <t>0614449084</t>
  </si>
  <si>
    <t>Wilhelminapark 24</t>
  </si>
  <si>
    <t>2012 KB</t>
  </si>
  <si>
    <t>#BB-25-7882</t>
  </si>
  <si>
    <t>Fransen</t>
  </si>
  <si>
    <t>Myrthe Fransen</t>
  </si>
  <si>
    <t>0642102308</t>
  </si>
  <si>
    <t>Laan op Zuid</t>
  </si>
  <si>
    <t>1067B</t>
  </si>
  <si>
    <t>3072 DB</t>
  </si>
  <si>
    <t>cancelled</t>
  </si>
  <si>
    <r>
      <rPr>
        <rFont val="Helvetica Neue"/>
        <color rgb="FF1155CC"/>
        <u/>
      </rPr>
      <t>https://www.dpdgroup.com/nl/mydpd/my-parcels/incoming?parcelNumber=05222893742653</t>
    </r>
  </si>
  <si>
    <r>
      <rPr>
        <rFont val="Helvetica Neue"/>
        <color rgb="FF1155CC"/>
        <u/>
      </rPr>
      <t>https://ws01.ffdx.net/v4/etrack_blank.aspx?stid=SKYNET&amp;viewtype=&amp;cn=006562545662</t>
    </r>
  </si>
  <si>
    <t>#BB-25-7889</t>
  </si>
  <si>
    <t>Sowirono</t>
  </si>
  <si>
    <t>Samantha Sowirono</t>
  </si>
  <si>
    <t>0620054120</t>
  </si>
  <si>
    <t>J.P. Kloosstraat 28</t>
  </si>
  <si>
    <t>1022 KD</t>
  </si>
  <si>
    <t>#BB-25-7891</t>
  </si>
  <si>
    <t>Raymond</t>
  </si>
  <si>
    <t>Raymond Verhoef</t>
  </si>
  <si>
    <t>0620607428</t>
  </si>
  <si>
    <t>Zantelweg 51</t>
  </si>
  <si>
    <t>3161 XR</t>
  </si>
  <si>
    <t>Rhoon</t>
  </si>
  <si>
    <t>#BB-25-7895</t>
  </si>
  <si>
    <t>Spee</t>
  </si>
  <si>
    <t>Annemarie Spee</t>
  </si>
  <si>
    <t>0626870038</t>
  </si>
  <si>
    <t>Kolibristraat 3 H</t>
  </si>
  <si>
    <t>1022 BJ</t>
  </si>
  <si>
    <t>#BB-25-7904</t>
  </si>
  <si>
    <t>van den Akker</t>
  </si>
  <si>
    <t>Tim van den Akker</t>
  </si>
  <si>
    <t>0628545785</t>
  </si>
  <si>
    <t>Ouddiemerlaan 72</t>
  </si>
  <si>
    <t>1111 HK</t>
  </si>
  <si>
    <t>#BB-25-7909</t>
  </si>
  <si>
    <t>Van den Oever</t>
  </si>
  <si>
    <t>van den Oever</t>
  </si>
  <si>
    <t>Inge van den Oever</t>
  </si>
  <si>
    <t>0618231587</t>
  </si>
  <si>
    <t>Seminarieweg 12</t>
  </si>
  <si>
    <t>4854 CA</t>
  </si>
  <si>
    <t>Bavel</t>
  </si>
  <si>
    <t>#BB-25-7910</t>
  </si>
  <si>
    <t>Straalman</t>
  </si>
  <si>
    <t>Joyce Straalman</t>
  </si>
  <si>
    <t>0615156621</t>
  </si>
  <si>
    <t>Elzentlaan</t>
  </si>
  <si>
    <t>5611 LG</t>
  </si>
  <si>
    <t>#BB-25-7922</t>
  </si>
  <si>
    <t>Duijnstee</t>
  </si>
  <si>
    <t>Marijke Duijnstee</t>
  </si>
  <si>
    <t>0640657673</t>
  </si>
  <si>
    <t>Brouwersstraat 17</t>
  </si>
  <si>
    <t>3061 NC</t>
  </si>
  <si>
    <t>#BB-25-7925</t>
  </si>
  <si>
    <t>Duran</t>
  </si>
  <si>
    <t>Lucia Duran</t>
  </si>
  <si>
    <t>WRi Europe Stichting</t>
  </si>
  <si>
    <t>0619309352</t>
  </si>
  <si>
    <t>Bezuidenhoutseweg 105</t>
  </si>
  <si>
    <t>#BB-25-7927</t>
  </si>
  <si>
    <t>Trui</t>
  </si>
  <si>
    <t>de Klein</t>
  </si>
  <si>
    <t>Trui de Klein</t>
  </si>
  <si>
    <t>0615234510</t>
  </si>
  <si>
    <t>Parkweg 48</t>
  </si>
  <si>
    <t>6511 BH</t>
  </si>
  <si>
    <t>#BB-25-7929</t>
  </si>
  <si>
    <t>Janneke Rozendaal</t>
  </si>
  <si>
    <t>0618631184</t>
  </si>
  <si>
    <t>Zilveren florijnlaan 17</t>
  </si>
  <si>
    <t>3541 HA</t>
  </si>
  <si>
    <r>
      <rPr>
        <rFont val="Helvetica Neue"/>
        <color rgb="FF1155CC"/>
        <u/>
      </rPr>
      <t>https://ws01.ffdx.net/v4/etrack_blank.aspx?stid=SKYNET&amp;viewtype=&amp;cn=006562543083</t>
    </r>
  </si>
  <si>
    <t>#BB-25-7936</t>
  </si>
  <si>
    <t>Janneke de Winter</t>
  </si>
  <si>
    <t>0613099208</t>
  </si>
  <si>
    <t>Riddersborch 22</t>
  </si>
  <si>
    <t>3992 BL</t>
  </si>
  <si>
    <t>#BB-25-7948</t>
  </si>
  <si>
    <t>Werkhoven</t>
  </si>
  <si>
    <t>Rebecca Werkhoven</t>
  </si>
  <si>
    <t>0616062560</t>
  </si>
  <si>
    <t>Zesmorgen 62</t>
  </si>
  <si>
    <t>6666 HS</t>
  </si>
  <si>
    <t>Heteren</t>
  </si>
  <si>
    <t>#BB-25-7954</t>
  </si>
  <si>
    <t>Remy Vermeer</t>
  </si>
  <si>
    <t>Recornect</t>
  </si>
  <si>
    <t>0653990184</t>
  </si>
  <si>
    <t>Scherpakkerweg 9</t>
  </si>
  <si>
    <t>5616 HP</t>
  </si>
  <si>
    <t>#BB-25-7957</t>
  </si>
  <si>
    <t>Elke</t>
  </si>
  <si>
    <t>Straatman-Nuijen</t>
  </si>
  <si>
    <t>Elke Straatman-Nuijen</t>
  </si>
  <si>
    <t>0645652384</t>
  </si>
  <si>
    <t>Van der Waalslaan 67</t>
  </si>
  <si>
    <t>#BB-25-7968</t>
  </si>
  <si>
    <t>van Buren</t>
  </si>
  <si>
    <t>Sabine van Buren</t>
  </si>
  <si>
    <t>0623459432</t>
  </si>
  <si>
    <t>Mesdagstraat 17</t>
  </si>
  <si>
    <t>2923 CT</t>
  </si>
  <si>
    <t>#BB-25-7973</t>
  </si>
  <si>
    <t>Elouise</t>
  </si>
  <si>
    <t>Elouise van der Meer</t>
  </si>
  <si>
    <t>0611874590</t>
  </si>
  <si>
    <t>Caan van Necklaan 116</t>
  </si>
  <si>
    <t>2281 BN</t>
  </si>
  <si>
    <t>Rijswijk</t>
  </si>
  <si>
    <t>#BB-25-7869</t>
  </si>
  <si>
    <t>Scheepmaker</t>
  </si>
  <si>
    <t>Marleen Scheepmaker</t>
  </si>
  <si>
    <t>0647013709</t>
  </si>
  <si>
    <t>Christoffelhof, 1</t>
  </si>
  <si>
    <t>7601 DA</t>
  </si>
  <si>
    <t>Almelo</t>
  </si>
  <si>
    <t>#BB-25-7981</t>
  </si>
  <si>
    <t>Liza</t>
  </si>
  <si>
    <t>Daane</t>
  </si>
  <si>
    <t>Liza Daane</t>
  </si>
  <si>
    <t>0625056970</t>
  </si>
  <si>
    <t>Aureliahof 35</t>
  </si>
  <si>
    <t>3544 VE</t>
  </si>
  <si>
    <t>#BB-25-7985</t>
  </si>
  <si>
    <t>Gwen</t>
  </si>
  <si>
    <t>Gwen Timmer</t>
  </si>
  <si>
    <t>0623370809</t>
  </si>
  <si>
    <t>Kerkstraat 21 e</t>
  </si>
  <si>
    <t>9751 BB</t>
  </si>
  <si>
    <t>Haren gn</t>
  </si>
  <si>
    <t>#BB-25-7989</t>
  </si>
  <si>
    <t>Stijn</t>
  </si>
  <si>
    <t>Minneboo</t>
  </si>
  <si>
    <t>Stijn Minneboo</t>
  </si>
  <si>
    <t>0640870150</t>
  </si>
  <si>
    <t>Sint Jacobsgracht 7 B</t>
  </si>
  <si>
    <t>2311 PS</t>
  </si>
  <si>
    <t>#BB-25-7876</t>
  </si>
  <si>
    <t>Laurien</t>
  </si>
  <si>
    <t>Van den Hummel</t>
  </si>
  <si>
    <t>Laurien Van den Hummel</t>
  </si>
  <si>
    <t>0610954549</t>
  </si>
  <si>
    <t>Ketelkade 109</t>
  </si>
  <si>
    <t>4463 LB</t>
  </si>
  <si>
    <t>Goes</t>
  </si>
  <si>
    <t>#BB-25-7880</t>
  </si>
  <si>
    <t>Woessner</t>
  </si>
  <si>
    <t>Robin Woessner</t>
  </si>
  <si>
    <t>0657996127</t>
  </si>
  <si>
    <t>Pinksterbloemstraat 3</t>
  </si>
  <si>
    <t>2215 DT</t>
  </si>
  <si>
    <t>Voorhout</t>
  </si>
  <si>
    <r>
      <rPr>
        <rFont val="Helvetica Neue"/>
        <color rgb="FF1155CC"/>
        <u/>
      </rPr>
      <t>https://ws01.ffdx.net/v4/etrack_blank.aspx?stid=SKYNET&amp;viewtype=&amp;cn=006562545942</t>
    </r>
  </si>
  <si>
    <t>#BB-25-7974</t>
  </si>
  <si>
    <t>Victor</t>
  </si>
  <si>
    <t>Victor Fonseca</t>
  </si>
  <si>
    <t>0644975656</t>
  </si>
  <si>
    <t>Tweede Jan Steenstraat 64D</t>
  </si>
  <si>
    <t>1074 CR</t>
  </si>
  <si>
    <r>
      <rPr>
        <rFont val="Helvetica Neue"/>
        <color rgb="FF1155CC"/>
        <u/>
      </rPr>
      <t>https://ws01.ffdx.net/v4/etrack_blank.aspx?stid=SKYNET&amp;viewtype=&amp;cn=006562545920</t>
    </r>
  </si>
  <si>
    <t>#BB-25-7992</t>
  </si>
  <si>
    <t>Gal</t>
  </si>
  <si>
    <t>Dagan</t>
  </si>
  <si>
    <t>Gal Dagan</t>
  </si>
  <si>
    <t>0633177422</t>
  </si>
  <si>
    <t>Govert Flinckstraat 267-1</t>
  </si>
  <si>
    <t>1073 BZ</t>
  </si>
  <si>
    <t>#BB-25-8008</t>
  </si>
  <si>
    <t>Pepijn</t>
  </si>
  <si>
    <t>Zeevenhooven</t>
  </si>
  <si>
    <t>Pepijn Zeevenhooven</t>
  </si>
  <si>
    <t>0616242787</t>
  </si>
  <si>
    <t>Kijkduinstraat 14</t>
  </si>
  <si>
    <t>2014 DE</t>
  </si>
  <si>
    <t>#BB-25-8010</t>
  </si>
  <si>
    <t>Cynthia van Beek</t>
  </si>
  <si>
    <t>0640180332</t>
  </si>
  <si>
    <t>s-Gravenzandseweg 232</t>
  </si>
  <si>
    <t>3151 TV</t>
  </si>
  <si>
    <t>Hoek van Holland</t>
  </si>
  <si>
    <t>#BB-25-8016</t>
  </si>
  <si>
    <t>Kroes</t>
  </si>
  <si>
    <t>Rens Kroes</t>
  </si>
  <si>
    <t>0653531621</t>
  </si>
  <si>
    <t>Achterweg 6</t>
  </si>
  <si>
    <t>9261 VX</t>
  </si>
  <si>
    <t>Eastermar</t>
  </si>
  <si>
    <t>BB-25-RENS</t>
  </si>
  <si>
    <t>Gratis verzenden</t>
  </si>
  <si>
    <t>#BB-25-8024</t>
  </si>
  <si>
    <t>Van kempen</t>
  </si>
  <si>
    <t>Loes Van kempen</t>
  </si>
  <si>
    <t>0639436450</t>
  </si>
  <si>
    <t>Pasteurstraat 42</t>
  </si>
  <si>
    <t>1097 EV</t>
  </si>
  <si>
    <t>#BB-25-8036</t>
  </si>
  <si>
    <t>AE</t>
  </si>
  <si>
    <t>GONZALEZ</t>
  </si>
  <si>
    <t>Ana</t>
  </si>
  <si>
    <t>Gonzalez</t>
  </si>
  <si>
    <t>Ana Gonzalez</t>
  </si>
  <si>
    <t>0625388620</t>
  </si>
  <si>
    <t>Christinaweg 10</t>
  </si>
  <si>
    <t>6709 SE</t>
  </si>
  <si>
    <t>Wageningen</t>
  </si>
  <si>
    <t>#BB-25-8041</t>
  </si>
  <si>
    <t>Vanda</t>
  </si>
  <si>
    <t>Kovacs</t>
  </si>
  <si>
    <t>Vanda Kovacs</t>
  </si>
  <si>
    <t>0625146049</t>
  </si>
  <si>
    <t>Broekslootkade 101</t>
  </si>
  <si>
    <t>2281 TC</t>
  </si>
  <si>
    <t>#BB-25-8043</t>
  </si>
  <si>
    <t>E.L.</t>
  </si>
  <si>
    <t>Baarsma</t>
  </si>
  <si>
    <t>Liselot Baarsma</t>
  </si>
  <si>
    <t>Suite Wood</t>
  </si>
  <si>
    <t>0651761171</t>
  </si>
  <si>
    <t>Oude Waal 38</t>
  </si>
  <si>
    <t>1011 CD</t>
  </si>
  <si>
    <t>#BB-25-7997</t>
  </si>
  <si>
    <t>Berber</t>
  </si>
  <si>
    <t>Sef</t>
  </si>
  <si>
    <t>Sef Bakker</t>
  </si>
  <si>
    <t>0614587578</t>
  </si>
  <si>
    <t>Bijvoetstraat 22</t>
  </si>
  <si>
    <t>2033 ZD</t>
  </si>
  <si>
    <t>#BB-25-8048</t>
  </si>
  <si>
    <t>Annina</t>
  </si>
  <si>
    <t>Frijdal</t>
  </si>
  <si>
    <t>Annina Frijdal</t>
  </si>
  <si>
    <t>0682526189</t>
  </si>
  <si>
    <t>Amstellaan 27</t>
  </si>
  <si>
    <t>2105 VD</t>
  </si>
  <si>
    <t>#BB-25-8050</t>
  </si>
  <si>
    <t>Susan &amp; Eric</t>
  </si>
  <si>
    <t>Susan</t>
  </si>
  <si>
    <t>Susan Brand</t>
  </si>
  <si>
    <t>0630627845</t>
  </si>
  <si>
    <t>Stalpertstraat 64</t>
  </si>
  <si>
    <t>2597 RV</t>
  </si>
  <si>
    <t>#BB-25-8051</t>
  </si>
  <si>
    <t>Sophie Nortier</t>
  </si>
  <si>
    <t>0629445465</t>
  </si>
  <si>
    <t>Bakhuis Roozenboomstraat 25</t>
  </si>
  <si>
    <t>2313 RC</t>
  </si>
  <si>
    <t>#BB-25-8052</t>
  </si>
  <si>
    <t>milou</t>
  </si>
  <si>
    <t>de Nijs</t>
  </si>
  <si>
    <t>lieke</t>
  </si>
  <si>
    <t>lieke de Nijs</t>
  </si>
  <si>
    <t>0636182651</t>
  </si>
  <si>
    <t>Vughterstraat 75</t>
  </si>
  <si>
    <t>5211 EZ</t>
  </si>
  <si>
    <t>#BB-25-8053</t>
  </si>
  <si>
    <t>de Waij</t>
  </si>
  <si>
    <t>Florence de Waij</t>
  </si>
  <si>
    <t>Rubicon Impact &amp; Litigation</t>
  </si>
  <si>
    <t>0202374373</t>
  </si>
  <si>
    <t>herengracht 498</t>
  </si>
  <si>
    <t>1017 CB</t>
  </si>
  <si>
    <t>#BB-25-8055</t>
  </si>
  <si>
    <t>Wellink</t>
  </si>
  <si>
    <t>J. Wellink</t>
  </si>
  <si>
    <t>0633971433</t>
  </si>
  <si>
    <t>Driedistellaan 8</t>
  </si>
  <si>
    <t>2554 HN</t>
  </si>
  <si>
    <t>#BB-25-8058</t>
  </si>
  <si>
    <t>Apolline</t>
  </si>
  <si>
    <t>Lambert</t>
  </si>
  <si>
    <t>Apolline Lambert</t>
  </si>
  <si>
    <t>0638285797</t>
  </si>
  <si>
    <t>Bloemgracht 77c 77c</t>
  </si>
  <si>
    <t>1016 KG</t>
  </si>
  <si>
    <t>#BB-25-8059</t>
  </si>
  <si>
    <t>Ablij</t>
  </si>
  <si>
    <t>Justine Ablij</t>
  </si>
  <si>
    <t>0626112242</t>
  </si>
  <si>
    <t>Boslaan 115</t>
  </si>
  <si>
    <t>6741 KE</t>
  </si>
  <si>
    <t>Lunteren</t>
  </si>
  <si>
    <t>#BB-25-8060</t>
  </si>
  <si>
    <t>Checkout-Method: shipping
 Shipping-Day: wednesday
 Shipping-Date: 2025/12/03</t>
  </si>
  <si>
    <t>Randag</t>
  </si>
  <si>
    <t>Noortje Randag</t>
  </si>
  <si>
    <t>NP notarial partners</t>
  </si>
  <si>
    <t>0611923542</t>
  </si>
  <si>
    <t>Apollolaan 153</t>
  </si>
  <si>
    <t>1ste</t>
  </si>
  <si>
    <t>1077 AS</t>
  </si>
  <si>
    <t>#BB-25-8064</t>
  </si>
  <si>
    <t>Eric Smits</t>
  </si>
  <si>
    <t>0613866284</t>
  </si>
  <si>
    <t>Van Miereveltlaan 51</t>
  </si>
  <si>
    <t>2612 XG</t>
  </si>
  <si>
    <t>#BB-25-8066</t>
  </si>
  <si>
    <t>kimberley</t>
  </si>
  <si>
    <t>monch</t>
  </si>
  <si>
    <t>pure</t>
  </si>
  <si>
    <t>tilburg</t>
  </si>
  <si>
    <t>pure tilburg</t>
  </si>
  <si>
    <t>Purelou TIlburg B.V.</t>
  </si>
  <si>
    <t>0850437908</t>
  </si>
  <si>
    <t>5038SH Tilburg, Langestraat 168</t>
  </si>
  <si>
    <t>5038 SH</t>
  </si>
  <si>
    <t>#BB-25-8068</t>
  </si>
  <si>
    <t>Gramberg</t>
  </si>
  <si>
    <t>Esmee Gramberg</t>
  </si>
  <si>
    <t>0624710883</t>
  </si>
  <si>
    <t>Van der Woertstraat 24</t>
  </si>
  <si>
    <t>2597 PK</t>
  </si>
  <si>
    <t>#BB-25-8073</t>
  </si>
  <si>
    <t>Tardieu</t>
  </si>
  <si>
    <t>Olivier Tardieu</t>
  </si>
  <si>
    <t>0641858431</t>
  </si>
  <si>
    <t>Korte Ouderkerkerdijk 5a</t>
  </si>
  <si>
    <t>1096 AC</t>
  </si>
  <si>
    <t>#BB-25-8083</t>
  </si>
  <si>
    <t>Westera</t>
  </si>
  <si>
    <t>Hilde Westera</t>
  </si>
  <si>
    <t>0612710044</t>
  </si>
  <si>
    <t>Van Weede van Dijkveldstraat 52</t>
  </si>
  <si>
    <t>2582 KW</t>
  </si>
  <si>
    <t>#BB-25-8084</t>
  </si>
  <si>
    <t>Zandvliet</t>
  </si>
  <si>
    <t>Dorien Zandvliet</t>
  </si>
  <si>
    <t>0628382046</t>
  </si>
  <si>
    <t>Bark 2</t>
  </si>
  <si>
    <t>2951 JB</t>
  </si>
  <si>
    <t>ALBLASSERDAM</t>
  </si>
  <si>
    <t>#BB-25-8089</t>
  </si>
  <si>
    <t>Carolien</t>
  </si>
  <si>
    <t>Krikhaar</t>
  </si>
  <si>
    <t>Carolien Krikhaar</t>
  </si>
  <si>
    <t>0621834805</t>
  </si>
  <si>
    <t>Rookmelderstraat 27</t>
  </si>
  <si>
    <t>1019 VS</t>
  </si>
  <si>
    <t>#BB-25-8093</t>
  </si>
  <si>
    <t>Lucie</t>
  </si>
  <si>
    <t>Van Berge Henegouwen</t>
  </si>
  <si>
    <t>Lucie Van Berge Henegouwen</t>
  </si>
  <si>
    <t>0620870431</t>
  </si>
  <si>
    <t>Wilddreef 72</t>
  </si>
  <si>
    <t>2352 CD</t>
  </si>
  <si>
    <t>#BB-25-8095</t>
  </si>
  <si>
    <t>Jacobs-Meijer</t>
  </si>
  <si>
    <t>Elke Jacobs-Meijer</t>
  </si>
  <si>
    <t>0618081985</t>
  </si>
  <si>
    <t>Keizer Karelstraat 15</t>
  </si>
  <si>
    <t>2613 JW</t>
  </si>
  <si>
    <t>#BB-25-8097</t>
  </si>
  <si>
    <t>Roodenrijs</t>
  </si>
  <si>
    <t>Eva Roodenrijs</t>
  </si>
  <si>
    <t>0638091533</t>
  </si>
  <si>
    <t>Da Costastraat</t>
  </si>
  <si>
    <t>2032 ME</t>
  </si>
  <si>
    <t>#BB-25-8098</t>
  </si>
  <si>
    <t>Patrick</t>
  </si>
  <si>
    <t>van Lint</t>
  </si>
  <si>
    <t>Patrick van Lint</t>
  </si>
  <si>
    <t>Stichting Groverpop</t>
  </si>
  <si>
    <t>0653199622</t>
  </si>
  <si>
    <t>Diephuisstraat 40</t>
  </si>
  <si>
    <t>9714 GZ</t>
  </si>
  <si>
    <t>GRONINGEN</t>
  </si>
  <si>
    <t>#BB-25-8105</t>
  </si>
  <si>
    <t>Checkout-Method: shipping
 Shipping-Day: thursday
 Shipping-Date: 2025/12/04</t>
  </si>
  <si>
    <t>Dorothe</t>
  </si>
  <si>
    <t>Dorothe Smit</t>
  </si>
  <si>
    <t>0683055151</t>
  </si>
  <si>
    <t>Jan Cellierslaan 33</t>
  </si>
  <si>
    <t>5642 NR</t>
  </si>
  <si>
    <t>EINDHOVEN</t>
  </si>
  <si>
    <t>#BB-25-8110</t>
  </si>
  <si>
    <t>Aliaksei</t>
  </si>
  <si>
    <t>Karalko</t>
  </si>
  <si>
    <t>Aliaksei Karalko</t>
  </si>
  <si>
    <t>0649341722</t>
  </si>
  <si>
    <t>IJslandstraat 11</t>
  </si>
  <si>
    <t>1363 DR</t>
  </si>
  <si>
    <t>Almere</t>
  </si>
  <si>
    <t>#BB-25-8111</t>
  </si>
  <si>
    <t>Mereyem</t>
  </si>
  <si>
    <t>Bechrouri</t>
  </si>
  <si>
    <t>Mereyem Bechrouri</t>
  </si>
  <si>
    <t>Merk-Echt</t>
  </si>
  <si>
    <t>0765148403</t>
  </si>
  <si>
    <t>Keizerstraat 7</t>
  </si>
  <si>
    <t>4811 HL</t>
  </si>
  <si>
    <t>breda</t>
  </si>
  <si>
    <t>#BB-25-8113</t>
  </si>
  <si>
    <t>Checkout-Method: shipping
 Shipping-Day: tuesday
 Shipping-Date: 2025/12/09</t>
  </si>
  <si>
    <t>Guequierre</t>
  </si>
  <si>
    <t>Nelleke Guequierre</t>
  </si>
  <si>
    <t>0636298200</t>
  </si>
  <si>
    <t>Molenstraat 22</t>
  </si>
  <si>
    <t>2611 KA</t>
  </si>
  <si>
    <t>#BB-25-7999</t>
  </si>
  <si>
    <t>Jip</t>
  </si>
  <si>
    <t>Lippe</t>
  </si>
  <si>
    <t>Jip Lippe</t>
  </si>
  <si>
    <t>0641450653</t>
  </si>
  <si>
    <t>Dalsteindreef</t>
  </si>
  <si>
    <t>1102 WZ</t>
  </si>
  <si>
    <t>#BB-25-8004</t>
  </si>
  <si>
    <t>de Wit-van Zandwijk</t>
  </si>
  <si>
    <t>Esther de Wit-van Zandwijk</t>
  </si>
  <si>
    <t>0641194848</t>
  </si>
  <si>
    <t>Bredeweg 6</t>
  </si>
  <si>
    <t>1098 BP</t>
  </si>
  <si>
    <t>#BB-25-8046</t>
  </si>
  <si>
    <t>T.a.v Marcia</t>
  </si>
  <si>
    <t>Marcia de Boer</t>
  </si>
  <si>
    <t>Winkwaves</t>
  </si>
  <si>
    <t>0657910168</t>
  </si>
  <si>
    <t>Saturnusstraat 60</t>
  </si>
  <si>
    <t>Unit nr. 80</t>
  </si>
  <si>
    <t>2516 AH</t>
  </si>
  <si>
    <t>#BB-25-8130</t>
  </si>
  <si>
    <t>Huynink-Stolk</t>
  </si>
  <si>
    <t>Matthias Huynink-Stolk</t>
  </si>
  <si>
    <t>0657711252</t>
  </si>
  <si>
    <t>Van Goghstraat 72</t>
  </si>
  <si>
    <t>6813 HH</t>
  </si>
  <si>
    <t>ARNHEM</t>
  </si>
  <si>
    <t>#BB-25-8136</t>
  </si>
  <si>
    <t>van Burik</t>
  </si>
  <si>
    <t>Paula van Burik</t>
  </si>
  <si>
    <t>0627153460</t>
  </si>
  <si>
    <t>Bijleveldlaan 4</t>
  </si>
  <si>
    <t>2361 VB</t>
  </si>
  <si>
    <t>Warmond</t>
  </si>
  <si>
    <t>#BB-25-8141</t>
  </si>
  <si>
    <t>Chaigneau</t>
  </si>
  <si>
    <t>Kim Chaigneau</t>
  </si>
  <si>
    <t>0628577423</t>
  </si>
  <si>
    <t>Laan van Chartroise 215</t>
  </si>
  <si>
    <t>3552 ET</t>
  </si>
  <si>
    <t>#BB-25-8142</t>
  </si>
  <si>
    <t>Berivan</t>
  </si>
  <si>
    <t>Berivan Kaya</t>
  </si>
  <si>
    <t>0624919338</t>
  </si>
  <si>
    <t>Tijgeroogstraat 9</t>
  </si>
  <si>
    <t>2332 RL</t>
  </si>
  <si>
    <t>#BB-25-8150</t>
  </si>
  <si>
    <t>Groeneveld</t>
  </si>
  <si>
    <t>Anne Groeneveld</t>
  </si>
  <si>
    <t>0650545070</t>
  </si>
  <si>
    <t>Jam Bernardusstraat 20</t>
  </si>
  <si>
    <t>HR</t>
  </si>
  <si>
    <t>1091 TT</t>
  </si>
  <si>
    <t>#BB-25-8151</t>
  </si>
  <si>
    <t>Brander</t>
  </si>
  <si>
    <t>Ellen Brander</t>
  </si>
  <si>
    <t>+31652642528</t>
  </si>
  <si>
    <t>Aalsmeerweg 19-2</t>
  </si>
  <si>
    <t>1059 AA</t>
  </si>
  <si>
    <t>#BB-25-8155</t>
  </si>
  <si>
    <t>Sprokkel</t>
  </si>
  <si>
    <t>Tessa Sprokkel</t>
  </si>
  <si>
    <t>0617066474</t>
  </si>
  <si>
    <t>Graaf Florishof 23</t>
  </si>
  <si>
    <t>3632 BR</t>
  </si>
  <si>
    <t>Loenen aan de Vecht</t>
  </si>
  <si>
    <t>#BB-25-8158</t>
  </si>
  <si>
    <t>Van Kooij</t>
  </si>
  <si>
    <t>Marit Van Kooij</t>
  </si>
  <si>
    <t>+31657993418</t>
  </si>
  <si>
    <t>Bosuillaan 3</t>
  </si>
  <si>
    <t>3722 XC</t>
  </si>
  <si>
    <t>#BB-25-8159</t>
  </si>
  <si>
    <t>Rutger</t>
  </si>
  <si>
    <t>Canrinus</t>
  </si>
  <si>
    <t>Rutger Canrinus</t>
  </si>
  <si>
    <t>0681890715</t>
  </si>
  <si>
    <t>Laurierstraat 38HS</t>
  </si>
  <si>
    <t>1016 PN</t>
  </si>
  <si>
    <t>#BB-25-8132</t>
  </si>
  <si>
    <t>Office</t>
  </si>
  <si>
    <t>assistant</t>
  </si>
  <si>
    <t>Assistants</t>
  </si>
  <si>
    <t>Office Assistants</t>
  </si>
  <si>
    <t>Stichting INGKA Foundation</t>
  </si>
  <si>
    <t>0715240400</t>
  </si>
  <si>
    <t>Dellaertweg 9G</t>
  </si>
  <si>
    <t>2316 WZ</t>
  </si>
  <si>
    <t>#BB-25-8176</t>
  </si>
  <si>
    <t>Monika</t>
  </si>
  <si>
    <t>Kösters</t>
  </si>
  <si>
    <t>Monika Kösters</t>
  </si>
  <si>
    <t>0614967069</t>
  </si>
  <si>
    <t>Parkstraat 26</t>
  </si>
  <si>
    <t>1544 AP</t>
  </si>
  <si>
    <t>Zaandijk</t>
  </si>
  <si>
    <t>BETERBOOMPJE5P92QF4MQ</t>
  </si>
  <si>
    <t>#BB-25-8177</t>
  </si>
  <si>
    <t>Arink</t>
  </si>
  <si>
    <t>Milou Arink</t>
  </si>
  <si>
    <t>+31619660197</t>
  </si>
  <si>
    <t>tt. Vasumweg 36-R7</t>
  </si>
  <si>
    <t>#BB-25-8179</t>
  </si>
  <si>
    <t>Mirella</t>
  </si>
  <si>
    <t>Schepers-van Zoelen</t>
  </si>
  <si>
    <t>Mirella Schepers-van Zoelen</t>
  </si>
  <si>
    <t>0647514374</t>
  </si>
  <si>
    <t>Blauwe Tramstraat</t>
  </si>
  <si>
    <t>2311 ZX</t>
  </si>
  <si>
    <t>LEIDEN</t>
  </si>
  <si>
    <t>#BB-25-8181</t>
  </si>
  <si>
    <t>Elvira</t>
  </si>
  <si>
    <t>Heij</t>
  </si>
  <si>
    <t>Elvira Heij</t>
  </si>
  <si>
    <t>0631200748</t>
  </si>
  <si>
    <t>Alexanderstraat 85</t>
  </si>
  <si>
    <t>6812 BD</t>
  </si>
  <si>
    <t>#BB-25-8182</t>
  </si>
  <si>
    <t>Piovillico</t>
  </si>
  <si>
    <t>Angelique Piovillico</t>
  </si>
  <si>
    <t>0612150392</t>
  </si>
  <si>
    <t>R.J.H. Fortuynplein 118</t>
  </si>
  <si>
    <t>1019 WN</t>
  </si>
  <si>
    <t>#BB-25-8183</t>
  </si>
  <si>
    <t>Zorana</t>
  </si>
  <si>
    <t>Zorana Vos</t>
  </si>
  <si>
    <t>0642934344</t>
  </si>
  <si>
    <t>Oostelijke Handelskade 45</t>
  </si>
  <si>
    <t>1019 BW</t>
  </si>
  <si>
    <t>#BB-25-8185</t>
  </si>
  <si>
    <t>Koppe</t>
  </si>
  <si>
    <t>Erik Koppe</t>
  </si>
  <si>
    <t>0639372393</t>
  </si>
  <si>
    <t>Johan de Wittstraat 36</t>
  </si>
  <si>
    <t>2334 AR</t>
  </si>
  <si>
    <t>#BB-25-8194</t>
  </si>
  <si>
    <t>Theresia</t>
  </si>
  <si>
    <t>Nieboer</t>
  </si>
  <si>
    <t>Theresia Nieboer</t>
  </si>
  <si>
    <t>0628881546</t>
  </si>
  <si>
    <t>Bieremalaan 13</t>
  </si>
  <si>
    <t>2497 AW</t>
  </si>
  <si>
    <t>#BB-25-8202</t>
  </si>
  <si>
    <t>Metaal</t>
  </si>
  <si>
    <t>Michelle Metaal</t>
  </si>
  <si>
    <t>Puur &amp; Pracht</t>
  </si>
  <si>
    <t>0640940606</t>
  </si>
  <si>
    <t>Voorheuvel 10</t>
  </si>
  <si>
    <t>3701 JE</t>
  </si>
  <si>
    <t>Zeist</t>
  </si>
  <si>
    <t>#BB-25-8204</t>
  </si>
  <si>
    <t>Isa</t>
  </si>
  <si>
    <t>Brueren</t>
  </si>
  <si>
    <t>Isa Brueren</t>
  </si>
  <si>
    <t>0645122233</t>
  </si>
  <si>
    <t>Jacob Catsstraat 76</t>
  </si>
  <si>
    <t>3035 PR</t>
  </si>
  <si>
    <t>#BB-25-8206</t>
  </si>
  <si>
    <t>Tim Nguyen</t>
  </si>
  <si>
    <t>0683064989</t>
  </si>
  <si>
    <t>Schiedamseweg 94A-01</t>
  </si>
  <si>
    <t>3025 AG</t>
  </si>
  <si>
    <t>#BB-25-8213</t>
  </si>
  <si>
    <t>Maaike van Vugt</t>
  </si>
  <si>
    <t>0623971880</t>
  </si>
  <si>
    <t>Jan Bijhouwerstraat 50</t>
  </si>
  <si>
    <t>1447 GV</t>
  </si>
  <si>
    <t>Purmerend</t>
  </si>
  <si>
    <t>#BB-25-8217</t>
  </si>
  <si>
    <t>Jonathan</t>
  </si>
  <si>
    <t>Heino</t>
  </si>
  <si>
    <t>Jonathan Heino</t>
  </si>
  <si>
    <t>0615591448</t>
  </si>
  <si>
    <t>Ambtsbos 47</t>
  </si>
  <si>
    <t>6718 HM</t>
  </si>
  <si>
    <t>#BB-25-8218</t>
  </si>
  <si>
    <t>Birre</t>
  </si>
  <si>
    <t>Van den Heuvel</t>
  </si>
  <si>
    <t>Birre Van den Heuvel</t>
  </si>
  <si>
    <t>0624502016</t>
  </si>
  <si>
    <t>Prinseneiland 37</t>
  </si>
  <si>
    <t>IV</t>
  </si>
  <si>
    <t>1013 LL</t>
  </si>
  <si>
    <t>#BB-25-8219</t>
  </si>
  <si>
    <t>DEKKER</t>
  </si>
  <si>
    <t>Marjolein Dekker</t>
  </si>
  <si>
    <t>0031618540998</t>
  </si>
  <si>
    <t>Esmoreitstraat 32-1</t>
  </si>
  <si>
    <t>1055 CG</t>
  </si>
  <si>
    <t>#BB-25-8220</t>
  </si>
  <si>
    <t>Joya</t>
  </si>
  <si>
    <t>van den Boog</t>
  </si>
  <si>
    <t>Joya van den Boog</t>
  </si>
  <si>
    <t>0624278007</t>
  </si>
  <si>
    <t>Buitenhof 13</t>
  </si>
  <si>
    <t>3632 CD</t>
  </si>
  <si>
    <t>Loenen Aan De Vecht</t>
  </si>
  <si>
    <t>#BB-25-8225</t>
  </si>
  <si>
    <t>Beate</t>
  </si>
  <si>
    <t>Rudolph</t>
  </si>
  <si>
    <t>Beate Rudolph</t>
  </si>
  <si>
    <t>0642889573</t>
  </si>
  <si>
    <t>Diepenbeekplantsoen 38</t>
  </si>
  <si>
    <t>1066 KJ</t>
  </si>
  <si>
    <t>#BB-25-8228</t>
  </si>
  <si>
    <t>Annette</t>
  </si>
  <si>
    <t>Jelsma</t>
  </si>
  <si>
    <t>Annette Jelsma</t>
  </si>
  <si>
    <t>0645147472</t>
  </si>
  <si>
    <t>Cornelis Ketelstraat 33</t>
  </si>
  <si>
    <t>2806 SK</t>
  </si>
  <si>
    <t>#BB-25-8234</t>
  </si>
  <si>
    <t>Bodewes</t>
  </si>
  <si>
    <t>Mariëtte Bodewes</t>
  </si>
  <si>
    <t>0641484685</t>
  </si>
  <si>
    <t>Menno van Coehoornstraat 49</t>
  </si>
  <si>
    <t>4811 AV</t>
  </si>
  <si>
    <t>#BB-25-8236</t>
  </si>
  <si>
    <t>Azra</t>
  </si>
  <si>
    <t>Teijen</t>
  </si>
  <si>
    <t>Azra Teijen</t>
  </si>
  <si>
    <t>0615253489</t>
  </si>
  <si>
    <t>Westzaanstraat 39-2</t>
  </si>
  <si>
    <t>1013 ND</t>
  </si>
  <si>
    <t>#BB-25-8237</t>
  </si>
  <si>
    <t>Jies</t>
  </si>
  <si>
    <t>Linthorst</t>
  </si>
  <si>
    <t>J. Linthorst</t>
  </si>
  <si>
    <t>0681144243</t>
  </si>
  <si>
    <t>Stationsstraat 39</t>
  </si>
  <si>
    <t>1506 DB</t>
  </si>
  <si>
    <t>Zaandam</t>
  </si>
  <si>
    <t>#BB-25-8134</t>
  </si>
  <si>
    <t>Jonna</t>
  </si>
  <si>
    <t>Epker</t>
  </si>
  <si>
    <t>Jonna Epker</t>
  </si>
  <si>
    <t>0615000179</t>
  </si>
  <si>
    <t>Sint Annastraat 45</t>
  </si>
  <si>
    <t>6524 EE</t>
  </si>
  <si>
    <t>#BB-25-8135</t>
  </si>
  <si>
    <t>Valize</t>
  </si>
  <si>
    <t>Iris Valize</t>
  </si>
  <si>
    <t>plnktn</t>
  </si>
  <si>
    <t>0648606732</t>
  </si>
  <si>
    <t>Stadhouderskade 156</t>
  </si>
  <si>
    <t>1074 BC</t>
  </si>
  <si>
    <t>#BB-25-8167</t>
  </si>
  <si>
    <t>Pijpers</t>
  </si>
  <si>
    <t>Joyce Pijpers</t>
  </si>
  <si>
    <t>0643920806</t>
  </si>
  <si>
    <t>Tussenbusstraat 68</t>
  </si>
  <si>
    <t>3534 BM</t>
  </si>
  <si>
    <t>#BB-25-8274</t>
  </si>
  <si>
    <t>Bauke</t>
  </si>
  <si>
    <t>De vries</t>
  </si>
  <si>
    <t>Bauke De vries</t>
  </si>
  <si>
    <t>0650621108</t>
  </si>
  <si>
    <t>Oosterseveldweg 6</t>
  </si>
  <si>
    <t>8391 MA</t>
  </si>
  <si>
    <t>Noordwolde</t>
  </si>
  <si>
    <t>#BB-25-8284</t>
  </si>
  <si>
    <t>Ank</t>
  </si>
  <si>
    <t>Ank Verhoeven</t>
  </si>
  <si>
    <t>0651005676</t>
  </si>
  <si>
    <t>Sint Odulphusstraat 23</t>
  </si>
  <si>
    <t>5614 AN</t>
  </si>
  <si>
    <t>#BB-25-8288</t>
  </si>
  <si>
    <t>van den Boorn</t>
  </si>
  <si>
    <t>Robert van den Boorn</t>
  </si>
  <si>
    <t>0631680307</t>
  </si>
  <si>
    <t>Van Lansbergestraat 202</t>
  </si>
  <si>
    <t>2593 SK</t>
  </si>
  <si>
    <t>#BB-25-8289</t>
  </si>
  <si>
    <t>Samantha Prins</t>
  </si>
  <si>
    <t>Progress Clinical Research Holding B.V.</t>
  </si>
  <si>
    <t>0683654949</t>
  </si>
  <si>
    <t>Cronenburg</t>
  </si>
  <si>
    <t>1081 GM</t>
  </si>
  <si>
    <t>#BB-25-8312</t>
  </si>
  <si>
    <t>Manja</t>
  </si>
  <si>
    <t>Willemse</t>
  </si>
  <si>
    <t>Manja Willemse</t>
  </si>
  <si>
    <t>0612908998</t>
  </si>
  <si>
    <t>Sportlaan 113</t>
  </si>
  <si>
    <t>2566 GN</t>
  </si>
  <si>
    <t>#BB-25-8314</t>
  </si>
  <si>
    <t>Vogelaar</t>
  </si>
  <si>
    <t>Saskia Vogelaar</t>
  </si>
  <si>
    <t>0651250037</t>
  </si>
  <si>
    <t>Abraham Tuschinskistraat 26</t>
  </si>
  <si>
    <t>3015 GK</t>
  </si>
  <si>
    <t>#BB-25-8315</t>
  </si>
  <si>
    <t>Irwan</t>
  </si>
  <si>
    <t>droog</t>
  </si>
  <si>
    <t>Droog</t>
  </si>
  <si>
    <t>Irwan Droog</t>
  </si>
  <si>
    <t>0641521095</t>
  </si>
  <si>
    <t>Jisperveldstraat 416</t>
  </si>
  <si>
    <t>1024 AV</t>
  </si>
  <si>
    <t>Ansterdam</t>
  </si>
  <si>
    <t>#BB-25-8318</t>
  </si>
  <si>
    <t>Folkert</t>
  </si>
  <si>
    <t>van Diggelen</t>
  </si>
  <si>
    <t>Folkert van Diggelen</t>
  </si>
  <si>
    <t>0622676228</t>
  </si>
  <si>
    <t>Meyenhage 412</t>
  </si>
  <si>
    <t>3085 CK</t>
  </si>
  <si>
    <t>#BB-25-8326</t>
  </si>
  <si>
    <t>Chaja</t>
  </si>
  <si>
    <t>Chaja Samuel</t>
  </si>
  <si>
    <t>+31655726873</t>
  </si>
  <si>
    <t>Marcusstraat 37</t>
  </si>
  <si>
    <t>1091 TJ</t>
  </si>
  <si>
    <t>#BB-25-8328</t>
  </si>
  <si>
    <t>Croker- Holdorp</t>
  </si>
  <si>
    <t>Holdorp</t>
  </si>
  <si>
    <t>Maartje Holdorp</t>
  </si>
  <si>
    <t>0634345512</t>
  </si>
  <si>
    <t>Okkernootstraat 37</t>
  </si>
  <si>
    <t>2555 ZB</t>
  </si>
  <si>
    <t>#BB-25-8329</t>
  </si>
  <si>
    <t>Sofie</t>
  </si>
  <si>
    <t>Tennekes</t>
  </si>
  <si>
    <t>Sofie Tennekes</t>
  </si>
  <si>
    <t>0650565624</t>
  </si>
  <si>
    <t>Willem Barentszstraat 85</t>
  </si>
  <si>
    <t>3572 PE</t>
  </si>
  <si>
    <t>#BB-25-8330</t>
  </si>
  <si>
    <t>Willering</t>
  </si>
  <si>
    <t>Mieke Willering</t>
  </si>
  <si>
    <t>647226809</t>
  </si>
  <si>
    <t>109A</t>
  </si>
  <si>
    <t>1057 ET</t>
  </si>
  <si>
    <t>#BB-25-8334</t>
  </si>
  <si>
    <t>Rave</t>
  </si>
  <si>
    <t>F Rave</t>
  </si>
  <si>
    <t>+31630628046</t>
  </si>
  <si>
    <t>Winterswijksestraat 45</t>
  </si>
  <si>
    <t>7126 AA</t>
  </si>
  <si>
    <t>Bredevoort</t>
  </si>
  <si>
    <t>#BB-25-8335</t>
  </si>
  <si>
    <t>Schipper</t>
  </si>
  <si>
    <t>Menno Schipper</t>
  </si>
  <si>
    <t>0611369972</t>
  </si>
  <si>
    <t>Van Maerlantstraat 26</t>
  </si>
  <si>
    <t>5025 PK</t>
  </si>
  <si>
    <t>#BB-25-8336</t>
  </si>
  <si>
    <t>Ploum</t>
  </si>
  <si>
    <t>Lara Ploum</t>
  </si>
  <si>
    <t>646628051</t>
  </si>
  <si>
    <t>Spaarndammerdijk 164</t>
  </si>
  <si>
    <t>1013 ZS</t>
  </si>
  <si>
    <t>#BB-25-8343</t>
  </si>
  <si>
    <t>Melissa Roos</t>
  </si>
  <si>
    <t>0614340743</t>
  </si>
  <si>
    <t>Duinweg Of Duivelslaan 56</t>
  </si>
  <si>
    <t>2082 CC</t>
  </si>
  <si>
    <t>Santpoort Zuid</t>
  </si>
  <si>
    <t>#BB-25-8276</t>
  </si>
  <si>
    <t>Arnts</t>
  </si>
  <si>
    <t>Chantal Arnts</t>
  </si>
  <si>
    <t>0653959544</t>
  </si>
  <si>
    <t>Tweede Atjehstraat 36-3</t>
  </si>
  <si>
    <t>1094 LH</t>
  </si>
  <si>
    <t>#BB-25-8348</t>
  </si>
  <si>
    <t>Helle</t>
  </si>
  <si>
    <t>Vefald</t>
  </si>
  <si>
    <t>Helle Vefald</t>
  </si>
  <si>
    <t>0650674776</t>
  </si>
  <si>
    <t>Laan 1813 5</t>
  </si>
  <si>
    <t>3732 XN</t>
  </si>
  <si>
    <t>De Bilt</t>
  </si>
  <si>
    <t>#BB-25-8356</t>
  </si>
  <si>
    <t>Greeuw</t>
  </si>
  <si>
    <t>Yvonne Greeuw</t>
  </si>
  <si>
    <t>0631361575</t>
  </si>
  <si>
    <t>Retiefstraat 4E</t>
  </si>
  <si>
    <t>1092 XC</t>
  </si>
  <si>
    <t>#BB-25-8358</t>
  </si>
  <si>
    <t>de Roos</t>
  </si>
  <si>
    <t>De Roos</t>
  </si>
  <si>
    <t>Stijn De Roos</t>
  </si>
  <si>
    <t>0638508693</t>
  </si>
  <si>
    <t>Willem Beukelszoonstraat 5</t>
  </si>
  <si>
    <t>2584 XN</t>
  </si>
  <si>
    <t>#BB-25-8362</t>
  </si>
  <si>
    <t>Madeleine Schouten</t>
  </si>
  <si>
    <t>0611163915</t>
  </si>
  <si>
    <t>Slachthuisstraat 17Z</t>
  </si>
  <si>
    <t>2033 HB</t>
  </si>
  <si>
    <t>#BB-25-8277</t>
  </si>
  <si>
    <t>Checkout-Method: shipping
 Shipping-Day: saturday
 Shipping-Date: 2025/11/29</t>
  </si>
  <si>
    <t>Esmee Ooms</t>
  </si>
  <si>
    <t>0628250073</t>
  </si>
  <si>
    <t>Willem de Zwijgerlaan 92</t>
  </si>
  <si>
    <t>2051 KJ</t>
  </si>
  <si>
    <t>Overveen</t>
  </si>
  <si>
    <t>#BB-25-8280</t>
  </si>
  <si>
    <t>Wacquier</t>
  </si>
  <si>
    <t>Natalia</t>
  </si>
  <si>
    <t>Natalia Wacquier</t>
  </si>
  <si>
    <t>0645329221</t>
  </si>
  <si>
    <t>Houting 5</t>
  </si>
  <si>
    <t>4007 NN</t>
  </si>
  <si>
    <t>#BB-25-8347</t>
  </si>
  <si>
    <t>Den Uijl</t>
  </si>
  <si>
    <t>Arianne Den Uijl</t>
  </si>
  <si>
    <t>0623159463</t>
  </si>
  <si>
    <t>Doetseweg 63</t>
  </si>
  <si>
    <t>3381 KE</t>
  </si>
  <si>
    <t>Giessenburg</t>
  </si>
  <si>
    <t>#BB-25-8370</t>
  </si>
  <si>
    <t>Gea</t>
  </si>
  <si>
    <t>Wolfslag</t>
  </si>
  <si>
    <t>Gea Wolfslag</t>
  </si>
  <si>
    <t>0628531003</t>
  </si>
  <si>
    <t>Pekelharinghaven 34</t>
  </si>
  <si>
    <t>1671 HM</t>
  </si>
  <si>
    <t>Medemblik</t>
  </si>
  <si>
    <t>#BB-25-8393</t>
  </si>
  <si>
    <t>den Hartog</t>
  </si>
  <si>
    <t>Kim den Hartog</t>
  </si>
  <si>
    <t>0622258022</t>
  </si>
  <si>
    <t>Oranjestraat 194</t>
  </si>
  <si>
    <t>2983 HW</t>
  </si>
  <si>
    <t>#BB-25-8394</t>
  </si>
  <si>
    <t>Van Luijk</t>
  </si>
  <si>
    <t>Wietske Van Luijk</t>
  </si>
  <si>
    <t>0634436917</t>
  </si>
  <si>
    <t>Rubenslaan 30</t>
  </si>
  <si>
    <t>3862 ZN</t>
  </si>
  <si>
    <t>Nijkerk</t>
  </si>
  <si>
    <t>#BB-25-8395</t>
  </si>
  <si>
    <t>Swagerman</t>
  </si>
  <si>
    <t>Britt Swagerman</t>
  </si>
  <si>
    <t>0622937089</t>
  </si>
  <si>
    <t>Ijsbaanpad 100</t>
  </si>
  <si>
    <t>1076 CW</t>
  </si>
  <si>
    <t>#BB-25-8396</t>
  </si>
  <si>
    <t>Van der Lely</t>
  </si>
  <si>
    <t>Nathalie Van der Lely</t>
  </si>
  <si>
    <t>0636506718</t>
  </si>
  <si>
    <t>Mispelstraat 23</t>
  </si>
  <si>
    <t>2564 TP</t>
  </si>
  <si>
    <t>#BB-25-8402</t>
  </si>
  <si>
    <t>Marco</t>
  </si>
  <si>
    <t>de Moulin</t>
  </si>
  <si>
    <t>Marco de Moulin</t>
  </si>
  <si>
    <t>0651438885</t>
  </si>
  <si>
    <t>Rusthoflaan 10</t>
  </si>
  <si>
    <t>2271 VJ</t>
  </si>
  <si>
    <t>#BB-25-8404</t>
  </si>
  <si>
    <t>van der Meijden</t>
  </si>
  <si>
    <t>Cindy van der Meijden</t>
  </si>
  <si>
    <t>0648792131</t>
  </si>
  <si>
    <t>Stampioenstraat 35</t>
  </si>
  <si>
    <t>3071 TJ</t>
  </si>
  <si>
    <t>#BB-25-8371</t>
  </si>
  <si>
    <t>Thieng-Uun</t>
  </si>
  <si>
    <t>Hiu</t>
  </si>
  <si>
    <t>Thieng-Uun Hiu</t>
  </si>
  <si>
    <t>0614495209</t>
  </si>
  <si>
    <t>Magneetveld 9</t>
  </si>
  <si>
    <t>1359 JA</t>
  </si>
  <si>
    <t>#BB-25-8409</t>
  </si>
  <si>
    <t>Rübli</t>
  </si>
  <si>
    <t>De Burlet</t>
  </si>
  <si>
    <t>Rübli De Burlet</t>
  </si>
  <si>
    <t>0683989106</t>
  </si>
  <si>
    <t>Spionkopstraat 2</t>
  </si>
  <si>
    <t>2021 TK</t>
  </si>
  <si>
    <t>#BB-25-8410</t>
  </si>
  <si>
    <t>Anniek</t>
  </si>
  <si>
    <t>Hekman</t>
  </si>
  <si>
    <t>Anniek Hekman</t>
  </si>
  <si>
    <t>0622417040</t>
  </si>
  <si>
    <t>Herenweg 140</t>
  </si>
  <si>
    <t>8025 AE</t>
  </si>
  <si>
    <t>#BB-25-8416</t>
  </si>
  <si>
    <t>Milon</t>
  </si>
  <si>
    <t>Van Vliet</t>
  </si>
  <si>
    <t>Milon Van Vliet</t>
  </si>
  <si>
    <t>0681849504</t>
  </si>
  <si>
    <t>Maria Stuartplein 395</t>
  </si>
  <si>
    <t>2595 BW</t>
  </si>
  <si>
    <t>#BB-25-8418</t>
  </si>
  <si>
    <t>Magalí</t>
  </si>
  <si>
    <t>Holotiuk</t>
  </si>
  <si>
    <t>Magalí Holotiuk</t>
  </si>
  <si>
    <t>0630418269</t>
  </si>
  <si>
    <t>Stadhoudersstraat 30</t>
  </si>
  <si>
    <t>2282 PP</t>
  </si>
  <si>
    <t>#BB-25-8421</t>
  </si>
  <si>
    <t>Ruerd</t>
  </si>
  <si>
    <t>Ruerd Wijma</t>
  </si>
  <si>
    <t>0651371749</t>
  </si>
  <si>
    <t>Karel van Gelderstraat 43</t>
  </si>
  <si>
    <t>6828 HM</t>
  </si>
  <si>
    <t>#BB-25-8422</t>
  </si>
  <si>
    <t>vd Zweerde</t>
  </si>
  <si>
    <t>van der Zweerde</t>
  </si>
  <si>
    <t>Tanja van der Zweerde</t>
  </si>
  <si>
    <t>0616280363</t>
  </si>
  <si>
    <t>Noordzeestraat 41</t>
  </si>
  <si>
    <t>3522 PJ</t>
  </si>
  <si>
    <t>#BB-25-8426</t>
  </si>
  <si>
    <t>MC</t>
  </si>
  <si>
    <t>De Haan-van Buren</t>
  </si>
  <si>
    <t>Marleen De Haan-van Buren</t>
  </si>
  <si>
    <t>0618848724</t>
  </si>
  <si>
    <t>Catharina van Zoelenstraat</t>
  </si>
  <si>
    <t>3034 SW</t>
  </si>
  <si>
    <t>#BB-25-8427</t>
  </si>
  <si>
    <t>Ras</t>
  </si>
  <si>
    <t>Renee Ras</t>
  </si>
  <si>
    <t>0642118480</t>
  </si>
  <si>
    <t>Middelburgsestraat 1G</t>
  </si>
  <si>
    <t>2587 CS</t>
  </si>
  <si>
    <t>#BB-25-8429</t>
  </si>
  <si>
    <t>Gwyn</t>
  </si>
  <si>
    <t>Claire Gwyn</t>
  </si>
  <si>
    <t>614395311</t>
  </si>
  <si>
    <t>Tweede Oosterparkstraat</t>
  </si>
  <si>
    <t>154 D</t>
  </si>
  <si>
    <t>1092 BR</t>
  </si>
  <si>
    <t>#BB-25-8432</t>
  </si>
  <si>
    <t>Remijn</t>
  </si>
  <si>
    <t>Tom Remijn</t>
  </si>
  <si>
    <t>0612069779</t>
  </si>
  <si>
    <t>Mendelhof</t>
  </si>
  <si>
    <t>1098 TN</t>
  </si>
  <si>
    <t>#BB-25-8433</t>
  </si>
  <si>
    <t>Oda</t>
  </si>
  <si>
    <t>Oda Kok</t>
  </si>
  <si>
    <t>0623673642</t>
  </si>
  <si>
    <t>Limoenhof 4</t>
  </si>
  <si>
    <t>2564 KV</t>
  </si>
  <si>
    <t>#BB-25-8436</t>
  </si>
  <si>
    <t>febe</t>
  </si>
  <si>
    <t>verelst</t>
  </si>
  <si>
    <t>febe verelst</t>
  </si>
  <si>
    <t>0621879732</t>
  </si>
  <si>
    <t>Werfstraat 15</t>
  </si>
  <si>
    <t>1723 MH</t>
  </si>
  <si>
    <t>Noord-Scharwoude</t>
  </si>
  <si>
    <t>#BB-25-8440</t>
  </si>
  <si>
    <t>van Bodegraven</t>
  </si>
  <si>
    <t>Lisa van Bodegraven</t>
  </si>
  <si>
    <t>0615645918</t>
  </si>
  <si>
    <t>Orteliuskade 33-3</t>
  </si>
  <si>
    <t>1057 AE</t>
  </si>
  <si>
    <t>#BB-25-8441</t>
  </si>
  <si>
    <t>van der Schouw</t>
  </si>
  <si>
    <t>Yvonne van der Schouw</t>
  </si>
  <si>
    <t>0617654969</t>
  </si>
  <si>
    <t>Park Arenberg 83</t>
  </si>
  <si>
    <t>3731 EP</t>
  </si>
  <si>
    <t>#BB-25-8442</t>
  </si>
  <si>
    <t>Nicky</t>
  </si>
  <si>
    <t>Werumeus Buning</t>
  </si>
  <si>
    <t>Nicky Werumeus Buning</t>
  </si>
  <si>
    <t>0657237281</t>
  </si>
  <si>
    <t>Karel Doormanlaan 143</t>
  </si>
  <si>
    <t>3572 NP</t>
  </si>
  <si>
    <t>#BB-25-8447</t>
  </si>
  <si>
    <t>Guillén</t>
  </si>
  <si>
    <t>Carmen Guillén</t>
  </si>
  <si>
    <t>611110184</t>
  </si>
  <si>
    <t>Reinier Engelmanstraat 155</t>
  </si>
  <si>
    <t>1065 TT</t>
  </si>
  <si>
    <t>#BB-25-8449</t>
  </si>
  <si>
    <t>Carlo</t>
  </si>
  <si>
    <t>Rengo</t>
  </si>
  <si>
    <t>Carlo Rengo</t>
  </si>
  <si>
    <t>0645360970</t>
  </si>
  <si>
    <t>Polkastraat 4</t>
  </si>
  <si>
    <t>1326 RE</t>
  </si>
  <si>
    <t>#BB-25-8452</t>
  </si>
  <si>
    <t>Roxy</t>
  </si>
  <si>
    <t>Scheepbouwer</t>
  </si>
  <si>
    <t>Roxy Scheepbouwer</t>
  </si>
  <si>
    <t>0648331321</t>
  </si>
  <si>
    <t>De Wittenkade 14A</t>
  </si>
  <si>
    <t>1051 AA</t>
  </si>
  <si>
    <t>#BB-25-8454</t>
  </si>
  <si>
    <t>Fokke</t>
  </si>
  <si>
    <t>Carolien Fokke</t>
  </si>
  <si>
    <t>0639038072</t>
  </si>
  <si>
    <t>Hoogewei 35</t>
  </si>
  <si>
    <t>4464 AN</t>
  </si>
  <si>
    <t>#BB-25-8459</t>
  </si>
  <si>
    <t>Merijn</t>
  </si>
  <si>
    <t>Merijn Mulder</t>
  </si>
  <si>
    <t>+31627397896</t>
  </si>
  <si>
    <t>Pomonaplein 65</t>
  </si>
  <si>
    <t>2564 XS</t>
  </si>
  <si>
    <t>#BB-25-8462</t>
  </si>
  <si>
    <t>Meese-Janssen</t>
  </si>
  <si>
    <t>Gemma Janssen</t>
  </si>
  <si>
    <t>0031612828558</t>
  </si>
  <si>
    <t>Hoenderstraat 15</t>
  </si>
  <si>
    <t>6269 BS</t>
  </si>
  <si>
    <t>Margraten</t>
  </si>
  <si>
    <t>#BB-25-8463</t>
  </si>
  <si>
    <t>Gerda</t>
  </si>
  <si>
    <t>Hoogendam-van Drimmelen</t>
  </si>
  <si>
    <t>Gerda Hoogendam-van Drimmelen</t>
  </si>
  <si>
    <t>0653610688</t>
  </si>
  <si>
    <t>Guineelaan 24</t>
  </si>
  <si>
    <t>2622 DD</t>
  </si>
  <si>
    <t>#BB-25-8479</t>
  </si>
  <si>
    <t>Carianne</t>
  </si>
  <si>
    <t>Deelstra</t>
  </si>
  <si>
    <t>Carianne Deelstra</t>
  </si>
  <si>
    <t>0649042260</t>
  </si>
  <si>
    <t>Voorhaven 37</t>
  </si>
  <si>
    <t>3025 HC</t>
  </si>
  <si>
    <t>#BB-25-8484</t>
  </si>
  <si>
    <t>Ligthart</t>
  </si>
  <si>
    <t>Ton Ligthart</t>
  </si>
  <si>
    <t>0648104410</t>
  </si>
  <si>
    <t>Brouwersgracht 937</t>
  </si>
  <si>
    <t>1015 GK</t>
  </si>
  <si>
    <t>#BB-25-8485</t>
  </si>
  <si>
    <t>Eikelboom</t>
  </si>
  <si>
    <t>Diane Eikelboom</t>
  </si>
  <si>
    <t>0625511167</t>
  </si>
  <si>
    <t>Kolffpad 66</t>
  </si>
  <si>
    <t>2333 BN</t>
  </si>
  <si>
    <t>#BB-25-8488</t>
  </si>
  <si>
    <t>Matthijs de Bruijn</t>
  </si>
  <si>
    <t>0623856757</t>
  </si>
  <si>
    <t>Kadoelenweg 338</t>
  </si>
  <si>
    <t>1035 NS</t>
  </si>
  <si>
    <t>#BB-25-8489</t>
  </si>
  <si>
    <t>Djura</t>
  </si>
  <si>
    <t>Baard</t>
  </si>
  <si>
    <t>Djura Baard</t>
  </si>
  <si>
    <t>0612378481</t>
  </si>
  <si>
    <t>Schönberglaan 16</t>
  </si>
  <si>
    <t>3533 JC</t>
  </si>
  <si>
    <t>#BB-25-8490</t>
  </si>
  <si>
    <t>G.M.</t>
  </si>
  <si>
    <t>Moerkamp</t>
  </si>
  <si>
    <t>Trudy</t>
  </si>
  <si>
    <t>Trudy Moerkamp</t>
  </si>
  <si>
    <t>0610197776</t>
  </si>
  <si>
    <t>Gasthuisvest 7-C</t>
  </si>
  <si>
    <t>2011 ET</t>
  </si>
  <si>
    <t>#BB-25-8385</t>
  </si>
  <si>
    <t>van Dis</t>
  </si>
  <si>
    <t>Matthijs van Dis</t>
  </si>
  <si>
    <t>ASML</t>
  </si>
  <si>
    <t>0634276753</t>
  </si>
  <si>
    <t>Bosfazant 174</t>
  </si>
  <si>
    <t>5658 CB</t>
  </si>
  <si>
    <t>#BB-25-8390</t>
  </si>
  <si>
    <t>Doyer</t>
  </si>
  <si>
    <t>Sara Doyer</t>
  </si>
  <si>
    <t>0655715875</t>
  </si>
  <si>
    <t>Boteinstraat 1A</t>
  </si>
  <si>
    <t>9801 WH</t>
  </si>
  <si>
    <t>Zuidhorn</t>
  </si>
  <si>
    <t>#BB-25-8405</t>
  </si>
  <si>
    <t>van Gemeren</t>
  </si>
  <si>
    <t>Astrid van Gemeren</t>
  </si>
  <si>
    <t>0623762308</t>
  </si>
  <si>
    <t>Geerweg 120</t>
  </si>
  <si>
    <t>2611 VT</t>
  </si>
  <si>
    <t>#BB-25-8491</t>
  </si>
  <si>
    <t>Bake</t>
  </si>
  <si>
    <t>A. Bake</t>
  </si>
  <si>
    <t>0613742542</t>
  </si>
  <si>
    <t>Bachlaan 24</t>
  </si>
  <si>
    <t>1217 BX</t>
  </si>
  <si>
    <t>#BB-25-8512</t>
  </si>
  <si>
    <t>van der Rest</t>
  </si>
  <si>
    <t>Carolien van der Rest</t>
  </si>
  <si>
    <t>0639105421</t>
  </si>
  <si>
    <t>Delftsestraatweg 53</t>
  </si>
  <si>
    <t>Inrit via Reginastraat 15 in Delfgauw</t>
  </si>
  <si>
    <t>2645 CA</t>
  </si>
  <si>
    <t>#BB-25-8513</t>
  </si>
  <si>
    <t>Katie</t>
  </si>
  <si>
    <t>Vigna</t>
  </si>
  <si>
    <t>Katie Vigna</t>
  </si>
  <si>
    <t>0617890938</t>
  </si>
  <si>
    <t>Fabriciusstraat 40</t>
  </si>
  <si>
    <t>2032 SK</t>
  </si>
  <si>
    <t>HAARLEM</t>
  </si>
  <si>
    <t>#BB-25-8516</t>
  </si>
  <si>
    <t>Thamar</t>
  </si>
  <si>
    <t>Thamar Zijlstra</t>
  </si>
  <si>
    <t>0619930936</t>
  </si>
  <si>
    <t>Gerard Callenburgstraat 51II</t>
  </si>
  <si>
    <t>1055 TZ</t>
  </si>
  <si>
    <t>#BB-25-8518</t>
  </si>
  <si>
    <t>Herenius</t>
  </si>
  <si>
    <t>Marieke Herenius</t>
  </si>
  <si>
    <t>0642143323</t>
  </si>
  <si>
    <t>Marislaan</t>
  </si>
  <si>
    <t>3582 HE</t>
  </si>
  <si>
    <t>#BB-25-8519</t>
  </si>
  <si>
    <t>de Goederen</t>
  </si>
  <si>
    <t>Coremans</t>
  </si>
  <si>
    <t>Barbara Coremans</t>
  </si>
  <si>
    <t>0650418225</t>
  </si>
  <si>
    <t>Verdamstraat 38</t>
  </si>
  <si>
    <t>2313 PN</t>
  </si>
  <si>
    <t>#BB-25-8525</t>
  </si>
  <si>
    <t>Freud</t>
  </si>
  <si>
    <t>Marijn Freud</t>
  </si>
  <si>
    <t>0624924296</t>
  </si>
  <si>
    <t>Kerkstraat 414</t>
  </si>
  <si>
    <t>1017 JC</t>
  </si>
  <si>
    <t>#BB-25-8496</t>
  </si>
  <si>
    <t>Van de Velde</t>
  </si>
  <si>
    <t>Richard Van de Velde</t>
  </si>
  <si>
    <t>0628507286</t>
  </si>
  <si>
    <t>Clazina Kouwenbergzoom 111</t>
  </si>
  <si>
    <t>3065 KC</t>
  </si>
  <si>
    <t>#BB-25-8530</t>
  </si>
  <si>
    <t>Van As</t>
  </si>
  <si>
    <t>Suze van As</t>
  </si>
  <si>
    <t>0630930141</t>
  </si>
  <si>
    <t>Achillesstraat 55-3</t>
  </si>
  <si>
    <t>1076 PW</t>
  </si>
  <si>
    <t>#BB-25-8533</t>
  </si>
  <si>
    <t>Mila</t>
  </si>
  <si>
    <t>Middelberg</t>
  </si>
  <si>
    <t>Mila Middelberg</t>
  </si>
  <si>
    <t>0634285539</t>
  </si>
  <si>
    <t>Burgemeester de Kievietstraat 27</t>
  </si>
  <si>
    <t>1111 GJ</t>
  </si>
  <si>
    <t>#BB-25-8541</t>
  </si>
  <si>
    <t>Gorter</t>
  </si>
  <si>
    <t>Patricia Gorter</t>
  </si>
  <si>
    <t>621254898</t>
  </si>
  <si>
    <t>Rivierdijk 830C</t>
  </si>
  <si>
    <t>3371 EN</t>
  </si>
  <si>
    <t>Hardinxveld-Giessendam</t>
  </si>
  <si>
    <t>#BB-25-8549</t>
  </si>
  <si>
    <t>Groen - van Kralingen</t>
  </si>
  <si>
    <t>Talitha Groen</t>
  </si>
  <si>
    <t>0644088844</t>
  </si>
  <si>
    <t>Zilvervlekhof 25</t>
  </si>
  <si>
    <t>3192 VL</t>
  </si>
  <si>
    <t>Hoogvliet Rotterdam</t>
  </si>
  <si>
    <t>#BB-25-8560</t>
  </si>
  <si>
    <t>yvonne</t>
  </si>
  <si>
    <t>snikkers</t>
  </si>
  <si>
    <t>yvonne snikkers</t>
  </si>
  <si>
    <t>0611117420</t>
  </si>
  <si>
    <t>Rubicondreef 46</t>
  </si>
  <si>
    <t>3561 JC</t>
  </si>
  <si>
    <t>#BB-25-8561</t>
  </si>
  <si>
    <t>Sarah van der Werf</t>
  </si>
  <si>
    <t>0618129522</t>
  </si>
  <si>
    <t>Agnes van Leeuwenberchstraat 18</t>
  </si>
  <si>
    <t>Utrecht, 3515AZ, Nederland</t>
  </si>
  <si>
    <t>3515 AZ</t>
  </si>
  <si>
    <t>#BB-25-8570</t>
  </si>
  <si>
    <t>Sarie</t>
  </si>
  <si>
    <t>Sarie van der Hoeven</t>
  </si>
  <si>
    <t>0614894726</t>
  </si>
  <si>
    <t>Ernest Hemingwaystraat 9</t>
  </si>
  <si>
    <t>6836 TJ</t>
  </si>
  <si>
    <t>#BB-25-8572</t>
  </si>
  <si>
    <t>Van Weelden</t>
  </si>
  <si>
    <t>Eline Van Weelden</t>
  </si>
  <si>
    <t>0620192757</t>
  </si>
  <si>
    <t>William Barlowlaan 56</t>
  </si>
  <si>
    <t>1086 ZR</t>
  </si>
  <si>
    <t>#BB-25-8576</t>
  </si>
  <si>
    <t>Sanderman</t>
  </si>
  <si>
    <t>Hilde Sanderman</t>
  </si>
  <si>
    <t>0654266617</t>
  </si>
  <si>
    <t>Narva-eiland 87</t>
  </si>
  <si>
    <t>1014 ZJ</t>
  </si>
  <si>
    <t>#BB-25-8583</t>
  </si>
  <si>
    <t>Claartje</t>
  </si>
  <si>
    <t>Vinkenburg</t>
  </si>
  <si>
    <t>Claartje Vinkenburg</t>
  </si>
  <si>
    <t>0619806212</t>
  </si>
  <si>
    <t>Stadionweg 31</t>
  </si>
  <si>
    <t>1077 RW</t>
  </si>
  <si>
    <t>#BB-25-8585</t>
  </si>
  <si>
    <t>Sadie</t>
  </si>
  <si>
    <t>Alferink</t>
  </si>
  <si>
    <t>Sadie Alferink</t>
  </si>
  <si>
    <t>0683792449</t>
  </si>
  <si>
    <t>John Franklinstraat 71-3</t>
  </si>
  <si>
    <t>1056 TA</t>
  </si>
  <si>
    <t>#BB-25-8586</t>
  </si>
  <si>
    <t>Arensman</t>
  </si>
  <si>
    <t>Liselot Arensman</t>
  </si>
  <si>
    <t>0619179340</t>
  </si>
  <si>
    <t>Uiterwaard 34</t>
  </si>
  <si>
    <t>2841 BL</t>
  </si>
  <si>
    <t>#BB-25-8588</t>
  </si>
  <si>
    <t>Samuel Thomas</t>
  </si>
  <si>
    <t>Taminiau Osorio</t>
  </si>
  <si>
    <t>Samuel Thomas Taminiau Osorio</t>
  </si>
  <si>
    <t>0630011070</t>
  </si>
  <si>
    <t>Pieter de Hooghstraat 28</t>
  </si>
  <si>
    <t>2612 VE</t>
  </si>
  <si>
    <t>#BB-25-8590</t>
  </si>
  <si>
    <t>Caitlin</t>
  </si>
  <si>
    <t>Ryan</t>
  </si>
  <si>
    <t>Caitlin Ryan</t>
  </si>
  <si>
    <t>0619033761</t>
  </si>
  <si>
    <t>Berkenlaan 17</t>
  </si>
  <si>
    <t>9615 AW</t>
  </si>
  <si>
    <t>Kolham</t>
  </si>
  <si>
    <t>#BB-25-8596</t>
  </si>
  <si>
    <t>Cathalijne</t>
  </si>
  <si>
    <t>de Vijlder</t>
  </si>
  <si>
    <t>Cathalijne de Vijlder</t>
  </si>
  <si>
    <t>0622259749</t>
  </si>
  <si>
    <t>Van 't Hoffstraat 48A</t>
  </si>
  <si>
    <t>2313 ST</t>
  </si>
  <si>
    <t>#BB-25-8602</t>
  </si>
  <si>
    <t>Josine</t>
  </si>
  <si>
    <t>van der Heyden</t>
  </si>
  <si>
    <t>Josine van der Heyden</t>
  </si>
  <si>
    <t>0624618193</t>
  </si>
  <si>
    <t>Tarakanpad</t>
  </si>
  <si>
    <t>3072 AV</t>
  </si>
  <si>
    <t>#BB-25-8610</t>
  </si>
  <si>
    <t>Ellen van Beek</t>
  </si>
  <si>
    <t>0624649976</t>
  </si>
  <si>
    <t>Esdoornstraat 154</t>
  </si>
  <si>
    <t>2565 HW</t>
  </si>
  <si>
    <t>#BB-25-8613</t>
  </si>
  <si>
    <t>Verduyn</t>
  </si>
  <si>
    <t>Felice Verduyn</t>
  </si>
  <si>
    <t>0620343432</t>
  </si>
  <si>
    <t>Donkerelaan 57a</t>
  </si>
  <si>
    <t>2061 JK</t>
  </si>
  <si>
    <t>#BB-25-8615</t>
  </si>
  <si>
    <t>van Cronenberg</t>
  </si>
  <si>
    <t>Carlijn van Cronenberg</t>
  </si>
  <si>
    <t>0623445959</t>
  </si>
  <si>
    <t>Hinderdam 16</t>
  </si>
  <si>
    <t>4208 BN</t>
  </si>
  <si>
    <t>Gorinchem</t>
  </si>
  <si>
    <t>#BB-25-8497</t>
  </si>
  <si>
    <t>Jonk</t>
  </si>
  <si>
    <t>Suzanne Jonk</t>
  </si>
  <si>
    <t>0650829172</t>
  </si>
  <si>
    <t>Bestevaerstraat 95-3</t>
  </si>
  <si>
    <t>1056 HK</t>
  </si>
  <si>
    <t>#BB-25-8498</t>
  </si>
  <si>
    <t>Rudy</t>
  </si>
  <si>
    <t>Rudy van Loon</t>
  </si>
  <si>
    <t>0646667435</t>
  </si>
  <si>
    <t>Frans Halskade 133</t>
  </si>
  <si>
    <t>2282 TV</t>
  </si>
  <si>
    <t>#BB-25-8527</t>
  </si>
  <si>
    <t>Ruis - Coppes</t>
  </si>
  <si>
    <t>Ruis</t>
  </si>
  <si>
    <t>Nienke Ruis</t>
  </si>
  <si>
    <t>0610956191</t>
  </si>
  <si>
    <t>Stuyvesantstraat 214</t>
  </si>
  <si>
    <t>2593 GT</t>
  </si>
  <si>
    <t>#BB-25-8616</t>
  </si>
  <si>
    <t>Van Wijk</t>
  </si>
  <si>
    <t>Inge Van Wijk</t>
  </si>
  <si>
    <t>0649630239</t>
  </si>
  <si>
    <t>Ter Braaklaan 73</t>
  </si>
  <si>
    <t>1422 DD</t>
  </si>
  <si>
    <t>Uithoorn</t>
  </si>
  <si>
    <t>#BB-25-8637</t>
  </si>
  <si>
    <t>Lodder</t>
  </si>
  <si>
    <t>Sabrina Lodder</t>
  </si>
  <si>
    <t>0651461328</t>
  </si>
  <si>
    <t>Decimastraat 28</t>
  </si>
  <si>
    <t>2315 HK</t>
  </si>
  <si>
    <t>#BB-25-8638</t>
  </si>
  <si>
    <t>Samar</t>
  </si>
  <si>
    <t>Morshedi</t>
  </si>
  <si>
    <t>Samar Morshedi</t>
  </si>
  <si>
    <t>0644158972</t>
  </si>
  <si>
    <t>Mariastraat 49c</t>
  </si>
  <si>
    <t>3511 LN</t>
  </si>
  <si>
    <t>#BB-25-8644</t>
  </si>
  <si>
    <t>Laetitia</t>
  </si>
  <si>
    <t>Laetitia Van Kempen</t>
  </si>
  <si>
    <t>0618845401</t>
  </si>
  <si>
    <t>Lindengracht 158-1</t>
  </si>
  <si>
    <t>1015 KK</t>
  </si>
  <si>
    <t>#BB-25-8646</t>
  </si>
  <si>
    <t>Boerstra</t>
  </si>
  <si>
    <t>Padu</t>
  </si>
  <si>
    <t>Padu Boerstra</t>
  </si>
  <si>
    <t>0624106799</t>
  </si>
  <si>
    <t>Burgemeester Tellegenstraat 190</t>
  </si>
  <si>
    <t>1073 KG</t>
  </si>
  <si>
    <t>#BB-25-8648</t>
  </si>
  <si>
    <t>Marieke Aarts</t>
  </si>
  <si>
    <t>0647835618</t>
  </si>
  <si>
    <t>Pastoor Bosstraat 57</t>
  </si>
  <si>
    <t>6822 HW</t>
  </si>
  <si>
    <t>#BB-25-8649</t>
  </si>
  <si>
    <t>Diana</t>
  </si>
  <si>
    <t>van Gosen</t>
  </si>
  <si>
    <t>Diana van Gosen</t>
  </si>
  <si>
    <t>0639276274</t>
  </si>
  <si>
    <t>Valkenboskade 647</t>
  </si>
  <si>
    <t>2563 JH</t>
  </si>
  <si>
    <t>#BB-25-8651</t>
  </si>
  <si>
    <t>Anne van Beek</t>
  </si>
  <si>
    <t>0612229760</t>
  </si>
  <si>
    <t>Emmakade 116</t>
  </si>
  <si>
    <t>2411 JG</t>
  </si>
  <si>
    <t>Bodegraven</t>
  </si>
  <si>
    <t>#BB-25-8658</t>
  </si>
  <si>
    <t>Cathelijne</t>
  </si>
  <si>
    <t>Wentzel</t>
  </si>
  <si>
    <t>cathelijne</t>
  </si>
  <si>
    <t>wentzel</t>
  </si>
  <si>
    <t>cathelijne wentzel</t>
  </si>
  <si>
    <t>0653338227</t>
  </si>
  <si>
    <t>Händellaan 22</t>
  </si>
  <si>
    <t>2253 BL</t>
  </si>
  <si>
    <t>Voorschoten</t>
  </si>
  <si>
    <t>#BB-25-8660</t>
  </si>
  <si>
    <t>Eversteijn</t>
  </si>
  <si>
    <t>Linda Eversteijn</t>
  </si>
  <si>
    <t>0615887545</t>
  </si>
  <si>
    <t>Venloseweg 83</t>
  </si>
  <si>
    <t>6041 BT</t>
  </si>
  <si>
    <t>Roermond</t>
  </si>
  <si>
    <t>#BB-25-8665</t>
  </si>
  <si>
    <t>Hovy</t>
  </si>
  <si>
    <t>Stefan Hovy</t>
  </si>
  <si>
    <t>0628583195</t>
  </si>
  <si>
    <t>Jan van Scorelstraat 13</t>
  </si>
  <si>
    <t>3583 CJ</t>
  </si>
  <si>
    <t>#BB-25-8666</t>
  </si>
  <si>
    <t>Vie</t>
  </si>
  <si>
    <t>Vié</t>
  </si>
  <si>
    <t>Julia Vié</t>
  </si>
  <si>
    <t>0628540144</t>
  </si>
  <si>
    <t>Linnaeusstraat 39</t>
  </si>
  <si>
    <t>1093 EG</t>
  </si>
  <si>
    <t>#BB-25-8674</t>
  </si>
  <si>
    <t>Checkout-Method: shipping
 Shipping-Day: friday
 Shipping-Date: 2025/11/28</t>
  </si>
  <si>
    <t>Koole</t>
  </si>
  <si>
    <t>Hannah Koole</t>
  </si>
  <si>
    <t>0636542863</t>
  </si>
  <si>
    <t>Van Halewijnlaan 353</t>
  </si>
  <si>
    <t>2274 TL</t>
  </si>
  <si>
    <t>#BB-25-8677</t>
  </si>
  <si>
    <t>Ciske</t>
  </si>
  <si>
    <t>van Oosterhout</t>
  </si>
  <si>
    <t>Ciske van Oosterhout</t>
  </si>
  <si>
    <t>+31651070921</t>
  </si>
  <si>
    <t>Bellamystraat 13</t>
  </si>
  <si>
    <t>3514 EJ</t>
  </si>
  <si>
    <t>#BB-25-8684</t>
  </si>
  <si>
    <t>van Els</t>
  </si>
  <si>
    <t>Anne van Els</t>
  </si>
  <si>
    <t>0634931546</t>
  </si>
  <si>
    <t>Adolphine Kokplein 31</t>
  </si>
  <si>
    <t>3052 SJ</t>
  </si>
  <si>
    <t>#BB-25-8694</t>
  </si>
  <si>
    <t>Estrada de Wagt</t>
  </si>
  <si>
    <t>A Estrada de Wagt</t>
  </si>
  <si>
    <t>0648190202</t>
  </si>
  <si>
    <t>Churchill-laan 76H</t>
  </si>
  <si>
    <t>1078 EK</t>
  </si>
  <si>
    <t>#BB-25-8698</t>
  </si>
  <si>
    <t>Sofia</t>
  </si>
  <si>
    <t>van Holsteijn</t>
  </si>
  <si>
    <t>Sofia van Holsteijn</t>
  </si>
  <si>
    <t>0681159909</t>
  </si>
  <si>
    <t>van der Wyckstraat 30</t>
  </si>
  <si>
    <t>2593 XB</t>
  </si>
  <si>
    <t>#BB-25-8629</t>
  </si>
  <si>
    <t>van Wingerden</t>
  </si>
  <si>
    <t>Fleur van Wingerden</t>
  </si>
  <si>
    <t>0620309301</t>
  </si>
  <si>
    <t>Kamperfoelieplein 5</t>
  </si>
  <si>
    <t>2563 HW</t>
  </si>
  <si>
    <t>#BB-25-8701</t>
  </si>
  <si>
    <t>Wiersma</t>
  </si>
  <si>
    <t>Sanne Wiersma</t>
  </si>
  <si>
    <t>0638027623</t>
  </si>
  <si>
    <t>Paulus Potterstraat 17</t>
  </si>
  <si>
    <t>6717 TE</t>
  </si>
  <si>
    <t>#BB-25-8703</t>
  </si>
  <si>
    <t>mirella</t>
  </si>
  <si>
    <t>van basten</t>
  </si>
  <si>
    <t>Van Basten</t>
  </si>
  <si>
    <t>Mirella Van Basten</t>
  </si>
  <si>
    <t>0624667744</t>
  </si>
  <si>
    <t>kinheimplein</t>
  </si>
  <si>
    <t>2061 TJ</t>
  </si>
  <si>
    <t>bloemendaal</t>
  </si>
  <si>
    <t>#BB-25-8714</t>
  </si>
  <si>
    <t>Weerkamp</t>
  </si>
  <si>
    <t>Floor Weerkamp</t>
  </si>
  <si>
    <t>0644316128</t>
  </si>
  <si>
    <t>Kempenaar 135</t>
  </si>
  <si>
    <t>2991 PL</t>
  </si>
  <si>
    <t>#BB-25-8715</t>
  </si>
  <si>
    <t>Cleo</t>
  </si>
  <si>
    <t>van den Bercken</t>
  </si>
  <si>
    <t>Cleo van den Bercken</t>
  </si>
  <si>
    <t>0615629023</t>
  </si>
  <si>
    <t>Bernhardstraat 15</t>
  </si>
  <si>
    <t>3433 EL</t>
  </si>
  <si>
    <t>Nieuwegein</t>
  </si>
  <si>
    <t>#BB-25-8719</t>
  </si>
  <si>
    <t>Kriss</t>
  </si>
  <si>
    <t>Stallabrass</t>
  </si>
  <si>
    <t>Kriss Stallabrass</t>
  </si>
  <si>
    <t>KSCM</t>
  </si>
  <si>
    <t>0624406975</t>
  </si>
  <si>
    <t>Bisonstraat, 22</t>
  </si>
  <si>
    <t>4817 LJ</t>
  </si>
  <si>
    <t>#BB-25-8723</t>
  </si>
  <si>
    <t>van der Putten</t>
  </si>
  <si>
    <t>Myrthe van der Putten</t>
  </si>
  <si>
    <t>0614427037</t>
  </si>
  <si>
    <t>Huetlaan 6</t>
  </si>
  <si>
    <t>3553 GN</t>
  </si>
  <si>
    <t>#BB-25-8724</t>
  </si>
  <si>
    <t>Anna Daniel</t>
  </si>
  <si>
    <t>0631039644</t>
  </si>
  <si>
    <t>Rechthuisstraat 50</t>
  </si>
  <si>
    <t>2024 EE</t>
  </si>
  <si>
    <t>#BB-25-8726</t>
  </si>
  <si>
    <t>Rodriguez Frohwein</t>
  </si>
  <si>
    <t>Andrea Rodriguez Frohwein</t>
  </si>
  <si>
    <t>0653619761</t>
  </si>
  <si>
    <t>Madelieventuin 1</t>
  </si>
  <si>
    <t>2724 PH</t>
  </si>
  <si>
    <t>ZOETERMEER</t>
  </si>
  <si>
    <t>#BB-25-8633</t>
  </si>
  <si>
    <t>van Rooij</t>
  </si>
  <si>
    <t>Zora van Rooij</t>
  </si>
  <si>
    <t>0639586099</t>
  </si>
  <si>
    <t>Oude Binnenweg 113</t>
  </si>
  <si>
    <t>3012 JB</t>
  </si>
  <si>
    <t>BB-PP-25</t>
  </si>
  <si>
    <t>#BB-25-8636</t>
  </si>
  <si>
    <t>Sander</t>
  </si>
  <si>
    <t>Sander Klein</t>
  </si>
  <si>
    <t>0646324305</t>
  </si>
  <si>
    <t>Meidoornlaan 14</t>
  </si>
  <si>
    <t>2612 TR</t>
  </si>
  <si>
    <t>#BB-25-8700</t>
  </si>
  <si>
    <t>Ruskus</t>
  </si>
  <si>
    <t>Lisa Ruskus</t>
  </si>
  <si>
    <t>0636051101</t>
  </si>
  <si>
    <t>Scheerderstraat 13</t>
  </si>
  <si>
    <t>5046 RR</t>
  </si>
  <si>
    <t>#BB-25-8745</t>
  </si>
  <si>
    <t>Brak</t>
  </si>
  <si>
    <t>Saskia Brak</t>
  </si>
  <si>
    <t>+31651114468</t>
  </si>
  <si>
    <t>Jan Heesjesstraat 29</t>
  </si>
  <si>
    <t>1695 CL</t>
  </si>
  <si>
    <t>Blokker</t>
  </si>
  <si>
    <t>#BB-25-8749</t>
  </si>
  <si>
    <t>Klompé</t>
  </si>
  <si>
    <t>Rosa Klompé</t>
  </si>
  <si>
    <t>0642449480</t>
  </si>
  <si>
    <t>Esdoornstraat 69</t>
  </si>
  <si>
    <t>3551 AH</t>
  </si>
  <si>
    <t>#BB-25-8750</t>
  </si>
  <si>
    <t>Robbie</t>
  </si>
  <si>
    <t>De Vos</t>
  </si>
  <si>
    <t>Robbie De Vos</t>
  </si>
  <si>
    <t>0625067972</t>
  </si>
  <si>
    <t>Blauwvoetstraat 41</t>
  </si>
  <si>
    <t>1061 BM</t>
  </si>
  <si>
    <t>#BB-25-8751</t>
  </si>
  <si>
    <t>Jop</t>
  </si>
  <si>
    <t>Verweel</t>
  </si>
  <si>
    <t>Jop Verweel</t>
  </si>
  <si>
    <t>0643448989</t>
  </si>
  <si>
    <t>Hof van Hersbeek 42</t>
  </si>
  <si>
    <t>4811 ZN</t>
  </si>
  <si>
    <t>#BB-25-8752</t>
  </si>
  <si>
    <t>Kristina</t>
  </si>
  <si>
    <t>Hettne</t>
  </si>
  <si>
    <t>Kristina Hettne</t>
  </si>
  <si>
    <t>0614347814</t>
  </si>
  <si>
    <t>Zinniadal 12</t>
  </si>
  <si>
    <t>2317 JB</t>
  </si>
  <si>
    <t>#BB-25-8756</t>
  </si>
  <si>
    <t>Hupkes</t>
  </si>
  <si>
    <t>Mirjam Hupkes</t>
  </si>
  <si>
    <t>0645514479</t>
  </si>
  <si>
    <t>Esmoreitstraat 37-1</t>
  </si>
  <si>
    <t>1055 CB</t>
  </si>
  <si>
    <t>#BB-25-8762</t>
  </si>
  <si>
    <t>van Huystee</t>
  </si>
  <si>
    <t>Suzanne van Huystee</t>
  </si>
  <si>
    <t>0648073504</t>
  </si>
  <si>
    <t>2e Oosterparkstraat 160</t>
  </si>
  <si>
    <t>Huis</t>
  </si>
  <si>
    <t>1092 BS</t>
  </si>
  <si>
    <t>#BB-25-8765</t>
  </si>
  <si>
    <t>de Wagenaar</t>
  </si>
  <si>
    <t>Dieuwertje de Wagenaar</t>
  </si>
  <si>
    <t>0611498227</t>
  </si>
  <si>
    <t>Van der Hoopstraat 125H</t>
  </si>
  <si>
    <t>1051 VE</t>
  </si>
  <si>
    <t>#BB-25-8768</t>
  </si>
  <si>
    <t>Heldmann</t>
  </si>
  <si>
    <t>Mirjam Heldmann</t>
  </si>
  <si>
    <t>0621355191</t>
  </si>
  <si>
    <t>Fonteinkruidstraat 70</t>
  </si>
  <si>
    <t>1032 LW</t>
  </si>
  <si>
    <t>#BB-25-8773</t>
  </si>
  <si>
    <t>Norbruis</t>
  </si>
  <si>
    <t>Charlotte Norbruis</t>
  </si>
  <si>
    <t>0031651203306</t>
  </si>
  <si>
    <t>H. Cleyndertweg 739</t>
  </si>
  <si>
    <t>1025 EB</t>
  </si>
  <si>
    <t>#BB-25-8774</t>
  </si>
  <si>
    <t>Cobie</t>
  </si>
  <si>
    <t>Groenendijk</t>
  </si>
  <si>
    <t>Cobie Groenendijk</t>
  </si>
  <si>
    <t>0649752960</t>
  </si>
  <si>
    <t>Ceintuurbaan 254-2</t>
  </si>
  <si>
    <t>1072 GH</t>
  </si>
  <si>
    <t>#BB-25-8781</t>
  </si>
  <si>
    <t>Schellekens</t>
  </si>
  <si>
    <t>Marion Schellekens</t>
  </si>
  <si>
    <t>0651815108</t>
  </si>
  <si>
    <t>Jan van der Nootstraat 8</t>
  </si>
  <si>
    <t>5615 KR</t>
  </si>
  <si>
    <t>#BB-25-8786</t>
  </si>
  <si>
    <t>Yousha</t>
  </si>
  <si>
    <t>De Jager</t>
  </si>
  <si>
    <t>Yousha De Jager</t>
  </si>
  <si>
    <t>0636250860</t>
  </si>
  <si>
    <t>Panamalaan 471</t>
  </si>
  <si>
    <t>1019 AS</t>
  </si>
  <si>
    <t>#BB-25-8797</t>
  </si>
  <si>
    <t>Simche</t>
  </si>
  <si>
    <t>Do</t>
  </si>
  <si>
    <t>Simche Do</t>
  </si>
  <si>
    <t>0616699330</t>
  </si>
  <si>
    <t>Graaf Florisstraat 43</t>
  </si>
  <si>
    <t>3117 PJ</t>
  </si>
  <si>
    <t>Schiedam</t>
  </si>
  <si>
    <t>#BB-25-8804</t>
  </si>
  <si>
    <t>ter Braak</t>
  </si>
  <si>
    <t>Lara ter Braak</t>
  </si>
  <si>
    <t>0627555148</t>
  </si>
  <si>
    <t>Waterwerk 24</t>
  </si>
  <si>
    <t>3063 HB</t>
  </si>
  <si>
    <t>#BB-25-8810</t>
  </si>
  <si>
    <t>Goossens</t>
  </si>
  <si>
    <t>Marlies Goossens</t>
  </si>
  <si>
    <t>0610575665</t>
  </si>
  <si>
    <t>Atilla 5</t>
  </si>
  <si>
    <t>5629 NA</t>
  </si>
  <si>
    <t>#BB-25-8815</t>
  </si>
  <si>
    <t>Reijntjes</t>
  </si>
  <si>
    <t>Frederique Reijntjes</t>
  </si>
  <si>
    <t>0624964069</t>
  </si>
  <si>
    <t>Marnixkade 56H</t>
  </si>
  <si>
    <t>1015 XV</t>
  </si>
  <si>
    <t>#BB-25-8816</t>
  </si>
  <si>
    <t>Derikx</t>
  </si>
  <si>
    <t>Frank Derikx</t>
  </si>
  <si>
    <t>0646277691</t>
  </si>
  <si>
    <t>Nicolaas Witsenstraat 5</t>
  </si>
  <si>
    <t>1017 ZE</t>
  </si>
  <si>
    <t>amsterdam</t>
  </si>
  <si>
    <t>BESPARK-057-umfk</t>
  </si>
  <si>
    <t>#BB-25-8818</t>
  </si>
  <si>
    <t>Chilton</t>
  </si>
  <si>
    <t>Michael Chilton</t>
  </si>
  <si>
    <t>+310681922363</t>
  </si>
  <si>
    <t>Aalsmeerweg 119-3</t>
  </si>
  <si>
    <t>1059 AH</t>
  </si>
  <si>
    <t>#BB-25-8746</t>
  </si>
  <si>
    <t>Smids</t>
  </si>
  <si>
    <t>Marian Smids</t>
  </si>
  <si>
    <t>0616209551</t>
  </si>
  <si>
    <t>Duvensteijn 26a</t>
  </si>
  <si>
    <t>4464 JE</t>
  </si>
  <si>
    <t>#BB-25-8827</t>
  </si>
  <si>
    <t>Mourits</t>
  </si>
  <si>
    <t>Rebecca Mourits</t>
  </si>
  <si>
    <t>0655851290</t>
  </si>
  <si>
    <t>Frankenslag 55 - 2</t>
  </si>
  <si>
    <t>2582 HD</t>
  </si>
  <si>
    <t>#BB-25-8836</t>
  </si>
  <si>
    <t>van der Vlugt</t>
  </si>
  <si>
    <t>Sandra van der Vlugt</t>
  </si>
  <si>
    <t>0654677534</t>
  </si>
  <si>
    <t>Vrachelsestraat</t>
  </si>
  <si>
    <t>4911 BH</t>
  </si>
  <si>
    <t>Den Hout</t>
  </si>
  <si>
    <t>#BB-25-8837</t>
  </si>
  <si>
    <t>Checkout-Method: shipping
 Shipping-Date: 2025/11/27
 Shipping-Day: thursday</t>
  </si>
  <si>
    <t>van der Wielen</t>
  </si>
  <si>
    <t>Lianne van der Wielen</t>
  </si>
  <si>
    <t>Montis-Q Qonsulting B.V.</t>
  </si>
  <si>
    <t>+31628131343</t>
  </si>
  <si>
    <t>Haringvliet 100</t>
  </si>
  <si>
    <t>3011 TH</t>
  </si>
  <si>
    <t>Bezorging&amp;pickup</t>
  </si>
  <si>
    <t>custom</t>
  </si>
  <si>
    <t>#BB-25-8838</t>
  </si>
  <si>
    <t>Blanker</t>
  </si>
  <si>
    <t>Daphne Blanker</t>
  </si>
  <si>
    <t>0634178539</t>
  </si>
  <si>
    <t>Krommeweg 18</t>
  </si>
  <si>
    <t>5211 RK</t>
  </si>
  <si>
    <t>#BB-25-8747</t>
  </si>
  <si>
    <t>Mineke</t>
  </si>
  <si>
    <t>Ek</t>
  </si>
  <si>
    <t>Mineke Ek</t>
  </si>
  <si>
    <t>0614317940</t>
  </si>
  <si>
    <t>Abeelstraat 15</t>
  </si>
  <si>
    <t>1115 GW</t>
  </si>
  <si>
    <t>Duivendrecht</t>
  </si>
  <si>
    <t>#BB-25-8840</t>
  </si>
  <si>
    <t>Sheila</t>
  </si>
  <si>
    <t>Ochiel</t>
  </si>
  <si>
    <t>Sheila Ochiel</t>
  </si>
  <si>
    <t>0613581676</t>
  </si>
  <si>
    <t>Pampus 9</t>
  </si>
  <si>
    <t>1181 EV</t>
  </si>
  <si>
    <t>#BB-25-8845</t>
  </si>
  <si>
    <t>Ter Vrugt</t>
  </si>
  <si>
    <t>Sophie, S.P</t>
  </si>
  <si>
    <t>Vrugt</t>
  </si>
  <si>
    <t>Sophie, S.P Vrugt</t>
  </si>
  <si>
    <t>0648766764</t>
  </si>
  <si>
    <t>Achterom</t>
  </si>
  <si>
    <t>41B</t>
  </si>
  <si>
    <t>2511 AG</t>
  </si>
  <si>
    <t>#BB-25-8846</t>
  </si>
  <si>
    <t>Torcque</t>
  </si>
  <si>
    <t>Milou Torcque</t>
  </si>
  <si>
    <t>0613450800</t>
  </si>
  <si>
    <t>Van Naeltwijckstraat 17</t>
  </si>
  <si>
    <t>2274 NV</t>
  </si>
  <si>
    <t>#BB-25-8852</t>
  </si>
  <si>
    <t>Reinout</t>
  </si>
  <si>
    <t>Reinout Roos</t>
  </si>
  <si>
    <t>0642093643</t>
  </si>
  <si>
    <t>Doctor Struyckenstraat 106C</t>
  </si>
  <si>
    <t>4812 BH</t>
  </si>
  <si>
    <t>#BB-25-8854</t>
  </si>
  <si>
    <t>van Meer</t>
  </si>
  <si>
    <t>Esmee van Meer</t>
  </si>
  <si>
    <t>+31617701057</t>
  </si>
  <si>
    <t>Zalmforel 5</t>
  </si>
  <si>
    <t>2318 MH</t>
  </si>
  <si>
    <t>#BB-25-8856</t>
  </si>
  <si>
    <t>Laansma</t>
  </si>
  <si>
    <t>Daan Laansma</t>
  </si>
  <si>
    <t>0623623577</t>
  </si>
  <si>
    <t>Grasweg 626</t>
  </si>
  <si>
    <t>1031 HX</t>
  </si>
  <si>
    <t>#BB-25-8859</t>
  </si>
  <si>
    <t>Alzate</t>
  </si>
  <si>
    <t>Adriana Alzate</t>
  </si>
  <si>
    <t>0648935758</t>
  </si>
  <si>
    <t>Margrietlaan 13</t>
  </si>
  <si>
    <t>6721 EK</t>
  </si>
  <si>
    <t>Bennekom</t>
  </si>
  <si>
    <t>#BB-25-8748</t>
  </si>
  <si>
    <t>de Louw</t>
  </si>
  <si>
    <t>Inger de Louw</t>
  </si>
  <si>
    <t>0651844387</t>
  </si>
  <si>
    <t>Makassarstraat 83</t>
  </si>
  <si>
    <t>3531 VM</t>
  </si>
  <si>
    <t>#BB-25-8826</t>
  </si>
  <si>
    <t>M. van Dijk</t>
  </si>
  <si>
    <t>0644880018</t>
  </si>
  <si>
    <t>Eekhoornlaan 41</t>
  </si>
  <si>
    <t>3734 GW</t>
  </si>
  <si>
    <t>Den Dolder</t>
  </si>
  <si>
    <t>#BB-25-8839</t>
  </si>
  <si>
    <t>Margot Jager</t>
  </si>
  <si>
    <t>0642727412</t>
  </si>
  <si>
    <t>Tegenhoeskamp 22</t>
  </si>
  <si>
    <t>9751 WP</t>
  </si>
  <si>
    <t>Haren Gn</t>
  </si>
  <si>
    <t>#BB-25-8870</t>
  </si>
  <si>
    <t>Hans de Haan</t>
  </si>
  <si>
    <t>0622742619</t>
  </si>
  <si>
    <t>Bantamstraat 21</t>
  </si>
  <si>
    <t>2022 TP</t>
  </si>
  <si>
    <t>#BB-25-8877</t>
  </si>
  <si>
    <t>El Maanni</t>
  </si>
  <si>
    <t>Nora El Maanni</t>
  </si>
  <si>
    <t>0640064393</t>
  </si>
  <si>
    <t>Sint-Mariastraat 114</t>
  </si>
  <si>
    <t>3014 SR</t>
  </si>
  <si>
    <t>#BB-25-8880</t>
  </si>
  <si>
    <t>Blankesteijn</t>
  </si>
  <si>
    <t>Ingrid Blankesteijn</t>
  </si>
  <si>
    <t>0681681421</t>
  </si>
  <si>
    <t>Weteringkade 52 A</t>
  </si>
  <si>
    <t>2515 AR</t>
  </si>
  <si>
    <t>#BB-25-8883</t>
  </si>
  <si>
    <t>Schrijvers</t>
  </si>
  <si>
    <t>Nick Schrijvers</t>
  </si>
  <si>
    <t>0630315660</t>
  </si>
  <si>
    <t>Cypruskade 18</t>
  </si>
  <si>
    <t>1362 JN</t>
  </si>
  <si>
    <t>#BB-25-8895</t>
  </si>
  <si>
    <t>den Besten</t>
  </si>
  <si>
    <t>Maria den Besten</t>
  </si>
  <si>
    <t>0617432717</t>
  </si>
  <si>
    <t>Paul Rodenkolaan 40</t>
  </si>
  <si>
    <t>7207 CG</t>
  </si>
  <si>
    <t>Zutphen</t>
  </si>
  <si>
    <t>#BB-25-8897</t>
  </si>
  <si>
    <t>Artem</t>
  </si>
  <si>
    <t>Miagkov</t>
  </si>
  <si>
    <t>Artem Miagkov</t>
  </si>
  <si>
    <t>0686113807</t>
  </si>
  <si>
    <t>Overtoom 408</t>
  </si>
  <si>
    <t>1054 JT</t>
  </si>
  <si>
    <t>#BB-25-8898</t>
  </si>
  <si>
    <t>à Nijeholt</t>
  </si>
  <si>
    <t>Jeanine à Nijeholt</t>
  </si>
  <si>
    <t>0621178968</t>
  </si>
  <si>
    <t>Rustenburgerstraat 124-2</t>
  </si>
  <si>
    <t>1073 GH</t>
  </si>
  <si>
    <t>#BB-25-8899</t>
  </si>
  <si>
    <t>Beekveldt</t>
  </si>
  <si>
    <t>Iris Beekveldt</t>
  </si>
  <si>
    <t>0642312353</t>
  </si>
  <si>
    <t>Sleeswijk 6</t>
  </si>
  <si>
    <t>3524 KD</t>
  </si>
  <si>
    <t>#BB-25-8900</t>
  </si>
  <si>
    <t>Görlich</t>
  </si>
  <si>
    <t>Susanne Görlich</t>
  </si>
  <si>
    <t>0657421865</t>
  </si>
  <si>
    <t>Cornelis Krusemanstraat 30-3</t>
  </si>
  <si>
    <t>1075 NM</t>
  </si>
  <si>
    <t>#BB-25-8902</t>
  </si>
  <si>
    <t>Diana Kuijpers</t>
  </si>
  <si>
    <t>0650877459</t>
  </si>
  <si>
    <t>Buizerdlaan 117</t>
  </si>
  <si>
    <t>2623 JR</t>
  </si>
  <si>
    <t>#BB-25-8903</t>
  </si>
  <si>
    <t>Natalie</t>
  </si>
  <si>
    <t>Siniora</t>
  </si>
  <si>
    <t>Natalie Siniora</t>
  </si>
  <si>
    <t>0650824625</t>
  </si>
  <si>
    <t>Hilversum, Karel Doormanlaan 1</t>
  </si>
  <si>
    <t>1215 NJ</t>
  </si>
  <si>
    <t>#BB-25-8904</t>
  </si>
  <si>
    <t>Steffi</t>
  </si>
  <si>
    <t>Posthumus</t>
  </si>
  <si>
    <t>Steffi Posthumus</t>
  </si>
  <si>
    <t>623121457</t>
  </si>
  <si>
    <t>Nickeriestraat 40-2</t>
  </si>
  <si>
    <t>1058 VZ</t>
  </si>
  <si>
    <t>#BB-25-8905</t>
  </si>
  <si>
    <t>Englebert</t>
  </si>
  <si>
    <t>Veerle Englebert</t>
  </si>
  <si>
    <t>0621222027</t>
  </si>
  <si>
    <t>Glennmillerstraat 44</t>
  </si>
  <si>
    <t>2324 LM</t>
  </si>
  <si>
    <t>#BB-25-8907</t>
  </si>
  <si>
    <t>Fem</t>
  </si>
  <si>
    <t>Kooijman</t>
  </si>
  <si>
    <t>Fem Kooijman</t>
  </si>
  <si>
    <t>0646702935</t>
  </si>
  <si>
    <t>Watteaustraat 34</t>
  </si>
  <si>
    <t>1077 ZM</t>
  </si>
  <si>
    <t>#BB-25-8908</t>
  </si>
  <si>
    <t>Raquel</t>
  </si>
  <si>
    <t>Barbosa</t>
  </si>
  <si>
    <t>Raquel Barbosa</t>
  </si>
  <si>
    <t>0031611233153</t>
  </si>
  <si>
    <t>De Jint 38</t>
  </si>
  <si>
    <t>8941 DL</t>
  </si>
  <si>
    <t>Leeuwarden</t>
  </si>
  <si>
    <t>#BB-25-8909</t>
  </si>
  <si>
    <t>Timen</t>
  </si>
  <si>
    <t>Timen Veenstra</t>
  </si>
  <si>
    <t>0031611422306</t>
  </si>
  <si>
    <t>Pauwenstraat 29</t>
  </si>
  <si>
    <t>1211 PX</t>
  </si>
  <si>
    <t>#BB-25-8911</t>
  </si>
  <si>
    <t>Klerks-Ameer</t>
  </si>
  <si>
    <t>Andrea Klerks-Ameer</t>
  </si>
  <si>
    <t>0628884449</t>
  </si>
  <si>
    <t>Kerkhoflaan 8</t>
  </si>
  <si>
    <t>2585 JB</t>
  </si>
  <si>
    <t>#BB-25-8913</t>
  </si>
  <si>
    <t>E.M.</t>
  </si>
  <si>
    <t>Claus</t>
  </si>
  <si>
    <t>E.M. Claus</t>
  </si>
  <si>
    <t>0630142002</t>
  </si>
  <si>
    <t>Stalpertstraat 11</t>
  </si>
  <si>
    <t>2597 RP</t>
  </si>
  <si>
    <t>#BB-25-8914</t>
  </si>
  <si>
    <t>Hiske</t>
  </si>
  <si>
    <t>van der Wiel</t>
  </si>
  <si>
    <t>Hiske van der Wiel</t>
  </si>
  <si>
    <t>0657704776</t>
  </si>
  <si>
    <t>Prinsevinkenpark 42</t>
  </si>
  <si>
    <t>2585 HM</t>
  </si>
  <si>
    <t>#BB-25-8918</t>
  </si>
  <si>
    <t>Coopmans</t>
  </si>
  <si>
    <t>Leonoor Coopmans</t>
  </si>
  <si>
    <t>0650904507</t>
  </si>
  <si>
    <t>Pekelharingstraat</t>
  </si>
  <si>
    <t>1097 HJ</t>
  </si>
  <si>
    <t>#BB-25-8919</t>
  </si>
  <si>
    <t>Operationeel</t>
  </si>
  <si>
    <t>Manager</t>
  </si>
  <si>
    <t>Operationeel Manager</t>
  </si>
  <si>
    <t>The Change Collective</t>
  </si>
  <si>
    <t>0202613954</t>
  </si>
  <si>
    <t>Nieuwendammerkade 28C 32</t>
  </si>
  <si>
    <t>1022 AB</t>
  </si>
  <si>
    <t>#BB-25-8872</t>
  </si>
  <si>
    <t>Irma</t>
  </si>
  <si>
    <t>Krijtenburg</t>
  </si>
  <si>
    <t>Irma Krijtenburg</t>
  </si>
  <si>
    <t>0624685242</t>
  </si>
  <si>
    <t>Harriët Freezersingel 26</t>
  </si>
  <si>
    <t>2331 SC</t>
  </si>
  <si>
    <t>#BB-25-8925</t>
  </si>
  <si>
    <t>Elschot</t>
  </si>
  <si>
    <t>Esther Elschot</t>
  </si>
  <si>
    <t>Trajan B.V.</t>
  </si>
  <si>
    <t>0613230234</t>
  </si>
  <si>
    <t>Wateringweg 1</t>
  </si>
  <si>
    <t>C06</t>
  </si>
  <si>
    <t>2031 EK</t>
  </si>
  <si>
    <t>#BB-25-8927</t>
  </si>
  <si>
    <t>Wibbens</t>
  </si>
  <si>
    <t>Marian Wibbens</t>
  </si>
  <si>
    <t>0613307105</t>
  </si>
  <si>
    <t>Twintighuizen 36</t>
  </si>
  <si>
    <t>3311 WX</t>
  </si>
  <si>
    <t>Dordrecht</t>
  </si>
  <si>
    <t>#BB-25-8941</t>
  </si>
  <si>
    <t>Wayde</t>
  </si>
  <si>
    <t>Davenall</t>
  </si>
  <si>
    <t>Wayde Davenall</t>
  </si>
  <si>
    <t>0641673581</t>
  </si>
  <si>
    <t>Keulsekade 133B</t>
  </si>
  <si>
    <t>3532 AA</t>
  </si>
  <si>
    <t>#BB-25-8942</t>
  </si>
  <si>
    <t>Menheere</t>
  </si>
  <si>
    <t>Noortje Menheere</t>
  </si>
  <si>
    <t>Sjenkels atelier</t>
  </si>
  <si>
    <t>0616177263</t>
  </si>
  <si>
    <t>Zwaanshals 520</t>
  </si>
  <si>
    <t>3035 KS</t>
  </si>
  <si>
    <t>#BB-25-8944</t>
  </si>
  <si>
    <t>Pauline de Bruijn</t>
  </si>
  <si>
    <t>Proudies BV</t>
  </si>
  <si>
    <t>0620504450</t>
  </si>
  <si>
    <t>Postjeskade</t>
  </si>
  <si>
    <t>41-2</t>
  </si>
  <si>
    <t>1058 DG</t>
  </si>
  <si>
    <t>#BB-25-8946</t>
  </si>
  <si>
    <t>Osa</t>
  </si>
  <si>
    <t>McCuskey</t>
  </si>
  <si>
    <t>Osa McCuskey</t>
  </si>
  <si>
    <t>0681323622</t>
  </si>
  <si>
    <t>Houtrakgracht 326</t>
  </si>
  <si>
    <t>3544 SG</t>
  </si>
  <si>
    <t>#BB-25-8948</t>
  </si>
  <si>
    <t>Staarink</t>
  </si>
  <si>
    <t>Saskia Staarink</t>
  </si>
  <si>
    <t>0642011802</t>
  </si>
  <si>
    <t>Blériotlaan 100</t>
  </si>
  <si>
    <t>2497 BN</t>
  </si>
  <si>
    <t>#BB-25-8950</t>
  </si>
  <si>
    <t>Selin</t>
  </si>
  <si>
    <t>Karaaslan</t>
  </si>
  <si>
    <t>Selin Karaaslan</t>
  </si>
  <si>
    <t>0614200610</t>
  </si>
  <si>
    <t>Sarphatistraat 115-2</t>
  </si>
  <si>
    <t>1018 GB</t>
  </si>
  <si>
    <t>#BB-25-8951</t>
  </si>
  <si>
    <t>Hooiveld</t>
  </si>
  <si>
    <t>Willemijn Hooiveld</t>
  </si>
  <si>
    <t>0630191062</t>
  </si>
  <si>
    <t>Hazekamp 4B</t>
  </si>
  <si>
    <t>6707 HG</t>
  </si>
  <si>
    <t>#BB-25-8954</t>
  </si>
  <si>
    <t>Elizabeth</t>
  </si>
  <si>
    <t>Manoloulis</t>
  </si>
  <si>
    <t>Elizabeth Manoloulis</t>
  </si>
  <si>
    <t>+306980533334</t>
  </si>
  <si>
    <t>Tussen Meer 20-3</t>
  </si>
  <si>
    <t>1068 GA</t>
  </si>
  <si>
    <t>#BB-25-8957</t>
  </si>
  <si>
    <t>An</t>
  </si>
  <si>
    <t>Mooi</t>
  </si>
  <si>
    <t>Mooij</t>
  </si>
  <si>
    <t>Andrea Mooij</t>
  </si>
  <si>
    <t>0610409728</t>
  </si>
  <si>
    <t>Pasolinistraat 69</t>
  </si>
  <si>
    <t>1325 SM</t>
  </si>
  <si>
    <t>#BB-25-8958</t>
  </si>
  <si>
    <t>Maxje</t>
  </si>
  <si>
    <t>Maxje de Wit</t>
  </si>
  <si>
    <t>0683704178</t>
  </si>
  <si>
    <t>Stentorlaan 161</t>
  </si>
  <si>
    <t>7534 HV</t>
  </si>
  <si>
    <t>Enschede</t>
  </si>
  <si>
    <t>#BB-25-8964</t>
  </si>
  <si>
    <t>Lidewij</t>
  </si>
  <si>
    <t>van Ham</t>
  </si>
  <si>
    <t>Lidewij van Ham</t>
  </si>
  <si>
    <t>+31627068501</t>
  </si>
  <si>
    <t>Kamperstraat 26ARD</t>
  </si>
  <si>
    <t>2012 XC</t>
  </si>
  <si>
    <t>#BB-25-8965</t>
  </si>
  <si>
    <t>Greene</t>
  </si>
  <si>
    <t>Kelly Greene</t>
  </si>
  <si>
    <t>0628506393</t>
  </si>
  <si>
    <t>Oxfordlaan 32</t>
  </si>
  <si>
    <t>2314 EB</t>
  </si>
  <si>
    <t>#BB-25-8966</t>
  </si>
  <si>
    <t>van de Graaff</t>
  </si>
  <si>
    <t>Charlotte van de Graaff</t>
  </si>
  <si>
    <t>Norlandia kinderopvang</t>
  </si>
  <si>
    <t>0643620745</t>
  </si>
  <si>
    <t>Hondiuslaan 40</t>
  </si>
  <si>
    <t>3528 AB</t>
  </si>
  <si>
    <t>#BB-25-8873</t>
  </si>
  <si>
    <t>Traa</t>
  </si>
  <si>
    <t>Eva Traa</t>
  </si>
  <si>
    <t>0617159864</t>
  </si>
  <si>
    <t>1e Jan Vd Heijdenstr 102-2</t>
  </si>
  <si>
    <t>1072 VA</t>
  </si>
  <si>
    <t>#BB-25-8976</t>
  </si>
  <si>
    <t>Ms</t>
  </si>
  <si>
    <t>O'Neil</t>
  </si>
  <si>
    <t>Amy O'Neil</t>
  </si>
  <si>
    <t>+447787340842</t>
  </si>
  <si>
    <t>Houtlaan 149</t>
  </si>
  <si>
    <t>3016 DA</t>
  </si>
  <si>
    <t>#BB-25-8979</t>
  </si>
  <si>
    <t>van der Krieke</t>
  </si>
  <si>
    <t>Julia van der Krieke</t>
  </si>
  <si>
    <t>0629025802</t>
  </si>
  <si>
    <t>Valeriusstraat 49</t>
  </si>
  <si>
    <t>1071 MD</t>
  </si>
  <si>
    <t>#BB-25-8984</t>
  </si>
  <si>
    <t>de Vrijer</t>
  </si>
  <si>
    <t>Stijn de Vrijer</t>
  </si>
  <si>
    <t>0623186651</t>
  </si>
  <si>
    <t>Johan Roebersstraat 74</t>
  </si>
  <si>
    <t>7415 NA</t>
  </si>
  <si>
    <t>#BB-25-8987</t>
  </si>
  <si>
    <t>Milosevic</t>
  </si>
  <si>
    <t>Sasja Milosevic</t>
  </si>
  <si>
    <t>0611799353</t>
  </si>
  <si>
    <t>Victoriapark 825</t>
  </si>
  <si>
    <t>5611 BN</t>
  </si>
  <si>
    <t>#BB-25-8875</t>
  </si>
  <si>
    <t>Timmerhuis</t>
  </si>
  <si>
    <t>Nicole Timmerhuis</t>
  </si>
  <si>
    <t>0682012508</t>
  </si>
  <si>
    <t>Jan van Den Doemstraat 95</t>
  </si>
  <si>
    <t>3515 XP</t>
  </si>
  <si>
    <t>#BB-25-8922</t>
  </si>
  <si>
    <t>gabrielle</t>
  </si>
  <si>
    <t>kaatee</t>
  </si>
  <si>
    <t>gabrielle kaatee</t>
  </si>
  <si>
    <t>0634857563</t>
  </si>
  <si>
    <t>Suezkade</t>
  </si>
  <si>
    <t>2517 CH</t>
  </si>
  <si>
    <t>#BB-25-8971</t>
  </si>
  <si>
    <t>Paul de Jonge</t>
  </si>
  <si>
    <t>0653679149</t>
  </si>
  <si>
    <t>Boskriekoord 3</t>
  </si>
  <si>
    <t>1112 EB</t>
  </si>
  <si>
    <t>#BB-25-9004</t>
  </si>
  <si>
    <t>Azad</t>
  </si>
  <si>
    <t>Ali</t>
  </si>
  <si>
    <t>Azad Ali</t>
  </si>
  <si>
    <t>0641443938</t>
  </si>
  <si>
    <t>Amsterdamsestraatweg 325C</t>
  </si>
  <si>
    <t>3551 CJ</t>
  </si>
  <si>
    <t>#BB-25-9028</t>
  </si>
  <si>
    <t>Ole</t>
  </si>
  <si>
    <t>Ole Janssen</t>
  </si>
  <si>
    <t>0634609201</t>
  </si>
  <si>
    <t>Van Ostadestraat 28-3</t>
  </si>
  <si>
    <t>1072 SZ</t>
  </si>
  <si>
    <t>BESPARK-063-urup</t>
  </si>
  <si>
    <t>#BB-25-9029</t>
  </si>
  <si>
    <t>Emmy</t>
  </si>
  <si>
    <t>Van Gennip</t>
  </si>
  <si>
    <t>Emmy Van Gennip</t>
  </si>
  <si>
    <t>0654927314</t>
  </si>
  <si>
    <t>Prins Hendrikkade 123C</t>
  </si>
  <si>
    <t>3071 KL</t>
  </si>
  <si>
    <t>#BB-25-9030</t>
  </si>
  <si>
    <t>Jam</t>
  </si>
  <si>
    <t>Sprong</t>
  </si>
  <si>
    <t>Jam Sprong</t>
  </si>
  <si>
    <t>Capricorn</t>
  </si>
  <si>
    <t>0653746232</t>
  </si>
  <si>
    <t>Willem Barentszstraat 21</t>
  </si>
  <si>
    <t>3572 PB</t>
  </si>
  <si>
    <t>BESPARK-018-nuhg</t>
  </si>
  <si>
    <t>#BB-25-9036</t>
  </si>
  <si>
    <t>Zamparo</t>
  </si>
  <si>
    <t>Lisa Zamparo</t>
  </si>
  <si>
    <t>+393396371361</t>
  </si>
  <si>
    <t>Irisplein 37</t>
  </si>
  <si>
    <t>2565 TD</t>
  </si>
  <si>
    <t>#BB-25-9037</t>
  </si>
  <si>
    <t>Ashley</t>
  </si>
  <si>
    <t>Ashley Groeneveld</t>
  </si>
  <si>
    <t>0639860922</t>
  </si>
  <si>
    <t>Oldenburgerlaan 24</t>
  </si>
  <si>
    <t>2142 GA</t>
  </si>
  <si>
    <t>Cruquius</t>
  </si>
  <si>
    <t>#BB-25-9038</t>
  </si>
  <si>
    <t>de Gier</t>
  </si>
  <si>
    <t>Alberts-de Gier</t>
  </si>
  <si>
    <t>Sonia Alberts-de Gier</t>
  </si>
  <si>
    <t>0620596047</t>
  </si>
  <si>
    <t>Spinnerij 77</t>
  </si>
  <si>
    <t>6717 XZ</t>
  </si>
  <si>
    <t>#BB-25-9040</t>
  </si>
  <si>
    <t>abercrombie</t>
  </si>
  <si>
    <t>Martine abercrombie</t>
  </si>
  <si>
    <t>0630083380</t>
  </si>
  <si>
    <t>Kamperfoeliestraat 11</t>
  </si>
  <si>
    <t>1121 AT</t>
  </si>
  <si>
    <t>Landsmeer</t>
  </si>
  <si>
    <t>#BB-25-9044</t>
  </si>
  <si>
    <t>Schoeman</t>
  </si>
  <si>
    <t>Marnix Schoeman</t>
  </si>
  <si>
    <t>0617405840</t>
  </si>
  <si>
    <t>Zuidelijke Wandelweg 169</t>
  </si>
  <si>
    <t>1079 RK</t>
  </si>
  <si>
    <t>BESPARK-062-vorb</t>
  </si>
  <si>
    <t>#BB-25-9046</t>
  </si>
  <si>
    <t>Kleijweg</t>
  </si>
  <si>
    <t>Kelly Kleijweg</t>
  </si>
  <si>
    <t>0623711757</t>
  </si>
  <si>
    <t>Theodora Eigemanpad 216</t>
  </si>
  <si>
    <t>2625 DZ</t>
  </si>
  <si>
    <t>#BB-25-9051</t>
  </si>
  <si>
    <t>Dijkhuizen</t>
  </si>
  <si>
    <t>Sylvia Dijkhuizen</t>
  </si>
  <si>
    <t>0629000336</t>
  </si>
  <si>
    <t>Houtrustweg</t>
  </si>
  <si>
    <t>2583 EZ</t>
  </si>
  <si>
    <t>DEN HAAG</t>
  </si>
  <si>
    <t>BESPARK-068-algw</t>
  </si>
  <si>
    <t>#BB-25-9006</t>
  </si>
  <si>
    <t>Annouck</t>
  </si>
  <si>
    <t>Annouck de Boer</t>
  </si>
  <si>
    <t>0641759340</t>
  </si>
  <si>
    <t>Zandvoortselaan 148</t>
  </si>
  <si>
    <t>2106 AN</t>
  </si>
  <si>
    <t>#BB-25-9016</t>
  </si>
  <si>
    <t>Löbker</t>
  </si>
  <si>
    <t>Monique Löbker</t>
  </si>
  <si>
    <t>0612513543</t>
  </si>
  <si>
    <t>Gele Kwikstaart 50</t>
  </si>
  <si>
    <t>2295 NS</t>
  </si>
  <si>
    <t>Kwintsheul</t>
  </si>
  <si>
    <t>#BB-25-9023</t>
  </si>
  <si>
    <t>de Vaan</t>
  </si>
  <si>
    <t>Ilona de Vaan</t>
  </si>
  <si>
    <t>0616474864</t>
  </si>
  <si>
    <t>Schipleisingel 40</t>
  </si>
  <si>
    <t>6652 GJ</t>
  </si>
  <si>
    <t>Druten</t>
  </si>
  <si>
    <t>BESPARK-021-pwos</t>
  </si>
  <si>
    <t>Total Bomen</t>
  </si>
  <si>
    <t>TP-TICKETs</t>
  </si>
  <si>
    <t>QUENTITY</t>
  </si>
  <si>
    <t xml:space="preserve">Totaal van AMSTERDAM - Kop van Oost </t>
  </si>
  <si>
    <t xml:space="preserve">Totaal van AMSTERDAM - Loads </t>
  </si>
  <si>
    <t xml:space="preserve">Totaal van AMSTERDAM - Molen De Otter </t>
  </si>
  <si>
    <t xml:space="preserve">Totaal van AMSTERDAM - Vondeltuin </t>
  </si>
  <si>
    <t xml:space="preserve">Totaal van BREDA - Frontaal </t>
  </si>
  <si>
    <t xml:space="preserve">Totaal van BREDA - Kinderboerderij Wolfslaar </t>
  </si>
  <si>
    <t xml:space="preserve">Totaal van DELFT - buytendelft </t>
  </si>
  <si>
    <t xml:space="preserve">Totaal van DEN BOSCH - Bewust Wonen &amp; Werken Boschveld </t>
  </si>
  <si>
    <t xml:space="preserve">Totaal van DEN HAAG - Grote Markt Plein </t>
  </si>
  <si>
    <t xml:space="preserve">Totaal van DEN HAAG - Pluk! </t>
  </si>
  <si>
    <t xml:space="preserve">Totaal van EDE - Kantine gebouw Enka </t>
  </si>
  <si>
    <t xml:space="preserve">Totaal van EINDHOVEN - Klokgebouw </t>
  </si>
  <si>
    <t xml:space="preserve">Totaal van EINDHOVEN - Wasven </t>
  </si>
  <si>
    <t xml:space="preserve">Totaal van ENSCHEDE DE WIECKSE </t>
  </si>
  <si>
    <t xml:space="preserve">Totaal van GOUDA - Stadskant </t>
  </si>
  <si>
    <t xml:space="preserve">Totaal van HAARLEM - Houtbaar </t>
  </si>
  <si>
    <t xml:space="preserve">Totaal van Hilversum - Ome Joop </t>
  </si>
  <si>
    <t xml:space="preserve">Totaal van LEIDEN - The Fields </t>
  </si>
  <si>
    <t xml:space="preserve">Totaal van ROTTERDAM - Belevenisboerderij Schieveen </t>
  </si>
  <si>
    <t xml:space="preserve">Totaal van ROTTERDAM - Het witte paard </t>
  </si>
  <si>
    <t xml:space="preserve">Totaal van UTRECHT - Scouting Willem de Zwijger </t>
  </si>
  <si>
    <t xml:space="preserve">Totaal van UTRECHT - Steck </t>
  </si>
  <si>
    <t>VOORRAAD</t>
  </si>
  <si>
    <t>INGEKOCHT</t>
  </si>
  <si>
    <t>INFLUENCER ACTIE</t>
  </si>
  <si>
    <t>JESPER - Zelf opgehaalt</t>
  </si>
  <si>
    <t>GROEN DIRECT NIET GELEVERD</t>
  </si>
  <si>
    <t>RoseWood - order</t>
  </si>
  <si>
    <t>Alex - extra opgehaald</t>
  </si>
  <si>
    <t>Urban arrow - bestelling</t>
  </si>
  <si>
    <t>HERLABEL</t>
  </si>
  <si>
    <t>NALEVERING</t>
  </si>
  <si>
    <t>EXTRA GOUDA</t>
  </si>
  <si>
    <t>EXTRA MOLEN</t>
  </si>
  <si>
    <t>EXTRA MOLEN - verkocht</t>
  </si>
  <si>
    <t>OME JOOP - extra geleverd</t>
  </si>
  <si>
    <t>OME JOOP - extra verkocht</t>
  </si>
  <si>
    <t>EXTRA LEIDEN - extra geleverd</t>
  </si>
  <si>
    <t>EXTRA LEIDEN - extra verkocht</t>
  </si>
  <si>
    <t>KUNNEN NOG VERKOCHT WORDEN/ Kijk in Shopify. zorg dat deze niet dubbel worden geteld</t>
  </si>
  <si>
    <t>Totaal</t>
  </si>
  <si>
    <t>MACEL</t>
  </si>
  <si>
    <t>HERLABELEN TAAF</t>
  </si>
  <si>
    <t xml:space="preserve"> te veel geleverd? in w44. moet hier bij geteld worden??</t>
  </si>
  <si>
    <t>VERKOCHT</t>
  </si>
  <si>
    <t>Voorraad - BB</t>
  </si>
  <si>
    <t>Gerwin teweinig geleverd</t>
  </si>
  <si>
    <t>Groen direkt te weinig leverd</t>
  </si>
  <si>
    <t>cijfers axel</t>
  </si>
  <si>
    <t>Nog checken</t>
  </si>
  <si>
    <t>175-200</t>
  </si>
  <si>
    <t>115 besteld - 99 geteld</t>
  </si>
  <si>
    <t>75 te klein en zijn aangevuld</t>
  </si>
  <si>
    <t>99-25 (bestelling Axel) - 74</t>
  </si>
  <si>
    <t>190  samen BB + PS | MET-150-175</t>
  </si>
  <si>
    <t>Gerwin geleverd 140 in totaal | MET-150-175</t>
  </si>
  <si>
    <t>150-175</t>
  </si>
  <si>
    <t>132 geleverd</t>
  </si>
  <si>
    <t>Gerwin heeft MET-175-200 | 10 extra geleverd</t>
  </si>
  <si>
    <t>te klein 87</t>
  </si>
  <si>
    <t>goed 45</t>
  </si>
  <si>
    <t>🌲PAKLIJST BETERBOOMPJE</t>
  </si>
  <si>
    <t>🗓️##/11/2025 - ⏰ ##:## uur</t>
  </si>
  <si>
    <t>Bestemming:</t>
  </si>
  <si>
    <t>📍##</t>
  </si>
  <si>
    <t>Adres:</t>
  </si>
  <si>
    <t>#</t>
  </si>
  <si>
    <t>Contactpersoon:</t>
  </si>
  <si>
    <t>Telefoonnummer</t>
  </si>
  <si>
    <t>📞 #</t>
  </si>
  <si>
    <t xml:space="preserve">Opmerking: </t>
  </si>
  <si>
    <t>💬 #</t>
  </si>
  <si>
    <t xml:space="preserve">PRODUCT </t>
  </si>
  <si>
    <t>Aantal</t>
  </si>
  <si>
    <t>Aantal verkocht</t>
  </si>
  <si>
    <t xml:space="preserve">EXTRA </t>
  </si>
  <si>
    <t>Over W1</t>
  </si>
  <si>
    <t>🟡Picea met kluit -100-125 (geel)</t>
  </si>
  <si>
    <t>⚪Picea met kluit -125-150 (wit)</t>
  </si>
  <si>
    <t>🟣Picea met kluit -150-175 (paars)</t>
  </si>
  <si>
    <t>🔵Picea met kluit -175-200 (blauw)</t>
  </si>
  <si>
    <t>🔴Nordmann 150-175 (rood)</t>
  </si>
  <si>
    <t>⚪Nordmann 175-200 (wit)</t>
  </si>
  <si>
    <t>🔵Nordmann 200-250 (blauw)</t>
  </si>
  <si>
    <t>🟢Nordmann 250-300 (groen)</t>
  </si>
  <si>
    <t xml:space="preserve"> Totaal</t>
  </si>
  <si>
    <t>🗓️05/12/2025 - ⏰ 11:00 uur</t>
  </si>
  <si>
    <t>📍AMSTERDAM - VONDELTUIN</t>
  </si>
  <si>
    <t>Vondelpark 7, 1075 VR Amsterdam</t>
  </si>
  <si>
    <t>Lieve / Jesper</t>
  </si>
  <si>
    <t>📞 06 42 99 41 54   /   06 81702331</t>
  </si>
  <si>
    <t>💬Tussen 10-12 uur  APP of BEL even voor aankomst tijd.</t>
  </si>
  <si>
    <t>MERLIJN 1 - met 100-125</t>
  </si>
  <si>
    <t>UA</t>
  </si>
  <si>
    <t>🟢Nordmann (150-165) EXTRA</t>
  </si>
  <si>
    <t xml:space="preserve">LOSSE VERKOOP | </t>
  </si>
  <si>
    <t>🗓️09/12/2025 - ⏰ ##:## uur</t>
  </si>
  <si>
    <t>📍STECK - UTRECHT</t>
  </si>
  <si>
    <t>Gageldijk 3, 3566 ME Utrecht</t>
  </si>
  <si>
    <t>SOPHIE</t>
  </si>
  <si>
    <t>📞 0627887231</t>
  </si>
  <si>
    <t>📍Enschede - Dewieckse</t>
  </si>
  <si>
    <t>Keizerweg 40, 7548PX Enschede</t>
  </si>
  <si>
    <t>📞0622099229</t>
  </si>
  <si>
    <t>🗓️12/12/2025 - ⏰ 11:00 uur</t>
  </si>
  <si>
    <t xml:space="preserve">VOORRAAD AANVULLEN | ALEX </t>
  </si>
  <si>
    <t>5 X 100-125 MET</t>
  </si>
  <si>
    <t xml:space="preserve">5 X 200-250 ZONDER </t>
  </si>
  <si>
    <t>🗓️06/12/2025 - ⏰ 09:00 uur</t>
  </si>
  <si>
    <t>📍AMSTERDAM - Kop van Oost</t>
  </si>
  <si>
    <t>Zeeburgerpad 1, 1018 AH Amsterdam</t>
  </si>
  <si>
    <t xml:space="preserve">💬 </t>
  </si>
  <si>
    <t>MERLIJN</t>
  </si>
  <si>
    <t>LOSSE VERKOOP | 4 bomen</t>
  </si>
  <si>
    <r>
      <rPr>
        <rFont val="Arial"/>
        <b/>
        <color theme="1"/>
        <sz val="20.0"/>
      </rPr>
      <t xml:space="preserve">🗓️06/12/2025 - </t>
    </r>
    <r>
      <rPr>
        <rFont val="Arial"/>
        <b/>
        <color rgb="FFFF0000"/>
        <sz val="20.0"/>
      </rPr>
      <t xml:space="preserve">⏰ 09:00 uur </t>
    </r>
  </si>
  <si>
    <t>📍DEN HAAG - Grote Markt Den Haag</t>
  </si>
  <si>
    <t>Grote Markt, 2511 BG Den Haag</t>
  </si>
  <si>
    <t>📞 0634602756</t>
  </si>
  <si>
    <r>
      <rPr>
        <rFont val="Arial"/>
        <color rgb="FFFF0000"/>
      </rPr>
      <t xml:space="preserve">💬LET op paaltjes!!  (VOOR 10:00 uur) Beste plek om te lossen voor </t>
    </r>
    <r>
      <rPr>
        <rFont val="Arial"/>
        <b/>
        <color rgb="FFFF0000"/>
      </rPr>
      <t>Langerak Juweliers / Vavoom</t>
    </r>
  </si>
  <si>
    <t>Vervaning</t>
  </si>
  <si>
    <t>🗓️07/12/2025 - ⏰ 11:00 uur</t>
  </si>
  <si>
    <t>📍Eindhoven - Klokgebouw</t>
  </si>
  <si>
    <t>Klokgebouw, Eindhoven</t>
  </si>
  <si>
    <t>SEM</t>
  </si>
  <si>
    <t>📞 0613938486</t>
  </si>
  <si>
    <t>💬Graag voor 11:00 geleverd eerste mensen komen rond 12:00</t>
  </si>
  <si>
    <t>🗓️05/12/2025 - ⏰ 13:00 uur</t>
  </si>
  <si>
    <t>📍AMSTERDAM LOADS</t>
  </si>
  <si>
    <t>Ms. Tarnweg 10, 1033 SK Amsterdam</t>
  </si>
  <si>
    <t>💬 Tussen 12-14 uur APP/BEL even voor aankomst tijd</t>
  </si>
  <si>
    <t>LOSSE VERKOOP | 6 bomen</t>
  </si>
  <si>
    <t>🗓️05/12/2025 - ⏰ 10:00 uur</t>
  </si>
  <si>
    <t>📍GOUDA -STADSKANT</t>
  </si>
  <si>
    <t>Agnietenstraat 19, 2801 GH Gouda</t>
  </si>
  <si>
    <t>📞 0641374409</t>
  </si>
  <si>
    <t>💬 VOOR 11 UUR ivm stad paaltjes</t>
  </si>
  <si>
    <t>🗓️05/12/2025 - ⏰ ##:## uur</t>
  </si>
  <si>
    <t>📍Ede - Kantine gebouw Enka</t>
  </si>
  <si>
    <t>Sterkerij 14, 6717 XR Ede</t>
  </si>
  <si>
    <t>📞 0629246373</t>
  </si>
  <si>
    <t>💬 Tussen 14:00 en 17:00</t>
  </si>
  <si>
    <t>🗓️04/12/2025 - ⏰ ##:## uur</t>
  </si>
  <si>
    <t>📍UTRECHT - Steck</t>
  </si>
  <si>
    <t>Frans of Sophie</t>
  </si>
  <si>
    <t>📞  030 782 0680</t>
  </si>
  <si>
    <t>🗓️04/12/2025 - ⏰ 13:00uur</t>
  </si>
  <si>
    <t>📍EINDHOVEN - WASVEN</t>
  </si>
  <si>
    <t>Celebeslaan 30, 5641 AG Eindhoven</t>
  </si>
  <si>
    <t>Alfed</t>
  </si>
  <si>
    <t>📞 0620058893</t>
  </si>
  <si>
    <t>💬 LEVERING tussen 10-16</t>
  </si>
  <si>
    <t>📍BREDA - Kinderboerderij Wolfslaar</t>
  </si>
  <si>
    <t>Wolfslaardreef 95, 4834 SN Breda</t>
  </si>
  <si>
    <t>📞 0610196120</t>
  </si>
  <si>
    <t>📍BREDA - Frontaal Brouwerij</t>
  </si>
  <si>
    <t>Liniestraat 31, 4816 BG Breda (!! 1 ingang aan kant van het station !!)</t>
  </si>
  <si>
    <t>Daline</t>
  </si>
  <si>
    <t>📞 0611198814</t>
  </si>
  <si>
    <t>📍UTRECHT - Willem de Zwijger</t>
  </si>
  <si>
    <t>Bastionweg 2, 3566 MK Utrecht</t>
  </si>
  <si>
    <t>DAAN</t>
  </si>
  <si>
    <t>📞 0626549456</t>
  </si>
  <si>
    <t>💬 LIEVER NIET IN DE OCHTEND</t>
  </si>
  <si>
    <t>🗓️03/11/2025 - ⏰ 10:00 uur</t>
  </si>
  <si>
    <t>📍DEN HAAG - PLUK!</t>
  </si>
  <si>
    <t>Loosduinse Hoofdstraat 1184A, 2552 AV Den Haag</t>
  </si>
  <si>
    <t>📞 0611097447</t>
  </si>
  <si>
    <t>💬 Voor 11:00 uur</t>
  </si>
  <si>
    <t>GEEL</t>
  </si>
  <si>
    <t>PAARS</t>
  </si>
  <si>
    <t>VONDEL TUIN W1</t>
  </si>
  <si>
    <t>VONDEL TUIN W2</t>
  </si>
  <si>
    <t xml:space="preserve">DEN HAAG </t>
  </si>
  <si>
    <t>KOP</t>
  </si>
  <si>
    <t>ENSCHE</t>
  </si>
  <si>
    <t>🗓️03/12/2025 - ⏰ 15:30 uur</t>
  </si>
  <si>
    <t>📍ROTTERDAM - Het witte Paard</t>
  </si>
  <si>
    <t>Groenezoom 245, 3075 GD Rotterdam</t>
  </si>
  <si>
    <t>📞 0648219931</t>
  </si>
  <si>
    <t>💬 Tussen 12:00 en 17:00</t>
  </si>
  <si>
    <t>First Name</t>
  </si>
  <si>
    <t>Last Name</t>
  </si>
  <si>
    <t>Hoogvliet</t>
  </si>
  <si>
    <t>Gerards</t>
  </si>
  <si>
    <t>Annelotte</t>
  </si>
  <si>
    <t>Tol</t>
  </si>
  <si>
    <t>#BB-25-9685</t>
  </si>
  <si>
    <t>Majoor</t>
  </si>
  <si>
    <t>#BB-25-9709</t>
  </si>
  <si>
    <t>Westendorp</t>
  </si>
  <si>
    <t>#BB-25-9725</t>
  </si>
  <si>
    <t>#BB-25-9767</t>
  </si>
  <si>
    <t>🗓️03/12/2025 - ⏰ 11:30 uur</t>
  </si>
  <si>
    <t>📍ROTTERDAM - Belevenisboerderij Schieveen</t>
  </si>
  <si>
    <t>Oude Bovendijk 220, 3046 NL Rotterdam</t>
  </si>
  <si>
    <t xml:space="preserve">Martin &amp; Petra </t>
  </si>
  <si>
    <t>📞 0622379425 | 0612382020</t>
  </si>
  <si>
    <t>💬 Tussen 09:30 en 13:00</t>
  </si>
  <si>
    <t>🗓️02/12/2025 - ⏰ 14:00 uur</t>
  </si>
  <si>
    <t>📍BuytenDelft</t>
  </si>
  <si>
    <t>Korftlaan 3a, 2616 LJ Delft</t>
  </si>
  <si>
    <t>📞 0630371467</t>
  </si>
  <si>
    <t>🗓️02/12/2025 - ⏰ 11:00 uur</t>
  </si>
  <si>
    <t>📍HAARLEM - Houtbaar</t>
  </si>
  <si>
    <t>Woudplein 2 2031 CZ Haarlem</t>
  </si>
  <si>
    <t>Luca</t>
  </si>
  <si>
    <t>📞 0644662677</t>
  </si>
  <si>
    <t>💬 # Tussen 09:30 en 12:30</t>
  </si>
  <si>
    <t>🗓️01/12/2025 - ⏰ 11:00 uur</t>
  </si>
  <si>
    <t>📍Bewust Wonen &amp; Werken Boschveld</t>
  </si>
  <si>
    <t>Edisonstraat 3, 5223 CD Den Bosch</t>
  </si>
  <si>
    <t>maurice</t>
  </si>
  <si>
    <t>📞 0612090104</t>
  </si>
  <si>
    <t>💬 # 09:00 en 12:00</t>
  </si>
  <si>
    <t>🗓️28/11/2025 - ⏰ ##:## uur</t>
  </si>
  <si>
    <t>📍Leiden - The Field</t>
  </si>
  <si>
    <t>Stationsplein 25 2312 AJ Leiden</t>
  </si>
  <si>
    <t>anita</t>
  </si>
  <si>
    <t>📞 0630160982</t>
  </si>
  <si>
    <t>📍Kwekerij Ome Joop</t>
  </si>
  <si>
    <t>Kromme Rade 6, 1241 LK Kortenhoef</t>
  </si>
  <si>
    <t>📞 0631315072</t>
  </si>
  <si>
    <t>💬 Ik heb wat extra bomen mee gestuurd voor langere verkoop.</t>
  </si>
  <si>
    <t>🗓️19/11/2025 - ⏰ 10:00 uur</t>
  </si>
  <si>
    <t>📍VONDELTUIN</t>
  </si>
  <si>
    <r>
      <rPr>
        <rFont val="Arial"/>
        <color rgb="FFFF0000"/>
      </rPr>
      <t>💬 Het zou super zijn als het echt mooie volle en RECHTE bomen zijn :)
Deze gaan naar</t>
    </r>
    <r>
      <rPr>
        <rFont val="Arial"/>
        <b/>
        <color rgb="FFFF0000"/>
      </rPr>
      <t xml:space="preserve"> influencers voor onze promotiecampagne</t>
    </r>
  </si>
  <si>
    <t>🗓️29/11/2025 - ⏰ 10:00 uur</t>
  </si>
  <si>
    <t>📍Molen de Otter</t>
  </si>
  <si>
    <t>Gillis van Ledenberchstraat 78, 1052 VK Amsterdam</t>
  </si>
  <si>
    <t>🗓️26/11/2025 - ⏰ 10:00 uur</t>
  </si>
  <si>
    <t>📍Rosewood</t>
  </si>
  <si>
    <t>Prinsengracht 432-436, 1017 KE Amsterdam</t>
  </si>
  <si>
    <t>💬 Hey Erwin, zou je voor de paarse bomen, dus de 1,50 | 1,75, 
zoveel mogelijk exemplaren zonder label willen pakken? 
Die gaan toch allemaal van af.</t>
  </si>
  <si>
    <t>🗓️27/11/2025 - ⏰ ##:## uur</t>
  </si>
  <si>
    <t>📍STECK - UTRECHT | Orders tot 4 december</t>
  </si>
  <si>
    <t>🗓️27/11/2025 - ⏰ 11:00 uur</t>
  </si>
  <si>
    <t>📍GOUDA - Stadskant</t>
  </si>
  <si>
    <t>Allard</t>
  </si>
  <si>
    <t>1</t>
  </si>
  <si>
    <t>32696827773251</t>
  </si>
  <si>
    <t>32694761980227</t>
  </si>
  <si>
    <t>32709403214147</t>
  </si>
  <si>
    <t>32725883846979</t>
  </si>
  <si>
    <t>32760780783939</t>
  </si>
  <si>
    <t>32766281253187</t>
  </si>
  <si>
    <t>32771235905859</t>
  </si>
  <si>
    <t>32774019809603</t>
  </si>
  <si>
    <t>32774156091715</t>
  </si>
  <si>
    <t>32774300467523</t>
  </si>
  <si>
    <t>32782096236867</t>
  </si>
  <si>
    <t>32786448286019</t>
  </si>
  <si>
    <t>32803527459139</t>
  </si>
  <si>
    <t>32807309148483</t>
  </si>
  <si>
    <t>32810351165763</t>
  </si>
  <si>
    <t>32811605983555</t>
  </si>
  <si>
    <t>32816619225411</t>
  </si>
  <si>
    <t>32817027252547</t>
  </si>
  <si>
    <t>32817111630147</t>
  </si>
  <si>
    <t>32818434900291</t>
  </si>
  <si>
    <t>32820694188355</t>
  </si>
  <si>
    <t>32820872839491</t>
  </si>
  <si>
    <t>32821431238979</t>
  </si>
  <si>
    <t>10-12-2025, 16:30, DENHAAG-DENK, Pickup Order, Wednesday</t>
  </si>
  <si>
    <t>32826272481603</t>
  </si>
  <si>
    <t>toe Laer</t>
  </si>
  <si>
    <t>32826724712771</t>
  </si>
  <si>
    <t>Kamm</t>
  </si>
  <si>
    <t>32826883342659</t>
  </si>
  <si>
    <t>32827357036867</t>
  </si>
  <si>
    <t>Lieve</t>
  </si>
  <si>
    <t>Verrips</t>
  </si>
  <si>
    <t>32830192124227</t>
  </si>
  <si>
    <t>32832044302659</t>
  </si>
  <si>
    <t>Juraj</t>
  </si>
  <si>
    <t>Hanuliak</t>
  </si>
  <si>
    <t>32833265926467</t>
  </si>
  <si>
    <t>Skye</t>
  </si>
  <si>
    <t>Cooke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</si>
</sst>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/d"/>
    <numFmt numFmtId="165" formatCode="yyyy/mm/dd"/>
    <numFmt numFmtId="166" formatCode="d/m/yy"/>
    <numFmt numFmtId="167" formatCode="dd/mm/yyyy"/>
    <numFmt numFmtId="168" formatCode="d-m"/>
  </numFmts>
  <fonts count="21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1155CC"/>
    </font>
    <font>
      <u/>
      <color rgb="FF1155CC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theme="1"/>
      <name val="Helvetica Neue"/>
    </font>
    <font>
      <sz val="17.0"/>
      <color theme="1"/>
      <name val="Arial"/>
      <scheme val="minor"/>
    </font>
    <font>
      <b/>
      <sz val="31.0"/>
      <color theme="1"/>
      <name val="Arial"/>
      <scheme val="minor"/>
    </font>
    <font>
      <color theme="1"/>
      <name val="Arial"/>
    </font>
    <font>
      <sz val="21.0"/>
      <color theme="1"/>
      <name val="Arial"/>
    </font>
    <font>
      <b/>
      <sz val="20.0"/>
      <color theme="1"/>
      <name val="Arial"/>
    </font>
    <font>
      <sz val="16.0"/>
      <color theme="1"/>
      <name val="Arial"/>
    </font>
    <font>
      <color rgb="FFFF0000"/>
      <name val="Arial"/>
    </font>
    <font>
      <b/>
      <sz val="21.0"/>
      <color theme="1"/>
      <name val="Arial"/>
    </font>
    <font>
      <b/>
      <sz val="22.0"/>
      <color theme="1"/>
      <name val="Arial"/>
    </font>
    <font>
      <b/>
      <sz val="20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E8E8E8"/>
        <bgColor rgb="FFE8E8E8"/>
      </patternFill>
    </fill>
    <fill>
      <patternFill patternType="solid">
        <fgColor rgb="FFFFD966"/>
        <bgColor rgb="FFFFD966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9C9C9"/>
        <bgColor rgb="FFC9C9C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6" fontId="5" numFmtId="0" xfId="0" applyAlignment="1" applyFill="1" applyFont="1">
      <alignment horizontal="left" readingOrder="0"/>
    </xf>
    <xf borderId="0" fillId="6" fontId="5" numFmtId="0" xfId="0" applyAlignment="1" applyFont="1">
      <alignment horizontal="right" readingOrder="0"/>
    </xf>
    <xf borderId="0" fillId="6" fontId="5" numFmtId="0" xfId="0" applyAlignment="1" applyFont="1">
      <alignment horizontal="right"/>
    </xf>
    <xf borderId="0" fillId="7" fontId="6" numFmtId="0" xfId="0" applyAlignment="1" applyFill="1" applyFont="1">
      <alignment readingOrder="0"/>
    </xf>
    <xf borderId="0" fillId="7" fontId="6" numFmtId="0" xfId="0" applyAlignment="1" applyFont="1">
      <alignment readingOrder="0"/>
    </xf>
    <xf borderId="0" fillId="7" fontId="6" numFmtId="0" xfId="0" applyFont="1"/>
    <xf borderId="1" fillId="8" fontId="7" numFmtId="0" xfId="0" applyAlignment="1" applyBorder="1" applyFill="1" applyFont="1">
      <alignment readingOrder="0" vertical="top"/>
    </xf>
    <xf borderId="1" fillId="9" fontId="7" numFmtId="0" xfId="0" applyAlignment="1" applyBorder="1" applyFill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8" numFmtId="164" xfId="0" applyAlignment="1" applyBorder="1" applyFont="1" applyNumberForma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8" numFmtId="165" xfId="0" applyAlignment="1" applyBorder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1" fillId="9" fontId="2" numFmtId="0" xfId="0" applyAlignment="1" applyBorder="1" applyFont="1">
      <alignment vertical="top"/>
    </xf>
    <xf borderId="1" fillId="0" fontId="2" numFmtId="165" xfId="0" applyAlignment="1" applyBorder="1" applyFont="1" applyNumberFormat="1">
      <alignment vertical="top"/>
    </xf>
    <xf borderId="0" fillId="0" fontId="8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top"/>
    </xf>
    <xf borderId="1" fillId="0" fontId="2" numFmtId="164" xfId="0" applyAlignment="1" applyBorder="1" applyFont="1" applyNumberFormat="1">
      <alignment vertical="top"/>
    </xf>
    <xf borderId="1" fillId="0" fontId="9" numFmtId="0" xfId="0" applyAlignment="1" applyBorder="1" applyFont="1">
      <alignment readingOrder="0" vertical="top"/>
    </xf>
    <xf borderId="1" fillId="0" fontId="10" numFmtId="0" xfId="0" applyAlignment="1" applyBorder="1" applyFont="1">
      <alignment readingOrder="0" vertical="top"/>
    </xf>
    <xf borderId="1" fillId="9" fontId="2" numFmtId="0" xfId="0" applyAlignment="1" applyBorder="1" applyFont="1">
      <alignment vertical="top"/>
    </xf>
    <xf borderId="0" fillId="0" fontId="2" numFmtId="0" xfId="0" applyFont="1"/>
    <xf borderId="0" fillId="8" fontId="7" numFmtId="0" xfId="0" applyAlignment="1" applyFont="1">
      <alignment readingOrder="0" vertical="top"/>
    </xf>
    <xf quotePrefix="1" borderId="1" fillId="0" fontId="8" numFmtId="0" xfId="0" applyAlignment="1" applyBorder="1" applyFont="1">
      <alignment readingOrder="0" vertical="top"/>
    </xf>
    <xf borderId="1" fillId="0" fontId="8" numFmtId="166" xfId="0" applyAlignment="1" applyBorder="1" applyFont="1" applyNumberFormat="1">
      <alignment readingOrder="0" vertical="top"/>
    </xf>
    <xf borderId="1" fillId="0" fontId="8" numFmtId="167" xfId="0" applyAlignment="1" applyBorder="1" applyFont="1" applyNumberFormat="1">
      <alignment readingOrder="0" vertical="top"/>
    </xf>
    <xf borderId="1" fillId="0" fontId="2" numFmtId="167" xfId="0" applyAlignment="1" applyBorder="1" applyFont="1" applyNumberFormat="1">
      <alignment vertical="top"/>
    </xf>
    <xf borderId="1" fillId="0" fontId="2" numFmtId="166" xfId="0" applyAlignment="1" applyBorder="1" applyFont="1" applyNumberFormat="1">
      <alignment vertical="top"/>
    </xf>
    <xf borderId="1" fillId="0" fontId="8" numFmtId="168" xfId="0" applyAlignment="1" applyBorder="1" applyFont="1" applyNumberFormat="1">
      <alignment readingOrder="0" vertical="top"/>
    </xf>
    <xf borderId="0" fillId="5" fontId="1" numFmtId="0" xfId="0" applyAlignment="1" applyFont="1">
      <alignment readingOrder="0"/>
    </xf>
    <xf borderId="0" fillId="5" fontId="1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11" numFmtId="0" xfId="0" applyFont="1"/>
    <xf borderId="2" fillId="0" fontId="11" numFmtId="0" xfId="0" applyAlignment="1" applyBorder="1" applyFont="1">
      <alignment readingOrder="0"/>
    </xf>
    <xf borderId="3" fillId="0" fontId="11" numFmtId="0" xfId="0" applyAlignment="1" applyBorder="1" applyFont="1">
      <alignment readingOrder="0"/>
    </xf>
    <xf borderId="3" fillId="0" fontId="11" numFmtId="0" xfId="0" applyBorder="1" applyFont="1"/>
    <xf borderId="4" fillId="0" fontId="11" numFmtId="0" xfId="0" applyBorder="1" applyFont="1"/>
    <xf borderId="5" fillId="0" fontId="11" numFmtId="0" xfId="0" applyAlignment="1" applyBorder="1" applyFont="1">
      <alignment readingOrder="0"/>
    </xf>
    <xf borderId="6" fillId="0" fontId="11" numFmtId="0" xfId="0" applyBorder="1" applyFont="1"/>
    <xf borderId="0" fillId="10" fontId="11" numFmtId="0" xfId="0" applyAlignment="1" applyFill="1" applyFont="1">
      <alignment readingOrder="0"/>
    </xf>
    <xf borderId="0" fillId="10" fontId="11" numFmtId="0" xfId="0" applyFont="1"/>
    <xf borderId="5" fillId="10" fontId="11" numFmtId="0" xfId="0" applyBorder="1" applyFont="1"/>
    <xf borderId="6" fillId="10" fontId="11" numFmtId="0" xfId="0" applyAlignment="1" applyBorder="1" applyFont="1">
      <alignment readingOrder="0"/>
    </xf>
    <xf borderId="5" fillId="0" fontId="11" numFmtId="0" xfId="0" applyBorder="1" applyFont="1"/>
    <xf borderId="7" fillId="0" fontId="11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8" fillId="0" fontId="11" numFmtId="0" xfId="0" applyBorder="1" applyFont="1"/>
    <xf borderId="9" fillId="0" fontId="11" numFmtId="0" xfId="0" applyBorder="1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vertical="bottom"/>
    </xf>
    <xf borderId="0" fillId="11" fontId="13" numFmtId="1" xfId="0" applyAlignment="1" applyFill="1" applyFont="1" applyNumberFormat="1">
      <alignment horizontal="right" vertical="bottom"/>
    </xf>
    <xf borderId="10" fillId="11" fontId="13" numFmtId="1" xfId="0" applyAlignment="1" applyBorder="1" applyFont="1" applyNumberFormat="1">
      <alignment horizontal="right" vertical="bottom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0" fontId="14" numFmtId="0" xfId="0" applyAlignment="1" applyFont="1">
      <alignment vertical="bottom"/>
    </xf>
    <xf borderId="0" fillId="3" fontId="15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16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vertical="top"/>
    </xf>
    <xf borderId="0" fillId="3" fontId="17" numFmtId="0" xfId="0" applyAlignment="1" applyFont="1">
      <alignment readingOrder="0" vertical="top"/>
    </xf>
    <xf borderId="1" fillId="0" fontId="18" numFmtId="0" xfId="0" applyAlignment="1" applyBorder="1" applyFont="1">
      <alignment vertical="bottom"/>
    </xf>
    <xf borderId="1" fillId="0" fontId="18" numFmtId="0" xfId="0" applyAlignment="1" applyBorder="1" applyFont="1">
      <alignment horizontal="right" vertical="bottom"/>
    </xf>
    <xf borderId="1" fillId="3" fontId="18" numFmtId="0" xfId="0" applyAlignment="1" applyBorder="1" applyFont="1">
      <alignment horizontal="right" vertical="bottom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1" fillId="3" fontId="14" numFmtId="0" xfId="0" applyAlignment="1" applyBorder="1" applyFont="1">
      <alignment horizontal="right" vertical="bottom"/>
    </xf>
    <xf borderId="1" fillId="0" fontId="14" numFmtId="0" xfId="0" applyAlignment="1" applyBorder="1" applyFont="1">
      <alignment readingOrder="0" vertical="bottom"/>
    </xf>
    <xf borderId="1" fillId="3" fontId="14" numFmtId="0" xfId="0" applyAlignment="1" applyBorder="1" applyFont="1">
      <alignment horizontal="right" readingOrder="0" vertical="bottom"/>
    </xf>
    <xf borderId="11" fillId="0" fontId="13" numFmtId="0" xfId="0" applyAlignment="1" applyBorder="1" applyFont="1">
      <alignment vertical="bottom"/>
    </xf>
    <xf borderId="0" fillId="3" fontId="13" numFmtId="0" xfId="0" applyAlignment="1" applyFont="1">
      <alignment vertical="bottom"/>
    </xf>
    <xf borderId="12" fillId="0" fontId="13" numFmtId="0" xfId="0" applyAlignment="1" applyBorder="1" applyFont="1">
      <alignment vertical="bottom"/>
    </xf>
    <xf borderId="13" fillId="0" fontId="14" numFmtId="0" xfId="0" applyAlignment="1" applyBorder="1" applyFont="1">
      <alignment horizontal="right" vertical="bottom"/>
    </xf>
    <xf borderId="13" fillId="0" fontId="14" numFmtId="0" xfId="0" applyAlignment="1" applyBorder="1" applyFont="1">
      <alignment readingOrder="0" vertical="bottom"/>
    </xf>
    <xf borderId="13" fillId="0" fontId="14" numFmtId="0" xfId="0" applyAlignment="1" applyBorder="1" applyFont="1">
      <alignment vertical="bottom"/>
    </xf>
    <xf borderId="14" fillId="0" fontId="19" numFmtId="0" xfId="0" applyAlignment="1" applyBorder="1" applyFont="1">
      <alignment vertical="bottom"/>
    </xf>
    <xf borderId="14" fillId="0" fontId="19" numFmtId="0" xfId="0" applyAlignment="1" applyBorder="1" applyFont="1">
      <alignment horizontal="right" vertical="bottom"/>
    </xf>
    <xf borderId="15" fillId="3" fontId="18" numFmtId="0" xfId="0" applyAlignment="1" applyBorder="1" applyFont="1">
      <alignment horizontal="right" readingOrder="0" vertical="bottom"/>
    </xf>
    <xf borderId="15" fillId="3" fontId="13" numFmtId="0" xfId="0" applyAlignment="1" applyBorder="1" applyFont="1">
      <alignment vertical="bottom"/>
    </xf>
    <xf borderId="1" fillId="3" fontId="13" numFmtId="0" xfId="0" applyAlignment="1" applyBorder="1" applyFont="1">
      <alignment vertical="bottom"/>
    </xf>
    <xf borderId="0" fillId="13" fontId="13" numFmtId="0" xfId="0" applyAlignment="1" applyFont="1">
      <alignment readingOrder="0" vertical="bottom"/>
    </xf>
    <xf borderId="1" fillId="3" fontId="18" numFmtId="0" xfId="0" applyAlignment="1" applyBorder="1" applyFont="1">
      <alignment horizontal="right" readingOrder="0" vertical="bottom"/>
    </xf>
    <xf borderId="1" fillId="13" fontId="14" numFmtId="0" xfId="0" applyAlignment="1" applyBorder="1" applyFont="1">
      <alignment horizontal="right" readingOrder="0" vertical="bottom"/>
    </xf>
    <xf borderId="1" fillId="14" fontId="14" numFmtId="0" xfId="0" applyAlignment="1" applyBorder="1" applyFill="1" applyFont="1">
      <alignment horizontal="right" readingOrder="0" vertical="bottom"/>
    </xf>
    <xf borderId="0" fillId="13" fontId="14" numFmtId="0" xfId="0" applyAlignment="1" applyFont="1">
      <alignment readingOrder="0" vertical="bottom"/>
    </xf>
    <xf borderId="0" fillId="3" fontId="14" numFmtId="0" xfId="0" applyAlignment="1" applyFont="1">
      <alignment horizontal="right" vertical="bottom"/>
    </xf>
    <xf borderId="1" fillId="15" fontId="7" numFmtId="0" xfId="0" applyAlignment="1" applyBorder="1" applyFill="1" applyFont="1">
      <alignment readingOrder="0" vertical="top"/>
    </xf>
    <xf borderId="0" fillId="13" fontId="20" numFmtId="0" xfId="0" applyAlignment="1" applyFont="1">
      <alignment readingOrder="0"/>
    </xf>
    <xf borderId="0" fillId="13" fontId="20" numFmtId="0" xfId="0" applyFont="1"/>
    <xf borderId="0" fillId="3" fontId="14" numFmtId="0" xfId="0" applyAlignment="1" applyFont="1">
      <alignment horizontal="right" readingOrder="0" vertical="bottom"/>
    </xf>
    <xf borderId="1" fillId="8" fontId="2" numFmtId="0" xfId="0" applyAlignment="1" applyBorder="1" applyFont="1">
      <alignment vertical="top"/>
    </xf>
    <xf borderId="1" fillId="16" fontId="7" numFmtId="0" xfId="0" applyAlignment="1" applyBorder="1" applyFill="1" applyFont="1">
      <alignment readingOrder="0" vertical="top"/>
    </xf>
    <xf borderId="0" fillId="0" fontId="16" numFmtId="0" xfId="0" applyAlignment="1" applyFont="1">
      <alignment vertical="bottom"/>
    </xf>
    <xf borderId="0" fillId="3" fontId="17" numFmtId="0" xfId="0" applyAlignment="1" applyFont="1">
      <alignment vertical="top"/>
    </xf>
    <xf borderId="15" fillId="3" fontId="18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E69138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wi6Fc_GcL3QlXrgRrHwBCCu-tvDy96gFe4EjkE84rl0/edit" TargetMode="External"/><Relationship Id="rId42" Type="http://schemas.openxmlformats.org/officeDocument/2006/relationships/hyperlink" Target="https://docs.google.com/spreadsheets/d/1wi6Fc_GcL3QlXrgRrHwBCCu-tvDy96gFe4EjkE84rl0/edit" TargetMode="External"/><Relationship Id="rId41" Type="http://schemas.openxmlformats.org/officeDocument/2006/relationships/hyperlink" Target="https://docs.google.com/spreadsheets/d/1wi6Fc_GcL3QlXrgRrHwBCCu-tvDy96gFe4EjkE84rl0/edit" TargetMode="External"/><Relationship Id="rId44" Type="http://schemas.openxmlformats.org/officeDocument/2006/relationships/hyperlink" Target="https://docs.google.com/spreadsheets/d/1wi6Fc_GcL3QlXrgRrHwBCCu-tvDy96gFe4EjkE84rl0/edit" TargetMode="External"/><Relationship Id="rId43" Type="http://schemas.openxmlformats.org/officeDocument/2006/relationships/hyperlink" Target="https://docs.google.com/spreadsheets/d/1wi6Fc_GcL3QlXrgRrHwBCCu-tvDy96gFe4EjkE84rl0/edit" TargetMode="External"/><Relationship Id="rId46" Type="http://schemas.openxmlformats.org/officeDocument/2006/relationships/hyperlink" Target="https://docs.google.com/spreadsheets/d/1wi6Fc_GcL3QlXrgRrHwBCCu-tvDy96gFe4EjkE84rl0/edit" TargetMode="External"/><Relationship Id="rId45" Type="http://schemas.openxmlformats.org/officeDocument/2006/relationships/hyperlink" Target="https://docs.google.com/spreadsheets/d/1wi6Fc_GcL3QlXrgRrHwBCCu-tvDy96gFe4EjkE84rl0/edit" TargetMode="External"/><Relationship Id="rId80" Type="http://schemas.openxmlformats.org/officeDocument/2006/relationships/hyperlink" Target="https://docs.google.com/spreadsheets/d/1wi6Fc_GcL3QlXrgRrHwBCCu-tvDy96gFe4EjkE84rl0/edit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docs.google.com/spreadsheets/d/1wi6Fc_GcL3QlXrgRrHwBCCu-tvDy96gFe4EjkE84rl0/edit" TargetMode="External"/><Relationship Id="rId2" Type="http://schemas.openxmlformats.org/officeDocument/2006/relationships/hyperlink" Target="https://docs.google.com/spreadsheets/d/1wi6Fc_GcL3QlXrgRrHwBCCu-tvDy96gFe4EjkE84rl0/edit" TargetMode="External"/><Relationship Id="rId3" Type="http://schemas.openxmlformats.org/officeDocument/2006/relationships/hyperlink" Target="https://docs.google.com/spreadsheets/d/1wi6Fc_GcL3QlXrgRrHwBCCu-tvDy96gFe4EjkE84rl0/edit" TargetMode="External"/><Relationship Id="rId4" Type="http://schemas.openxmlformats.org/officeDocument/2006/relationships/hyperlink" Target="https://docs.google.com/spreadsheets/d/1wi6Fc_GcL3QlXrgRrHwBCCu-tvDy96gFe4EjkE84rl0/edit" TargetMode="External"/><Relationship Id="rId9" Type="http://schemas.openxmlformats.org/officeDocument/2006/relationships/hyperlink" Target="https://docs.google.com/spreadsheets/d/1wi6Fc_GcL3QlXrgRrHwBCCu-tvDy96gFe4EjkE84rl0/edit" TargetMode="External"/><Relationship Id="rId48" Type="http://schemas.openxmlformats.org/officeDocument/2006/relationships/hyperlink" Target="https://docs.google.com/spreadsheets/d/1wi6Fc_GcL3QlXrgRrHwBCCu-tvDy96gFe4EjkE84rl0/edit" TargetMode="External"/><Relationship Id="rId47" Type="http://schemas.openxmlformats.org/officeDocument/2006/relationships/hyperlink" Target="https://docs.google.com/spreadsheets/d/1wi6Fc_GcL3QlXrgRrHwBCCu-tvDy96gFe4EjkE84rl0/edit" TargetMode="External"/><Relationship Id="rId49" Type="http://schemas.openxmlformats.org/officeDocument/2006/relationships/hyperlink" Target="https://docs.google.com/spreadsheets/d/1wi6Fc_GcL3QlXrgRrHwBCCu-tvDy96gFe4EjkE84rl0/edit" TargetMode="External"/><Relationship Id="rId5" Type="http://schemas.openxmlformats.org/officeDocument/2006/relationships/hyperlink" Target="https://docs.google.com/spreadsheets/d/1wi6Fc_GcL3QlXrgRrHwBCCu-tvDy96gFe4EjkE84rl0/edit" TargetMode="External"/><Relationship Id="rId6" Type="http://schemas.openxmlformats.org/officeDocument/2006/relationships/hyperlink" Target="https://docs.google.com/spreadsheets/d/1wi6Fc_GcL3QlXrgRrHwBCCu-tvDy96gFe4EjkE84rl0/edit" TargetMode="External"/><Relationship Id="rId7" Type="http://schemas.openxmlformats.org/officeDocument/2006/relationships/hyperlink" Target="https://docs.google.com/spreadsheets/d/1wi6Fc_GcL3QlXrgRrHwBCCu-tvDy96gFe4EjkE84rl0/edit" TargetMode="External"/><Relationship Id="rId8" Type="http://schemas.openxmlformats.org/officeDocument/2006/relationships/hyperlink" Target="https://docs.google.com/spreadsheets/d/1wi6Fc_GcL3QlXrgRrHwBCCu-tvDy96gFe4EjkE84rl0/edit" TargetMode="External"/><Relationship Id="rId73" Type="http://schemas.openxmlformats.org/officeDocument/2006/relationships/hyperlink" Target="https://docs.google.com/spreadsheets/d/1wi6Fc_GcL3QlXrgRrHwBCCu-tvDy96gFe4EjkE84rl0/edit" TargetMode="External"/><Relationship Id="rId72" Type="http://schemas.openxmlformats.org/officeDocument/2006/relationships/hyperlink" Target="https://docs.google.com/spreadsheets/d/1wi6Fc_GcL3QlXrgRrHwBCCu-tvDy96gFe4EjkE84rl0/edit" TargetMode="External"/><Relationship Id="rId31" Type="http://schemas.openxmlformats.org/officeDocument/2006/relationships/hyperlink" Target="https://docs.google.com/spreadsheets/d/1wi6Fc_GcL3QlXrgRrHwBCCu-tvDy96gFe4EjkE84rl0/edit" TargetMode="External"/><Relationship Id="rId75" Type="http://schemas.openxmlformats.org/officeDocument/2006/relationships/hyperlink" Target="https://docs.google.com/spreadsheets/d/1wi6Fc_GcL3QlXrgRrHwBCCu-tvDy96gFe4EjkE84rl0/edit" TargetMode="External"/><Relationship Id="rId30" Type="http://schemas.openxmlformats.org/officeDocument/2006/relationships/hyperlink" Target="https://docs.google.com/spreadsheets/d/1wi6Fc_GcL3QlXrgRrHwBCCu-tvDy96gFe4EjkE84rl0/edit" TargetMode="External"/><Relationship Id="rId74" Type="http://schemas.openxmlformats.org/officeDocument/2006/relationships/hyperlink" Target="https://docs.google.com/spreadsheets/d/1wi6Fc_GcL3QlXrgRrHwBCCu-tvDy96gFe4EjkE84rl0/edit" TargetMode="External"/><Relationship Id="rId33" Type="http://schemas.openxmlformats.org/officeDocument/2006/relationships/hyperlink" Target="https://docs.google.com/spreadsheets/d/1wi6Fc_GcL3QlXrgRrHwBCCu-tvDy96gFe4EjkE84rl0/edit" TargetMode="External"/><Relationship Id="rId77" Type="http://schemas.openxmlformats.org/officeDocument/2006/relationships/hyperlink" Target="https://docs.google.com/spreadsheets/d/1wi6Fc_GcL3QlXrgRrHwBCCu-tvDy96gFe4EjkE84rl0/edit" TargetMode="External"/><Relationship Id="rId32" Type="http://schemas.openxmlformats.org/officeDocument/2006/relationships/hyperlink" Target="https://docs.google.com/spreadsheets/d/1wi6Fc_GcL3QlXrgRrHwBCCu-tvDy96gFe4EjkE84rl0/edit" TargetMode="External"/><Relationship Id="rId76" Type="http://schemas.openxmlformats.org/officeDocument/2006/relationships/hyperlink" Target="https://docs.google.com/spreadsheets/d/1wi6Fc_GcL3QlXrgRrHwBCCu-tvDy96gFe4EjkE84rl0/edit" TargetMode="External"/><Relationship Id="rId35" Type="http://schemas.openxmlformats.org/officeDocument/2006/relationships/hyperlink" Target="https://docs.google.com/spreadsheets/d/1wi6Fc_GcL3QlXrgRrHwBCCu-tvDy96gFe4EjkE84rl0/edit" TargetMode="External"/><Relationship Id="rId79" Type="http://schemas.openxmlformats.org/officeDocument/2006/relationships/hyperlink" Target="https://docs.google.com/spreadsheets/d/1wi6Fc_GcL3QlXrgRrHwBCCu-tvDy96gFe4EjkE84rl0/edit" TargetMode="External"/><Relationship Id="rId34" Type="http://schemas.openxmlformats.org/officeDocument/2006/relationships/hyperlink" Target="https://docs.google.com/spreadsheets/d/1wi6Fc_GcL3QlXrgRrHwBCCu-tvDy96gFe4EjkE84rl0/edit" TargetMode="External"/><Relationship Id="rId78" Type="http://schemas.openxmlformats.org/officeDocument/2006/relationships/hyperlink" Target="https://docs.google.com/spreadsheets/d/1wi6Fc_GcL3QlXrgRrHwBCCu-tvDy96gFe4EjkE84rl0/edit" TargetMode="External"/><Relationship Id="rId71" Type="http://schemas.openxmlformats.org/officeDocument/2006/relationships/hyperlink" Target="https://docs.google.com/spreadsheets/d/1wi6Fc_GcL3QlXrgRrHwBCCu-tvDy96gFe4EjkE84rl0/edit" TargetMode="External"/><Relationship Id="rId70" Type="http://schemas.openxmlformats.org/officeDocument/2006/relationships/hyperlink" Target="https://docs.google.com/spreadsheets/d/1wi6Fc_GcL3QlXrgRrHwBCCu-tvDy96gFe4EjkE84rl0/edit" TargetMode="External"/><Relationship Id="rId37" Type="http://schemas.openxmlformats.org/officeDocument/2006/relationships/hyperlink" Target="https://docs.google.com/spreadsheets/d/1wi6Fc_GcL3QlXrgRrHwBCCu-tvDy96gFe4EjkE84rl0/edit" TargetMode="External"/><Relationship Id="rId36" Type="http://schemas.openxmlformats.org/officeDocument/2006/relationships/hyperlink" Target="https://docs.google.com/spreadsheets/d/1wi6Fc_GcL3QlXrgRrHwBCCu-tvDy96gFe4EjkE84rl0/edit" TargetMode="External"/><Relationship Id="rId39" Type="http://schemas.openxmlformats.org/officeDocument/2006/relationships/hyperlink" Target="https://docs.google.com/spreadsheets/d/1wi6Fc_GcL3QlXrgRrHwBCCu-tvDy96gFe4EjkE84rl0/edit" TargetMode="External"/><Relationship Id="rId38" Type="http://schemas.openxmlformats.org/officeDocument/2006/relationships/hyperlink" Target="https://docs.google.com/spreadsheets/d/1wi6Fc_GcL3QlXrgRrHwBCCu-tvDy96gFe4EjkE84rl0/edit" TargetMode="External"/><Relationship Id="rId62" Type="http://schemas.openxmlformats.org/officeDocument/2006/relationships/hyperlink" Target="https://docs.google.com/spreadsheets/d/1wi6Fc_GcL3QlXrgRrHwBCCu-tvDy96gFe4EjkE84rl0/edit" TargetMode="External"/><Relationship Id="rId61" Type="http://schemas.openxmlformats.org/officeDocument/2006/relationships/hyperlink" Target="https://docs.google.com/spreadsheets/d/1wi6Fc_GcL3QlXrgRrHwBCCu-tvDy96gFe4EjkE84rl0/edit" TargetMode="External"/><Relationship Id="rId20" Type="http://schemas.openxmlformats.org/officeDocument/2006/relationships/hyperlink" Target="https://docs.google.com/spreadsheets/d/1wi6Fc_GcL3QlXrgRrHwBCCu-tvDy96gFe4EjkE84rl0/edit" TargetMode="External"/><Relationship Id="rId64" Type="http://schemas.openxmlformats.org/officeDocument/2006/relationships/hyperlink" Target="https://docs.google.com/spreadsheets/d/1wi6Fc_GcL3QlXrgRrHwBCCu-tvDy96gFe4EjkE84rl0/edit" TargetMode="External"/><Relationship Id="rId63" Type="http://schemas.openxmlformats.org/officeDocument/2006/relationships/hyperlink" Target="https://docs.google.com/spreadsheets/d/1wi6Fc_GcL3QlXrgRrHwBCCu-tvDy96gFe4EjkE84rl0/edit" TargetMode="External"/><Relationship Id="rId22" Type="http://schemas.openxmlformats.org/officeDocument/2006/relationships/hyperlink" Target="https://docs.google.com/spreadsheets/d/1wi6Fc_GcL3QlXrgRrHwBCCu-tvDy96gFe4EjkE84rl0/edit" TargetMode="External"/><Relationship Id="rId66" Type="http://schemas.openxmlformats.org/officeDocument/2006/relationships/hyperlink" Target="https://docs.google.com/spreadsheets/d/1wi6Fc_GcL3QlXrgRrHwBCCu-tvDy96gFe4EjkE84rl0/edit" TargetMode="External"/><Relationship Id="rId21" Type="http://schemas.openxmlformats.org/officeDocument/2006/relationships/hyperlink" Target="https://docs.google.com/spreadsheets/d/1wi6Fc_GcL3QlXrgRrHwBCCu-tvDy96gFe4EjkE84rl0/edit" TargetMode="External"/><Relationship Id="rId65" Type="http://schemas.openxmlformats.org/officeDocument/2006/relationships/hyperlink" Target="https://docs.google.com/spreadsheets/d/1wi6Fc_GcL3QlXrgRrHwBCCu-tvDy96gFe4EjkE84rl0/edit" TargetMode="External"/><Relationship Id="rId24" Type="http://schemas.openxmlformats.org/officeDocument/2006/relationships/hyperlink" Target="https://docs.google.com/spreadsheets/d/1wi6Fc_GcL3QlXrgRrHwBCCu-tvDy96gFe4EjkE84rl0/edit" TargetMode="External"/><Relationship Id="rId68" Type="http://schemas.openxmlformats.org/officeDocument/2006/relationships/hyperlink" Target="https://docs.google.com/spreadsheets/d/1wi6Fc_GcL3QlXrgRrHwBCCu-tvDy96gFe4EjkE84rl0/edit" TargetMode="External"/><Relationship Id="rId23" Type="http://schemas.openxmlformats.org/officeDocument/2006/relationships/hyperlink" Target="https://docs.google.com/spreadsheets/d/1wi6Fc_GcL3QlXrgRrHwBCCu-tvDy96gFe4EjkE84rl0/edit" TargetMode="External"/><Relationship Id="rId67" Type="http://schemas.openxmlformats.org/officeDocument/2006/relationships/hyperlink" Target="https://docs.google.com/spreadsheets/d/1wi6Fc_GcL3QlXrgRrHwBCCu-tvDy96gFe4EjkE84rl0/edit" TargetMode="External"/><Relationship Id="rId60" Type="http://schemas.openxmlformats.org/officeDocument/2006/relationships/hyperlink" Target="https://docs.google.com/spreadsheets/d/1wi6Fc_GcL3QlXrgRrHwBCCu-tvDy96gFe4EjkE84rl0/edit" TargetMode="External"/><Relationship Id="rId26" Type="http://schemas.openxmlformats.org/officeDocument/2006/relationships/hyperlink" Target="https://docs.google.com/spreadsheets/d/1wi6Fc_GcL3QlXrgRrHwBCCu-tvDy96gFe4EjkE84rl0/edit" TargetMode="External"/><Relationship Id="rId25" Type="http://schemas.openxmlformats.org/officeDocument/2006/relationships/hyperlink" Target="https://docs.google.com/spreadsheets/d/1wi6Fc_GcL3QlXrgRrHwBCCu-tvDy96gFe4EjkE84rl0/edit" TargetMode="External"/><Relationship Id="rId69" Type="http://schemas.openxmlformats.org/officeDocument/2006/relationships/hyperlink" Target="https://docs.google.com/spreadsheets/d/1wi6Fc_GcL3QlXrgRrHwBCCu-tvDy96gFe4EjkE84rl0/edit" TargetMode="External"/><Relationship Id="rId28" Type="http://schemas.openxmlformats.org/officeDocument/2006/relationships/hyperlink" Target="https://docs.google.com/spreadsheets/d/1wi6Fc_GcL3QlXrgRrHwBCCu-tvDy96gFe4EjkE84rl0/edit" TargetMode="External"/><Relationship Id="rId27" Type="http://schemas.openxmlformats.org/officeDocument/2006/relationships/hyperlink" Target="https://docs.google.com/spreadsheets/d/1wi6Fc_GcL3QlXrgRrHwBCCu-tvDy96gFe4EjkE84rl0/edit" TargetMode="External"/><Relationship Id="rId29" Type="http://schemas.openxmlformats.org/officeDocument/2006/relationships/hyperlink" Target="https://docs.google.com/spreadsheets/d/1wi6Fc_GcL3QlXrgRrHwBCCu-tvDy96gFe4EjkE84rl0/edit" TargetMode="External"/><Relationship Id="rId51" Type="http://schemas.openxmlformats.org/officeDocument/2006/relationships/hyperlink" Target="https://docs.google.com/spreadsheets/d/1wi6Fc_GcL3QlXrgRrHwBCCu-tvDy96gFe4EjkE84rl0/edit" TargetMode="External"/><Relationship Id="rId50" Type="http://schemas.openxmlformats.org/officeDocument/2006/relationships/hyperlink" Target="https://docs.google.com/spreadsheets/d/1wi6Fc_GcL3QlXrgRrHwBCCu-tvDy96gFe4EjkE84rl0/edit" TargetMode="External"/><Relationship Id="rId53" Type="http://schemas.openxmlformats.org/officeDocument/2006/relationships/hyperlink" Target="https://docs.google.com/spreadsheets/d/1wi6Fc_GcL3QlXrgRrHwBCCu-tvDy96gFe4EjkE84rl0/edit" TargetMode="External"/><Relationship Id="rId52" Type="http://schemas.openxmlformats.org/officeDocument/2006/relationships/hyperlink" Target="https://docs.google.com/spreadsheets/d/1wi6Fc_GcL3QlXrgRrHwBCCu-tvDy96gFe4EjkE84rl0/edit" TargetMode="External"/><Relationship Id="rId11" Type="http://schemas.openxmlformats.org/officeDocument/2006/relationships/hyperlink" Target="https://docs.google.com/spreadsheets/d/1wi6Fc_GcL3QlXrgRrHwBCCu-tvDy96gFe4EjkE84rl0/edit" TargetMode="External"/><Relationship Id="rId55" Type="http://schemas.openxmlformats.org/officeDocument/2006/relationships/hyperlink" Target="https://docs.google.com/spreadsheets/d/1wi6Fc_GcL3QlXrgRrHwBCCu-tvDy96gFe4EjkE84rl0/edit" TargetMode="External"/><Relationship Id="rId10" Type="http://schemas.openxmlformats.org/officeDocument/2006/relationships/hyperlink" Target="https://docs.google.com/spreadsheets/d/1wi6Fc_GcL3QlXrgRrHwBCCu-tvDy96gFe4EjkE84rl0/edit" TargetMode="External"/><Relationship Id="rId54" Type="http://schemas.openxmlformats.org/officeDocument/2006/relationships/hyperlink" Target="https://docs.google.com/spreadsheets/d/1wi6Fc_GcL3QlXrgRrHwBCCu-tvDy96gFe4EjkE84rl0/edit" TargetMode="External"/><Relationship Id="rId13" Type="http://schemas.openxmlformats.org/officeDocument/2006/relationships/hyperlink" Target="https://docs.google.com/spreadsheets/d/1wi6Fc_GcL3QlXrgRrHwBCCu-tvDy96gFe4EjkE84rl0/edit" TargetMode="External"/><Relationship Id="rId57" Type="http://schemas.openxmlformats.org/officeDocument/2006/relationships/hyperlink" Target="https://docs.google.com/spreadsheets/d/1wi6Fc_GcL3QlXrgRrHwBCCu-tvDy96gFe4EjkE84rl0/edit" TargetMode="External"/><Relationship Id="rId12" Type="http://schemas.openxmlformats.org/officeDocument/2006/relationships/hyperlink" Target="https://docs.google.com/spreadsheets/d/1wi6Fc_GcL3QlXrgRrHwBCCu-tvDy96gFe4EjkE84rl0/edit" TargetMode="External"/><Relationship Id="rId56" Type="http://schemas.openxmlformats.org/officeDocument/2006/relationships/hyperlink" Target="https://docs.google.com/spreadsheets/d/1wi6Fc_GcL3QlXrgRrHwBCCu-tvDy96gFe4EjkE84rl0/edit" TargetMode="External"/><Relationship Id="rId15" Type="http://schemas.openxmlformats.org/officeDocument/2006/relationships/hyperlink" Target="https://docs.google.com/spreadsheets/d/1wi6Fc_GcL3QlXrgRrHwBCCu-tvDy96gFe4EjkE84rl0/edit" TargetMode="External"/><Relationship Id="rId59" Type="http://schemas.openxmlformats.org/officeDocument/2006/relationships/hyperlink" Target="https://docs.google.com/spreadsheets/d/1wi6Fc_GcL3QlXrgRrHwBCCu-tvDy96gFe4EjkE84rl0/edit" TargetMode="External"/><Relationship Id="rId14" Type="http://schemas.openxmlformats.org/officeDocument/2006/relationships/hyperlink" Target="https://docs.google.com/spreadsheets/d/1wi6Fc_GcL3QlXrgRrHwBCCu-tvDy96gFe4EjkE84rl0/edit" TargetMode="External"/><Relationship Id="rId58" Type="http://schemas.openxmlformats.org/officeDocument/2006/relationships/hyperlink" Target="https://docs.google.com/spreadsheets/d/1wi6Fc_GcL3QlXrgRrHwBCCu-tvDy96gFe4EjkE84rl0/edit" TargetMode="External"/><Relationship Id="rId17" Type="http://schemas.openxmlformats.org/officeDocument/2006/relationships/hyperlink" Target="https://docs.google.com/spreadsheets/d/1wi6Fc_GcL3QlXrgRrHwBCCu-tvDy96gFe4EjkE84rl0/edit" TargetMode="External"/><Relationship Id="rId16" Type="http://schemas.openxmlformats.org/officeDocument/2006/relationships/hyperlink" Target="https://docs.google.com/spreadsheets/d/1wi6Fc_GcL3QlXrgRrHwBCCu-tvDy96gFe4EjkE84rl0/edit" TargetMode="External"/><Relationship Id="rId19" Type="http://schemas.openxmlformats.org/officeDocument/2006/relationships/hyperlink" Target="https://docs.google.com/spreadsheets/d/1wi6Fc_GcL3QlXrgRrHwBCCu-tvDy96gFe4EjkE84rl0/edit" TargetMode="External"/><Relationship Id="rId18" Type="http://schemas.openxmlformats.org/officeDocument/2006/relationships/hyperlink" Target="https://docs.google.com/spreadsheets/d/1wi6Fc_GcL3QlXrgRrHwBCCu-tvDy96gFe4EjkE84rl0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mailto:markscheepers@outlook.com" TargetMode="External"/><Relationship Id="rId391" Type="http://schemas.openxmlformats.org/officeDocument/2006/relationships/hyperlink" Target="mailto:markscheepers@outlook.com" TargetMode="External"/><Relationship Id="rId390" Type="http://schemas.openxmlformats.org/officeDocument/2006/relationships/hyperlink" Target="mailto:anneliesvanvlietavv@hotmail.com" TargetMode="External"/><Relationship Id="rId1" Type="http://schemas.openxmlformats.org/officeDocument/2006/relationships/hyperlink" Target="mailto:isvhoudt@gmail.com" TargetMode="External"/><Relationship Id="rId2" Type="http://schemas.openxmlformats.org/officeDocument/2006/relationships/hyperlink" Target="mailto:marieke.zwaanswijk@hotmail.com" TargetMode="External"/><Relationship Id="rId3" Type="http://schemas.openxmlformats.org/officeDocument/2006/relationships/hyperlink" Target="mailto:a.troelstra@me.com" TargetMode="External"/><Relationship Id="rId4" Type="http://schemas.openxmlformats.org/officeDocument/2006/relationships/hyperlink" Target="mailto:geertjan@hartenhoofd.nl" TargetMode="External"/><Relationship Id="rId9" Type="http://schemas.openxmlformats.org/officeDocument/2006/relationships/hyperlink" Target="mailto:marike.strasheim@gmail.com" TargetMode="External"/><Relationship Id="rId385" Type="http://schemas.openxmlformats.org/officeDocument/2006/relationships/hyperlink" Target="mailto:ilonapattenier@gmail.com" TargetMode="External"/><Relationship Id="rId384" Type="http://schemas.openxmlformats.org/officeDocument/2006/relationships/hyperlink" Target="mailto:t.r.menko@gmail.com" TargetMode="External"/><Relationship Id="rId383" Type="http://schemas.openxmlformats.org/officeDocument/2006/relationships/hyperlink" Target="mailto:doeshka@the-other-side.nl" TargetMode="External"/><Relationship Id="rId382" Type="http://schemas.openxmlformats.org/officeDocument/2006/relationships/hyperlink" Target="mailto:g.meurskruijs@upcmail.nl" TargetMode="External"/><Relationship Id="rId5" Type="http://schemas.openxmlformats.org/officeDocument/2006/relationships/hyperlink" Target="mailto:mariellespronck@gmail.com" TargetMode="External"/><Relationship Id="rId389" Type="http://schemas.openxmlformats.org/officeDocument/2006/relationships/hyperlink" Target="mailto:joketeeuw1@kpnmail.nl" TargetMode="External"/><Relationship Id="rId6" Type="http://schemas.openxmlformats.org/officeDocument/2006/relationships/hyperlink" Target="mailto:bramcoolen1982@gmail.com" TargetMode="External"/><Relationship Id="rId388" Type="http://schemas.openxmlformats.org/officeDocument/2006/relationships/hyperlink" Target="mailto:alexvanderjagt@gmail.com" TargetMode="External"/><Relationship Id="rId7" Type="http://schemas.openxmlformats.org/officeDocument/2006/relationships/hyperlink" Target="mailto:info@herminereuchlin.nl" TargetMode="External"/><Relationship Id="rId387" Type="http://schemas.openxmlformats.org/officeDocument/2006/relationships/hyperlink" Target="mailto:hedydevries@protonmail.com" TargetMode="External"/><Relationship Id="rId8" Type="http://schemas.openxmlformats.org/officeDocument/2006/relationships/hyperlink" Target="mailto:bregje0310@gmail.com" TargetMode="External"/><Relationship Id="rId386" Type="http://schemas.openxmlformats.org/officeDocument/2006/relationships/hyperlink" Target="mailto:comaprivate@gmail.com" TargetMode="External"/><Relationship Id="rId381" Type="http://schemas.openxmlformats.org/officeDocument/2006/relationships/hyperlink" Target="mailto:marnix@marnixrosbach.nl" TargetMode="External"/><Relationship Id="rId380" Type="http://schemas.openxmlformats.org/officeDocument/2006/relationships/hyperlink" Target="mailto:myrtheprinsze@live.nl" TargetMode="External"/><Relationship Id="rId379" Type="http://schemas.openxmlformats.org/officeDocument/2006/relationships/hyperlink" Target="mailto:lefebernaomi@gmail.com" TargetMode="External"/><Relationship Id="rId374" Type="http://schemas.openxmlformats.org/officeDocument/2006/relationships/hyperlink" Target="mailto:martinevanloon31@hotmail.com" TargetMode="External"/><Relationship Id="rId373" Type="http://schemas.openxmlformats.org/officeDocument/2006/relationships/hyperlink" Target="mailto:hanne.oosterveer@gmail.com" TargetMode="External"/><Relationship Id="rId372" Type="http://schemas.openxmlformats.org/officeDocument/2006/relationships/hyperlink" Target="mailto:vdtoorn@hotmail.com" TargetMode="External"/><Relationship Id="rId371" Type="http://schemas.openxmlformats.org/officeDocument/2006/relationships/hyperlink" Target="mailto:ellybastiaanssen@hotmail.com" TargetMode="External"/><Relationship Id="rId378" Type="http://schemas.openxmlformats.org/officeDocument/2006/relationships/hyperlink" Target="mailto:nienke.rispens@gmail.com" TargetMode="External"/><Relationship Id="rId377" Type="http://schemas.openxmlformats.org/officeDocument/2006/relationships/hyperlink" Target="mailto:bosheide@gmail.com" TargetMode="External"/><Relationship Id="rId376" Type="http://schemas.openxmlformats.org/officeDocument/2006/relationships/hyperlink" Target="mailto:cambier_stephanie@hotmail.com" TargetMode="External"/><Relationship Id="rId375" Type="http://schemas.openxmlformats.org/officeDocument/2006/relationships/hyperlink" Target="mailto:dieuwekev@hotmail.com" TargetMode="External"/><Relationship Id="rId396" Type="http://schemas.openxmlformats.org/officeDocument/2006/relationships/hyperlink" Target="mailto:drjcstar@gmail.com" TargetMode="External"/><Relationship Id="rId395" Type="http://schemas.openxmlformats.org/officeDocument/2006/relationships/hyperlink" Target="mailto:mieke.bogaartz@gmail.com" TargetMode="External"/><Relationship Id="rId394" Type="http://schemas.openxmlformats.org/officeDocument/2006/relationships/hyperlink" Target="mailto:zegerdalenberg@gmail.com" TargetMode="External"/><Relationship Id="rId393" Type="http://schemas.openxmlformats.org/officeDocument/2006/relationships/hyperlink" Target="mailto:annekekoenis@hotmail.com" TargetMode="External"/><Relationship Id="rId399" Type="http://schemas.openxmlformats.org/officeDocument/2006/relationships/hyperlink" Target="mailto:koenwithagen@hotmail.com" TargetMode="External"/><Relationship Id="rId398" Type="http://schemas.openxmlformats.org/officeDocument/2006/relationships/hyperlink" Target="mailto:liatimmervankeulen@gmail.com" TargetMode="External"/><Relationship Id="rId397" Type="http://schemas.openxmlformats.org/officeDocument/2006/relationships/hyperlink" Target="mailto:michael_van_pelt@hotmail.com" TargetMode="External"/><Relationship Id="rId808" Type="http://schemas.openxmlformats.org/officeDocument/2006/relationships/hyperlink" Target="mailto:mirjam1991@hotmail.com" TargetMode="External"/><Relationship Id="rId807" Type="http://schemas.openxmlformats.org/officeDocument/2006/relationships/hyperlink" Target="mailto:samanthaenjeremy@gmail.com" TargetMode="External"/><Relationship Id="rId806" Type="http://schemas.openxmlformats.org/officeDocument/2006/relationships/hyperlink" Target="mailto:cpostvt@gmail.com" TargetMode="External"/><Relationship Id="rId805" Type="http://schemas.openxmlformats.org/officeDocument/2006/relationships/hyperlink" Target="mailto:jochem@paarlberg.net" TargetMode="External"/><Relationship Id="rId809" Type="http://schemas.openxmlformats.org/officeDocument/2006/relationships/hyperlink" Target="mailto:fennao@hotmail.com" TargetMode="External"/><Relationship Id="rId800" Type="http://schemas.openxmlformats.org/officeDocument/2006/relationships/hyperlink" Target="mailto:peter.faasse@gmail.com" TargetMode="External"/><Relationship Id="rId804" Type="http://schemas.openxmlformats.org/officeDocument/2006/relationships/hyperlink" Target="mailto:a.vdhijden@upcmail.nl" TargetMode="External"/><Relationship Id="rId803" Type="http://schemas.openxmlformats.org/officeDocument/2006/relationships/hyperlink" Target="mailto:flin.nortier@gmail.com" TargetMode="External"/><Relationship Id="rId802" Type="http://schemas.openxmlformats.org/officeDocument/2006/relationships/hyperlink" Target="mailto:laurabolczek@gmail.com" TargetMode="External"/><Relationship Id="rId801" Type="http://schemas.openxmlformats.org/officeDocument/2006/relationships/hyperlink" Target="mailto:ehvanherk@gmail.com" TargetMode="External"/><Relationship Id="rId40" Type="http://schemas.openxmlformats.org/officeDocument/2006/relationships/hyperlink" Target="mailto:joke.oprel@gmail.com" TargetMode="External"/><Relationship Id="rId1334" Type="http://schemas.openxmlformats.org/officeDocument/2006/relationships/hyperlink" Target="mailto:m.a.wubbolts@hotmail.com" TargetMode="External"/><Relationship Id="rId1335" Type="http://schemas.openxmlformats.org/officeDocument/2006/relationships/hyperlink" Target="mailto:l.punt@hotmail.com" TargetMode="External"/><Relationship Id="rId42" Type="http://schemas.openxmlformats.org/officeDocument/2006/relationships/hyperlink" Target="mailto:doorman@kpnplanet.nl" TargetMode="External"/><Relationship Id="rId1336" Type="http://schemas.openxmlformats.org/officeDocument/2006/relationships/hyperlink" Target="mailto:tamarhoutman@gmail.com" TargetMode="External"/><Relationship Id="rId41" Type="http://schemas.openxmlformats.org/officeDocument/2006/relationships/hyperlink" Target="mailto:marliesrobbert@yahoo.com" TargetMode="External"/><Relationship Id="rId1337" Type="http://schemas.openxmlformats.org/officeDocument/2006/relationships/hyperlink" Target="mailto:Joanneke84@hotmail.com" TargetMode="External"/><Relationship Id="rId44" Type="http://schemas.openxmlformats.org/officeDocument/2006/relationships/hyperlink" Target="mailto:rianne_van_swieten@hotmail.com" TargetMode="External"/><Relationship Id="rId1338" Type="http://schemas.openxmlformats.org/officeDocument/2006/relationships/hyperlink" Target="mailto:acrucq@xs4all.nl" TargetMode="External"/><Relationship Id="rId43" Type="http://schemas.openxmlformats.org/officeDocument/2006/relationships/hyperlink" Target="mailto:lombardi.madelon@orange.fr" TargetMode="External"/><Relationship Id="rId1339" Type="http://schemas.openxmlformats.org/officeDocument/2006/relationships/hyperlink" Target="mailto:meikeelise@hotmail.com" TargetMode="External"/><Relationship Id="rId46" Type="http://schemas.openxmlformats.org/officeDocument/2006/relationships/hyperlink" Target="mailto:marloeskoele@gmail.com" TargetMode="External"/><Relationship Id="rId45" Type="http://schemas.openxmlformats.org/officeDocument/2006/relationships/hyperlink" Target="mailto:xingriddx@live.com" TargetMode="External"/><Relationship Id="rId745" Type="http://schemas.openxmlformats.org/officeDocument/2006/relationships/hyperlink" Target="mailto:thea.stratton@gmail.com" TargetMode="External"/><Relationship Id="rId744" Type="http://schemas.openxmlformats.org/officeDocument/2006/relationships/hyperlink" Target="mailto:evaplijter@gmail.com" TargetMode="External"/><Relationship Id="rId743" Type="http://schemas.openxmlformats.org/officeDocument/2006/relationships/hyperlink" Target="mailto:baukjebeers@live.nl" TargetMode="External"/><Relationship Id="rId742" Type="http://schemas.openxmlformats.org/officeDocument/2006/relationships/hyperlink" Target="mailto:shop.breuker@icloud.com" TargetMode="External"/><Relationship Id="rId749" Type="http://schemas.openxmlformats.org/officeDocument/2006/relationships/hyperlink" Target="mailto:iris.katariina@gmail.com" TargetMode="External"/><Relationship Id="rId748" Type="http://schemas.openxmlformats.org/officeDocument/2006/relationships/hyperlink" Target="mailto:tomenhadewych@gmail.com" TargetMode="External"/><Relationship Id="rId747" Type="http://schemas.openxmlformats.org/officeDocument/2006/relationships/hyperlink" Target="mailto:annemieke_z@live.nl" TargetMode="External"/><Relationship Id="rId746" Type="http://schemas.openxmlformats.org/officeDocument/2006/relationships/hyperlink" Target="mailto:ina.kortstee@gmail.com" TargetMode="External"/><Relationship Id="rId48" Type="http://schemas.openxmlformats.org/officeDocument/2006/relationships/hyperlink" Target="mailto:bastiaan.rotsteeg@gmail.com" TargetMode="External"/><Relationship Id="rId47" Type="http://schemas.openxmlformats.org/officeDocument/2006/relationships/hyperlink" Target="mailto:Anne_koopmans@yahoo.com" TargetMode="External"/><Relationship Id="rId49" Type="http://schemas.openxmlformats.org/officeDocument/2006/relationships/hyperlink" Target="mailto:pauline-jacobs@live.nl" TargetMode="External"/><Relationship Id="rId741" Type="http://schemas.openxmlformats.org/officeDocument/2006/relationships/hyperlink" Target="mailto:c.vulink@gmail.com" TargetMode="External"/><Relationship Id="rId1330" Type="http://schemas.openxmlformats.org/officeDocument/2006/relationships/hyperlink" Target="mailto:evelthuis@hotmail.com" TargetMode="External"/><Relationship Id="rId740" Type="http://schemas.openxmlformats.org/officeDocument/2006/relationships/hyperlink" Target="mailto:chrissygazeuse@hotmail.com" TargetMode="External"/><Relationship Id="rId1331" Type="http://schemas.openxmlformats.org/officeDocument/2006/relationships/hyperlink" Target="mailto:angeliquejansuh@hotmail.com" TargetMode="External"/><Relationship Id="rId1332" Type="http://schemas.openxmlformats.org/officeDocument/2006/relationships/hyperlink" Target="mailto:joke.ruiter@gmail.com" TargetMode="External"/><Relationship Id="rId1333" Type="http://schemas.openxmlformats.org/officeDocument/2006/relationships/hyperlink" Target="mailto:lisamorsink@gmail.com" TargetMode="External"/><Relationship Id="rId1323" Type="http://schemas.openxmlformats.org/officeDocument/2006/relationships/hyperlink" Target="mailto:zjoskemichielsen@live.nl" TargetMode="External"/><Relationship Id="rId1324" Type="http://schemas.openxmlformats.org/officeDocument/2006/relationships/hyperlink" Target="mailto:hannahjelmer@gmail.com" TargetMode="External"/><Relationship Id="rId31" Type="http://schemas.openxmlformats.org/officeDocument/2006/relationships/hyperlink" Target="mailto:mrjheier@gmail.com" TargetMode="External"/><Relationship Id="rId1325" Type="http://schemas.openxmlformats.org/officeDocument/2006/relationships/hyperlink" Target="mailto:jeroenverveer010@gmail.com" TargetMode="External"/><Relationship Id="rId30" Type="http://schemas.openxmlformats.org/officeDocument/2006/relationships/hyperlink" Target="mailto:mbeuming@xs4all.nl" TargetMode="External"/><Relationship Id="rId1326" Type="http://schemas.openxmlformats.org/officeDocument/2006/relationships/hyperlink" Target="mailto:merelheilbron@gmail.com" TargetMode="External"/><Relationship Id="rId33" Type="http://schemas.openxmlformats.org/officeDocument/2006/relationships/hyperlink" Target="mailto:aprzwiebel@gmail.com" TargetMode="External"/><Relationship Id="rId1327" Type="http://schemas.openxmlformats.org/officeDocument/2006/relationships/hyperlink" Target="mailto:annekedon@gmail.com" TargetMode="External"/><Relationship Id="rId32" Type="http://schemas.openxmlformats.org/officeDocument/2006/relationships/hyperlink" Target="mailto:sgerretse@outlook.com" TargetMode="External"/><Relationship Id="rId1328" Type="http://schemas.openxmlformats.org/officeDocument/2006/relationships/hyperlink" Target="mailto:gertienbergstra@gmail.com" TargetMode="External"/><Relationship Id="rId35" Type="http://schemas.openxmlformats.org/officeDocument/2006/relationships/hyperlink" Target="mailto:elysaoverdijk@gmail.com" TargetMode="External"/><Relationship Id="rId1329" Type="http://schemas.openxmlformats.org/officeDocument/2006/relationships/hyperlink" Target="mailto:suzevanderaa@gmail.com" TargetMode="External"/><Relationship Id="rId34" Type="http://schemas.openxmlformats.org/officeDocument/2006/relationships/hyperlink" Target="mailto:puckmetgod@gmail.com" TargetMode="External"/><Relationship Id="rId739" Type="http://schemas.openxmlformats.org/officeDocument/2006/relationships/hyperlink" Target="mailto:jordy.sijmonsma@gmail.com" TargetMode="External"/><Relationship Id="rId734" Type="http://schemas.openxmlformats.org/officeDocument/2006/relationships/hyperlink" Target="mailto:s.repping@gmail.com" TargetMode="External"/><Relationship Id="rId733" Type="http://schemas.openxmlformats.org/officeDocument/2006/relationships/hyperlink" Target="mailto:laarmanjettie@gmail.com" TargetMode="External"/><Relationship Id="rId732" Type="http://schemas.openxmlformats.org/officeDocument/2006/relationships/hyperlink" Target="mailto:ilona.brusselers@xs4all.nl" TargetMode="External"/><Relationship Id="rId731" Type="http://schemas.openxmlformats.org/officeDocument/2006/relationships/hyperlink" Target="mailto:willemijnlevert@hotmail.com" TargetMode="External"/><Relationship Id="rId738" Type="http://schemas.openxmlformats.org/officeDocument/2006/relationships/hyperlink" Target="mailto:reneedubois69@gmail.com" TargetMode="External"/><Relationship Id="rId737" Type="http://schemas.openxmlformats.org/officeDocument/2006/relationships/hyperlink" Target="mailto:gijsjobse@live.nl" TargetMode="External"/><Relationship Id="rId736" Type="http://schemas.openxmlformats.org/officeDocument/2006/relationships/hyperlink" Target="mailto:carolinag1031@gmail.com" TargetMode="External"/><Relationship Id="rId735" Type="http://schemas.openxmlformats.org/officeDocument/2006/relationships/hyperlink" Target="mailto:bbock60@planet.nl" TargetMode="External"/><Relationship Id="rId37" Type="http://schemas.openxmlformats.org/officeDocument/2006/relationships/hyperlink" Target="mailto:dikhabbema@hotmail.com" TargetMode="External"/><Relationship Id="rId36" Type="http://schemas.openxmlformats.org/officeDocument/2006/relationships/hyperlink" Target="mailto:jochemkuijs@hotmail.com" TargetMode="External"/><Relationship Id="rId39" Type="http://schemas.openxmlformats.org/officeDocument/2006/relationships/hyperlink" Target="mailto:sabienfr@hotmail.com" TargetMode="External"/><Relationship Id="rId38" Type="http://schemas.openxmlformats.org/officeDocument/2006/relationships/hyperlink" Target="mailto:mitchel1993@gmail.com" TargetMode="External"/><Relationship Id="rId730" Type="http://schemas.openxmlformats.org/officeDocument/2006/relationships/hyperlink" Target="mailto:marleendings@live.nl" TargetMode="External"/><Relationship Id="rId1320" Type="http://schemas.openxmlformats.org/officeDocument/2006/relationships/hyperlink" Target="mailto:barbara.onsman@gmail.com" TargetMode="External"/><Relationship Id="rId1321" Type="http://schemas.openxmlformats.org/officeDocument/2006/relationships/hyperlink" Target="mailto:marionstraatman@hotmail.com" TargetMode="External"/><Relationship Id="rId1322" Type="http://schemas.openxmlformats.org/officeDocument/2006/relationships/hyperlink" Target="mailto:kim.schnmkr@gmail.com" TargetMode="External"/><Relationship Id="rId1356" Type="http://schemas.openxmlformats.org/officeDocument/2006/relationships/hyperlink" Target="mailto:annesophiemailt@gmail.com" TargetMode="External"/><Relationship Id="rId1357" Type="http://schemas.openxmlformats.org/officeDocument/2006/relationships/hyperlink" Target="mailto:anneliekeschoonderwoerd@hotmail.com" TargetMode="External"/><Relationship Id="rId20" Type="http://schemas.openxmlformats.org/officeDocument/2006/relationships/hyperlink" Target="mailto:arjan.vanasselt@gmail.com" TargetMode="External"/><Relationship Id="rId1358" Type="http://schemas.openxmlformats.org/officeDocument/2006/relationships/hyperlink" Target="mailto:vterleth@icloud.com" TargetMode="External"/><Relationship Id="rId1359" Type="http://schemas.openxmlformats.org/officeDocument/2006/relationships/hyperlink" Target="mailto:s.a.j.vanbeek@gmail.com" TargetMode="External"/><Relationship Id="rId22" Type="http://schemas.openxmlformats.org/officeDocument/2006/relationships/hyperlink" Target="mailto:xemmasmit@hotmail.com" TargetMode="External"/><Relationship Id="rId21" Type="http://schemas.openxmlformats.org/officeDocument/2006/relationships/hyperlink" Target="mailto:myriam.schiller@gmail.com" TargetMode="External"/><Relationship Id="rId24" Type="http://schemas.openxmlformats.org/officeDocument/2006/relationships/hyperlink" Target="mailto:odilialac@hotmail.com" TargetMode="External"/><Relationship Id="rId23" Type="http://schemas.openxmlformats.org/officeDocument/2006/relationships/hyperlink" Target="mailto:karivita02@hotmail.com" TargetMode="External"/><Relationship Id="rId767" Type="http://schemas.openxmlformats.org/officeDocument/2006/relationships/hyperlink" Target="mailto:lisalouwers@gmail.com" TargetMode="External"/><Relationship Id="rId766" Type="http://schemas.openxmlformats.org/officeDocument/2006/relationships/hyperlink" Target="mailto:suzancochius@gmail.com" TargetMode="External"/><Relationship Id="rId765" Type="http://schemas.openxmlformats.org/officeDocument/2006/relationships/hyperlink" Target="mailto:maudvtongeren@gmail.com" TargetMode="External"/><Relationship Id="rId764" Type="http://schemas.openxmlformats.org/officeDocument/2006/relationships/hyperlink" Target="mailto:j.nuninga@gmail.com" TargetMode="External"/><Relationship Id="rId769" Type="http://schemas.openxmlformats.org/officeDocument/2006/relationships/hyperlink" Target="mailto:peter@broaddaylight.nl" TargetMode="External"/><Relationship Id="rId768" Type="http://schemas.openxmlformats.org/officeDocument/2006/relationships/hyperlink" Target="mailto:helenarnst@hotmail.com" TargetMode="External"/><Relationship Id="rId26" Type="http://schemas.openxmlformats.org/officeDocument/2006/relationships/hyperlink" Target="mailto:daniel@danielreinders.nl" TargetMode="External"/><Relationship Id="rId25" Type="http://schemas.openxmlformats.org/officeDocument/2006/relationships/hyperlink" Target="mailto:beterboompje@email.febe.nl" TargetMode="External"/><Relationship Id="rId28" Type="http://schemas.openxmlformats.org/officeDocument/2006/relationships/hyperlink" Target="mailto:renskepompe@hotmail.com" TargetMode="External"/><Relationship Id="rId1350" Type="http://schemas.openxmlformats.org/officeDocument/2006/relationships/hyperlink" Target="mailto:litalephraim@hotmail.com" TargetMode="External"/><Relationship Id="rId27" Type="http://schemas.openxmlformats.org/officeDocument/2006/relationships/hyperlink" Target="mailto:snijdersrosalie@hotmail.com" TargetMode="External"/><Relationship Id="rId1351" Type="http://schemas.openxmlformats.org/officeDocument/2006/relationships/hyperlink" Target="mailto:reneeijsebaert@gmail.com" TargetMode="External"/><Relationship Id="rId763" Type="http://schemas.openxmlformats.org/officeDocument/2006/relationships/hyperlink" Target="mailto:lie.danilchenko@gmail.com" TargetMode="External"/><Relationship Id="rId1352" Type="http://schemas.openxmlformats.org/officeDocument/2006/relationships/hyperlink" Target="mailto:mjuhuising88@gmail.com" TargetMode="External"/><Relationship Id="rId29" Type="http://schemas.openxmlformats.org/officeDocument/2006/relationships/hyperlink" Target="mailto:cornesnoeij@soverin.net" TargetMode="External"/><Relationship Id="rId762" Type="http://schemas.openxmlformats.org/officeDocument/2006/relationships/hyperlink" Target="mailto:beterboompje@piepo.nl" TargetMode="External"/><Relationship Id="rId1353" Type="http://schemas.openxmlformats.org/officeDocument/2006/relationships/hyperlink" Target="mailto:marieke.zwagerman@gmail.com" TargetMode="External"/><Relationship Id="rId761" Type="http://schemas.openxmlformats.org/officeDocument/2006/relationships/hyperlink" Target="mailto:koen.biesma@gmail.com" TargetMode="External"/><Relationship Id="rId1354" Type="http://schemas.openxmlformats.org/officeDocument/2006/relationships/hyperlink" Target="mailto:kees.nellen@gmail.com" TargetMode="External"/><Relationship Id="rId760" Type="http://schemas.openxmlformats.org/officeDocument/2006/relationships/hyperlink" Target="mailto:mariaengels@hotmail.com" TargetMode="External"/><Relationship Id="rId1355" Type="http://schemas.openxmlformats.org/officeDocument/2006/relationships/hyperlink" Target="mailto:bart@schoonmaakbedrijfbreddels.nl" TargetMode="External"/><Relationship Id="rId1345" Type="http://schemas.openxmlformats.org/officeDocument/2006/relationships/hyperlink" Target="mailto:s.n.vdmeer@gmail.com" TargetMode="External"/><Relationship Id="rId1346" Type="http://schemas.openxmlformats.org/officeDocument/2006/relationships/hyperlink" Target="mailto:michaeloverzier@gmail.com" TargetMode="External"/><Relationship Id="rId1347" Type="http://schemas.openxmlformats.org/officeDocument/2006/relationships/hyperlink" Target="mailto:imullerschoof@chello.nl" TargetMode="External"/><Relationship Id="rId1348" Type="http://schemas.openxmlformats.org/officeDocument/2006/relationships/hyperlink" Target="mailto:marije.lintsen@gmail.com" TargetMode="External"/><Relationship Id="rId11" Type="http://schemas.openxmlformats.org/officeDocument/2006/relationships/hyperlink" Target="mailto:vaneiks@gmail.com" TargetMode="External"/><Relationship Id="rId1349" Type="http://schemas.openxmlformats.org/officeDocument/2006/relationships/hyperlink" Target="mailto:astrid.1991@live.nl" TargetMode="External"/><Relationship Id="rId10" Type="http://schemas.openxmlformats.org/officeDocument/2006/relationships/hyperlink" Target="mailto:rm.de.jaeger@ziggo.nl" TargetMode="External"/><Relationship Id="rId13" Type="http://schemas.openxmlformats.org/officeDocument/2006/relationships/hyperlink" Target="mailto:margothuijgen@gmail.com" TargetMode="External"/><Relationship Id="rId12" Type="http://schemas.openxmlformats.org/officeDocument/2006/relationships/hyperlink" Target="mailto:debruijnmisja@gmail.com" TargetMode="External"/><Relationship Id="rId756" Type="http://schemas.openxmlformats.org/officeDocument/2006/relationships/hyperlink" Target="mailto:evelienbulder@gmail.com" TargetMode="External"/><Relationship Id="rId755" Type="http://schemas.openxmlformats.org/officeDocument/2006/relationships/hyperlink" Target="mailto:carina-visser@hotmail.com" TargetMode="External"/><Relationship Id="rId754" Type="http://schemas.openxmlformats.org/officeDocument/2006/relationships/hyperlink" Target="mailto:surfslaats@gmail.com" TargetMode="External"/><Relationship Id="rId753" Type="http://schemas.openxmlformats.org/officeDocument/2006/relationships/hyperlink" Target="mailto:lamberts.charlotte309@gmail.com" TargetMode="External"/><Relationship Id="rId759" Type="http://schemas.openxmlformats.org/officeDocument/2006/relationships/hyperlink" Target="mailto:lansako@gmail.com" TargetMode="External"/><Relationship Id="rId758" Type="http://schemas.openxmlformats.org/officeDocument/2006/relationships/hyperlink" Target="mailto:tuurverdonck@gmail.com" TargetMode="External"/><Relationship Id="rId757" Type="http://schemas.openxmlformats.org/officeDocument/2006/relationships/hyperlink" Target="mailto:kzuidhof@ivcb.nl" TargetMode="External"/><Relationship Id="rId15" Type="http://schemas.openxmlformats.org/officeDocument/2006/relationships/hyperlink" Target="mailto:mettapratt@gmail.com" TargetMode="External"/><Relationship Id="rId14" Type="http://schemas.openxmlformats.org/officeDocument/2006/relationships/hyperlink" Target="mailto:dirkjan.rijneveld@gmail.com" TargetMode="External"/><Relationship Id="rId17" Type="http://schemas.openxmlformats.org/officeDocument/2006/relationships/hyperlink" Target="mailto:tiffany.tjong@gmail.com" TargetMode="External"/><Relationship Id="rId16" Type="http://schemas.openxmlformats.org/officeDocument/2006/relationships/hyperlink" Target="mailto:info@chiaratreglia.com" TargetMode="External"/><Relationship Id="rId1340" Type="http://schemas.openxmlformats.org/officeDocument/2006/relationships/hyperlink" Target="mailto:renske.luijten@gmail.com" TargetMode="External"/><Relationship Id="rId19" Type="http://schemas.openxmlformats.org/officeDocument/2006/relationships/hyperlink" Target="mailto:hanneroosbouwman@gmail.com" TargetMode="External"/><Relationship Id="rId752" Type="http://schemas.openxmlformats.org/officeDocument/2006/relationships/hyperlink" Target="mailto:awbolsenbroek@hotmail.com" TargetMode="External"/><Relationship Id="rId1341" Type="http://schemas.openxmlformats.org/officeDocument/2006/relationships/hyperlink" Target="mailto:jettepellemans@gmail.com" TargetMode="External"/><Relationship Id="rId18" Type="http://schemas.openxmlformats.org/officeDocument/2006/relationships/hyperlink" Target="mailto:richard.duplock@outlook.com" TargetMode="External"/><Relationship Id="rId751" Type="http://schemas.openxmlformats.org/officeDocument/2006/relationships/hyperlink" Target="mailto:maaikedalhuisen@gmail.com" TargetMode="External"/><Relationship Id="rId1342" Type="http://schemas.openxmlformats.org/officeDocument/2006/relationships/hyperlink" Target="mailto:saholweg@gmail.com" TargetMode="External"/><Relationship Id="rId750" Type="http://schemas.openxmlformats.org/officeDocument/2006/relationships/hyperlink" Target="mailto:l.vanotterdijk@gmail.com" TargetMode="External"/><Relationship Id="rId1343" Type="http://schemas.openxmlformats.org/officeDocument/2006/relationships/hyperlink" Target="mailto:fleurbrouwer@live.nl" TargetMode="External"/><Relationship Id="rId1344" Type="http://schemas.openxmlformats.org/officeDocument/2006/relationships/hyperlink" Target="mailto:maarten.Nieuwenhuize@gmail.com" TargetMode="External"/><Relationship Id="rId84" Type="http://schemas.openxmlformats.org/officeDocument/2006/relationships/hyperlink" Target="mailto:jamieaijpassa@hotmail.com" TargetMode="External"/><Relationship Id="rId83" Type="http://schemas.openxmlformats.org/officeDocument/2006/relationships/hyperlink" Target="mailto:rebeccakanselaar@hotmail.com" TargetMode="External"/><Relationship Id="rId86" Type="http://schemas.openxmlformats.org/officeDocument/2006/relationships/hyperlink" Target="mailto:annarussell99@hotmail.co.uk" TargetMode="External"/><Relationship Id="rId85" Type="http://schemas.openxmlformats.org/officeDocument/2006/relationships/hyperlink" Target="mailto:reneejanssens@gmail.com" TargetMode="External"/><Relationship Id="rId88" Type="http://schemas.openxmlformats.org/officeDocument/2006/relationships/hyperlink" Target="mailto:latishameijer@gmail.com" TargetMode="External"/><Relationship Id="rId87" Type="http://schemas.openxmlformats.org/officeDocument/2006/relationships/hyperlink" Target="mailto:lauralisazwaan@gmail.com" TargetMode="External"/><Relationship Id="rId89" Type="http://schemas.openxmlformats.org/officeDocument/2006/relationships/hyperlink" Target="mailto:attyvis@gmail.com" TargetMode="External"/><Relationship Id="rId709" Type="http://schemas.openxmlformats.org/officeDocument/2006/relationships/hyperlink" Target="mailto:kostermalou@hotmail.com" TargetMode="External"/><Relationship Id="rId708" Type="http://schemas.openxmlformats.org/officeDocument/2006/relationships/hyperlink" Target="mailto:paulvoskuilen@gmail.com" TargetMode="External"/><Relationship Id="rId707" Type="http://schemas.openxmlformats.org/officeDocument/2006/relationships/hyperlink" Target="mailto:gemma.vanderhoeven@me.com" TargetMode="External"/><Relationship Id="rId706" Type="http://schemas.openxmlformats.org/officeDocument/2006/relationships/hyperlink" Target="mailto:annepaulinemayer@gmail.com" TargetMode="External"/><Relationship Id="rId80" Type="http://schemas.openxmlformats.org/officeDocument/2006/relationships/hyperlink" Target="mailto:aembonsing@gmail.com" TargetMode="External"/><Relationship Id="rId82" Type="http://schemas.openxmlformats.org/officeDocument/2006/relationships/hyperlink" Target="mailto:e.lam62@gmail.com" TargetMode="External"/><Relationship Id="rId81" Type="http://schemas.openxmlformats.org/officeDocument/2006/relationships/hyperlink" Target="mailto:stefanlevels@hotmail.com" TargetMode="External"/><Relationship Id="rId701" Type="http://schemas.openxmlformats.org/officeDocument/2006/relationships/hyperlink" Target="mailto:piengaan@hotmail.com" TargetMode="External"/><Relationship Id="rId700" Type="http://schemas.openxmlformats.org/officeDocument/2006/relationships/hyperlink" Target="mailto:epengelberts@kpnmail.nl" TargetMode="External"/><Relationship Id="rId705" Type="http://schemas.openxmlformats.org/officeDocument/2006/relationships/hyperlink" Target="mailto:i.deweerdt@heli-inmalu.nl" TargetMode="External"/><Relationship Id="rId704" Type="http://schemas.openxmlformats.org/officeDocument/2006/relationships/hyperlink" Target="mailto:mayaris@hotmail.com" TargetMode="External"/><Relationship Id="rId703" Type="http://schemas.openxmlformats.org/officeDocument/2006/relationships/hyperlink" Target="mailto:adelinevdberg@gmail.com" TargetMode="External"/><Relationship Id="rId702" Type="http://schemas.openxmlformats.org/officeDocument/2006/relationships/hyperlink" Target="mailto:m.c.temmink@gmail.com" TargetMode="External"/><Relationship Id="rId73" Type="http://schemas.openxmlformats.org/officeDocument/2006/relationships/hyperlink" Target="mailto:jeroen.marion@hotmail.com" TargetMode="External"/><Relationship Id="rId72" Type="http://schemas.openxmlformats.org/officeDocument/2006/relationships/hyperlink" Target="mailto:michielflaton@hotmail.com" TargetMode="External"/><Relationship Id="rId75" Type="http://schemas.openxmlformats.org/officeDocument/2006/relationships/hyperlink" Target="mailto:mkwesthuis@hotmail.com" TargetMode="External"/><Relationship Id="rId74" Type="http://schemas.openxmlformats.org/officeDocument/2006/relationships/hyperlink" Target="mailto:machteld.elena@gmail.com" TargetMode="External"/><Relationship Id="rId77" Type="http://schemas.openxmlformats.org/officeDocument/2006/relationships/hyperlink" Target="mailto:h.w.eigeman@gmail.com" TargetMode="External"/><Relationship Id="rId76" Type="http://schemas.openxmlformats.org/officeDocument/2006/relationships/hyperlink" Target="mailto:linda_van_kleef@hotmail.com" TargetMode="External"/><Relationship Id="rId79" Type="http://schemas.openxmlformats.org/officeDocument/2006/relationships/hyperlink" Target="mailto:michellebrabers@gmail.com" TargetMode="External"/><Relationship Id="rId78" Type="http://schemas.openxmlformats.org/officeDocument/2006/relationships/hyperlink" Target="mailto:rm.philipse@gmail.com" TargetMode="External"/><Relationship Id="rId71" Type="http://schemas.openxmlformats.org/officeDocument/2006/relationships/hyperlink" Target="mailto:yvette.mets@gmail.com" TargetMode="External"/><Relationship Id="rId70" Type="http://schemas.openxmlformats.org/officeDocument/2006/relationships/hyperlink" Target="mailto:jena_cm@hotmail.com" TargetMode="External"/><Relationship Id="rId62" Type="http://schemas.openxmlformats.org/officeDocument/2006/relationships/hyperlink" Target="mailto:wdvanpaassen@gmail.com" TargetMode="External"/><Relationship Id="rId1312" Type="http://schemas.openxmlformats.org/officeDocument/2006/relationships/hyperlink" Target="mailto:jec.devisser@gmail.com" TargetMode="External"/><Relationship Id="rId61" Type="http://schemas.openxmlformats.org/officeDocument/2006/relationships/hyperlink" Target="mailto:jootje72@yahoo.com" TargetMode="External"/><Relationship Id="rId1313" Type="http://schemas.openxmlformats.org/officeDocument/2006/relationships/hyperlink" Target="mailto:rogerenleonie@quicknet.nl" TargetMode="External"/><Relationship Id="rId64" Type="http://schemas.openxmlformats.org/officeDocument/2006/relationships/hyperlink" Target="mailto:Cuypersclaudia@gmail.com" TargetMode="External"/><Relationship Id="rId1314" Type="http://schemas.openxmlformats.org/officeDocument/2006/relationships/hyperlink" Target="mailto:mariekerous@hotmail.com" TargetMode="External"/><Relationship Id="rId63" Type="http://schemas.openxmlformats.org/officeDocument/2006/relationships/hyperlink" Target="mailto:ajansen.98@live.nl" TargetMode="External"/><Relationship Id="rId1315" Type="http://schemas.openxmlformats.org/officeDocument/2006/relationships/hyperlink" Target="mailto:carmendingjan@hotmail.com" TargetMode="External"/><Relationship Id="rId66" Type="http://schemas.openxmlformats.org/officeDocument/2006/relationships/hyperlink" Target="mailto:vanduijvenbodenpel@proton.me" TargetMode="External"/><Relationship Id="rId1316" Type="http://schemas.openxmlformats.org/officeDocument/2006/relationships/hyperlink" Target="mailto:janne_c@hotmail.com" TargetMode="External"/><Relationship Id="rId65" Type="http://schemas.openxmlformats.org/officeDocument/2006/relationships/hyperlink" Target="mailto:rikkekomen@hotmail.com" TargetMode="External"/><Relationship Id="rId1317" Type="http://schemas.openxmlformats.org/officeDocument/2006/relationships/hyperlink" Target="mailto:minteleni@gmail.com" TargetMode="External"/><Relationship Id="rId68" Type="http://schemas.openxmlformats.org/officeDocument/2006/relationships/hyperlink" Target="mailto:jelmer@vorstenburg.com" TargetMode="External"/><Relationship Id="rId1318" Type="http://schemas.openxmlformats.org/officeDocument/2006/relationships/hyperlink" Target="mailto:joke.moes@gmail.com" TargetMode="External"/><Relationship Id="rId67" Type="http://schemas.openxmlformats.org/officeDocument/2006/relationships/hyperlink" Target="mailto:lisa.borner@gmail.com" TargetMode="External"/><Relationship Id="rId1319" Type="http://schemas.openxmlformats.org/officeDocument/2006/relationships/hyperlink" Target="mailto:nathalie.tukker@gmail.com" TargetMode="External"/><Relationship Id="rId729" Type="http://schemas.openxmlformats.org/officeDocument/2006/relationships/hyperlink" Target="mailto:streppel.marloes@gmail.com" TargetMode="External"/><Relationship Id="rId728" Type="http://schemas.openxmlformats.org/officeDocument/2006/relationships/hyperlink" Target="mailto:suuz1978@gmail.com" TargetMode="External"/><Relationship Id="rId60" Type="http://schemas.openxmlformats.org/officeDocument/2006/relationships/hyperlink" Target="mailto:mlvannoort@hotmail.com" TargetMode="External"/><Relationship Id="rId723" Type="http://schemas.openxmlformats.org/officeDocument/2006/relationships/hyperlink" Target="mailto:natasja.en.dirk.jan@gmail.com" TargetMode="External"/><Relationship Id="rId722" Type="http://schemas.openxmlformats.org/officeDocument/2006/relationships/hyperlink" Target="mailto:mrs_horowitz@hotmail.com" TargetMode="External"/><Relationship Id="rId721" Type="http://schemas.openxmlformats.org/officeDocument/2006/relationships/hyperlink" Target="mailto:inge.schnitger@outlook.com" TargetMode="External"/><Relationship Id="rId720" Type="http://schemas.openxmlformats.org/officeDocument/2006/relationships/hyperlink" Target="mailto:iljaroomans@xs4all.nl" TargetMode="External"/><Relationship Id="rId727" Type="http://schemas.openxmlformats.org/officeDocument/2006/relationships/hyperlink" Target="mailto:bart.vos@hotmail.com" TargetMode="External"/><Relationship Id="rId726" Type="http://schemas.openxmlformats.org/officeDocument/2006/relationships/hyperlink" Target="mailto:ozinamsterdam@gmail.com" TargetMode="External"/><Relationship Id="rId725" Type="http://schemas.openxmlformats.org/officeDocument/2006/relationships/hyperlink" Target="mailto:daphne.lammerinks@gmail.com" TargetMode="External"/><Relationship Id="rId724" Type="http://schemas.openxmlformats.org/officeDocument/2006/relationships/hyperlink" Target="mailto:lottehamar@gmail.com" TargetMode="External"/><Relationship Id="rId69" Type="http://schemas.openxmlformats.org/officeDocument/2006/relationships/hyperlink" Target="mailto:e.kamerik@hotmail.com" TargetMode="External"/><Relationship Id="rId1310" Type="http://schemas.openxmlformats.org/officeDocument/2006/relationships/hyperlink" Target="mailto:koen.loes@rapperdepap.nl" TargetMode="External"/><Relationship Id="rId1311" Type="http://schemas.openxmlformats.org/officeDocument/2006/relationships/hyperlink" Target="mailto:drostmargriet@gmail.com" TargetMode="External"/><Relationship Id="rId51" Type="http://schemas.openxmlformats.org/officeDocument/2006/relationships/hyperlink" Target="mailto:irisboomiris@gmail.com" TargetMode="External"/><Relationship Id="rId1301" Type="http://schemas.openxmlformats.org/officeDocument/2006/relationships/hyperlink" Target="mailto:eahsanders@gmail.com" TargetMode="External"/><Relationship Id="rId50" Type="http://schemas.openxmlformats.org/officeDocument/2006/relationships/hyperlink" Target="mailto:merlijn_kopp@hotmail.com" TargetMode="External"/><Relationship Id="rId1302" Type="http://schemas.openxmlformats.org/officeDocument/2006/relationships/hyperlink" Target="mailto:marliesvani@outlook.com" TargetMode="External"/><Relationship Id="rId53" Type="http://schemas.openxmlformats.org/officeDocument/2006/relationships/hyperlink" Target="mailto:lotte.vermeer96@gmail.com" TargetMode="External"/><Relationship Id="rId1303" Type="http://schemas.openxmlformats.org/officeDocument/2006/relationships/hyperlink" Target="mailto:minke.and.oli@gmail.com" TargetMode="External"/><Relationship Id="rId52" Type="http://schemas.openxmlformats.org/officeDocument/2006/relationships/hyperlink" Target="mailto:roosmarijntallen@gmail.com" TargetMode="External"/><Relationship Id="rId1304" Type="http://schemas.openxmlformats.org/officeDocument/2006/relationships/hyperlink" Target="mailto:mark@marksteunenberg.nl" TargetMode="External"/><Relationship Id="rId55" Type="http://schemas.openxmlformats.org/officeDocument/2006/relationships/hyperlink" Target="mailto:khofstraat@outlook.com" TargetMode="External"/><Relationship Id="rId1305" Type="http://schemas.openxmlformats.org/officeDocument/2006/relationships/hyperlink" Target="mailto:melmaij@hotmail.com" TargetMode="External"/><Relationship Id="rId54" Type="http://schemas.openxmlformats.org/officeDocument/2006/relationships/hyperlink" Target="mailto:juliacecilewienk@hotmail.com" TargetMode="External"/><Relationship Id="rId1306" Type="http://schemas.openxmlformats.org/officeDocument/2006/relationships/hyperlink" Target="mailto:jorineroelants@hotmail.com" TargetMode="External"/><Relationship Id="rId57" Type="http://schemas.openxmlformats.org/officeDocument/2006/relationships/hyperlink" Target="mailto:eefsmeets@gmail.com" TargetMode="External"/><Relationship Id="rId1307" Type="http://schemas.openxmlformats.org/officeDocument/2006/relationships/hyperlink" Target="mailto:nicolebohmer@gmail.com" TargetMode="External"/><Relationship Id="rId56" Type="http://schemas.openxmlformats.org/officeDocument/2006/relationships/hyperlink" Target="mailto:julievanvliet@live.nl" TargetMode="External"/><Relationship Id="rId1308" Type="http://schemas.openxmlformats.org/officeDocument/2006/relationships/hyperlink" Target="mailto:tomdoorschodt@hotmail.com" TargetMode="External"/><Relationship Id="rId1309" Type="http://schemas.openxmlformats.org/officeDocument/2006/relationships/hyperlink" Target="mailto:blvankeulen@hotmail.com" TargetMode="External"/><Relationship Id="rId719" Type="http://schemas.openxmlformats.org/officeDocument/2006/relationships/hyperlink" Target="mailto:cilia_sw@hotmail.com" TargetMode="External"/><Relationship Id="rId718" Type="http://schemas.openxmlformats.org/officeDocument/2006/relationships/hyperlink" Target="mailto:janmaarten.gaasbeek@gmail.com" TargetMode="External"/><Relationship Id="rId717" Type="http://schemas.openxmlformats.org/officeDocument/2006/relationships/hyperlink" Target="mailto:janneke.anink@gmail.com" TargetMode="External"/><Relationship Id="rId712" Type="http://schemas.openxmlformats.org/officeDocument/2006/relationships/hyperlink" Target="mailto:carlahuisman@cypers.nl" TargetMode="External"/><Relationship Id="rId711" Type="http://schemas.openxmlformats.org/officeDocument/2006/relationships/hyperlink" Target="mailto:marijnvanderklaauw@gmail.com" TargetMode="External"/><Relationship Id="rId710" Type="http://schemas.openxmlformats.org/officeDocument/2006/relationships/hyperlink" Target="mailto:nolte001@hetnet.nl" TargetMode="External"/><Relationship Id="rId716" Type="http://schemas.openxmlformats.org/officeDocument/2006/relationships/hyperlink" Target="mailto:mailellenkooij@gmail.com" TargetMode="External"/><Relationship Id="rId715" Type="http://schemas.openxmlformats.org/officeDocument/2006/relationships/hyperlink" Target="mailto:laura.jungmann@gmail.com" TargetMode="External"/><Relationship Id="rId714" Type="http://schemas.openxmlformats.org/officeDocument/2006/relationships/hyperlink" Target="mailto:loesveeger@live.nl" TargetMode="External"/><Relationship Id="rId713" Type="http://schemas.openxmlformats.org/officeDocument/2006/relationships/hyperlink" Target="mailto:mypluim@telfort.nl" TargetMode="External"/><Relationship Id="rId59" Type="http://schemas.openxmlformats.org/officeDocument/2006/relationships/hyperlink" Target="mailto:jjeske@hotmail.com" TargetMode="External"/><Relationship Id="rId58" Type="http://schemas.openxmlformats.org/officeDocument/2006/relationships/hyperlink" Target="mailto:ao.laura@gmail.com" TargetMode="External"/><Relationship Id="rId1300" Type="http://schemas.openxmlformats.org/officeDocument/2006/relationships/hyperlink" Target="mailto:thuisilay@gmail.com" TargetMode="External"/><Relationship Id="rId349" Type="http://schemas.openxmlformats.org/officeDocument/2006/relationships/hyperlink" Target="mailto:machielspruijt@gmail.com" TargetMode="External"/><Relationship Id="rId348" Type="http://schemas.openxmlformats.org/officeDocument/2006/relationships/hyperlink" Target="mailto:post4tal@hotmail.com" TargetMode="External"/><Relationship Id="rId347" Type="http://schemas.openxmlformats.org/officeDocument/2006/relationships/hyperlink" Target="mailto:juliawalker1992@gmail.com" TargetMode="External"/><Relationship Id="rId346" Type="http://schemas.openxmlformats.org/officeDocument/2006/relationships/hyperlink" Target="mailto:gijs1985@hotmail.com" TargetMode="External"/><Relationship Id="rId341" Type="http://schemas.openxmlformats.org/officeDocument/2006/relationships/hyperlink" Target="mailto:heleenhonig@gmail.com" TargetMode="External"/><Relationship Id="rId340" Type="http://schemas.openxmlformats.org/officeDocument/2006/relationships/hyperlink" Target="mailto:a_vds@hotmail.com" TargetMode="External"/><Relationship Id="rId345" Type="http://schemas.openxmlformats.org/officeDocument/2006/relationships/hyperlink" Target="mailto:suzanenpeter@gmail.com" TargetMode="External"/><Relationship Id="rId344" Type="http://schemas.openxmlformats.org/officeDocument/2006/relationships/hyperlink" Target="mailto:c.vd.spek@planet.nl" TargetMode="External"/><Relationship Id="rId343" Type="http://schemas.openxmlformats.org/officeDocument/2006/relationships/hyperlink" Target="mailto:mcbrentjens@kpnmail.nl" TargetMode="External"/><Relationship Id="rId342" Type="http://schemas.openxmlformats.org/officeDocument/2006/relationships/hyperlink" Target="mailto:estherneuteboom@gmail.com" TargetMode="External"/><Relationship Id="rId338" Type="http://schemas.openxmlformats.org/officeDocument/2006/relationships/hyperlink" Target="mailto:vtoemen@gmail.com" TargetMode="External"/><Relationship Id="rId337" Type="http://schemas.openxmlformats.org/officeDocument/2006/relationships/hyperlink" Target="mailto:dalveenhof@gmail.com" TargetMode="External"/><Relationship Id="rId336" Type="http://schemas.openxmlformats.org/officeDocument/2006/relationships/hyperlink" Target="mailto:monnycampos@gmail.com" TargetMode="External"/><Relationship Id="rId335" Type="http://schemas.openxmlformats.org/officeDocument/2006/relationships/hyperlink" Target="mailto:annehendriks_@live.nl" TargetMode="External"/><Relationship Id="rId339" Type="http://schemas.openxmlformats.org/officeDocument/2006/relationships/hyperlink" Target="mailto:marjanbik@hotmail.nl" TargetMode="External"/><Relationship Id="rId330" Type="http://schemas.openxmlformats.org/officeDocument/2006/relationships/hyperlink" Target="mailto:inadegoeij@hotmail.com" TargetMode="External"/><Relationship Id="rId334" Type="http://schemas.openxmlformats.org/officeDocument/2006/relationships/hyperlink" Target="mailto:saskiafarla@hotmail.com" TargetMode="External"/><Relationship Id="rId333" Type="http://schemas.openxmlformats.org/officeDocument/2006/relationships/hyperlink" Target="mailto:mereldeherder@gmail.com" TargetMode="External"/><Relationship Id="rId332" Type="http://schemas.openxmlformats.org/officeDocument/2006/relationships/hyperlink" Target="mailto:rian@rianknop.nl" TargetMode="External"/><Relationship Id="rId331" Type="http://schemas.openxmlformats.org/officeDocument/2006/relationships/hyperlink" Target="mailto:Gertrudesmit1969@gmail.com" TargetMode="External"/><Relationship Id="rId370" Type="http://schemas.openxmlformats.org/officeDocument/2006/relationships/hyperlink" Target="mailto:c.vanoort@home.nl" TargetMode="External"/><Relationship Id="rId369" Type="http://schemas.openxmlformats.org/officeDocument/2006/relationships/hyperlink" Target="mailto:djoekevisser@gmail.com" TargetMode="External"/><Relationship Id="rId368" Type="http://schemas.openxmlformats.org/officeDocument/2006/relationships/hyperlink" Target="mailto:lianneklijn@hotmail.com" TargetMode="External"/><Relationship Id="rId363" Type="http://schemas.openxmlformats.org/officeDocument/2006/relationships/hyperlink" Target="mailto:nitya_michaux@hotmail.com" TargetMode="External"/><Relationship Id="rId362" Type="http://schemas.openxmlformats.org/officeDocument/2006/relationships/hyperlink" Target="mailto:loes.knoops@gmail.com" TargetMode="External"/><Relationship Id="rId361" Type="http://schemas.openxmlformats.org/officeDocument/2006/relationships/hyperlink" Target="mailto:annelise.pires.ferreira@outlook.com" TargetMode="External"/><Relationship Id="rId360" Type="http://schemas.openxmlformats.org/officeDocument/2006/relationships/hyperlink" Target="mailto:amarinskesminia@gmail.com" TargetMode="External"/><Relationship Id="rId367" Type="http://schemas.openxmlformats.org/officeDocument/2006/relationships/hyperlink" Target="mailto:m.meijer61@kpnplanet.nl" TargetMode="External"/><Relationship Id="rId366" Type="http://schemas.openxmlformats.org/officeDocument/2006/relationships/hyperlink" Target="mailto:lauraschot92@gmail.com" TargetMode="External"/><Relationship Id="rId365" Type="http://schemas.openxmlformats.org/officeDocument/2006/relationships/hyperlink" Target="mailto:nickyevans1981@gmail.com" TargetMode="External"/><Relationship Id="rId364" Type="http://schemas.openxmlformats.org/officeDocument/2006/relationships/hyperlink" Target="mailto:evel_yn1984@hotmail.com" TargetMode="External"/><Relationship Id="rId95" Type="http://schemas.openxmlformats.org/officeDocument/2006/relationships/hyperlink" Target="mailto:joost@diskos.nl" TargetMode="External"/><Relationship Id="rId94" Type="http://schemas.openxmlformats.org/officeDocument/2006/relationships/hyperlink" Target="mailto:ruud986@gmail.com" TargetMode="External"/><Relationship Id="rId97" Type="http://schemas.openxmlformats.org/officeDocument/2006/relationships/hyperlink" Target="mailto:sjoerdjevanheerden@hotmail.com" TargetMode="External"/><Relationship Id="rId96" Type="http://schemas.openxmlformats.org/officeDocument/2006/relationships/hyperlink" Target="mailto:hijn103@gmail.com" TargetMode="External"/><Relationship Id="rId99" Type="http://schemas.openxmlformats.org/officeDocument/2006/relationships/hyperlink" Target="mailto:Naomi_heerings@hotmail.com" TargetMode="External"/><Relationship Id="rId98" Type="http://schemas.openxmlformats.org/officeDocument/2006/relationships/hyperlink" Target="mailto:emmadefouw@outlook.com" TargetMode="External"/><Relationship Id="rId91" Type="http://schemas.openxmlformats.org/officeDocument/2006/relationships/hyperlink" Target="mailto:otto@ottocoster.com" TargetMode="External"/><Relationship Id="rId90" Type="http://schemas.openxmlformats.org/officeDocument/2006/relationships/hyperlink" Target="mailto:Bosma.berk@gmail.com" TargetMode="External"/><Relationship Id="rId93" Type="http://schemas.openxmlformats.org/officeDocument/2006/relationships/hyperlink" Target="mailto:soevia15@gmail.com" TargetMode="External"/><Relationship Id="rId92" Type="http://schemas.openxmlformats.org/officeDocument/2006/relationships/hyperlink" Target="mailto:judithburm@gmail.com" TargetMode="External"/><Relationship Id="rId359" Type="http://schemas.openxmlformats.org/officeDocument/2006/relationships/hyperlink" Target="mailto:selmadekker2020@gmail.com" TargetMode="External"/><Relationship Id="rId358" Type="http://schemas.openxmlformats.org/officeDocument/2006/relationships/hyperlink" Target="mailto:tessagovers@gmail.com" TargetMode="External"/><Relationship Id="rId357" Type="http://schemas.openxmlformats.org/officeDocument/2006/relationships/hyperlink" Target="mailto:cordanie@gmail.com" TargetMode="External"/><Relationship Id="rId352" Type="http://schemas.openxmlformats.org/officeDocument/2006/relationships/hyperlink" Target="mailto:maarten-robin@outlook.com" TargetMode="External"/><Relationship Id="rId351" Type="http://schemas.openxmlformats.org/officeDocument/2006/relationships/hyperlink" Target="mailto:mecatronico77@gmail.com" TargetMode="External"/><Relationship Id="rId350" Type="http://schemas.openxmlformats.org/officeDocument/2006/relationships/hyperlink" Target="mailto:remiveldhoven@gmail.com" TargetMode="External"/><Relationship Id="rId356" Type="http://schemas.openxmlformats.org/officeDocument/2006/relationships/hyperlink" Target="mailto:cordanie@gmail.com" TargetMode="External"/><Relationship Id="rId355" Type="http://schemas.openxmlformats.org/officeDocument/2006/relationships/hyperlink" Target="mailto:amgijsen@gmail.com" TargetMode="External"/><Relationship Id="rId354" Type="http://schemas.openxmlformats.org/officeDocument/2006/relationships/hyperlink" Target="mailto:tansu.ilhan7@gmail.com" TargetMode="External"/><Relationship Id="rId353" Type="http://schemas.openxmlformats.org/officeDocument/2006/relationships/hyperlink" Target="mailto:lucas.baart@gmail.com" TargetMode="External"/><Relationship Id="rId1378" Type="http://schemas.openxmlformats.org/officeDocument/2006/relationships/hyperlink" Target="mailto:inge_hol@yahoo.com" TargetMode="External"/><Relationship Id="rId1379" Type="http://schemas.openxmlformats.org/officeDocument/2006/relationships/hyperlink" Target="mailto:aemengel@gmail.com" TargetMode="External"/><Relationship Id="rId305" Type="http://schemas.openxmlformats.org/officeDocument/2006/relationships/hyperlink" Target="mailto:fahertel@gmail.com" TargetMode="External"/><Relationship Id="rId789" Type="http://schemas.openxmlformats.org/officeDocument/2006/relationships/hyperlink" Target="mailto:luijksmarisa@gmail.com" TargetMode="External"/><Relationship Id="rId304" Type="http://schemas.openxmlformats.org/officeDocument/2006/relationships/hyperlink" Target="mailto:annebijl@hotmail.com" TargetMode="External"/><Relationship Id="rId788" Type="http://schemas.openxmlformats.org/officeDocument/2006/relationships/hyperlink" Target="mailto:iris100x@hotmail.com" TargetMode="External"/><Relationship Id="rId303" Type="http://schemas.openxmlformats.org/officeDocument/2006/relationships/hyperlink" Target="mailto:nicoletluisman@gmail.com" TargetMode="External"/><Relationship Id="rId787" Type="http://schemas.openxmlformats.org/officeDocument/2006/relationships/hyperlink" Target="mailto:mcanita@kpnmail.nl" TargetMode="External"/><Relationship Id="rId302" Type="http://schemas.openxmlformats.org/officeDocument/2006/relationships/hyperlink" Target="mailto:c.m.mulder@outlook.com" TargetMode="External"/><Relationship Id="rId786" Type="http://schemas.openxmlformats.org/officeDocument/2006/relationships/hyperlink" Target="mailto:i.vanwerven@gmail.com" TargetMode="External"/><Relationship Id="rId309" Type="http://schemas.openxmlformats.org/officeDocument/2006/relationships/hyperlink" Target="mailto:info@acupunctuur-aandemaas.com" TargetMode="External"/><Relationship Id="rId308" Type="http://schemas.openxmlformats.org/officeDocument/2006/relationships/hyperlink" Target="mailto:judith@altena5.nl" TargetMode="External"/><Relationship Id="rId307" Type="http://schemas.openxmlformats.org/officeDocument/2006/relationships/hyperlink" Target="mailto:info@jeroenallart.nl" TargetMode="External"/><Relationship Id="rId306" Type="http://schemas.openxmlformats.org/officeDocument/2006/relationships/hyperlink" Target="mailto:suzan2310@gmail.com" TargetMode="External"/><Relationship Id="rId781" Type="http://schemas.openxmlformats.org/officeDocument/2006/relationships/hyperlink" Target="mailto:dinekefeenstra@hotmail.com" TargetMode="External"/><Relationship Id="rId1370" Type="http://schemas.openxmlformats.org/officeDocument/2006/relationships/hyperlink" Target="mailto:juliusbijlsma@hotmail.com" TargetMode="External"/><Relationship Id="rId780" Type="http://schemas.openxmlformats.org/officeDocument/2006/relationships/hyperlink" Target="mailto:sophiedejong96@gmail.com" TargetMode="External"/><Relationship Id="rId1371" Type="http://schemas.openxmlformats.org/officeDocument/2006/relationships/hyperlink" Target="mailto:esther.lievaart@gmaip.com" TargetMode="External"/><Relationship Id="rId1372" Type="http://schemas.openxmlformats.org/officeDocument/2006/relationships/hyperlink" Target="mailto:jeanineduijst@gmail.com" TargetMode="External"/><Relationship Id="rId1373" Type="http://schemas.openxmlformats.org/officeDocument/2006/relationships/hyperlink" Target="mailto:m.rietdijk82@gmail.com" TargetMode="External"/><Relationship Id="rId301" Type="http://schemas.openxmlformats.org/officeDocument/2006/relationships/hyperlink" Target="mailto:marjannevdhelm@gmail.com" TargetMode="External"/><Relationship Id="rId785" Type="http://schemas.openxmlformats.org/officeDocument/2006/relationships/hyperlink" Target="mailto:annabel@annabelhowland.nl" TargetMode="External"/><Relationship Id="rId1374" Type="http://schemas.openxmlformats.org/officeDocument/2006/relationships/hyperlink" Target="mailto:heide.weiss@upcmail.nl" TargetMode="External"/><Relationship Id="rId300" Type="http://schemas.openxmlformats.org/officeDocument/2006/relationships/hyperlink" Target="mailto:margit.blaak@gmail.com" TargetMode="External"/><Relationship Id="rId784" Type="http://schemas.openxmlformats.org/officeDocument/2006/relationships/hyperlink" Target="mailto:mathildekamphuis@hotmail.com" TargetMode="External"/><Relationship Id="rId1375" Type="http://schemas.openxmlformats.org/officeDocument/2006/relationships/hyperlink" Target="mailto:g.j.m.schoorl@gmail.com" TargetMode="External"/><Relationship Id="rId783" Type="http://schemas.openxmlformats.org/officeDocument/2006/relationships/hyperlink" Target="mailto:jdsinke@planet.nl" TargetMode="External"/><Relationship Id="rId1376" Type="http://schemas.openxmlformats.org/officeDocument/2006/relationships/hyperlink" Target="mailto:lwlos@xs4all.nl" TargetMode="External"/><Relationship Id="rId782" Type="http://schemas.openxmlformats.org/officeDocument/2006/relationships/hyperlink" Target="mailto:l.i.vaneeden@gmail.com" TargetMode="External"/><Relationship Id="rId1377" Type="http://schemas.openxmlformats.org/officeDocument/2006/relationships/hyperlink" Target="mailto:marloes.velsma@hotmail.com" TargetMode="External"/><Relationship Id="rId1367" Type="http://schemas.openxmlformats.org/officeDocument/2006/relationships/hyperlink" Target="mailto:daanlevendig@gmail.com" TargetMode="External"/><Relationship Id="rId1368" Type="http://schemas.openxmlformats.org/officeDocument/2006/relationships/hyperlink" Target="mailto:aga_007@hotmail.com" TargetMode="External"/><Relationship Id="rId1369" Type="http://schemas.openxmlformats.org/officeDocument/2006/relationships/hyperlink" Target="mailto:sorbitollisollie@gmail.com" TargetMode="External"/><Relationship Id="rId778" Type="http://schemas.openxmlformats.org/officeDocument/2006/relationships/hyperlink" Target="mailto:menno.eleni@gmail.com" TargetMode="External"/><Relationship Id="rId777" Type="http://schemas.openxmlformats.org/officeDocument/2006/relationships/hyperlink" Target="mailto:marjosalentijn@gmail.com" TargetMode="External"/><Relationship Id="rId776" Type="http://schemas.openxmlformats.org/officeDocument/2006/relationships/hyperlink" Target="mailto:anoukwallien@gmail.com" TargetMode="External"/><Relationship Id="rId775" Type="http://schemas.openxmlformats.org/officeDocument/2006/relationships/hyperlink" Target="mailto:walravensmarijke@gmail.com" TargetMode="External"/><Relationship Id="rId779" Type="http://schemas.openxmlformats.org/officeDocument/2006/relationships/hyperlink" Target="mailto:zambrinsara@gmail.com" TargetMode="External"/><Relationship Id="rId770" Type="http://schemas.openxmlformats.org/officeDocument/2006/relationships/hyperlink" Target="mailto:liekedevries2@gmail.com" TargetMode="External"/><Relationship Id="rId1360" Type="http://schemas.openxmlformats.org/officeDocument/2006/relationships/hyperlink" Target="mailto:Info@eigen-wijsz.nl" TargetMode="External"/><Relationship Id="rId1361" Type="http://schemas.openxmlformats.org/officeDocument/2006/relationships/hyperlink" Target="mailto:berendvanbreda@live.nl" TargetMode="External"/><Relationship Id="rId1362" Type="http://schemas.openxmlformats.org/officeDocument/2006/relationships/hyperlink" Target="mailto:lorrainevanderstok@gmail.com" TargetMode="External"/><Relationship Id="rId774" Type="http://schemas.openxmlformats.org/officeDocument/2006/relationships/hyperlink" Target="mailto:ngase@live.nl" TargetMode="External"/><Relationship Id="rId1363" Type="http://schemas.openxmlformats.org/officeDocument/2006/relationships/hyperlink" Target="mailto:lesjabohlen@gmail.com" TargetMode="External"/><Relationship Id="rId773" Type="http://schemas.openxmlformats.org/officeDocument/2006/relationships/hyperlink" Target="mailto:lihaa84@gmail.com" TargetMode="External"/><Relationship Id="rId1364" Type="http://schemas.openxmlformats.org/officeDocument/2006/relationships/hyperlink" Target="mailto:sjoerdnynke@outlook.com" TargetMode="External"/><Relationship Id="rId772" Type="http://schemas.openxmlformats.org/officeDocument/2006/relationships/hyperlink" Target="mailto:h.looijen@xs4all.nl" TargetMode="External"/><Relationship Id="rId1365" Type="http://schemas.openxmlformats.org/officeDocument/2006/relationships/hyperlink" Target="mailto:neutimo@dds.nl" TargetMode="External"/><Relationship Id="rId771" Type="http://schemas.openxmlformats.org/officeDocument/2006/relationships/hyperlink" Target="mailto:daanwijnants@hotmail.com" TargetMode="External"/><Relationship Id="rId1366" Type="http://schemas.openxmlformats.org/officeDocument/2006/relationships/hyperlink" Target="mailto:luukvansanten1997@hotmail.com" TargetMode="External"/><Relationship Id="rId327" Type="http://schemas.openxmlformats.org/officeDocument/2006/relationships/hyperlink" Target="mailto:ehouweling1012@gmail.com" TargetMode="External"/><Relationship Id="rId326" Type="http://schemas.openxmlformats.org/officeDocument/2006/relationships/hyperlink" Target="mailto:titia.ruijs@gmail.com" TargetMode="External"/><Relationship Id="rId325" Type="http://schemas.openxmlformats.org/officeDocument/2006/relationships/hyperlink" Target="mailto:bas@vangoor.me" TargetMode="External"/><Relationship Id="rId324" Type="http://schemas.openxmlformats.org/officeDocument/2006/relationships/hyperlink" Target="mailto:elsvdjagt@gmail.com" TargetMode="External"/><Relationship Id="rId329" Type="http://schemas.openxmlformats.org/officeDocument/2006/relationships/hyperlink" Target="mailto:prdaalder@gmail.com" TargetMode="External"/><Relationship Id="rId1390" Type="http://schemas.openxmlformats.org/officeDocument/2006/relationships/hyperlink" Target="mailto:bosmarjolein@gmail.com" TargetMode="External"/><Relationship Id="rId328" Type="http://schemas.openxmlformats.org/officeDocument/2006/relationships/hyperlink" Target="mailto:stannekekusters@gmail.com" TargetMode="External"/><Relationship Id="rId1391" Type="http://schemas.openxmlformats.org/officeDocument/2006/relationships/hyperlink" Target="mailto:hipandhub@gmail.com" TargetMode="External"/><Relationship Id="rId1392" Type="http://schemas.openxmlformats.org/officeDocument/2006/relationships/hyperlink" Target="mailto:pcxm.brouwers@gmail.com" TargetMode="External"/><Relationship Id="rId1393" Type="http://schemas.openxmlformats.org/officeDocument/2006/relationships/hyperlink" Target="mailto:vissabine@gmail.com" TargetMode="External"/><Relationship Id="rId1394" Type="http://schemas.openxmlformats.org/officeDocument/2006/relationships/hyperlink" Target="mailto:mariabujalska@gmail.com" TargetMode="External"/><Relationship Id="rId1395" Type="http://schemas.openxmlformats.org/officeDocument/2006/relationships/hyperlink" Target="mailto:mariabujalska@gmail.com" TargetMode="External"/><Relationship Id="rId323" Type="http://schemas.openxmlformats.org/officeDocument/2006/relationships/hyperlink" Target="mailto:romee_henrieke@hotmail.com" TargetMode="External"/><Relationship Id="rId1396" Type="http://schemas.openxmlformats.org/officeDocument/2006/relationships/hyperlink" Target="mailto:anouk.scheffer@gmail.com" TargetMode="External"/><Relationship Id="rId322" Type="http://schemas.openxmlformats.org/officeDocument/2006/relationships/hyperlink" Target="mailto:jorritberendsen@pm.me" TargetMode="External"/><Relationship Id="rId1397" Type="http://schemas.openxmlformats.org/officeDocument/2006/relationships/hyperlink" Target="mailto:avwingerde@gmail.com" TargetMode="External"/><Relationship Id="rId321" Type="http://schemas.openxmlformats.org/officeDocument/2006/relationships/hyperlink" Target="mailto:jadecastelijn@gmail.com" TargetMode="External"/><Relationship Id="rId1398" Type="http://schemas.openxmlformats.org/officeDocument/2006/relationships/hyperlink" Target="mailto:mireille.vink@ziggo.nl" TargetMode="External"/><Relationship Id="rId320" Type="http://schemas.openxmlformats.org/officeDocument/2006/relationships/hyperlink" Target="mailto:ankestruijs@gmail.com" TargetMode="External"/><Relationship Id="rId1399" Type="http://schemas.openxmlformats.org/officeDocument/2006/relationships/hyperlink" Target="mailto:natasjaschutter@me.com" TargetMode="External"/><Relationship Id="rId1389" Type="http://schemas.openxmlformats.org/officeDocument/2006/relationships/hyperlink" Target="mailto:ynelen@gmail.com" TargetMode="External"/><Relationship Id="rId316" Type="http://schemas.openxmlformats.org/officeDocument/2006/relationships/hyperlink" Target="mailto:nici.schwandt@gmail.com" TargetMode="External"/><Relationship Id="rId315" Type="http://schemas.openxmlformats.org/officeDocument/2006/relationships/hyperlink" Target="mailto:claardebrauw@hotmail.com" TargetMode="External"/><Relationship Id="rId799" Type="http://schemas.openxmlformats.org/officeDocument/2006/relationships/hyperlink" Target="mailto:caya.van.scheijndel@gmail.com" TargetMode="External"/><Relationship Id="rId314" Type="http://schemas.openxmlformats.org/officeDocument/2006/relationships/hyperlink" Target="mailto:mlvanmin@gmail.com" TargetMode="External"/><Relationship Id="rId798" Type="http://schemas.openxmlformats.org/officeDocument/2006/relationships/hyperlink" Target="mailto:annemariekeroelfzema@hotmail.com" TargetMode="External"/><Relationship Id="rId313" Type="http://schemas.openxmlformats.org/officeDocument/2006/relationships/hyperlink" Target="mailto:jitsedevriend@gmail.com" TargetMode="External"/><Relationship Id="rId797" Type="http://schemas.openxmlformats.org/officeDocument/2006/relationships/hyperlink" Target="mailto:kimdevries89@gmail.com" TargetMode="External"/><Relationship Id="rId319" Type="http://schemas.openxmlformats.org/officeDocument/2006/relationships/hyperlink" Target="mailto:cmacpeeters@hotmail.com" TargetMode="External"/><Relationship Id="rId318" Type="http://schemas.openxmlformats.org/officeDocument/2006/relationships/hyperlink" Target="mailto:a.koenraat@upcmail.nl" TargetMode="External"/><Relationship Id="rId317" Type="http://schemas.openxmlformats.org/officeDocument/2006/relationships/hyperlink" Target="mailto:maatroos@gmail.com" TargetMode="External"/><Relationship Id="rId1380" Type="http://schemas.openxmlformats.org/officeDocument/2006/relationships/hyperlink" Target="mailto:evaezendam@gmail.com" TargetMode="External"/><Relationship Id="rId792" Type="http://schemas.openxmlformats.org/officeDocument/2006/relationships/hyperlink" Target="mailto:frederieke.mesters@gmail.com" TargetMode="External"/><Relationship Id="rId1381" Type="http://schemas.openxmlformats.org/officeDocument/2006/relationships/hyperlink" Target="mailto:evaezendam@gmail.com" TargetMode="External"/><Relationship Id="rId791" Type="http://schemas.openxmlformats.org/officeDocument/2006/relationships/hyperlink" Target="mailto:thomas.annejet@gmail.com" TargetMode="External"/><Relationship Id="rId1382" Type="http://schemas.openxmlformats.org/officeDocument/2006/relationships/hyperlink" Target="mailto:ellen.burger@kpnplanet.nl" TargetMode="External"/><Relationship Id="rId790" Type="http://schemas.openxmlformats.org/officeDocument/2006/relationships/hyperlink" Target="mailto:jochem.bosselaar@gmail.com" TargetMode="External"/><Relationship Id="rId1383" Type="http://schemas.openxmlformats.org/officeDocument/2006/relationships/hyperlink" Target="mailto:tomas.loeffen@gmail.com" TargetMode="External"/><Relationship Id="rId1384" Type="http://schemas.openxmlformats.org/officeDocument/2006/relationships/hyperlink" Target="mailto:hiltjeosinga@gmail.com" TargetMode="External"/><Relationship Id="rId312" Type="http://schemas.openxmlformats.org/officeDocument/2006/relationships/hyperlink" Target="mailto:theklareuten@me.com" TargetMode="External"/><Relationship Id="rId796" Type="http://schemas.openxmlformats.org/officeDocument/2006/relationships/hyperlink" Target="mailto:danablekkenhorst@hotmail.com" TargetMode="External"/><Relationship Id="rId1385" Type="http://schemas.openxmlformats.org/officeDocument/2006/relationships/hyperlink" Target="mailto:gardog@hotmail.com" TargetMode="External"/><Relationship Id="rId311" Type="http://schemas.openxmlformats.org/officeDocument/2006/relationships/hyperlink" Target="mailto:annamarahamersma@gmail.com" TargetMode="External"/><Relationship Id="rId795" Type="http://schemas.openxmlformats.org/officeDocument/2006/relationships/hyperlink" Target="mailto:mvdbosch79@hotmail.com" TargetMode="External"/><Relationship Id="rId1386" Type="http://schemas.openxmlformats.org/officeDocument/2006/relationships/hyperlink" Target="mailto:ibeijer@gmail.com" TargetMode="External"/><Relationship Id="rId310" Type="http://schemas.openxmlformats.org/officeDocument/2006/relationships/hyperlink" Target="mailto:tessamook@hotmail.com" TargetMode="External"/><Relationship Id="rId794" Type="http://schemas.openxmlformats.org/officeDocument/2006/relationships/hyperlink" Target="mailto:jacq.meijer@gmail.com" TargetMode="External"/><Relationship Id="rId1387" Type="http://schemas.openxmlformats.org/officeDocument/2006/relationships/hyperlink" Target="mailto:marcelvannijnatten@gmail.com" TargetMode="External"/><Relationship Id="rId793" Type="http://schemas.openxmlformats.org/officeDocument/2006/relationships/hyperlink" Target="mailto:marlieskamperman@gmail.com" TargetMode="External"/><Relationship Id="rId1388" Type="http://schemas.openxmlformats.org/officeDocument/2006/relationships/hyperlink" Target="mailto:tanjadammers@gmail.com" TargetMode="External"/><Relationship Id="rId297" Type="http://schemas.openxmlformats.org/officeDocument/2006/relationships/hyperlink" Target="mailto:stichtingnrd@gmail.com" TargetMode="External"/><Relationship Id="rId296" Type="http://schemas.openxmlformats.org/officeDocument/2006/relationships/hyperlink" Target="mailto:rosannezwart@gmail.com" TargetMode="External"/><Relationship Id="rId295" Type="http://schemas.openxmlformats.org/officeDocument/2006/relationships/hyperlink" Target="mailto:jesse.bobeldijk@gmail.com" TargetMode="External"/><Relationship Id="rId294" Type="http://schemas.openxmlformats.org/officeDocument/2006/relationships/hyperlink" Target="mailto:mirjamroepman1@gmail.com" TargetMode="External"/><Relationship Id="rId299" Type="http://schemas.openxmlformats.org/officeDocument/2006/relationships/hyperlink" Target="mailto:lisa_whittle_@hotmail.com" TargetMode="External"/><Relationship Id="rId298" Type="http://schemas.openxmlformats.org/officeDocument/2006/relationships/hyperlink" Target="mailto:jeroen.vanrijnwind@gmail.com" TargetMode="External"/><Relationship Id="rId271" Type="http://schemas.openxmlformats.org/officeDocument/2006/relationships/hyperlink" Target="mailto:lisette.visser@visser-vantilborg.nl" TargetMode="External"/><Relationship Id="rId270" Type="http://schemas.openxmlformats.org/officeDocument/2006/relationships/hyperlink" Target="mailto:ericavanbuchem@hotmail.com" TargetMode="External"/><Relationship Id="rId269" Type="http://schemas.openxmlformats.org/officeDocument/2006/relationships/hyperlink" Target="mailto:srmeuwese@gmail.com" TargetMode="External"/><Relationship Id="rId264" Type="http://schemas.openxmlformats.org/officeDocument/2006/relationships/hyperlink" Target="mailto:nienke_heemskerk@hotmail.com" TargetMode="External"/><Relationship Id="rId263" Type="http://schemas.openxmlformats.org/officeDocument/2006/relationships/hyperlink" Target="mailto:barbara.vanheijst@gmail.com" TargetMode="External"/><Relationship Id="rId262" Type="http://schemas.openxmlformats.org/officeDocument/2006/relationships/hyperlink" Target="mailto:imkereceveur@gmail.com" TargetMode="External"/><Relationship Id="rId261" Type="http://schemas.openxmlformats.org/officeDocument/2006/relationships/hyperlink" Target="mailto:maureen.wilde@web.de" TargetMode="External"/><Relationship Id="rId268" Type="http://schemas.openxmlformats.org/officeDocument/2006/relationships/hyperlink" Target="mailto:cspamvis@gmail.com" TargetMode="External"/><Relationship Id="rId267" Type="http://schemas.openxmlformats.org/officeDocument/2006/relationships/hyperlink" Target="mailto:viannettedenboer@gmail.com" TargetMode="External"/><Relationship Id="rId266" Type="http://schemas.openxmlformats.org/officeDocument/2006/relationships/hyperlink" Target="mailto:m.pegels74@gmail.com" TargetMode="External"/><Relationship Id="rId265" Type="http://schemas.openxmlformats.org/officeDocument/2006/relationships/hyperlink" Target="mailto:stap12@gmail.com" TargetMode="External"/><Relationship Id="rId260" Type="http://schemas.openxmlformats.org/officeDocument/2006/relationships/hyperlink" Target="mailto:margrietverpoorten@gmail.com" TargetMode="External"/><Relationship Id="rId259" Type="http://schemas.openxmlformats.org/officeDocument/2006/relationships/hyperlink" Target="mailto:annevdlaan@live.nl" TargetMode="External"/><Relationship Id="rId258" Type="http://schemas.openxmlformats.org/officeDocument/2006/relationships/hyperlink" Target="mailto:suzannedenhoed@gmail.com" TargetMode="External"/><Relationship Id="rId253" Type="http://schemas.openxmlformats.org/officeDocument/2006/relationships/hyperlink" Target="mailto:daanvv@me.com" TargetMode="External"/><Relationship Id="rId252" Type="http://schemas.openxmlformats.org/officeDocument/2006/relationships/hyperlink" Target="mailto:kirsten.boer@gmail.com" TargetMode="External"/><Relationship Id="rId251" Type="http://schemas.openxmlformats.org/officeDocument/2006/relationships/hyperlink" Target="mailto:ijbspijkerman@gmail.com" TargetMode="External"/><Relationship Id="rId250" Type="http://schemas.openxmlformats.org/officeDocument/2006/relationships/hyperlink" Target="mailto:nlterhaar@gmail.com" TargetMode="External"/><Relationship Id="rId257" Type="http://schemas.openxmlformats.org/officeDocument/2006/relationships/hyperlink" Target="mailto:lauradeleij@gmail.com" TargetMode="External"/><Relationship Id="rId256" Type="http://schemas.openxmlformats.org/officeDocument/2006/relationships/hyperlink" Target="mailto:maria.anna.dewit@gmail.com" TargetMode="External"/><Relationship Id="rId255" Type="http://schemas.openxmlformats.org/officeDocument/2006/relationships/hyperlink" Target="mailto:mevw@outlook.com" TargetMode="External"/><Relationship Id="rId254" Type="http://schemas.openxmlformats.org/officeDocument/2006/relationships/hyperlink" Target="mailto:liesbeth1612@hotmail.com" TargetMode="External"/><Relationship Id="rId293" Type="http://schemas.openxmlformats.org/officeDocument/2006/relationships/hyperlink" Target="mailto:mea.zeebregts@gmail.com" TargetMode="External"/><Relationship Id="rId292" Type="http://schemas.openxmlformats.org/officeDocument/2006/relationships/hyperlink" Target="mailto:zuhota87.nukusu72@murena.io" TargetMode="External"/><Relationship Id="rId291" Type="http://schemas.openxmlformats.org/officeDocument/2006/relationships/hyperlink" Target="mailto:h.kruizenga@amsterdamumc.nl" TargetMode="External"/><Relationship Id="rId290" Type="http://schemas.openxmlformats.org/officeDocument/2006/relationships/hyperlink" Target="mailto:juliettelambregts@gmail.com" TargetMode="External"/><Relationship Id="rId286" Type="http://schemas.openxmlformats.org/officeDocument/2006/relationships/hyperlink" Target="mailto:marlijnberendsen@gmail.com" TargetMode="External"/><Relationship Id="rId285" Type="http://schemas.openxmlformats.org/officeDocument/2006/relationships/hyperlink" Target="mailto:maritannika.schouten@gmail.com" TargetMode="External"/><Relationship Id="rId284" Type="http://schemas.openxmlformats.org/officeDocument/2006/relationships/hyperlink" Target="mailto:brokke2peeters-c@telfort.nl" TargetMode="External"/><Relationship Id="rId283" Type="http://schemas.openxmlformats.org/officeDocument/2006/relationships/hyperlink" Target="mailto:lcwagenvoorde@hotmail.com" TargetMode="External"/><Relationship Id="rId289" Type="http://schemas.openxmlformats.org/officeDocument/2006/relationships/hyperlink" Target="mailto:zzzonja@hotmail.com" TargetMode="External"/><Relationship Id="rId288" Type="http://schemas.openxmlformats.org/officeDocument/2006/relationships/hyperlink" Target="mailto:n.folkertsma@gmail.com" TargetMode="External"/><Relationship Id="rId287" Type="http://schemas.openxmlformats.org/officeDocument/2006/relationships/hyperlink" Target="mailto:s.van.steekelenburg@gmail.com" TargetMode="External"/><Relationship Id="rId282" Type="http://schemas.openxmlformats.org/officeDocument/2006/relationships/hyperlink" Target="mailto:thijsweistra@gmail.com" TargetMode="External"/><Relationship Id="rId281" Type="http://schemas.openxmlformats.org/officeDocument/2006/relationships/hyperlink" Target="mailto:mmengelbertink@gmail.com" TargetMode="External"/><Relationship Id="rId280" Type="http://schemas.openxmlformats.org/officeDocument/2006/relationships/hyperlink" Target="mailto:joepvanegmond31@gmail.com" TargetMode="External"/><Relationship Id="rId275" Type="http://schemas.openxmlformats.org/officeDocument/2006/relationships/hyperlink" Target="mailto:tessaboutkan@hotmail.com" TargetMode="External"/><Relationship Id="rId274" Type="http://schemas.openxmlformats.org/officeDocument/2006/relationships/hyperlink" Target="mailto:charline.rouffet@gmail.com" TargetMode="External"/><Relationship Id="rId273" Type="http://schemas.openxmlformats.org/officeDocument/2006/relationships/hyperlink" Target="mailto:annebroerse@gmail.com" TargetMode="External"/><Relationship Id="rId272" Type="http://schemas.openxmlformats.org/officeDocument/2006/relationships/hyperlink" Target="mailto:annkatrin.flegel@web.de" TargetMode="External"/><Relationship Id="rId279" Type="http://schemas.openxmlformats.org/officeDocument/2006/relationships/hyperlink" Target="mailto:cbbakker@outlook.com" TargetMode="External"/><Relationship Id="rId278" Type="http://schemas.openxmlformats.org/officeDocument/2006/relationships/hyperlink" Target="mailto:eunicekasse@hotmail.com" TargetMode="External"/><Relationship Id="rId277" Type="http://schemas.openxmlformats.org/officeDocument/2006/relationships/hyperlink" Target="mailto:tinekevanmourikbanda@gmail.com" TargetMode="External"/><Relationship Id="rId276" Type="http://schemas.openxmlformats.org/officeDocument/2006/relationships/hyperlink" Target="mailto:thetatazelaar@gmail.com" TargetMode="External"/><Relationship Id="rId1455" Type="http://schemas.openxmlformats.org/officeDocument/2006/relationships/hyperlink" Target="mailto:beterboompje@robinberghuijs.com" TargetMode="External"/><Relationship Id="rId1456" Type="http://schemas.openxmlformats.org/officeDocument/2006/relationships/hyperlink" Target="mailto:juulligtenberg@gmail.com" TargetMode="External"/><Relationship Id="rId1457" Type="http://schemas.openxmlformats.org/officeDocument/2006/relationships/hyperlink" Target="mailto:kevingrond@gmail.com" TargetMode="External"/><Relationship Id="rId1458" Type="http://schemas.openxmlformats.org/officeDocument/2006/relationships/hyperlink" Target="mailto:mjbeijering@gmail.com" TargetMode="External"/><Relationship Id="rId1459" Type="http://schemas.openxmlformats.org/officeDocument/2006/relationships/hyperlink" Target="mailto:edithheuders@gmail.com" TargetMode="External"/><Relationship Id="rId629" Type="http://schemas.openxmlformats.org/officeDocument/2006/relationships/hyperlink" Target="mailto:ca3rine@gmail.com" TargetMode="External"/><Relationship Id="rId624" Type="http://schemas.openxmlformats.org/officeDocument/2006/relationships/hyperlink" Target="mailto:lottekrediet@gmail.com" TargetMode="External"/><Relationship Id="rId623" Type="http://schemas.openxmlformats.org/officeDocument/2006/relationships/hyperlink" Target="mailto:sasjaheetveld@gmail.com" TargetMode="External"/><Relationship Id="rId622" Type="http://schemas.openxmlformats.org/officeDocument/2006/relationships/hyperlink" Target="mailto:ninavandersluys@gmail.com" TargetMode="External"/><Relationship Id="rId621" Type="http://schemas.openxmlformats.org/officeDocument/2006/relationships/hyperlink" Target="mailto:mirjamgrisnigt@gmail.com" TargetMode="External"/><Relationship Id="rId628" Type="http://schemas.openxmlformats.org/officeDocument/2006/relationships/hyperlink" Target="mailto:simone-en-bart@freedom.nl" TargetMode="External"/><Relationship Id="rId627" Type="http://schemas.openxmlformats.org/officeDocument/2006/relationships/hyperlink" Target="mailto:waterweijdens@gmail.com" TargetMode="External"/><Relationship Id="rId626" Type="http://schemas.openxmlformats.org/officeDocument/2006/relationships/hyperlink" Target="mailto:diekehoftijzer@hotmail.com" TargetMode="External"/><Relationship Id="rId625" Type="http://schemas.openxmlformats.org/officeDocument/2006/relationships/hyperlink" Target="mailto:als.kroon@gmail.com" TargetMode="External"/><Relationship Id="rId1450" Type="http://schemas.openxmlformats.org/officeDocument/2006/relationships/hyperlink" Target="mailto:m-argaux.d@live.fr" TargetMode="External"/><Relationship Id="rId620" Type="http://schemas.openxmlformats.org/officeDocument/2006/relationships/hyperlink" Target="mailto:tjitske.mussche@gmail.com" TargetMode="External"/><Relationship Id="rId1451" Type="http://schemas.openxmlformats.org/officeDocument/2006/relationships/hyperlink" Target="mailto:mbhaverdings@hotmail.com" TargetMode="External"/><Relationship Id="rId1452" Type="http://schemas.openxmlformats.org/officeDocument/2006/relationships/hyperlink" Target="mailto:spuyman@gmail.com" TargetMode="External"/><Relationship Id="rId1453" Type="http://schemas.openxmlformats.org/officeDocument/2006/relationships/hyperlink" Target="mailto:maria0653530365@gmail.com" TargetMode="External"/><Relationship Id="rId1454" Type="http://schemas.openxmlformats.org/officeDocument/2006/relationships/hyperlink" Target="mailto:michiel.hazen@proton.me" TargetMode="External"/><Relationship Id="rId1444" Type="http://schemas.openxmlformats.org/officeDocument/2006/relationships/hyperlink" Target="mailto:jcjroemer@gmail.com" TargetMode="External"/><Relationship Id="rId1445" Type="http://schemas.openxmlformats.org/officeDocument/2006/relationships/hyperlink" Target="mailto:miloumeulepas@hotmail.com" TargetMode="External"/><Relationship Id="rId1446" Type="http://schemas.openxmlformats.org/officeDocument/2006/relationships/hyperlink" Target="mailto:charlottesmityoga@gmail.com" TargetMode="External"/><Relationship Id="rId1447" Type="http://schemas.openxmlformats.org/officeDocument/2006/relationships/hyperlink" Target="mailto:epeijster@gmail.com" TargetMode="External"/><Relationship Id="rId1448" Type="http://schemas.openxmlformats.org/officeDocument/2006/relationships/hyperlink" Target="mailto:arne@freedom.nl" TargetMode="External"/><Relationship Id="rId1449" Type="http://schemas.openxmlformats.org/officeDocument/2006/relationships/hyperlink" Target="mailto:gootje_31@hotmail.com" TargetMode="External"/><Relationship Id="rId619" Type="http://schemas.openxmlformats.org/officeDocument/2006/relationships/hyperlink" Target="mailto:jenneke.cranston@gmail.com" TargetMode="External"/><Relationship Id="rId618" Type="http://schemas.openxmlformats.org/officeDocument/2006/relationships/hyperlink" Target="mailto:hilde.en.thomas@gmail.com" TargetMode="External"/><Relationship Id="rId613" Type="http://schemas.openxmlformats.org/officeDocument/2006/relationships/hyperlink" Target="mailto:evaburgering@hotmail.com" TargetMode="External"/><Relationship Id="rId612" Type="http://schemas.openxmlformats.org/officeDocument/2006/relationships/hyperlink" Target="mailto:anisu@posteo.net" TargetMode="External"/><Relationship Id="rId611" Type="http://schemas.openxmlformats.org/officeDocument/2006/relationships/hyperlink" Target="mailto:reginarijpkema@gmail.com" TargetMode="External"/><Relationship Id="rId610" Type="http://schemas.openxmlformats.org/officeDocument/2006/relationships/hyperlink" Target="mailto:mirthe.nimwegen@gmail.com" TargetMode="External"/><Relationship Id="rId617" Type="http://schemas.openxmlformats.org/officeDocument/2006/relationships/hyperlink" Target="mailto:denizkabuk@hotmail.com" TargetMode="External"/><Relationship Id="rId616" Type="http://schemas.openxmlformats.org/officeDocument/2006/relationships/hyperlink" Target="mailto:svandermade@gmail.com" TargetMode="External"/><Relationship Id="rId615" Type="http://schemas.openxmlformats.org/officeDocument/2006/relationships/hyperlink" Target="mailto:marjoleinverstraten@hotmail.com" TargetMode="External"/><Relationship Id="rId614" Type="http://schemas.openxmlformats.org/officeDocument/2006/relationships/hyperlink" Target="mailto:kayagorkem@yahoo.com" TargetMode="External"/><Relationship Id="rId1440" Type="http://schemas.openxmlformats.org/officeDocument/2006/relationships/hyperlink" Target="mailto:vandenbos.ricardo@gmail.com" TargetMode="External"/><Relationship Id="rId1441" Type="http://schemas.openxmlformats.org/officeDocument/2006/relationships/hyperlink" Target="mailto:lauraknook@gmail.com" TargetMode="External"/><Relationship Id="rId1442" Type="http://schemas.openxmlformats.org/officeDocument/2006/relationships/hyperlink" Target="mailto:ad6liana@gmail.com" TargetMode="External"/><Relationship Id="rId1443" Type="http://schemas.openxmlformats.org/officeDocument/2006/relationships/hyperlink" Target="mailto:daphne.smits@live.nl" TargetMode="External"/><Relationship Id="rId1477" Type="http://schemas.openxmlformats.org/officeDocument/2006/relationships/hyperlink" Target="mailto:tsangsterbullers@gmail.com" TargetMode="External"/><Relationship Id="rId1478" Type="http://schemas.openxmlformats.org/officeDocument/2006/relationships/hyperlink" Target="mailto:marit_meijeren@hotmail.com" TargetMode="External"/><Relationship Id="rId1479" Type="http://schemas.openxmlformats.org/officeDocument/2006/relationships/hyperlink" Target="mailto:donatehofstra@gmail.com" TargetMode="External"/><Relationship Id="rId646" Type="http://schemas.openxmlformats.org/officeDocument/2006/relationships/hyperlink" Target="mailto:michel.tamara@outlook.com" TargetMode="External"/><Relationship Id="rId645" Type="http://schemas.openxmlformats.org/officeDocument/2006/relationships/hyperlink" Target="mailto:familie.waterink@gmail.com" TargetMode="External"/><Relationship Id="rId644" Type="http://schemas.openxmlformats.org/officeDocument/2006/relationships/hyperlink" Target="mailto:ycmvdlaan@gmail.com" TargetMode="External"/><Relationship Id="rId643" Type="http://schemas.openxmlformats.org/officeDocument/2006/relationships/hyperlink" Target="mailto:kroner.k@gmail.com" TargetMode="External"/><Relationship Id="rId649" Type="http://schemas.openxmlformats.org/officeDocument/2006/relationships/hyperlink" Target="mailto:dominiquegeelen@gmail.com" TargetMode="External"/><Relationship Id="rId648" Type="http://schemas.openxmlformats.org/officeDocument/2006/relationships/hyperlink" Target="mailto:rensketenham@gmail.com" TargetMode="External"/><Relationship Id="rId647" Type="http://schemas.openxmlformats.org/officeDocument/2006/relationships/hyperlink" Target="mailto:vanessa@vanessalambrecht.nl" TargetMode="External"/><Relationship Id="rId1470" Type="http://schemas.openxmlformats.org/officeDocument/2006/relationships/hyperlink" Target="mailto:roxanne.tegelenbosch@hotmail.com" TargetMode="External"/><Relationship Id="rId1471" Type="http://schemas.openxmlformats.org/officeDocument/2006/relationships/hyperlink" Target="mailto:rombouts.kevin@gmail.com" TargetMode="External"/><Relationship Id="rId1472" Type="http://schemas.openxmlformats.org/officeDocument/2006/relationships/hyperlink" Target="mailto:lammerspas@kpnmail.nl" TargetMode="External"/><Relationship Id="rId642" Type="http://schemas.openxmlformats.org/officeDocument/2006/relationships/hyperlink" Target="mailto:janlengkeek@hotmail.com" TargetMode="External"/><Relationship Id="rId1473" Type="http://schemas.openxmlformats.org/officeDocument/2006/relationships/hyperlink" Target="mailto:avanduijvenvoorde@live.nl" TargetMode="External"/><Relationship Id="rId641" Type="http://schemas.openxmlformats.org/officeDocument/2006/relationships/hyperlink" Target="mailto:gracerusch@gmail.com" TargetMode="External"/><Relationship Id="rId1474" Type="http://schemas.openxmlformats.org/officeDocument/2006/relationships/hyperlink" Target="mailto:ysayita@gmail.com" TargetMode="External"/><Relationship Id="rId640" Type="http://schemas.openxmlformats.org/officeDocument/2006/relationships/hyperlink" Target="mailto:woutervanh684@gmail.com" TargetMode="External"/><Relationship Id="rId1475" Type="http://schemas.openxmlformats.org/officeDocument/2006/relationships/hyperlink" Target="mailto:cocobosma5@gmail.com" TargetMode="External"/><Relationship Id="rId1476" Type="http://schemas.openxmlformats.org/officeDocument/2006/relationships/hyperlink" Target="mailto:bobottenberg@hotmail.com" TargetMode="External"/><Relationship Id="rId1466" Type="http://schemas.openxmlformats.org/officeDocument/2006/relationships/hyperlink" Target="mailto:marieke-smit@live.nl" TargetMode="External"/><Relationship Id="rId1467" Type="http://schemas.openxmlformats.org/officeDocument/2006/relationships/hyperlink" Target="mailto:marleendorlandt@yahoo.co.uk" TargetMode="External"/><Relationship Id="rId1468" Type="http://schemas.openxmlformats.org/officeDocument/2006/relationships/hyperlink" Target="mailto:j.groesdonk@gmail.com" TargetMode="External"/><Relationship Id="rId1469" Type="http://schemas.openxmlformats.org/officeDocument/2006/relationships/hyperlink" Target="mailto:laurievanderburg@hotmail.com" TargetMode="External"/><Relationship Id="rId635" Type="http://schemas.openxmlformats.org/officeDocument/2006/relationships/hyperlink" Target="mailto:annemariekars@hotmail.com" TargetMode="External"/><Relationship Id="rId634" Type="http://schemas.openxmlformats.org/officeDocument/2006/relationships/hyperlink" Target="mailto:ingridkuijper@upcmail.nl" TargetMode="External"/><Relationship Id="rId633" Type="http://schemas.openxmlformats.org/officeDocument/2006/relationships/hyperlink" Target="mailto:e.vanderzon@gmail.com" TargetMode="External"/><Relationship Id="rId632" Type="http://schemas.openxmlformats.org/officeDocument/2006/relationships/hyperlink" Target="mailto:niels-vonk@hotmail.com" TargetMode="External"/><Relationship Id="rId639" Type="http://schemas.openxmlformats.org/officeDocument/2006/relationships/hyperlink" Target="mailto:hellindrost@hotmail.com" TargetMode="External"/><Relationship Id="rId638" Type="http://schemas.openxmlformats.org/officeDocument/2006/relationships/hyperlink" Target="mailto:hortensekoster@gmail.com" TargetMode="External"/><Relationship Id="rId637" Type="http://schemas.openxmlformats.org/officeDocument/2006/relationships/hyperlink" Target="mailto:vmeduzova@gmail.com" TargetMode="External"/><Relationship Id="rId636" Type="http://schemas.openxmlformats.org/officeDocument/2006/relationships/hyperlink" Target="mailto:elisadevleeschouwer@gmail.com" TargetMode="External"/><Relationship Id="rId1460" Type="http://schemas.openxmlformats.org/officeDocument/2006/relationships/hyperlink" Target="mailto:jmh.seegers15@gmail.com" TargetMode="External"/><Relationship Id="rId1461" Type="http://schemas.openxmlformats.org/officeDocument/2006/relationships/hyperlink" Target="mailto:femke448@gmail.com" TargetMode="External"/><Relationship Id="rId631" Type="http://schemas.openxmlformats.org/officeDocument/2006/relationships/hyperlink" Target="mailto:maykederksen@hotmail.com" TargetMode="External"/><Relationship Id="rId1462" Type="http://schemas.openxmlformats.org/officeDocument/2006/relationships/hyperlink" Target="mailto:annekematsinger@gmail.com" TargetMode="External"/><Relationship Id="rId630" Type="http://schemas.openxmlformats.org/officeDocument/2006/relationships/hyperlink" Target="mailto:umarjolijn12@gmail.com" TargetMode="External"/><Relationship Id="rId1463" Type="http://schemas.openxmlformats.org/officeDocument/2006/relationships/hyperlink" Target="mailto:esthersarphatie@xs4all.nl" TargetMode="External"/><Relationship Id="rId1464" Type="http://schemas.openxmlformats.org/officeDocument/2006/relationships/hyperlink" Target="mailto:lindamarloesvdmeulen@gmail.com" TargetMode="External"/><Relationship Id="rId1465" Type="http://schemas.openxmlformats.org/officeDocument/2006/relationships/hyperlink" Target="mailto:m.e.versteegh@gmail.com" TargetMode="External"/><Relationship Id="rId1411" Type="http://schemas.openxmlformats.org/officeDocument/2006/relationships/hyperlink" Target="mailto:manonj@live.nl" TargetMode="External"/><Relationship Id="rId1412" Type="http://schemas.openxmlformats.org/officeDocument/2006/relationships/hyperlink" Target="mailto:dagmarmeijerx@gmail.com" TargetMode="External"/><Relationship Id="rId1413" Type="http://schemas.openxmlformats.org/officeDocument/2006/relationships/hyperlink" Target="mailto:lisalkmaas@gmail.com" TargetMode="External"/><Relationship Id="rId1414" Type="http://schemas.openxmlformats.org/officeDocument/2006/relationships/hyperlink" Target="mailto:daan.ooms@gmail.com" TargetMode="External"/><Relationship Id="rId1415" Type="http://schemas.openxmlformats.org/officeDocument/2006/relationships/hyperlink" Target="mailto:leoniewijnsema@gmail.com" TargetMode="External"/><Relationship Id="rId1416" Type="http://schemas.openxmlformats.org/officeDocument/2006/relationships/hyperlink" Target="mailto:emma_smit@hotmail.com" TargetMode="External"/><Relationship Id="rId1417" Type="http://schemas.openxmlformats.org/officeDocument/2006/relationships/hyperlink" Target="mailto:dannydoucheman@hotmail.com" TargetMode="External"/><Relationship Id="rId1418" Type="http://schemas.openxmlformats.org/officeDocument/2006/relationships/hyperlink" Target="mailto:bellejulielammers@hotmail.com" TargetMode="External"/><Relationship Id="rId1419" Type="http://schemas.openxmlformats.org/officeDocument/2006/relationships/hyperlink" Target="mailto:anoukwouters@gmail.com" TargetMode="External"/><Relationship Id="rId1410" Type="http://schemas.openxmlformats.org/officeDocument/2006/relationships/hyperlink" Target="mailto:ct.stijns@gmail.com" TargetMode="External"/><Relationship Id="rId1400" Type="http://schemas.openxmlformats.org/officeDocument/2006/relationships/hyperlink" Target="mailto:emmaewkempen@gmail.com" TargetMode="External"/><Relationship Id="rId1401" Type="http://schemas.openxmlformats.org/officeDocument/2006/relationships/hyperlink" Target="mailto:nickireid169@hotmail.com" TargetMode="External"/><Relationship Id="rId1402" Type="http://schemas.openxmlformats.org/officeDocument/2006/relationships/hyperlink" Target="mailto:nkleff71@gmail.com" TargetMode="External"/><Relationship Id="rId1403" Type="http://schemas.openxmlformats.org/officeDocument/2006/relationships/hyperlink" Target="mailto:maurits.dorlandt@gmail.com" TargetMode="External"/><Relationship Id="rId1404" Type="http://schemas.openxmlformats.org/officeDocument/2006/relationships/hyperlink" Target="mailto:mpvr50@hotmail.com" TargetMode="External"/><Relationship Id="rId1405" Type="http://schemas.openxmlformats.org/officeDocument/2006/relationships/hyperlink" Target="mailto:tanitajansen93@gmail.com" TargetMode="External"/><Relationship Id="rId1406" Type="http://schemas.openxmlformats.org/officeDocument/2006/relationships/hyperlink" Target="mailto:rsillevissmitt@gmail.com" TargetMode="External"/><Relationship Id="rId1407" Type="http://schemas.openxmlformats.org/officeDocument/2006/relationships/hyperlink" Target="mailto:tessajacobinekemp@hotmail.com" TargetMode="External"/><Relationship Id="rId1408" Type="http://schemas.openxmlformats.org/officeDocument/2006/relationships/hyperlink" Target="mailto:kathinka.veldkamp@gmail.com" TargetMode="External"/><Relationship Id="rId1409" Type="http://schemas.openxmlformats.org/officeDocument/2006/relationships/hyperlink" Target="mailto:marindagiethoorn@hotmail.com" TargetMode="External"/><Relationship Id="rId1433" Type="http://schemas.openxmlformats.org/officeDocument/2006/relationships/hyperlink" Target="mailto:rikkertjolink@gmail.com" TargetMode="External"/><Relationship Id="rId1434" Type="http://schemas.openxmlformats.org/officeDocument/2006/relationships/hyperlink" Target="mailto:natasjaadmiraal@gmail.com" TargetMode="External"/><Relationship Id="rId1435" Type="http://schemas.openxmlformats.org/officeDocument/2006/relationships/hyperlink" Target="mailto:olivia.vanhartesveldt@gmail.com" TargetMode="External"/><Relationship Id="rId1436" Type="http://schemas.openxmlformats.org/officeDocument/2006/relationships/hyperlink" Target="mailto:margot.13@hotmail.nl" TargetMode="External"/><Relationship Id="rId1437" Type="http://schemas.openxmlformats.org/officeDocument/2006/relationships/hyperlink" Target="mailto:jwildschut@gmail.com" TargetMode="External"/><Relationship Id="rId1438" Type="http://schemas.openxmlformats.org/officeDocument/2006/relationships/hyperlink" Target="mailto:clang_node.1n@icloud.com" TargetMode="External"/><Relationship Id="rId1439" Type="http://schemas.openxmlformats.org/officeDocument/2006/relationships/hyperlink" Target="mailto:rinasiemonsma@gmail.com" TargetMode="External"/><Relationship Id="rId609" Type="http://schemas.openxmlformats.org/officeDocument/2006/relationships/hyperlink" Target="mailto:reginarijpkema@gmail.com" TargetMode="External"/><Relationship Id="rId608" Type="http://schemas.openxmlformats.org/officeDocument/2006/relationships/hyperlink" Target="mailto:alexcovizzi@gmail.com" TargetMode="External"/><Relationship Id="rId607" Type="http://schemas.openxmlformats.org/officeDocument/2006/relationships/hyperlink" Target="mailto:coenschippers@gmail.com" TargetMode="External"/><Relationship Id="rId602" Type="http://schemas.openxmlformats.org/officeDocument/2006/relationships/hyperlink" Target="mailto:steven.kwakernaat@gmail.com" TargetMode="External"/><Relationship Id="rId601" Type="http://schemas.openxmlformats.org/officeDocument/2006/relationships/hyperlink" Target="mailto:jeroen-spaan@hotmail.com" TargetMode="External"/><Relationship Id="rId600" Type="http://schemas.openxmlformats.org/officeDocument/2006/relationships/hyperlink" Target="mailto:estheroverkleeft@live.nl" TargetMode="External"/><Relationship Id="rId606" Type="http://schemas.openxmlformats.org/officeDocument/2006/relationships/hyperlink" Target="mailto:sven@projectwildeman.nl" TargetMode="External"/><Relationship Id="rId605" Type="http://schemas.openxmlformats.org/officeDocument/2006/relationships/hyperlink" Target="mailto:jeldevet@gmail.com" TargetMode="External"/><Relationship Id="rId604" Type="http://schemas.openxmlformats.org/officeDocument/2006/relationships/hyperlink" Target="mailto:jelmarwieringa@gmail.com" TargetMode="External"/><Relationship Id="rId603" Type="http://schemas.openxmlformats.org/officeDocument/2006/relationships/hyperlink" Target="mailto:amvandervlies@gmail.com" TargetMode="External"/><Relationship Id="rId1430" Type="http://schemas.openxmlformats.org/officeDocument/2006/relationships/hyperlink" Target="mailto:steffievdberg@gmail.com" TargetMode="External"/><Relationship Id="rId1431" Type="http://schemas.openxmlformats.org/officeDocument/2006/relationships/hyperlink" Target="mailto:vonsje@hotmail.com" TargetMode="External"/><Relationship Id="rId1432" Type="http://schemas.openxmlformats.org/officeDocument/2006/relationships/hyperlink" Target="mailto:talithahoogendoorn@hotmail.com" TargetMode="External"/><Relationship Id="rId1422" Type="http://schemas.openxmlformats.org/officeDocument/2006/relationships/hyperlink" Target="mailto:joycedevries1987@gmail.com" TargetMode="External"/><Relationship Id="rId1423" Type="http://schemas.openxmlformats.org/officeDocument/2006/relationships/hyperlink" Target="mailto:sanne_vandermeulen@hotmail.com" TargetMode="External"/><Relationship Id="rId1424" Type="http://schemas.openxmlformats.org/officeDocument/2006/relationships/hyperlink" Target="mailto:solveigelisa@gmail.com" TargetMode="External"/><Relationship Id="rId1425" Type="http://schemas.openxmlformats.org/officeDocument/2006/relationships/hyperlink" Target="mailto:nk.kopio@gmail.com" TargetMode="External"/><Relationship Id="rId1426" Type="http://schemas.openxmlformats.org/officeDocument/2006/relationships/hyperlink" Target="mailto:twitterpated@live.nl" TargetMode="External"/><Relationship Id="rId1427" Type="http://schemas.openxmlformats.org/officeDocument/2006/relationships/hyperlink" Target="mailto:klaartjedelooze@hotmail.com" TargetMode="External"/><Relationship Id="rId1428" Type="http://schemas.openxmlformats.org/officeDocument/2006/relationships/hyperlink" Target="mailto:sktuithof@gmail.com" TargetMode="External"/><Relationship Id="rId1429" Type="http://schemas.openxmlformats.org/officeDocument/2006/relationships/hyperlink" Target="mailto:steffievdberg@gmail.com" TargetMode="External"/><Relationship Id="rId1420" Type="http://schemas.openxmlformats.org/officeDocument/2006/relationships/hyperlink" Target="mailto:c.renckens@gmail.com" TargetMode="External"/><Relationship Id="rId1421" Type="http://schemas.openxmlformats.org/officeDocument/2006/relationships/hyperlink" Target="mailto:irina.feenstra@live.nl" TargetMode="External"/><Relationship Id="rId1059" Type="http://schemas.openxmlformats.org/officeDocument/2006/relationships/hyperlink" Target="mailto:bartfreijssen@hotmail.com" TargetMode="External"/><Relationship Id="rId228" Type="http://schemas.openxmlformats.org/officeDocument/2006/relationships/hyperlink" Target="mailto:gc.biersteker@hotmail.com" TargetMode="External"/><Relationship Id="rId227" Type="http://schemas.openxmlformats.org/officeDocument/2006/relationships/hyperlink" Target="mailto:nfmverhoeven@gmail.com" TargetMode="External"/><Relationship Id="rId226" Type="http://schemas.openxmlformats.org/officeDocument/2006/relationships/hyperlink" Target="mailto:gertruuddeboer@me.com" TargetMode="External"/><Relationship Id="rId225" Type="http://schemas.openxmlformats.org/officeDocument/2006/relationships/hyperlink" Target="mailto:dloorbach@gmail.com" TargetMode="External"/><Relationship Id="rId229" Type="http://schemas.openxmlformats.org/officeDocument/2006/relationships/hyperlink" Target="mailto:emsnepvangers@gmail.com" TargetMode="External"/><Relationship Id="rId1050" Type="http://schemas.openxmlformats.org/officeDocument/2006/relationships/hyperlink" Target="mailto:hendriks.chrisje@gmail.com" TargetMode="External"/><Relationship Id="rId220" Type="http://schemas.openxmlformats.org/officeDocument/2006/relationships/hyperlink" Target="mailto:margotaelen@hotmail.com" TargetMode="External"/><Relationship Id="rId1051" Type="http://schemas.openxmlformats.org/officeDocument/2006/relationships/hyperlink" Target="mailto:d.j.berkhout@gmail.com" TargetMode="External"/><Relationship Id="rId1052" Type="http://schemas.openxmlformats.org/officeDocument/2006/relationships/hyperlink" Target="mailto:hildestruik@gmail.com" TargetMode="External"/><Relationship Id="rId1053" Type="http://schemas.openxmlformats.org/officeDocument/2006/relationships/hyperlink" Target="mailto:lotte.mantingh@hotmail.com" TargetMode="External"/><Relationship Id="rId1054" Type="http://schemas.openxmlformats.org/officeDocument/2006/relationships/hyperlink" Target="mailto:jacomijnvanseters@hotmail.com" TargetMode="External"/><Relationship Id="rId224" Type="http://schemas.openxmlformats.org/officeDocument/2006/relationships/hyperlink" Target="mailto:mtb@huisvan.nl" TargetMode="External"/><Relationship Id="rId1055" Type="http://schemas.openxmlformats.org/officeDocument/2006/relationships/hyperlink" Target="mailto:minkebu@hotmail.com" TargetMode="External"/><Relationship Id="rId223" Type="http://schemas.openxmlformats.org/officeDocument/2006/relationships/hyperlink" Target="mailto:marius.kopanong@gmail.com" TargetMode="External"/><Relationship Id="rId1056" Type="http://schemas.openxmlformats.org/officeDocument/2006/relationships/hyperlink" Target="mailto:charlottewaskowskij@hotmail.com" TargetMode="External"/><Relationship Id="rId222" Type="http://schemas.openxmlformats.org/officeDocument/2006/relationships/hyperlink" Target="mailto:mijneke70@gmail.com" TargetMode="External"/><Relationship Id="rId1057" Type="http://schemas.openxmlformats.org/officeDocument/2006/relationships/hyperlink" Target="mailto:jannekevanhoutum@live.nl" TargetMode="External"/><Relationship Id="rId221" Type="http://schemas.openxmlformats.org/officeDocument/2006/relationships/hyperlink" Target="mailto:meikeblezer@gmail.com" TargetMode="External"/><Relationship Id="rId1058" Type="http://schemas.openxmlformats.org/officeDocument/2006/relationships/hyperlink" Target="mailto:a.j.derek@hotmail.com" TargetMode="External"/><Relationship Id="rId1048" Type="http://schemas.openxmlformats.org/officeDocument/2006/relationships/hyperlink" Target="mailto:jonduif@hotmail.com" TargetMode="External"/><Relationship Id="rId1049" Type="http://schemas.openxmlformats.org/officeDocument/2006/relationships/hyperlink" Target="mailto:yentldelange@gmail.com" TargetMode="External"/><Relationship Id="rId217" Type="http://schemas.openxmlformats.org/officeDocument/2006/relationships/hyperlink" Target="mailto:marionevenhuis@planet.nl" TargetMode="External"/><Relationship Id="rId216" Type="http://schemas.openxmlformats.org/officeDocument/2006/relationships/hyperlink" Target="mailto:simone@rambamboel.nl" TargetMode="External"/><Relationship Id="rId215" Type="http://schemas.openxmlformats.org/officeDocument/2006/relationships/hyperlink" Target="mailto:klaassenvandijk@gmail.com" TargetMode="External"/><Relationship Id="rId699" Type="http://schemas.openxmlformats.org/officeDocument/2006/relationships/hyperlink" Target="mailto:mathewvermeer@hotmail.com" TargetMode="External"/><Relationship Id="rId214" Type="http://schemas.openxmlformats.org/officeDocument/2006/relationships/hyperlink" Target="mailto:claasjevanhaagen@gmail.com" TargetMode="External"/><Relationship Id="rId698" Type="http://schemas.openxmlformats.org/officeDocument/2006/relationships/hyperlink" Target="mailto:corinne.ebbens@hotmail.nl" TargetMode="External"/><Relationship Id="rId219" Type="http://schemas.openxmlformats.org/officeDocument/2006/relationships/hyperlink" Target="mailto:jasper@heidebrink.nl" TargetMode="External"/><Relationship Id="rId218" Type="http://schemas.openxmlformats.org/officeDocument/2006/relationships/hyperlink" Target="mailto:dgweddepohl@gmail.com" TargetMode="External"/><Relationship Id="rId693" Type="http://schemas.openxmlformats.org/officeDocument/2006/relationships/hyperlink" Target="mailto:Gerrardp@outlook.com" TargetMode="External"/><Relationship Id="rId1040" Type="http://schemas.openxmlformats.org/officeDocument/2006/relationships/hyperlink" Target="mailto:sylvia.tuin@kpnmail.nl" TargetMode="External"/><Relationship Id="rId692" Type="http://schemas.openxmlformats.org/officeDocument/2006/relationships/hyperlink" Target="mailto:pboothe@gmail.com" TargetMode="External"/><Relationship Id="rId1041" Type="http://schemas.openxmlformats.org/officeDocument/2006/relationships/hyperlink" Target="mailto:bijlholtrenate@gmail.com" TargetMode="External"/><Relationship Id="rId691" Type="http://schemas.openxmlformats.org/officeDocument/2006/relationships/hyperlink" Target="mailto:stefanievanworkum@hotmail.com" TargetMode="External"/><Relationship Id="rId1042" Type="http://schemas.openxmlformats.org/officeDocument/2006/relationships/hyperlink" Target="mailto:fvdpouw@gmail.com" TargetMode="External"/><Relationship Id="rId690" Type="http://schemas.openxmlformats.org/officeDocument/2006/relationships/hyperlink" Target="mailto:adasauve@gmail.com" TargetMode="External"/><Relationship Id="rId1043" Type="http://schemas.openxmlformats.org/officeDocument/2006/relationships/hyperlink" Target="mailto:joline_heusinkveld@hotmail.com" TargetMode="External"/><Relationship Id="rId213" Type="http://schemas.openxmlformats.org/officeDocument/2006/relationships/hyperlink" Target="mailto:doriendevroey@gmail.com" TargetMode="External"/><Relationship Id="rId697" Type="http://schemas.openxmlformats.org/officeDocument/2006/relationships/hyperlink" Target="mailto:csmegmond@gmail.com" TargetMode="External"/><Relationship Id="rId1044" Type="http://schemas.openxmlformats.org/officeDocument/2006/relationships/hyperlink" Target="mailto:loes08@hotmail.com" TargetMode="External"/><Relationship Id="rId212" Type="http://schemas.openxmlformats.org/officeDocument/2006/relationships/hyperlink" Target="mailto:a.tencate@quicknet.nl" TargetMode="External"/><Relationship Id="rId696" Type="http://schemas.openxmlformats.org/officeDocument/2006/relationships/hyperlink" Target="mailto:janneke@janneke.tv" TargetMode="External"/><Relationship Id="rId1045" Type="http://schemas.openxmlformats.org/officeDocument/2006/relationships/hyperlink" Target="mailto:stellapurple8@hotmail.com" TargetMode="External"/><Relationship Id="rId211" Type="http://schemas.openxmlformats.org/officeDocument/2006/relationships/hyperlink" Target="mailto:marliese.vollebregt@gmail.com" TargetMode="External"/><Relationship Id="rId695" Type="http://schemas.openxmlformats.org/officeDocument/2006/relationships/hyperlink" Target="mailto:avaneijkeren@gmail.com" TargetMode="External"/><Relationship Id="rId1046" Type="http://schemas.openxmlformats.org/officeDocument/2006/relationships/hyperlink" Target="mailto:gijsbertvanzuilen@hotmail.com" TargetMode="External"/><Relationship Id="rId210" Type="http://schemas.openxmlformats.org/officeDocument/2006/relationships/hyperlink" Target="mailto:marjolijnpaulus@gmail.com" TargetMode="External"/><Relationship Id="rId694" Type="http://schemas.openxmlformats.org/officeDocument/2006/relationships/hyperlink" Target="mailto:a.chijs@upcmail.nl" TargetMode="External"/><Relationship Id="rId1047" Type="http://schemas.openxmlformats.org/officeDocument/2006/relationships/hyperlink" Target="mailto:abarelds@gmail.com" TargetMode="External"/><Relationship Id="rId249" Type="http://schemas.openxmlformats.org/officeDocument/2006/relationships/hyperlink" Target="mailto:charlotte.kloet@gmail.com" TargetMode="External"/><Relationship Id="rId248" Type="http://schemas.openxmlformats.org/officeDocument/2006/relationships/hyperlink" Target="mailto:blacquiereanne@gmail.com" TargetMode="External"/><Relationship Id="rId247" Type="http://schemas.openxmlformats.org/officeDocument/2006/relationships/hyperlink" Target="mailto:r.peschier@xs4all.nl" TargetMode="External"/><Relationship Id="rId1070" Type="http://schemas.openxmlformats.org/officeDocument/2006/relationships/hyperlink" Target="mailto:belaroo@gmail.com" TargetMode="External"/><Relationship Id="rId1071" Type="http://schemas.openxmlformats.org/officeDocument/2006/relationships/hyperlink" Target="mailto:joke.mb.vandenbroek@gmail.com" TargetMode="External"/><Relationship Id="rId1072" Type="http://schemas.openxmlformats.org/officeDocument/2006/relationships/hyperlink" Target="mailto:lotte160@hotmail.com" TargetMode="External"/><Relationship Id="rId242" Type="http://schemas.openxmlformats.org/officeDocument/2006/relationships/hyperlink" Target="mailto:hetti72@gmail.com" TargetMode="External"/><Relationship Id="rId1073" Type="http://schemas.openxmlformats.org/officeDocument/2006/relationships/hyperlink" Target="mailto:bartenfrederique@gmail.com" TargetMode="External"/><Relationship Id="rId241" Type="http://schemas.openxmlformats.org/officeDocument/2006/relationships/hyperlink" Target="mailto:babetteuijlenhoed@gmail.com" TargetMode="External"/><Relationship Id="rId1074" Type="http://schemas.openxmlformats.org/officeDocument/2006/relationships/hyperlink" Target="mailto:jannekegouda@gmail.com" TargetMode="External"/><Relationship Id="rId240" Type="http://schemas.openxmlformats.org/officeDocument/2006/relationships/hyperlink" Target="mailto:kayleighmeister@hotmail.com" TargetMode="External"/><Relationship Id="rId1075" Type="http://schemas.openxmlformats.org/officeDocument/2006/relationships/hyperlink" Target="mailto:dansenaanzee@ziggo.nl" TargetMode="External"/><Relationship Id="rId1076" Type="http://schemas.openxmlformats.org/officeDocument/2006/relationships/hyperlink" Target="mailto:max@cngcoins.com" TargetMode="External"/><Relationship Id="rId246" Type="http://schemas.openxmlformats.org/officeDocument/2006/relationships/hyperlink" Target="mailto:daniellepiso@gmail.com" TargetMode="External"/><Relationship Id="rId1077" Type="http://schemas.openxmlformats.org/officeDocument/2006/relationships/hyperlink" Target="mailto:jgmbrouwer@upcmail.nl" TargetMode="External"/><Relationship Id="rId245" Type="http://schemas.openxmlformats.org/officeDocument/2006/relationships/hyperlink" Target="mailto:antoinettemts@gmail.com" TargetMode="External"/><Relationship Id="rId1078" Type="http://schemas.openxmlformats.org/officeDocument/2006/relationships/hyperlink" Target="mailto:mvanruymbeke@hotmail.com" TargetMode="External"/><Relationship Id="rId244" Type="http://schemas.openxmlformats.org/officeDocument/2006/relationships/hyperlink" Target="mailto:ruud.en.ilse@gmail.com" TargetMode="External"/><Relationship Id="rId1079" Type="http://schemas.openxmlformats.org/officeDocument/2006/relationships/hyperlink" Target="mailto:jjbfg.schepens@gmail.com" TargetMode="External"/><Relationship Id="rId243" Type="http://schemas.openxmlformats.org/officeDocument/2006/relationships/hyperlink" Target="mailto:annettevzon@hotmail.com" TargetMode="External"/><Relationship Id="rId239" Type="http://schemas.openxmlformats.org/officeDocument/2006/relationships/hyperlink" Target="mailto:lisa.keijzer@hotmail.com" TargetMode="External"/><Relationship Id="rId238" Type="http://schemas.openxmlformats.org/officeDocument/2006/relationships/hyperlink" Target="mailto:ireendekker91@gmail.com" TargetMode="External"/><Relationship Id="rId237" Type="http://schemas.openxmlformats.org/officeDocument/2006/relationships/hyperlink" Target="mailto:cato.oosterwijk@gmail.com" TargetMode="External"/><Relationship Id="rId236" Type="http://schemas.openxmlformats.org/officeDocument/2006/relationships/hyperlink" Target="mailto:meredith.speirs@gmail.com" TargetMode="External"/><Relationship Id="rId1060" Type="http://schemas.openxmlformats.org/officeDocument/2006/relationships/hyperlink" Target="mailto:yolandevanharten@gmail.com" TargetMode="External"/><Relationship Id="rId1061" Type="http://schemas.openxmlformats.org/officeDocument/2006/relationships/hyperlink" Target="mailto:ramonvandendungen@gmail.com" TargetMode="External"/><Relationship Id="rId231" Type="http://schemas.openxmlformats.org/officeDocument/2006/relationships/hyperlink" Target="mailto:erwinsteijnen@e.email" TargetMode="External"/><Relationship Id="rId1062" Type="http://schemas.openxmlformats.org/officeDocument/2006/relationships/hyperlink" Target="mailto:test2@beterboompje.nl" TargetMode="External"/><Relationship Id="rId230" Type="http://schemas.openxmlformats.org/officeDocument/2006/relationships/hyperlink" Target="mailto:chantal@danceflow.nl" TargetMode="External"/><Relationship Id="rId1063" Type="http://schemas.openxmlformats.org/officeDocument/2006/relationships/hyperlink" Target="mailto:test2@beterboompje.nl" TargetMode="External"/><Relationship Id="rId1064" Type="http://schemas.openxmlformats.org/officeDocument/2006/relationships/hyperlink" Target="mailto:test2@beterboompje.nl" TargetMode="External"/><Relationship Id="rId1065" Type="http://schemas.openxmlformats.org/officeDocument/2006/relationships/hyperlink" Target="mailto:hannavveeren@gmail.com" TargetMode="External"/><Relationship Id="rId235" Type="http://schemas.openxmlformats.org/officeDocument/2006/relationships/hyperlink" Target="mailto:rollsroos@gmail.com" TargetMode="External"/><Relationship Id="rId1066" Type="http://schemas.openxmlformats.org/officeDocument/2006/relationships/hyperlink" Target="mailto:cbmkort@hotmail.com" TargetMode="External"/><Relationship Id="rId234" Type="http://schemas.openxmlformats.org/officeDocument/2006/relationships/hyperlink" Target="mailto:timvanderzalm@icloud.com" TargetMode="External"/><Relationship Id="rId1067" Type="http://schemas.openxmlformats.org/officeDocument/2006/relationships/hyperlink" Target="mailto:julie.albers@live.nl" TargetMode="External"/><Relationship Id="rId233" Type="http://schemas.openxmlformats.org/officeDocument/2006/relationships/hyperlink" Target="mailto:selma_van_gils@live.nl" TargetMode="External"/><Relationship Id="rId1068" Type="http://schemas.openxmlformats.org/officeDocument/2006/relationships/hyperlink" Target="mailto:joost14@gmail.com" TargetMode="External"/><Relationship Id="rId232" Type="http://schemas.openxmlformats.org/officeDocument/2006/relationships/hyperlink" Target="mailto:tildajanssen@gmail.com" TargetMode="External"/><Relationship Id="rId1069" Type="http://schemas.openxmlformats.org/officeDocument/2006/relationships/hyperlink" Target="mailto:vd.valkpraktijk@gmail.com" TargetMode="External"/><Relationship Id="rId1015" Type="http://schemas.openxmlformats.org/officeDocument/2006/relationships/hyperlink" Target="mailto:bianca@wildflowerswellbeing.nl" TargetMode="External"/><Relationship Id="rId1499" Type="http://schemas.openxmlformats.org/officeDocument/2006/relationships/hyperlink" Target="mailto:fiekedevlieger@gmail.com" TargetMode="External"/><Relationship Id="rId1016" Type="http://schemas.openxmlformats.org/officeDocument/2006/relationships/hyperlink" Target="mailto:ilsemeijer99@gmail.com" TargetMode="External"/><Relationship Id="rId1017" Type="http://schemas.openxmlformats.org/officeDocument/2006/relationships/hyperlink" Target="mailto:evelinevermeer@hotmail.com" TargetMode="External"/><Relationship Id="rId1018" Type="http://schemas.openxmlformats.org/officeDocument/2006/relationships/hyperlink" Target="mailto:cardebruijn@ziggo.nl" TargetMode="External"/><Relationship Id="rId1019" Type="http://schemas.openxmlformats.org/officeDocument/2006/relationships/hyperlink" Target="mailto:wendybeers@gmail.com" TargetMode="External"/><Relationship Id="rId668" Type="http://schemas.openxmlformats.org/officeDocument/2006/relationships/hyperlink" Target="mailto:butcher.kelley@gmail.com" TargetMode="External"/><Relationship Id="rId667" Type="http://schemas.openxmlformats.org/officeDocument/2006/relationships/hyperlink" Target="mailto:j.h.schirnhofer@gmail.com" TargetMode="External"/><Relationship Id="rId666" Type="http://schemas.openxmlformats.org/officeDocument/2006/relationships/hyperlink" Target="mailto:j.h.schirnhofer@gmail.com" TargetMode="External"/><Relationship Id="rId665" Type="http://schemas.openxmlformats.org/officeDocument/2006/relationships/hyperlink" Target="mailto:pieterdedel@gmail.com" TargetMode="External"/><Relationship Id="rId669" Type="http://schemas.openxmlformats.org/officeDocument/2006/relationships/hyperlink" Target="mailto:judith_petit@hotmail.com" TargetMode="External"/><Relationship Id="rId1490" Type="http://schemas.openxmlformats.org/officeDocument/2006/relationships/hyperlink" Target="mailto:bockweg_scheffers@hetnet.nl" TargetMode="External"/><Relationship Id="rId660" Type="http://schemas.openxmlformats.org/officeDocument/2006/relationships/hyperlink" Target="mailto:nvanaken@gmail.com" TargetMode="External"/><Relationship Id="rId1491" Type="http://schemas.openxmlformats.org/officeDocument/2006/relationships/hyperlink" Target="mailto:sara.vida.coumans@gmail.com" TargetMode="External"/><Relationship Id="rId1492" Type="http://schemas.openxmlformats.org/officeDocument/2006/relationships/hyperlink" Target="mailto:annemarievanselm@gmail.com" TargetMode="External"/><Relationship Id="rId1493" Type="http://schemas.openxmlformats.org/officeDocument/2006/relationships/hyperlink" Target="mailto:ruben@rubendingemans.nl" TargetMode="External"/><Relationship Id="rId1010" Type="http://schemas.openxmlformats.org/officeDocument/2006/relationships/hyperlink" Target="mailto:liselot.homburg@hotmail.com" TargetMode="External"/><Relationship Id="rId1494" Type="http://schemas.openxmlformats.org/officeDocument/2006/relationships/hyperlink" Target="mailto:ruben@rubendingemans.nl" TargetMode="External"/><Relationship Id="rId664" Type="http://schemas.openxmlformats.org/officeDocument/2006/relationships/hyperlink" Target="mailto:goossenjoanne@gmail.com" TargetMode="External"/><Relationship Id="rId1011" Type="http://schemas.openxmlformats.org/officeDocument/2006/relationships/hyperlink" Target="mailto:liselot.homburg@hotmail.com" TargetMode="External"/><Relationship Id="rId1495" Type="http://schemas.openxmlformats.org/officeDocument/2006/relationships/hyperlink" Target="mailto:hi.middelweerd@gmail.com" TargetMode="External"/><Relationship Id="rId663" Type="http://schemas.openxmlformats.org/officeDocument/2006/relationships/hyperlink" Target="mailto:rosa.peper@pm.me" TargetMode="External"/><Relationship Id="rId1012" Type="http://schemas.openxmlformats.org/officeDocument/2006/relationships/hyperlink" Target="mailto:beekhuizen.vos@wxs.nl" TargetMode="External"/><Relationship Id="rId1496" Type="http://schemas.openxmlformats.org/officeDocument/2006/relationships/hyperlink" Target="mailto:garciapouillaude@gmail.com" TargetMode="External"/><Relationship Id="rId662" Type="http://schemas.openxmlformats.org/officeDocument/2006/relationships/hyperlink" Target="mailto:djmblom@gmail.com" TargetMode="External"/><Relationship Id="rId1013" Type="http://schemas.openxmlformats.org/officeDocument/2006/relationships/hyperlink" Target="mailto:annemiekluimes@gmail.com" TargetMode="External"/><Relationship Id="rId1497" Type="http://schemas.openxmlformats.org/officeDocument/2006/relationships/hyperlink" Target="mailto:julietteoverzier@gmail.com" TargetMode="External"/><Relationship Id="rId661" Type="http://schemas.openxmlformats.org/officeDocument/2006/relationships/hyperlink" Target="mailto:yyrijff@gmail.com" TargetMode="External"/><Relationship Id="rId1014" Type="http://schemas.openxmlformats.org/officeDocument/2006/relationships/hyperlink" Target="mailto:janierickson@gmail.com" TargetMode="External"/><Relationship Id="rId1498" Type="http://schemas.openxmlformats.org/officeDocument/2006/relationships/hyperlink" Target="mailto:christien54@hotmail.com" TargetMode="External"/><Relationship Id="rId1004" Type="http://schemas.openxmlformats.org/officeDocument/2006/relationships/hyperlink" Target="mailto:anneschmid@gmx.de" TargetMode="External"/><Relationship Id="rId1488" Type="http://schemas.openxmlformats.org/officeDocument/2006/relationships/hyperlink" Target="mailto:ceresbekers@hotmail.com" TargetMode="External"/><Relationship Id="rId1005" Type="http://schemas.openxmlformats.org/officeDocument/2006/relationships/hyperlink" Target="mailto:wije1999@hotmail.com" TargetMode="External"/><Relationship Id="rId1489" Type="http://schemas.openxmlformats.org/officeDocument/2006/relationships/hyperlink" Target="mailto:ramonblok1996@gmail.com" TargetMode="External"/><Relationship Id="rId1006" Type="http://schemas.openxmlformats.org/officeDocument/2006/relationships/hyperlink" Target="mailto:nuenke.michel@casema.nl" TargetMode="External"/><Relationship Id="rId1007" Type="http://schemas.openxmlformats.org/officeDocument/2006/relationships/hyperlink" Target="mailto:michelledehaan@hotmail.com" TargetMode="External"/><Relationship Id="rId1008" Type="http://schemas.openxmlformats.org/officeDocument/2006/relationships/hyperlink" Target="mailto:addyvanbeek@gmail.com" TargetMode="External"/><Relationship Id="rId1009" Type="http://schemas.openxmlformats.org/officeDocument/2006/relationships/hyperlink" Target="mailto:lisavdmarel@gmail.com" TargetMode="External"/><Relationship Id="rId657" Type="http://schemas.openxmlformats.org/officeDocument/2006/relationships/hyperlink" Target="mailto:b.heebels@gmail.com" TargetMode="External"/><Relationship Id="rId656" Type="http://schemas.openxmlformats.org/officeDocument/2006/relationships/hyperlink" Target="mailto:pepemertens@hotmail.com" TargetMode="External"/><Relationship Id="rId655" Type="http://schemas.openxmlformats.org/officeDocument/2006/relationships/hyperlink" Target="mailto:evavanwijck@gmail.com" TargetMode="External"/><Relationship Id="rId654" Type="http://schemas.openxmlformats.org/officeDocument/2006/relationships/hyperlink" Target="mailto:leannefenneke@icloud.com" TargetMode="External"/><Relationship Id="rId659" Type="http://schemas.openxmlformats.org/officeDocument/2006/relationships/hyperlink" Target="mailto:alexcrespovandekooij@gmail.com" TargetMode="External"/><Relationship Id="rId658" Type="http://schemas.openxmlformats.org/officeDocument/2006/relationships/hyperlink" Target="mailto:rikvc.91@gmail.com" TargetMode="External"/><Relationship Id="rId1480" Type="http://schemas.openxmlformats.org/officeDocument/2006/relationships/hyperlink" Target="mailto:xantevdv@gmail.com" TargetMode="External"/><Relationship Id="rId1481" Type="http://schemas.openxmlformats.org/officeDocument/2006/relationships/hyperlink" Target="mailto:margreetvangils@yahoo.com" TargetMode="External"/><Relationship Id="rId1482" Type="http://schemas.openxmlformats.org/officeDocument/2006/relationships/hyperlink" Target="mailto:saareyckmans@gmail.com" TargetMode="External"/><Relationship Id="rId1483" Type="http://schemas.openxmlformats.org/officeDocument/2006/relationships/hyperlink" Target="mailto:saareyckmans@gmail.com" TargetMode="External"/><Relationship Id="rId653" Type="http://schemas.openxmlformats.org/officeDocument/2006/relationships/hyperlink" Target="mailto:nezendam@gmail.com" TargetMode="External"/><Relationship Id="rId1000" Type="http://schemas.openxmlformats.org/officeDocument/2006/relationships/hyperlink" Target="mailto:l.sebestikova@gmail.com" TargetMode="External"/><Relationship Id="rId1484" Type="http://schemas.openxmlformats.org/officeDocument/2006/relationships/hyperlink" Target="mailto:denise.van.galen@hotmail.com" TargetMode="External"/><Relationship Id="rId652" Type="http://schemas.openxmlformats.org/officeDocument/2006/relationships/hyperlink" Target="mailto:dewygerritsen@hotmail.com" TargetMode="External"/><Relationship Id="rId1001" Type="http://schemas.openxmlformats.org/officeDocument/2006/relationships/hyperlink" Target="mailto:abbey2503@gmail.com" TargetMode="External"/><Relationship Id="rId1485" Type="http://schemas.openxmlformats.org/officeDocument/2006/relationships/hyperlink" Target="mailto:alina.petre.nutrition@gmail.com" TargetMode="External"/><Relationship Id="rId651" Type="http://schemas.openxmlformats.org/officeDocument/2006/relationships/hyperlink" Target="mailto:Marcellusdehaas@gmail.com" TargetMode="External"/><Relationship Id="rId1002" Type="http://schemas.openxmlformats.org/officeDocument/2006/relationships/hyperlink" Target="mailto:stefanhuisman@proton.me" TargetMode="External"/><Relationship Id="rId1486" Type="http://schemas.openxmlformats.org/officeDocument/2006/relationships/hyperlink" Target="mailto:wolfhijlkema@gmail.com" TargetMode="External"/><Relationship Id="rId650" Type="http://schemas.openxmlformats.org/officeDocument/2006/relationships/hyperlink" Target="mailto:maso.sarah@gmail.com" TargetMode="External"/><Relationship Id="rId1003" Type="http://schemas.openxmlformats.org/officeDocument/2006/relationships/hyperlink" Target="mailto:j.n.h.link@gmail.com" TargetMode="External"/><Relationship Id="rId1487" Type="http://schemas.openxmlformats.org/officeDocument/2006/relationships/hyperlink" Target="mailto:alissapanis@hotmail.com" TargetMode="External"/><Relationship Id="rId1037" Type="http://schemas.openxmlformats.org/officeDocument/2006/relationships/hyperlink" Target="mailto:meddy_karmaoui@hotmail.com" TargetMode="External"/><Relationship Id="rId1038" Type="http://schemas.openxmlformats.org/officeDocument/2006/relationships/hyperlink" Target="mailto:vincentharmsen@protonmail.com" TargetMode="External"/><Relationship Id="rId1039" Type="http://schemas.openxmlformats.org/officeDocument/2006/relationships/hyperlink" Target="mailto:marlousstout@gmail.com" TargetMode="External"/><Relationship Id="rId206" Type="http://schemas.openxmlformats.org/officeDocument/2006/relationships/hyperlink" Target="mailto:rstelloo@gmail.com" TargetMode="External"/><Relationship Id="rId205" Type="http://schemas.openxmlformats.org/officeDocument/2006/relationships/hyperlink" Target="mailto:rstelloo@gmail.com" TargetMode="External"/><Relationship Id="rId689" Type="http://schemas.openxmlformats.org/officeDocument/2006/relationships/hyperlink" Target="mailto:harrietnipperus@gmail.com" TargetMode="External"/><Relationship Id="rId204" Type="http://schemas.openxmlformats.org/officeDocument/2006/relationships/hyperlink" Target="mailto:saskia.bruijn@gmail.com" TargetMode="External"/><Relationship Id="rId688" Type="http://schemas.openxmlformats.org/officeDocument/2006/relationships/hyperlink" Target="mailto:avandrooge@gmail.com" TargetMode="External"/><Relationship Id="rId203" Type="http://schemas.openxmlformats.org/officeDocument/2006/relationships/hyperlink" Target="mailto:vanmalgroen@proton.me" TargetMode="External"/><Relationship Id="rId687" Type="http://schemas.openxmlformats.org/officeDocument/2006/relationships/hyperlink" Target="mailto:bregjeanne@hotmail.com" TargetMode="External"/><Relationship Id="rId209" Type="http://schemas.openxmlformats.org/officeDocument/2006/relationships/hyperlink" Target="mailto:hanneke.ooms@gmail.com" TargetMode="External"/><Relationship Id="rId208" Type="http://schemas.openxmlformats.org/officeDocument/2006/relationships/hyperlink" Target="mailto:lieke.meijer@gmail.com" TargetMode="External"/><Relationship Id="rId207" Type="http://schemas.openxmlformats.org/officeDocument/2006/relationships/hyperlink" Target="mailto:j.vanvegten@hotmail.com" TargetMode="External"/><Relationship Id="rId682" Type="http://schemas.openxmlformats.org/officeDocument/2006/relationships/hyperlink" Target="mailto:m.kleinlankhorst@gmail.com" TargetMode="External"/><Relationship Id="rId681" Type="http://schemas.openxmlformats.org/officeDocument/2006/relationships/hyperlink" Target="mailto:janneketeeuw@usa.net" TargetMode="External"/><Relationship Id="rId1030" Type="http://schemas.openxmlformats.org/officeDocument/2006/relationships/hyperlink" Target="mailto:renskehagenaar@gmail.com" TargetMode="External"/><Relationship Id="rId680" Type="http://schemas.openxmlformats.org/officeDocument/2006/relationships/hyperlink" Target="mailto:macvinkenborg@gmail.com" TargetMode="External"/><Relationship Id="rId1031" Type="http://schemas.openxmlformats.org/officeDocument/2006/relationships/hyperlink" Target="mailto:timdaemen97@hotmail.com" TargetMode="External"/><Relationship Id="rId1032" Type="http://schemas.openxmlformats.org/officeDocument/2006/relationships/hyperlink" Target="mailto:Annabelvanlieshout@gmail.com" TargetMode="External"/><Relationship Id="rId202" Type="http://schemas.openxmlformats.org/officeDocument/2006/relationships/hyperlink" Target="mailto:suetersjoyce50@gmail.com" TargetMode="External"/><Relationship Id="rId686" Type="http://schemas.openxmlformats.org/officeDocument/2006/relationships/hyperlink" Target="mailto:m.out.smit@gmail.com" TargetMode="External"/><Relationship Id="rId1033" Type="http://schemas.openxmlformats.org/officeDocument/2006/relationships/hyperlink" Target="mailto:eveliensmits88@gmail.com" TargetMode="External"/><Relationship Id="rId201" Type="http://schemas.openxmlformats.org/officeDocument/2006/relationships/hyperlink" Target="mailto:annelies@ietsmet.eu" TargetMode="External"/><Relationship Id="rId685" Type="http://schemas.openxmlformats.org/officeDocument/2006/relationships/hyperlink" Target="mailto:fkeukens@gmail.com" TargetMode="External"/><Relationship Id="rId1034" Type="http://schemas.openxmlformats.org/officeDocument/2006/relationships/hyperlink" Target="mailto:avankempen@hotmail.com" TargetMode="External"/><Relationship Id="rId200" Type="http://schemas.openxmlformats.org/officeDocument/2006/relationships/hyperlink" Target="mailto:rosalinda_asbreuk@hotmail.com" TargetMode="External"/><Relationship Id="rId684" Type="http://schemas.openxmlformats.org/officeDocument/2006/relationships/hyperlink" Target="mailto:sarahvanbinsbergen@gmail.com" TargetMode="External"/><Relationship Id="rId1035" Type="http://schemas.openxmlformats.org/officeDocument/2006/relationships/hyperlink" Target="mailto:jannetschuurman@duck.com" TargetMode="External"/><Relationship Id="rId683" Type="http://schemas.openxmlformats.org/officeDocument/2006/relationships/hyperlink" Target="mailto:lucy.jonathan@outlook.com" TargetMode="External"/><Relationship Id="rId1036" Type="http://schemas.openxmlformats.org/officeDocument/2006/relationships/hyperlink" Target="mailto:b.voorneman@gmail.com" TargetMode="External"/><Relationship Id="rId1026" Type="http://schemas.openxmlformats.org/officeDocument/2006/relationships/hyperlink" Target="mailto:elsemiekevanbelzen@gmail.com" TargetMode="External"/><Relationship Id="rId1027" Type="http://schemas.openxmlformats.org/officeDocument/2006/relationships/hyperlink" Target="mailto:e.berendsen@casema.nl" TargetMode="External"/><Relationship Id="rId1028" Type="http://schemas.openxmlformats.org/officeDocument/2006/relationships/hyperlink" Target="mailto:marijn_hermans123@hotmail.com" TargetMode="External"/><Relationship Id="rId1029" Type="http://schemas.openxmlformats.org/officeDocument/2006/relationships/hyperlink" Target="mailto:wandahuinink@gmail.com" TargetMode="External"/><Relationship Id="rId679" Type="http://schemas.openxmlformats.org/officeDocument/2006/relationships/hyperlink" Target="mailto:rosalie@coachroos.com" TargetMode="External"/><Relationship Id="rId678" Type="http://schemas.openxmlformats.org/officeDocument/2006/relationships/hyperlink" Target="mailto:bren.vink@gmail.com" TargetMode="External"/><Relationship Id="rId677" Type="http://schemas.openxmlformats.org/officeDocument/2006/relationships/hyperlink" Target="mailto:jaspermutsaerts@gmail.com" TargetMode="External"/><Relationship Id="rId676" Type="http://schemas.openxmlformats.org/officeDocument/2006/relationships/hyperlink" Target="mailto:loesknoop@live.nl" TargetMode="External"/><Relationship Id="rId671" Type="http://schemas.openxmlformats.org/officeDocument/2006/relationships/hyperlink" Target="mailto:ffe.boon@gmail.com" TargetMode="External"/><Relationship Id="rId670" Type="http://schemas.openxmlformats.org/officeDocument/2006/relationships/hyperlink" Target="mailto:ikbenrobbert@gmail.com" TargetMode="External"/><Relationship Id="rId1020" Type="http://schemas.openxmlformats.org/officeDocument/2006/relationships/hyperlink" Target="mailto:jellederckx@gmail.com" TargetMode="External"/><Relationship Id="rId1021" Type="http://schemas.openxmlformats.org/officeDocument/2006/relationships/hyperlink" Target="mailto:amepunt@gmail.com" TargetMode="External"/><Relationship Id="rId675" Type="http://schemas.openxmlformats.org/officeDocument/2006/relationships/hyperlink" Target="mailto:loesknoop@live.nl" TargetMode="External"/><Relationship Id="rId1022" Type="http://schemas.openxmlformats.org/officeDocument/2006/relationships/hyperlink" Target="mailto:mariellestam@hotmail.nl" TargetMode="External"/><Relationship Id="rId674" Type="http://schemas.openxmlformats.org/officeDocument/2006/relationships/hyperlink" Target="mailto:veerle.alkemade@gmail.com" TargetMode="External"/><Relationship Id="rId1023" Type="http://schemas.openxmlformats.org/officeDocument/2006/relationships/hyperlink" Target="mailto:ai.kraeutner2011@gmail.com" TargetMode="External"/><Relationship Id="rId673" Type="http://schemas.openxmlformats.org/officeDocument/2006/relationships/hyperlink" Target="mailto:carin.jacobs@gmail.com" TargetMode="External"/><Relationship Id="rId1024" Type="http://schemas.openxmlformats.org/officeDocument/2006/relationships/hyperlink" Target="mailto:judithtollenaar@outlook.com" TargetMode="External"/><Relationship Id="rId672" Type="http://schemas.openxmlformats.org/officeDocument/2006/relationships/hyperlink" Target="mailto:jittekevanthek@gmail.com" TargetMode="External"/><Relationship Id="rId1025" Type="http://schemas.openxmlformats.org/officeDocument/2006/relationships/hyperlink" Target="mailto:jvmourik@gmail.com" TargetMode="External"/><Relationship Id="rId190" Type="http://schemas.openxmlformats.org/officeDocument/2006/relationships/hyperlink" Target="mailto:anoukenruben03@gmail.com" TargetMode="External"/><Relationship Id="rId194" Type="http://schemas.openxmlformats.org/officeDocument/2006/relationships/hyperlink" Target="mailto:jocelyn.thomson96@gmail.com" TargetMode="External"/><Relationship Id="rId193" Type="http://schemas.openxmlformats.org/officeDocument/2006/relationships/hyperlink" Target="mailto:yokamonteny@posteo.nl" TargetMode="External"/><Relationship Id="rId192" Type="http://schemas.openxmlformats.org/officeDocument/2006/relationships/hyperlink" Target="mailto:anoukhpv@gmail.com" TargetMode="External"/><Relationship Id="rId191" Type="http://schemas.openxmlformats.org/officeDocument/2006/relationships/hyperlink" Target="mailto:sjoerdjevanheerden@hotmail.com" TargetMode="External"/><Relationship Id="rId187" Type="http://schemas.openxmlformats.org/officeDocument/2006/relationships/hyperlink" Target="mailto:marieladewild@gmail.com" TargetMode="External"/><Relationship Id="rId186" Type="http://schemas.openxmlformats.org/officeDocument/2006/relationships/hyperlink" Target="mailto:naar.mij@hotmail.nl" TargetMode="External"/><Relationship Id="rId185" Type="http://schemas.openxmlformats.org/officeDocument/2006/relationships/hyperlink" Target="mailto:a_bannink@hotmail.com" TargetMode="External"/><Relationship Id="rId184" Type="http://schemas.openxmlformats.org/officeDocument/2006/relationships/hyperlink" Target="mailto:a.j.j.koekkoek@gmail.com" TargetMode="External"/><Relationship Id="rId189" Type="http://schemas.openxmlformats.org/officeDocument/2006/relationships/hyperlink" Target="mailto:doorvanaken@xs4all.nl" TargetMode="External"/><Relationship Id="rId188" Type="http://schemas.openxmlformats.org/officeDocument/2006/relationships/hyperlink" Target="mailto:vita@worx.nl" TargetMode="External"/><Relationship Id="rId183" Type="http://schemas.openxmlformats.org/officeDocument/2006/relationships/hyperlink" Target="mailto:elisefieggen@gmail.com" TargetMode="External"/><Relationship Id="rId182" Type="http://schemas.openxmlformats.org/officeDocument/2006/relationships/hyperlink" Target="mailto:priyavanbreugel@icloud.com" TargetMode="External"/><Relationship Id="rId181" Type="http://schemas.openxmlformats.org/officeDocument/2006/relationships/hyperlink" Target="mailto:priyavanbreugel@icloud.com" TargetMode="External"/><Relationship Id="rId180" Type="http://schemas.openxmlformats.org/officeDocument/2006/relationships/hyperlink" Target="mailto:moniquediks@gmail.com" TargetMode="External"/><Relationship Id="rId176" Type="http://schemas.openxmlformats.org/officeDocument/2006/relationships/hyperlink" Target="mailto:marleenzonjee@gmail.com" TargetMode="External"/><Relationship Id="rId175" Type="http://schemas.openxmlformats.org/officeDocument/2006/relationships/hyperlink" Target="mailto:llinu49@gmail.com" TargetMode="External"/><Relationship Id="rId174" Type="http://schemas.openxmlformats.org/officeDocument/2006/relationships/hyperlink" Target="mailto:Josefien_dekker@hotmail.com" TargetMode="External"/><Relationship Id="rId173" Type="http://schemas.openxmlformats.org/officeDocument/2006/relationships/hyperlink" Target="mailto:yordi.robin@gmail.com" TargetMode="External"/><Relationship Id="rId179" Type="http://schemas.openxmlformats.org/officeDocument/2006/relationships/hyperlink" Target="mailto:alinekruijer@hotmail.com" TargetMode="External"/><Relationship Id="rId178" Type="http://schemas.openxmlformats.org/officeDocument/2006/relationships/hyperlink" Target="mailto:stevenstroet@hotmail.com" TargetMode="External"/><Relationship Id="rId177" Type="http://schemas.openxmlformats.org/officeDocument/2006/relationships/hyperlink" Target="mailto:knvanbeurden@gmail.com" TargetMode="External"/><Relationship Id="rId198" Type="http://schemas.openxmlformats.org/officeDocument/2006/relationships/hyperlink" Target="mailto:pien.gokemeijer@ziggo.nl" TargetMode="External"/><Relationship Id="rId197" Type="http://schemas.openxmlformats.org/officeDocument/2006/relationships/hyperlink" Target="mailto:reneegunst@gmail.com" TargetMode="External"/><Relationship Id="rId196" Type="http://schemas.openxmlformats.org/officeDocument/2006/relationships/hyperlink" Target="mailto:charlotte.jalvingh@gmail.com" TargetMode="External"/><Relationship Id="rId195" Type="http://schemas.openxmlformats.org/officeDocument/2006/relationships/hyperlink" Target="mailto:quintena@hotmail.com" TargetMode="External"/><Relationship Id="rId199" Type="http://schemas.openxmlformats.org/officeDocument/2006/relationships/hyperlink" Target="mailto:hanskapteijn@kpnmail.nl" TargetMode="External"/><Relationship Id="rId150" Type="http://schemas.openxmlformats.org/officeDocument/2006/relationships/hyperlink" Target="mailto:kailavreeken@gmail.com" TargetMode="External"/><Relationship Id="rId149" Type="http://schemas.openxmlformats.org/officeDocument/2006/relationships/hyperlink" Target="mailto:evavonk@dds.nl" TargetMode="External"/><Relationship Id="rId148" Type="http://schemas.openxmlformats.org/officeDocument/2006/relationships/hyperlink" Target="mailto:kimoskam@gmail.com" TargetMode="External"/><Relationship Id="rId1090" Type="http://schemas.openxmlformats.org/officeDocument/2006/relationships/hyperlink" Target="mailto:nicostouthart@gmail.com" TargetMode="External"/><Relationship Id="rId1091" Type="http://schemas.openxmlformats.org/officeDocument/2006/relationships/hyperlink" Target="mailto:lotjebertrand@gmail.com" TargetMode="External"/><Relationship Id="rId1092" Type="http://schemas.openxmlformats.org/officeDocument/2006/relationships/hyperlink" Target="mailto:rosalievdtuuk@gmail.com" TargetMode="External"/><Relationship Id="rId1093" Type="http://schemas.openxmlformats.org/officeDocument/2006/relationships/hyperlink" Target="mailto:dominiquecordier@hotmail.com" TargetMode="External"/><Relationship Id="rId1094" Type="http://schemas.openxmlformats.org/officeDocument/2006/relationships/hyperlink" Target="mailto:tosie_struuk@hotmail.com" TargetMode="External"/><Relationship Id="rId143" Type="http://schemas.openxmlformats.org/officeDocument/2006/relationships/hyperlink" Target="mailto:myrthestoker@gmail.com" TargetMode="External"/><Relationship Id="rId1095" Type="http://schemas.openxmlformats.org/officeDocument/2006/relationships/hyperlink" Target="mailto:ariekeleeuwdrent@hotmail.com" TargetMode="External"/><Relationship Id="rId142" Type="http://schemas.openxmlformats.org/officeDocument/2006/relationships/hyperlink" Target="mailto:sanne.jorna@hotmail.com" TargetMode="External"/><Relationship Id="rId1096" Type="http://schemas.openxmlformats.org/officeDocument/2006/relationships/hyperlink" Target="mailto:matthias.otter@hotmail.com" TargetMode="External"/><Relationship Id="rId141" Type="http://schemas.openxmlformats.org/officeDocument/2006/relationships/hyperlink" Target="mailto:maiianhh1312@gmail.com" TargetMode="External"/><Relationship Id="rId1097" Type="http://schemas.openxmlformats.org/officeDocument/2006/relationships/hyperlink" Target="mailto:LouBoves@gmail.com" TargetMode="External"/><Relationship Id="rId140" Type="http://schemas.openxmlformats.org/officeDocument/2006/relationships/hyperlink" Target="mailto:maiianhh1312@gmail.com" TargetMode="External"/><Relationship Id="rId1098" Type="http://schemas.openxmlformats.org/officeDocument/2006/relationships/hyperlink" Target="mailto:jorishuijs1@gmail.com" TargetMode="External"/><Relationship Id="rId147" Type="http://schemas.openxmlformats.org/officeDocument/2006/relationships/hyperlink" Target="mailto:ismaydubel@hotmail.com" TargetMode="External"/><Relationship Id="rId1099" Type="http://schemas.openxmlformats.org/officeDocument/2006/relationships/hyperlink" Target="mailto:mmuijnck@hotmail.com" TargetMode="External"/><Relationship Id="rId146" Type="http://schemas.openxmlformats.org/officeDocument/2006/relationships/hyperlink" Target="mailto:julie-jet_bakker@hotmail.com" TargetMode="External"/><Relationship Id="rId145" Type="http://schemas.openxmlformats.org/officeDocument/2006/relationships/hyperlink" Target="mailto:mandy_vanschaaik@hotmail.com" TargetMode="External"/><Relationship Id="rId144" Type="http://schemas.openxmlformats.org/officeDocument/2006/relationships/hyperlink" Target="mailto:mimilover03@gmail.com" TargetMode="External"/><Relationship Id="rId139" Type="http://schemas.openxmlformats.org/officeDocument/2006/relationships/hyperlink" Target="mailto:marlies.germanus@gmail.com" TargetMode="External"/><Relationship Id="rId138" Type="http://schemas.openxmlformats.org/officeDocument/2006/relationships/hyperlink" Target="mailto:elssatter@gmail.com" TargetMode="External"/><Relationship Id="rId137" Type="http://schemas.openxmlformats.org/officeDocument/2006/relationships/hyperlink" Target="mailto:tvdenden@hotmail.com" TargetMode="External"/><Relationship Id="rId1080" Type="http://schemas.openxmlformats.org/officeDocument/2006/relationships/hyperlink" Target="mailto:ericadpaul@gmail.com" TargetMode="External"/><Relationship Id="rId1081" Type="http://schemas.openxmlformats.org/officeDocument/2006/relationships/hyperlink" Target="mailto:l.h.geukes@gmail.com" TargetMode="External"/><Relationship Id="rId1082" Type="http://schemas.openxmlformats.org/officeDocument/2006/relationships/hyperlink" Target="mailto:sscheifes@hotmail.com" TargetMode="External"/><Relationship Id="rId1083" Type="http://schemas.openxmlformats.org/officeDocument/2006/relationships/hyperlink" Target="mailto:petitfourtje@gmail.com" TargetMode="External"/><Relationship Id="rId132" Type="http://schemas.openxmlformats.org/officeDocument/2006/relationships/hyperlink" Target="mailto:bcwouters@hotmail.com" TargetMode="External"/><Relationship Id="rId1084" Type="http://schemas.openxmlformats.org/officeDocument/2006/relationships/hyperlink" Target="mailto:s.anbeek@gmail.com" TargetMode="External"/><Relationship Id="rId131" Type="http://schemas.openxmlformats.org/officeDocument/2006/relationships/hyperlink" Target="mailto:esbastemeijer@gmail.com" TargetMode="External"/><Relationship Id="rId1085" Type="http://schemas.openxmlformats.org/officeDocument/2006/relationships/hyperlink" Target="mailto:stephenvandenhoek@gmail.com" TargetMode="External"/><Relationship Id="rId130" Type="http://schemas.openxmlformats.org/officeDocument/2006/relationships/hyperlink" Target="mailto:judithvannuland@hotmail.com" TargetMode="External"/><Relationship Id="rId1086" Type="http://schemas.openxmlformats.org/officeDocument/2006/relationships/hyperlink" Target="mailto:plgeluk@gmail.com" TargetMode="External"/><Relationship Id="rId1087" Type="http://schemas.openxmlformats.org/officeDocument/2006/relationships/hyperlink" Target="mailto:plgeluk@gmail.com" TargetMode="External"/><Relationship Id="rId136" Type="http://schemas.openxmlformats.org/officeDocument/2006/relationships/hyperlink" Target="mailto:estherkuipermezzo@gmail.com" TargetMode="External"/><Relationship Id="rId1088" Type="http://schemas.openxmlformats.org/officeDocument/2006/relationships/hyperlink" Target="mailto:ibrinkhoff@gmail.com" TargetMode="External"/><Relationship Id="rId135" Type="http://schemas.openxmlformats.org/officeDocument/2006/relationships/hyperlink" Target="mailto:naomiwarren26@gmail.com" TargetMode="External"/><Relationship Id="rId1089" Type="http://schemas.openxmlformats.org/officeDocument/2006/relationships/hyperlink" Target="mailto:titialangerveld@hetnet.nl" TargetMode="External"/><Relationship Id="rId134" Type="http://schemas.openxmlformats.org/officeDocument/2006/relationships/hyperlink" Target="mailto:wedding.fleur.jeroen@outlook.com" TargetMode="External"/><Relationship Id="rId133" Type="http://schemas.openxmlformats.org/officeDocument/2006/relationships/hyperlink" Target="mailto:just_me_julia@hotmail.com" TargetMode="External"/><Relationship Id="rId172" Type="http://schemas.openxmlformats.org/officeDocument/2006/relationships/hyperlink" Target="mailto:mariskrijgsman@gmail.com" TargetMode="External"/><Relationship Id="rId171" Type="http://schemas.openxmlformats.org/officeDocument/2006/relationships/hyperlink" Target="mailto:annemarijeq@gmail.com" TargetMode="External"/><Relationship Id="rId170" Type="http://schemas.openxmlformats.org/officeDocument/2006/relationships/hyperlink" Target="mailto:nijsten.seuren@gmail.com" TargetMode="External"/><Relationship Id="rId165" Type="http://schemas.openxmlformats.org/officeDocument/2006/relationships/hyperlink" Target="mailto:Robinllent@gmail.com" TargetMode="External"/><Relationship Id="rId164" Type="http://schemas.openxmlformats.org/officeDocument/2006/relationships/hyperlink" Target="mailto:Robinllent@gmail.com" TargetMode="External"/><Relationship Id="rId163" Type="http://schemas.openxmlformats.org/officeDocument/2006/relationships/hyperlink" Target="mailto:Robinllent@gmail.com" TargetMode="External"/><Relationship Id="rId162" Type="http://schemas.openxmlformats.org/officeDocument/2006/relationships/hyperlink" Target="mailto:myrthe-de-wit@hotmail.com" TargetMode="External"/><Relationship Id="rId169" Type="http://schemas.openxmlformats.org/officeDocument/2006/relationships/hyperlink" Target="mailto:irismaarse@gmail.com" TargetMode="External"/><Relationship Id="rId168" Type="http://schemas.openxmlformats.org/officeDocument/2006/relationships/hyperlink" Target="mailto:dominique.blok@gmail.com" TargetMode="External"/><Relationship Id="rId167" Type="http://schemas.openxmlformats.org/officeDocument/2006/relationships/hyperlink" Target="mailto:a.vantilburg@hccnet.nl" TargetMode="External"/><Relationship Id="rId166" Type="http://schemas.openxmlformats.org/officeDocument/2006/relationships/hyperlink" Target="mailto:mkouwenhoven@ziggo.nl" TargetMode="External"/><Relationship Id="rId161" Type="http://schemas.openxmlformats.org/officeDocument/2006/relationships/hyperlink" Target="mailto:msdegraaff@hotmail.com" TargetMode="External"/><Relationship Id="rId160" Type="http://schemas.openxmlformats.org/officeDocument/2006/relationships/hyperlink" Target="mailto:hey@hetgroenlab.nl" TargetMode="External"/><Relationship Id="rId159" Type="http://schemas.openxmlformats.org/officeDocument/2006/relationships/hyperlink" Target="mailto:s.vankouwen@live.nl" TargetMode="External"/><Relationship Id="rId154" Type="http://schemas.openxmlformats.org/officeDocument/2006/relationships/hyperlink" Target="mailto:abbink@chello.nl" TargetMode="External"/><Relationship Id="rId153" Type="http://schemas.openxmlformats.org/officeDocument/2006/relationships/hyperlink" Target="mailto:soetens.ongering@gmail.com" TargetMode="External"/><Relationship Id="rId152" Type="http://schemas.openxmlformats.org/officeDocument/2006/relationships/hyperlink" Target="mailto:lisannescheffens@gmail.com" TargetMode="External"/><Relationship Id="rId151" Type="http://schemas.openxmlformats.org/officeDocument/2006/relationships/hyperlink" Target="mailto:diane750@gmail.com" TargetMode="External"/><Relationship Id="rId158" Type="http://schemas.openxmlformats.org/officeDocument/2006/relationships/hyperlink" Target="mailto:design.lisamarx@gmail.com" TargetMode="External"/><Relationship Id="rId157" Type="http://schemas.openxmlformats.org/officeDocument/2006/relationships/hyperlink" Target="mailto:merlinwielogroch@hotmail.com" TargetMode="External"/><Relationship Id="rId156" Type="http://schemas.openxmlformats.org/officeDocument/2006/relationships/hyperlink" Target="mailto:huijboomsabien@gmail.com" TargetMode="External"/><Relationship Id="rId155" Type="http://schemas.openxmlformats.org/officeDocument/2006/relationships/hyperlink" Target="mailto:sannevdlugt@fastmail.com" TargetMode="External"/><Relationship Id="rId1510" Type="http://schemas.openxmlformats.org/officeDocument/2006/relationships/hyperlink" Target="mailto:dinky_de_haseth@hotmail.com" TargetMode="External"/><Relationship Id="rId1511" Type="http://schemas.openxmlformats.org/officeDocument/2006/relationships/hyperlink" Target="mailto:marjolijndebruijn@gmail.com" TargetMode="External"/><Relationship Id="rId1512" Type="http://schemas.openxmlformats.org/officeDocument/2006/relationships/hyperlink" Target="mailto:yessievandenbranden@hotmail.com" TargetMode="External"/><Relationship Id="rId1513" Type="http://schemas.openxmlformats.org/officeDocument/2006/relationships/hyperlink" Target="mailto:rubyvhooijdonk@hotmail.com" TargetMode="External"/><Relationship Id="rId1514" Type="http://schemas.openxmlformats.org/officeDocument/2006/relationships/hyperlink" Target="mailto:info@belevenisboerderij.nl" TargetMode="External"/><Relationship Id="rId1515" Type="http://schemas.openxmlformats.org/officeDocument/2006/relationships/hyperlink" Target="mailto:info@belevenisboerderij.nl" TargetMode="External"/><Relationship Id="rId1516" Type="http://schemas.openxmlformats.org/officeDocument/2006/relationships/hyperlink" Target="mailto:cembouwman@gmail.com" TargetMode="External"/><Relationship Id="rId1517" Type="http://schemas.openxmlformats.org/officeDocument/2006/relationships/hyperlink" Target="mailto:maartje.koelemij@hotmail.nl" TargetMode="External"/><Relationship Id="rId1518" Type="http://schemas.openxmlformats.org/officeDocument/2006/relationships/hyperlink" Target="mailto:steendam95@gmail.com" TargetMode="External"/><Relationship Id="rId1519" Type="http://schemas.openxmlformats.org/officeDocument/2006/relationships/hyperlink" Target="mailto:moniekjanssen@hotmail.com" TargetMode="External"/><Relationship Id="rId1500" Type="http://schemas.openxmlformats.org/officeDocument/2006/relationships/hyperlink" Target="mailto:wolthuis.e@gmail.com" TargetMode="External"/><Relationship Id="rId1501" Type="http://schemas.openxmlformats.org/officeDocument/2006/relationships/hyperlink" Target="mailto:martbvanschooten@gmail.com" TargetMode="External"/><Relationship Id="rId1502" Type="http://schemas.openxmlformats.org/officeDocument/2006/relationships/hyperlink" Target="mailto:hans.wensing@hotmail.nl" TargetMode="External"/><Relationship Id="rId1503" Type="http://schemas.openxmlformats.org/officeDocument/2006/relationships/hyperlink" Target="mailto:ebbens@ziggo.nl" TargetMode="External"/><Relationship Id="rId1504" Type="http://schemas.openxmlformats.org/officeDocument/2006/relationships/hyperlink" Target="mailto:dlooije@gmail.com" TargetMode="External"/><Relationship Id="rId1505" Type="http://schemas.openxmlformats.org/officeDocument/2006/relationships/hyperlink" Target="mailto:swaantje1@hotmail.com" TargetMode="External"/><Relationship Id="rId1506" Type="http://schemas.openxmlformats.org/officeDocument/2006/relationships/hyperlink" Target="mailto:gerbenn08@hotmail.com" TargetMode="External"/><Relationship Id="rId1507" Type="http://schemas.openxmlformats.org/officeDocument/2006/relationships/hyperlink" Target="mailto:amberbruin@hotmail.com" TargetMode="External"/><Relationship Id="rId1508" Type="http://schemas.openxmlformats.org/officeDocument/2006/relationships/hyperlink" Target="mailto:sandrawitman@gmail.com" TargetMode="External"/><Relationship Id="rId1509" Type="http://schemas.openxmlformats.org/officeDocument/2006/relationships/hyperlink" Target="mailto:ccbouwmans@gmail.com" TargetMode="External"/><Relationship Id="rId1576" Type="http://schemas.openxmlformats.org/officeDocument/2006/relationships/hyperlink" Target="mailto:tijmenmila@hotmail.com" TargetMode="External"/><Relationship Id="rId1577" Type="http://schemas.openxmlformats.org/officeDocument/2006/relationships/hyperlink" Target="mailto:olivia.sicurani@gmail.com" TargetMode="External"/><Relationship Id="rId1578" Type="http://schemas.openxmlformats.org/officeDocument/2006/relationships/hyperlink" Target="mailto:yvonlustenhouwer@hotmail.com" TargetMode="External"/><Relationship Id="rId1579" Type="http://schemas.openxmlformats.org/officeDocument/2006/relationships/hyperlink" Target="mailto:mctups@yahoo.com" TargetMode="External"/><Relationship Id="rId509" Type="http://schemas.openxmlformats.org/officeDocument/2006/relationships/hyperlink" Target="mailto:marieke.sekssoa@gmail.com" TargetMode="External"/><Relationship Id="rId508" Type="http://schemas.openxmlformats.org/officeDocument/2006/relationships/hyperlink" Target="mailto:visser.jasper@gmail.com" TargetMode="External"/><Relationship Id="rId503" Type="http://schemas.openxmlformats.org/officeDocument/2006/relationships/hyperlink" Target="mailto:stefaniedenutte@hotmail.com" TargetMode="External"/><Relationship Id="rId987" Type="http://schemas.openxmlformats.org/officeDocument/2006/relationships/hyperlink" Target="mailto:jaspertenhave@hotmail.com" TargetMode="External"/><Relationship Id="rId502" Type="http://schemas.openxmlformats.org/officeDocument/2006/relationships/hyperlink" Target="mailto:chianna1999@gmail.com" TargetMode="External"/><Relationship Id="rId986" Type="http://schemas.openxmlformats.org/officeDocument/2006/relationships/hyperlink" Target="mailto:ttvanbeek@gmail.com" TargetMode="External"/><Relationship Id="rId501" Type="http://schemas.openxmlformats.org/officeDocument/2006/relationships/hyperlink" Target="mailto:rosavandertas@gmail.com" TargetMode="External"/><Relationship Id="rId985" Type="http://schemas.openxmlformats.org/officeDocument/2006/relationships/hyperlink" Target="mailto:mariettelaurabrand@gmail.com" TargetMode="External"/><Relationship Id="rId500" Type="http://schemas.openxmlformats.org/officeDocument/2006/relationships/hyperlink" Target="mailto:lautje42@msn.com" TargetMode="External"/><Relationship Id="rId984" Type="http://schemas.openxmlformats.org/officeDocument/2006/relationships/hyperlink" Target="mailto:tomnijsten@gmail.com" TargetMode="External"/><Relationship Id="rId507" Type="http://schemas.openxmlformats.org/officeDocument/2006/relationships/hyperlink" Target="mailto:karen.heuvelmans@gmail.com" TargetMode="External"/><Relationship Id="rId506" Type="http://schemas.openxmlformats.org/officeDocument/2006/relationships/hyperlink" Target="mailto:lmvantamelen@yahoo.com" TargetMode="External"/><Relationship Id="rId505" Type="http://schemas.openxmlformats.org/officeDocument/2006/relationships/hyperlink" Target="mailto:isabellestorimans@xs4all.nl" TargetMode="External"/><Relationship Id="rId989" Type="http://schemas.openxmlformats.org/officeDocument/2006/relationships/hyperlink" Target="mailto:contact.vdeleon@gmail.com" TargetMode="External"/><Relationship Id="rId504" Type="http://schemas.openxmlformats.org/officeDocument/2006/relationships/hyperlink" Target="mailto:zoraviviane@gmail.com" TargetMode="External"/><Relationship Id="rId988" Type="http://schemas.openxmlformats.org/officeDocument/2006/relationships/hyperlink" Target="mailto:michielth@outlook.com" TargetMode="External"/><Relationship Id="rId1570" Type="http://schemas.openxmlformats.org/officeDocument/2006/relationships/hyperlink" Target="mailto:abelvlaanderen@gmail.com" TargetMode="External"/><Relationship Id="rId1571" Type="http://schemas.openxmlformats.org/officeDocument/2006/relationships/hyperlink" Target="mailto:Devin.stigter@gmail.com" TargetMode="External"/><Relationship Id="rId983" Type="http://schemas.openxmlformats.org/officeDocument/2006/relationships/hyperlink" Target="mailto:margrietblaauw@gmail.com" TargetMode="External"/><Relationship Id="rId1572" Type="http://schemas.openxmlformats.org/officeDocument/2006/relationships/hyperlink" Target="mailto:joke_vanas@hotmail.com" TargetMode="External"/><Relationship Id="rId982" Type="http://schemas.openxmlformats.org/officeDocument/2006/relationships/hyperlink" Target="mailto:tinkadoesburg@hotmail.com" TargetMode="External"/><Relationship Id="rId1573" Type="http://schemas.openxmlformats.org/officeDocument/2006/relationships/hyperlink" Target="mailto:lennyschouten@gmail.com" TargetMode="External"/><Relationship Id="rId981" Type="http://schemas.openxmlformats.org/officeDocument/2006/relationships/hyperlink" Target="mailto:jw.vd.wel@hccnet.nl" TargetMode="External"/><Relationship Id="rId1574" Type="http://schemas.openxmlformats.org/officeDocument/2006/relationships/hyperlink" Target="mailto:dennis.djm@gmail.com" TargetMode="External"/><Relationship Id="rId980" Type="http://schemas.openxmlformats.org/officeDocument/2006/relationships/hyperlink" Target="mailto:lisannebroeders@hotmail.com" TargetMode="External"/><Relationship Id="rId1575" Type="http://schemas.openxmlformats.org/officeDocument/2006/relationships/hyperlink" Target="mailto:afholt@gmail.com" TargetMode="External"/><Relationship Id="rId1565" Type="http://schemas.openxmlformats.org/officeDocument/2006/relationships/hyperlink" Target="mailto:esmeeveenstra.93@gmail.com" TargetMode="External"/><Relationship Id="rId1566" Type="http://schemas.openxmlformats.org/officeDocument/2006/relationships/hyperlink" Target="mailto:lisafeij@gmail.com" TargetMode="External"/><Relationship Id="rId1567" Type="http://schemas.openxmlformats.org/officeDocument/2006/relationships/hyperlink" Target="mailto:brittmekel@gmail.com" TargetMode="External"/><Relationship Id="rId1568" Type="http://schemas.openxmlformats.org/officeDocument/2006/relationships/hyperlink" Target="mailto:sara.aartselaar@gmail.com" TargetMode="External"/><Relationship Id="rId1569" Type="http://schemas.openxmlformats.org/officeDocument/2006/relationships/hyperlink" Target="mailto:lindsey.schwidder@gmail.com" TargetMode="External"/><Relationship Id="rId976" Type="http://schemas.openxmlformats.org/officeDocument/2006/relationships/hyperlink" Target="mailto:marguerite_faure@hotmail.com" TargetMode="External"/><Relationship Id="rId975" Type="http://schemas.openxmlformats.org/officeDocument/2006/relationships/hyperlink" Target="mailto:mirla@mirlaklijn.nl" TargetMode="External"/><Relationship Id="rId974" Type="http://schemas.openxmlformats.org/officeDocument/2006/relationships/hyperlink" Target="mailto:robertswart@gmail.com" TargetMode="External"/><Relationship Id="rId973" Type="http://schemas.openxmlformats.org/officeDocument/2006/relationships/hyperlink" Target="mailto:mayrahesselink@gmail.com" TargetMode="External"/><Relationship Id="rId979" Type="http://schemas.openxmlformats.org/officeDocument/2006/relationships/hyperlink" Target="mailto:f2hmrsandford686@hetnet.nl" TargetMode="External"/><Relationship Id="rId978" Type="http://schemas.openxmlformats.org/officeDocument/2006/relationships/hyperlink" Target="mailto:annabel@inmotioncollective.nl" TargetMode="External"/><Relationship Id="rId977" Type="http://schemas.openxmlformats.org/officeDocument/2006/relationships/hyperlink" Target="mailto:acgelder@hotmail.com" TargetMode="External"/><Relationship Id="rId1560" Type="http://schemas.openxmlformats.org/officeDocument/2006/relationships/hyperlink" Target="mailto:kathelijnvoets@me.com" TargetMode="External"/><Relationship Id="rId972" Type="http://schemas.openxmlformats.org/officeDocument/2006/relationships/hyperlink" Target="mailto:thomas.munns@gmail.com" TargetMode="External"/><Relationship Id="rId1561" Type="http://schemas.openxmlformats.org/officeDocument/2006/relationships/hyperlink" Target="mailto:marthabergh@hotmail.com" TargetMode="External"/><Relationship Id="rId971" Type="http://schemas.openxmlformats.org/officeDocument/2006/relationships/hyperlink" Target="mailto:chantalboshuis@gmail.com" TargetMode="External"/><Relationship Id="rId1562" Type="http://schemas.openxmlformats.org/officeDocument/2006/relationships/hyperlink" Target="mailto:swenkie@hotmail.com" TargetMode="External"/><Relationship Id="rId970" Type="http://schemas.openxmlformats.org/officeDocument/2006/relationships/hyperlink" Target="mailto:balderasmar@yahoo.com" TargetMode="External"/><Relationship Id="rId1563" Type="http://schemas.openxmlformats.org/officeDocument/2006/relationships/hyperlink" Target="mailto:cvelizsandoval@gmail.com" TargetMode="External"/><Relationship Id="rId1564" Type="http://schemas.openxmlformats.org/officeDocument/2006/relationships/hyperlink" Target="mailto:cvelizsandoval@gmail.com" TargetMode="External"/><Relationship Id="rId1114" Type="http://schemas.openxmlformats.org/officeDocument/2006/relationships/hyperlink" Target="mailto:olofsensanne@gmail.com" TargetMode="External"/><Relationship Id="rId1598" Type="http://schemas.openxmlformats.org/officeDocument/2006/relationships/hyperlink" Target="mailto:hannekeschee@gmail.com" TargetMode="External"/><Relationship Id="rId1115" Type="http://schemas.openxmlformats.org/officeDocument/2006/relationships/hyperlink" Target="mailto:irisgagestein@hotmail.com" TargetMode="External"/><Relationship Id="rId1599" Type="http://schemas.openxmlformats.org/officeDocument/2006/relationships/hyperlink" Target="mailto:hugo@hugogoudswaard.com" TargetMode="External"/><Relationship Id="rId1116" Type="http://schemas.openxmlformats.org/officeDocument/2006/relationships/hyperlink" Target="mailto:edeheer@hotmail.com" TargetMode="External"/><Relationship Id="rId1117" Type="http://schemas.openxmlformats.org/officeDocument/2006/relationships/hyperlink" Target="mailto:hraudszus@fastmail.net" TargetMode="External"/><Relationship Id="rId1118" Type="http://schemas.openxmlformats.org/officeDocument/2006/relationships/hyperlink" Target="mailto:bas_vdw@hotmail.com" TargetMode="External"/><Relationship Id="rId1119" Type="http://schemas.openxmlformats.org/officeDocument/2006/relationships/hyperlink" Target="mailto:avangrol@planet.nl" TargetMode="External"/><Relationship Id="rId525" Type="http://schemas.openxmlformats.org/officeDocument/2006/relationships/hyperlink" Target="mailto:illustrich@gmail.com" TargetMode="External"/><Relationship Id="rId524" Type="http://schemas.openxmlformats.org/officeDocument/2006/relationships/hyperlink" Target="mailto:manon.vanderlans@upcmail.nl" TargetMode="External"/><Relationship Id="rId523" Type="http://schemas.openxmlformats.org/officeDocument/2006/relationships/hyperlink" Target="mailto:nataschamaas@casema.nl" TargetMode="External"/><Relationship Id="rId522" Type="http://schemas.openxmlformats.org/officeDocument/2006/relationships/hyperlink" Target="mailto:dorien_esendam@hotmail.com" TargetMode="External"/><Relationship Id="rId529" Type="http://schemas.openxmlformats.org/officeDocument/2006/relationships/hyperlink" Target="mailto:hildewijn@hotmail.com" TargetMode="External"/><Relationship Id="rId528" Type="http://schemas.openxmlformats.org/officeDocument/2006/relationships/hyperlink" Target="mailto:marcmorren@hotmail.com" TargetMode="External"/><Relationship Id="rId527" Type="http://schemas.openxmlformats.org/officeDocument/2006/relationships/hyperlink" Target="mailto:sarah.a.nicholls@gmail.com" TargetMode="External"/><Relationship Id="rId526" Type="http://schemas.openxmlformats.org/officeDocument/2006/relationships/hyperlink" Target="mailto:ym.quentin@gmail.com" TargetMode="External"/><Relationship Id="rId1590" Type="http://schemas.openxmlformats.org/officeDocument/2006/relationships/hyperlink" Target="mailto:lucaskoot@hotmail.com" TargetMode="External"/><Relationship Id="rId1591" Type="http://schemas.openxmlformats.org/officeDocument/2006/relationships/hyperlink" Target="mailto:durba.i.telkamp@gmail.com" TargetMode="External"/><Relationship Id="rId1592" Type="http://schemas.openxmlformats.org/officeDocument/2006/relationships/hyperlink" Target="mailto:widisan@gmail.com" TargetMode="External"/><Relationship Id="rId1593" Type="http://schemas.openxmlformats.org/officeDocument/2006/relationships/hyperlink" Target="mailto:meerdinksusanne@gmail.com" TargetMode="External"/><Relationship Id="rId521" Type="http://schemas.openxmlformats.org/officeDocument/2006/relationships/hyperlink" Target="mailto:jolienvandermeer@gmail.com" TargetMode="External"/><Relationship Id="rId1110" Type="http://schemas.openxmlformats.org/officeDocument/2006/relationships/hyperlink" Target="mailto:rjsvliegenthart@gmail.com" TargetMode="External"/><Relationship Id="rId1594" Type="http://schemas.openxmlformats.org/officeDocument/2006/relationships/hyperlink" Target="mailto:lentezwaal@hotmail.com" TargetMode="External"/><Relationship Id="rId520" Type="http://schemas.openxmlformats.org/officeDocument/2006/relationships/hyperlink" Target="mailto:gerdienvdzwaag@hotmail.com" TargetMode="External"/><Relationship Id="rId1111" Type="http://schemas.openxmlformats.org/officeDocument/2006/relationships/hyperlink" Target="mailto:kerryann.neverne.wilson@gmail.com" TargetMode="External"/><Relationship Id="rId1595" Type="http://schemas.openxmlformats.org/officeDocument/2006/relationships/hyperlink" Target="mailto:caspar.nieuwenhuis@gmail.com" TargetMode="External"/><Relationship Id="rId1112" Type="http://schemas.openxmlformats.org/officeDocument/2006/relationships/hyperlink" Target="mailto:marleenvanree@hotmail.com" TargetMode="External"/><Relationship Id="rId1596" Type="http://schemas.openxmlformats.org/officeDocument/2006/relationships/hyperlink" Target="mailto:metiels@hotmail.com" TargetMode="External"/><Relationship Id="rId1113" Type="http://schemas.openxmlformats.org/officeDocument/2006/relationships/hyperlink" Target="mailto:myrrekeuning@hotmail.com" TargetMode="External"/><Relationship Id="rId1597" Type="http://schemas.openxmlformats.org/officeDocument/2006/relationships/hyperlink" Target="mailto:elinaeikelenboom@gmail.com" TargetMode="External"/><Relationship Id="rId1103" Type="http://schemas.openxmlformats.org/officeDocument/2006/relationships/hyperlink" Target="mailto:clairejansen10@hotmail.com" TargetMode="External"/><Relationship Id="rId1587" Type="http://schemas.openxmlformats.org/officeDocument/2006/relationships/hyperlink" Target="mailto:romy.lee@gmail.com" TargetMode="External"/><Relationship Id="rId1104" Type="http://schemas.openxmlformats.org/officeDocument/2006/relationships/hyperlink" Target="mailto:silketerstal@hotmail.com" TargetMode="External"/><Relationship Id="rId1588" Type="http://schemas.openxmlformats.org/officeDocument/2006/relationships/hyperlink" Target="mailto:matthewvaughan90@gmail.com" TargetMode="External"/><Relationship Id="rId1105" Type="http://schemas.openxmlformats.org/officeDocument/2006/relationships/hyperlink" Target="mailto:angelasolkesz@gmail.com" TargetMode="External"/><Relationship Id="rId1589" Type="http://schemas.openxmlformats.org/officeDocument/2006/relationships/hyperlink" Target="mailto:lindamuysson@gmail.com" TargetMode="External"/><Relationship Id="rId1106" Type="http://schemas.openxmlformats.org/officeDocument/2006/relationships/hyperlink" Target="mailto:wzonnevylle@gmail.com" TargetMode="External"/><Relationship Id="rId1107" Type="http://schemas.openxmlformats.org/officeDocument/2006/relationships/hyperlink" Target="mailto:woutersmailbox@yahoo.com" TargetMode="External"/><Relationship Id="rId1108" Type="http://schemas.openxmlformats.org/officeDocument/2006/relationships/hyperlink" Target="mailto:linapeng91@gmail.com" TargetMode="External"/><Relationship Id="rId1109" Type="http://schemas.openxmlformats.org/officeDocument/2006/relationships/hyperlink" Target="mailto:gekekrijger@hotmail.com" TargetMode="External"/><Relationship Id="rId519" Type="http://schemas.openxmlformats.org/officeDocument/2006/relationships/hyperlink" Target="mailto:liedje75@hotmail.com" TargetMode="External"/><Relationship Id="rId514" Type="http://schemas.openxmlformats.org/officeDocument/2006/relationships/hyperlink" Target="mailto:kim.langer@outlook.com" TargetMode="External"/><Relationship Id="rId998" Type="http://schemas.openxmlformats.org/officeDocument/2006/relationships/hyperlink" Target="mailto:ariel.tn16@gmail.com" TargetMode="External"/><Relationship Id="rId513" Type="http://schemas.openxmlformats.org/officeDocument/2006/relationships/hyperlink" Target="mailto:mariasophiasenders@gmail.com" TargetMode="External"/><Relationship Id="rId997" Type="http://schemas.openxmlformats.org/officeDocument/2006/relationships/hyperlink" Target="mailto:wjavanderdeijl@gmail.com" TargetMode="External"/><Relationship Id="rId512" Type="http://schemas.openxmlformats.org/officeDocument/2006/relationships/hyperlink" Target="mailto:haneemarc@hotmail.com" TargetMode="External"/><Relationship Id="rId996" Type="http://schemas.openxmlformats.org/officeDocument/2006/relationships/hyperlink" Target="mailto:charlotte.dhaas@gmail.com" TargetMode="External"/><Relationship Id="rId511" Type="http://schemas.openxmlformats.org/officeDocument/2006/relationships/hyperlink" Target="mailto:nelswichers@gmail.com" TargetMode="External"/><Relationship Id="rId995" Type="http://schemas.openxmlformats.org/officeDocument/2006/relationships/hyperlink" Target="mailto:mariekevanhove@hotmail.com" TargetMode="External"/><Relationship Id="rId518" Type="http://schemas.openxmlformats.org/officeDocument/2006/relationships/hyperlink" Target="mailto:ivankagamba@gmail.com" TargetMode="External"/><Relationship Id="rId517" Type="http://schemas.openxmlformats.org/officeDocument/2006/relationships/hyperlink" Target="mailto:phaedraprins@gmail.com" TargetMode="External"/><Relationship Id="rId516" Type="http://schemas.openxmlformats.org/officeDocument/2006/relationships/hyperlink" Target="mailto:alfredbuunk@tiscali.nl" TargetMode="External"/><Relationship Id="rId515" Type="http://schemas.openxmlformats.org/officeDocument/2006/relationships/hyperlink" Target="mailto:veerlecima@gmail.com" TargetMode="External"/><Relationship Id="rId999" Type="http://schemas.openxmlformats.org/officeDocument/2006/relationships/hyperlink" Target="mailto:mevandijk1@gmail.com" TargetMode="External"/><Relationship Id="rId990" Type="http://schemas.openxmlformats.org/officeDocument/2006/relationships/hyperlink" Target="mailto:dorijnotto@gmail.com" TargetMode="External"/><Relationship Id="rId1580" Type="http://schemas.openxmlformats.org/officeDocument/2006/relationships/hyperlink" Target="mailto:thalina_rose@hotmail.com" TargetMode="External"/><Relationship Id="rId1581" Type="http://schemas.openxmlformats.org/officeDocument/2006/relationships/hyperlink" Target="mailto:robert@pankra.com" TargetMode="External"/><Relationship Id="rId1582" Type="http://schemas.openxmlformats.org/officeDocument/2006/relationships/hyperlink" Target="mailto:bejbroers@gmail.com" TargetMode="External"/><Relationship Id="rId510" Type="http://schemas.openxmlformats.org/officeDocument/2006/relationships/hyperlink" Target="mailto:janawitteman@hotmail.com" TargetMode="External"/><Relationship Id="rId994" Type="http://schemas.openxmlformats.org/officeDocument/2006/relationships/hyperlink" Target="mailto:heijmen.karin@gmail.com" TargetMode="External"/><Relationship Id="rId1583" Type="http://schemas.openxmlformats.org/officeDocument/2006/relationships/hyperlink" Target="mailto:cafverstelle@live.nl" TargetMode="External"/><Relationship Id="rId993" Type="http://schemas.openxmlformats.org/officeDocument/2006/relationships/hyperlink" Target="mailto:henknoordhoff@hotmail.com" TargetMode="External"/><Relationship Id="rId1100" Type="http://schemas.openxmlformats.org/officeDocument/2006/relationships/hyperlink" Target="mailto:mieke.buiteman@hetnet.nl" TargetMode="External"/><Relationship Id="rId1584" Type="http://schemas.openxmlformats.org/officeDocument/2006/relationships/hyperlink" Target="mailto:eugenepek59@gmail.com" TargetMode="External"/><Relationship Id="rId992" Type="http://schemas.openxmlformats.org/officeDocument/2006/relationships/hyperlink" Target="mailto:marietje.sanders@upcmail.nl" TargetMode="External"/><Relationship Id="rId1101" Type="http://schemas.openxmlformats.org/officeDocument/2006/relationships/hyperlink" Target="mailto:fvanderkaaden@outlook.com" TargetMode="External"/><Relationship Id="rId1585" Type="http://schemas.openxmlformats.org/officeDocument/2006/relationships/hyperlink" Target="mailto:willyduffhues@outlook.com" TargetMode="External"/><Relationship Id="rId991" Type="http://schemas.openxmlformats.org/officeDocument/2006/relationships/hyperlink" Target="mailto:marloes241992@gmail.com" TargetMode="External"/><Relationship Id="rId1102" Type="http://schemas.openxmlformats.org/officeDocument/2006/relationships/hyperlink" Target="mailto:estherriphagen@hotmail.com" TargetMode="External"/><Relationship Id="rId1586" Type="http://schemas.openxmlformats.org/officeDocument/2006/relationships/hyperlink" Target="mailto:willyduffhues@outlook.com" TargetMode="External"/><Relationship Id="rId1532" Type="http://schemas.openxmlformats.org/officeDocument/2006/relationships/hyperlink" Target="mailto:veldenj@gmail.com" TargetMode="External"/><Relationship Id="rId1533" Type="http://schemas.openxmlformats.org/officeDocument/2006/relationships/hyperlink" Target="mailto:hugo@vanjoolingen.nl" TargetMode="External"/><Relationship Id="rId1534" Type="http://schemas.openxmlformats.org/officeDocument/2006/relationships/hyperlink" Target="mailto:evieroebroek@hotmail.com" TargetMode="External"/><Relationship Id="rId1535" Type="http://schemas.openxmlformats.org/officeDocument/2006/relationships/hyperlink" Target="mailto:marjolijnvanegmond@gmail.com" TargetMode="External"/><Relationship Id="rId1536" Type="http://schemas.openxmlformats.org/officeDocument/2006/relationships/hyperlink" Target="mailto:Ddiepenhorst@gmail.com" TargetMode="External"/><Relationship Id="rId1537" Type="http://schemas.openxmlformats.org/officeDocument/2006/relationships/hyperlink" Target="mailto:malou.moen@gmail.com" TargetMode="External"/><Relationship Id="rId1538" Type="http://schemas.openxmlformats.org/officeDocument/2006/relationships/hyperlink" Target="mailto:danivanderburg@outlook.com" TargetMode="External"/><Relationship Id="rId1539" Type="http://schemas.openxmlformats.org/officeDocument/2006/relationships/hyperlink" Target="mailto:vjkardaun@gmail.com" TargetMode="External"/><Relationship Id="rId949" Type="http://schemas.openxmlformats.org/officeDocument/2006/relationships/hyperlink" Target="mailto:irem.eal@gmail.com" TargetMode="External"/><Relationship Id="rId948" Type="http://schemas.openxmlformats.org/officeDocument/2006/relationships/hyperlink" Target="mailto:irem.eal@gmail.com" TargetMode="External"/><Relationship Id="rId943" Type="http://schemas.openxmlformats.org/officeDocument/2006/relationships/hyperlink" Target="mailto:djoeriwildeboer@gmail.com" TargetMode="External"/><Relationship Id="rId942" Type="http://schemas.openxmlformats.org/officeDocument/2006/relationships/hyperlink" Target="mailto:adriana.cerdeira.fernandes@gmail.com" TargetMode="External"/><Relationship Id="rId941" Type="http://schemas.openxmlformats.org/officeDocument/2006/relationships/hyperlink" Target="mailto:dayaaerts@icloud.com" TargetMode="External"/><Relationship Id="rId940" Type="http://schemas.openxmlformats.org/officeDocument/2006/relationships/hyperlink" Target="mailto:elstgeest.n@gmail.com" TargetMode="External"/><Relationship Id="rId947" Type="http://schemas.openxmlformats.org/officeDocument/2006/relationships/hyperlink" Target="mailto:madulfer@gmail.com" TargetMode="External"/><Relationship Id="rId946" Type="http://schemas.openxmlformats.org/officeDocument/2006/relationships/hyperlink" Target="mailto:test@freshframes.nl" TargetMode="External"/><Relationship Id="rId945" Type="http://schemas.openxmlformats.org/officeDocument/2006/relationships/hyperlink" Target="mailto:test@freshframes.nl" TargetMode="External"/><Relationship Id="rId944" Type="http://schemas.openxmlformats.org/officeDocument/2006/relationships/hyperlink" Target="mailto:test@freshframes.nl" TargetMode="External"/><Relationship Id="rId1530" Type="http://schemas.openxmlformats.org/officeDocument/2006/relationships/hyperlink" Target="mailto:mvk1563@gmail.com" TargetMode="External"/><Relationship Id="rId1531" Type="http://schemas.openxmlformats.org/officeDocument/2006/relationships/hyperlink" Target="mailto:easijmons@gmail.com" TargetMode="External"/><Relationship Id="rId1521" Type="http://schemas.openxmlformats.org/officeDocument/2006/relationships/hyperlink" Target="mailto:cocky.sietses@gmail.com" TargetMode="External"/><Relationship Id="rId1522" Type="http://schemas.openxmlformats.org/officeDocument/2006/relationships/hyperlink" Target="mailto:mireille@hetwittepaardrotterdam.nl" TargetMode="External"/><Relationship Id="rId1523" Type="http://schemas.openxmlformats.org/officeDocument/2006/relationships/hyperlink" Target="mailto:mireille@hetwittepaardrotterdam.nl" TargetMode="External"/><Relationship Id="rId1524" Type="http://schemas.openxmlformats.org/officeDocument/2006/relationships/hyperlink" Target="mailto:maritkuijt@hotmail.com" TargetMode="External"/><Relationship Id="rId1525" Type="http://schemas.openxmlformats.org/officeDocument/2006/relationships/hyperlink" Target="mailto:jorijnz@hotmail.com" TargetMode="External"/><Relationship Id="rId1526" Type="http://schemas.openxmlformats.org/officeDocument/2006/relationships/hyperlink" Target="mailto:lieke.visser@gmail.com" TargetMode="External"/><Relationship Id="rId1527" Type="http://schemas.openxmlformats.org/officeDocument/2006/relationships/hyperlink" Target="mailto:nina.vanee2@gmail.com" TargetMode="External"/><Relationship Id="rId1528" Type="http://schemas.openxmlformats.org/officeDocument/2006/relationships/hyperlink" Target="mailto:eising.ja@gmail.com" TargetMode="External"/><Relationship Id="rId1529" Type="http://schemas.openxmlformats.org/officeDocument/2006/relationships/hyperlink" Target="mailto:aniek.moonen@gmail.com" TargetMode="External"/><Relationship Id="rId939" Type="http://schemas.openxmlformats.org/officeDocument/2006/relationships/hyperlink" Target="mailto:uittenbroek@gmail.com" TargetMode="External"/><Relationship Id="rId938" Type="http://schemas.openxmlformats.org/officeDocument/2006/relationships/hyperlink" Target="mailto:ykronieger@gmail.com" TargetMode="External"/><Relationship Id="rId937" Type="http://schemas.openxmlformats.org/officeDocument/2006/relationships/hyperlink" Target="mailto:emmabeeldman@gmail.com" TargetMode="External"/><Relationship Id="rId932" Type="http://schemas.openxmlformats.org/officeDocument/2006/relationships/hyperlink" Target="mailto:bette.westerhoff@gmail.com" TargetMode="External"/><Relationship Id="rId931" Type="http://schemas.openxmlformats.org/officeDocument/2006/relationships/hyperlink" Target="mailto:davidvandermeer7@hotmail.com" TargetMode="External"/><Relationship Id="rId930" Type="http://schemas.openxmlformats.org/officeDocument/2006/relationships/hyperlink" Target="mailto:ariennemak@gmail.com" TargetMode="External"/><Relationship Id="rId936" Type="http://schemas.openxmlformats.org/officeDocument/2006/relationships/hyperlink" Target="mailto:j.a.lafranca@gmail.com" TargetMode="External"/><Relationship Id="rId935" Type="http://schemas.openxmlformats.org/officeDocument/2006/relationships/hyperlink" Target="mailto:marannijmeijer@hotmail.com" TargetMode="External"/><Relationship Id="rId934" Type="http://schemas.openxmlformats.org/officeDocument/2006/relationships/hyperlink" Target="mailto:michellevanjaarsveld@hotmail.com" TargetMode="External"/><Relationship Id="rId933" Type="http://schemas.openxmlformats.org/officeDocument/2006/relationships/hyperlink" Target="mailto:mariskasmitsbalder@gmail.com" TargetMode="External"/><Relationship Id="rId1520" Type="http://schemas.openxmlformats.org/officeDocument/2006/relationships/hyperlink" Target="mailto:liam.gillespie96@gmail.com" TargetMode="External"/><Relationship Id="rId1554" Type="http://schemas.openxmlformats.org/officeDocument/2006/relationships/hyperlink" Target="mailto:marinthe.bos@gmail.com" TargetMode="External"/><Relationship Id="rId1555" Type="http://schemas.openxmlformats.org/officeDocument/2006/relationships/hyperlink" Target="mailto:cdevalk1@gmail.com" TargetMode="External"/><Relationship Id="rId1556" Type="http://schemas.openxmlformats.org/officeDocument/2006/relationships/hyperlink" Target="mailto:sonia.kneepkens@gmail.com" TargetMode="External"/><Relationship Id="rId1557" Type="http://schemas.openxmlformats.org/officeDocument/2006/relationships/hyperlink" Target="mailto:isabelle.porskamp@gmail.com" TargetMode="External"/><Relationship Id="rId1558" Type="http://schemas.openxmlformats.org/officeDocument/2006/relationships/hyperlink" Target="mailto:hansdekker95@gmail.com" TargetMode="External"/><Relationship Id="rId1559" Type="http://schemas.openxmlformats.org/officeDocument/2006/relationships/hyperlink" Target="mailto:karlienwouters@protonmail.com" TargetMode="External"/><Relationship Id="rId965" Type="http://schemas.openxmlformats.org/officeDocument/2006/relationships/hyperlink" Target="mailto:j.a.m.vanwijngaarden@planet.nl" TargetMode="External"/><Relationship Id="rId964" Type="http://schemas.openxmlformats.org/officeDocument/2006/relationships/hyperlink" Target="mailto:josjevannoorden@hotmail.com" TargetMode="External"/><Relationship Id="rId963" Type="http://schemas.openxmlformats.org/officeDocument/2006/relationships/hyperlink" Target="mailto:kuypers.maud@gmail.com" TargetMode="External"/><Relationship Id="rId962" Type="http://schemas.openxmlformats.org/officeDocument/2006/relationships/hyperlink" Target="mailto:joeyknol@gmail.com" TargetMode="External"/><Relationship Id="rId969" Type="http://schemas.openxmlformats.org/officeDocument/2006/relationships/hyperlink" Target="mailto:mstromeier@gmail.com" TargetMode="External"/><Relationship Id="rId968" Type="http://schemas.openxmlformats.org/officeDocument/2006/relationships/hyperlink" Target="mailto:sanne_durieux@hotmail.com" TargetMode="External"/><Relationship Id="rId967" Type="http://schemas.openxmlformats.org/officeDocument/2006/relationships/hyperlink" Target="mailto:frisosmaal@live.nl" TargetMode="External"/><Relationship Id="rId966" Type="http://schemas.openxmlformats.org/officeDocument/2006/relationships/hyperlink" Target="mailto:fmol2018@ziggo.nl" TargetMode="External"/><Relationship Id="rId961" Type="http://schemas.openxmlformats.org/officeDocument/2006/relationships/hyperlink" Target="mailto:laramonapechugona@proton.me" TargetMode="External"/><Relationship Id="rId1550" Type="http://schemas.openxmlformats.org/officeDocument/2006/relationships/hyperlink" Target="mailto:shsissing@gmail.com" TargetMode="External"/><Relationship Id="rId960" Type="http://schemas.openxmlformats.org/officeDocument/2006/relationships/hyperlink" Target="mailto:rosanslebioda@gmail.com" TargetMode="External"/><Relationship Id="rId1551" Type="http://schemas.openxmlformats.org/officeDocument/2006/relationships/hyperlink" Target="mailto:juudkid@hotmail.com" TargetMode="External"/><Relationship Id="rId1552" Type="http://schemas.openxmlformats.org/officeDocument/2006/relationships/hyperlink" Target="mailto:deborahkuperus1@gmail.com" TargetMode="External"/><Relationship Id="rId1553" Type="http://schemas.openxmlformats.org/officeDocument/2006/relationships/hyperlink" Target="mailto:sarah.heinrich@live.nl" TargetMode="External"/><Relationship Id="rId1543" Type="http://schemas.openxmlformats.org/officeDocument/2006/relationships/hyperlink" Target="mailto:lois-smit@hotmail.com" TargetMode="External"/><Relationship Id="rId1544" Type="http://schemas.openxmlformats.org/officeDocument/2006/relationships/hyperlink" Target="mailto:geertekoster@hotmail.com" TargetMode="External"/><Relationship Id="rId1545" Type="http://schemas.openxmlformats.org/officeDocument/2006/relationships/hyperlink" Target="mailto:noorgeluk@hotmail.com" TargetMode="External"/><Relationship Id="rId1546" Type="http://schemas.openxmlformats.org/officeDocument/2006/relationships/hyperlink" Target="mailto:paulvanwees@gmail.com" TargetMode="External"/><Relationship Id="rId1547" Type="http://schemas.openxmlformats.org/officeDocument/2006/relationships/hyperlink" Target="mailto:ninalinders6@live.nl" TargetMode="External"/><Relationship Id="rId1548" Type="http://schemas.openxmlformats.org/officeDocument/2006/relationships/hyperlink" Target="mailto:010190@gmail.com" TargetMode="External"/><Relationship Id="rId1549" Type="http://schemas.openxmlformats.org/officeDocument/2006/relationships/hyperlink" Target="mailto:manon_de_bood@hotmail.com" TargetMode="External"/><Relationship Id="rId959" Type="http://schemas.openxmlformats.org/officeDocument/2006/relationships/hyperlink" Target="mailto:jenniferrensen@outlook.com" TargetMode="External"/><Relationship Id="rId954" Type="http://schemas.openxmlformats.org/officeDocument/2006/relationships/hyperlink" Target="mailto:sannetimmer@hotmail.nl" TargetMode="External"/><Relationship Id="rId953" Type="http://schemas.openxmlformats.org/officeDocument/2006/relationships/hyperlink" Target="mailto:miloukeijzer@gmail.com" TargetMode="External"/><Relationship Id="rId952" Type="http://schemas.openxmlformats.org/officeDocument/2006/relationships/hyperlink" Target="mailto:maresedeckers@hetnet.nl" TargetMode="External"/><Relationship Id="rId951" Type="http://schemas.openxmlformats.org/officeDocument/2006/relationships/hyperlink" Target="mailto:mdewit22@hotmail.com" TargetMode="External"/><Relationship Id="rId958" Type="http://schemas.openxmlformats.org/officeDocument/2006/relationships/hyperlink" Target="mailto:jenniferrensen@outlook.com" TargetMode="External"/><Relationship Id="rId957" Type="http://schemas.openxmlformats.org/officeDocument/2006/relationships/hyperlink" Target="mailto:jitskezijlstra@icloud.com" TargetMode="External"/><Relationship Id="rId956" Type="http://schemas.openxmlformats.org/officeDocument/2006/relationships/hyperlink" Target="mailto:icekrame@gmail.com" TargetMode="External"/><Relationship Id="rId955" Type="http://schemas.openxmlformats.org/officeDocument/2006/relationships/hyperlink" Target="mailto:icekrame@gmail.com" TargetMode="External"/><Relationship Id="rId950" Type="http://schemas.openxmlformats.org/officeDocument/2006/relationships/hyperlink" Target="mailto:marloesloenhout@hotmail.com" TargetMode="External"/><Relationship Id="rId1540" Type="http://schemas.openxmlformats.org/officeDocument/2006/relationships/hyperlink" Target="mailto:aalberts.karin@gmail.com" TargetMode="External"/><Relationship Id="rId1541" Type="http://schemas.openxmlformats.org/officeDocument/2006/relationships/hyperlink" Target="mailto:beterboompje@jelmer.org" TargetMode="External"/><Relationship Id="rId1542" Type="http://schemas.openxmlformats.org/officeDocument/2006/relationships/hyperlink" Target="mailto:dennis.vdh@live.nl" TargetMode="External"/><Relationship Id="rId590" Type="http://schemas.openxmlformats.org/officeDocument/2006/relationships/hyperlink" Target="mailto:celine.ten.donkelaar@gmail.com" TargetMode="External"/><Relationship Id="rId107" Type="http://schemas.openxmlformats.org/officeDocument/2006/relationships/hyperlink" Target="mailto:rinskeschouls@gmail.com" TargetMode="External"/><Relationship Id="rId106" Type="http://schemas.openxmlformats.org/officeDocument/2006/relationships/hyperlink" Target="mailto:mariekekolsteeg@hotmail.com" TargetMode="External"/><Relationship Id="rId105" Type="http://schemas.openxmlformats.org/officeDocument/2006/relationships/hyperlink" Target="mailto:sarahelisabeth.evers@gmail.com" TargetMode="External"/><Relationship Id="rId589" Type="http://schemas.openxmlformats.org/officeDocument/2006/relationships/hyperlink" Target="mailto:vanoosterenmarieke@gmail.com" TargetMode="External"/><Relationship Id="rId104" Type="http://schemas.openxmlformats.org/officeDocument/2006/relationships/hyperlink" Target="mailto:doortje1987@live.nl" TargetMode="External"/><Relationship Id="rId588" Type="http://schemas.openxmlformats.org/officeDocument/2006/relationships/hyperlink" Target="mailto:priscilla.klein@live.nl" TargetMode="External"/><Relationship Id="rId109" Type="http://schemas.openxmlformats.org/officeDocument/2006/relationships/hyperlink" Target="mailto:myrthepijl@hotmail.com" TargetMode="External"/><Relationship Id="rId1170" Type="http://schemas.openxmlformats.org/officeDocument/2006/relationships/hyperlink" Target="mailto:bjorn.m.vdberg@gmail.com" TargetMode="External"/><Relationship Id="rId108" Type="http://schemas.openxmlformats.org/officeDocument/2006/relationships/hyperlink" Target="mailto:irene.klaassen@gmail.com" TargetMode="External"/><Relationship Id="rId1171" Type="http://schemas.openxmlformats.org/officeDocument/2006/relationships/hyperlink" Target="mailto:rosanne_miltenburg@hotmail.com" TargetMode="External"/><Relationship Id="rId583" Type="http://schemas.openxmlformats.org/officeDocument/2006/relationships/hyperlink" Target="mailto:beterboompje@robko.nl" TargetMode="External"/><Relationship Id="rId1172" Type="http://schemas.openxmlformats.org/officeDocument/2006/relationships/hyperlink" Target="mailto:amyvanoorschot@gmail.com" TargetMode="External"/><Relationship Id="rId582" Type="http://schemas.openxmlformats.org/officeDocument/2006/relationships/hyperlink" Target="mailto:marjoleinwaagmeester@hotmail.com" TargetMode="External"/><Relationship Id="rId1173" Type="http://schemas.openxmlformats.org/officeDocument/2006/relationships/hyperlink" Target="mailto:mwdtouw@gmail.com" TargetMode="External"/><Relationship Id="rId581" Type="http://schemas.openxmlformats.org/officeDocument/2006/relationships/hyperlink" Target="mailto:martijnlsimons@gmail.com" TargetMode="External"/><Relationship Id="rId1174" Type="http://schemas.openxmlformats.org/officeDocument/2006/relationships/hyperlink" Target="mailto:marit.daams@gmail.com" TargetMode="External"/><Relationship Id="rId580" Type="http://schemas.openxmlformats.org/officeDocument/2006/relationships/hyperlink" Target="mailto:josevanpul@hotmail.com" TargetMode="External"/><Relationship Id="rId1175" Type="http://schemas.openxmlformats.org/officeDocument/2006/relationships/hyperlink" Target="mailto:annemarie_beink@hotmail.com" TargetMode="External"/><Relationship Id="rId103" Type="http://schemas.openxmlformats.org/officeDocument/2006/relationships/hyperlink" Target="mailto:robinhoogbergen@gmail.com" TargetMode="External"/><Relationship Id="rId587" Type="http://schemas.openxmlformats.org/officeDocument/2006/relationships/hyperlink" Target="mailto:btmtermeer@gmail.com" TargetMode="External"/><Relationship Id="rId1176" Type="http://schemas.openxmlformats.org/officeDocument/2006/relationships/hyperlink" Target="mailto:ellenv772@gmail.com" TargetMode="External"/><Relationship Id="rId102" Type="http://schemas.openxmlformats.org/officeDocument/2006/relationships/hyperlink" Target="mailto:samvandenberg.92@gmail.com" TargetMode="External"/><Relationship Id="rId586" Type="http://schemas.openxmlformats.org/officeDocument/2006/relationships/hyperlink" Target="mailto:ruby.veninga@hotmail.com" TargetMode="External"/><Relationship Id="rId1177" Type="http://schemas.openxmlformats.org/officeDocument/2006/relationships/hyperlink" Target="mailto:manoemesters@hotmail.com" TargetMode="External"/><Relationship Id="rId101" Type="http://schemas.openxmlformats.org/officeDocument/2006/relationships/hyperlink" Target="mailto:mv.loon@hotmail.com" TargetMode="External"/><Relationship Id="rId585" Type="http://schemas.openxmlformats.org/officeDocument/2006/relationships/hyperlink" Target="mailto:davidzuilhof@hotmail.com" TargetMode="External"/><Relationship Id="rId1178" Type="http://schemas.openxmlformats.org/officeDocument/2006/relationships/hyperlink" Target="mailto:marthazmk@gmail.com" TargetMode="External"/><Relationship Id="rId100" Type="http://schemas.openxmlformats.org/officeDocument/2006/relationships/hyperlink" Target="mailto:suzannedoeland1@gmail.com" TargetMode="External"/><Relationship Id="rId584" Type="http://schemas.openxmlformats.org/officeDocument/2006/relationships/hyperlink" Target="mailto:brenda.alkemade@icloud.com" TargetMode="External"/><Relationship Id="rId1179" Type="http://schemas.openxmlformats.org/officeDocument/2006/relationships/hyperlink" Target="mailto:femke_aarts@icloud.com" TargetMode="External"/><Relationship Id="rId1169" Type="http://schemas.openxmlformats.org/officeDocument/2006/relationships/hyperlink" Target="mailto:leg.mastenbroek@gmail.com" TargetMode="External"/><Relationship Id="rId579" Type="http://schemas.openxmlformats.org/officeDocument/2006/relationships/hyperlink" Target="mailto:biancaelzebroek@gmail.com" TargetMode="External"/><Relationship Id="rId578" Type="http://schemas.openxmlformats.org/officeDocument/2006/relationships/hyperlink" Target="mailto:k.meurders@gmail.com" TargetMode="External"/><Relationship Id="rId577" Type="http://schemas.openxmlformats.org/officeDocument/2006/relationships/hyperlink" Target="mailto:esthersnoeks1@gmail.com" TargetMode="External"/><Relationship Id="rId1160" Type="http://schemas.openxmlformats.org/officeDocument/2006/relationships/hyperlink" Target="mailto:bijkea@gmail.com" TargetMode="External"/><Relationship Id="rId572" Type="http://schemas.openxmlformats.org/officeDocument/2006/relationships/hyperlink" Target="mailto:sarah.1205@hotmail.com" TargetMode="External"/><Relationship Id="rId1161" Type="http://schemas.openxmlformats.org/officeDocument/2006/relationships/hyperlink" Target="mailto:info@saskiabarth.nl" TargetMode="External"/><Relationship Id="rId571" Type="http://schemas.openxmlformats.org/officeDocument/2006/relationships/hyperlink" Target="mailto:philjose12@gmail.com" TargetMode="External"/><Relationship Id="rId1162" Type="http://schemas.openxmlformats.org/officeDocument/2006/relationships/hyperlink" Target="mailto:ljmathot@gmail.com" TargetMode="External"/><Relationship Id="rId570" Type="http://schemas.openxmlformats.org/officeDocument/2006/relationships/hyperlink" Target="mailto:Madelientje84@hotmail.com" TargetMode="External"/><Relationship Id="rId1163" Type="http://schemas.openxmlformats.org/officeDocument/2006/relationships/hyperlink" Target="mailto:kuipers.mirjam@gmail.com" TargetMode="External"/><Relationship Id="rId1164" Type="http://schemas.openxmlformats.org/officeDocument/2006/relationships/hyperlink" Target="mailto:halloels@hotmail.com" TargetMode="External"/><Relationship Id="rId576" Type="http://schemas.openxmlformats.org/officeDocument/2006/relationships/hyperlink" Target="mailto:juanpablo.cares@gmail.com" TargetMode="External"/><Relationship Id="rId1165" Type="http://schemas.openxmlformats.org/officeDocument/2006/relationships/hyperlink" Target="mailto:margherita.piroddi@gmail.com" TargetMode="External"/><Relationship Id="rId575" Type="http://schemas.openxmlformats.org/officeDocument/2006/relationships/hyperlink" Target="mailto:henkvandeneinden@gmail.com" TargetMode="External"/><Relationship Id="rId1166" Type="http://schemas.openxmlformats.org/officeDocument/2006/relationships/hyperlink" Target="mailto:cindymansens@gmail.com" TargetMode="External"/><Relationship Id="rId574" Type="http://schemas.openxmlformats.org/officeDocument/2006/relationships/hyperlink" Target="mailto:nadiaettinger124@gmail.com" TargetMode="External"/><Relationship Id="rId1167" Type="http://schemas.openxmlformats.org/officeDocument/2006/relationships/hyperlink" Target="mailto:monitsujimaru@gmail.com" TargetMode="External"/><Relationship Id="rId573" Type="http://schemas.openxmlformats.org/officeDocument/2006/relationships/hyperlink" Target="mailto:bente.yedema@gmail.com" TargetMode="External"/><Relationship Id="rId1168" Type="http://schemas.openxmlformats.org/officeDocument/2006/relationships/hyperlink" Target="mailto:mail@florencetonk.nl" TargetMode="External"/><Relationship Id="rId129" Type="http://schemas.openxmlformats.org/officeDocument/2006/relationships/hyperlink" Target="mailto:lja.maas@gmail.com" TargetMode="External"/><Relationship Id="rId128" Type="http://schemas.openxmlformats.org/officeDocument/2006/relationships/hyperlink" Target="mailto:saskiasteenmeijer@hotmail.com" TargetMode="External"/><Relationship Id="rId127" Type="http://schemas.openxmlformats.org/officeDocument/2006/relationships/hyperlink" Target="mailto:solveigvandervegt@gmail.com" TargetMode="External"/><Relationship Id="rId126" Type="http://schemas.openxmlformats.org/officeDocument/2006/relationships/hyperlink" Target="mailto:rivkah@rivkahzeeman.nl" TargetMode="External"/><Relationship Id="rId1190" Type="http://schemas.openxmlformats.org/officeDocument/2006/relationships/hyperlink" Target="mailto:jireelverhage@gmail.com" TargetMode="External"/><Relationship Id="rId1191" Type="http://schemas.openxmlformats.org/officeDocument/2006/relationships/hyperlink" Target="mailto:evalindevanwinden@gmail.com" TargetMode="External"/><Relationship Id="rId1192" Type="http://schemas.openxmlformats.org/officeDocument/2006/relationships/hyperlink" Target="mailto:boersma_devries@kpnmail.nl" TargetMode="External"/><Relationship Id="rId1193" Type="http://schemas.openxmlformats.org/officeDocument/2006/relationships/hyperlink" Target="mailto:anita.vanderlugt@chello.nl" TargetMode="External"/><Relationship Id="rId121" Type="http://schemas.openxmlformats.org/officeDocument/2006/relationships/hyperlink" Target="mailto:hbaars@redcross.nl" TargetMode="External"/><Relationship Id="rId1194" Type="http://schemas.openxmlformats.org/officeDocument/2006/relationships/hyperlink" Target="mailto:nooruitamsterdam@gmail.com" TargetMode="External"/><Relationship Id="rId120" Type="http://schemas.openxmlformats.org/officeDocument/2006/relationships/hyperlink" Target="mailto:audrey.ledanois@gmail.com" TargetMode="External"/><Relationship Id="rId1195" Type="http://schemas.openxmlformats.org/officeDocument/2006/relationships/hyperlink" Target="mailto:irene.vanwinkel@gmail.com" TargetMode="External"/><Relationship Id="rId1196" Type="http://schemas.openxmlformats.org/officeDocument/2006/relationships/hyperlink" Target="mailto:juriaan.marie@gmail.com" TargetMode="External"/><Relationship Id="rId1197" Type="http://schemas.openxmlformats.org/officeDocument/2006/relationships/hyperlink" Target="mailto:mareilezuber@gmail.com" TargetMode="External"/><Relationship Id="rId125" Type="http://schemas.openxmlformats.org/officeDocument/2006/relationships/hyperlink" Target="mailto:benspeas@hotmail.co.uk" TargetMode="External"/><Relationship Id="rId1198" Type="http://schemas.openxmlformats.org/officeDocument/2006/relationships/hyperlink" Target="mailto:melissa.i.dejong@hotmail.com" TargetMode="External"/><Relationship Id="rId124" Type="http://schemas.openxmlformats.org/officeDocument/2006/relationships/hyperlink" Target="mailto:dewolf151@gmail.com" TargetMode="External"/><Relationship Id="rId1199" Type="http://schemas.openxmlformats.org/officeDocument/2006/relationships/hyperlink" Target="mailto:ferdi.verhulst@gmail.com" TargetMode="External"/><Relationship Id="rId123" Type="http://schemas.openxmlformats.org/officeDocument/2006/relationships/hyperlink" Target="mailto:l.den.ottolander@gmail.com" TargetMode="External"/><Relationship Id="rId122" Type="http://schemas.openxmlformats.org/officeDocument/2006/relationships/hyperlink" Target="mailto:vanrijnnina14@gmail.com" TargetMode="External"/><Relationship Id="rId118" Type="http://schemas.openxmlformats.org/officeDocument/2006/relationships/hyperlink" Target="mailto:j.c.pleizier@gmail.com" TargetMode="External"/><Relationship Id="rId117" Type="http://schemas.openxmlformats.org/officeDocument/2006/relationships/hyperlink" Target="mailto:elsavanwassenaer@gmail.com" TargetMode="External"/><Relationship Id="rId116" Type="http://schemas.openxmlformats.org/officeDocument/2006/relationships/hyperlink" Target="mailto:laurasophiahunfeld@gmail.com" TargetMode="External"/><Relationship Id="rId115" Type="http://schemas.openxmlformats.org/officeDocument/2006/relationships/hyperlink" Target="mailto:vitalie_goubitz@hotmail.com" TargetMode="External"/><Relationship Id="rId599" Type="http://schemas.openxmlformats.org/officeDocument/2006/relationships/hyperlink" Target="mailto:gielen.jf@gmail.com" TargetMode="External"/><Relationship Id="rId1180" Type="http://schemas.openxmlformats.org/officeDocument/2006/relationships/hyperlink" Target="mailto:geeskedejong1965@gmail.com" TargetMode="External"/><Relationship Id="rId1181" Type="http://schemas.openxmlformats.org/officeDocument/2006/relationships/hyperlink" Target="mailto:eunice_nl@hotmail.com" TargetMode="External"/><Relationship Id="rId119" Type="http://schemas.openxmlformats.org/officeDocument/2006/relationships/hyperlink" Target="mailto:vreemannicole@hotmail.com" TargetMode="External"/><Relationship Id="rId1182" Type="http://schemas.openxmlformats.org/officeDocument/2006/relationships/hyperlink" Target="mailto:cachijl69@gmail.com" TargetMode="External"/><Relationship Id="rId110" Type="http://schemas.openxmlformats.org/officeDocument/2006/relationships/hyperlink" Target="mailto:suus_shop@live.nl" TargetMode="External"/><Relationship Id="rId594" Type="http://schemas.openxmlformats.org/officeDocument/2006/relationships/hyperlink" Target="mailto:stephanietillieux@gmail.com" TargetMode="External"/><Relationship Id="rId1183" Type="http://schemas.openxmlformats.org/officeDocument/2006/relationships/hyperlink" Target="mailto:noorheerkens@hotmail.com" TargetMode="External"/><Relationship Id="rId593" Type="http://schemas.openxmlformats.org/officeDocument/2006/relationships/hyperlink" Target="mailto:riannesteenbeek@live.nl" TargetMode="External"/><Relationship Id="rId1184" Type="http://schemas.openxmlformats.org/officeDocument/2006/relationships/hyperlink" Target="mailto:raulterlinden@mac.com" TargetMode="External"/><Relationship Id="rId592" Type="http://schemas.openxmlformats.org/officeDocument/2006/relationships/hyperlink" Target="mailto:lisanne_drinhuyzen@hotmail.com" TargetMode="External"/><Relationship Id="rId1185" Type="http://schemas.openxmlformats.org/officeDocument/2006/relationships/hyperlink" Target="mailto:fennavanraaij@live.nl" TargetMode="External"/><Relationship Id="rId591" Type="http://schemas.openxmlformats.org/officeDocument/2006/relationships/hyperlink" Target="mailto:sabineoudt@hotmail.com" TargetMode="External"/><Relationship Id="rId1186" Type="http://schemas.openxmlformats.org/officeDocument/2006/relationships/hyperlink" Target="mailto:zalm.hooft@gmail.com" TargetMode="External"/><Relationship Id="rId114" Type="http://schemas.openxmlformats.org/officeDocument/2006/relationships/hyperlink" Target="mailto:anouk.vankolfschoten@gmail.com" TargetMode="External"/><Relationship Id="rId598" Type="http://schemas.openxmlformats.org/officeDocument/2006/relationships/hyperlink" Target="mailto:design@joran.eu" TargetMode="External"/><Relationship Id="rId1187" Type="http://schemas.openxmlformats.org/officeDocument/2006/relationships/hyperlink" Target="mailto:marieka.portegies@live.nl" TargetMode="External"/><Relationship Id="rId113" Type="http://schemas.openxmlformats.org/officeDocument/2006/relationships/hyperlink" Target="mailto:bvanhagen@gmail.com" TargetMode="External"/><Relationship Id="rId597" Type="http://schemas.openxmlformats.org/officeDocument/2006/relationships/hyperlink" Target="mailto:stefanieknijnenburg@hotmail.com" TargetMode="External"/><Relationship Id="rId1188" Type="http://schemas.openxmlformats.org/officeDocument/2006/relationships/hyperlink" Target="mailto:vangorprenee@gmail.com" TargetMode="External"/><Relationship Id="rId112" Type="http://schemas.openxmlformats.org/officeDocument/2006/relationships/hyperlink" Target="mailto:eim.niessen@gmail.com" TargetMode="External"/><Relationship Id="rId596" Type="http://schemas.openxmlformats.org/officeDocument/2006/relationships/hyperlink" Target="mailto:jolanda.sinha@gmail.com" TargetMode="External"/><Relationship Id="rId1189" Type="http://schemas.openxmlformats.org/officeDocument/2006/relationships/hyperlink" Target="mailto:info@coriendriessen.nl" TargetMode="External"/><Relationship Id="rId111" Type="http://schemas.openxmlformats.org/officeDocument/2006/relationships/hyperlink" Target="mailto:noesjkavandrie@gmail.com" TargetMode="External"/><Relationship Id="rId595" Type="http://schemas.openxmlformats.org/officeDocument/2006/relationships/hyperlink" Target="mailto:a.j.k.brownie@gmail.com" TargetMode="External"/><Relationship Id="rId1136" Type="http://schemas.openxmlformats.org/officeDocument/2006/relationships/hyperlink" Target="mailto:ndenboon@gmail.com" TargetMode="External"/><Relationship Id="rId1137" Type="http://schemas.openxmlformats.org/officeDocument/2006/relationships/hyperlink" Target="mailto:sashaventure@gmail.com" TargetMode="External"/><Relationship Id="rId1138" Type="http://schemas.openxmlformats.org/officeDocument/2006/relationships/hyperlink" Target="mailto:florisvandenbos@gmail.com" TargetMode="External"/><Relationship Id="rId1139" Type="http://schemas.openxmlformats.org/officeDocument/2006/relationships/hyperlink" Target="mailto:bardo.pfaff@gmail.com" TargetMode="External"/><Relationship Id="rId547" Type="http://schemas.openxmlformats.org/officeDocument/2006/relationships/hyperlink" Target="mailto:bvanbaal@gmail.com" TargetMode="External"/><Relationship Id="rId546" Type="http://schemas.openxmlformats.org/officeDocument/2006/relationships/hyperlink" Target="mailto:madeleinedehaan@hotmail.com" TargetMode="External"/><Relationship Id="rId545" Type="http://schemas.openxmlformats.org/officeDocument/2006/relationships/hyperlink" Target="mailto:carolaheijs@gmail.com" TargetMode="External"/><Relationship Id="rId544" Type="http://schemas.openxmlformats.org/officeDocument/2006/relationships/hyperlink" Target="mailto:m_enneking@hotmail.com" TargetMode="External"/><Relationship Id="rId549" Type="http://schemas.openxmlformats.org/officeDocument/2006/relationships/hyperlink" Target="mailto:marjolijnvanderhoek@yahoo.com" TargetMode="External"/><Relationship Id="rId548" Type="http://schemas.openxmlformats.org/officeDocument/2006/relationships/hyperlink" Target="mailto:nick.kelderman@gmail.com" TargetMode="External"/><Relationship Id="rId1130" Type="http://schemas.openxmlformats.org/officeDocument/2006/relationships/hyperlink" Target="mailto:moniek.tersmette@gmail.com" TargetMode="External"/><Relationship Id="rId1131" Type="http://schemas.openxmlformats.org/officeDocument/2006/relationships/hyperlink" Target="mailto:moniek.tersmette@gmail.com" TargetMode="External"/><Relationship Id="rId543" Type="http://schemas.openxmlformats.org/officeDocument/2006/relationships/hyperlink" Target="mailto:remokleij@gmail.com" TargetMode="External"/><Relationship Id="rId1132" Type="http://schemas.openxmlformats.org/officeDocument/2006/relationships/hyperlink" Target="mailto:bertinabroekman@hotmail.com" TargetMode="External"/><Relationship Id="rId542" Type="http://schemas.openxmlformats.org/officeDocument/2006/relationships/hyperlink" Target="mailto:enobbenhuis@gmail.com" TargetMode="External"/><Relationship Id="rId1133" Type="http://schemas.openxmlformats.org/officeDocument/2006/relationships/hyperlink" Target="mailto:sarah.pilcer@gmail.com" TargetMode="External"/><Relationship Id="rId541" Type="http://schemas.openxmlformats.org/officeDocument/2006/relationships/hyperlink" Target="mailto:aimeehonig@gmail.com" TargetMode="External"/><Relationship Id="rId1134" Type="http://schemas.openxmlformats.org/officeDocument/2006/relationships/hyperlink" Target="mailto:jerry.smith.nl@gmail.com" TargetMode="External"/><Relationship Id="rId540" Type="http://schemas.openxmlformats.org/officeDocument/2006/relationships/hyperlink" Target="mailto:michielrigters@gmail.com" TargetMode="External"/><Relationship Id="rId1135" Type="http://schemas.openxmlformats.org/officeDocument/2006/relationships/hyperlink" Target="mailto:sannedietz23@gmail.com" TargetMode="External"/><Relationship Id="rId1125" Type="http://schemas.openxmlformats.org/officeDocument/2006/relationships/hyperlink" Target="mailto:aukje.vanweert@gmail.com" TargetMode="External"/><Relationship Id="rId1126" Type="http://schemas.openxmlformats.org/officeDocument/2006/relationships/hyperlink" Target="mailto:marijedeul@gmail.com" TargetMode="External"/><Relationship Id="rId1127" Type="http://schemas.openxmlformats.org/officeDocument/2006/relationships/hyperlink" Target="mailto:maikemertens@gmail.com" TargetMode="External"/><Relationship Id="rId1128" Type="http://schemas.openxmlformats.org/officeDocument/2006/relationships/hyperlink" Target="mailto:fleurschaap@me.com" TargetMode="External"/><Relationship Id="rId1129" Type="http://schemas.openxmlformats.org/officeDocument/2006/relationships/hyperlink" Target="mailto:moniek.tersmette@gmail.com" TargetMode="External"/><Relationship Id="rId536" Type="http://schemas.openxmlformats.org/officeDocument/2006/relationships/hyperlink" Target="mailto:marleensdegraaf@hotmail.com" TargetMode="External"/><Relationship Id="rId535" Type="http://schemas.openxmlformats.org/officeDocument/2006/relationships/hyperlink" Target="mailto:dijkstra.annemarijn@gmail.com" TargetMode="External"/><Relationship Id="rId534" Type="http://schemas.openxmlformats.org/officeDocument/2006/relationships/hyperlink" Target="mailto:vergeerbroos@gmail.com" TargetMode="External"/><Relationship Id="rId533" Type="http://schemas.openxmlformats.org/officeDocument/2006/relationships/hyperlink" Target="mailto:mhbottelier@gmail.com" TargetMode="External"/><Relationship Id="rId539" Type="http://schemas.openxmlformats.org/officeDocument/2006/relationships/hyperlink" Target="mailto:francescahobbs1@gmail.com" TargetMode="External"/><Relationship Id="rId538" Type="http://schemas.openxmlformats.org/officeDocument/2006/relationships/hyperlink" Target="mailto:stefanduikerslootdesign@gmail.com" TargetMode="External"/><Relationship Id="rId537" Type="http://schemas.openxmlformats.org/officeDocument/2006/relationships/hyperlink" Target="mailto:annewilklont@gmail.com" TargetMode="External"/><Relationship Id="rId1120" Type="http://schemas.openxmlformats.org/officeDocument/2006/relationships/hyperlink" Target="mailto:bastiaanse.schalkwijk@gmail.com" TargetMode="External"/><Relationship Id="rId532" Type="http://schemas.openxmlformats.org/officeDocument/2006/relationships/hyperlink" Target="mailto:famdocherty@gmail.com" TargetMode="External"/><Relationship Id="rId1121" Type="http://schemas.openxmlformats.org/officeDocument/2006/relationships/hyperlink" Target="mailto:woutervdprive@gmail.com" TargetMode="External"/><Relationship Id="rId531" Type="http://schemas.openxmlformats.org/officeDocument/2006/relationships/hyperlink" Target="mailto:quirinefaber@hotmail.com" TargetMode="External"/><Relationship Id="rId1122" Type="http://schemas.openxmlformats.org/officeDocument/2006/relationships/hyperlink" Target="mailto:ankevalkhof@gmail.com" TargetMode="External"/><Relationship Id="rId530" Type="http://schemas.openxmlformats.org/officeDocument/2006/relationships/hyperlink" Target="mailto:fstadhouders@msn.com" TargetMode="External"/><Relationship Id="rId1123" Type="http://schemas.openxmlformats.org/officeDocument/2006/relationships/hyperlink" Target="mailto:lucienneschreurs@hotmail.com" TargetMode="External"/><Relationship Id="rId1124" Type="http://schemas.openxmlformats.org/officeDocument/2006/relationships/hyperlink" Target="mailto:ruthvandervalk@gmail.com" TargetMode="External"/><Relationship Id="rId1158" Type="http://schemas.openxmlformats.org/officeDocument/2006/relationships/hyperlink" Target="mailto:ddebode@gmail.com" TargetMode="External"/><Relationship Id="rId1159" Type="http://schemas.openxmlformats.org/officeDocument/2006/relationships/hyperlink" Target="mailto:arianneniks@gmail.com" TargetMode="External"/><Relationship Id="rId569" Type="http://schemas.openxmlformats.org/officeDocument/2006/relationships/hyperlink" Target="mailto:quirinesmit@hotmail.com" TargetMode="External"/><Relationship Id="rId568" Type="http://schemas.openxmlformats.org/officeDocument/2006/relationships/hyperlink" Target="mailto:ester.theuerzeit@gmail.com" TargetMode="External"/><Relationship Id="rId567" Type="http://schemas.openxmlformats.org/officeDocument/2006/relationships/hyperlink" Target="mailto:libeth.feith@gmail.com" TargetMode="External"/><Relationship Id="rId566" Type="http://schemas.openxmlformats.org/officeDocument/2006/relationships/hyperlink" Target="mailto:bjl.keijsers@gmail.com" TargetMode="External"/><Relationship Id="rId561" Type="http://schemas.openxmlformats.org/officeDocument/2006/relationships/hyperlink" Target="mailto:a.heinhuis@gmail.com" TargetMode="External"/><Relationship Id="rId1150" Type="http://schemas.openxmlformats.org/officeDocument/2006/relationships/hyperlink" Target="mailto:janice.reul@gmail.com" TargetMode="External"/><Relationship Id="rId560" Type="http://schemas.openxmlformats.org/officeDocument/2006/relationships/hyperlink" Target="mailto:jwvandervoort@hotmail.com" TargetMode="External"/><Relationship Id="rId1151" Type="http://schemas.openxmlformats.org/officeDocument/2006/relationships/hyperlink" Target="mailto:vivatherapybarcelona@gmail.com" TargetMode="External"/><Relationship Id="rId1152" Type="http://schemas.openxmlformats.org/officeDocument/2006/relationships/hyperlink" Target="mailto:annevdoorn@gmail.com" TargetMode="External"/><Relationship Id="rId1153" Type="http://schemas.openxmlformats.org/officeDocument/2006/relationships/hyperlink" Target="mailto:helenedewinter@gmail.com" TargetMode="External"/><Relationship Id="rId565" Type="http://schemas.openxmlformats.org/officeDocument/2006/relationships/hyperlink" Target="mailto:fejvalk@gmail.com" TargetMode="External"/><Relationship Id="rId1154" Type="http://schemas.openxmlformats.org/officeDocument/2006/relationships/hyperlink" Target="mailto:ncgieles@gmail.com" TargetMode="External"/><Relationship Id="rId564" Type="http://schemas.openxmlformats.org/officeDocument/2006/relationships/hyperlink" Target="mailto:mvanpijlen67@ziggo.nl" TargetMode="External"/><Relationship Id="rId1155" Type="http://schemas.openxmlformats.org/officeDocument/2006/relationships/hyperlink" Target="mailto:honeyjoneshughes@icloud.com" TargetMode="External"/><Relationship Id="rId563" Type="http://schemas.openxmlformats.org/officeDocument/2006/relationships/hyperlink" Target="mailto:machteldvandergrift@gmail.com" TargetMode="External"/><Relationship Id="rId1156" Type="http://schemas.openxmlformats.org/officeDocument/2006/relationships/hyperlink" Target="mailto:kuijpers.myrthe@gmail.com" TargetMode="External"/><Relationship Id="rId562" Type="http://schemas.openxmlformats.org/officeDocument/2006/relationships/hyperlink" Target="mailto:fgoddijn@gmail.com" TargetMode="External"/><Relationship Id="rId1157" Type="http://schemas.openxmlformats.org/officeDocument/2006/relationships/hyperlink" Target="mailto:vittoria@rocketmail.com" TargetMode="External"/><Relationship Id="rId1147" Type="http://schemas.openxmlformats.org/officeDocument/2006/relationships/hyperlink" Target="mailto:iljadijkstra@live.nl" TargetMode="External"/><Relationship Id="rId1148" Type="http://schemas.openxmlformats.org/officeDocument/2006/relationships/hyperlink" Target="mailto:sannebroers@gmail.com" TargetMode="External"/><Relationship Id="rId1149" Type="http://schemas.openxmlformats.org/officeDocument/2006/relationships/hyperlink" Target="mailto:sannalangereis@gmail.com" TargetMode="External"/><Relationship Id="rId558" Type="http://schemas.openxmlformats.org/officeDocument/2006/relationships/hyperlink" Target="mailto:yasminfisser@outlook.com" TargetMode="External"/><Relationship Id="rId557" Type="http://schemas.openxmlformats.org/officeDocument/2006/relationships/hyperlink" Target="mailto:inge66.IR@gmail.com" TargetMode="External"/><Relationship Id="rId556" Type="http://schemas.openxmlformats.org/officeDocument/2006/relationships/hyperlink" Target="mailto:samantha.neary@hotmail.co.uk" TargetMode="External"/><Relationship Id="rId555" Type="http://schemas.openxmlformats.org/officeDocument/2006/relationships/hyperlink" Target="mailto:claudiadingen@gmail.com" TargetMode="External"/><Relationship Id="rId559" Type="http://schemas.openxmlformats.org/officeDocument/2006/relationships/hyperlink" Target="mailto:hansnollet@outlook.com" TargetMode="External"/><Relationship Id="rId550" Type="http://schemas.openxmlformats.org/officeDocument/2006/relationships/hyperlink" Target="mailto:jessope@hotmail.com" TargetMode="External"/><Relationship Id="rId1140" Type="http://schemas.openxmlformats.org/officeDocument/2006/relationships/hyperlink" Target="mailto:stz.lisa@gmail.com" TargetMode="External"/><Relationship Id="rId1141" Type="http://schemas.openxmlformats.org/officeDocument/2006/relationships/hyperlink" Target="mailto:alvheemstra@gmail.com" TargetMode="External"/><Relationship Id="rId1142" Type="http://schemas.openxmlformats.org/officeDocument/2006/relationships/hyperlink" Target="mailto:mijnmijntje@gmail.com" TargetMode="External"/><Relationship Id="rId554" Type="http://schemas.openxmlformats.org/officeDocument/2006/relationships/hyperlink" Target="mailto:leorasmits72@gmail.com" TargetMode="External"/><Relationship Id="rId1143" Type="http://schemas.openxmlformats.org/officeDocument/2006/relationships/hyperlink" Target="mailto:helgameijer@gmail.com" TargetMode="External"/><Relationship Id="rId553" Type="http://schemas.openxmlformats.org/officeDocument/2006/relationships/hyperlink" Target="mailto:willemijnschreur@hotmail.com" TargetMode="External"/><Relationship Id="rId1144" Type="http://schemas.openxmlformats.org/officeDocument/2006/relationships/hyperlink" Target="mailto:mhopster@xs4all.nl" TargetMode="External"/><Relationship Id="rId552" Type="http://schemas.openxmlformats.org/officeDocument/2006/relationships/hyperlink" Target="mailto:oosterbroek84@gmail.com" TargetMode="External"/><Relationship Id="rId1145" Type="http://schemas.openxmlformats.org/officeDocument/2006/relationships/hyperlink" Target="mailto:pmpoelman@gmail.com" TargetMode="External"/><Relationship Id="rId551" Type="http://schemas.openxmlformats.org/officeDocument/2006/relationships/hyperlink" Target="mailto:edithe.rot@gmail.com" TargetMode="External"/><Relationship Id="rId1146" Type="http://schemas.openxmlformats.org/officeDocument/2006/relationships/hyperlink" Target="mailto:stefenbijwaard@hotmail.com" TargetMode="External"/><Relationship Id="rId495" Type="http://schemas.openxmlformats.org/officeDocument/2006/relationships/hyperlink" Target="mailto:pero.vandenberg@gmail.com" TargetMode="External"/><Relationship Id="rId494" Type="http://schemas.openxmlformats.org/officeDocument/2006/relationships/hyperlink" Target="mailto:laurameurs1@gmail.com" TargetMode="External"/><Relationship Id="rId493" Type="http://schemas.openxmlformats.org/officeDocument/2006/relationships/hyperlink" Target="mailto:joost_giesberts@hotmail.com" TargetMode="External"/><Relationship Id="rId492" Type="http://schemas.openxmlformats.org/officeDocument/2006/relationships/hyperlink" Target="mailto:info@depolderij.nl" TargetMode="External"/><Relationship Id="rId499" Type="http://schemas.openxmlformats.org/officeDocument/2006/relationships/hyperlink" Target="mailto:willekenaaktgeboren@gmail.com" TargetMode="External"/><Relationship Id="rId498" Type="http://schemas.openxmlformats.org/officeDocument/2006/relationships/hyperlink" Target="mailto:petersth@xs4all.nl" TargetMode="External"/><Relationship Id="rId497" Type="http://schemas.openxmlformats.org/officeDocument/2006/relationships/hyperlink" Target="mailto:maitavermeulen@gmail.com" TargetMode="External"/><Relationship Id="rId496" Type="http://schemas.openxmlformats.org/officeDocument/2006/relationships/hyperlink" Target="mailto:jannekevanegmond@gmail.com" TargetMode="External"/><Relationship Id="rId1610" Type="http://schemas.openxmlformats.org/officeDocument/2006/relationships/hyperlink" Target="mailto:thijsvdmolen@gmail.com" TargetMode="External"/><Relationship Id="rId1611" Type="http://schemas.openxmlformats.org/officeDocument/2006/relationships/hyperlink" Target="mailto:tijscornelisvandevijver@gmail.com" TargetMode="External"/><Relationship Id="rId1612" Type="http://schemas.openxmlformats.org/officeDocument/2006/relationships/hyperlink" Target="mailto:mvgr1975@outlook.com" TargetMode="External"/><Relationship Id="rId1613" Type="http://schemas.openxmlformats.org/officeDocument/2006/relationships/hyperlink" Target="mailto:anengeert@gmail.com" TargetMode="External"/><Relationship Id="rId1614" Type="http://schemas.openxmlformats.org/officeDocument/2006/relationships/hyperlink" Target="mailto:frederikeriemer@gmail.com" TargetMode="External"/><Relationship Id="rId1615" Type="http://schemas.openxmlformats.org/officeDocument/2006/relationships/hyperlink" Target="mailto:julimuijderman@yahoo.com" TargetMode="External"/><Relationship Id="rId1616" Type="http://schemas.openxmlformats.org/officeDocument/2006/relationships/hyperlink" Target="mailto:annedehaij@gmail.com" TargetMode="External"/><Relationship Id="rId907" Type="http://schemas.openxmlformats.org/officeDocument/2006/relationships/hyperlink" Target="mailto:sophie.vansark@hotmail.com" TargetMode="External"/><Relationship Id="rId1617" Type="http://schemas.openxmlformats.org/officeDocument/2006/relationships/hyperlink" Target="mailto:romykamstra@hotmail.com" TargetMode="External"/><Relationship Id="rId906" Type="http://schemas.openxmlformats.org/officeDocument/2006/relationships/hyperlink" Target="mailto:kjreeves8@gmail.com" TargetMode="External"/><Relationship Id="rId1618" Type="http://schemas.openxmlformats.org/officeDocument/2006/relationships/hyperlink" Target="mailto:m.c.verweij@gmail.com" TargetMode="External"/><Relationship Id="rId905" Type="http://schemas.openxmlformats.org/officeDocument/2006/relationships/hyperlink" Target="mailto:sannewildbret@live.nl" TargetMode="External"/><Relationship Id="rId1619" Type="http://schemas.openxmlformats.org/officeDocument/2006/relationships/hyperlink" Target="mailto:bijlkoet@outlook.com" TargetMode="External"/><Relationship Id="rId904" Type="http://schemas.openxmlformats.org/officeDocument/2006/relationships/hyperlink" Target="mailto:lara_loeffen@hotmail.com" TargetMode="External"/><Relationship Id="rId909" Type="http://schemas.openxmlformats.org/officeDocument/2006/relationships/hyperlink" Target="mailto:jeannetnuman@gmail.com" TargetMode="External"/><Relationship Id="rId908" Type="http://schemas.openxmlformats.org/officeDocument/2006/relationships/hyperlink" Target="mailto:tjeerdmelchers@gmail.com" TargetMode="External"/><Relationship Id="rId903" Type="http://schemas.openxmlformats.org/officeDocument/2006/relationships/hyperlink" Target="mailto:flore.leroy@yahoo.fr" TargetMode="External"/><Relationship Id="rId902" Type="http://schemas.openxmlformats.org/officeDocument/2006/relationships/hyperlink" Target="mailto:c.dijkshoorn@hotmail.com" TargetMode="External"/><Relationship Id="rId901" Type="http://schemas.openxmlformats.org/officeDocument/2006/relationships/hyperlink" Target="mailto:mdesiderio2512@gmail.com" TargetMode="External"/><Relationship Id="rId900" Type="http://schemas.openxmlformats.org/officeDocument/2006/relationships/hyperlink" Target="mailto:josee@goldfinch.es" TargetMode="External"/><Relationship Id="rId1600" Type="http://schemas.openxmlformats.org/officeDocument/2006/relationships/hyperlink" Target="mailto:lotte.john@outlook.com" TargetMode="External"/><Relationship Id="rId1601" Type="http://schemas.openxmlformats.org/officeDocument/2006/relationships/hyperlink" Target="mailto:anneke.volp@gmail.com" TargetMode="External"/><Relationship Id="rId1602" Type="http://schemas.openxmlformats.org/officeDocument/2006/relationships/hyperlink" Target="mailto:marlouhoeksma@gmail.com" TargetMode="External"/><Relationship Id="rId1603" Type="http://schemas.openxmlformats.org/officeDocument/2006/relationships/hyperlink" Target="mailto:veerleleenknegt@hotmail.com" TargetMode="External"/><Relationship Id="rId1604" Type="http://schemas.openxmlformats.org/officeDocument/2006/relationships/hyperlink" Target="mailto:ae.bron@gmail.com" TargetMode="External"/><Relationship Id="rId1605" Type="http://schemas.openxmlformats.org/officeDocument/2006/relationships/hyperlink" Target="mailto:vantuilnicole@gmail.com" TargetMode="External"/><Relationship Id="rId1606" Type="http://schemas.openxmlformats.org/officeDocument/2006/relationships/hyperlink" Target="mailto:conrad307@hotmail.com" TargetMode="External"/><Relationship Id="rId1607" Type="http://schemas.openxmlformats.org/officeDocument/2006/relationships/hyperlink" Target="mailto:fionasjouken@gmail.com" TargetMode="External"/><Relationship Id="rId1608" Type="http://schemas.openxmlformats.org/officeDocument/2006/relationships/hyperlink" Target="mailto:nydiavanvoorthuizen@gmail.com" TargetMode="External"/><Relationship Id="rId1609" Type="http://schemas.openxmlformats.org/officeDocument/2006/relationships/hyperlink" Target="mailto:milanbaars92@gmail.com" TargetMode="External"/><Relationship Id="rId1631" Type="http://schemas.openxmlformats.org/officeDocument/2006/relationships/hyperlink" Target="mailto:dieuwertjepoot@outlook.com" TargetMode="External"/><Relationship Id="rId1632" Type="http://schemas.openxmlformats.org/officeDocument/2006/relationships/hyperlink" Target="mailto:ymkedevries1991@gmail.com" TargetMode="External"/><Relationship Id="rId1633" Type="http://schemas.openxmlformats.org/officeDocument/2006/relationships/hyperlink" Target="mailto:marciahugo17@gmail.com" TargetMode="External"/><Relationship Id="rId1634" Type="http://schemas.openxmlformats.org/officeDocument/2006/relationships/hyperlink" Target="mailto:marielottehagen@gmail.com" TargetMode="External"/><Relationship Id="rId1635" Type="http://schemas.openxmlformats.org/officeDocument/2006/relationships/hyperlink" Target="mailto:evelienbijl@hotmail.com" TargetMode="External"/><Relationship Id="rId1636" Type="http://schemas.openxmlformats.org/officeDocument/2006/relationships/hyperlink" Target="mailto:jacqhpvrolijk@gmail.com" TargetMode="External"/><Relationship Id="rId1637" Type="http://schemas.openxmlformats.org/officeDocument/2006/relationships/hyperlink" Target="mailto:lukasvansantvoort@gmail.com" TargetMode="External"/><Relationship Id="rId1638" Type="http://schemas.openxmlformats.org/officeDocument/2006/relationships/hyperlink" Target="mailto:sophie.brouwer@planet.nl" TargetMode="External"/><Relationship Id="rId929" Type="http://schemas.openxmlformats.org/officeDocument/2006/relationships/hyperlink" Target="mailto:maartjebergmeijer@hotmail.com" TargetMode="External"/><Relationship Id="rId1639" Type="http://schemas.openxmlformats.org/officeDocument/2006/relationships/hyperlink" Target="mailto:liselotte.out@gmail.com" TargetMode="External"/><Relationship Id="rId928" Type="http://schemas.openxmlformats.org/officeDocument/2006/relationships/hyperlink" Target="mailto:heijstraten@yahoo.com" TargetMode="External"/><Relationship Id="rId927" Type="http://schemas.openxmlformats.org/officeDocument/2006/relationships/hyperlink" Target="mailto:evavanwesterlaak@gmail.com" TargetMode="External"/><Relationship Id="rId926" Type="http://schemas.openxmlformats.org/officeDocument/2006/relationships/hyperlink" Target="mailto:magalie.carlucci@gmail.com" TargetMode="External"/><Relationship Id="rId921" Type="http://schemas.openxmlformats.org/officeDocument/2006/relationships/hyperlink" Target="mailto:horn.tammi@gmail.com" TargetMode="External"/><Relationship Id="rId920" Type="http://schemas.openxmlformats.org/officeDocument/2006/relationships/hyperlink" Target="mailto:mariekepaulinevandenberg@gmail.com" TargetMode="External"/><Relationship Id="rId925" Type="http://schemas.openxmlformats.org/officeDocument/2006/relationships/hyperlink" Target="mailto:s.bakker39@gmail.com" TargetMode="External"/><Relationship Id="rId924" Type="http://schemas.openxmlformats.org/officeDocument/2006/relationships/hyperlink" Target="mailto:nickliefhebber@gmail.com" TargetMode="External"/><Relationship Id="rId923" Type="http://schemas.openxmlformats.org/officeDocument/2006/relationships/hyperlink" Target="mailto:mereltuinenburg@hotmail.com" TargetMode="External"/><Relationship Id="rId922" Type="http://schemas.openxmlformats.org/officeDocument/2006/relationships/hyperlink" Target="mailto:kloosmf@gmail.com" TargetMode="External"/><Relationship Id="rId1630" Type="http://schemas.openxmlformats.org/officeDocument/2006/relationships/hyperlink" Target="mailto:jonasvannijnatten@gmail.com" TargetMode="External"/><Relationship Id="rId1620" Type="http://schemas.openxmlformats.org/officeDocument/2006/relationships/hyperlink" Target="mailto:oscar.schalk@gmail.com" TargetMode="External"/><Relationship Id="rId1621" Type="http://schemas.openxmlformats.org/officeDocument/2006/relationships/hyperlink" Target="mailto:myriam.bruijne@gmail.com" TargetMode="External"/><Relationship Id="rId1622" Type="http://schemas.openxmlformats.org/officeDocument/2006/relationships/hyperlink" Target="mailto:wiekecool@hotmail.com" TargetMode="External"/><Relationship Id="rId1623" Type="http://schemas.openxmlformats.org/officeDocument/2006/relationships/hyperlink" Target="mailto:juriaanvissers@gmail.com" TargetMode="External"/><Relationship Id="rId1624" Type="http://schemas.openxmlformats.org/officeDocument/2006/relationships/hyperlink" Target="mailto:vissernick@live.nl" TargetMode="External"/><Relationship Id="rId1625" Type="http://schemas.openxmlformats.org/officeDocument/2006/relationships/hyperlink" Target="mailto:renebwanika@gmail.com" TargetMode="External"/><Relationship Id="rId1626" Type="http://schemas.openxmlformats.org/officeDocument/2006/relationships/hyperlink" Target="mailto:tessa0004@hotmail.com" TargetMode="External"/><Relationship Id="rId1627" Type="http://schemas.openxmlformats.org/officeDocument/2006/relationships/hyperlink" Target="mailto:annabrinkers@hotmail.com" TargetMode="External"/><Relationship Id="rId918" Type="http://schemas.openxmlformats.org/officeDocument/2006/relationships/hyperlink" Target="mailto:mevrouw.manon@gmail.com" TargetMode="External"/><Relationship Id="rId1628" Type="http://schemas.openxmlformats.org/officeDocument/2006/relationships/hyperlink" Target="mailto:margotrecter@gmail.com" TargetMode="External"/><Relationship Id="rId917" Type="http://schemas.openxmlformats.org/officeDocument/2006/relationships/hyperlink" Target="mailto:jvdweert@hotmail.com" TargetMode="External"/><Relationship Id="rId1629" Type="http://schemas.openxmlformats.org/officeDocument/2006/relationships/hyperlink" Target="mailto:carien_bartels@yahoo.com" TargetMode="External"/><Relationship Id="rId916" Type="http://schemas.openxmlformats.org/officeDocument/2006/relationships/hyperlink" Target="mailto:christalinders@hotmail.com" TargetMode="External"/><Relationship Id="rId915" Type="http://schemas.openxmlformats.org/officeDocument/2006/relationships/hyperlink" Target="mailto:theonozone@gmail.com" TargetMode="External"/><Relationship Id="rId919" Type="http://schemas.openxmlformats.org/officeDocument/2006/relationships/hyperlink" Target="mailto:ym_koopal@hotmail.com" TargetMode="External"/><Relationship Id="rId910" Type="http://schemas.openxmlformats.org/officeDocument/2006/relationships/hyperlink" Target="mailto:gjmvandermeulen@gmail.com" TargetMode="External"/><Relationship Id="rId914" Type="http://schemas.openxmlformats.org/officeDocument/2006/relationships/hyperlink" Target="mailto:marisehvv@gmail.com" TargetMode="External"/><Relationship Id="rId913" Type="http://schemas.openxmlformats.org/officeDocument/2006/relationships/hyperlink" Target="mailto:lpmgunter@ziggo.nl" TargetMode="External"/><Relationship Id="rId912" Type="http://schemas.openxmlformats.org/officeDocument/2006/relationships/hyperlink" Target="mailto:irisvdrijt@hotmail.com" TargetMode="External"/><Relationship Id="rId911" Type="http://schemas.openxmlformats.org/officeDocument/2006/relationships/hyperlink" Target="mailto:guido.den.teuling@protonmail.com" TargetMode="External"/><Relationship Id="rId1213" Type="http://schemas.openxmlformats.org/officeDocument/2006/relationships/hyperlink" Target="mailto:mech021@hotmail.com" TargetMode="External"/><Relationship Id="rId1214" Type="http://schemas.openxmlformats.org/officeDocument/2006/relationships/hyperlink" Target="mailto:meeskehayes@outlook.com" TargetMode="External"/><Relationship Id="rId1215" Type="http://schemas.openxmlformats.org/officeDocument/2006/relationships/hyperlink" Target="mailto:n.g.c.m.karskens@me.com" TargetMode="External"/><Relationship Id="rId1216" Type="http://schemas.openxmlformats.org/officeDocument/2006/relationships/hyperlink" Target="mailto:maja.vandervoet@gmx.net" TargetMode="External"/><Relationship Id="rId1217" Type="http://schemas.openxmlformats.org/officeDocument/2006/relationships/hyperlink" Target="mailto:mirjamdg@gmail.com" TargetMode="External"/><Relationship Id="rId1218" Type="http://schemas.openxmlformats.org/officeDocument/2006/relationships/hyperlink" Target="mailto:roline56@hotmail.nl" TargetMode="External"/><Relationship Id="rId1219" Type="http://schemas.openxmlformats.org/officeDocument/2006/relationships/hyperlink" Target="mailto:meerievliet@gmail.com" TargetMode="External"/><Relationship Id="rId866" Type="http://schemas.openxmlformats.org/officeDocument/2006/relationships/hyperlink" Target="mailto:tobias.veldkamp@outlook.com" TargetMode="External"/><Relationship Id="rId865" Type="http://schemas.openxmlformats.org/officeDocument/2006/relationships/hyperlink" Target="mailto:elene.van.den.berg@xs4all.nl" TargetMode="External"/><Relationship Id="rId864" Type="http://schemas.openxmlformats.org/officeDocument/2006/relationships/hyperlink" Target="mailto:judithvanempel@gmail.com" TargetMode="External"/><Relationship Id="rId863" Type="http://schemas.openxmlformats.org/officeDocument/2006/relationships/hyperlink" Target="mailto:wiekestorm@hotmail.com" TargetMode="External"/><Relationship Id="rId869" Type="http://schemas.openxmlformats.org/officeDocument/2006/relationships/hyperlink" Target="mailto:koek@tuta.com" TargetMode="External"/><Relationship Id="rId868" Type="http://schemas.openxmlformats.org/officeDocument/2006/relationships/hyperlink" Target="mailto:rm.vanhees@gmail.com" TargetMode="External"/><Relationship Id="rId867" Type="http://schemas.openxmlformats.org/officeDocument/2006/relationships/hyperlink" Target="mailto:acmulder@xs4all.nl" TargetMode="External"/><Relationship Id="rId862" Type="http://schemas.openxmlformats.org/officeDocument/2006/relationships/hyperlink" Target="mailto:pablolamberti@protonmail.com" TargetMode="External"/><Relationship Id="rId861" Type="http://schemas.openxmlformats.org/officeDocument/2006/relationships/hyperlink" Target="mailto:annemiekdewilde76@gmail.com" TargetMode="External"/><Relationship Id="rId1210" Type="http://schemas.openxmlformats.org/officeDocument/2006/relationships/hyperlink" Target="mailto:raboelens@hotmail.com" TargetMode="External"/><Relationship Id="rId860" Type="http://schemas.openxmlformats.org/officeDocument/2006/relationships/hyperlink" Target="mailto:jennifergjertsen@gmail.com" TargetMode="External"/><Relationship Id="rId1211" Type="http://schemas.openxmlformats.org/officeDocument/2006/relationships/hyperlink" Target="mailto:tokahw@hotmail.com" TargetMode="External"/><Relationship Id="rId1212" Type="http://schemas.openxmlformats.org/officeDocument/2006/relationships/hyperlink" Target="mailto:alicelamain@hotmail.com" TargetMode="External"/><Relationship Id="rId1202" Type="http://schemas.openxmlformats.org/officeDocument/2006/relationships/hyperlink" Target="mailto:kirstenfokke@kpnmail.nl" TargetMode="External"/><Relationship Id="rId1203" Type="http://schemas.openxmlformats.org/officeDocument/2006/relationships/hyperlink" Target="mailto:roswitha.dejoode@gmail.com" TargetMode="External"/><Relationship Id="rId1204" Type="http://schemas.openxmlformats.org/officeDocument/2006/relationships/hyperlink" Target="mailto:vanderveer.petra@gmail.com" TargetMode="External"/><Relationship Id="rId1205" Type="http://schemas.openxmlformats.org/officeDocument/2006/relationships/hyperlink" Target="mailto:heswes@live.nl" TargetMode="External"/><Relationship Id="rId1206" Type="http://schemas.openxmlformats.org/officeDocument/2006/relationships/hyperlink" Target="mailto:frenkyvz@gmail.com" TargetMode="External"/><Relationship Id="rId1207" Type="http://schemas.openxmlformats.org/officeDocument/2006/relationships/hyperlink" Target="mailto:boschjolijt@gmail.com" TargetMode="External"/><Relationship Id="rId1208" Type="http://schemas.openxmlformats.org/officeDocument/2006/relationships/hyperlink" Target="mailto:ntielen@pm.me" TargetMode="External"/><Relationship Id="rId1209" Type="http://schemas.openxmlformats.org/officeDocument/2006/relationships/hyperlink" Target="mailto:annette.verhoef28@gmail.com" TargetMode="External"/><Relationship Id="rId855" Type="http://schemas.openxmlformats.org/officeDocument/2006/relationships/hyperlink" Target="mailto:joke_zwart@yahoo.com" TargetMode="External"/><Relationship Id="rId854" Type="http://schemas.openxmlformats.org/officeDocument/2006/relationships/hyperlink" Target="mailto:t.harteveld@freeler.nl" TargetMode="External"/><Relationship Id="rId853" Type="http://schemas.openxmlformats.org/officeDocument/2006/relationships/hyperlink" Target="mailto:t.harteveld@freeler.nl" TargetMode="External"/><Relationship Id="rId852" Type="http://schemas.openxmlformats.org/officeDocument/2006/relationships/hyperlink" Target="mailto:ioana@naturedesks.com" TargetMode="External"/><Relationship Id="rId859" Type="http://schemas.openxmlformats.org/officeDocument/2006/relationships/hyperlink" Target="mailto:brandsema@wendius.nl" TargetMode="External"/><Relationship Id="rId858" Type="http://schemas.openxmlformats.org/officeDocument/2006/relationships/hyperlink" Target="mailto:anouk.wams@live.nl" TargetMode="External"/><Relationship Id="rId857" Type="http://schemas.openxmlformats.org/officeDocument/2006/relationships/hyperlink" Target="mailto:fennande@gmail.com" TargetMode="External"/><Relationship Id="rId856" Type="http://schemas.openxmlformats.org/officeDocument/2006/relationships/hyperlink" Target="mailto:coletterijk@gmail.com" TargetMode="External"/><Relationship Id="rId1680" Type="http://schemas.openxmlformats.org/officeDocument/2006/relationships/hyperlink" Target="mailto:roelandmuller1@gmail.com" TargetMode="External"/><Relationship Id="rId1681" Type="http://schemas.openxmlformats.org/officeDocument/2006/relationships/hyperlink" Target="mailto:s.vrijlandt@gmail.com" TargetMode="External"/><Relationship Id="rId851" Type="http://schemas.openxmlformats.org/officeDocument/2006/relationships/hyperlink" Target="mailto:rtroost@xs4all.nl" TargetMode="External"/><Relationship Id="rId1682" Type="http://schemas.openxmlformats.org/officeDocument/2006/relationships/hyperlink" Target="mailto:bd.beerling@gmail.com" TargetMode="External"/><Relationship Id="rId850" Type="http://schemas.openxmlformats.org/officeDocument/2006/relationships/hyperlink" Target="mailto:lmowe87@gmail.com" TargetMode="External"/><Relationship Id="rId1683" Type="http://schemas.openxmlformats.org/officeDocument/2006/relationships/drawing" Target="../drawings/drawing4.xml"/><Relationship Id="rId1200" Type="http://schemas.openxmlformats.org/officeDocument/2006/relationships/hyperlink" Target="mailto:tomhemmer@proton.me" TargetMode="External"/><Relationship Id="rId1201" Type="http://schemas.openxmlformats.org/officeDocument/2006/relationships/hyperlink" Target="mailto:yufrukt@gmail.com" TargetMode="External"/><Relationship Id="rId1235" Type="http://schemas.openxmlformats.org/officeDocument/2006/relationships/hyperlink" Target="mailto:juliette.caulkins@gmail.com" TargetMode="External"/><Relationship Id="rId1236" Type="http://schemas.openxmlformats.org/officeDocument/2006/relationships/hyperlink" Target="mailto:ahcvankooten@gmail.com" TargetMode="External"/><Relationship Id="rId1237" Type="http://schemas.openxmlformats.org/officeDocument/2006/relationships/hyperlink" Target="mailto:junefermie@gmail.com" TargetMode="External"/><Relationship Id="rId1238" Type="http://schemas.openxmlformats.org/officeDocument/2006/relationships/hyperlink" Target="mailto:helenebevort@gmail.com" TargetMode="External"/><Relationship Id="rId1239" Type="http://schemas.openxmlformats.org/officeDocument/2006/relationships/hyperlink" Target="mailto:hesterdeboer@gmail.com" TargetMode="External"/><Relationship Id="rId409" Type="http://schemas.openxmlformats.org/officeDocument/2006/relationships/hyperlink" Target="mailto:verissimo.iness@gmail.com" TargetMode="External"/><Relationship Id="rId404" Type="http://schemas.openxmlformats.org/officeDocument/2006/relationships/hyperlink" Target="mailto:rombout@soldaat.nu" TargetMode="External"/><Relationship Id="rId888" Type="http://schemas.openxmlformats.org/officeDocument/2006/relationships/hyperlink" Target="mailto:stephanie@dreamboat.nu" TargetMode="External"/><Relationship Id="rId403" Type="http://schemas.openxmlformats.org/officeDocument/2006/relationships/hyperlink" Target="mailto:mariannakaratz@gmail.com" TargetMode="External"/><Relationship Id="rId887" Type="http://schemas.openxmlformats.org/officeDocument/2006/relationships/hyperlink" Target="mailto:floor.rosman@gmail.com" TargetMode="External"/><Relationship Id="rId402" Type="http://schemas.openxmlformats.org/officeDocument/2006/relationships/hyperlink" Target="mailto:liekesjerps@pm.me" TargetMode="External"/><Relationship Id="rId886" Type="http://schemas.openxmlformats.org/officeDocument/2006/relationships/hyperlink" Target="mailto:tjebbe.broek@outlook.com" TargetMode="External"/><Relationship Id="rId401" Type="http://schemas.openxmlformats.org/officeDocument/2006/relationships/hyperlink" Target="mailto:bbvdhoorn@hotmail.com" TargetMode="External"/><Relationship Id="rId885" Type="http://schemas.openxmlformats.org/officeDocument/2006/relationships/hyperlink" Target="mailto:p.hemme@upcmail.nl" TargetMode="External"/><Relationship Id="rId408" Type="http://schemas.openxmlformats.org/officeDocument/2006/relationships/hyperlink" Target="mailto:emturkenburg@gmail.com" TargetMode="External"/><Relationship Id="rId407" Type="http://schemas.openxmlformats.org/officeDocument/2006/relationships/hyperlink" Target="mailto:hannahwijmenga@gmail.com" TargetMode="External"/><Relationship Id="rId406" Type="http://schemas.openxmlformats.org/officeDocument/2006/relationships/hyperlink" Target="mailto:e.tuasela@gmail.com" TargetMode="External"/><Relationship Id="rId405" Type="http://schemas.openxmlformats.org/officeDocument/2006/relationships/hyperlink" Target="mailto:sophie.linnarz@live.nl" TargetMode="External"/><Relationship Id="rId889" Type="http://schemas.openxmlformats.org/officeDocument/2006/relationships/hyperlink" Target="mailto:marte.rozendaal@gmail.com" TargetMode="External"/><Relationship Id="rId880" Type="http://schemas.openxmlformats.org/officeDocument/2006/relationships/hyperlink" Target="mailto:eajvanravels@gmail.com" TargetMode="External"/><Relationship Id="rId1230" Type="http://schemas.openxmlformats.org/officeDocument/2006/relationships/hyperlink" Target="mailto:mjmrasker@gmail.com" TargetMode="External"/><Relationship Id="rId400" Type="http://schemas.openxmlformats.org/officeDocument/2006/relationships/hyperlink" Target="mailto:julievdschelling@hotmail.com" TargetMode="External"/><Relationship Id="rId884" Type="http://schemas.openxmlformats.org/officeDocument/2006/relationships/hyperlink" Target="mailto:marijquirijnen@gmail.com" TargetMode="External"/><Relationship Id="rId1231" Type="http://schemas.openxmlformats.org/officeDocument/2006/relationships/hyperlink" Target="mailto:ankevangelderen@gmail.com" TargetMode="External"/><Relationship Id="rId883" Type="http://schemas.openxmlformats.org/officeDocument/2006/relationships/hyperlink" Target="mailto:sasarjen@gmail.com" TargetMode="External"/><Relationship Id="rId1232" Type="http://schemas.openxmlformats.org/officeDocument/2006/relationships/hyperlink" Target="mailto:hildevdnet@hotmail.com" TargetMode="External"/><Relationship Id="rId882" Type="http://schemas.openxmlformats.org/officeDocument/2006/relationships/hyperlink" Target="mailto:jb.kruiper@gmail.com" TargetMode="External"/><Relationship Id="rId1233" Type="http://schemas.openxmlformats.org/officeDocument/2006/relationships/hyperlink" Target="mailto:marieke.heijnen@gmail.com" TargetMode="External"/><Relationship Id="rId881" Type="http://schemas.openxmlformats.org/officeDocument/2006/relationships/hyperlink" Target="mailto:eajvanravels@gmail.com" TargetMode="External"/><Relationship Id="rId1234" Type="http://schemas.openxmlformats.org/officeDocument/2006/relationships/hyperlink" Target="mailto:natascha.kerckhaert@xs4all.nl" TargetMode="External"/><Relationship Id="rId1224" Type="http://schemas.openxmlformats.org/officeDocument/2006/relationships/hyperlink" Target="mailto:f_polzin@gmx.net" TargetMode="External"/><Relationship Id="rId1225" Type="http://schemas.openxmlformats.org/officeDocument/2006/relationships/hyperlink" Target="mailto:joni_stolk@hotmail.com" TargetMode="External"/><Relationship Id="rId1226" Type="http://schemas.openxmlformats.org/officeDocument/2006/relationships/hyperlink" Target="mailto:dijkstra.boukje@gmail.com" TargetMode="External"/><Relationship Id="rId1227" Type="http://schemas.openxmlformats.org/officeDocument/2006/relationships/hyperlink" Target="mailto:savannah.drenth@gmail.com" TargetMode="External"/><Relationship Id="rId1228" Type="http://schemas.openxmlformats.org/officeDocument/2006/relationships/hyperlink" Target="mailto:rojas.pipe@gmail.com" TargetMode="External"/><Relationship Id="rId1229" Type="http://schemas.openxmlformats.org/officeDocument/2006/relationships/hyperlink" Target="mailto:thiaraams@gmail.com" TargetMode="External"/><Relationship Id="rId877" Type="http://schemas.openxmlformats.org/officeDocument/2006/relationships/hyperlink" Target="mailto:miekedupont@hotmail.com" TargetMode="External"/><Relationship Id="rId876" Type="http://schemas.openxmlformats.org/officeDocument/2006/relationships/hyperlink" Target="mailto:marloes_van_liere@hotmail.com" TargetMode="External"/><Relationship Id="rId875" Type="http://schemas.openxmlformats.org/officeDocument/2006/relationships/hyperlink" Target="mailto:iselinkeune@hotmail.com" TargetMode="External"/><Relationship Id="rId874" Type="http://schemas.openxmlformats.org/officeDocument/2006/relationships/hyperlink" Target="mailto:justine.aaronson@gmail.com" TargetMode="External"/><Relationship Id="rId879" Type="http://schemas.openxmlformats.org/officeDocument/2006/relationships/hyperlink" Target="mailto:michellemoonen@outlook.com" TargetMode="External"/><Relationship Id="rId878" Type="http://schemas.openxmlformats.org/officeDocument/2006/relationships/hyperlink" Target="mailto:dnwalinga@hotmail.com" TargetMode="External"/><Relationship Id="rId873" Type="http://schemas.openxmlformats.org/officeDocument/2006/relationships/hyperlink" Target="mailto:jobdelange@hotmail.nl" TargetMode="External"/><Relationship Id="rId1220" Type="http://schemas.openxmlformats.org/officeDocument/2006/relationships/hyperlink" Target="mailto:laura@laurakruger.com" TargetMode="External"/><Relationship Id="rId872" Type="http://schemas.openxmlformats.org/officeDocument/2006/relationships/hyperlink" Target="mailto:annecarolinenobre@gmail.com" TargetMode="External"/><Relationship Id="rId1221" Type="http://schemas.openxmlformats.org/officeDocument/2006/relationships/hyperlink" Target="mailto:remyspetersen@gmail.com" TargetMode="External"/><Relationship Id="rId871" Type="http://schemas.openxmlformats.org/officeDocument/2006/relationships/hyperlink" Target="mailto:annecarolinenobre@gmail.com" TargetMode="External"/><Relationship Id="rId1222" Type="http://schemas.openxmlformats.org/officeDocument/2006/relationships/hyperlink" Target="mailto:willemijn2008@live.nl" TargetMode="External"/><Relationship Id="rId870" Type="http://schemas.openxmlformats.org/officeDocument/2006/relationships/hyperlink" Target="mailto:hannahvanbemmel@gmail.com" TargetMode="External"/><Relationship Id="rId1223" Type="http://schemas.openxmlformats.org/officeDocument/2006/relationships/hyperlink" Target="mailto:taxibaan.01.arriverend@icloud.com" TargetMode="External"/><Relationship Id="rId1653" Type="http://schemas.openxmlformats.org/officeDocument/2006/relationships/hyperlink" Target="mailto:reneevanderhoek@gmail.com" TargetMode="External"/><Relationship Id="rId1654" Type="http://schemas.openxmlformats.org/officeDocument/2006/relationships/hyperlink" Target="mailto:marieke_esther@hotmail.com" TargetMode="External"/><Relationship Id="rId1655" Type="http://schemas.openxmlformats.org/officeDocument/2006/relationships/hyperlink" Target="mailto:matthijs_bredenoord@hotmail.com" TargetMode="External"/><Relationship Id="rId1656" Type="http://schemas.openxmlformats.org/officeDocument/2006/relationships/hyperlink" Target="mailto:sannedijkema@gmail.com" TargetMode="External"/><Relationship Id="rId1657" Type="http://schemas.openxmlformats.org/officeDocument/2006/relationships/hyperlink" Target="mailto:maritfolkertsma@gmail.com" TargetMode="External"/><Relationship Id="rId1658" Type="http://schemas.openxmlformats.org/officeDocument/2006/relationships/hyperlink" Target="mailto:maritfolkertsma@gmail.com" TargetMode="External"/><Relationship Id="rId1659" Type="http://schemas.openxmlformats.org/officeDocument/2006/relationships/hyperlink" Target="mailto:charlenevos94@hotmail.com" TargetMode="External"/><Relationship Id="rId829" Type="http://schemas.openxmlformats.org/officeDocument/2006/relationships/hyperlink" Target="mailto:1000puzzelstukjes@gmail.com" TargetMode="External"/><Relationship Id="rId828" Type="http://schemas.openxmlformats.org/officeDocument/2006/relationships/hyperlink" Target="mailto:ejm.hooijman@gmail.com" TargetMode="External"/><Relationship Id="rId827" Type="http://schemas.openxmlformats.org/officeDocument/2006/relationships/hyperlink" Target="mailto:petrivis@gmail.com" TargetMode="External"/><Relationship Id="rId822" Type="http://schemas.openxmlformats.org/officeDocument/2006/relationships/hyperlink" Target="mailto:evankeijzerswaard@gmail.com" TargetMode="External"/><Relationship Id="rId821" Type="http://schemas.openxmlformats.org/officeDocument/2006/relationships/hyperlink" Target="mailto:my.ubbink@gmail.com" TargetMode="External"/><Relationship Id="rId820" Type="http://schemas.openxmlformats.org/officeDocument/2006/relationships/hyperlink" Target="mailto:paola.d.lopez@hotmail.com" TargetMode="External"/><Relationship Id="rId826" Type="http://schemas.openxmlformats.org/officeDocument/2006/relationships/hyperlink" Target="mailto:wilma.vander.schoot@hetnet.nl" TargetMode="External"/><Relationship Id="rId825" Type="http://schemas.openxmlformats.org/officeDocument/2006/relationships/hyperlink" Target="mailto:willemiekeligtenberg@gmail.com" TargetMode="External"/><Relationship Id="rId824" Type="http://schemas.openxmlformats.org/officeDocument/2006/relationships/hyperlink" Target="mailto:ismay.rentenaar@live.nl" TargetMode="External"/><Relationship Id="rId823" Type="http://schemas.openxmlformats.org/officeDocument/2006/relationships/hyperlink" Target="mailto:KathleenTravaille@gmail.com" TargetMode="External"/><Relationship Id="rId1650" Type="http://schemas.openxmlformats.org/officeDocument/2006/relationships/hyperlink" Target="mailto:amanda.vp@gmail.com" TargetMode="External"/><Relationship Id="rId1651" Type="http://schemas.openxmlformats.org/officeDocument/2006/relationships/hyperlink" Target="mailto:marleenvanriet80@gmail.com" TargetMode="External"/><Relationship Id="rId1652" Type="http://schemas.openxmlformats.org/officeDocument/2006/relationships/hyperlink" Target="mailto:tessel_boertien@hotmail.com" TargetMode="External"/><Relationship Id="rId1642" Type="http://schemas.openxmlformats.org/officeDocument/2006/relationships/hyperlink" Target="mailto:rmmbeentjes@gmail.com" TargetMode="External"/><Relationship Id="rId1643" Type="http://schemas.openxmlformats.org/officeDocument/2006/relationships/hyperlink" Target="mailto:dncjong@gmail.com" TargetMode="External"/><Relationship Id="rId1644" Type="http://schemas.openxmlformats.org/officeDocument/2006/relationships/hyperlink" Target="mailto:frankenminke@gmail.com" TargetMode="External"/><Relationship Id="rId1645" Type="http://schemas.openxmlformats.org/officeDocument/2006/relationships/hyperlink" Target="mailto:rdekoff@xs4all.nl" TargetMode="External"/><Relationship Id="rId1646" Type="http://schemas.openxmlformats.org/officeDocument/2006/relationships/hyperlink" Target="mailto:a.verleg@kpnmail.nl" TargetMode="External"/><Relationship Id="rId1647" Type="http://schemas.openxmlformats.org/officeDocument/2006/relationships/hyperlink" Target="mailto:aneta.urban3@gmail.com" TargetMode="External"/><Relationship Id="rId1648" Type="http://schemas.openxmlformats.org/officeDocument/2006/relationships/hyperlink" Target="mailto:elske.bogaerts@gmail.com" TargetMode="External"/><Relationship Id="rId1649" Type="http://schemas.openxmlformats.org/officeDocument/2006/relationships/hyperlink" Target="mailto:emma_cieremans@hotmail.com" TargetMode="External"/><Relationship Id="rId819" Type="http://schemas.openxmlformats.org/officeDocument/2006/relationships/hyperlink" Target="mailto:beterboompje@essebes.nl" TargetMode="External"/><Relationship Id="rId818" Type="http://schemas.openxmlformats.org/officeDocument/2006/relationships/hyperlink" Target="mailto:wietskevanderpol@yahoo.com" TargetMode="External"/><Relationship Id="rId817" Type="http://schemas.openxmlformats.org/officeDocument/2006/relationships/hyperlink" Target="mailto:es_jonkers@hotmail.com" TargetMode="External"/><Relationship Id="rId816" Type="http://schemas.openxmlformats.org/officeDocument/2006/relationships/hyperlink" Target="mailto:julietteve@gmail.com" TargetMode="External"/><Relationship Id="rId811" Type="http://schemas.openxmlformats.org/officeDocument/2006/relationships/hyperlink" Target="mailto:rosemin_lanting@hotmail.com" TargetMode="External"/><Relationship Id="rId810" Type="http://schemas.openxmlformats.org/officeDocument/2006/relationships/hyperlink" Target="mailto:irene@abcd.nu" TargetMode="External"/><Relationship Id="rId815" Type="http://schemas.openxmlformats.org/officeDocument/2006/relationships/hyperlink" Target="mailto:izaslodka@gmail.com" TargetMode="External"/><Relationship Id="rId814" Type="http://schemas.openxmlformats.org/officeDocument/2006/relationships/hyperlink" Target="mailto:larsenroelien@gmail.com" TargetMode="External"/><Relationship Id="rId813" Type="http://schemas.openxmlformats.org/officeDocument/2006/relationships/hyperlink" Target="mailto:soofdevalk@hotmail.com" TargetMode="External"/><Relationship Id="rId812" Type="http://schemas.openxmlformats.org/officeDocument/2006/relationships/hyperlink" Target="mailto:josevangrinsven@hotmail.com" TargetMode="External"/><Relationship Id="rId1640" Type="http://schemas.openxmlformats.org/officeDocument/2006/relationships/hyperlink" Target="mailto:nickdenbol@hotmail.com" TargetMode="External"/><Relationship Id="rId1641" Type="http://schemas.openxmlformats.org/officeDocument/2006/relationships/hyperlink" Target="mailto:ahclugtenberg@gmail.com" TargetMode="External"/><Relationship Id="rId1675" Type="http://schemas.openxmlformats.org/officeDocument/2006/relationships/hyperlink" Target="mailto:nico.hartog@xs4all.nl" TargetMode="External"/><Relationship Id="rId1676" Type="http://schemas.openxmlformats.org/officeDocument/2006/relationships/hyperlink" Target="mailto:ilsetanis@hotmail.com" TargetMode="External"/><Relationship Id="rId1677" Type="http://schemas.openxmlformats.org/officeDocument/2006/relationships/hyperlink" Target="mailto:lottedrouen@hotmail.com" TargetMode="External"/><Relationship Id="rId1678" Type="http://schemas.openxmlformats.org/officeDocument/2006/relationships/hyperlink" Target="mailto:e.de.zwart@hotmail.com" TargetMode="External"/><Relationship Id="rId1679" Type="http://schemas.openxmlformats.org/officeDocument/2006/relationships/hyperlink" Target="mailto:ruthscheepers@gmail.com" TargetMode="External"/><Relationship Id="rId849" Type="http://schemas.openxmlformats.org/officeDocument/2006/relationships/hyperlink" Target="mailto:lmowe87@gmail.com" TargetMode="External"/><Relationship Id="rId844" Type="http://schemas.openxmlformats.org/officeDocument/2006/relationships/hyperlink" Target="mailto:bluek29@hotmail.com" TargetMode="External"/><Relationship Id="rId843" Type="http://schemas.openxmlformats.org/officeDocument/2006/relationships/hyperlink" Target="mailto:loesostendorf@hotmail.com" TargetMode="External"/><Relationship Id="rId842" Type="http://schemas.openxmlformats.org/officeDocument/2006/relationships/hyperlink" Target="mailto:smooren@hotmail.com" TargetMode="External"/><Relationship Id="rId841" Type="http://schemas.openxmlformats.org/officeDocument/2006/relationships/hyperlink" Target="mailto:pieternelsalm@hotmail.com" TargetMode="External"/><Relationship Id="rId848" Type="http://schemas.openxmlformats.org/officeDocument/2006/relationships/hyperlink" Target="mailto:judith.van.emmerik@xs4all.nl" TargetMode="External"/><Relationship Id="rId847" Type="http://schemas.openxmlformats.org/officeDocument/2006/relationships/hyperlink" Target="mailto:louisehogervorst@outlook.com" TargetMode="External"/><Relationship Id="rId846" Type="http://schemas.openxmlformats.org/officeDocument/2006/relationships/hyperlink" Target="mailto:iris.v.kleij@gmail.com" TargetMode="External"/><Relationship Id="rId845" Type="http://schemas.openxmlformats.org/officeDocument/2006/relationships/hyperlink" Target="mailto:marga.de.feber@gmail.com" TargetMode="External"/><Relationship Id="rId1670" Type="http://schemas.openxmlformats.org/officeDocument/2006/relationships/hyperlink" Target="mailto:restaurant@samenoppluk.nl" TargetMode="External"/><Relationship Id="rId840" Type="http://schemas.openxmlformats.org/officeDocument/2006/relationships/hyperlink" Target="mailto:judithv.dijk93@hotmail.com" TargetMode="External"/><Relationship Id="rId1671" Type="http://schemas.openxmlformats.org/officeDocument/2006/relationships/hyperlink" Target="mailto:geertjewismans@hotmail.com" TargetMode="External"/><Relationship Id="rId1672" Type="http://schemas.openxmlformats.org/officeDocument/2006/relationships/hyperlink" Target="mailto:info@queenofjetlags.com" TargetMode="External"/><Relationship Id="rId1673" Type="http://schemas.openxmlformats.org/officeDocument/2006/relationships/hyperlink" Target="mailto:info@queenofjetlags.com" TargetMode="External"/><Relationship Id="rId1674" Type="http://schemas.openxmlformats.org/officeDocument/2006/relationships/hyperlink" Target="mailto:thebrownpeacock@gmail.com" TargetMode="External"/><Relationship Id="rId1664" Type="http://schemas.openxmlformats.org/officeDocument/2006/relationships/hyperlink" Target="mailto:ejscholtens@planet.nl" TargetMode="External"/><Relationship Id="rId1665" Type="http://schemas.openxmlformats.org/officeDocument/2006/relationships/hyperlink" Target="mailto:ruby.broekman@gmail.com" TargetMode="External"/><Relationship Id="rId1666" Type="http://schemas.openxmlformats.org/officeDocument/2006/relationships/hyperlink" Target="mailto:kolkwj@yahoo.com" TargetMode="External"/><Relationship Id="rId1667" Type="http://schemas.openxmlformats.org/officeDocument/2006/relationships/hyperlink" Target="mailto:irene.hoogendam@outlook.com" TargetMode="External"/><Relationship Id="rId1668" Type="http://schemas.openxmlformats.org/officeDocument/2006/relationships/hyperlink" Target="mailto:joostvs83@hotmail.com" TargetMode="External"/><Relationship Id="rId1669" Type="http://schemas.openxmlformats.org/officeDocument/2006/relationships/hyperlink" Target="mailto:restaurant@samenoppluk.nl" TargetMode="External"/><Relationship Id="rId839" Type="http://schemas.openxmlformats.org/officeDocument/2006/relationships/hyperlink" Target="mailto:frederieke.vriends@gmail.com" TargetMode="External"/><Relationship Id="rId838" Type="http://schemas.openxmlformats.org/officeDocument/2006/relationships/hyperlink" Target="mailto:sarah_limmen@hotmail.com" TargetMode="External"/><Relationship Id="rId833" Type="http://schemas.openxmlformats.org/officeDocument/2006/relationships/hyperlink" Target="mailto:zonneschijn07@gmail.com" TargetMode="External"/><Relationship Id="rId832" Type="http://schemas.openxmlformats.org/officeDocument/2006/relationships/hyperlink" Target="mailto:zonneschijn07@gmail.com" TargetMode="External"/><Relationship Id="rId831" Type="http://schemas.openxmlformats.org/officeDocument/2006/relationships/hyperlink" Target="mailto:vorstegm@xs4all.nl" TargetMode="External"/><Relationship Id="rId830" Type="http://schemas.openxmlformats.org/officeDocument/2006/relationships/hyperlink" Target="mailto:ham.geurtsen@upcmail.nl" TargetMode="External"/><Relationship Id="rId837" Type="http://schemas.openxmlformats.org/officeDocument/2006/relationships/hyperlink" Target="mailto:deborahvdmars@gmail.com" TargetMode="External"/><Relationship Id="rId836" Type="http://schemas.openxmlformats.org/officeDocument/2006/relationships/hyperlink" Target="mailto:daniele.streep@gmail.com" TargetMode="External"/><Relationship Id="rId835" Type="http://schemas.openxmlformats.org/officeDocument/2006/relationships/hyperlink" Target="mailto:josecromheecke@gmail.com" TargetMode="External"/><Relationship Id="rId834" Type="http://schemas.openxmlformats.org/officeDocument/2006/relationships/hyperlink" Target="mailto:annelies.vlasblom@freedom.nl" TargetMode="External"/><Relationship Id="rId1660" Type="http://schemas.openxmlformats.org/officeDocument/2006/relationships/hyperlink" Target="mailto:violarijnsdorp@gmail.com" TargetMode="External"/><Relationship Id="rId1661" Type="http://schemas.openxmlformats.org/officeDocument/2006/relationships/hyperlink" Target="mailto:karlijnelisabeth@hotmail.com" TargetMode="External"/><Relationship Id="rId1662" Type="http://schemas.openxmlformats.org/officeDocument/2006/relationships/hyperlink" Target="mailto:ralph.geuskens@live.nl" TargetMode="External"/><Relationship Id="rId1663" Type="http://schemas.openxmlformats.org/officeDocument/2006/relationships/hyperlink" Target="mailto:kenzacruden@gmail.com" TargetMode="External"/><Relationship Id="rId469" Type="http://schemas.openxmlformats.org/officeDocument/2006/relationships/hyperlink" Target="mailto:bernadette.elders@gmail.com" TargetMode="External"/><Relationship Id="rId468" Type="http://schemas.openxmlformats.org/officeDocument/2006/relationships/hyperlink" Target="mailto:e.van.de.winkel@gmail.com" TargetMode="External"/><Relationship Id="rId467" Type="http://schemas.openxmlformats.org/officeDocument/2006/relationships/hyperlink" Target="mailto:merel@boterman.nl" TargetMode="External"/><Relationship Id="rId1290" Type="http://schemas.openxmlformats.org/officeDocument/2006/relationships/hyperlink" Target="mailto:angoras.native-9l@icloud.com" TargetMode="External"/><Relationship Id="rId1291" Type="http://schemas.openxmlformats.org/officeDocument/2006/relationships/hyperlink" Target="mailto:loraing@gmail.com" TargetMode="External"/><Relationship Id="rId1292" Type="http://schemas.openxmlformats.org/officeDocument/2006/relationships/hyperlink" Target="mailto:merylgramberg@gmail.com" TargetMode="External"/><Relationship Id="rId462" Type="http://schemas.openxmlformats.org/officeDocument/2006/relationships/hyperlink" Target="mailto:etvrees@hotmail.com" TargetMode="External"/><Relationship Id="rId1293" Type="http://schemas.openxmlformats.org/officeDocument/2006/relationships/hyperlink" Target="mailto:jetw1986@gmail.com" TargetMode="External"/><Relationship Id="rId461" Type="http://schemas.openxmlformats.org/officeDocument/2006/relationships/hyperlink" Target="mailto:mitchelhoedt@gmail.com" TargetMode="External"/><Relationship Id="rId1294" Type="http://schemas.openxmlformats.org/officeDocument/2006/relationships/hyperlink" Target="mailto:imbenders@gmail.com" TargetMode="External"/><Relationship Id="rId460" Type="http://schemas.openxmlformats.org/officeDocument/2006/relationships/hyperlink" Target="mailto:loeskengen@live.nl" TargetMode="External"/><Relationship Id="rId1295" Type="http://schemas.openxmlformats.org/officeDocument/2006/relationships/hyperlink" Target="mailto:carolinejurriansen@gmail.com" TargetMode="External"/><Relationship Id="rId1296" Type="http://schemas.openxmlformats.org/officeDocument/2006/relationships/hyperlink" Target="mailto:dijcks.anna@gmail.com" TargetMode="External"/><Relationship Id="rId466" Type="http://schemas.openxmlformats.org/officeDocument/2006/relationships/hyperlink" Target="mailto:carlijnkooijmans@gmail.com" TargetMode="External"/><Relationship Id="rId1297" Type="http://schemas.openxmlformats.org/officeDocument/2006/relationships/hyperlink" Target="mailto:schrijfsonja@gmail.com" TargetMode="External"/><Relationship Id="rId465" Type="http://schemas.openxmlformats.org/officeDocument/2006/relationships/hyperlink" Target="mailto:biancavandevoort91@gmail.com" TargetMode="External"/><Relationship Id="rId1298" Type="http://schemas.openxmlformats.org/officeDocument/2006/relationships/hyperlink" Target="mailto:Isabelle.cannoo@gmail.com" TargetMode="External"/><Relationship Id="rId464" Type="http://schemas.openxmlformats.org/officeDocument/2006/relationships/hyperlink" Target="mailto:sjdedden@gmail.com" TargetMode="External"/><Relationship Id="rId1299" Type="http://schemas.openxmlformats.org/officeDocument/2006/relationships/hyperlink" Target="mailto:lindevanderpol@gmail.com" TargetMode="External"/><Relationship Id="rId463" Type="http://schemas.openxmlformats.org/officeDocument/2006/relationships/hyperlink" Target="mailto:stefanievdmeijden@gmail.com" TargetMode="External"/><Relationship Id="rId459" Type="http://schemas.openxmlformats.org/officeDocument/2006/relationships/hyperlink" Target="mailto:sharonschering@hotmail.com" TargetMode="External"/><Relationship Id="rId458" Type="http://schemas.openxmlformats.org/officeDocument/2006/relationships/hyperlink" Target="mailto:roosberbers@gmail.com" TargetMode="External"/><Relationship Id="rId457" Type="http://schemas.openxmlformats.org/officeDocument/2006/relationships/hyperlink" Target="mailto:henriettevanwoudenberg@gmail.com" TargetMode="External"/><Relationship Id="rId456" Type="http://schemas.openxmlformats.org/officeDocument/2006/relationships/hyperlink" Target="mailto:freekdekort@gmail.com" TargetMode="External"/><Relationship Id="rId1280" Type="http://schemas.openxmlformats.org/officeDocument/2006/relationships/hyperlink" Target="mailto:seda@studiovrijdag.nl" TargetMode="External"/><Relationship Id="rId1281" Type="http://schemas.openxmlformats.org/officeDocument/2006/relationships/hyperlink" Target="mailto:sabine1011@hotmail.com" TargetMode="External"/><Relationship Id="rId451" Type="http://schemas.openxmlformats.org/officeDocument/2006/relationships/hyperlink" Target="mailto:tortugayogi@protonmail.com" TargetMode="External"/><Relationship Id="rId1282" Type="http://schemas.openxmlformats.org/officeDocument/2006/relationships/hyperlink" Target="mailto:mtenbosch@Live.nl" TargetMode="External"/><Relationship Id="rId450" Type="http://schemas.openxmlformats.org/officeDocument/2006/relationships/hyperlink" Target="mailto:lukassloet@gmail.com" TargetMode="External"/><Relationship Id="rId1283" Type="http://schemas.openxmlformats.org/officeDocument/2006/relationships/hyperlink" Target="mailto:tilburg.mieke@gmail.com" TargetMode="External"/><Relationship Id="rId1284" Type="http://schemas.openxmlformats.org/officeDocument/2006/relationships/hyperlink" Target="mailto:koppelmankrista@hotmail.com" TargetMode="External"/><Relationship Id="rId1285" Type="http://schemas.openxmlformats.org/officeDocument/2006/relationships/hyperlink" Target="mailto:hmvdschraaf@hotmail.com" TargetMode="External"/><Relationship Id="rId455" Type="http://schemas.openxmlformats.org/officeDocument/2006/relationships/hyperlink" Target="mailto:j.vanleeuwen1965@gmail.com" TargetMode="External"/><Relationship Id="rId1286" Type="http://schemas.openxmlformats.org/officeDocument/2006/relationships/hyperlink" Target="mailto:e.jan.enderink@gmail.com" TargetMode="External"/><Relationship Id="rId454" Type="http://schemas.openxmlformats.org/officeDocument/2006/relationships/hyperlink" Target="mailto:stephanieknelange@gmail.com" TargetMode="External"/><Relationship Id="rId1287" Type="http://schemas.openxmlformats.org/officeDocument/2006/relationships/hyperlink" Target="mailto:liannewellens@gmail.com" TargetMode="External"/><Relationship Id="rId453" Type="http://schemas.openxmlformats.org/officeDocument/2006/relationships/hyperlink" Target="mailto:tinekeduys@gmail.com" TargetMode="External"/><Relationship Id="rId1288" Type="http://schemas.openxmlformats.org/officeDocument/2006/relationships/hyperlink" Target="mailto:elfristoop@gmail.com" TargetMode="External"/><Relationship Id="rId452" Type="http://schemas.openxmlformats.org/officeDocument/2006/relationships/hyperlink" Target="mailto:jasper_stads@live.nl" TargetMode="External"/><Relationship Id="rId1289" Type="http://schemas.openxmlformats.org/officeDocument/2006/relationships/hyperlink" Target="mailto:flipjefluitketel86@gmail.com" TargetMode="External"/><Relationship Id="rId491" Type="http://schemas.openxmlformats.org/officeDocument/2006/relationships/hyperlink" Target="mailto:ellen.s.willems@gmail.com" TargetMode="External"/><Relationship Id="rId490" Type="http://schemas.openxmlformats.org/officeDocument/2006/relationships/hyperlink" Target="mailto:anja.beverwijk@gmail.com" TargetMode="External"/><Relationship Id="rId489" Type="http://schemas.openxmlformats.org/officeDocument/2006/relationships/hyperlink" Target="mailto:angeliquederop@gmail.com" TargetMode="External"/><Relationship Id="rId484" Type="http://schemas.openxmlformats.org/officeDocument/2006/relationships/hyperlink" Target="mailto:gvanmoolenbroek@hotmail.com" TargetMode="External"/><Relationship Id="rId483" Type="http://schemas.openxmlformats.org/officeDocument/2006/relationships/hyperlink" Target="mailto:karienhofhuis@gmail.com" TargetMode="External"/><Relationship Id="rId482" Type="http://schemas.openxmlformats.org/officeDocument/2006/relationships/hyperlink" Target="mailto:mariekeplatenkamp@hotmail.com" TargetMode="External"/><Relationship Id="rId481" Type="http://schemas.openxmlformats.org/officeDocument/2006/relationships/hyperlink" Target="mailto:moment-formal-5x@icloud.com" TargetMode="External"/><Relationship Id="rId488" Type="http://schemas.openxmlformats.org/officeDocument/2006/relationships/hyperlink" Target="mailto:leilamekki7@gmail.com" TargetMode="External"/><Relationship Id="rId487" Type="http://schemas.openxmlformats.org/officeDocument/2006/relationships/hyperlink" Target="mailto:horn.tammi@gmail.com" TargetMode="External"/><Relationship Id="rId486" Type="http://schemas.openxmlformats.org/officeDocument/2006/relationships/hyperlink" Target="mailto:rachelverbeek@gmail.com" TargetMode="External"/><Relationship Id="rId485" Type="http://schemas.openxmlformats.org/officeDocument/2006/relationships/hyperlink" Target="mailto:vandenheuvel.bart@gmail.com" TargetMode="External"/><Relationship Id="rId480" Type="http://schemas.openxmlformats.org/officeDocument/2006/relationships/hyperlink" Target="mailto:gittcamff@gmail.com" TargetMode="External"/><Relationship Id="rId479" Type="http://schemas.openxmlformats.org/officeDocument/2006/relationships/hyperlink" Target="mailto:jessiejoosse@gmail.com" TargetMode="External"/><Relationship Id="rId478" Type="http://schemas.openxmlformats.org/officeDocument/2006/relationships/hyperlink" Target="mailto:marjoleinvanhek@hotmail.com" TargetMode="External"/><Relationship Id="rId473" Type="http://schemas.openxmlformats.org/officeDocument/2006/relationships/hyperlink" Target="mailto:baconbeanz@gmail.com" TargetMode="External"/><Relationship Id="rId472" Type="http://schemas.openxmlformats.org/officeDocument/2006/relationships/hyperlink" Target="mailto:baconbeanz@gmail.com" TargetMode="External"/><Relationship Id="rId471" Type="http://schemas.openxmlformats.org/officeDocument/2006/relationships/hyperlink" Target="mailto:annevoskamp@gmail.com" TargetMode="External"/><Relationship Id="rId470" Type="http://schemas.openxmlformats.org/officeDocument/2006/relationships/hyperlink" Target="mailto:hutchingson@yur.nl" TargetMode="External"/><Relationship Id="rId477" Type="http://schemas.openxmlformats.org/officeDocument/2006/relationships/hyperlink" Target="mailto:sannahscholtes@gmail.com" TargetMode="External"/><Relationship Id="rId476" Type="http://schemas.openxmlformats.org/officeDocument/2006/relationships/hyperlink" Target="mailto:sanneverkooijen@gmail.com" TargetMode="External"/><Relationship Id="rId475" Type="http://schemas.openxmlformats.org/officeDocument/2006/relationships/hyperlink" Target="mailto:mariskapaans@hotmail.com" TargetMode="External"/><Relationship Id="rId474" Type="http://schemas.openxmlformats.org/officeDocument/2006/relationships/hyperlink" Target="mailto:mi_kamp@yahoo.com" TargetMode="External"/><Relationship Id="rId1257" Type="http://schemas.openxmlformats.org/officeDocument/2006/relationships/hyperlink" Target="mailto:ellenparren@gmail.com" TargetMode="External"/><Relationship Id="rId1258" Type="http://schemas.openxmlformats.org/officeDocument/2006/relationships/hyperlink" Target="mailto:m.meiermattern@gmail.com" TargetMode="External"/><Relationship Id="rId1259" Type="http://schemas.openxmlformats.org/officeDocument/2006/relationships/hyperlink" Target="mailto:judithwendelpost@gmail.com" TargetMode="External"/><Relationship Id="rId426" Type="http://schemas.openxmlformats.org/officeDocument/2006/relationships/hyperlink" Target="mailto:eva.de.man@hotmail.com" TargetMode="External"/><Relationship Id="rId425" Type="http://schemas.openxmlformats.org/officeDocument/2006/relationships/hyperlink" Target="mailto:metacoenen@hotmail.com" TargetMode="External"/><Relationship Id="rId424" Type="http://schemas.openxmlformats.org/officeDocument/2006/relationships/hyperlink" Target="mailto:pieter_vader@hotmail.com" TargetMode="External"/><Relationship Id="rId423" Type="http://schemas.openxmlformats.org/officeDocument/2006/relationships/hyperlink" Target="mailto:annaherderschee@hotmail.com" TargetMode="External"/><Relationship Id="rId429" Type="http://schemas.openxmlformats.org/officeDocument/2006/relationships/hyperlink" Target="mailto:soleill2003@yahoo.com" TargetMode="External"/><Relationship Id="rId428" Type="http://schemas.openxmlformats.org/officeDocument/2006/relationships/hyperlink" Target="mailto:andreaplomp@hotmail.com" TargetMode="External"/><Relationship Id="rId427" Type="http://schemas.openxmlformats.org/officeDocument/2006/relationships/hyperlink" Target="mailto:martenbolt@hotmail.com" TargetMode="External"/><Relationship Id="rId1250" Type="http://schemas.openxmlformats.org/officeDocument/2006/relationships/hyperlink" Target="mailto:jannasmitslurink@gmail.com" TargetMode="External"/><Relationship Id="rId1251" Type="http://schemas.openxmlformats.org/officeDocument/2006/relationships/hyperlink" Target="mailto:iemymartine@gmail.com" TargetMode="External"/><Relationship Id="rId1252" Type="http://schemas.openxmlformats.org/officeDocument/2006/relationships/hyperlink" Target="mailto:laura_sprenger@hotmail.com" TargetMode="External"/><Relationship Id="rId422" Type="http://schemas.openxmlformats.org/officeDocument/2006/relationships/hyperlink" Target="mailto:rcavedo@gmail.com" TargetMode="External"/><Relationship Id="rId1253" Type="http://schemas.openxmlformats.org/officeDocument/2006/relationships/hyperlink" Target="mailto:ljvandermeer94@gmail.com" TargetMode="External"/><Relationship Id="rId421" Type="http://schemas.openxmlformats.org/officeDocument/2006/relationships/hyperlink" Target="mailto:m.m.eekman@live.nl" TargetMode="External"/><Relationship Id="rId1254" Type="http://schemas.openxmlformats.org/officeDocument/2006/relationships/hyperlink" Target="mailto:florian.lansink@hotmail.com" TargetMode="External"/><Relationship Id="rId420" Type="http://schemas.openxmlformats.org/officeDocument/2006/relationships/hyperlink" Target="mailto:info@fennekewekker.nl" TargetMode="External"/><Relationship Id="rId1255" Type="http://schemas.openxmlformats.org/officeDocument/2006/relationships/hyperlink" Target="mailto:joostjemail@gmail.com" TargetMode="External"/><Relationship Id="rId1256" Type="http://schemas.openxmlformats.org/officeDocument/2006/relationships/hyperlink" Target="mailto:mfeitsma@yahoo.com" TargetMode="External"/><Relationship Id="rId1246" Type="http://schemas.openxmlformats.org/officeDocument/2006/relationships/hyperlink" Target="mailto:michelleruygrok@gmail.com" TargetMode="External"/><Relationship Id="rId1247" Type="http://schemas.openxmlformats.org/officeDocument/2006/relationships/hyperlink" Target="mailto:hdautse@gmail.com" TargetMode="External"/><Relationship Id="rId1248" Type="http://schemas.openxmlformats.org/officeDocument/2006/relationships/hyperlink" Target="mailto:v.j.bovenlander@gmail.com" TargetMode="External"/><Relationship Id="rId1249" Type="http://schemas.openxmlformats.org/officeDocument/2006/relationships/hyperlink" Target="mailto:liefbeth@hotmail.com" TargetMode="External"/><Relationship Id="rId415" Type="http://schemas.openxmlformats.org/officeDocument/2006/relationships/hyperlink" Target="mailto:akralt@gmail.com" TargetMode="External"/><Relationship Id="rId899" Type="http://schemas.openxmlformats.org/officeDocument/2006/relationships/hyperlink" Target="mailto:annewietske@hotmail.com" TargetMode="External"/><Relationship Id="rId414" Type="http://schemas.openxmlformats.org/officeDocument/2006/relationships/hyperlink" Target="mailto:eva_annema@yahoo.com" TargetMode="External"/><Relationship Id="rId898" Type="http://schemas.openxmlformats.org/officeDocument/2006/relationships/hyperlink" Target="mailto:koenvandijk1989@gmail.com" TargetMode="External"/><Relationship Id="rId413" Type="http://schemas.openxmlformats.org/officeDocument/2006/relationships/hyperlink" Target="mailto:jesserutters@hotmail.com" TargetMode="External"/><Relationship Id="rId897" Type="http://schemas.openxmlformats.org/officeDocument/2006/relationships/hyperlink" Target="mailto:paul.splinter@hotmail.com" TargetMode="External"/><Relationship Id="rId412" Type="http://schemas.openxmlformats.org/officeDocument/2006/relationships/hyperlink" Target="mailto:sam.bakker@live.nl" TargetMode="External"/><Relationship Id="rId896" Type="http://schemas.openxmlformats.org/officeDocument/2006/relationships/hyperlink" Target="mailto:samlouman@gmail.com" TargetMode="External"/><Relationship Id="rId419" Type="http://schemas.openxmlformats.org/officeDocument/2006/relationships/hyperlink" Target="mailto:jipi95zz@kpnmail.nl" TargetMode="External"/><Relationship Id="rId418" Type="http://schemas.openxmlformats.org/officeDocument/2006/relationships/hyperlink" Target="mailto:dolindevanbeek@gmail.com" TargetMode="External"/><Relationship Id="rId417" Type="http://schemas.openxmlformats.org/officeDocument/2006/relationships/hyperlink" Target="mailto:manoukmaalderink@hotmail.com" TargetMode="External"/><Relationship Id="rId416" Type="http://schemas.openxmlformats.org/officeDocument/2006/relationships/hyperlink" Target="mailto:Leonie.wulterkens@gmail.com" TargetMode="External"/><Relationship Id="rId891" Type="http://schemas.openxmlformats.org/officeDocument/2006/relationships/hyperlink" Target="mailto:r.theulings@gmail.com" TargetMode="External"/><Relationship Id="rId890" Type="http://schemas.openxmlformats.org/officeDocument/2006/relationships/hyperlink" Target="mailto:emmaalfonsi31@gmail.com" TargetMode="External"/><Relationship Id="rId1240" Type="http://schemas.openxmlformats.org/officeDocument/2006/relationships/hyperlink" Target="mailto:edwardvanos@gmail.com" TargetMode="External"/><Relationship Id="rId1241" Type="http://schemas.openxmlformats.org/officeDocument/2006/relationships/hyperlink" Target="mailto:elisabeth.bakker@solconmail.nl" TargetMode="External"/><Relationship Id="rId411" Type="http://schemas.openxmlformats.org/officeDocument/2006/relationships/hyperlink" Target="mailto:elisevanwijk88@gmail.com" TargetMode="External"/><Relationship Id="rId895" Type="http://schemas.openxmlformats.org/officeDocument/2006/relationships/hyperlink" Target="mailto:noraleijen@hotmail.com" TargetMode="External"/><Relationship Id="rId1242" Type="http://schemas.openxmlformats.org/officeDocument/2006/relationships/hyperlink" Target="mailto:thijs.bosselaar@gmail.com" TargetMode="External"/><Relationship Id="rId410" Type="http://schemas.openxmlformats.org/officeDocument/2006/relationships/hyperlink" Target="mailto:thirzakloens@gmail.com" TargetMode="External"/><Relationship Id="rId894" Type="http://schemas.openxmlformats.org/officeDocument/2006/relationships/hyperlink" Target="mailto:dorisaafjes98@gmail.com" TargetMode="External"/><Relationship Id="rId1243" Type="http://schemas.openxmlformats.org/officeDocument/2006/relationships/hyperlink" Target="mailto:hesterm@live.nl" TargetMode="External"/><Relationship Id="rId893" Type="http://schemas.openxmlformats.org/officeDocument/2006/relationships/hyperlink" Target="mailto:isabelgorsira@gmail.com" TargetMode="External"/><Relationship Id="rId1244" Type="http://schemas.openxmlformats.org/officeDocument/2006/relationships/hyperlink" Target="mailto:moscow.rotterdam@gmail.com" TargetMode="External"/><Relationship Id="rId892" Type="http://schemas.openxmlformats.org/officeDocument/2006/relationships/hyperlink" Target="mailto:mar10spaan@gmail.com" TargetMode="External"/><Relationship Id="rId1245" Type="http://schemas.openxmlformats.org/officeDocument/2006/relationships/hyperlink" Target="mailto:jvantland@live.nl" TargetMode="External"/><Relationship Id="rId1279" Type="http://schemas.openxmlformats.org/officeDocument/2006/relationships/hyperlink" Target="mailto:ebvdwal@gmail.com" TargetMode="External"/><Relationship Id="rId448" Type="http://schemas.openxmlformats.org/officeDocument/2006/relationships/hyperlink" Target="mailto:anjebroekman@gmail.com" TargetMode="External"/><Relationship Id="rId447" Type="http://schemas.openxmlformats.org/officeDocument/2006/relationships/hyperlink" Target="mailto:astherdenboogert@hotmail.com" TargetMode="External"/><Relationship Id="rId446" Type="http://schemas.openxmlformats.org/officeDocument/2006/relationships/hyperlink" Target="mailto:mettevandemeent@hotmail.com" TargetMode="External"/><Relationship Id="rId445" Type="http://schemas.openxmlformats.org/officeDocument/2006/relationships/hyperlink" Target="mailto:evavdhoek@gmail.com" TargetMode="External"/><Relationship Id="rId449" Type="http://schemas.openxmlformats.org/officeDocument/2006/relationships/hyperlink" Target="mailto:info@mariekeophetstrand.nl" TargetMode="External"/><Relationship Id="rId1270" Type="http://schemas.openxmlformats.org/officeDocument/2006/relationships/hyperlink" Target="mailto:l.c.bordewijk@gmail.com" TargetMode="External"/><Relationship Id="rId440" Type="http://schemas.openxmlformats.org/officeDocument/2006/relationships/hyperlink" Target="mailto:Dor.Tobias@gmail.com" TargetMode="External"/><Relationship Id="rId1271" Type="http://schemas.openxmlformats.org/officeDocument/2006/relationships/hyperlink" Target="mailto:j.e.antuma@gmail.com" TargetMode="External"/><Relationship Id="rId1272" Type="http://schemas.openxmlformats.org/officeDocument/2006/relationships/hyperlink" Target="mailto:jwramondt@hotmail.com" TargetMode="External"/><Relationship Id="rId1273" Type="http://schemas.openxmlformats.org/officeDocument/2006/relationships/hyperlink" Target="mailto:ajonges@gmail.com" TargetMode="External"/><Relationship Id="rId1274" Type="http://schemas.openxmlformats.org/officeDocument/2006/relationships/hyperlink" Target="mailto:anne.ellermann@gmail.com" TargetMode="External"/><Relationship Id="rId444" Type="http://schemas.openxmlformats.org/officeDocument/2006/relationships/hyperlink" Target="mailto:tomsan84@gmail.com" TargetMode="External"/><Relationship Id="rId1275" Type="http://schemas.openxmlformats.org/officeDocument/2006/relationships/hyperlink" Target="mailto:boyenesther@hotmail.com" TargetMode="External"/><Relationship Id="rId443" Type="http://schemas.openxmlformats.org/officeDocument/2006/relationships/hyperlink" Target="mailto:helenvanwillenswaard@yahoo.com" TargetMode="External"/><Relationship Id="rId1276" Type="http://schemas.openxmlformats.org/officeDocument/2006/relationships/hyperlink" Target="mailto:aevdzouwen@hotmail.com" TargetMode="External"/><Relationship Id="rId442" Type="http://schemas.openxmlformats.org/officeDocument/2006/relationships/hyperlink" Target="mailto:annelies.mudde@gmail.com" TargetMode="External"/><Relationship Id="rId1277" Type="http://schemas.openxmlformats.org/officeDocument/2006/relationships/hyperlink" Target="mailto:13stap_stop@icloud.com" TargetMode="External"/><Relationship Id="rId441" Type="http://schemas.openxmlformats.org/officeDocument/2006/relationships/hyperlink" Target="mailto:floortjeengels@hotmail.com" TargetMode="External"/><Relationship Id="rId1278" Type="http://schemas.openxmlformats.org/officeDocument/2006/relationships/hyperlink" Target="mailto:rmavreugde@gmail.com" TargetMode="External"/><Relationship Id="rId1268" Type="http://schemas.openxmlformats.org/officeDocument/2006/relationships/hyperlink" Target="mailto:bjtromp_96@ziggo.nl" TargetMode="External"/><Relationship Id="rId1269" Type="http://schemas.openxmlformats.org/officeDocument/2006/relationships/hyperlink" Target="mailto:cynthia.verboom@gmail.com" TargetMode="External"/><Relationship Id="rId437" Type="http://schemas.openxmlformats.org/officeDocument/2006/relationships/hyperlink" Target="mailto:k.b.kooij@gmail.com" TargetMode="External"/><Relationship Id="rId436" Type="http://schemas.openxmlformats.org/officeDocument/2006/relationships/hyperlink" Target="mailto:margot.kranenburg@gmail.com" TargetMode="External"/><Relationship Id="rId435" Type="http://schemas.openxmlformats.org/officeDocument/2006/relationships/hyperlink" Target="mailto:ndenh@xs4all.nl" TargetMode="External"/><Relationship Id="rId434" Type="http://schemas.openxmlformats.org/officeDocument/2006/relationships/hyperlink" Target="mailto:janjaapzijl@online.nl" TargetMode="External"/><Relationship Id="rId439" Type="http://schemas.openxmlformats.org/officeDocument/2006/relationships/hyperlink" Target="mailto:margotboissevain@gmail.com" TargetMode="External"/><Relationship Id="rId438" Type="http://schemas.openxmlformats.org/officeDocument/2006/relationships/hyperlink" Target="mailto:k.langeveld@hccnet.nl" TargetMode="External"/><Relationship Id="rId1260" Type="http://schemas.openxmlformats.org/officeDocument/2006/relationships/hyperlink" Target="mailto:lindseybolle@gmail.com" TargetMode="External"/><Relationship Id="rId1261" Type="http://schemas.openxmlformats.org/officeDocument/2006/relationships/hyperlink" Target="mailto:kaufenkoop@daveran.nl" TargetMode="External"/><Relationship Id="rId1262" Type="http://schemas.openxmlformats.org/officeDocument/2006/relationships/hyperlink" Target="mailto:mhesseling@xs4all.nl" TargetMode="External"/><Relationship Id="rId1263" Type="http://schemas.openxmlformats.org/officeDocument/2006/relationships/hyperlink" Target="mailto:olgaleonhard@gmail.com" TargetMode="External"/><Relationship Id="rId433" Type="http://schemas.openxmlformats.org/officeDocument/2006/relationships/hyperlink" Target="mailto:janjaapzijl@online.nl" TargetMode="External"/><Relationship Id="rId1264" Type="http://schemas.openxmlformats.org/officeDocument/2006/relationships/hyperlink" Target="mailto:mmpdriessen@gmail.com" TargetMode="External"/><Relationship Id="rId432" Type="http://schemas.openxmlformats.org/officeDocument/2006/relationships/hyperlink" Target="mailto:kaczmarek.sara@gmail.com" TargetMode="External"/><Relationship Id="rId1265" Type="http://schemas.openxmlformats.org/officeDocument/2006/relationships/hyperlink" Target="mailto:zbailleux@gmail.com" TargetMode="External"/><Relationship Id="rId431" Type="http://schemas.openxmlformats.org/officeDocument/2006/relationships/hyperlink" Target="mailto:gerretsenanna@gmail.com" TargetMode="External"/><Relationship Id="rId1266" Type="http://schemas.openxmlformats.org/officeDocument/2006/relationships/hyperlink" Target="mailto:freekschouten@hotmail.com" TargetMode="External"/><Relationship Id="rId430" Type="http://schemas.openxmlformats.org/officeDocument/2006/relationships/hyperlink" Target="mailto:max_verschoor@hotmail.com" TargetMode="External"/><Relationship Id="rId1267" Type="http://schemas.openxmlformats.org/officeDocument/2006/relationships/hyperlink" Target="mailto:cobolink@live.n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s01.ffdx.net/v4/etrack_blank.aspx?stid=SKYNET&amp;viewtype=&amp;cn=006562533600" TargetMode="External"/><Relationship Id="rId2" Type="http://schemas.openxmlformats.org/officeDocument/2006/relationships/hyperlink" Target="https://ws01.ffdx.net/v4/etrack_blank.aspx?stid=SKYNET&amp;viewtype=&amp;cn=006562550573" TargetMode="External"/><Relationship Id="rId3" Type="http://schemas.openxmlformats.org/officeDocument/2006/relationships/hyperlink" Target="https://ws01.ffdx.net/v4/etrack_blank.aspx?stid=SKYNET&amp;viewtype=&amp;cn=006562545640" TargetMode="External"/><Relationship Id="rId4" Type="http://schemas.openxmlformats.org/officeDocument/2006/relationships/hyperlink" Target="https://ws01.ffdx.net/v4/etrack_blank.aspx?stid=SKYNET&amp;viewtype=&amp;cn=006562533574" TargetMode="External"/><Relationship Id="rId9" Type="http://schemas.openxmlformats.org/officeDocument/2006/relationships/hyperlink" Target="https://ws01.ffdx.net/v4/etrack_blank.aspx?stid=SKYNET&amp;viewtype=&amp;cn=006562545625" TargetMode="External"/><Relationship Id="rId5" Type="http://schemas.openxmlformats.org/officeDocument/2006/relationships/hyperlink" Target="https://ws01.ffdx.net/v4/etrack_blank.aspx?stid=SKYNET&amp;viewtype=&amp;cn=006562533585" TargetMode="External"/><Relationship Id="rId6" Type="http://schemas.openxmlformats.org/officeDocument/2006/relationships/hyperlink" Target="https://ws01.ffdx.net/v4/etrack_blank.aspx?stid=SKYNET&amp;viewtype=&amp;cn=006562543116" TargetMode="External"/><Relationship Id="rId7" Type="http://schemas.openxmlformats.org/officeDocument/2006/relationships/hyperlink" Target="https://ws01.ffdx.net/v4/etrack_blank.aspx?stid=SKYNET&amp;viewtype=&amp;cn=006562545975" TargetMode="External"/><Relationship Id="rId8" Type="http://schemas.openxmlformats.org/officeDocument/2006/relationships/hyperlink" Target="https://ws01.ffdx.net/v4/etrack_blank.aspx?stid=SKYNET&amp;viewtype=&amp;cn=006562533563" TargetMode="External"/><Relationship Id="rId31" Type="http://schemas.openxmlformats.org/officeDocument/2006/relationships/hyperlink" Target="https://ws01.ffdx.net/v4/etrack_blank.aspx?stid=SKYNET&amp;viewtype=&amp;cn=006562545942" TargetMode="External"/><Relationship Id="rId30" Type="http://schemas.openxmlformats.org/officeDocument/2006/relationships/hyperlink" Target="https://ws01.ffdx.net/v4/etrack_blank.aspx?stid=SKYNET&amp;viewtype=&amp;cn=006562543083" TargetMode="External"/><Relationship Id="rId33" Type="http://schemas.openxmlformats.org/officeDocument/2006/relationships/drawing" Target="../drawings/drawing10.xml"/><Relationship Id="rId32" Type="http://schemas.openxmlformats.org/officeDocument/2006/relationships/hyperlink" Target="https://ws01.ffdx.net/v4/etrack_blank.aspx?stid=SKYNET&amp;viewtype=&amp;cn=006562545920" TargetMode="External"/><Relationship Id="rId20" Type="http://schemas.openxmlformats.org/officeDocument/2006/relationships/hyperlink" Target="https://ws01.ffdx.net/v4/etrack_blank.aspx?stid=SKYNET&amp;viewtype=&amp;cn=006562532594" TargetMode="External"/><Relationship Id="rId22" Type="http://schemas.openxmlformats.org/officeDocument/2006/relationships/hyperlink" Target="https://ws01.ffdx.net/v4/etrack_blank.aspx?stid=SKYNET&amp;viewtype=&amp;cn=006562543105" TargetMode="External"/><Relationship Id="rId21" Type="http://schemas.openxmlformats.org/officeDocument/2006/relationships/hyperlink" Target="https://ws01.ffdx.net/v4/etrack_blank.aspx?stid=SKYNET&amp;viewtype=&amp;cn=006562545592" TargetMode="External"/><Relationship Id="rId24" Type="http://schemas.openxmlformats.org/officeDocument/2006/relationships/hyperlink" Target="http://postnl.nl/tracktrace/?L=&amp;B=3SBKM2988393993&amp;P=5611SG&amp;D=NL&amp;T=C" TargetMode="External"/><Relationship Id="rId23" Type="http://schemas.openxmlformats.org/officeDocument/2006/relationships/hyperlink" Target="https://ws01.ffdx.net/v4/etrack_blank.aspx?stid=SKYNET&amp;viewtype=&amp;cn=006562545953" TargetMode="External"/><Relationship Id="rId26" Type="http://schemas.openxmlformats.org/officeDocument/2006/relationships/hyperlink" Target="https://ws01.ffdx.net/v4/etrack_blank.aspx?stid=SKYNET&amp;viewtype=&amp;cn=006562543094" TargetMode="External"/><Relationship Id="rId25" Type="http://schemas.openxmlformats.org/officeDocument/2006/relationships/hyperlink" Target="https://ws01.ffdx.net/v4/etrack_blank.aspx?stid=SKYNET&amp;viewtype=&amp;cn=006562545570" TargetMode="External"/><Relationship Id="rId28" Type="http://schemas.openxmlformats.org/officeDocument/2006/relationships/hyperlink" Target="https://www.dpdgroup.com/nl/mydpd/my-parcels/incoming?parcelNumber=05222893742653" TargetMode="External"/><Relationship Id="rId27" Type="http://schemas.openxmlformats.org/officeDocument/2006/relationships/hyperlink" Target="https://ws01.ffdx.net/v4/etrack_blank.aspx?stid=SKYNET&amp;viewtype=&amp;cn=006562545931" TargetMode="External"/><Relationship Id="rId29" Type="http://schemas.openxmlformats.org/officeDocument/2006/relationships/hyperlink" Target="https://ws01.ffdx.net/v4/etrack_blank.aspx?stid=SKYNET&amp;viewtype=&amp;cn=006562545662" TargetMode="External"/><Relationship Id="rId11" Type="http://schemas.openxmlformats.org/officeDocument/2006/relationships/hyperlink" Target="https://ws01.ffdx.net/v4/etrack_blank.aspx?stid=SKYNET&amp;viewtype=&amp;cn=006562545636" TargetMode="External"/><Relationship Id="rId10" Type="http://schemas.openxmlformats.org/officeDocument/2006/relationships/hyperlink" Target="https://ws01.ffdx.net/v4/etrack_blank.aspx?stid=SKYNET&amp;viewtype=&amp;cn=006562543120" TargetMode="External"/><Relationship Id="rId13" Type="http://schemas.openxmlformats.org/officeDocument/2006/relationships/hyperlink" Target="https://ws01.ffdx.net/v4/etrack_blank.aspx?stid=SKYNET&amp;viewtype=&amp;cn=006562545614" TargetMode="External"/><Relationship Id="rId12" Type="http://schemas.openxmlformats.org/officeDocument/2006/relationships/hyperlink" Target="https://ws01.ffdx.net/v4/etrack_blank.aspx?stid=SKYNET&amp;viewtype=&amp;cn=006562533552" TargetMode="External"/><Relationship Id="rId15" Type="http://schemas.openxmlformats.org/officeDocument/2006/relationships/hyperlink" Target="https://ws01.ffdx.net/v4/etrack_blank.aspx?stid=SKYNET&amp;viewtype=&amp;cn=006562543050" TargetMode="External"/><Relationship Id="rId14" Type="http://schemas.openxmlformats.org/officeDocument/2006/relationships/hyperlink" Target="https://ws01.ffdx.net/v4/etrack_blank.aspx?stid=SKYNET&amp;viewtype=&amp;cn=006562533541" TargetMode="External"/><Relationship Id="rId17" Type="http://schemas.openxmlformats.org/officeDocument/2006/relationships/hyperlink" Target="https://ws01.ffdx.net/v4/etrack_blank.aspx?stid=SKYNET&amp;viewtype=&amp;cn=006562543061" TargetMode="External"/><Relationship Id="rId16" Type="http://schemas.openxmlformats.org/officeDocument/2006/relationships/hyperlink" Target="https://ws01.ffdx.net/v4/etrack_blank.aspx?stid=SKYNET&amp;viewtype=&amp;cn=006562545603" TargetMode="External"/><Relationship Id="rId19" Type="http://schemas.openxmlformats.org/officeDocument/2006/relationships/hyperlink" Target="https://ws01.ffdx.net/v4/etrack_blank.aspx?stid=SKYNET&amp;viewtype=&amp;cn=006562533530" TargetMode="External"/><Relationship Id="rId18" Type="http://schemas.openxmlformats.org/officeDocument/2006/relationships/hyperlink" Target="https://ws01.ffdx.net/v4/etrack_blank.aspx?stid=SKYNET&amp;viewtype=&amp;cn=006562545581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40.13"/>
    <col customWidth="1" min="3" max="3" width="13.88"/>
    <col hidden="1" min="4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>
        <v>1.464683095E9</v>
      </c>
      <c r="E2" s="2" t="s">
        <v>5</v>
      </c>
    </row>
    <row r="3">
      <c r="A3" s="5" t="s">
        <v>5</v>
      </c>
      <c r="B3" s="6" t="s">
        <v>8</v>
      </c>
      <c r="C3" s="6" t="s">
        <v>7</v>
      </c>
      <c r="D3" s="7">
        <v>6.76878321E8</v>
      </c>
      <c r="E3" s="5" t="s">
        <v>5</v>
      </c>
    </row>
    <row r="4">
      <c r="A4" s="2" t="s">
        <v>5</v>
      </c>
      <c r="B4" s="3" t="s">
        <v>9</v>
      </c>
      <c r="C4" s="3" t="s">
        <v>7</v>
      </c>
      <c r="D4" s="4">
        <v>1.979170386E9</v>
      </c>
      <c r="E4" s="2" t="s">
        <v>5</v>
      </c>
    </row>
    <row r="5">
      <c r="A5" s="5" t="s">
        <v>10</v>
      </c>
      <c r="B5" s="6" t="s">
        <v>11</v>
      </c>
      <c r="C5" s="6" t="s">
        <v>7</v>
      </c>
      <c r="D5" s="7">
        <v>1.542866148E9</v>
      </c>
      <c r="E5" s="5" t="s">
        <v>10</v>
      </c>
    </row>
    <row r="6">
      <c r="A6" s="2" t="s">
        <v>10</v>
      </c>
      <c r="B6" s="3" t="s">
        <v>12</v>
      </c>
      <c r="C6" s="3" t="s">
        <v>7</v>
      </c>
      <c r="D6" s="4">
        <v>1.469470261E9</v>
      </c>
      <c r="E6" s="2" t="s">
        <v>10</v>
      </c>
    </row>
    <row r="7">
      <c r="A7" s="5" t="s">
        <v>10</v>
      </c>
      <c r="B7" s="6" t="s">
        <v>13</v>
      </c>
      <c r="C7" s="6" t="s">
        <v>7</v>
      </c>
      <c r="D7" s="7">
        <v>0.0</v>
      </c>
      <c r="E7" s="5" t="s">
        <v>10</v>
      </c>
    </row>
    <row r="8">
      <c r="A8" s="2" t="s">
        <v>10</v>
      </c>
      <c r="B8" s="3" t="s">
        <v>14</v>
      </c>
      <c r="C8" s="3" t="s">
        <v>7</v>
      </c>
      <c r="D8" s="4">
        <v>3.59113496E8</v>
      </c>
      <c r="E8" s="2" t="s">
        <v>10</v>
      </c>
    </row>
    <row r="9">
      <c r="A9" s="5" t="s">
        <v>15</v>
      </c>
      <c r="B9" s="6" t="s">
        <v>16</v>
      </c>
      <c r="C9" s="6" t="s">
        <v>7</v>
      </c>
      <c r="D9" s="7">
        <v>1.44635051E9</v>
      </c>
      <c r="E9" s="5" t="s">
        <v>15</v>
      </c>
    </row>
    <row r="10">
      <c r="A10" s="2" t="s">
        <v>15</v>
      </c>
      <c r="B10" s="3" t="s">
        <v>17</v>
      </c>
      <c r="C10" s="3" t="s">
        <v>7</v>
      </c>
      <c r="D10" s="4">
        <v>1.975234017E9</v>
      </c>
      <c r="E10" s="2" t="s">
        <v>15</v>
      </c>
    </row>
    <row r="11">
      <c r="A11" s="5" t="s">
        <v>15</v>
      </c>
      <c r="B11" s="6" t="s">
        <v>18</v>
      </c>
      <c r="C11" s="6" t="s">
        <v>7</v>
      </c>
      <c r="D11" s="7">
        <v>2.028403462E9</v>
      </c>
      <c r="E11" s="5" t="s">
        <v>15</v>
      </c>
    </row>
    <row r="12">
      <c r="A12" s="2" t="s">
        <v>15</v>
      </c>
      <c r="B12" s="3" t="s">
        <v>19</v>
      </c>
      <c r="C12" s="3" t="s">
        <v>7</v>
      </c>
      <c r="D12" s="4">
        <v>1.385741807E9</v>
      </c>
      <c r="E12" s="2" t="s">
        <v>15</v>
      </c>
    </row>
    <row r="13">
      <c r="A13" s="5" t="s">
        <v>15</v>
      </c>
      <c r="B13" s="6" t="s">
        <v>20</v>
      </c>
      <c r="C13" s="6" t="s">
        <v>7</v>
      </c>
      <c r="D13" s="7">
        <v>2.121429765E9</v>
      </c>
      <c r="E13" s="5" t="s">
        <v>15</v>
      </c>
    </row>
    <row r="14">
      <c r="A14" s="2" t="s">
        <v>15</v>
      </c>
      <c r="B14" s="3" t="s">
        <v>21</v>
      </c>
      <c r="C14" s="3" t="s">
        <v>7</v>
      </c>
      <c r="D14" s="4">
        <v>6.8516605E7</v>
      </c>
      <c r="E14" s="2" t="s">
        <v>15</v>
      </c>
    </row>
    <row r="15">
      <c r="A15" s="5" t="s">
        <v>15</v>
      </c>
      <c r="B15" s="6" t="s">
        <v>22</v>
      </c>
      <c r="C15" s="6" t="s">
        <v>7</v>
      </c>
      <c r="D15" s="7">
        <v>1.548302595E9</v>
      </c>
      <c r="E15" s="5" t="s">
        <v>15</v>
      </c>
    </row>
    <row r="16">
      <c r="A16" s="2" t="s">
        <v>15</v>
      </c>
      <c r="B16" s="3" t="s">
        <v>23</v>
      </c>
      <c r="C16" s="3" t="s">
        <v>7</v>
      </c>
      <c r="D16" s="4">
        <v>1.734819275E9</v>
      </c>
      <c r="E16" s="2" t="s">
        <v>15</v>
      </c>
    </row>
    <row r="17">
      <c r="A17" s="5" t="s">
        <v>15</v>
      </c>
      <c r="B17" s="6" t="s">
        <v>24</v>
      </c>
      <c r="C17" s="6" t="s">
        <v>7</v>
      </c>
      <c r="D17" s="7">
        <v>2.047549723E9</v>
      </c>
      <c r="E17" s="5" t="s">
        <v>15</v>
      </c>
    </row>
    <row r="18">
      <c r="A18" s="2" t="s">
        <v>15</v>
      </c>
      <c r="B18" s="3" t="s">
        <v>25</v>
      </c>
      <c r="C18" s="3" t="s">
        <v>7</v>
      </c>
      <c r="D18" s="4">
        <v>6.29046306E8</v>
      </c>
      <c r="E18" s="2" t="s">
        <v>15</v>
      </c>
    </row>
    <row r="19">
      <c r="A19" s="5" t="s">
        <v>15</v>
      </c>
      <c r="B19" s="6" t="s">
        <v>26</v>
      </c>
      <c r="C19" s="6" t="s">
        <v>7</v>
      </c>
      <c r="D19" s="7">
        <v>1.466512907E9</v>
      </c>
      <c r="E19" s="5" t="s">
        <v>15</v>
      </c>
    </row>
    <row r="20">
      <c r="A20" s="2" t="s">
        <v>15</v>
      </c>
      <c r="B20" s="3" t="s">
        <v>27</v>
      </c>
      <c r="C20" s="3" t="s">
        <v>7</v>
      </c>
      <c r="D20" s="4">
        <v>1.0301409E8</v>
      </c>
      <c r="E20" s="2" t="s">
        <v>15</v>
      </c>
    </row>
    <row r="21">
      <c r="A21" s="5" t="s">
        <v>28</v>
      </c>
      <c r="B21" s="6" t="s">
        <v>29</v>
      </c>
      <c r="C21" s="6" t="s">
        <v>7</v>
      </c>
      <c r="D21" s="7">
        <v>8.91462018E8</v>
      </c>
      <c r="E21" s="5" t="s">
        <v>28</v>
      </c>
    </row>
    <row r="22">
      <c r="A22" s="2" t="s">
        <v>28</v>
      </c>
      <c r="B22" s="3" t="s">
        <v>30</v>
      </c>
      <c r="C22" s="3" t="s">
        <v>7</v>
      </c>
      <c r="D22" s="4">
        <v>1.074497427E9</v>
      </c>
      <c r="E22" s="2" t="s">
        <v>28</v>
      </c>
    </row>
    <row r="23">
      <c r="A23" s="5" t="s">
        <v>28</v>
      </c>
      <c r="B23" s="6" t="s">
        <v>31</v>
      </c>
      <c r="C23" s="6" t="s">
        <v>7</v>
      </c>
      <c r="D23" s="7">
        <v>8.78667926E8</v>
      </c>
      <c r="E23" s="5" t="s">
        <v>28</v>
      </c>
    </row>
    <row r="24">
      <c r="A24" s="2" t="s">
        <v>28</v>
      </c>
      <c r="B24" s="3" t="s">
        <v>32</v>
      </c>
      <c r="C24" s="3" t="s">
        <v>7</v>
      </c>
      <c r="D24" s="4">
        <v>1.85362526E8</v>
      </c>
      <c r="E24" s="2" t="s">
        <v>28</v>
      </c>
    </row>
    <row r="25">
      <c r="A25" s="5" t="s">
        <v>28</v>
      </c>
      <c r="B25" s="6" t="s">
        <v>33</v>
      </c>
      <c r="C25" s="6" t="s">
        <v>7</v>
      </c>
      <c r="D25" s="7">
        <v>1.343315257E9</v>
      </c>
      <c r="E25" s="5" t="s">
        <v>28</v>
      </c>
    </row>
    <row r="26">
      <c r="A26" s="2" t="s">
        <v>28</v>
      </c>
      <c r="B26" s="3" t="s">
        <v>34</v>
      </c>
      <c r="C26" s="3" t="s">
        <v>7</v>
      </c>
      <c r="D26" s="4">
        <v>4.85676665E8</v>
      </c>
      <c r="E26" s="2" t="s">
        <v>28</v>
      </c>
    </row>
    <row r="27">
      <c r="A27" s="5" t="s">
        <v>28</v>
      </c>
      <c r="B27" s="6" t="s">
        <v>35</v>
      </c>
      <c r="C27" s="6" t="s">
        <v>7</v>
      </c>
      <c r="D27" s="7">
        <v>1.11450943E9</v>
      </c>
      <c r="E27" s="5" t="s">
        <v>28</v>
      </c>
    </row>
    <row r="28">
      <c r="A28" s="2" t="s">
        <v>28</v>
      </c>
      <c r="B28" s="3" t="s">
        <v>36</v>
      </c>
      <c r="C28" s="3" t="s">
        <v>7</v>
      </c>
      <c r="D28" s="4">
        <v>3.40624164E8</v>
      </c>
      <c r="E28" s="2" t="s">
        <v>28</v>
      </c>
    </row>
    <row r="29">
      <c r="A29" s="5" t="s">
        <v>28</v>
      </c>
      <c r="B29" s="6" t="s">
        <v>37</v>
      </c>
      <c r="C29" s="6" t="s">
        <v>7</v>
      </c>
      <c r="D29" s="7">
        <v>1.432239534E9</v>
      </c>
      <c r="E29" s="5" t="s">
        <v>28</v>
      </c>
    </row>
    <row r="30">
      <c r="A30" s="2" t="s">
        <v>28</v>
      </c>
      <c r="B30" s="3" t="s">
        <v>38</v>
      </c>
      <c r="C30" s="3" t="s">
        <v>7</v>
      </c>
      <c r="D30" s="4">
        <v>1.005258013E9</v>
      </c>
      <c r="E30" s="2" t="s">
        <v>28</v>
      </c>
    </row>
    <row r="31">
      <c r="A31" s="5" t="s">
        <v>28</v>
      </c>
      <c r="B31" s="6" t="s">
        <v>39</v>
      </c>
      <c r="C31" s="6" t="s">
        <v>7</v>
      </c>
      <c r="D31" s="7">
        <v>8.13473938E8</v>
      </c>
      <c r="E31" s="5" t="s">
        <v>28</v>
      </c>
    </row>
    <row r="32">
      <c r="A32" s="2" t="s">
        <v>28</v>
      </c>
      <c r="B32" s="3" t="s">
        <v>40</v>
      </c>
      <c r="C32" s="3" t="s">
        <v>7</v>
      </c>
      <c r="D32" s="4">
        <v>7.54600414E8</v>
      </c>
      <c r="E32" s="2" t="s">
        <v>28</v>
      </c>
    </row>
    <row r="33">
      <c r="A33" s="5" t="s">
        <v>41</v>
      </c>
      <c r="B33" s="6" t="s">
        <v>42</v>
      </c>
      <c r="C33" s="6" t="s">
        <v>7</v>
      </c>
      <c r="D33" s="7">
        <v>8.71624939E8</v>
      </c>
      <c r="E33" s="5" t="s">
        <v>41</v>
      </c>
    </row>
    <row r="34">
      <c r="A34" s="2" t="s">
        <v>41</v>
      </c>
      <c r="B34" s="3" t="s">
        <v>43</v>
      </c>
      <c r="C34" s="3" t="s">
        <v>7</v>
      </c>
      <c r="D34" s="4">
        <v>1.70154596E9</v>
      </c>
      <c r="E34" s="2" t="s">
        <v>41</v>
      </c>
    </row>
    <row r="35">
      <c r="A35" s="5" t="s">
        <v>41</v>
      </c>
      <c r="B35" s="6" t="s">
        <v>44</v>
      </c>
      <c r="C35" s="6" t="s">
        <v>7</v>
      </c>
      <c r="D35" s="7">
        <v>1.009675221E9</v>
      </c>
      <c r="E35" s="5" t="s">
        <v>41</v>
      </c>
    </row>
    <row r="36">
      <c r="A36" s="2" t="s">
        <v>41</v>
      </c>
      <c r="B36" s="3" t="s">
        <v>45</v>
      </c>
      <c r="C36" s="3" t="s">
        <v>7</v>
      </c>
      <c r="D36" s="4">
        <v>1.830711686E9</v>
      </c>
      <c r="E36" s="2" t="s">
        <v>41</v>
      </c>
    </row>
    <row r="37">
      <c r="A37" s="5" t="s">
        <v>41</v>
      </c>
      <c r="B37" s="6" t="s">
        <v>46</v>
      </c>
      <c r="C37" s="6" t="s">
        <v>7</v>
      </c>
      <c r="D37" s="7">
        <v>3.63078253E8</v>
      </c>
      <c r="E37" s="5" t="s">
        <v>41</v>
      </c>
    </row>
    <row r="38">
      <c r="A38" s="2" t="s">
        <v>41</v>
      </c>
      <c r="B38" s="3" t="s">
        <v>47</v>
      </c>
      <c r="C38" s="3" t="s">
        <v>7</v>
      </c>
      <c r="D38" s="4">
        <v>1.726991908E9</v>
      </c>
      <c r="E38" s="2" t="s">
        <v>41</v>
      </c>
    </row>
    <row r="39">
      <c r="A39" s="5" t="s">
        <v>41</v>
      </c>
      <c r="B39" s="6" t="s">
        <v>48</v>
      </c>
      <c r="C39" s="6" t="s">
        <v>7</v>
      </c>
      <c r="D39" s="7">
        <v>9.97213306E8</v>
      </c>
      <c r="E39" s="5" t="s">
        <v>41</v>
      </c>
    </row>
    <row r="40">
      <c r="A40" s="2" t="s">
        <v>41</v>
      </c>
      <c r="B40" s="3" t="s">
        <v>49</v>
      </c>
      <c r="C40" s="3" t="s">
        <v>7</v>
      </c>
      <c r="D40" s="4">
        <v>1.193219338E9</v>
      </c>
      <c r="E40" s="2" t="s">
        <v>41</v>
      </c>
    </row>
    <row r="41">
      <c r="A41" s="5" t="s">
        <v>41</v>
      </c>
      <c r="B41" s="6" t="s">
        <v>50</v>
      </c>
      <c r="C41" s="6" t="s">
        <v>7</v>
      </c>
      <c r="D41" s="7">
        <v>1.699637074E9</v>
      </c>
      <c r="E41" s="5" t="s">
        <v>41</v>
      </c>
    </row>
  </sheetData>
  <autoFilter ref="$A$1:$E$41"/>
  <dataValidations>
    <dataValidation type="list" allowBlank="1" sqref="A2:A41">
      <formula1>"INPUT,OVERZICHT,TRANSPORT,DEF VOORRAAD,OVERIG"</formula1>
    </dataValidation>
  </dataValidations>
  <hyperlinks>
    <hyperlink r:id="rId1" location="gid=1464683095" ref="B2"/>
    <hyperlink r:id="rId2" location="gid=1464683095" ref="C2"/>
    <hyperlink r:id="rId3" location="gid=676878321" ref="B3"/>
    <hyperlink r:id="rId4" location="gid=676878321" ref="C3"/>
    <hyperlink r:id="rId5" location="gid=1979170386" ref="B4"/>
    <hyperlink r:id="rId6" location="gid=1979170386" ref="C4"/>
    <hyperlink r:id="rId7" location="gid=1542866148" ref="B5"/>
    <hyperlink r:id="rId8" location="gid=1542866148" ref="C5"/>
    <hyperlink r:id="rId9" location="gid=1469470261" ref="B6"/>
    <hyperlink r:id="rId10" location="gid=1469470261" ref="C6"/>
    <hyperlink r:id="rId11" location="gid=0" ref="B7"/>
    <hyperlink r:id="rId12" location="gid=0" ref="C7"/>
    <hyperlink r:id="rId13" location="gid=359113496" ref="B8"/>
    <hyperlink r:id="rId14" location="gid=359113496" ref="C8"/>
    <hyperlink r:id="rId15" location="gid=1446350510" ref="B9"/>
    <hyperlink r:id="rId16" location="gid=1446350510" ref="C9"/>
    <hyperlink r:id="rId17" location="gid=1975234017" ref="B10"/>
    <hyperlink r:id="rId18" location="gid=1975234017" ref="C10"/>
    <hyperlink r:id="rId19" location="gid=2028403462" ref="B11"/>
    <hyperlink r:id="rId20" location="gid=2028403462" ref="C11"/>
    <hyperlink r:id="rId21" location="gid=1385741807" ref="B12"/>
    <hyperlink r:id="rId22" location="gid=1385741807" ref="C12"/>
    <hyperlink r:id="rId23" location="gid=2121429765" ref="B13"/>
    <hyperlink r:id="rId24" location="gid=2121429765" ref="C13"/>
    <hyperlink r:id="rId25" location="gid=68516605" ref="B14"/>
    <hyperlink r:id="rId26" location="gid=68516605" ref="C14"/>
    <hyperlink r:id="rId27" location="gid=1548302595" ref="B15"/>
    <hyperlink r:id="rId28" location="gid=1548302595" ref="C15"/>
    <hyperlink r:id="rId29" location="gid=1734819275" ref="B16"/>
    <hyperlink r:id="rId30" location="gid=1734819275" ref="C16"/>
    <hyperlink r:id="rId31" location="gid=2047549723" ref="B17"/>
    <hyperlink r:id="rId32" location="gid=2047549723" ref="C17"/>
    <hyperlink r:id="rId33" location="gid=629046306" ref="B18"/>
    <hyperlink r:id="rId34" location="gid=629046306" ref="C18"/>
    <hyperlink r:id="rId35" location="gid=1466512907" ref="B19"/>
    <hyperlink r:id="rId36" location="gid=1466512907" ref="C19"/>
    <hyperlink r:id="rId37" location="gid=103014090" ref="B20"/>
    <hyperlink r:id="rId38" location="gid=103014090" ref="C20"/>
    <hyperlink r:id="rId39" location="gid=891462018" ref="B21"/>
    <hyperlink r:id="rId40" location="gid=891462018" ref="C21"/>
    <hyperlink r:id="rId41" location="gid=1074497427" ref="B22"/>
    <hyperlink r:id="rId42" location="gid=1074497427" ref="C22"/>
    <hyperlink r:id="rId43" location="gid=878667926" ref="B23"/>
    <hyperlink r:id="rId44" location="gid=878667926" ref="C23"/>
    <hyperlink r:id="rId45" location="gid=185362526" ref="B24"/>
    <hyperlink r:id="rId46" location="gid=185362526" ref="C24"/>
    <hyperlink r:id="rId47" location="gid=1343315257" ref="B25"/>
    <hyperlink r:id="rId48" location="gid=1343315257" ref="C25"/>
    <hyperlink r:id="rId49" location="gid=485676665" ref="B26"/>
    <hyperlink r:id="rId50" location="gid=485676665" ref="C26"/>
    <hyperlink r:id="rId51" location="gid=1114509430" ref="B27"/>
    <hyperlink r:id="rId52" location="gid=1114509430" ref="C27"/>
    <hyperlink r:id="rId53" location="gid=340624164" ref="B28"/>
    <hyperlink r:id="rId54" location="gid=340624164" ref="C28"/>
    <hyperlink r:id="rId55" location="gid=1432239534" ref="B29"/>
    <hyperlink r:id="rId56" location="gid=1432239534" ref="C29"/>
    <hyperlink r:id="rId57" location="gid=1005258013" ref="B30"/>
    <hyperlink r:id="rId58" location="gid=1005258013" ref="C30"/>
    <hyperlink r:id="rId59" location="gid=813473938" ref="B31"/>
    <hyperlink r:id="rId60" location="gid=813473938" ref="C31"/>
    <hyperlink r:id="rId61" location="gid=754600414" ref="B32"/>
    <hyperlink r:id="rId62" location="gid=754600414" ref="C32"/>
    <hyperlink r:id="rId63" location="gid=871624939" ref="B33"/>
    <hyperlink r:id="rId64" location="gid=871624939" ref="C33"/>
    <hyperlink r:id="rId65" location="gid=1701545960" ref="B34"/>
    <hyperlink r:id="rId66" location="gid=1701545960" ref="C34"/>
    <hyperlink r:id="rId67" location="gid=1009675221" ref="B35"/>
    <hyperlink r:id="rId68" location="gid=1009675221" ref="C35"/>
    <hyperlink r:id="rId69" location="gid=1830711686" ref="B36"/>
    <hyperlink r:id="rId70" location="gid=1830711686" ref="C36"/>
    <hyperlink r:id="rId71" location="gid=363078253" ref="B37"/>
    <hyperlink r:id="rId72" location="gid=363078253" ref="C37"/>
    <hyperlink r:id="rId73" location="gid=1726991908" ref="B38"/>
    <hyperlink r:id="rId74" location="gid=1726991908" ref="C38"/>
    <hyperlink r:id="rId75" location="gid=997213306" ref="B39"/>
    <hyperlink r:id="rId76" location="gid=997213306" ref="C39"/>
    <hyperlink r:id="rId77" location="gid=1193219338" ref="B40"/>
    <hyperlink r:id="rId78" location="gid=1193219338" ref="C40"/>
    <hyperlink r:id="rId79" location="gid=1699637074" ref="B41"/>
    <hyperlink r:id="rId80" location="gid=1699637074" ref="C41"/>
  </hyperlinks>
  <drawing r:id="rId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7.5"/>
    <col customWidth="1" min="3" max="3" width="12.25"/>
    <col customWidth="1" min="4" max="4" width="15.5"/>
  </cols>
  <sheetData>
    <row r="1">
      <c r="A1" s="8" t="s">
        <v>0</v>
      </c>
      <c r="B1" s="8" t="s">
        <v>51</v>
      </c>
      <c r="C1" s="8" t="s">
        <v>52</v>
      </c>
      <c r="D1" s="8" t="s">
        <v>53</v>
      </c>
    </row>
    <row r="2">
      <c r="A2" s="9" t="s">
        <v>54</v>
      </c>
      <c r="B2" s="10">
        <v>47.0</v>
      </c>
      <c r="C2" s="11">
        <f>IFERROR(VLOOKUP(A2,'BB | DEF voorraad D&amp;K'!A:B,2,FALSE),0)</f>
        <v>78</v>
      </c>
      <c r="D2" s="11">
        <f t="shared" ref="D2:D3" si="1">C2-B2</f>
        <v>31</v>
      </c>
    </row>
    <row r="3">
      <c r="A3" s="9" t="s">
        <v>55</v>
      </c>
      <c r="B3" s="10">
        <v>80.0</v>
      </c>
      <c r="C3" s="11">
        <f>IFERROR(VLOOKUP(A3,'BB | DEF voorraad D&amp;K'!A:B,2,FALSE),0)</f>
        <v>85</v>
      </c>
      <c r="D3" s="11">
        <f t="shared" si="1"/>
        <v>5</v>
      </c>
    </row>
    <row r="4">
      <c r="A4" s="12"/>
      <c r="B4" s="13"/>
      <c r="C4" s="13"/>
      <c r="D4" s="13"/>
    </row>
    <row r="5">
      <c r="A5" s="14" t="s">
        <v>56</v>
      </c>
      <c r="B5" s="15">
        <v>127.0</v>
      </c>
      <c r="C5" s="16"/>
      <c r="D5" s="16"/>
    </row>
    <row r="6">
      <c r="A6" s="12"/>
      <c r="B6" s="13"/>
      <c r="C6" s="13"/>
      <c r="D6" s="13"/>
    </row>
    <row r="7">
      <c r="A7" s="17" t="s">
        <v>57</v>
      </c>
      <c r="B7" s="18">
        <v>127.0</v>
      </c>
      <c r="C7" s="19"/>
      <c r="D7" s="19"/>
    </row>
  </sheetData>
  <conditionalFormatting sqref="D2:D4">
    <cfRule type="cellIs" dxfId="1" priority="1" stopIfTrue="1" operator="lessThan">
      <formula>0</formula>
    </cfRule>
  </conditionalFormatting>
  <conditionalFormatting sqref="D2:D4">
    <cfRule type="cellIs" dxfId="2" priority="2" stopIfTrue="1" operator="greaterThan">
      <formula>0</formula>
    </cfRule>
  </conditionalFormatting>
  <conditionalFormatting sqref="D2:D4">
    <cfRule type="cellIs" dxfId="3" priority="3" stopIfTrue="1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5" width="44.13"/>
    <col customWidth="1" min="6" max="6" width="39.38"/>
    <col customWidth="1" min="7" max="7" width="44.13"/>
    <col customWidth="1" min="8" max="8" width="73.5"/>
    <col customWidth="1" min="9" max="26" width="44.13"/>
    <col customWidth="1" min="27" max="27" width="18.38"/>
    <col customWidth="1" min="28" max="28" width="20.13"/>
    <col customWidth="1" min="29" max="29" width="22.38"/>
    <col customWidth="1" min="30" max="30" width="25.5"/>
    <col customWidth="1" min="31" max="31" width="25.63"/>
    <col customWidth="1" min="32" max="32" width="47.63"/>
    <col customWidth="1" min="34" max="34" width="23.5"/>
    <col customWidth="1" min="35" max="35" width="22.38"/>
    <col customWidth="1" min="36" max="36" width="7.75"/>
  </cols>
  <sheetData>
    <row r="1">
      <c r="A1" s="20" t="s">
        <v>58</v>
      </c>
      <c r="B1" s="20" t="s">
        <v>59</v>
      </c>
      <c r="C1" s="20" t="s">
        <v>60</v>
      </c>
      <c r="D1" s="20" t="s">
        <v>61</v>
      </c>
      <c r="E1" s="20" t="s">
        <v>62</v>
      </c>
      <c r="F1" s="20" t="s">
        <v>63</v>
      </c>
      <c r="G1" s="20" t="s">
        <v>64</v>
      </c>
      <c r="H1" s="20" t="s">
        <v>65</v>
      </c>
      <c r="I1" s="20" t="s">
        <v>66</v>
      </c>
      <c r="J1" s="20" t="s">
        <v>67</v>
      </c>
      <c r="K1" s="20" t="s">
        <v>68</v>
      </c>
      <c r="L1" s="20" t="s">
        <v>69</v>
      </c>
      <c r="M1" s="20" t="s">
        <v>70</v>
      </c>
      <c r="N1" s="20" t="s">
        <v>71</v>
      </c>
      <c r="O1" s="20" t="s">
        <v>72</v>
      </c>
      <c r="P1" s="20" t="s">
        <v>73</v>
      </c>
      <c r="Q1" s="20" t="s">
        <v>74</v>
      </c>
      <c r="R1" s="20" t="s">
        <v>75</v>
      </c>
      <c r="S1" s="20" t="s">
        <v>76</v>
      </c>
      <c r="T1" s="20" t="s">
        <v>77</v>
      </c>
      <c r="U1" s="20" t="s">
        <v>78</v>
      </c>
      <c r="V1" s="20" t="s">
        <v>79</v>
      </c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</row>
    <row r="2">
      <c r="A2" s="21" t="s">
        <v>80</v>
      </c>
      <c r="B2" s="22" t="s">
        <v>81</v>
      </c>
      <c r="C2" s="22" t="s">
        <v>82</v>
      </c>
      <c r="D2" s="23">
        <v>45990.0</v>
      </c>
      <c r="E2" s="22"/>
      <c r="F2" s="22" t="s">
        <v>83</v>
      </c>
      <c r="G2" s="22" t="s">
        <v>84</v>
      </c>
      <c r="H2" s="22" t="s">
        <v>80</v>
      </c>
      <c r="I2" s="22">
        <v>1.0399266046275E13</v>
      </c>
      <c r="J2" s="22" t="s">
        <v>85</v>
      </c>
      <c r="K2" s="24"/>
      <c r="L2" s="22" t="s">
        <v>86</v>
      </c>
      <c r="M2" s="22">
        <v>1.0</v>
      </c>
      <c r="N2" s="22" t="s">
        <v>87</v>
      </c>
      <c r="O2" s="22" t="s">
        <v>88</v>
      </c>
      <c r="P2" s="22" t="s">
        <v>89</v>
      </c>
      <c r="Q2" s="22" t="s">
        <v>90</v>
      </c>
      <c r="R2" s="22">
        <v>3.2610112209219E13</v>
      </c>
      <c r="S2" s="22" t="s">
        <v>89</v>
      </c>
      <c r="T2" s="24"/>
      <c r="U2" s="24"/>
      <c r="V2" s="22" t="s">
        <v>91</v>
      </c>
      <c r="W2" s="24"/>
      <c r="X2" s="24"/>
      <c r="Y2" s="22"/>
      <c r="Z2" s="22"/>
      <c r="AA2" s="24"/>
      <c r="AB2" s="24"/>
      <c r="AC2" s="22"/>
      <c r="AD2" s="22"/>
      <c r="AE2" s="24"/>
      <c r="AF2" s="24"/>
      <c r="AG2" s="22"/>
      <c r="AH2" s="22"/>
      <c r="AI2" s="24"/>
      <c r="AJ2" s="24"/>
      <c r="AK2" s="22"/>
      <c r="AL2" s="22"/>
      <c r="AM2" s="24"/>
      <c r="AN2" s="25"/>
    </row>
    <row r="3">
      <c r="A3" s="21" t="s">
        <v>92</v>
      </c>
      <c r="B3" s="22" t="s">
        <v>81</v>
      </c>
      <c r="C3" s="22" t="s">
        <v>82</v>
      </c>
      <c r="D3" s="23">
        <v>45990.0</v>
      </c>
      <c r="E3" s="22"/>
      <c r="F3" s="22" t="s">
        <v>83</v>
      </c>
      <c r="G3" s="22" t="s">
        <v>93</v>
      </c>
      <c r="H3" s="22" t="s">
        <v>92</v>
      </c>
      <c r="I3" s="22">
        <v>1.0406955221315E13</v>
      </c>
      <c r="J3" s="22" t="s">
        <v>85</v>
      </c>
      <c r="K3" s="24"/>
      <c r="L3" s="22" t="s">
        <v>94</v>
      </c>
      <c r="M3" s="22">
        <v>1.0</v>
      </c>
      <c r="N3" s="22" t="s">
        <v>87</v>
      </c>
      <c r="O3" s="22" t="s">
        <v>88</v>
      </c>
      <c r="P3" s="22" t="s">
        <v>89</v>
      </c>
      <c r="Q3" s="22" t="s">
        <v>90</v>
      </c>
      <c r="R3" s="22">
        <v>3.2629987901763E13</v>
      </c>
      <c r="S3" s="22" t="s">
        <v>89</v>
      </c>
      <c r="T3" s="24"/>
      <c r="U3" s="24"/>
      <c r="V3" s="22" t="s">
        <v>95</v>
      </c>
      <c r="W3" s="24"/>
      <c r="X3" s="24"/>
      <c r="Y3" s="22"/>
      <c r="Z3" s="22"/>
      <c r="AA3" s="24"/>
      <c r="AB3" s="24"/>
      <c r="AC3" s="22"/>
      <c r="AD3" s="22"/>
      <c r="AE3" s="24"/>
      <c r="AF3" s="24"/>
      <c r="AG3" s="22"/>
      <c r="AH3" s="22"/>
      <c r="AI3" s="24"/>
      <c r="AJ3" s="24"/>
      <c r="AK3" s="22"/>
      <c r="AL3" s="22"/>
      <c r="AM3" s="24"/>
      <c r="AN3" s="25"/>
    </row>
    <row r="4">
      <c r="A4" s="21" t="s">
        <v>96</v>
      </c>
      <c r="B4" s="22" t="s">
        <v>81</v>
      </c>
      <c r="C4" s="22" t="s">
        <v>82</v>
      </c>
      <c r="D4" s="23">
        <v>45990.0</v>
      </c>
      <c r="E4" s="22"/>
      <c r="F4" s="22" t="s">
        <v>83</v>
      </c>
      <c r="G4" s="22" t="s">
        <v>97</v>
      </c>
      <c r="H4" s="22" t="s">
        <v>96</v>
      </c>
      <c r="I4" s="22">
        <v>1.0408696578371E13</v>
      </c>
      <c r="J4" s="22" t="s">
        <v>85</v>
      </c>
      <c r="K4" s="24"/>
      <c r="L4" s="22" t="s">
        <v>98</v>
      </c>
      <c r="M4" s="22">
        <v>1.0</v>
      </c>
      <c r="N4" s="22" t="s">
        <v>87</v>
      </c>
      <c r="O4" s="22" t="s">
        <v>88</v>
      </c>
      <c r="P4" s="22" t="s">
        <v>89</v>
      </c>
      <c r="Q4" s="22" t="s">
        <v>90</v>
      </c>
      <c r="R4" s="22">
        <v>3.2633448399171E13</v>
      </c>
      <c r="S4" s="22" t="s">
        <v>89</v>
      </c>
      <c r="T4" s="24"/>
      <c r="U4" s="24"/>
      <c r="V4" s="22" t="s">
        <v>55</v>
      </c>
      <c r="W4" s="24"/>
      <c r="X4" s="24"/>
      <c r="Y4" s="22"/>
      <c r="Z4" s="22"/>
      <c r="AA4" s="24"/>
      <c r="AB4" s="24"/>
      <c r="AC4" s="22"/>
      <c r="AD4" s="22"/>
      <c r="AE4" s="24"/>
      <c r="AF4" s="24"/>
      <c r="AG4" s="22"/>
      <c r="AH4" s="22"/>
      <c r="AI4" s="24"/>
      <c r="AJ4" s="24"/>
      <c r="AK4" s="22"/>
      <c r="AL4" s="22"/>
      <c r="AM4" s="24"/>
      <c r="AN4" s="25"/>
    </row>
    <row r="5">
      <c r="A5" s="21" t="s">
        <v>99</v>
      </c>
      <c r="B5" s="22" t="s">
        <v>81</v>
      </c>
      <c r="C5" s="22" t="s">
        <v>82</v>
      </c>
      <c r="D5" s="23">
        <v>45990.0</v>
      </c>
      <c r="E5" s="22"/>
      <c r="F5" s="22" t="s">
        <v>83</v>
      </c>
      <c r="G5" s="22" t="s">
        <v>100</v>
      </c>
      <c r="H5" s="22" t="s">
        <v>99</v>
      </c>
      <c r="I5" s="22">
        <v>1.0413020873027E13</v>
      </c>
      <c r="J5" s="22" t="s">
        <v>101</v>
      </c>
      <c r="K5" s="24"/>
      <c r="L5" s="22" t="s">
        <v>102</v>
      </c>
      <c r="M5" s="22">
        <v>1.0</v>
      </c>
      <c r="N5" s="22" t="s">
        <v>103</v>
      </c>
      <c r="O5" s="22" t="s">
        <v>104</v>
      </c>
      <c r="P5" s="22" t="s">
        <v>89</v>
      </c>
      <c r="Q5" s="22" t="s">
        <v>90</v>
      </c>
      <c r="R5" s="22">
        <v>3.2642203189571E13</v>
      </c>
      <c r="S5" s="22" t="s">
        <v>89</v>
      </c>
      <c r="T5" s="24"/>
      <c r="U5" s="24"/>
      <c r="V5" s="22" t="s">
        <v>105</v>
      </c>
      <c r="W5" s="24"/>
      <c r="X5" s="24"/>
      <c r="Y5" s="22"/>
      <c r="Z5" s="22"/>
      <c r="AA5" s="24"/>
      <c r="AB5" s="24"/>
      <c r="AC5" s="22"/>
      <c r="AD5" s="22"/>
      <c r="AE5" s="24"/>
      <c r="AF5" s="24"/>
      <c r="AG5" s="22"/>
      <c r="AH5" s="22"/>
      <c r="AI5" s="24"/>
      <c r="AJ5" s="24"/>
      <c r="AK5" s="22"/>
      <c r="AL5" s="22"/>
      <c r="AM5" s="24"/>
      <c r="AN5" s="25"/>
    </row>
    <row r="6">
      <c r="A6" s="21" t="s">
        <v>80</v>
      </c>
      <c r="B6" s="22" t="s">
        <v>81</v>
      </c>
      <c r="C6" s="22" t="s">
        <v>82</v>
      </c>
      <c r="D6" s="23">
        <v>45990.0</v>
      </c>
      <c r="E6" s="22"/>
      <c r="F6" s="22" t="s">
        <v>83</v>
      </c>
      <c r="G6" s="22" t="s">
        <v>106</v>
      </c>
      <c r="H6" s="22" t="s">
        <v>80</v>
      </c>
      <c r="I6" s="22">
        <v>1.0414036320579E13</v>
      </c>
      <c r="J6" s="22" t="s">
        <v>101</v>
      </c>
      <c r="K6" s="24"/>
      <c r="L6" s="22" t="s">
        <v>86</v>
      </c>
      <c r="M6" s="22">
        <v>1.0</v>
      </c>
      <c r="N6" s="22" t="s">
        <v>87</v>
      </c>
      <c r="O6" s="22" t="s">
        <v>88</v>
      </c>
      <c r="P6" s="22" t="s">
        <v>89</v>
      </c>
      <c r="Q6" s="22" t="s">
        <v>90</v>
      </c>
      <c r="R6" s="22">
        <v>3.2644273996099E13</v>
      </c>
      <c r="S6" s="22" t="s">
        <v>89</v>
      </c>
      <c r="T6" s="24"/>
      <c r="U6" s="24"/>
      <c r="V6" s="22" t="s">
        <v>91</v>
      </c>
      <c r="W6" s="24"/>
      <c r="X6" s="24"/>
      <c r="Y6" s="22"/>
      <c r="Z6" s="22"/>
      <c r="AA6" s="24"/>
      <c r="AB6" s="24"/>
      <c r="AC6" s="22"/>
      <c r="AD6" s="22"/>
      <c r="AE6" s="24"/>
      <c r="AF6" s="24"/>
      <c r="AG6" s="22"/>
      <c r="AH6" s="22"/>
      <c r="AI6" s="24"/>
      <c r="AJ6" s="24"/>
      <c r="AK6" s="22"/>
      <c r="AL6" s="22"/>
      <c r="AM6" s="24"/>
      <c r="AN6" s="25"/>
    </row>
    <row r="7">
      <c r="A7" s="21" t="s">
        <v>96</v>
      </c>
      <c r="B7" s="22" t="s">
        <v>81</v>
      </c>
      <c r="C7" s="22" t="s">
        <v>82</v>
      </c>
      <c r="D7" s="23">
        <v>45990.0</v>
      </c>
      <c r="E7" s="22"/>
      <c r="F7" s="22" t="s">
        <v>83</v>
      </c>
      <c r="G7" s="22" t="s">
        <v>107</v>
      </c>
      <c r="H7" s="22" t="s">
        <v>96</v>
      </c>
      <c r="I7" s="22">
        <v>1.0419122635075E13</v>
      </c>
      <c r="J7" s="22" t="s">
        <v>101</v>
      </c>
      <c r="K7" s="24"/>
      <c r="L7" s="22" t="s">
        <v>98</v>
      </c>
      <c r="M7" s="22">
        <v>1.0</v>
      </c>
      <c r="N7" s="22" t="s">
        <v>87</v>
      </c>
      <c r="O7" s="22" t="s">
        <v>88</v>
      </c>
      <c r="P7" s="22" t="s">
        <v>89</v>
      </c>
      <c r="Q7" s="22" t="s">
        <v>90</v>
      </c>
      <c r="R7" s="22">
        <v>3.2657251434819E13</v>
      </c>
      <c r="S7" s="22" t="s">
        <v>89</v>
      </c>
      <c r="T7" s="24"/>
      <c r="U7" s="24"/>
      <c r="V7" s="22" t="s">
        <v>55</v>
      </c>
      <c r="W7" s="24"/>
      <c r="X7" s="24"/>
      <c r="Y7" s="22"/>
      <c r="Z7" s="22"/>
      <c r="AA7" s="24"/>
      <c r="AB7" s="24"/>
      <c r="AC7" s="22"/>
      <c r="AD7" s="22"/>
      <c r="AE7" s="24"/>
      <c r="AF7" s="24"/>
      <c r="AG7" s="22"/>
      <c r="AH7" s="22"/>
      <c r="AI7" s="24"/>
      <c r="AJ7" s="24"/>
      <c r="AK7" s="22"/>
      <c r="AL7" s="22"/>
      <c r="AM7" s="24"/>
      <c r="AN7" s="25"/>
    </row>
    <row r="8">
      <c r="A8" s="21" t="s">
        <v>108</v>
      </c>
      <c r="B8" s="22" t="s">
        <v>109</v>
      </c>
      <c r="C8" s="22" t="s">
        <v>82</v>
      </c>
      <c r="D8" s="23">
        <v>45990.0</v>
      </c>
      <c r="E8" s="22" t="s">
        <v>110</v>
      </c>
      <c r="F8" s="22" t="s">
        <v>111</v>
      </c>
      <c r="G8" s="22" t="s">
        <v>112</v>
      </c>
      <c r="H8" s="22" t="s">
        <v>108</v>
      </c>
      <c r="I8" s="22">
        <v>1.0424394940739E13</v>
      </c>
      <c r="J8" s="22" t="s">
        <v>113</v>
      </c>
      <c r="K8" s="24"/>
      <c r="L8" s="22" t="s">
        <v>114</v>
      </c>
      <c r="M8" s="22">
        <v>1.0</v>
      </c>
      <c r="N8" s="22" t="s">
        <v>115</v>
      </c>
      <c r="O8" s="22" t="s">
        <v>116</v>
      </c>
      <c r="P8" s="22" t="s">
        <v>89</v>
      </c>
      <c r="Q8" s="22" t="s">
        <v>90</v>
      </c>
      <c r="R8" s="22">
        <v>3.2668014674243E13</v>
      </c>
      <c r="S8" s="22" t="s">
        <v>89</v>
      </c>
      <c r="T8" s="24"/>
      <c r="U8" s="24"/>
      <c r="V8" s="22" t="s">
        <v>54</v>
      </c>
      <c r="W8" s="24"/>
      <c r="X8" s="24"/>
      <c r="Y8" s="22"/>
      <c r="Z8" s="22"/>
      <c r="AA8" s="24"/>
      <c r="AB8" s="24"/>
      <c r="AC8" s="22"/>
      <c r="AD8" s="22"/>
      <c r="AE8" s="24"/>
      <c r="AF8" s="24"/>
      <c r="AG8" s="22"/>
      <c r="AH8" s="22"/>
      <c r="AI8" s="24"/>
      <c r="AJ8" s="24"/>
      <c r="AK8" s="22"/>
      <c r="AL8" s="22"/>
      <c r="AM8" s="24"/>
      <c r="AN8" s="25"/>
    </row>
    <row r="9">
      <c r="A9" s="21" t="s">
        <v>96</v>
      </c>
      <c r="B9" s="22" t="s">
        <v>81</v>
      </c>
      <c r="C9" s="22" t="s">
        <v>82</v>
      </c>
      <c r="D9" s="23">
        <v>45990.0</v>
      </c>
      <c r="E9" s="22"/>
      <c r="F9" s="22" t="s">
        <v>83</v>
      </c>
      <c r="G9" s="22" t="s">
        <v>117</v>
      </c>
      <c r="H9" s="22" t="s">
        <v>96</v>
      </c>
      <c r="I9" s="22">
        <v>1.0424775803203E13</v>
      </c>
      <c r="J9" s="22" t="s">
        <v>101</v>
      </c>
      <c r="K9" s="24"/>
      <c r="L9" s="22" t="s">
        <v>98</v>
      </c>
      <c r="M9" s="22">
        <v>1.0</v>
      </c>
      <c r="N9" s="22" t="s">
        <v>87</v>
      </c>
      <c r="O9" s="22" t="s">
        <v>88</v>
      </c>
      <c r="P9" s="22" t="s">
        <v>89</v>
      </c>
      <c r="Q9" s="22" t="s">
        <v>90</v>
      </c>
      <c r="R9" s="22">
        <v>3.2668830531907E13</v>
      </c>
      <c r="S9" s="22" t="s">
        <v>89</v>
      </c>
      <c r="T9" s="24"/>
      <c r="U9" s="24"/>
      <c r="V9" s="22" t="s">
        <v>55</v>
      </c>
      <c r="W9" s="24"/>
      <c r="X9" s="24"/>
      <c r="Y9" s="22"/>
      <c r="Z9" s="22"/>
      <c r="AA9" s="24"/>
      <c r="AB9" s="24"/>
      <c r="AC9" s="22"/>
      <c r="AD9" s="22"/>
      <c r="AE9" s="24"/>
      <c r="AF9" s="24"/>
      <c r="AG9" s="22"/>
      <c r="AH9" s="22"/>
      <c r="AI9" s="24"/>
      <c r="AJ9" s="24"/>
      <c r="AK9" s="22"/>
      <c r="AL9" s="22"/>
      <c r="AM9" s="24"/>
      <c r="AN9" s="25"/>
    </row>
    <row r="10">
      <c r="A10" s="21" t="s">
        <v>108</v>
      </c>
      <c r="B10" s="22" t="s">
        <v>118</v>
      </c>
      <c r="C10" s="22" t="s">
        <v>82</v>
      </c>
      <c r="D10" s="23">
        <v>45990.0</v>
      </c>
      <c r="E10" s="22" t="s">
        <v>119</v>
      </c>
      <c r="F10" s="22" t="s">
        <v>111</v>
      </c>
      <c r="G10" s="22" t="s">
        <v>120</v>
      </c>
      <c r="H10" s="22" t="s">
        <v>108</v>
      </c>
      <c r="I10" s="22">
        <v>1.0427177795907E13</v>
      </c>
      <c r="J10" s="22" t="s">
        <v>121</v>
      </c>
      <c r="K10" s="24"/>
      <c r="L10" s="22" t="s">
        <v>114</v>
      </c>
      <c r="M10" s="22">
        <v>1.0</v>
      </c>
      <c r="N10" s="22" t="s">
        <v>115</v>
      </c>
      <c r="O10" s="22" t="s">
        <v>116</v>
      </c>
      <c r="P10" s="22" t="s">
        <v>89</v>
      </c>
      <c r="Q10" s="22" t="s">
        <v>90</v>
      </c>
      <c r="R10" s="22">
        <v>3.2674036547907E13</v>
      </c>
      <c r="S10" s="22" t="s">
        <v>89</v>
      </c>
      <c r="T10" s="24"/>
      <c r="U10" s="24"/>
      <c r="V10" s="22" t="s">
        <v>54</v>
      </c>
      <c r="W10" s="24"/>
      <c r="X10" s="24"/>
      <c r="Y10" s="22"/>
      <c r="Z10" s="22"/>
      <c r="AA10" s="24"/>
      <c r="AB10" s="24"/>
      <c r="AC10" s="22"/>
      <c r="AD10" s="22"/>
      <c r="AE10" s="24"/>
      <c r="AF10" s="24"/>
      <c r="AG10" s="22"/>
      <c r="AH10" s="22"/>
      <c r="AI10" s="24"/>
      <c r="AJ10" s="24"/>
      <c r="AK10" s="22"/>
      <c r="AL10" s="22"/>
      <c r="AM10" s="24"/>
      <c r="AN10" s="25"/>
    </row>
    <row r="11">
      <c r="A11" s="21" t="s">
        <v>96</v>
      </c>
      <c r="B11" s="22" t="s">
        <v>81</v>
      </c>
      <c r="C11" s="22" t="s">
        <v>82</v>
      </c>
      <c r="D11" s="23">
        <v>45990.0</v>
      </c>
      <c r="E11" s="22"/>
      <c r="F11" s="22" t="s">
        <v>83</v>
      </c>
      <c r="G11" s="22" t="s">
        <v>122</v>
      </c>
      <c r="H11" s="22" t="s">
        <v>96</v>
      </c>
      <c r="I11" s="22">
        <v>1.0432715096387E13</v>
      </c>
      <c r="J11" s="22" t="s">
        <v>101</v>
      </c>
      <c r="K11" s="24"/>
      <c r="L11" s="22" t="s">
        <v>98</v>
      </c>
      <c r="M11" s="22">
        <v>1.0</v>
      </c>
      <c r="N11" s="22" t="s">
        <v>87</v>
      </c>
      <c r="O11" s="22" t="s">
        <v>88</v>
      </c>
      <c r="P11" s="22" t="s">
        <v>89</v>
      </c>
      <c r="Q11" s="22" t="s">
        <v>90</v>
      </c>
      <c r="R11" s="22">
        <v>3.2686194884931E13</v>
      </c>
      <c r="S11" s="22" t="s">
        <v>89</v>
      </c>
      <c r="T11" s="24"/>
      <c r="U11" s="24"/>
      <c r="V11" s="22" t="s">
        <v>55</v>
      </c>
      <c r="W11" s="24"/>
      <c r="X11" s="24"/>
      <c r="Y11" s="22"/>
      <c r="Z11" s="22"/>
      <c r="AA11" s="24"/>
      <c r="AB11" s="24"/>
      <c r="AC11" s="22"/>
      <c r="AD11" s="22"/>
      <c r="AE11" s="24"/>
      <c r="AF11" s="24"/>
      <c r="AG11" s="22"/>
      <c r="AH11" s="22"/>
      <c r="AI11" s="24"/>
      <c r="AJ11" s="24"/>
      <c r="AK11" s="22"/>
      <c r="AL11" s="22"/>
      <c r="AM11" s="24"/>
      <c r="AN11" s="25"/>
    </row>
    <row r="12">
      <c r="A12" s="21" t="s">
        <v>80</v>
      </c>
      <c r="B12" s="22" t="s">
        <v>81</v>
      </c>
      <c r="C12" s="22" t="s">
        <v>82</v>
      </c>
      <c r="D12" s="23">
        <v>45990.0</v>
      </c>
      <c r="E12" s="22"/>
      <c r="F12" s="22" t="s">
        <v>83</v>
      </c>
      <c r="G12" s="22" t="s">
        <v>123</v>
      </c>
      <c r="H12" s="22" t="s">
        <v>80</v>
      </c>
      <c r="I12" s="22">
        <v>1.0433588560195E13</v>
      </c>
      <c r="J12" s="22" t="s">
        <v>101</v>
      </c>
      <c r="K12" s="24"/>
      <c r="L12" s="22" t="s">
        <v>86</v>
      </c>
      <c r="M12" s="22">
        <v>1.0</v>
      </c>
      <c r="N12" s="22" t="s">
        <v>87</v>
      </c>
      <c r="O12" s="22" t="s">
        <v>88</v>
      </c>
      <c r="P12" s="22" t="s">
        <v>89</v>
      </c>
      <c r="Q12" s="22" t="s">
        <v>90</v>
      </c>
      <c r="R12" s="22">
        <v>3.2688101622083E13</v>
      </c>
      <c r="S12" s="22" t="s">
        <v>89</v>
      </c>
      <c r="T12" s="24"/>
      <c r="U12" s="24"/>
      <c r="V12" s="22" t="s">
        <v>91</v>
      </c>
      <c r="W12" s="24"/>
      <c r="X12" s="24"/>
      <c r="Y12" s="22"/>
      <c r="Z12" s="22"/>
      <c r="AA12" s="24"/>
      <c r="AB12" s="24"/>
      <c r="AC12" s="22"/>
      <c r="AD12" s="22"/>
      <c r="AE12" s="24"/>
      <c r="AF12" s="24"/>
      <c r="AG12" s="22"/>
      <c r="AH12" s="22"/>
      <c r="AI12" s="24"/>
      <c r="AJ12" s="24"/>
      <c r="AK12" s="22"/>
      <c r="AL12" s="22"/>
      <c r="AM12" s="24"/>
      <c r="AN12" s="25"/>
    </row>
    <row r="13">
      <c r="A13" s="21" t="s">
        <v>124</v>
      </c>
      <c r="B13" s="22" t="s">
        <v>81</v>
      </c>
      <c r="C13" s="22" t="s">
        <v>82</v>
      </c>
      <c r="D13" s="23">
        <v>45990.0</v>
      </c>
      <c r="E13" s="22"/>
      <c r="F13" s="22" t="s">
        <v>83</v>
      </c>
      <c r="G13" s="22" t="s">
        <v>125</v>
      </c>
      <c r="H13" s="22" t="s">
        <v>124</v>
      </c>
      <c r="I13" s="22">
        <v>1.0436825284931E13</v>
      </c>
      <c r="J13" s="22" t="s">
        <v>101</v>
      </c>
      <c r="K13" s="24"/>
      <c r="L13" s="22" t="s">
        <v>126</v>
      </c>
      <c r="M13" s="22">
        <v>1.0</v>
      </c>
      <c r="N13" s="22" t="s">
        <v>103</v>
      </c>
      <c r="O13" s="22" t="s">
        <v>104</v>
      </c>
      <c r="P13" s="22" t="s">
        <v>89</v>
      </c>
      <c r="Q13" s="22" t="s">
        <v>90</v>
      </c>
      <c r="R13" s="22">
        <v>3.2695174299971E13</v>
      </c>
      <c r="S13" s="22" t="s">
        <v>89</v>
      </c>
      <c r="T13" s="24"/>
      <c r="U13" s="24"/>
      <c r="V13" s="22" t="s">
        <v>127</v>
      </c>
      <c r="W13" s="24"/>
      <c r="X13" s="24"/>
      <c r="Y13" s="22"/>
      <c r="Z13" s="22"/>
      <c r="AA13" s="24"/>
      <c r="AB13" s="24"/>
      <c r="AC13" s="22"/>
      <c r="AD13" s="22"/>
      <c r="AE13" s="24"/>
      <c r="AF13" s="24"/>
      <c r="AG13" s="22"/>
      <c r="AH13" s="22"/>
      <c r="AI13" s="24"/>
      <c r="AJ13" s="24"/>
      <c r="AK13" s="22"/>
      <c r="AL13" s="22"/>
      <c r="AM13" s="24"/>
      <c r="AN13" s="25"/>
    </row>
    <row r="14">
      <c r="A14" s="21" t="s">
        <v>96</v>
      </c>
      <c r="B14" s="22" t="s">
        <v>81</v>
      </c>
      <c r="C14" s="22" t="s">
        <v>82</v>
      </c>
      <c r="D14" s="23">
        <v>45990.0</v>
      </c>
      <c r="E14" s="22"/>
      <c r="F14" s="22" t="s">
        <v>83</v>
      </c>
      <c r="G14" s="22" t="s">
        <v>128</v>
      </c>
      <c r="H14" s="22" t="s">
        <v>96</v>
      </c>
      <c r="I14" s="22">
        <v>1.0436736745795E13</v>
      </c>
      <c r="J14" s="22" t="s">
        <v>101</v>
      </c>
      <c r="K14" s="24"/>
      <c r="L14" s="22" t="s">
        <v>98</v>
      </c>
      <c r="M14" s="22">
        <v>1.0</v>
      </c>
      <c r="N14" s="22" t="s">
        <v>87</v>
      </c>
      <c r="O14" s="22" t="s">
        <v>88</v>
      </c>
      <c r="P14" s="22" t="s">
        <v>89</v>
      </c>
      <c r="Q14" s="22" t="s">
        <v>90</v>
      </c>
      <c r="R14" s="22">
        <v>3.2694985556291E13</v>
      </c>
      <c r="S14" s="22" t="s">
        <v>89</v>
      </c>
      <c r="T14" s="24"/>
      <c r="U14" s="24"/>
      <c r="V14" s="22" t="s">
        <v>55</v>
      </c>
      <c r="W14" s="24"/>
      <c r="X14" s="24"/>
      <c r="Y14" s="22"/>
      <c r="Z14" s="22"/>
      <c r="AA14" s="24"/>
      <c r="AB14" s="24"/>
      <c r="AC14" s="22"/>
      <c r="AD14" s="22"/>
      <c r="AE14" s="24"/>
      <c r="AF14" s="24"/>
      <c r="AG14" s="22"/>
      <c r="AH14" s="22"/>
      <c r="AI14" s="24"/>
      <c r="AJ14" s="24"/>
      <c r="AK14" s="22"/>
      <c r="AL14" s="22"/>
      <c r="AM14" s="24"/>
      <c r="AN14" s="25"/>
    </row>
    <row r="15">
      <c r="A15" s="21" t="s">
        <v>129</v>
      </c>
      <c r="B15" s="22" t="s">
        <v>81</v>
      </c>
      <c r="C15" s="22" t="s">
        <v>82</v>
      </c>
      <c r="D15" s="23">
        <v>45990.0</v>
      </c>
      <c r="E15" s="22"/>
      <c r="F15" s="22" t="s">
        <v>83</v>
      </c>
      <c r="G15" s="22" t="s">
        <v>130</v>
      </c>
      <c r="H15" s="22" t="s">
        <v>129</v>
      </c>
      <c r="I15" s="22">
        <v>1.0437126816067E13</v>
      </c>
      <c r="J15" s="22" t="s">
        <v>101</v>
      </c>
      <c r="K15" s="24"/>
      <c r="L15" s="22" t="s">
        <v>131</v>
      </c>
      <c r="M15" s="22">
        <v>1.0</v>
      </c>
      <c r="N15" s="22" t="s">
        <v>103</v>
      </c>
      <c r="O15" s="22" t="s">
        <v>104</v>
      </c>
      <c r="P15" s="22" t="s">
        <v>89</v>
      </c>
      <c r="Q15" s="22" t="s">
        <v>90</v>
      </c>
      <c r="R15" s="22">
        <v>3.2695836410179E13</v>
      </c>
      <c r="S15" s="22" t="s">
        <v>89</v>
      </c>
      <c r="T15" s="24"/>
      <c r="U15" s="24"/>
      <c r="V15" s="22" t="s">
        <v>132</v>
      </c>
      <c r="W15" s="24"/>
      <c r="X15" s="24"/>
      <c r="Y15" s="22"/>
      <c r="Z15" s="22"/>
      <c r="AA15" s="24"/>
      <c r="AB15" s="24"/>
      <c r="AC15" s="22"/>
      <c r="AD15" s="22"/>
      <c r="AE15" s="24"/>
      <c r="AF15" s="24"/>
      <c r="AG15" s="22"/>
      <c r="AH15" s="22"/>
      <c r="AI15" s="24"/>
      <c r="AJ15" s="24"/>
      <c r="AK15" s="22"/>
      <c r="AL15" s="22"/>
      <c r="AM15" s="24"/>
      <c r="AN15" s="25"/>
    </row>
    <row r="16">
      <c r="A16" s="21" t="s">
        <v>96</v>
      </c>
      <c r="B16" s="22" t="s">
        <v>133</v>
      </c>
      <c r="C16" s="22" t="s">
        <v>82</v>
      </c>
      <c r="D16" s="23">
        <v>45990.0</v>
      </c>
      <c r="E16" s="22" t="s">
        <v>134</v>
      </c>
      <c r="F16" s="22" t="s">
        <v>83</v>
      </c>
      <c r="G16" s="22" t="s">
        <v>135</v>
      </c>
      <c r="H16" s="22" t="s">
        <v>96</v>
      </c>
      <c r="I16" s="22">
        <v>1.0440909881667E13</v>
      </c>
      <c r="J16" s="22" t="s">
        <v>136</v>
      </c>
      <c r="K16" s="24"/>
      <c r="L16" s="22" t="s">
        <v>98</v>
      </c>
      <c r="M16" s="22">
        <v>1.0</v>
      </c>
      <c r="N16" s="22" t="s">
        <v>87</v>
      </c>
      <c r="O16" s="22" t="s">
        <v>88</v>
      </c>
      <c r="P16" s="22" t="s">
        <v>89</v>
      </c>
      <c r="Q16" s="22" t="s">
        <v>90</v>
      </c>
      <c r="R16" s="22">
        <v>3.2704053248323E13</v>
      </c>
      <c r="S16" s="22" t="s">
        <v>89</v>
      </c>
      <c r="T16" s="24"/>
      <c r="U16" s="24"/>
      <c r="V16" s="22" t="s">
        <v>55</v>
      </c>
      <c r="W16" s="24"/>
      <c r="X16" s="24"/>
      <c r="Y16" s="22"/>
      <c r="Z16" s="22"/>
      <c r="AA16" s="24"/>
      <c r="AB16" s="24"/>
      <c r="AC16" s="22"/>
      <c r="AD16" s="22"/>
      <c r="AE16" s="24"/>
      <c r="AF16" s="24"/>
      <c r="AG16" s="22"/>
      <c r="AH16" s="22"/>
      <c r="AI16" s="24"/>
      <c r="AJ16" s="24"/>
      <c r="AK16" s="22"/>
      <c r="AL16" s="22"/>
      <c r="AM16" s="24"/>
      <c r="AN16" s="25"/>
    </row>
    <row r="17">
      <c r="A17" s="21" t="s">
        <v>96</v>
      </c>
      <c r="B17" s="22" t="s">
        <v>137</v>
      </c>
      <c r="C17" s="22" t="s">
        <v>82</v>
      </c>
      <c r="D17" s="23">
        <v>45990.0</v>
      </c>
      <c r="E17" s="22" t="s">
        <v>138</v>
      </c>
      <c r="F17" s="22" t="s">
        <v>83</v>
      </c>
      <c r="G17" s="22" t="s">
        <v>139</v>
      </c>
      <c r="H17" s="22" t="s">
        <v>96</v>
      </c>
      <c r="I17" s="22">
        <v>1.0445230309699E13</v>
      </c>
      <c r="J17" s="22" t="s">
        <v>140</v>
      </c>
      <c r="K17" s="24"/>
      <c r="L17" s="22" t="s">
        <v>98</v>
      </c>
      <c r="M17" s="22">
        <v>1.0</v>
      </c>
      <c r="N17" s="22" t="s">
        <v>87</v>
      </c>
      <c r="O17" s="22" t="s">
        <v>88</v>
      </c>
      <c r="P17" s="22" t="s">
        <v>89</v>
      </c>
      <c r="Q17" s="22" t="s">
        <v>90</v>
      </c>
      <c r="R17" s="22">
        <v>3.2716408226115E13</v>
      </c>
      <c r="S17" s="22" t="s">
        <v>89</v>
      </c>
      <c r="T17" s="24"/>
      <c r="U17" s="24"/>
      <c r="V17" s="22" t="s">
        <v>55</v>
      </c>
      <c r="W17" s="24"/>
      <c r="X17" s="24"/>
      <c r="Y17" s="22"/>
      <c r="Z17" s="22"/>
      <c r="AA17" s="24"/>
      <c r="AB17" s="24"/>
      <c r="AC17" s="22"/>
      <c r="AD17" s="22"/>
      <c r="AE17" s="24"/>
      <c r="AF17" s="24"/>
      <c r="AG17" s="22"/>
      <c r="AH17" s="22"/>
      <c r="AI17" s="24"/>
      <c r="AJ17" s="24"/>
      <c r="AK17" s="22"/>
      <c r="AL17" s="22"/>
      <c r="AM17" s="24"/>
      <c r="AN17" s="25"/>
    </row>
    <row r="18">
      <c r="A18" s="21" t="s">
        <v>141</v>
      </c>
      <c r="B18" s="22" t="s">
        <v>133</v>
      </c>
      <c r="C18" s="22" t="s">
        <v>82</v>
      </c>
      <c r="D18" s="23">
        <v>45990.0</v>
      </c>
      <c r="E18" s="22" t="s">
        <v>134</v>
      </c>
      <c r="F18" s="22" t="s">
        <v>83</v>
      </c>
      <c r="G18" s="22" t="s">
        <v>142</v>
      </c>
      <c r="H18" s="22" t="s">
        <v>141</v>
      </c>
      <c r="I18" s="22">
        <v>1.0448258072899E13</v>
      </c>
      <c r="J18" s="22" t="s">
        <v>136</v>
      </c>
      <c r="K18" s="24"/>
      <c r="L18" s="22" t="s">
        <v>143</v>
      </c>
      <c r="M18" s="22">
        <v>1.0</v>
      </c>
      <c r="N18" s="22" t="s">
        <v>87</v>
      </c>
      <c r="O18" s="22" t="s">
        <v>88</v>
      </c>
      <c r="P18" s="22" t="s">
        <v>89</v>
      </c>
      <c r="Q18" s="22" t="s">
        <v>90</v>
      </c>
      <c r="R18" s="22">
        <v>3.2723737674051E13</v>
      </c>
      <c r="S18" s="22" t="s">
        <v>89</v>
      </c>
      <c r="T18" s="24"/>
      <c r="U18" s="24"/>
      <c r="V18" s="22" t="s">
        <v>54</v>
      </c>
      <c r="W18" s="24"/>
      <c r="X18" s="24"/>
      <c r="Y18" s="22"/>
      <c r="Z18" s="22"/>
      <c r="AA18" s="24"/>
      <c r="AB18" s="24"/>
      <c r="AC18" s="22"/>
      <c r="AD18" s="22"/>
      <c r="AE18" s="24"/>
      <c r="AF18" s="24"/>
      <c r="AG18" s="22"/>
      <c r="AH18" s="22"/>
      <c r="AI18" s="24"/>
      <c r="AJ18" s="24"/>
      <c r="AK18" s="22"/>
      <c r="AL18" s="22"/>
      <c r="AM18" s="24"/>
      <c r="AN18" s="25"/>
    </row>
    <row r="19">
      <c r="A19" s="21" t="s">
        <v>141</v>
      </c>
      <c r="B19" s="22" t="s">
        <v>144</v>
      </c>
      <c r="C19" s="22" t="s">
        <v>82</v>
      </c>
      <c r="D19" s="23">
        <v>45990.0</v>
      </c>
      <c r="E19" s="22" t="s">
        <v>145</v>
      </c>
      <c r="F19" s="22" t="s">
        <v>83</v>
      </c>
      <c r="G19" s="22" t="s">
        <v>146</v>
      </c>
      <c r="H19" s="22" t="s">
        <v>141</v>
      </c>
      <c r="I19" s="22">
        <v>1.0449573937475E13</v>
      </c>
      <c r="J19" s="22" t="s">
        <v>147</v>
      </c>
      <c r="K19" s="24"/>
      <c r="L19" s="22" t="s">
        <v>143</v>
      </c>
      <c r="M19" s="22">
        <v>1.0</v>
      </c>
      <c r="N19" s="22" t="s">
        <v>87</v>
      </c>
      <c r="O19" s="22" t="s">
        <v>88</v>
      </c>
      <c r="P19" s="22" t="s">
        <v>89</v>
      </c>
      <c r="Q19" s="22" t="s">
        <v>90</v>
      </c>
      <c r="R19" s="22">
        <v>3.2726730735939E13</v>
      </c>
      <c r="S19" s="22" t="s">
        <v>89</v>
      </c>
      <c r="T19" s="24"/>
      <c r="U19" s="24"/>
      <c r="V19" s="22" t="s">
        <v>54</v>
      </c>
      <c r="W19" s="24"/>
      <c r="X19" s="24"/>
      <c r="Y19" s="22"/>
      <c r="Z19" s="22"/>
      <c r="AA19" s="24"/>
      <c r="AB19" s="24"/>
      <c r="AC19" s="22"/>
      <c r="AD19" s="22"/>
      <c r="AE19" s="24"/>
      <c r="AF19" s="24"/>
      <c r="AG19" s="22"/>
      <c r="AH19" s="22"/>
      <c r="AI19" s="24"/>
      <c r="AJ19" s="24"/>
      <c r="AK19" s="22"/>
      <c r="AL19" s="22"/>
      <c r="AM19" s="24"/>
      <c r="AN19" s="25"/>
    </row>
    <row r="20">
      <c r="A20" s="21" t="s">
        <v>99</v>
      </c>
      <c r="B20" s="22" t="s">
        <v>148</v>
      </c>
      <c r="C20" s="22" t="s">
        <v>82</v>
      </c>
      <c r="D20" s="23">
        <v>45990.0</v>
      </c>
      <c r="E20" s="22" t="s">
        <v>149</v>
      </c>
      <c r="F20" s="22" t="s">
        <v>83</v>
      </c>
      <c r="G20" s="22" t="s">
        <v>150</v>
      </c>
      <c r="H20" s="22" t="s">
        <v>99</v>
      </c>
      <c r="I20" s="22">
        <v>1.0449865212227E13</v>
      </c>
      <c r="J20" s="22" t="s">
        <v>151</v>
      </c>
      <c r="K20" s="24"/>
      <c r="L20" s="22" t="s">
        <v>102</v>
      </c>
      <c r="M20" s="22">
        <v>1.0</v>
      </c>
      <c r="N20" s="22" t="s">
        <v>103</v>
      </c>
      <c r="O20" s="22" t="s">
        <v>104</v>
      </c>
      <c r="P20" s="22" t="s">
        <v>89</v>
      </c>
      <c r="Q20" s="22" t="s">
        <v>90</v>
      </c>
      <c r="R20" s="22">
        <v>3.2727416144195E13</v>
      </c>
      <c r="S20" s="22" t="s">
        <v>89</v>
      </c>
      <c r="T20" s="24"/>
      <c r="U20" s="24"/>
      <c r="V20" s="22" t="s">
        <v>105</v>
      </c>
      <c r="W20" s="24"/>
      <c r="X20" s="24"/>
      <c r="Y20" s="22"/>
      <c r="Z20" s="22"/>
      <c r="AA20" s="24"/>
      <c r="AB20" s="24"/>
      <c r="AC20" s="22"/>
      <c r="AD20" s="22"/>
      <c r="AE20" s="24"/>
      <c r="AF20" s="24"/>
      <c r="AG20" s="22"/>
      <c r="AH20" s="22"/>
      <c r="AI20" s="24"/>
      <c r="AJ20" s="24"/>
      <c r="AK20" s="22"/>
      <c r="AL20" s="22"/>
      <c r="AM20" s="24"/>
      <c r="AN20" s="25"/>
    </row>
    <row r="21">
      <c r="A21" s="21" t="s">
        <v>80</v>
      </c>
      <c r="B21" s="22" t="s">
        <v>152</v>
      </c>
      <c r="C21" s="22" t="s">
        <v>82</v>
      </c>
      <c r="D21" s="23">
        <v>45990.0</v>
      </c>
      <c r="E21" s="22" t="s">
        <v>153</v>
      </c>
      <c r="F21" s="22" t="s">
        <v>83</v>
      </c>
      <c r="G21" s="22" t="s">
        <v>154</v>
      </c>
      <c r="H21" s="22" t="s">
        <v>80</v>
      </c>
      <c r="I21" s="22">
        <v>1.0450714460483E13</v>
      </c>
      <c r="J21" s="22" t="s">
        <v>155</v>
      </c>
      <c r="K21" s="24"/>
      <c r="L21" s="22" t="s">
        <v>86</v>
      </c>
      <c r="M21" s="22">
        <v>1.0</v>
      </c>
      <c r="N21" s="22" t="s">
        <v>87</v>
      </c>
      <c r="O21" s="22" t="s">
        <v>88</v>
      </c>
      <c r="P21" s="22" t="s">
        <v>89</v>
      </c>
      <c r="Q21" s="22" t="s">
        <v>90</v>
      </c>
      <c r="R21" s="22">
        <v>3.2729372229955E13</v>
      </c>
      <c r="S21" s="22" t="s">
        <v>89</v>
      </c>
      <c r="T21" s="24"/>
      <c r="U21" s="24"/>
      <c r="V21" s="22" t="s">
        <v>91</v>
      </c>
      <c r="W21" s="24"/>
      <c r="X21" s="24"/>
      <c r="Y21" s="22"/>
      <c r="Z21" s="22"/>
      <c r="AA21" s="24"/>
      <c r="AB21" s="24"/>
      <c r="AC21" s="22"/>
      <c r="AD21" s="22"/>
      <c r="AE21" s="24"/>
      <c r="AF21" s="24"/>
      <c r="AG21" s="22"/>
      <c r="AH21" s="22"/>
      <c r="AI21" s="24"/>
      <c r="AJ21" s="24"/>
      <c r="AK21" s="22"/>
      <c r="AL21" s="22"/>
      <c r="AM21" s="24"/>
      <c r="AN21" s="25"/>
    </row>
    <row r="22">
      <c r="A22" s="21" t="s">
        <v>80</v>
      </c>
      <c r="B22" s="22" t="s">
        <v>133</v>
      </c>
      <c r="C22" s="22" t="s">
        <v>82</v>
      </c>
      <c r="D22" s="23">
        <v>45990.0</v>
      </c>
      <c r="E22" s="22" t="s">
        <v>134</v>
      </c>
      <c r="F22" s="22" t="s">
        <v>83</v>
      </c>
      <c r="G22" s="22" t="s">
        <v>156</v>
      </c>
      <c r="H22" s="22" t="s">
        <v>80</v>
      </c>
      <c r="I22" s="22">
        <v>1.0450709545283E13</v>
      </c>
      <c r="J22" s="22" t="s">
        <v>136</v>
      </c>
      <c r="K22" s="24"/>
      <c r="L22" s="22" t="s">
        <v>86</v>
      </c>
      <c r="M22" s="22">
        <v>1.0</v>
      </c>
      <c r="N22" s="22" t="s">
        <v>87</v>
      </c>
      <c r="O22" s="22" t="s">
        <v>88</v>
      </c>
      <c r="P22" s="22" t="s">
        <v>89</v>
      </c>
      <c r="Q22" s="22" t="s">
        <v>90</v>
      </c>
      <c r="R22" s="22">
        <v>3.2729360335171E13</v>
      </c>
      <c r="S22" s="22" t="s">
        <v>89</v>
      </c>
      <c r="T22" s="24"/>
      <c r="U22" s="24"/>
      <c r="V22" s="22" t="s">
        <v>91</v>
      </c>
      <c r="W22" s="24"/>
      <c r="X22" s="24"/>
      <c r="Y22" s="22"/>
      <c r="Z22" s="22"/>
      <c r="AA22" s="24"/>
      <c r="AB22" s="24"/>
      <c r="AC22" s="22"/>
      <c r="AD22" s="22"/>
      <c r="AE22" s="24"/>
      <c r="AF22" s="24"/>
      <c r="AG22" s="22"/>
      <c r="AH22" s="22"/>
      <c r="AI22" s="24"/>
      <c r="AJ22" s="24"/>
      <c r="AK22" s="22"/>
      <c r="AL22" s="22"/>
      <c r="AM22" s="24"/>
      <c r="AN22" s="25"/>
    </row>
    <row r="23">
      <c r="A23" s="21" t="s">
        <v>99</v>
      </c>
      <c r="B23" s="22" t="s">
        <v>148</v>
      </c>
      <c r="C23" s="22" t="s">
        <v>82</v>
      </c>
      <c r="D23" s="23">
        <v>45990.0</v>
      </c>
      <c r="E23" s="22" t="s">
        <v>149</v>
      </c>
      <c r="F23" s="22" t="s">
        <v>83</v>
      </c>
      <c r="G23" s="22" t="s">
        <v>157</v>
      </c>
      <c r="H23" s="22" t="s">
        <v>99</v>
      </c>
      <c r="I23" s="22">
        <v>1.0451223740739E13</v>
      </c>
      <c r="J23" s="22" t="s">
        <v>151</v>
      </c>
      <c r="K23" s="24"/>
      <c r="L23" s="22" t="s">
        <v>102</v>
      </c>
      <c r="M23" s="22">
        <v>1.0</v>
      </c>
      <c r="N23" s="22" t="s">
        <v>103</v>
      </c>
      <c r="O23" s="22" t="s">
        <v>104</v>
      </c>
      <c r="P23" s="22" t="s">
        <v>89</v>
      </c>
      <c r="Q23" s="22" t="s">
        <v>90</v>
      </c>
      <c r="R23" s="22">
        <v>3.2730488013123E13</v>
      </c>
      <c r="S23" s="22" t="s">
        <v>89</v>
      </c>
      <c r="T23" s="24"/>
      <c r="U23" s="24"/>
      <c r="V23" s="22" t="s">
        <v>105</v>
      </c>
      <c r="W23" s="24"/>
      <c r="X23" s="24"/>
      <c r="Y23" s="22"/>
      <c r="Z23" s="22"/>
      <c r="AA23" s="24"/>
      <c r="AB23" s="24"/>
      <c r="AC23" s="22"/>
      <c r="AD23" s="22"/>
      <c r="AE23" s="24"/>
      <c r="AF23" s="24"/>
      <c r="AG23" s="22"/>
      <c r="AH23" s="22"/>
      <c r="AI23" s="24"/>
      <c r="AJ23" s="24"/>
      <c r="AK23" s="22"/>
      <c r="AL23" s="22"/>
      <c r="AM23" s="24"/>
      <c r="AN23" s="25"/>
    </row>
    <row r="24">
      <c r="A24" s="21" t="s">
        <v>158</v>
      </c>
      <c r="B24" s="22" t="s">
        <v>159</v>
      </c>
      <c r="C24" s="22" t="s">
        <v>82</v>
      </c>
      <c r="D24" s="23">
        <v>45990.0</v>
      </c>
      <c r="E24" s="22" t="s">
        <v>160</v>
      </c>
      <c r="F24" s="22" t="s">
        <v>111</v>
      </c>
      <c r="G24" s="22" t="s">
        <v>161</v>
      </c>
      <c r="H24" s="22" t="s">
        <v>158</v>
      </c>
      <c r="I24" s="22">
        <v>1.0451648479555E13</v>
      </c>
      <c r="J24" s="22" t="s">
        <v>162</v>
      </c>
      <c r="K24" s="24"/>
      <c r="L24" s="22" t="s">
        <v>163</v>
      </c>
      <c r="M24" s="22">
        <v>1.0</v>
      </c>
      <c r="N24" s="22" t="s">
        <v>164</v>
      </c>
      <c r="O24" s="22" t="s">
        <v>165</v>
      </c>
      <c r="P24" s="22" t="s">
        <v>89</v>
      </c>
      <c r="Q24" s="22" t="s">
        <v>90</v>
      </c>
      <c r="R24" s="22">
        <v>3.2731453555011E13</v>
      </c>
      <c r="S24" s="22" t="s">
        <v>89</v>
      </c>
      <c r="T24" s="24"/>
      <c r="U24" s="24"/>
      <c r="V24" s="22" t="s">
        <v>127</v>
      </c>
      <c r="W24" s="24"/>
      <c r="X24" s="24"/>
      <c r="Y24" s="22"/>
      <c r="Z24" s="22"/>
      <c r="AA24" s="24"/>
      <c r="AB24" s="24"/>
      <c r="AC24" s="22"/>
      <c r="AD24" s="22"/>
      <c r="AE24" s="24"/>
      <c r="AF24" s="24"/>
      <c r="AG24" s="22"/>
      <c r="AH24" s="22"/>
      <c r="AI24" s="24"/>
      <c r="AJ24" s="24"/>
      <c r="AK24" s="22"/>
      <c r="AL24" s="22"/>
      <c r="AM24" s="24"/>
      <c r="AN24" s="25"/>
    </row>
    <row r="25">
      <c r="A25" s="21" t="s">
        <v>166</v>
      </c>
      <c r="B25" s="22" t="s">
        <v>167</v>
      </c>
      <c r="C25" s="22" t="s">
        <v>82</v>
      </c>
      <c r="D25" s="23">
        <v>45990.0</v>
      </c>
      <c r="E25" s="22" t="s">
        <v>168</v>
      </c>
      <c r="F25" s="22" t="s">
        <v>111</v>
      </c>
      <c r="G25" s="22" t="s">
        <v>169</v>
      </c>
      <c r="H25" s="22" t="s">
        <v>166</v>
      </c>
      <c r="I25" s="22">
        <v>1.0451855900995E13</v>
      </c>
      <c r="J25" s="22" t="s">
        <v>170</v>
      </c>
      <c r="K25" s="24"/>
      <c r="L25" s="22" t="s">
        <v>171</v>
      </c>
      <c r="M25" s="22">
        <v>1.0</v>
      </c>
      <c r="N25" s="22" t="s">
        <v>115</v>
      </c>
      <c r="O25" s="22" t="s">
        <v>116</v>
      </c>
      <c r="P25" s="22" t="s">
        <v>89</v>
      </c>
      <c r="Q25" s="22" t="s">
        <v>90</v>
      </c>
      <c r="R25" s="22">
        <v>3.2731916697923E13</v>
      </c>
      <c r="S25" s="22" t="s">
        <v>89</v>
      </c>
      <c r="T25" s="24"/>
      <c r="U25" s="24"/>
      <c r="V25" s="22" t="s">
        <v>55</v>
      </c>
      <c r="W25" s="24"/>
      <c r="X25" s="24"/>
      <c r="Y25" s="22"/>
      <c r="Z25" s="22"/>
      <c r="AA25" s="24"/>
      <c r="AB25" s="24"/>
      <c r="AC25" s="22"/>
      <c r="AD25" s="22"/>
      <c r="AE25" s="24"/>
      <c r="AF25" s="24"/>
      <c r="AG25" s="22"/>
      <c r="AH25" s="22"/>
      <c r="AI25" s="24"/>
      <c r="AJ25" s="24"/>
      <c r="AK25" s="22"/>
      <c r="AL25" s="22"/>
      <c r="AM25" s="24"/>
      <c r="AN25" s="25"/>
    </row>
    <row r="26">
      <c r="A26" s="21" t="s">
        <v>172</v>
      </c>
      <c r="B26" s="22" t="s">
        <v>137</v>
      </c>
      <c r="C26" s="22" t="s">
        <v>82</v>
      </c>
      <c r="D26" s="23">
        <v>45990.0</v>
      </c>
      <c r="E26" s="22" t="s">
        <v>138</v>
      </c>
      <c r="F26" s="22" t="s">
        <v>83</v>
      </c>
      <c r="G26" s="22" t="s">
        <v>173</v>
      </c>
      <c r="H26" s="22" t="s">
        <v>172</v>
      </c>
      <c r="I26" s="22">
        <v>1.0452688666947E13</v>
      </c>
      <c r="J26" s="22" t="s">
        <v>140</v>
      </c>
      <c r="K26" s="24"/>
      <c r="L26" s="22" t="s">
        <v>174</v>
      </c>
      <c r="M26" s="22">
        <v>1.0</v>
      </c>
      <c r="N26" s="22" t="s">
        <v>103</v>
      </c>
      <c r="O26" s="22" t="s">
        <v>104</v>
      </c>
      <c r="P26" s="22" t="s">
        <v>89</v>
      </c>
      <c r="Q26" s="22" t="s">
        <v>90</v>
      </c>
      <c r="R26" s="22">
        <v>3.2733898375491E13</v>
      </c>
      <c r="S26" s="22" t="s">
        <v>89</v>
      </c>
      <c r="T26" s="24"/>
      <c r="U26" s="24"/>
      <c r="V26" s="22" t="s">
        <v>175</v>
      </c>
      <c r="W26" s="24"/>
      <c r="X26" s="24"/>
      <c r="Y26" s="22"/>
      <c r="Z26" s="22"/>
      <c r="AA26" s="24"/>
      <c r="AB26" s="24"/>
      <c r="AC26" s="22"/>
      <c r="AD26" s="22"/>
      <c r="AE26" s="24"/>
      <c r="AF26" s="24"/>
      <c r="AG26" s="22"/>
      <c r="AH26" s="22"/>
      <c r="AI26" s="24"/>
      <c r="AJ26" s="24"/>
      <c r="AK26" s="22"/>
      <c r="AL26" s="22"/>
      <c r="AM26" s="24"/>
      <c r="AN26" s="25"/>
    </row>
    <row r="27">
      <c r="A27" s="21" t="s">
        <v>166</v>
      </c>
      <c r="B27" s="22" t="s">
        <v>176</v>
      </c>
      <c r="C27" s="22" t="s">
        <v>82</v>
      </c>
      <c r="D27" s="23">
        <v>45990.0</v>
      </c>
      <c r="E27" s="22" t="s">
        <v>177</v>
      </c>
      <c r="F27" s="22" t="s">
        <v>111</v>
      </c>
      <c r="G27" s="22" t="s">
        <v>178</v>
      </c>
      <c r="H27" s="22" t="s">
        <v>166</v>
      </c>
      <c r="I27" s="22">
        <v>1.0453310079299E13</v>
      </c>
      <c r="J27" s="22" t="s">
        <v>179</v>
      </c>
      <c r="K27" s="24"/>
      <c r="L27" s="22" t="s">
        <v>171</v>
      </c>
      <c r="M27" s="22">
        <v>1.0</v>
      </c>
      <c r="N27" s="22" t="s">
        <v>115</v>
      </c>
      <c r="O27" s="22" t="s">
        <v>116</v>
      </c>
      <c r="P27" s="22" t="s">
        <v>89</v>
      </c>
      <c r="Q27" s="22" t="s">
        <v>90</v>
      </c>
      <c r="R27" s="22">
        <v>3.2735315493187E13</v>
      </c>
      <c r="S27" s="22" t="s">
        <v>89</v>
      </c>
      <c r="T27" s="24"/>
      <c r="U27" s="24"/>
      <c r="V27" s="22" t="s">
        <v>55</v>
      </c>
      <c r="W27" s="24"/>
      <c r="X27" s="24"/>
      <c r="Y27" s="22"/>
      <c r="Z27" s="22"/>
      <c r="AA27" s="24"/>
      <c r="AB27" s="24"/>
      <c r="AC27" s="22"/>
      <c r="AD27" s="22"/>
      <c r="AE27" s="24"/>
      <c r="AF27" s="24"/>
      <c r="AG27" s="22"/>
      <c r="AH27" s="22"/>
      <c r="AI27" s="24"/>
      <c r="AJ27" s="24"/>
      <c r="AK27" s="22"/>
      <c r="AL27" s="22"/>
      <c r="AM27" s="24"/>
      <c r="AN27" s="25"/>
    </row>
    <row r="28">
      <c r="A28" s="21" t="s">
        <v>96</v>
      </c>
      <c r="B28" s="22" t="s">
        <v>180</v>
      </c>
      <c r="C28" s="22" t="s">
        <v>82</v>
      </c>
      <c r="D28" s="23">
        <v>45990.0</v>
      </c>
      <c r="E28" s="22" t="s">
        <v>181</v>
      </c>
      <c r="F28" s="22" t="s">
        <v>83</v>
      </c>
      <c r="G28" s="22" t="s">
        <v>182</v>
      </c>
      <c r="H28" s="22" t="s">
        <v>96</v>
      </c>
      <c r="I28" s="22">
        <v>1.0455134961987E13</v>
      </c>
      <c r="J28" s="22" t="s">
        <v>183</v>
      </c>
      <c r="K28" s="24"/>
      <c r="L28" s="22" t="s">
        <v>98</v>
      </c>
      <c r="M28" s="22">
        <v>1.0</v>
      </c>
      <c r="N28" s="22" t="s">
        <v>87</v>
      </c>
      <c r="O28" s="22" t="s">
        <v>88</v>
      </c>
      <c r="P28" s="22" t="s">
        <v>89</v>
      </c>
      <c r="Q28" s="22" t="s">
        <v>90</v>
      </c>
      <c r="R28" s="22">
        <v>3.2739232809283E13</v>
      </c>
      <c r="S28" s="22" t="s">
        <v>89</v>
      </c>
      <c r="T28" s="24"/>
      <c r="U28" s="24"/>
      <c r="V28" s="22" t="s">
        <v>55</v>
      </c>
      <c r="W28" s="24"/>
      <c r="X28" s="24"/>
      <c r="Y28" s="22"/>
      <c r="Z28" s="22"/>
      <c r="AA28" s="24"/>
      <c r="AB28" s="24"/>
      <c r="AC28" s="22"/>
      <c r="AD28" s="22"/>
      <c r="AE28" s="24"/>
      <c r="AF28" s="24"/>
      <c r="AG28" s="22"/>
      <c r="AH28" s="22"/>
      <c r="AI28" s="24"/>
      <c r="AJ28" s="24"/>
      <c r="AK28" s="22"/>
      <c r="AL28" s="22"/>
      <c r="AM28" s="24"/>
      <c r="AN28" s="25"/>
    </row>
    <row r="29">
      <c r="A29" s="21" t="s">
        <v>92</v>
      </c>
      <c r="B29" s="22" t="s">
        <v>137</v>
      </c>
      <c r="C29" s="22" t="s">
        <v>82</v>
      </c>
      <c r="D29" s="23">
        <v>45990.0</v>
      </c>
      <c r="E29" s="22" t="s">
        <v>138</v>
      </c>
      <c r="F29" s="22" t="s">
        <v>83</v>
      </c>
      <c r="G29" s="22" t="s">
        <v>184</v>
      </c>
      <c r="H29" s="22" t="s">
        <v>92</v>
      </c>
      <c r="I29" s="22">
        <v>1.0457477251395E13</v>
      </c>
      <c r="J29" s="22" t="s">
        <v>140</v>
      </c>
      <c r="K29" s="24"/>
      <c r="L29" s="22" t="s">
        <v>94</v>
      </c>
      <c r="M29" s="22">
        <v>1.0</v>
      </c>
      <c r="N29" s="22" t="s">
        <v>87</v>
      </c>
      <c r="O29" s="22" t="s">
        <v>88</v>
      </c>
      <c r="P29" s="22" t="s">
        <v>89</v>
      </c>
      <c r="Q29" s="22" t="s">
        <v>90</v>
      </c>
      <c r="R29" s="22">
        <v>3.2744160362819E13</v>
      </c>
      <c r="S29" s="22" t="s">
        <v>89</v>
      </c>
      <c r="T29" s="24"/>
      <c r="U29" s="24"/>
      <c r="V29" s="22" t="s">
        <v>95</v>
      </c>
      <c r="W29" s="24"/>
      <c r="X29" s="24"/>
      <c r="Y29" s="22"/>
      <c r="Z29" s="22"/>
      <c r="AA29" s="24"/>
      <c r="AB29" s="24"/>
      <c r="AC29" s="22"/>
      <c r="AD29" s="22"/>
      <c r="AE29" s="24"/>
      <c r="AF29" s="24"/>
      <c r="AG29" s="22"/>
      <c r="AH29" s="22"/>
      <c r="AI29" s="24"/>
      <c r="AJ29" s="24"/>
      <c r="AK29" s="22"/>
      <c r="AL29" s="22"/>
      <c r="AM29" s="24"/>
      <c r="AN29" s="25"/>
    </row>
    <row r="30">
      <c r="A30" s="21" t="s">
        <v>185</v>
      </c>
      <c r="B30" s="22" t="s">
        <v>186</v>
      </c>
      <c r="C30" s="22" t="s">
        <v>82</v>
      </c>
      <c r="D30" s="23">
        <v>45990.0</v>
      </c>
      <c r="E30" s="22" t="s">
        <v>187</v>
      </c>
      <c r="F30" s="22" t="s">
        <v>111</v>
      </c>
      <c r="G30" s="22" t="s">
        <v>188</v>
      </c>
      <c r="H30" s="22" t="s">
        <v>185</v>
      </c>
      <c r="I30" s="22">
        <v>1.0459739423043E13</v>
      </c>
      <c r="J30" s="22" t="s">
        <v>189</v>
      </c>
      <c r="K30" s="24"/>
      <c r="L30" s="22" t="s">
        <v>190</v>
      </c>
      <c r="M30" s="22">
        <v>1.0</v>
      </c>
      <c r="N30" s="22" t="s">
        <v>115</v>
      </c>
      <c r="O30" s="22" t="s">
        <v>116</v>
      </c>
      <c r="P30" s="22" t="s">
        <v>89</v>
      </c>
      <c r="Q30" s="22" t="s">
        <v>90</v>
      </c>
      <c r="R30" s="22">
        <v>3.2753570087235E13</v>
      </c>
      <c r="S30" s="22" t="s">
        <v>89</v>
      </c>
      <c r="T30" s="24"/>
      <c r="U30" s="24"/>
      <c r="V30" s="22" t="s">
        <v>95</v>
      </c>
      <c r="W30" s="24"/>
      <c r="X30" s="24"/>
      <c r="Y30" s="22"/>
      <c r="Z30" s="22"/>
      <c r="AA30" s="24"/>
      <c r="AB30" s="24"/>
      <c r="AC30" s="22"/>
      <c r="AD30" s="22"/>
      <c r="AE30" s="24"/>
      <c r="AF30" s="24"/>
      <c r="AG30" s="22"/>
      <c r="AH30" s="22"/>
      <c r="AI30" s="24"/>
      <c r="AJ30" s="24"/>
      <c r="AK30" s="22"/>
      <c r="AL30" s="22"/>
      <c r="AM30" s="24"/>
      <c r="AN30" s="25"/>
    </row>
    <row r="31">
      <c r="A31" s="21" t="s">
        <v>96</v>
      </c>
      <c r="B31" s="22" t="s">
        <v>191</v>
      </c>
      <c r="C31" s="22" t="s">
        <v>82</v>
      </c>
      <c r="D31" s="23">
        <v>45990.0</v>
      </c>
      <c r="E31" s="22" t="s">
        <v>192</v>
      </c>
      <c r="F31" s="22" t="s">
        <v>83</v>
      </c>
      <c r="G31" s="22" t="s">
        <v>193</v>
      </c>
      <c r="H31" s="22" t="s">
        <v>96</v>
      </c>
      <c r="I31" s="22">
        <v>1.0460056682819E13</v>
      </c>
      <c r="J31" s="22" t="s">
        <v>194</v>
      </c>
      <c r="K31" s="24"/>
      <c r="L31" s="22" t="s">
        <v>98</v>
      </c>
      <c r="M31" s="22">
        <v>1.0</v>
      </c>
      <c r="N31" s="22" t="s">
        <v>87</v>
      </c>
      <c r="O31" s="22" t="s">
        <v>88</v>
      </c>
      <c r="P31" s="22" t="s">
        <v>89</v>
      </c>
      <c r="Q31" s="22" t="s">
        <v>90</v>
      </c>
      <c r="R31" s="22">
        <v>3.2754285871427E13</v>
      </c>
      <c r="S31" s="22" t="s">
        <v>89</v>
      </c>
      <c r="T31" s="24"/>
      <c r="U31" s="24"/>
      <c r="V31" s="22" t="s">
        <v>55</v>
      </c>
      <c r="W31" s="24"/>
      <c r="X31" s="24"/>
      <c r="Y31" s="22"/>
      <c r="Z31" s="22"/>
      <c r="AA31" s="24"/>
      <c r="AB31" s="24"/>
      <c r="AC31" s="22"/>
      <c r="AD31" s="22"/>
      <c r="AE31" s="24"/>
      <c r="AF31" s="24"/>
      <c r="AG31" s="22"/>
      <c r="AH31" s="22"/>
      <c r="AI31" s="24"/>
      <c r="AJ31" s="24"/>
      <c r="AK31" s="22"/>
      <c r="AL31" s="22"/>
      <c r="AM31" s="24"/>
      <c r="AN31" s="25"/>
    </row>
    <row r="32">
      <c r="A32" s="21" t="s">
        <v>92</v>
      </c>
      <c r="B32" s="22" t="s">
        <v>195</v>
      </c>
      <c r="C32" s="22" t="s">
        <v>82</v>
      </c>
      <c r="D32" s="23">
        <v>45990.0</v>
      </c>
      <c r="E32" s="22" t="s">
        <v>196</v>
      </c>
      <c r="F32" s="22" t="s">
        <v>83</v>
      </c>
      <c r="G32" s="22" t="s">
        <v>197</v>
      </c>
      <c r="H32" s="22" t="s">
        <v>92</v>
      </c>
      <c r="I32" s="22">
        <v>1.0461198975299E13</v>
      </c>
      <c r="J32" s="22" t="s">
        <v>198</v>
      </c>
      <c r="K32" s="24"/>
      <c r="L32" s="22" t="s">
        <v>94</v>
      </c>
      <c r="M32" s="22">
        <v>1.0</v>
      </c>
      <c r="N32" s="22" t="s">
        <v>87</v>
      </c>
      <c r="O32" s="22" t="s">
        <v>88</v>
      </c>
      <c r="P32" s="22" t="s">
        <v>89</v>
      </c>
      <c r="Q32" s="22" t="s">
        <v>90</v>
      </c>
      <c r="R32" s="22">
        <v>3.2756686782787E13</v>
      </c>
      <c r="S32" s="22" t="s">
        <v>89</v>
      </c>
      <c r="T32" s="24"/>
      <c r="U32" s="24"/>
      <c r="V32" s="22" t="s">
        <v>95</v>
      </c>
      <c r="W32" s="24"/>
      <c r="X32" s="24"/>
      <c r="Y32" s="22"/>
      <c r="Z32" s="22"/>
      <c r="AA32" s="24"/>
      <c r="AB32" s="24"/>
      <c r="AC32" s="22"/>
      <c r="AD32" s="22"/>
      <c r="AE32" s="24"/>
      <c r="AF32" s="24"/>
      <c r="AG32" s="22"/>
      <c r="AH32" s="22"/>
      <c r="AI32" s="24"/>
      <c r="AJ32" s="24"/>
      <c r="AK32" s="22"/>
      <c r="AL32" s="22"/>
      <c r="AM32" s="24"/>
      <c r="AN32" s="25"/>
    </row>
    <row r="33">
      <c r="A33" s="21" t="s">
        <v>158</v>
      </c>
      <c r="B33" s="22" t="s">
        <v>109</v>
      </c>
      <c r="C33" s="22" t="s">
        <v>82</v>
      </c>
      <c r="D33" s="23">
        <v>45990.0</v>
      </c>
      <c r="E33" s="22" t="s">
        <v>110</v>
      </c>
      <c r="F33" s="22" t="s">
        <v>111</v>
      </c>
      <c r="G33" s="22" t="s">
        <v>199</v>
      </c>
      <c r="H33" s="22" t="s">
        <v>158</v>
      </c>
      <c r="I33" s="22">
        <v>1.0461981638979E13</v>
      </c>
      <c r="J33" s="22" t="s">
        <v>113</v>
      </c>
      <c r="K33" s="24"/>
      <c r="L33" s="22" t="s">
        <v>163</v>
      </c>
      <c r="M33" s="22">
        <v>1.0</v>
      </c>
      <c r="N33" s="22" t="s">
        <v>164</v>
      </c>
      <c r="O33" s="22" t="s">
        <v>165</v>
      </c>
      <c r="P33" s="22" t="s">
        <v>89</v>
      </c>
      <c r="Q33" s="22" t="s">
        <v>90</v>
      </c>
      <c r="R33" s="22">
        <v>3.2758384460099E13</v>
      </c>
      <c r="S33" s="22" t="s">
        <v>89</v>
      </c>
      <c r="T33" s="24"/>
      <c r="U33" s="24"/>
      <c r="V33" s="22" t="s">
        <v>127</v>
      </c>
      <c r="W33" s="24"/>
      <c r="X33" s="24"/>
      <c r="Y33" s="22"/>
      <c r="Z33" s="22"/>
      <c r="AA33" s="24"/>
      <c r="AB33" s="24"/>
      <c r="AC33" s="22"/>
      <c r="AD33" s="22"/>
      <c r="AE33" s="24"/>
      <c r="AF33" s="24"/>
      <c r="AG33" s="22"/>
      <c r="AH33" s="22"/>
      <c r="AI33" s="24"/>
      <c r="AJ33" s="24"/>
      <c r="AK33" s="22"/>
      <c r="AL33" s="22"/>
      <c r="AM33" s="24"/>
      <c r="AN33" s="25"/>
    </row>
    <row r="34">
      <c r="A34" s="21" t="s">
        <v>200</v>
      </c>
      <c r="B34" s="22" t="s">
        <v>201</v>
      </c>
      <c r="C34" s="22" t="s">
        <v>202</v>
      </c>
      <c r="D34" s="23">
        <v>45982.0</v>
      </c>
      <c r="E34" s="22" t="s">
        <v>134</v>
      </c>
      <c r="F34" s="22" t="s">
        <v>203</v>
      </c>
      <c r="G34" s="22" t="s">
        <v>204</v>
      </c>
      <c r="H34" s="22" t="s">
        <v>200</v>
      </c>
      <c r="I34" s="22">
        <v>1.0462702895427E13</v>
      </c>
      <c r="J34" s="22" t="s">
        <v>205</v>
      </c>
      <c r="K34" s="24"/>
      <c r="L34" s="22" t="s">
        <v>206</v>
      </c>
      <c r="M34" s="22">
        <v>1.0</v>
      </c>
      <c r="N34" s="22" t="s">
        <v>207</v>
      </c>
      <c r="O34" s="22" t="s">
        <v>208</v>
      </c>
      <c r="P34" s="22" t="s">
        <v>89</v>
      </c>
      <c r="Q34" s="22" t="s">
        <v>90</v>
      </c>
      <c r="R34" s="22">
        <v>3.2760001167683E13</v>
      </c>
      <c r="S34" s="22" t="s">
        <v>89</v>
      </c>
      <c r="T34" s="24"/>
      <c r="U34" s="24"/>
      <c r="V34" s="22" t="s">
        <v>54</v>
      </c>
      <c r="W34" s="24"/>
      <c r="X34" s="24"/>
      <c r="Y34" s="22"/>
      <c r="Z34" s="22"/>
      <c r="AA34" s="24"/>
      <c r="AB34" s="24"/>
      <c r="AC34" s="22"/>
      <c r="AD34" s="22"/>
      <c r="AE34" s="24"/>
      <c r="AF34" s="24"/>
      <c r="AG34" s="22"/>
      <c r="AH34" s="22"/>
      <c r="AI34" s="24"/>
      <c r="AJ34" s="24"/>
      <c r="AK34" s="22"/>
      <c r="AL34" s="22"/>
      <c r="AM34" s="24"/>
      <c r="AN34" s="25"/>
    </row>
    <row r="35">
      <c r="A35" s="21" t="s">
        <v>209</v>
      </c>
      <c r="B35" s="22" t="s">
        <v>210</v>
      </c>
      <c r="C35" s="22" t="s">
        <v>82</v>
      </c>
      <c r="D35" s="23">
        <v>45990.0</v>
      </c>
      <c r="E35" s="22" t="s">
        <v>211</v>
      </c>
      <c r="F35" s="22" t="s">
        <v>111</v>
      </c>
      <c r="G35" s="22" t="s">
        <v>212</v>
      </c>
      <c r="H35" s="22" t="s">
        <v>209</v>
      </c>
      <c r="I35" s="22">
        <v>1.0462948262211E13</v>
      </c>
      <c r="J35" s="22" t="s">
        <v>213</v>
      </c>
      <c r="K35" s="24"/>
      <c r="L35" s="22" t="s">
        <v>214</v>
      </c>
      <c r="M35" s="22">
        <v>1.0</v>
      </c>
      <c r="N35" s="22" t="s">
        <v>115</v>
      </c>
      <c r="O35" s="22" t="s">
        <v>116</v>
      </c>
      <c r="P35" s="22" t="s">
        <v>89</v>
      </c>
      <c r="Q35" s="22" t="s">
        <v>90</v>
      </c>
      <c r="R35" s="22">
        <v>3.2760556519747E13</v>
      </c>
      <c r="S35" s="22" t="s">
        <v>89</v>
      </c>
      <c r="T35" s="24"/>
      <c r="U35" s="24"/>
      <c r="V35" s="22" t="s">
        <v>91</v>
      </c>
      <c r="W35" s="24"/>
      <c r="X35" s="24"/>
      <c r="Y35" s="22"/>
      <c r="Z35" s="22"/>
      <c r="AA35" s="24"/>
      <c r="AB35" s="24"/>
      <c r="AC35" s="22"/>
      <c r="AD35" s="22"/>
      <c r="AE35" s="24"/>
      <c r="AF35" s="24"/>
      <c r="AG35" s="22"/>
      <c r="AH35" s="22"/>
      <c r="AI35" s="24"/>
      <c r="AJ35" s="24"/>
      <c r="AK35" s="22"/>
      <c r="AL35" s="22"/>
      <c r="AM35" s="24"/>
      <c r="AN35" s="25"/>
    </row>
    <row r="36">
      <c r="A36" s="21" t="s">
        <v>80</v>
      </c>
      <c r="B36" s="22" t="s">
        <v>148</v>
      </c>
      <c r="C36" s="22" t="s">
        <v>82</v>
      </c>
      <c r="D36" s="23">
        <v>45990.0</v>
      </c>
      <c r="E36" s="22" t="s">
        <v>149</v>
      </c>
      <c r="F36" s="22" t="s">
        <v>83</v>
      </c>
      <c r="G36" s="22" t="s">
        <v>215</v>
      </c>
      <c r="H36" s="22" t="s">
        <v>80</v>
      </c>
      <c r="I36" s="22">
        <v>1.0463781585219E13</v>
      </c>
      <c r="J36" s="22" t="s">
        <v>151</v>
      </c>
      <c r="K36" s="24"/>
      <c r="L36" s="22" t="s">
        <v>86</v>
      </c>
      <c r="M36" s="22">
        <v>1.0</v>
      </c>
      <c r="N36" s="22" t="s">
        <v>87</v>
      </c>
      <c r="O36" s="22" t="s">
        <v>88</v>
      </c>
      <c r="P36" s="22" t="s">
        <v>89</v>
      </c>
      <c r="Q36" s="22" t="s">
        <v>90</v>
      </c>
      <c r="R36" s="22">
        <v>3.2762375176515E13</v>
      </c>
      <c r="S36" s="22" t="s">
        <v>89</v>
      </c>
      <c r="T36" s="24"/>
      <c r="U36" s="24"/>
      <c r="V36" s="22" t="s">
        <v>91</v>
      </c>
      <c r="W36" s="24"/>
      <c r="X36" s="24"/>
      <c r="Y36" s="22"/>
      <c r="Z36" s="22"/>
      <c r="AA36" s="24"/>
      <c r="AB36" s="24"/>
      <c r="AC36" s="22"/>
      <c r="AD36" s="22"/>
      <c r="AE36" s="24"/>
      <c r="AF36" s="24"/>
      <c r="AG36" s="22"/>
      <c r="AH36" s="22"/>
      <c r="AI36" s="24"/>
      <c r="AJ36" s="24"/>
      <c r="AK36" s="22"/>
      <c r="AL36" s="22"/>
      <c r="AM36" s="24"/>
      <c r="AN36" s="25"/>
    </row>
    <row r="37">
      <c r="A37" s="21" t="s">
        <v>166</v>
      </c>
      <c r="B37" s="22" t="s">
        <v>159</v>
      </c>
      <c r="C37" s="22" t="s">
        <v>82</v>
      </c>
      <c r="D37" s="23">
        <v>45990.0</v>
      </c>
      <c r="E37" s="22" t="s">
        <v>160</v>
      </c>
      <c r="F37" s="22" t="s">
        <v>111</v>
      </c>
      <c r="G37" s="22" t="s">
        <v>216</v>
      </c>
      <c r="H37" s="22" t="s">
        <v>166</v>
      </c>
      <c r="I37" s="22">
        <v>1.0465041285443E13</v>
      </c>
      <c r="J37" s="22" t="s">
        <v>162</v>
      </c>
      <c r="K37" s="24"/>
      <c r="L37" s="22" t="s">
        <v>171</v>
      </c>
      <c r="M37" s="22">
        <v>1.0</v>
      </c>
      <c r="N37" s="22" t="s">
        <v>115</v>
      </c>
      <c r="O37" s="22" t="s">
        <v>116</v>
      </c>
      <c r="P37" s="22" t="s">
        <v>89</v>
      </c>
      <c r="Q37" s="22" t="s">
        <v>90</v>
      </c>
      <c r="R37" s="22">
        <v>3.2765169729859E13</v>
      </c>
      <c r="S37" s="22" t="s">
        <v>89</v>
      </c>
      <c r="T37" s="24"/>
      <c r="U37" s="24"/>
      <c r="V37" s="22" t="s">
        <v>55</v>
      </c>
      <c r="W37" s="24"/>
      <c r="X37" s="24"/>
      <c r="Y37" s="22"/>
      <c r="Z37" s="22"/>
      <c r="AA37" s="24"/>
      <c r="AB37" s="24"/>
      <c r="AC37" s="22"/>
      <c r="AD37" s="22"/>
      <c r="AE37" s="24"/>
      <c r="AF37" s="24"/>
      <c r="AG37" s="22"/>
      <c r="AH37" s="22"/>
      <c r="AI37" s="24"/>
      <c r="AJ37" s="24"/>
      <c r="AK37" s="22"/>
      <c r="AL37" s="22"/>
      <c r="AM37" s="24"/>
      <c r="AN37" s="25"/>
    </row>
    <row r="38">
      <c r="A38" s="21" t="s">
        <v>99</v>
      </c>
      <c r="B38" s="22" t="s">
        <v>148</v>
      </c>
      <c r="C38" s="22" t="s">
        <v>82</v>
      </c>
      <c r="D38" s="23">
        <v>45990.0</v>
      </c>
      <c r="E38" s="22" t="s">
        <v>149</v>
      </c>
      <c r="F38" s="22" t="s">
        <v>83</v>
      </c>
      <c r="G38" s="22" t="s">
        <v>217</v>
      </c>
      <c r="H38" s="22" t="s">
        <v>99</v>
      </c>
      <c r="I38" s="22">
        <v>1.0465287602499E13</v>
      </c>
      <c r="J38" s="22" t="s">
        <v>151</v>
      </c>
      <c r="K38" s="24"/>
      <c r="L38" s="22" t="s">
        <v>102</v>
      </c>
      <c r="M38" s="22">
        <v>1.0</v>
      </c>
      <c r="N38" s="22" t="s">
        <v>103</v>
      </c>
      <c r="O38" s="22" t="s">
        <v>104</v>
      </c>
      <c r="P38" s="22" t="s">
        <v>89</v>
      </c>
      <c r="Q38" s="22" t="s">
        <v>90</v>
      </c>
      <c r="R38" s="22">
        <v>3.2765691986243E13</v>
      </c>
      <c r="S38" s="22" t="s">
        <v>89</v>
      </c>
      <c r="T38" s="24"/>
      <c r="U38" s="24"/>
      <c r="V38" s="22" t="s">
        <v>105</v>
      </c>
      <c r="W38" s="24"/>
      <c r="X38" s="24"/>
      <c r="Y38" s="22"/>
      <c r="Z38" s="22"/>
      <c r="AA38" s="24"/>
      <c r="AB38" s="24"/>
      <c r="AC38" s="22"/>
      <c r="AD38" s="22"/>
      <c r="AE38" s="24"/>
      <c r="AF38" s="24"/>
      <c r="AG38" s="22"/>
      <c r="AH38" s="22"/>
      <c r="AI38" s="24"/>
      <c r="AJ38" s="24"/>
      <c r="AK38" s="22"/>
      <c r="AL38" s="22"/>
      <c r="AM38" s="24"/>
      <c r="AN38" s="25"/>
    </row>
    <row r="39">
      <c r="A39" s="21" t="s">
        <v>209</v>
      </c>
      <c r="B39" s="22" t="s">
        <v>218</v>
      </c>
      <c r="C39" s="22" t="s">
        <v>82</v>
      </c>
      <c r="D39" s="23">
        <v>45990.0</v>
      </c>
      <c r="E39" s="22" t="s">
        <v>219</v>
      </c>
      <c r="F39" s="22" t="s">
        <v>111</v>
      </c>
      <c r="G39" s="22" t="s">
        <v>220</v>
      </c>
      <c r="H39" s="22" t="s">
        <v>209</v>
      </c>
      <c r="I39" s="22">
        <v>1.0465473265987E13</v>
      </c>
      <c r="J39" s="22" t="s">
        <v>221</v>
      </c>
      <c r="K39" s="24"/>
      <c r="L39" s="22" t="s">
        <v>214</v>
      </c>
      <c r="M39" s="22">
        <v>1.0</v>
      </c>
      <c r="N39" s="22" t="s">
        <v>115</v>
      </c>
      <c r="O39" s="22" t="s">
        <v>116</v>
      </c>
      <c r="P39" s="22" t="s">
        <v>89</v>
      </c>
      <c r="Q39" s="22" t="s">
        <v>90</v>
      </c>
      <c r="R39" s="22">
        <v>3.2766090019139E13</v>
      </c>
      <c r="S39" s="22" t="s">
        <v>89</v>
      </c>
      <c r="T39" s="24"/>
      <c r="U39" s="24"/>
      <c r="V39" s="22" t="s">
        <v>91</v>
      </c>
      <c r="W39" s="24"/>
      <c r="X39" s="24"/>
      <c r="Y39" s="22"/>
      <c r="Z39" s="22"/>
      <c r="AA39" s="24"/>
      <c r="AB39" s="24"/>
      <c r="AC39" s="22"/>
      <c r="AD39" s="22"/>
      <c r="AE39" s="24"/>
      <c r="AF39" s="24"/>
      <c r="AG39" s="22"/>
      <c r="AH39" s="22"/>
      <c r="AI39" s="24"/>
      <c r="AJ39" s="24"/>
      <c r="AK39" s="22"/>
      <c r="AL39" s="22"/>
      <c r="AM39" s="24"/>
      <c r="AN39" s="25"/>
    </row>
    <row r="40">
      <c r="A40" s="21" t="s">
        <v>141</v>
      </c>
      <c r="B40" s="22" t="s">
        <v>137</v>
      </c>
      <c r="C40" s="22" t="s">
        <v>82</v>
      </c>
      <c r="D40" s="23">
        <v>45990.0</v>
      </c>
      <c r="E40" s="22" t="s">
        <v>138</v>
      </c>
      <c r="F40" s="22" t="s">
        <v>83</v>
      </c>
      <c r="G40" s="22" t="s">
        <v>222</v>
      </c>
      <c r="H40" s="22" t="s">
        <v>141</v>
      </c>
      <c r="I40" s="22">
        <v>1.0465759035715E13</v>
      </c>
      <c r="J40" s="22" t="s">
        <v>140</v>
      </c>
      <c r="K40" s="24"/>
      <c r="L40" s="22" t="s">
        <v>143</v>
      </c>
      <c r="M40" s="22">
        <v>1.0</v>
      </c>
      <c r="N40" s="22" t="s">
        <v>87</v>
      </c>
      <c r="O40" s="22" t="s">
        <v>88</v>
      </c>
      <c r="P40" s="22" t="s">
        <v>89</v>
      </c>
      <c r="Q40" s="22" t="s">
        <v>90</v>
      </c>
      <c r="R40" s="22">
        <v>3.2766691770691E13</v>
      </c>
      <c r="S40" s="22" t="s">
        <v>89</v>
      </c>
      <c r="T40" s="24"/>
      <c r="U40" s="24"/>
      <c r="V40" s="22" t="s">
        <v>54</v>
      </c>
      <c r="W40" s="24"/>
      <c r="X40" s="24"/>
      <c r="Y40" s="22"/>
      <c r="Z40" s="22"/>
      <c r="AA40" s="24"/>
      <c r="AB40" s="24"/>
      <c r="AC40" s="22"/>
      <c r="AD40" s="22"/>
      <c r="AE40" s="24"/>
      <c r="AF40" s="24"/>
      <c r="AG40" s="22"/>
      <c r="AH40" s="22"/>
      <c r="AI40" s="24"/>
      <c r="AJ40" s="24"/>
      <c r="AK40" s="22"/>
      <c r="AL40" s="22"/>
      <c r="AM40" s="24"/>
      <c r="AN40" s="25"/>
    </row>
    <row r="41">
      <c r="A41" s="21" t="s">
        <v>96</v>
      </c>
      <c r="B41" s="22" t="s">
        <v>223</v>
      </c>
      <c r="C41" s="22" t="s">
        <v>82</v>
      </c>
      <c r="D41" s="23">
        <v>45990.0</v>
      </c>
      <c r="E41" s="22" t="s">
        <v>224</v>
      </c>
      <c r="F41" s="22" t="s">
        <v>83</v>
      </c>
      <c r="G41" s="22" t="s">
        <v>225</v>
      </c>
      <c r="H41" s="22" t="s">
        <v>96</v>
      </c>
      <c r="I41" s="22">
        <v>1.0466360787267E13</v>
      </c>
      <c r="J41" s="22" t="s">
        <v>226</v>
      </c>
      <c r="K41" s="24"/>
      <c r="L41" s="22" t="s">
        <v>98</v>
      </c>
      <c r="M41" s="22">
        <v>1.0</v>
      </c>
      <c r="N41" s="22" t="s">
        <v>87</v>
      </c>
      <c r="O41" s="22" t="s">
        <v>88</v>
      </c>
      <c r="P41" s="22" t="s">
        <v>89</v>
      </c>
      <c r="Q41" s="22" t="s">
        <v>90</v>
      </c>
      <c r="R41" s="22">
        <v>3.2767952224579E13</v>
      </c>
      <c r="S41" s="22" t="s">
        <v>89</v>
      </c>
      <c r="T41" s="24"/>
      <c r="U41" s="24"/>
      <c r="V41" s="22" t="s">
        <v>55</v>
      </c>
      <c r="W41" s="24"/>
      <c r="X41" s="24"/>
      <c r="Y41" s="22"/>
      <c r="Z41" s="22"/>
      <c r="AA41" s="24"/>
      <c r="AB41" s="24"/>
      <c r="AC41" s="22"/>
      <c r="AD41" s="22"/>
      <c r="AE41" s="24"/>
      <c r="AF41" s="24"/>
      <c r="AG41" s="22"/>
      <c r="AH41" s="22"/>
      <c r="AI41" s="24"/>
      <c r="AJ41" s="24"/>
      <c r="AK41" s="22"/>
      <c r="AL41" s="22"/>
      <c r="AM41" s="24"/>
      <c r="AN41" s="25"/>
    </row>
    <row r="42">
      <c r="A42" s="21" t="s">
        <v>80</v>
      </c>
      <c r="B42" s="22" t="s">
        <v>152</v>
      </c>
      <c r="C42" s="22" t="s">
        <v>82</v>
      </c>
      <c r="D42" s="23">
        <v>45990.0</v>
      </c>
      <c r="E42" s="22" t="s">
        <v>153</v>
      </c>
      <c r="F42" s="22" t="s">
        <v>83</v>
      </c>
      <c r="G42" s="22" t="s">
        <v>227</v>
      </c>
      <c r="H42" s="22" t="s">
        <v>80</v>
      </c>
      <c r="I42" s="22">
        <v>1.0466547990851E13</v>
      </c>
      <c r="J42" s="22" t="s">
        <v>155</v>
      </c>
      <c r="K42" s="24"/>
      <c r="L42" s="22" t="s">
        <v>86</v>
      </c>
      <c r="M42" s="22">
        <v>1.0</v>
      </c>
      <c r="N42" s="22" t="s">
        <v>87</v>
      </c>
      <c r="O42" s="22" t="s">
        <v>88</v>
      </c>
      <c r="P42" s="22" t="s">
        <v>89</v>
      </c>
      <c r="Q42" s="22" t="s">
        <v>90</v>
      </c>
      <c r="R42" s="22">
        <v>3.2768366608707E13</v>
      </c>
      <c r="S42" s="22" t="s">
        <v>89</v>
      </c>
      <c r="T42" s="24"/>
      <c r="U42" s="24"/>
      <c r="V42" s="22" t="s">
        <v>91</v>
      </c>
      <c r="W42" s="24"/>
      <c r="X42" s="24"/>
      <c r="Y42" s="22"/>
      <c r="Z42" s="22"/>
      <c r="AA42" s="24"/>
      <c r="AB42" s="24"/>
      <c r="AC42" s="22"/>
      <c r="AD42" s="22"/>
      <c r="AE42" s="24"/>
      <c r="AF42" s="24"/>
      <c r="AG42" s="22"/>
      <c r="AH42" s="22"/>
      <c r="AI42" s="24"/>
      <c r="AJ42" s="24"/>
      <c r="AK42" s="22"/>
      <c r="AL42" s="22"/>
      <c r="AM42" s="24"/>
      <c r="AN42" s="25"/>
    </row>
    <row r="43">
      <c r="A43" s="21" t="s">
        <v>80</v>
      </c>
      <c r="B43" s="22" t="s">
        <v>133</v>
      </c>
      <c r="C43" s="22" t="s">
        <v>82</v>
      </c>
      <c r="D43" s="23">
        <v>45990.0</v>
      </c>
      <c r="E43" s="22" t="s">
        <v>134</v>
      </c>
      <c r="F43" s="22" t="s">
        <v>83</v>
      </c>
      <c r="G43" s="22" t="s">
        <v>228</v>
      </c>
      <c r="H43" s="22" t="s">
        <v>80</v>
      </c>
      <c r="I43" s="22">
        <v>1.0467156197699E13</v>
      </c>
      <c r="J43" s="22" t="s">
        <v>136</v>
      </c>
      <c r="K43" s="24"/>
      <c r="L43" s="22" t="s">
        <v>86</v>
      </c>
      <c r="M43" s="22">
        <v>1.0</v>
      </c>
      <c r="N43" s="22" t="s">
        <v>87</v>
      </c>
      <c r="O43" s="22" t="s">
        <v>88</v>
      </c>
      <c r="P43" s="22" t="s">
        <v>89</v>
      </c>
      <c r="Q43" s="22" t="s">
        <v>90</v>
      </c>
      <c r="R43" s="22">
        <v>3.2769718812995E13</v>
      </c>
      <c r="S43" s="22" t="s">
        <v>89</v>
      </c>
      <c r="T43" s="24"/>
      <c r="U43" s="24"/>
      <c r="V43" s="22" t="s">
        <v>91</v>
      </c>
      <c r="W43" s="24"/>
      <c r="X43" s="24"/>
      <c r="Y43" s="22"/>
      <c r="Z43" s="22"/>
      <c r="AA43" s="24"/>
      <c r="AB43" s="24"/>
      <c r="AC43" s="22"/>
      <c r="AD43" s="22"/>
      <c r="AE43" s="24"/>
      <c r="AF43" s="24"/>
      <c r="AG43" s="22"/>
      <c r="AH43" s="22"/>
      <c r="AI43" s="24"/>
      <c r="AJ43" s="24"/>
      <c r="AK43" s="22"/>
      <c r="AL43" s="22"/>
      <c r="AM43" s="24"/>
      <c r="AN43" s="25"/>
    </row>
    <row r="44">
      <c r="A44" s="21" t="s">
        <v>166</v>
      </c>
      <c r="B44" s="22" t="s">
        <v>229</v>
      </c>
      <c r="C44" s="22" t="s">
        <v>82</v>
      </c>
      <c r="D44" s="23">
        <v>45990.0</v>
      </c>
      <c r="E44" s="22" t="s">
        <v>230</v>
      </c>
      <c r="F44" s="22" t="s">
        <v>111</v>
      </c>
      <c r="G44" s="22" t="s">
        <v>231</v>
      </c>
      <c r="H44" s="22" t="s">
        <v>166</v>
      </c>
      <c r="I44" s="22">
        <v>1.0467490529603E13</v>
      </c>
      <c r="J44" s="22" t="s">
        <v>232</v>
      </c>
      <c r="K44" s="24"/>
      <c r="L44" s="22" t="s">
        <v>171</v>
      </c>
      <c r="M44" s="22">
        <v>1.0</v>
      </c>
      <c r="N44" s="22" t="s">
        <v>115</v>
      </c>
      <c r="O44" s="22" t="s">
        <v>116</v>
      </c>
      <c r="P44" s="22" t="s">
        <v>89</v>
      </c>
      <c r="Q44" s="22" t="s">
        <v>90</v>
      </c>
      <c r="R44" s="22">
        <v>3.2770471887171E13</v>
      </c>
      <c r="S44" s="22" t="s">
        <v>89</v>
      </c>
      <c r="T44" s="24"/>
      <c r="U44" s="24"/>
      <c r="V44" s="22" t="s">
        <v>55</v>
      </c>
      <c r="W44" s="24"/>
      <c r="X44" s="24"/>
      <c r="Y44" s="22"/>
      <c r="Z44" s="22"/>
      <c r="AA44" s="24"/>
      <c r="AB44" s="24"/>
      <c r="AC44" s="22"/>
      <c r="AD44" s="22"/>
      <c r="AE44" s="24"/>
      <c r="AF44" s="24"/>
      <c r="AG44" s="22"/>
      <c r="AH44" s="22"/>
      <c r="AI44" s="24"/>
      <c r="AJ44" s="24"/>
      <c r="AK44" s="22"/>
      <c r="AL44" s="22"/>
      <c r="AM44" s="24"/>
      <c r="AN44" s="25"/>
    </row>
    <row r="45">
      <c r="A45" s="21" t="s">
        <v>96</v>
      </c>
      <c r="B45" s="22" t="s">
        <v>148</v>
      </c>
      <c r="C45" s="22" t="s">
        <v>82</v>
      </c>
      <c r="D45" s="23">
        <v>45990.0</v>
      </c>
      <c r="E45" s="22" t="s">
        <v>149</v>
      </c>
      <c r="F45" s="22" t="s">
        <v>83</v>
      </c>
      <c r="G45" s="22" t="s">
        <v>233</v>
      </c>
      <c r="H45" s="22" t="s">
        <v>96</v>
      </c>
      <c r="I45" s="22">
        <v>1.0467908321603E13</v>
      </c>
      <c r="J45" s="22" t="s">
        <v>151</v>
      </c>
      <c r="K45" s="24"/>
      <c r="L45" s="22" t="s">
        <v>98</v>
      </c>
      <c r="M45" s="22">
        <v>1.0</v>
      </c>
      <c r="N45" s="22" t="s">
        <v>87</v>
      </c>
      <c r="O45" s="22" t="s">
        <v>88</v>
      </c>
      <c r="P45" s="22" t="s">
        <v>89</v>
      </c>
      <c r="Q45" s="22" t="s">
        <v>90</v>
      </c>
      <c r="R45" s="22">
        <v>3.2771371336003E13</v>
      </c>
      <c r="S45" s="22" t="s">
        <v>89</v>
      </c>
      <c r="T45" s="24"/>
      <c r="U45" s="24"/>
      <c r="V45" s="22" t="s">
        <v>55</v>
      </c>
      <c r="W45" s="24"/>
      <c r="X45" s="24"/>
      <c r="Y45" s="22"/>
      <c r="Z45" s="22"/>
      <c r="AA45" s="24"/>
      <c r="AB45" s="24"/>
      <c r="AC45" s="22"/>
      <c r="AD45" s="22"/>
      <c r="AE45" s="24"/>
      <c r="AF45" s="24"/>
      <c r="AG45" s="22"/>
      <c r="AH45" s="22"/>
      <c r="AI45" s="24"/>
      <c r="AJ45" s="24"/>
      <c r="AK45" s="22"/>
      <c r="AL45" s="22"/>
      <c r="AM45" s="24"/>
      <c r="AN45" s="25"/>
    </row>
    <row r="46">
      <c r="A46" s="21" t="s">
        <v>141</v>
      </c>
      <c r="B46" s="22" t="s">
        <v>234</v>
      </c>
      <c r="C46" s="22" t="s">
        <v>82</v>
      </c>
      <c r="D46" s="23">
        <v>45990.0</v>
      </c>
      <c r="E46" s="22" t="s">
        <v>235</v>
      </c>
      <c r="F46" s="22" t="s">
        <v>83</v>
      </c>
      <c r="G46" s="22" t="s">
        <v>236</v>
      </c>
      <c r="H46" s="22" t="s">
        <v>141</v>
      </c>
      <c r="I46" s="22">
        <v>1.0468050534723E13</v>
      </c>
      <c r="J46" s="22" t="s">
        <v>237</v>
      </c>
      <c r="K46" s="24"/>
      <c r="L46" s="22" t="s">
        <v>143</v>
      </c>
      <c r="M46" s="22">
        <v>1.0</v>
      </c>
      <c r="N46" s="22" t="s">
        <v>87</v>
      </c>
      <c r="O46" s="22" t="s">
        <v>88</v>
      </c>
      <c r="P46" s="22" t="s">
        <v>89</v>
      </c>
      <c r="Q46" s="22" t="s">
        <v>90</v>
      </c>
      <c r="R46" s="22">
        <v>3.2771678765379E13</v>
      </c>
      <c r="S46" s="22" t="s">
        <v>89</v>
      </c>
      <c r="T46" s="24"/>
      <c r="U46" s="24"/>
      <c r="V46" s="22" t="s">
        <v>54</v>
      </c>
      <c r="W46" s="24"/>
      <c r="X46" s="24"/>
      <c r="Y46" s="22"/>
      <c r="Z46" s="22"/>
      <c r="AA46" s="24"/>
      <c r="AB46" s="24"/>
      <c r="AC46" s="22"/>
      <c r="AD46" s="22"/>
      <c r="AE46" s="24"/>
      <c r="AF46" s="24"/>
      <c r="AG46" s="22"/>
      <c r="AH46" s="22"/>
      <c r="AI46" s="24"/>
      <c r="AJ46" s="24"/>
      <c r="AK46" s="22"/>
      <c r="AL46" s="22"/>
      <c r="AM46" s="24"/>
      <c r="AN46" s="25"/>
    </row>
    <row r="47">
      <c r="A47" s="21" t="s">
        <v>124</v>
      </c>
      <c r="B47" s="22" t="s">
        <v>133</v>
      </c>
      <c r="C47" s="22" t="s">
        <v>82</v>
      </c>
      <c r="D47" s="23">
        <v>45990.0</v>
      </c>
      <c r="E47" s="22" t="s">
        <v>134</v>
      </c>
      <c r="F47" s="22" t="s">
        <v>83</v>
      </c>
      <c r="G47" s="22" t="s">
        <v>238</v>
      </c>
      <c r="H47" s="22" t="s">
        <v>124</v>
      </c>
      <c r="I47" s="22">
        <v>1.0468285612355E13</v>
      </c>
      <c r="J47" s="22" t="s">
        <v>136</v>
      </c>
      <c r="K47" s="24"/>
      <c r="L47" s="22" t="s">
        <v>126</v>
      </c>
      <c r="M47" s="22">
        <v>1.0</v>
      </c>
      <c r="N47" s="22" t="s">
        <v>103</v>
      </c>
      <c r="O47" s="22" t="s">
        <v>104</v>
      </c>
      <c r="P47" s="22" t="s">
        <v>89</v>
      </c>
      <c r="Q47" s="22" t="s">
        <v>90</v>
      </c>
      <c r="R47" s="22">
        <v>3.2772197744963E13</v>
      </c>
      <c r="S47" s="22" t="s">
        <v>89</v>
      </c>
      <c r="T47" s="24"/>
      <c r="U47" s="24"/>
      <c r="V47" s="22" t="s">
        <v>127</v>
      </c>
      <c r="W47" s="24"/>
      <c r="X47" s="24"/>
      <c r="Y47" s="22"/>
      <c r="Z47" s="22"/>
      <c r="AA47" s="24"/>
      <c r="AB47" s="24"/>
      <c r="AC47" s="22"/>
      <c r="AD47" s="22"/>
      <c r="AE47" s="24"/>
      <c r="AF47" s="24"/>
      <c r="AG47" s="22"/>
      <c r="AH47" s="22"/>
      <c r="AI47" s="24"/>
      <c r="AJ47" s="24"/>
      <c r="AK47" s="22"/>
      <c r="AL47" s="22"/>
      <c r="AM47" s="24"/>
      <c r="AN47" s="25"/>
    </row>
    <row r="48">
      <c r="A48" s="21" t="s">
        <v>141</v>
      </c>
      <c r="B48" s="22" t="s">
        <v>137</v>
      </c>
      <c r="C48" s="22" t="s">
        <v>82</v>
      </c>
      <c r="D48" s="23">
        <v>45990.0</v>
      </c>
      <c r="E48" s="22" t="s">
        <v>138</v>
      </c>
      <c r="F48" s="22" t="s">
        <v>83</v>
      </c>
      <c r="G48" s="22" t="s">
        <v>239</v>
      </c>
      <c r="H48" s="22" t="s">
        <v>141</v>
      </c>
      <c r="I48" s="22">
        <v>1.0468335255875E13</v>
      </c>
      <c r="J48" s="22" t="s">
        <v>140</v>
      </c>
      <c r="K48" s="24"/>
      <c r="L48" s="22" t="s">
        <v>143</v>
      </c>
      <c r="M48" s="22">
        <v>1.0</v>
      </c>
      <c r="N48" s="22" t="s">
        <v>87</v>
      </c>
      <c r="O48" s="22" t="s">
        <v>88</v>
      </c>
      <c r="P48" s="22" t="s">
        <v>89</v>
      </c>
      <c r="Q48" s="22" t="s">
        <v>90</v>
      </c>
      <c r="R48" s="22">
        <v>3.2772309385539E13</v>
      </c>
      <c r="S48" s="22" t="s">
        <v>89</v>
      </c>
      <c r="T48" s="24"/>
      <c r="U48" s="24"/>
      <c r="V48" s="22" t="s">
        <v>54</v>
      </c>
      <c r="W48" s="24"/>
      <c r="X48" s="24"/>
      <c r="Y48" s="22"/>
      <c r="Z48" s="22"/>
      <c r="AA48" s="24"/>
      <c r="AB48" s="24"/>
      <c r="AC48" s="22"/>
      <c r="AD48" s="22"/>
      <c r="AE48" s="24"/>
      <c r="AF48" s="24"/>
      <c r="AG48" s="22"/>
      <c r="AH48" s="22"/>
      <c r="AI48" s="24"/>
      <c r="AJ48" s="24"/>
      <c r="AK48" s="22"/>
      <c r="AL48" s="22"/>
      <c r="AM48" s="24"/>
      <c r="AN48" s="25"/>
    </row>
    <row r="49">
      <c r="A49" s="21" t="s">
        <v>166</v>
      </c>
      <c r="B49" s="22" t="s">
        <v>186</v>
      </c>
      <c r="C49" s="22" t="s">
        <v>82</v>
      </c>
      <c r="D49" s="23">
        <v>45990.0</v>
      </c>
      <c r="E49" s="22" t="s">
        <v>187</v>
      </c>
      <c r="F49" s="22" t="s">
        <v>111</v>
      </c>
      <c r="G49" s="22" t="s">
        <v>240</v>
      </c>
      <c r="H49" s="22" t="s">
        <v>166</v>
      </c>
      <c r="I49" s="22">
        <v>1.0468491985219E13</v>
      </c>
      <c r="J49" s="22" t="s">
        <v>189</v>
      </c>
      <c r="K49" s="24"/>
      <c r="L49" s="22" t="s">
        <v>171</v>
      </c>
      <c r="M49" s="22">
        <v>1.0</v>
      </c>
      <c r="N49" s="22" t="s">
        <v>115</v>
      </c>
      <c r="O49" s="22" t="s">
        <v>116</v>
      </c>
      <c r="P49" s="22" t="s">
        <v>89</v>
      </c>
      <c r="Q49" s="22" t="s">
        <v>90</v>
      </c>
      <c r="R49" s="22">
        <v>3.2772664918339E13</v>
      </c>
      <c r="S49" s="22" t="s">
        <v>89</v>
      </c>
      <c r="T49" s="24"/>
      <c r="U49" s="24"/>
      <c r="V49" s="22" t="s">
        <v>55</v>
      </c>
      <c r="W49" s="24"/>
      <c r="X49" s="24"/>
      <c r="Y49" s="22"/>
      <c r="Z49" s="22"/>
      <c r="AA49" s="24"/>
      <c r="AB49" s="24"/>
      <c r="AC49" s="22"/>
      <c r="AD49" s="22"/>
      <c r="AE49" s="24"/>
      <c r="AF49" s="24"/>
      <c r="AG49" s="22"/>
      <c r="AH49" s="22"/>
      <c r="AI49" s="24"/>
      <c r="AJ49" s="24"/>
      <c r="AK49" s="22"/>
      <c r="AL49" s="22"/>
      <c r="AM49" s="24"/>
      <c r="AN49" s="25"/>
    </row>
    <row r="50">
      <c r="A50" s="21" t="s">
        <v>108</v>
      </c>
      <c r="B50" s="22" t="s">
        <v>229</v>
      </c>
      <c r="C50" s="22" t="s">
        <v>82</v>
      </c>
      <c r="D50" s="23">
        <v>45990.0</v>
      </c>
      <c r="E50" s="22" t="s">
        <v>230</v>
      </c>
      <c r="F50" s="22" t="s">
        <v>111</v>
      </c>
      <c r="G50" s="22" t="s">
        <v>241</v>
      </c>
      <c r="H50" s="22" t="s">
        <v>108</v>
      </c>
      <c r="I50" s="22">
        <v>1.0468672536899E13</v>
      </c>
      <c r="J50" s="22" t="s">
        <v>232</v>
      </c>
      <c r="K50" s="24"/>
      <c r="L50" s="22" t="s">
        <v>114</v>
      </c>
      <c r="M50" s="22">
        <v>1.0</v>
      </c>
      <c r="N50" s="22" t="s">
        <v>115</v>
      </c>
      <c r="O50" s="22" t="s">
        <v>116</v>
      </c>
      <c r="P50" s="22" t="s">
        <v>89</v>
      </c>
      <c r="Q50" s="22" t="s">
        <v>90</v>
      </c>
      <c r="R50" s="22">
        <v>3.2773050859843E13</v>
      </c>
      <c r="S50" s="22" t="s">
        <v>89</v>
      </c>
      <c r="T50" s="24"/>
      <c r="U50" s="24"/>
      <c r="V50" s="22" t="s">
        <v>54</v>
      </c>
      <c r="W50" s="24"/>
      <c r="X50" s="24"/>
      <c r="Y50" s="22"/>
      <c r="Z50" s="22"/>
      <c r="AA50" s="24"/>
      <c r="AB50" s="24"/>
      <c r="AC50" s="22"/>
      <c r="AD50" s="22"/>
      <c r="AE50" s="24"/>
      <c r="AF50" s="24"/>
      <c r="AG50" s="22"/>
      <c r="AH50" s="22"/>
      <c r="AI50" s="24"/>
      <c r="AJ50" s="24"/>
      <c r="AK50" s="22"/>
      <c r="AL50" s="22"/>
      <c r="AM50" s="24"/>
      <c r="AN50" s="25"/>
    </row>
    <row r="51">
      <c r="A51" s="21" t="s">
        <v>99</v>
      </c>
      <c r="B51" s="22" t="s">
        <v>242</v>
      </c>
      <c r="C51" s="22" t="s">
        <v>82</v>
      </c>
      <c r="D51" s="23">
        <v>45990.0</v>
      </c>
      <c r="E51" s="22" t="s">
        <v>243</v>
      </c>
      <c r="F51" s="22" t="s">
        <v>83</v>
      </c>
      <c r="G51" s="22" t="s">
        <v>244</v>
      </c>
      <c r="H51" s="22" t="s">
        <v>99</v>
      </c>
      <c r="I51" s="22">
        <v>1.0468426580291E13</v>
      </c>
      <c r="J51" s="22" t="s">
        <v>245</v>
      </c>
      <c r="K51" s="24"/>
      <c r="L51" s="22" t="s">
        <v>102</v>
      </c>
      <c r="M51" s="22">
        <v>1.0</v>
      </c>
      <c r="N51" s="22" t="s">
        <v>103</v>
      </c>
      <c r="O51" s="22" t="s">
        <v>104</v>
      </c>
      <c r="P51" s="22" t="s">
        <v>89</v>
      </c>
      <c r="Q51" s="22" t="s">
        <v>90</v>
      </c>
      <c r="R51" s="22">
        <v>3.2772515037507E13</v>
      </c>
      <c r="S51" s="22" t="s">
        <v>89</v>
      </c>
      <c r="T51" s="24"/>
      <c r="U51" s="24"/>
      <c r="V51" s="22" t="s">
        <v>105</v>
      </c>
      <c r="W51" s="24"/>
      <c r="X51" s="24"/>
      <c r="Y51" s="22"/>
      <c r="Z51" s="22"/>
      <c r="AA51" s="24"/>
      <c r="AB51" s="24"/>
      <c r="AC51" s="22"/>
      <c r="AD51" s="22"/>
      <c r="AE51" s="24"/>
      <c r="AF51" s="24"/>
      <c r="AG51" s="22"/>
      <c r="AH51" s="22"/>
      <c r="AI51" s="24"/>
      <c r="AJ51" s="24"/>
      <c r="AK51" s="22"/>
      <c r="AL51" s="22"/>
      <c r="AM51" s="24"/>
      <c r="AN51" s="25"/>
    </row>
    <row r="52">
      <c r="A52" s="21" t="s">
        <v>96</v>
      </c>
      <c r="B52" s="22" t="s">
        <v>133</v>
      </c>
      <c r="C52" s="22" t="s">
        <v>82</v>
      </c>
      <c r="D52" s="23">
        <v>45990.0</v>
      </c>
      <c r="E52" s="22" t="s">
        <v>134</v>
      </c>
      <c r="F52" s="22" t="s">
        <v>83</v>
      </c>
      <c r="G52" s="22" t="s">
        <v>246</v>
      </c>
      <c r="H52" s="22" t="s">
        <v>96</v>
      </c>
      <c r="I52" s="22">
        <v>1.0469122867523E13</v>
      </c>
      <c r="J52" s="22" t="s">
        <v>136</v>
      </c>
      <c r="K52" s="24"/>
      <c r="L52" s="22" t="s">
        <v>98</v>
      </c>
      <c r="M52" s="22">
        <v>1.0</v>
      </c>
      <c r="N52" s="22" t="s">
        <v>87</v>
      </c>
      <c r="O52" s="22" t="s">
        <v>88</v>
      </c>
      <c r="P52" s="22" t="s">
        <v>89</v>
      </c>
      <c r="Q52" s="22" t="s">
        <v>90</v>
      </c>
      <c r="R52" s="22">
        <v>3.2774061490499E13</v>
      </c>
      <c r="S52" s="22" t="s">
        <v>89</v>
      </c>
      <c r="T52" s="24"/>
      <c r="U52" s="24"/>
      <c r="V52" s="22" t="s">
        <v>55</v>
      </c>
      <c r="W52" s="24"/>
      <c r="X52" s="24"/>
      <c r="Y52" s="22"/>
      <c r="Z52" s="22"/>
      <c r="AA52" s="24"/>
      <c r="AB52" s="24"/>
      <c r="AC52" s="22"/>
      <c r="AD52" s="22"/>
      <c r="AE52" s="24"/>
      <c r="AF52" s="24"/>
      <c r="AG52" s="22"/>
      <c r="AH52" s="22"/>
      <c r="AI52" s="24"/>
      <c r="AJ52" s="24"/>
      <c r="AK52" s="22"/>
      <c r="AL52" s="22"/>
      <c r="AM52" s="24"/>
      <c r="AN52" s="25"/>
    </row>
    <row r="53">
      <c r="A53" s="21" t="s">
        <v>141</v>
      </c>
      <c r="B53" s="22" t="s">
        <v>247</v>
      </c>
      <c r="C53" s="22" t="s">
        <v>82</v>
      </c>
      <c r="D53" s="23">
        <v>45990.0</v>
      </c>
      <c r="E53" s="22" t="s">
        <v>248</v>
      </c>
      <c r="F53" s="22" t="s">
        <v>83</v>
      </c>
      <c r="G53" s="22" t="s">
        <v>249</v>
      </c>
      <c r="H53" s="22" t="s">
        <v>141</v>
      </c>
      <c r="I53" s="22">
        <v>1.0468945953091E13</v>
      </c>
      <c r="J53" s="22" t="s">
        <v>250</v>
      </c>
      <c r="K53" s="24"/>
      <c r="L53" s="22" t="s">
        <v>143</v>
      </c>
      <c r="M53" s="22">
        <v>1.0</v>
      </c>
      <c r="N53" s="22" t="s">
        <v>87</v>
      </c>
      <c r="O53" s="22" t="s">
        <v>88</v>
      </c>
      <c r="P53" s="22" t="s">
        <v>89</v>
      </c>
      <c r="Q53" s="22" t="s">
        <v>90</v>
      </c>
      <c r="R53" s="22">
        <v>3.2773648613699E13</v>
      </c>
      <c r="S53" s="22" t="s">
        <v>89</v>
      </c>
      <c r="T53" s="24"/>
      <c r="U53" s="24"/>
      <c r="V53" s="22" t="s">
        <v>54</v>
      </c>
      <c r="W53" s="24"/>
      <c r="X53" s="24"/>
      <c r="Y53" s="22"/>
      <c r="Z53" s="22"/>
      <c r="AA53" s="24"/>
      <c r="AB53" s="24"/>
      <c r="AC53" s="22"/>
      <c r="AD53" s="22"/>
      <c r="AE53" s="24"/>
      <c r="AF53" s="24"/>
      <c r="AG53" s="22"/>
      <c r="AH53" s="22"/>
      <c r="AI53" s="24"/>
      <c r="AJ53" s="24"/>
      <c r="AK53" s="22"/>
      <c r="AL53" s="22"/>
      <c r="AM53" s="24"/>
      <c r="AN53" s="25"/>
    </row>
    <row r="54">
      <c r="A54" s="21" t="s">
        <v>124</v>
      </c>
      <c r="B54" s="22" t="s">
        <v>251</v>
      </c>
      <c r="C54" s="22" t="s">
        <v>82</v>
      </c>
      <c r="D54" s="23">
        <v>45990.0</v>
      </c>
      <c r="E54" s="22" t="s">
        <v>252</v>
      </c>
      <c r="F54" s="22" t="s">
        <v>83</v>
      </c>
      <c r="G54" s="22" t="s">
        <v>253</v>
      </c>
      <c r="H54" s="22" t="s">
        <v>124</v>
      </c>
      <c r="I54" s="22">
        <v>1.0470125207875E13</v>
      </c>
      <c r="J54" s="22" t="s">
        <v>254</v>
      </c>
      <c r="K54" s="24"/>
      <c r="L54" s="22" t="s">
        <v>126</v>
      </c>
      <c r="M54" s="22">
        <v>1.0</v>
      </c>
      <c r="N54" s="22" t="s">
        <v>103</v>
      </c>
      <c r="O54" s="22" t="s">
        <v>104</v>
      </c>
      <c r="P54" s="22" t="s">
        <v>89</v>
      </c>
      <c r="Q54" s="22" t="s">
        <v>90</v>
      </c>
      <c r="R54" s="22">
        <v>3.2776371634499E13</v>
      </c>
      <c r="S54" s="22" t="s">
        <v>89</v>
      </c>
      <c r="T54" s="24"/>
      <c r="U54" s="24"/>
      <c r="V54" s="22" t="s">
        <v>127</v>
      </c>
      <c r="W54" s="24"/>
      <c r="X54" s="24"/>
      <c r="Y54" s="22"/>
      <c r="Z54" s="22"/>
      <c r="AA54" s="24"/>
      <c r="AB54" s="24"/>
      <c r="AC54" s="22"/>
      <c r="AD54" s="22"/>
      <c r="AE54" s="24"/>
      <c r="AF54" s="24"/>
      <c r="AG54" s="22"/>
      <c r="AH54" s="22"/>
      <c r="AI54" s="24"/>
      <c r="AJ54" s="24"/>
      <c r="AK54" s="22"/>
      <c r="AL54" s="22"/>
      <c r="AM54" s="24"/>
      <c r="AN54" s="25"/>
    </row>
    <row r="55">
      <c r="A55" s="21" t="s">
        <v>124</v>
      </c>
      <c r="B55" s="22" t="s">
        <v>133</v>
      </c>
      <c r="C55" s="22" t="s">
        <v>82</v>
      </c>
      <c r="D55" s="23">
        <v>45990.0</v>
      </c>
      <c r="E55" s="22" t="s">
        <v>134</v>
      </c>
      <c r="F55" s="22" t="s">
        <v>83</v>
      </c>
      <c r="G55" s="22" t="s">
        <v>255</v>
      </c>
      <c r="H55" s="22" t="s">
        <v>124</v>
      </c>
      <c r="I55" s="22">
        <v>1.0470252413251E13</v>
      </c>
      <c r="J55" s="22" t="s">
        <v>136</v>
      </c>
      <c r="K55" s="24"/>
      <c r="L55" s="22" t="s">
        <v>126</v>
      </c>
      <c r="M55" s="22">
        <v>1.0</v>
      </c>
      <c r="N55" s="22" t="s">
        <v>103</v>
      </c>
      <c r="O55" s="22" t="s">
        <v>104</v>
      </c>
      <c r="P55" s="22" t="s">
        <v>89</v>
      </c>
      <c r="Q55" s="22" t="s">
        <v>90</v>
      </c>
      <c r="R55" s="22">
        <v>3.2776651866435E13</v>
      </c>
      <c r="S55" s="22" t="s">
        <v>89</v>
      </c>
      <c r="T55" s="24"/>
      <c r="U55" s="24"/>
      <c r="V55" s="22" t="s">
        <v>127</v>
      </c>
      <c r="W55" s="24"/>
      <c r="X55" s="24"/>
      <c r="Y55" s="22"/>
      <c r="Z55" s="22"/>
      <c r="AA55" s="24"/>
      <c r="AB55" s="24"/>
      <c r="AC55" s="22"/>
      <c r="AD55" s="22"/>
      <c r="AE55" s="24"/>
      <c r="AF55" s="24"/>
      <c r="AG55" s="22"/>
      <c r="AH55" s="22"/>
      <c r="AI55" s="24"/>
      <c r="AJ55" s="24"/>
      <c r="AK55" s="22"/>
      <c r="AL55" s="22"/>
      <c r="AM55" s="24"/>
      <c r="AN55" s="25"/>
    </row>
    <row r="56">
      <c r="A56" s="21" t="s">
        <v>108</v>
      </c>
      <c r="B56" s="22" t="s">
        <v>210</v>
      </c>
      <c r="C56" s="22" t="s">
        <v>82</v>
      </c>
      <c r="D56" s="23">
        <v>45990.0</v>
      </c>
      <c r="E56" s="22" t="s">
        <v>211</v>
      </c>
      <c r="F56" s="22" t="s">
        <v>111</v>
      </c>
      <c r="G56" s="22" t="s">
        <v>256</v>
      </c>
      <c r="H56" s="22" t="s">
        <v>108</v>
      </c>
      <c r="I56" s="22">
        <v>1.0470556238147E13</v>
      </c>
      <c r="J56" s="22" t="s">
        <v>213</v>
      </c>
      <c r="K56" s="24"/>
      <c r="L56" s="22" t="s">
        <v>114</v>
      </c>
      <c r="M56" s="22">
        <v>1.0</v>
      </c>
      <c r="N56" s="22" t="s">
        <v>115</v>
      </c>
      <c r="O56" s="22" t="s">
        <v>116</v>
      </c>
      <c r="P56" s="22" t="s">
        <v>89</v>
      </c>
      <c r="Q56" s="22" t="s">
        <v>90</v>
      </c>
      <c r="R56" s="22">
        <v>3.2777322004803E13</v>
      </c>
      <c r="S56" s="22" t="s">
        <v>89</v>
      </c>
      <c r="T56" s="24"/>
      <c r="U56" s="24"/>
      <c r="V56" s="22" t="s">
        <v>54</v>
      </c>
      <c r="W56" s="24"/>
      <c r="X56" s="24"/>
      <c r="Y56" s="22"/>
      <c r="Z56" s="22"/>
      <c r="AA56" s="24"/>
      <c r="AB56" s="24"/>
      <c r="AC56" s="22"/>
      <c r="AD56" s="22"/>
      <c r="AE56" s="24"/>
      <c r="AF56" s="24"/>
      <c r="AG56" s="22"/>
      <c r="AH56" s="22"/>
      <c r="AI56" s="24"/>
      <c r="AJ56" s="24"/>
      <c r="AK56" s="22"/>
      <c r="AL56" s="22"/>
      <c r="AM56" s="24"/>
      <c r="AN56" s="25"/>
    </row>
    <row r="57">
      <c r="A57" s="21" t="s">
        <v>96</v>
      </c>
      <c r="B57" s="22" t="s">
        <v>137</v>
      </c>
      <c r="C57" s="22" t="s">
        <v>82</v>
      </c>
      <c r="D57" s="23">
        <v>45990.0</v>
      </c>
      <c r="E57" s="22" t="s">
        <v>138</v>
      </c>
      <c r="F57" s="22" t="s">
        <v>83</v>
      </c>
      <c r="G57" s="22" t="s">
        <v>257</v>
      </c>
      <c r="H57" s="22" t="s">
        <v>96</v>
      </c>
      <c r="I57" s="22">
        <v>1.0470805668163E13</v>
      </c>
      <c r="J57" s="22" t="s">
        <v>140</v>
      </c>
      <c r="K57" s="24"/>
      <c r="L57" s="22" t="s">
        <v>98</v>
      </c>
      <c r="M57" s="22">
        <v>1.0</v>
      </c>
      <c r="N57" s="22" t="s">
        <v>87</v>
      </c>
      <c r="O57" s="22" t="s">
        <v>88</v>
      </c>
      <c r="P57" s="22" t="s">
        <v>89</v>
      </c>
      <c r="Q57" s="22" t="s">
        <v>90</v>
      </c>
      <c r="R57" s="22">
        <v>3.2777861103939E13</v>
      </c>
      <c r="S57" s="22" t="s">
        <v>89</v>
      </c>
      <c r="T57" s="24"/>
      <c r="U57" s="24"/>
      <c r="V57" s="22" t="s">
        <v>55</v>
      </c>
      <c r="W57" s="24"/>
      <c r="X57" s="24"/>
      <c r="Y57" s="22"/>
      <c r="Z57" s="22"/>
      <c r="AA57" s="24"/>
      <c r="AB57" s="24"/>
      <c r="AC57" s="22"/>
      <c r="AD57" s="22"/>
      <c r="AE57" s="24"/>
      <c r="AF57" s="24"/>
      <c r="AG57" s="22"/>
      <c r="AH57" s="22"/>
      <c r="AI57" s="24"/>
      <c r="AJ57" s="24"/>
      <c r="AK57" s="22"/>
      <c r="AL57" s="22"/>
      <c r="AM57" s="24"/>
      <c r="AN57" s="25"/>
    </row>
    <row r="58">
      <c r="A58" s="21" t="s">
        <v>124</v>
      </c>
      <c r="B58" s="22" t="s">
        <v>144</v>
      </c>
      <c r="C58" s="22" t="s">
        <v>82</v>
      </c>
      <c r="D58" s="23">
        <v>45990.0</v>
      </c>
      <c r="E58" s="22" t="s">
        <v>145</v>
      </c>
      <c r="F58" s="22" t="s">
        <v>83</v>
      </c>
      <c r="G58" s="22" t="s">
        <v>258</v>
      </c>
      <c r="H58" s="22" t="s">
        <v>124</v>
      </c>
      <c r="I58" s="22">
        <v>1.0471579517251E13</v>
      </c>
      <c r="J58" s="22" t="s">
        <v>147</v>
      </c>
      <c r="K58" s="24"/>
      <c r="L58" s="22" t="s">
        <v>126</v>
      </c>
      <c r="M58" s="22">
        <v>1.0</v>
      </c>
      <c r="N58" s="22" t="s">
        <v>103</v>
      </c>
      <c r="O58" s="22" t="s">
        <v>104</v>
      </c>
      <c r="P58" s="22" t="s">
        <v>89</v>
      </c>
      <c r="Q58" s="22" t="s">
        <v>90</v>
      </c>
      <c r="R58" s="22">
        <v>3.2779495080259E13</v>
      </c>
      <c r="S58" s="22" t="s">
        <v>89</v>
      </c>
      <c r="T58" s="24"/>
      <c r="U58" s="24"/>
      <c r="V58" s="22" t="s">
        <v>127</v>
      </c>
      <c r="W58" s="24"/>
      <c r="X58" s="24"/>
      <c r="Y58" s="22"/>
      <c r="Z58" s="22"/>
      <c r="AA58" s="24"/>
      <c r="AB58" s="24"/>
      <c r="AC58" s="22"/>
      <c r="AD58" s="22"/>
      <c r="AE58" s="24"/>
      <c r="AF58" s="24"/>
      <c r="AG58" s="22"/>
      <c r="AH58" s="22"/>
      <c r="AI58" s="24"/>
      <c r="AJ58" s="24"/>
      <c r="AK58" s="22"/>
      <c r="AL58" s="22"/>
      <c r="AM58" s="24"/>
      <c r="AN58" s="25"/>
    </row>
    <row r="59">
      <c r="A59" s="21" t="s">
        <v>80</v>
      </c>
      <c r="B59" s="22" t="s">
        <v>191</v>
      </c>
      <c r="C59" s="22" t="s">
        <v>82</v>
      </c>
      <c r="D59" s="23">
        <v>45990.0</v>
      </c>
      <c r="E59" s="22" t="s">
        <v>192</v>
      </c>
      <c r="F59" s="22" t="s">
        <v>83</v>
      </c>
      <c r="G59" s="22" t="s">
        <v>259</v>
      </c>
      <c r="H59" s="22" t="s">
        <v>80</v>
      </c>
      <c r="I59" s="22">
        <v>1.0471592821059E13</v>
      </c>
      <c r="J59" s="22" t="s">
        <v>194</v>
      </c>
      <c r="K59" s="24"/>
      <c r="L59" s="22" t="s">
        <v>86</v>
      </c>
      <c r="M59" s="22">
        <v>1.0</v>
      </c>
      <c r="N59" s="22" t="s">
        <v>87</v>
      </c>
      <c r="O59" s="22" t="s">
        <v>88</v>
      </c>
      <c r="P59" s="22" t="s">
        <v>89</v>
      </c>
      <c r="Q59" s="22" t="s">
        <v>90</v>
      </c>
      <c r="R59" s="22">
        <v>3.2779525390659E13</v>
      </c>
      <c r="S59" s="22" t="s">
        <v>89</v>
      </c>
      <c r="T59" s="24"/>
      <c r="U59" s="24"/>
      <c r="V59" s="22" t="s">
        <v>91</v>
      </c>
      <c r="W59" s="24"/>
      <c r="X59" s="24"/>
      <c r="Y59" s="22"/>
      <c r="Z59" s="22"/>
      <c r="AA59" s="24"/>
      <c r="AB59" s="24"/>
      <c r="AC59" s="22"/>
      <c r="AD59" s="22"/>
      <c r="AE59" s="24"/>
      <c r="AF59" s="24"/>
      <c r="AG59" s="22"/>
      <c r="AH59" s="22"/>
      <c r="AI59" s="24"/>
      <c r="AJ59" s="24"/>
      <c r="AK59" s="22"/>
      <c r="AL59" s="22"/>
      <c r="AM59" s="24"/>
      <c r="AN59" s="25"/>
    </row>
    <row r="60">
      <c r="A60" s="21" t="s">
        <v>141</v>
      </c>
      <c r="B60" s="22" t="s">
        <v>152</v>
      </c>
      <c r="C60" s="22" t="s">
        <v>82</v>
      </c>
      <c r="D60" s="23">
        <v>45990.0</v>
      </c>
      <c r="E60" s="22" t="s">
        <v>153</v>
      </c>
      <c r="F60" s="22" t="s">
        <v>83</v>
      </c>
      <c r="G60" s="22" t="s">
        <v>260</v>
      </c>
      <c r="H60" s="22" t="s">
        <v>141</v>
      </c>
      <c r="I60" s="22">
        <v>1.0480813834563E13</v>
      </c>
      <c r="J60" s="22" t="s">
        <v>261</v>
      </c>
      <c r="K60" s="24"/>
      <c r="L60" s="22" t="s">
        <v>262</v>
      </c>
      <c r="M60" s="22">
        <v>1.0</v>
      </c>
      <c r="N60" s="22" t="s">
        <v>263</v>
      </c>
      <c r="O60" s="22" t="s">
        <v>264</v>
      </c>
      <c r="P60" s="22" t="s">
        <v>89</v>
      </c>
      <c r="Q60" s="22" t="s">
        <v>90</v>
      </c>
      <c r="R60" s="22">
        <v>3.2799436144963E13</v>
      </c>
      <c r="S60" s="22" t="s">
        <v>89</v>
      </c>
      <c r="T60" s="24"/>
      <c r="U60" s="24"/>
      <c r="V60" s="22" t="s">
        <v>54</v>
      </c>
      <c r="W60" s="24"/>
      <c r="X60" s="24"/>
      <c r="Y60" s="22"/>
      <c r="Z60" s="22"/>
      <c r="AA60" s="24"/>
      <c r="AB60" s="24"/>
      <c r="AC60" s="22"/>
      <c r="AD60" s="22"/>
      <c r="AE60" s="24"/>
      <c r="AF60" s="24"/>
      <c r="AG60" s="22"/>
      <c r="AH60" s="22"/>
      <c r="AI60" s="24"/>
      <c r="AJ60" s="24"/>
      <c r="AK60" s="22"/>
      <c r="AL60" s="22"/>
      <c r="AM60" s="24"/>
      <c r="AN60" s="25"/>
    </row>
    <row r="61">
      <c r="A61" s="21" t="s">
        <v>96</v>
      </c>
      <c r="B61" s="22" t="s">
        <v>265</v>
      </c>
      <c r="C61" s="22" t="s">
        <v>82</v>
      </c>
      <c r="D61" s="23">
        <v>45990.0</v>
      </c>
      <c r="E61" s="22" t="s">
        <v>266</v>
      </c>
      <c r="F61" s="22" t="s">
        <v>83</v>
      </c>
      <c r="G61" s="22" t="s">
        <v>267</v>
      </c>
      <c r="H61" s="22" t="s">
        <v>96</v>
      </c>
      <c r="I61" s="22">
        <v>1.0485774942531E13</v>
      </c>
      <c r="J61" s="22" t="s">
        <v>268</v>
      </c>
      <c r="K61" s="24"/>
      <c r="L61" s="22" t="s">
        <v>269</v>
      </c>
      <c r="M61" s="22">
        <v>1.0</v>
      </c>
      <c r="N61" s="22" t="s">
        <v>263</v>
      </c>
      <c r="O61" s="22" t="s">
        <v>264</v>
      </c>
      <c r="P61" s="22" t="s">
        <v>89</v>
      </c>
      <c r="Q61" s="22" t="s">
        <v>90</v>
      </c>
      <c r="R61" s="22">
        <v>3.2810390323523E13</v>
      </c>
      <c r="S61" s="22" t="s">
        <v>89</v>
      </c>
      <c r="T61" s="24"/>
      <c r="U61" s="24"/>
      <c r="V61" s="22" t="s">
        <v>55</v>
      </c>
      <c r="W61" s="24"/>
      <c r="X61" s="24"/>
      <c r="Y61" s="22"/>
      <c r="Z61" s="22"/>
      <c r="AA61" s="24"/>
      <c r="AB61" s="24"/>
      <c r="AC61" s="22"/>
      <c r="AD61" s="22"/>
      <c r="AE61" s="24"/>
      <c r="AF61" s="24"/>
      <c r="AG61" s="22"/>
      <c r="AH61" s="22"/>
      <c r="AI61" s="24"/>
      <c r="AJ61" s="24"/>
      <c r="AK61" s="22"/>
      <c r="AL61" s="22"/>
      <c r="AM61" s="24"/>
      <c r="AN61" s="25"/>
    </row>
    <row r="62">
      <c r="A62" s="21" t="s">
        <v>96</v>
      </c>
      <c r="B62" s="22" t="s">
        <v>191</v>
      </c>
      <c r="C62" s="22" t="s">
        <v>82</v>
      </c>
      <c r="D62" s="23">
        <v>45990.0</v>
      </c>
      <c r="E62" s="22" t="s">
        <v>192</v>
      </c>
      <c r="F62" s="22" t="s">
        <v>83</v>
      </c>
      <c r="G62" s="22" t="s">
        <v>270</v>
      </c>
      <c r="H62" s="22" t="s">
        <v>96</v>
      </c>
      <c r="I62" s="22">
        <v>1.0486846193987E13</v>
      </c>
      <c r="J62" s="22" t="s">
        <v>271</v>
      </c>
      <c r="K62" s="24"/>
      <c r="L62" s="22" t="s">
        <v>269</v>
      </c>
      <c r="M62" s="22">
        <v>1.0</v>
      </c>
      <c r="N62" s="22" t="s">
        <v>263</v>
      </c>
      <c r="O62" s="22" t="s">
        <v>264</v>
      </c>
      <c r="P62" s="22" t="s">
        <v>89</v>
      </c>
      <c r="Q62" s="22" t="s">
        <v>90</v>
      </c>
      <c r="R62" s="22">
        <v>3.2812691390787E13</v>
      </c>
      <c r="S62" s="22" t="s">
        <v>89</v>
      </c>
      <c r="T62" s="24"/>
      <c r="U62" s="24"/>
      <c r="V62" s="22" t="s">
        <v>55</v>
      </c>
      <c r="W62" s="24"/>
      <c r="X62" s="24"/>
      <c r="Y62" s="22"/>
      <c r="Z62" s="22"/>
      <c r="AA62" s="24"/>
      <c r="AB62" s="24"/>
      <c r="AC62" s="22"/>
      <c r="AD62" s="22"/>
      <c r="AE62" s="24"/>
      <c r="AF62" s="24"/>
      <c r="AG62" s="22"/>
      <c r="AH62" s="22"/>
      <c r="AI62" s="24"/>
      <c r="AJ62" s="24"/>
      <c r="AK62" s="22"/>
      <c r="AL62" s="22"/>
      <c r="AM62" s="24"/>
      <c r="AN62" s="25"/>
    </row>
    <row r="63">
      <c r="A63" s="21" t="s">
        <v>92</v>
      </c>
      <c r="B63" s="22" t="s">
        <v>272</v>
      </c>
      <c r="C63" s="22" t="s">
        <v>273</v>
      </c>
      <c r="D63" s="26">
        <v>45998.0</v>
      </c>
      <c r="E63" s="22"/>
      <c r="F63" s="22" t="s">
        <v>83</v>
      </c>
      <c r="G63" s="22" t="s">
        <v>274</v>
      </c>
      <c r="H63" s="22" t="s">
        <v>92</v>
      </c>
      <c r="I63" s="22">
        <v>1.0395093729603E13</v>
      </c>
      <c r="J63" s="22" t="s">
        <v>275</v>
      </c>
      <c r="K63" s="24"/>
      <c r="L63" s="22" t="s">
        <v>94</v>
      </c>
      <c r="M63" s="22">
        <v>1.0</v>
      </c>
      <c r="N63" s="22" t="s">
        <v>87</v>
      </c>
      <c r="O63" s="22" t="s">
        <v>88</v>
      </c>
      <c r="P63" s="24"/>
      <c r="Q63" s="22" t="s">
        <v>90</v>
      </c>
      <c r="R63" s="22">
        <v>3.2601734152515E13</v>
      </c>
      <c r="S63" s="24"/>
      <c r="T63" s="24"/>
      <c r="U63" s="24"/>
      <c r="V63" s="22" t="s">
        <v>95</v>
      </c>
      <c r="W63" s="24"/>
      <c r="X63" s="24"/>
      <c r="Y63" s="22"/>
      <c r="Z63" s="22"/>
      <c r="AA63" s="24"/>
      <c r="AB63" s="24"/>
      <c r="AC63" s="22"/>
      <c r="AD63" s="22"/>
      <c r="AE63" s="24"/>
      <c r="AF63" s="24"/>
      <c r="AG63" s="22"/>
      <c r="AH63" s="22"/>
      <c r="AI63" s="24"/>
      <c r="AJ63" s="24"/>
      <c r="AK63" s="22"/>
      <c r="AL63" s="22"/>
      <c r="AM63" s="24"/>
      <c r="AN63" s="25"/>
    </row>
    <row r="64">
      <c r="A64" s="21" t="s">
        <v>276</v>
      </c>
      <c r="B64" s="22" t="s">
        <v>277</v>
      </c>
      <c r="C64" s="22" t="s">
        <v>82</v>
      </c>
      <c r="D64" s="26">
        <v>45997.0</v>
      </c>
      <c r="E64" s="22" t="s">
        <v>138</v>
      </c>
      <c r="F64" s="22" t="s">
        <v>278</v>
      </c>
      <c r="G64" s="22" t="s">
        <v>279</v>
      </c>
      <c r="H64" s="22" t="s">
        <v>276</v>
      </c>
      <c r="I64" s="22">
        <v>1.0394608206147E13</v>
      </c>
      <c r="J64" s="22" t="s">
        <v>280</v>
      </c>
      <c r="K64" s="24"/>
      <c r="L64" s="22" t="s">
        <v>281</v>
      </c>
      <c r="M64" s="22">
        <v>1.0</v>
      </c>
      <c r="N64" s="22" t="s">
        <v>282</v>
      </c>
      <c r="O64" s="22" t="s">
        <v>283</v>
      </c>
      <c r="P64" s="24"/>
      <c r="Q64" s="22" t="s">
        <v>90</v>
      </c>
      <c r="R64" s="22">
        <v>3.2600758452547E13</v>
      </c>
      <c r="S64" s="24"/>
      <c r="T64" s="24"/>
      <c r="U64" s="24"/>
      <c r="V64" s="22" t="s">
        <v>55</v>
      </c>
      <c r="W64" s="24"/>
      <c r="X64" s="24"/>
      <c r="Y64" s="22"/>
      <c r="Z64" s="22"/>
      <c r="AA64" s="24"/>
      <c r="AB64" s="24"/>
      <c r="AC64" s="22"/>
      <c r="AD64" s="22"/>
      <c r="AE64" s="24"/>
      <c r="AF64" s="24"/>
      <c r="AG64" s="22"/>
      <c r="AH64" s="22"/>
      <c r="AI64" s="24"/>
      <c r="AJ64" s="24"/>
      <c r="AK64" s="22"/>
      <c r="AL64" s="22"/>
      <c r="AM64" s="24"/>
      <c r="AN64" s="25"/>
    </row>
    <row r="65">
      <c r="A65" s="21" t="s">
        <v>80</v>
      </c>
      <c r="B65" s="22" t="s">
        <v>272</v>
      </c>
      <c r="C65" s="22" t="s">
        <v>273</v>
      </c>
      <c r="D65" s="26">
        <v>45998.0</v>
      </c>
      <c r="E65" s="22"/>
      <c r="F65" s="22" t="s">
        <v>83</v>
      </c>
      <c r="G65" s="22" t="s">
        <v>284</v>
      </c>
      <c r="H65" s="22" t="s">
        <v>80</v>
      </c>
      <c r="I65" s="22">
        <v>1.0395440939331E13</v>
      </c>
      <c r="J65" s="22" t="s">
        <v>275</v>
      </c>
      <c r="K65" s="24"/>
      <c r="L65" s="22" t="s">
        <v>86</v>
      </c>
      <c r="M65" s="22">
        <v>1.0</v>
      </c>
      <c r="N65" s="22" t="s">
        <v>87</v>
      </c>
      <c r="O65" s="22" t="s">
        <v>88</v>
      </c>
      <c r="P65" s="24"/>
      <c r="Q65" s="22" t="s">
        <v>90</v>
      </c>
      <c r="R65" s="22">
        <v>3.2602426900803E13</v>
      </c>
      <c r="S65" s="24"/>
      <c r="T65" s="24"/>
      <c r="U65" s="24"/>
      <c r="V65" s="22" t="s">
        <v>91</v>
      </c>
      <c r="W65" s="24"/>
      <c r="X65" s="24"/>
      <c r="Y65" s="22"/>
      <c r="Z65" s="22"/>
      <c r="AA65" s="24"/>
      <c r="AB65" s="24"/>
      <c r="AC65" s="22"/>
      <c r="AD65" s="22"/>
      <c r="AE65" s="24"/>
      <c r="AF65" s="24"/>
      <c r="AG65" s="22"/>
      <c r="AH65" s="22"/>
      <c r="AI65" s="24"/>
      <c r="AJ65" s="24"/>
      <c r="AK65" s="22"/>
      <c r="AL65" s="22"/>
      <c r="AM65" s="24"/>
      <c r="AN65" s="25"/>
    </row>
    <row r="66">
      <c r="A66" s="21" t="s">
        <v>96</v>
      </c>
      <c r="B66" s="22" t="s">
        <v>272</v>
      </c>
      <c r="C66" s="22" t="s">
        <v>273</v>
      </c>
      <c r="D66" s="26">
        <v>45998.0</v>
      </c>
      <c r="E66" s="22"/>
      <c r="F66" s="22" t="s">
        <v>83</v>
      </c>
      <c r="G66" s="22" t="s">
        <v>285</v>
      </c>
      <c r="H66" s="22" t="s">
        <v>96</v>
      </c>
      <c r="I66" s="22">
        <v>1.0395601469763E13</v>
      </c>
      <c r="J66" s="22" t="s">
        <v>275</v>
      </c>
      <c r="K66" s="24"/>
      <c r="L66" s="22" t="s">
        <v>98</v>
      </c>
      <c r="M66" s="22">
        <v>1.0</v>
      </c>
      <c r="N66" s="22" t="s">
        <v>87</v>
      </c>
      <c r="O66" s="22" t="s">
        <v>88</v>
      </c>
      <c r="P66" s="24"/>
      <c r="Q66" s="22" t="s">
        <v>90</v>
      </c>
      <c r="R66" s="22">
        <v>3.2602771390787E13</v>
      </c>
      <c r="S66" s="24"/>
      <c r="T66" s="24"/>
      <c r="U66" s="24"/>
      <c r="V66" s="22" t="s">
        <v>55</v>
      </c>
      <c r="W66" s="24"/>
      <c r="X66" s="24"/>
      <c r="Y66" s="22"/>
      <c r="Z66" s="22"/>
      <c r="AA66" s="24"/>
      <c r="AB66" s="24"/>
      <c r="AC66" s="22"/>
      <c r="AD66" s="22"/>
      <c r="AE66" s="24"/>
      <c r="AF66" s="24"/>
      <c r="AG66" s="22"/>
      <c r="AH66" s="22"/>
      <c r="AI66" s="24"/>
      <c r="AJ66" s="24"/>
      <c r="AK66" s="22"/>
      <c r="AL66" s="22"/>
      <c r="AM66" s="24"/>
      <c r="AN66" s="25"/>
    </row>
    <row r="67">
      <c r="A67" s="21" t="s">
        <v>96</v>
      </c>
      <c r="B67" s="22" t="s">
        <v>286</v>
      </c>
      <c r="C67" s="22" t="s">
        <v>287</v>
      </c>
      <c r="D67" s="26">
        <v>45994.0</v>
      </c>
      <c r="E67" s="22"/>
      <c r="F67" s="22" t="s">
        <v>83</v>
      </c>
      <c r="G67" s="22" t="s">
        <v>288</v>
      </c>
      <c r="H67" s="22" t="s">
        <v>96</v>
      </c>
      <c r="I67" s="22">
        <v>1.0395227849027E13</v>
      </c>
      <c r="J67" s="22" t="s">
        <v>289</v>
      </c>
      <c r="K67" s="24"/>
      <c r="L67" s="22" t="s">
        <v>98</v>
      </c>
      <c r="M67" s="22">
        <v>1.0</v>
      </c>
      <c r="N67" s="22" t="s">
        <v>87</v>
      </c>
      <c r="O67" s="22" t="s">
        <v>88</v>
      </c>
      <c r="P67" s="24"/>
      <c r="Q67" s="22" t="s">
        <v>90</v>
      </c>
      <c r="R67" s="22">
        <v>3.2601969295683E13</v>
      </c>
      <c r="S67" s="24"/>
      <c r="T67" s="24"/>
      <c r="U67" s="24"/>
      <c r="V67" s="22" t="s">
        <v>55</v>
      </c>
      <c r="W67" s="24"/>
      <c r="X67" s="24"/>
      <c r="Y67" s="22"/>
      <c r="Z67" s="22"/>
      <c r="AA67" s="24"/>
      <c r="AB67" s="24"/>
      <c r="AC67" s="22"/>
      <c r="AD67" s="22"/>
      <c r="AE67" s="24"/>
      <c r="AF67" s="24"/>
      <c r="AG67" s="22"/>
      <c r="AH67" s="22"/>
      <c r="AI67" s="24"/>
      <c r="AJ67" s="24"/>
      <c r="AK67" s="22"/>
      <c r="AL67" s="22"/>
      <c r="AM67" s="24"/>
      <c r="AN67" s="25"/>
    </row>
    <row r="68">
      <c r="A68" s="21" t="s">
        <v>96</v>
      </c>
      <c r="B68" s="22" t="s">
        <v>290</v>
      </c>
      <c r="C68" s="22" t="s">
        <v>273</v>
      </c>
      <c r="D68" s="23">
        <v>45991.0</v>
      </c>
      <c r="E68" s="22"/>
      <c r="F68" s="22" t="s">
        <v>83</v>
      </c>
      <c r="G68" s="22" t="s">
        <v>291</v>
      </c>
      <c r="H68" s="22" t="s">
        <v>96</v>
      </c>
      <c r="I68" s="22">
        <v>1.0398329897283E13</v>
      </c>
      <c r="J68" s="22" t="s">
        <v>292</v>
      </c>
      <c r="K68" s="24"/>
      <c r="L68" s="22" t="s">
        <v>98</v>
      </c>
      <c r="M68" s="22">
        <v>1.0</v>
      </c>
      <c r="N68" s="22" t="s">
        <v>87</v>
      </c>
      <c r="O68" s="22" t="s">
        <v>88</v>
      </c>
      <c r="P68" s="24"/>
      <c r="Q68" s="22" t="s">
        <v>90</v>
      </c>
      <c r="R68" s="22">
        <v>3.2608194232643E13</v>
      </c>
      <c r="S68" s="24"/>
      <c r="T68" s="24"/>
      <c r="U68" s="24"/>
      <c r="V68" s="22" t="s">
        <v>55</v>
      </c>
      <c r="W68" s="24"/>
      <c r="X68" s="24"/>
      <c r="Y68" s="22"/>
      <c r="Z68" s="22"/>
      <c r="AA68" s="24"/>
      <c r="AB68" s="24"/>
      <c r="AC68" s="22"/>
      <c r="AD68" s="22"/>
      <c r="AE68" s="24"/>
      <c r="AF68" s="24"/>
      <c r="AG68" s="22"/>
      <c r="AH68" s="22"/>
      <c r="AI68" s="24"/>
      <c r="AJ68" s="24"/>
      <c r="AK68" s="22"/>
      <c r="AL68" s="22"/>
      <c r="AM68" s="24"/>
      <c r="AN68" s="25"/>
    </row>
    <row r="69">
      <c r="A69" s="21" t="s">
        <v>141</v>
      </c>
      <c r="B69" s="22" t="s">
        <v>293</v>
      </c>
      <c r="C69" s="22" t="s">
        <v>294</v>
      </c>
      <c r="D69" s="26">
        <v>45992.0</v>
      </c>
      <c r="E69" s="22"/>
      <c r="F69" s="22" t="s">
        <v>83</v>
      </c>
      <c r="G69" s="22" t="s">
        <v>295</v>
      </c>
      <c r="H69" s="22" t="s">
        <v>141</v>
      </c>
      <c r="I69" s="22">
        <v>1.0396438069571E13</v>
      </c>
      <c r="J69" s="22" t="s">
        <v>296</v>
      </c>
      <c r="K69" s="24"/>
      <c r="L69" s="22" t="s">
        <v>143</v>
      </c>
      <c r="M69" s="22">
        <v>1.0</v>
      </c>
      <c r="N69" s="22" t="s">
        <v>87</v>
      </c>
      <c r="O69" s="22" t="s">
        <v>88</v>
      </c>
      <c r="P69" s="24"/>
      <c r="Q69" s="22" t="s">
        <v>90</v>
      </c>
      <c r="R69" s="22">
        <v>3.2604442558787E13</v>
      </c>
      <c r="S69" s="24"/>
      <c r="T69" s="24"/>
      <c r="U69" s="24"/>
      <c r="V69" s="22" t="s">
        <v>54</v>
      </c>
      <c r="W69" s="24"/>
      <c r="X69" s="24"/>
      <c r="Y69" s="22"/>
      <c r="Z69" s="22"/>
      <c r="AA69" s="24"/>
      <c r="AB69" s="24"/>
      <c r="AC69" s="22"/>
      <c r="AD69" s="22"/>
      <c r="AE69" s="24"/>
      <c r="AF69" s="24"/>
      <c r="AG69" s="22"/>
      <c r="AH69" s="22"/>
      <c r="AI69" s="24"/>
      <c r="AJ69" s="24"/>
      <c r="AK69" s="22"/>
      <c r="AL69" s="22"/>
      <c r="AM69" s="24"/>
      <c r="AN69" s="25"/>
    </row>
    <row r="70">
      <c r="A70" s="21" t="s">
        <v>141</v>
      </c>
      <c r="B70" s="22" t="s">
        <v>297</v>
      </c>
      <c r="C70" s="22" t="s">
        <v>82</v>
      </c>
      <c r="D70" s="26">
        <v>45997.0</v>
      </c>
      <c r="E70" s="22"/>
      <c r="F70" s="22" t="s">
        <v>83</v>
      </c>
      <c r="G70" s="22" t="s">
        <v>298</v>
      </c>
      <c r="H70" s="22" t="s">
        <v>141</v>
      </c>
      <c r="I70" s="22">
        <v>1.0395633910083E13</v>
      </c>
      <c r="J70" s="22" t="s">
        <v>299</v>
      </c>
      <c r="K70" s="24"/>
      <c r="L70" s="22" t="s">
        <v>143</v>
      </c>
      <c r="M70" s="22">
        <v>1.0</v>
      </c>
      <c r="N70" s="22" t="s">
        <v>87</v>
      </c>
      <c r="O70" s="22" t="s">
        <v>88</v>
      </c>
      <c r="P70" s="24"/>
      <c r="Q70" s="22" t="s">
        <v>90</v>
      </c>
      <c r="R70" s="22">
        <v>3.2602837385539E13</v>
      </c>
      <c r="S70" s="24"/>
      <c r="T70" s="24"/>
      <c r="U70" s="24"/>
      <c r="V70" s="22" t="s">
        <v>54</v>
      </c>
      <c r="W70" s="24"/>
      <c r="X70" s="24"/>
      <c r="Y70" s="22"/>
      <c r="Z70" s="22"/>
      <c r="AA70" s="24"/>
      <c r="AB70" s="24"/>
      <c r="AC70" s="22"/>
      <c r="AD70" s="22"/>
      <c r="AE70" s="24"/>
      <c r="AF70" s="24"/>
      <c r="AG70" s="22"/>
      <c r="AH70" s="22"/>
      <c r="AI70" s="24"/>
      <c r="AJ70" s="24"/>
      <c r="AK70" s="22"/>
      <c r="AL70" s="22"/>
      <c r="AM70" s="24"/>
      <c r="AN70" s="25"/>
    </row>
    <row r="71">
      <c r="A71" s="21" t="s">
        <v>300</v>
      </c>
      <c r="B71" s="22" t="s">
        <v>301</v>
      </c>
      <c r="C71" s="22" t="s">
        <v>82</v>
      </c>
      <c r="D71" s="26">
        <v>45997.0</v>
      </c>
      <c r="E71" s="22" t="s">
        <v>302</v>
      </c>
      <c r="F71" s="22" t="s">
        <v>303</v>
      </c>
      <c r="G71" s="22" t="s">
        <v>304</v>
      </c>
      <c r="H71" s="22" t="s">
        <v>300</v>
      </c>
      <c r="I71" s="22">
        <v>1.0397676044611E13</v>
      </c>
      <c r="J71" s="22" t="s">
        <v>305</v>
      </c>
      <c r="K71" s="24"/>
      <c r="L71" s="22" t="s">
        <v>306</v>
      </c>
      <c r="M71" s="22">
        <v>1.0</v>
      </c>
      <c r="N71" s="22" t="s">
        <v>307</v>
      </c>
      <c r="O71" s="22" t="s">
        <v>308</v>
      </c>
      <c r="P71" s="24"/>
      <c r="Q71" s="22" t="s">
        <v>90</v>
      </c>
      <c r="R71" s="22">
        <v>3.2606887313731E13</v>
      </c>
      <c r="S71" s="24"/>
      <c r="T71" s="24"/>
      <c r="U71" s="24"/>
      <c r="V71" s="22" t="s">
        <v>55</v>
      </c>
      <c r="W71" s="24"/>
      <c r="X71" s="24"/>
      <c r="Y71" s="22"/>
      <c r="Z71" s="22"/>
      <c r="AA71" s="24"/>
      <c r="AB71" s="24"/>
      <c r="AC71" s="22"/>
      <c r="AD71" s="22"/>
      <c r="AE71" s="24"/>
      <c r="AF71" s="24"/>
      <c r="AG71" s="22"/>
      <c r="AH71" s="22"/>
      <c r="AI71" s="24"/>
      <c r="AJ71" s="24"/>
      <c r="AK71" s="22"/>
      <c r="AL71" s="22"/>
      <c r="AM71" s="24"/>
      <c r="AN71" s="25"/>
    </row>
    <row r="72">
      <c r="A72" s="21" t="s">
        <v>309</v>
      </c>
      <c r="B72" s="22" t="s">
        <v>310</v>
      </c>
      <c r="C72" s="22" t="s">
        <v>82</v>
      </c>
      <c r="D72" s="26">
        <v>45997.0</v>
      </c>
      <c r="E72" s="22" t="s">
        <v>134</v>
      </c>
      <c r="F72" s="22" t="s">
        <v>311</v>
      </c>
      <c r="G72" s="22" t="s">
        <v>312</v>
      </c>
      <c r="H72" s="22" t="s">
        <v>309</v>
      </c>
      <c r="I72" s="22">
        <v>1.0398567334211E13</v>
      </c>
      <c r="J72" s="22" t="s">
        <v>313</v>
      </c>
      <c r="K72" s="24"/>
      <c r="L72" s="22" t="s">
        <v>314</v>
      </c>
      <c r="M72" s="22">
        <v>1.0</v>
      </c>
      <c r="N72" s="22" t="s">
        <v>315</v>
      </c>
      <c r="O72" s="22" t="s">
        <v>316</v>
      </c>
      <c r="P72" s="24"/>
      <c r="Q72" s="22" t="s">
        <v>90</v>
      </c>
      <c r="R72" s="22">
        <v>3.2608668320067E13</v>
      </c>
      <c r="S72" s="24"/>
      <c r="T72" s="24"/>
      <c r="U72" s="24"/>
      <c r="V72" s="22" t="s">
        <v>105</v>
      </c>
      <c r="W72" s="24"/>
      <c r="X72" s="24"/>
      <c r="Y72" s="22"/>
      <c r="Z72" s="22"/>
      <c r="AA72" s="24"/>
      <c r="AB72" s="24"/>
      <c r="AC72" s="22"/>
      <c r="AD72" s="22"/>
      <c r="AE72" s="24"/>
      <c r="AF72" s="24"/>
      <c r="AG72" s="22"/>
      <c r="AH72" s="22"/>
      <c r="AI72" s="24"/>
      <c r="AJ72" s="24"/>
      <c r="AK72" s="22"/>
      <c r="AL72" s="22"/>
      <c r="AM72" s="24"/>
      <c r="AN72" s="25"/>
    </row>
    <row r="73">
      <c r="A73" s="21" t="s">
        <v>317</v>
      </c>
      <c r="B73" s="22" t="s">
        <v>318</v>
      </c>
      <c r="C73" s="22" t="s">
        <v>82</v>
      </c>
      <c r="D73" s="26">
        <v>45997.0</v>
      </c>
      <c r="E73" s="22" t="s">
        <v>196</v>
      </c>
      <c r="F73" s="22" t="s">
        <v>319</v>
      </c>
      <c r="G73" s="22" t="s">
        <v>320</v>
      </c>
      <c r="H73" s="22" t="s">
        <v>317</v>
      </c>
      <c r="I73" s="22">
        <v>1.0399329321283E13</v>
      </c>
      <c r="J73" s="22" t="s">
        <v>321</v>
      </c>
      <c r="K73" s="24"/>
      <c r="L73" s="22" t="s">
        <v>322</v>
      </c>
      <c r="M73" s="22">
        <v>1.0</v>
      </c>
      <c r="N73" s="22" t="s">
        <v>323</v>
      </c>
      <c r="O73" s="22" t="s">
        <v>324</v>
      </c>
      <c r="P73" s="24"/>
      <c r="Q73" s="22" t="s">
        <v>90</v>
      </c>
      <c r="R73" s="22">
        <v>3.2610255864131E13</v>
      </c>
      <c r="S73" s="24"/>
      <c r="T73" s="24"/>
      <c r="U73" s="24"/>
      <c r="V73" s="22" t="s">
        <v>55</v>
      </c>
      <c r="W73" s="24"/>
      <c r="X73" s="24"/>
      <c r="Y73" s="22"/>
      <c r="Z73" s="22"/>
      <c r="AA73" s="24"/>
      <c r="AB73" s="24"/>
      <c r="AC73" s="22"/>
      <c r="AD73" s="22"/>
      <c r="AE73" s="24"/>
      <c r="AF73" s="24"/>
      <c r="AG73" s="22"/>
      <c r="AH73" s="22"/>
      <c r="AI73" s="24"/>
      <c r="AJ73" s="24"/>
      <c r="AK73" s="22"/>
      <c r="AL73" s="22"/>
      <c r="AM73" s="24"/>
      <c r="AN73" s="25"/>
    </row>
    <row r="74">
      <c r="A74" s="21" t="s">
        <v>141</v>
      </c>
      <c r="B74" s="22" t="s">
        <v>293</v>
      </c>
      <c r="C74" s="22" t="s">
        <v>294</v>
      </c>
      <c r="D74" s="26">
        <v>45992.0</v>
      </c>
      <c r="E74" s="22"/>
      <c r="F74" s="22" t="s">
        <v>83</v>
      </c>
      <c r="G74" s="22" t="s">
        <v>325</v>
      </c>
      <c r="H74" s="22" t="s">
        <v>141</v>
      </c>
      <c r="I74" s="22">
        <v>1.0400208257347E13</v>
      </c>
      <c r="J74" s="22" t="s">
        <v>326</v>
      </c>
      <c r="K74" s="24"/>
      <c r="L74" s="22" t="s">
        <v>143</v>
      </c>
      <c r="M74" s="22">
        <v>1.0</v>
      </c>
      <c r="N74" s="22" t="s">
        <v>87</v>
      </c>
      <c r="O74" s="22" t="s">
        <v>88</v>
      </c>
      <c r="P74" s="24"/>
      <c r="Q74" s="22" t="s">
        <v>90</v>
      </c>
      <c r="R74" s="22">
        <v>3.2612063314243E13</v>
      </c>
      <c r="S74" s="24"/>
      <c r="T74" s="24"/>
      <c r="U74" s="24"/>
      <c r="V74" s="22" t="s">
        <v>54</v>
      </c>
      <c r="W74" s="24"/>
      <c r="X74" s="24"/>
      <c r="Y74" s="22"/>
      <c r="Z74" s="22"/>
      <c r="AA74" s="24"/>
      <c r="AB74" s="24"/>
      <c r="AC74" s="22"/>
      <c r="AD74" s="22"/>
      <c r="AE74" s="24"/>
      <c r="AF74" s="24"/>
      <c r="AG74" s="22"/>
      <c r="AH74" s="22"/>
      <c r="AI74" s="24"/>
      <c r="AJ74" s="24"/>
      <c r="AK74" s="22"/>
      <c r="AL74" s="22"/>
      <c r="AM74" s="24"/>
      <c r="AN74" s="25"/>
    </row>
    <row r="75">
      <c r="A75" s="21" t="s">
        <v>327</v>
      </c>
      <c r="B75" s="22" t="s">
        <v>328</v>
      </c>
      <c r="C75" s="22" t="s">
        <v>273</v>
      </c>
      <c r="D75" s="23">
        <v>45991.0</v>
      </c>
      <c r="E75" s="22" t="s">
        <v>266</v>
      </c>
      <c r="F75" s="22" t="s">
        <v>329</v>
      </c>
      <c r="G75" s="22" t="s">
        <v>330</v>
      </c>
      <c r="H75" s="22" t="s">
        <v>327</v>
      </c>
      <c r="I75" s="22">
        <v>1.0398575427907E13</v>
      </c>
      <c r="J75" s="22" t="s">
        <v>331</v>
      </c>
      <c r="K75" s="24"/>
      <c r="L75" s="22" t="s">
        <v>332</v>
      </c>
      <c r="M75" s="22">
        <v>1.0</v>
      </c>
      <c r="N75" s="22" t="s">
        <v>333</v>
      </c>
      <c r="O75" s="22" t="s">
        <v>334</v>
      </c>
      <c r="P75" s="24"/>
      <c r="Q75" s="22" t="s">
        <v>90</v>
      </c>
      <c r="R75" s="22">
        <v>3.2608683917635E13</v>
      </c>
      <c r="S75" s="24"/>
      <c r="T75" s="24"/>
      <c r="U75" s="24"/>
      <c r="V75" s="22" t="s">
        <v>55</v>
      </c>
      <c r="W75" s="24"/>
      <c r="X75" s="24"/>
      <c r="Y75" s="22"/>
      <c r="Z75" s="22"/>
      <c r="AA75" s="24"/>
      <c r="AB75" s="24"/>
      <c r="AC75" s="22"/>
      <c r="AD75" s="22"/>
      <c r="AE75" s="24"/>
      <c r="AF75" s="24"/>
      <c r="AG75" s="22"/>
      <c r="AH75" s="22"/>
      <c r="AI75" s="24"/>
      <c r="AJ75" s="24"/>
      <c r="AK75" s="22"/>
      <c r="AL75" s="22"/>
      <c r="AM75" s="24"/>
      <c r="AN75" s="25"/>
    </row>
    <row r="76">
      <c r="A76" s="21" t="s">
        <v>80</v>
      </c>
      <c r="B76" s="22" t="s">
        <v>335</v>
      </c>
      <c r="C76" s="22" t="s">
        <v>336</v>
      </c>
      <c r="D76" s="26">
        <v>45995.0</v>
      </c>
      <c r="E76" s="22"/>
      <c r="F76" s="22" t="s">
        <v>83</v>
      </c>
      <c r="G76" s="22" t="s">
        <v>337</v>
      </c>
      <c r="H76" s="22" t="s">
        <v>80</v>
      </c>
      <c r="I76" s="22">
        <v>1.0401441972547E13</v>
      </c>
      <c r="J76" s="22" t="s">
        <v>338</v>
      </c>
      <c r="K76" s="24"/>
      <c r="L76" s="22" t="s">
        <v>86</v>
      </c>
      <c r="M76" s="22">
        <v>1.0</v>
      </c>
      <c r="N76" s="22" t="s">
        <v>87</v>
      </c>
      <c r="O76" s="22" t="s">
        <v>88</v>
      </c>
      <c r="P76" s="24"/>
      <c r="Q76" s="22" t="s">
        <v>90</v>
      </c>
      <c r="R76" s="22">
        <v>3.2614511870275E13</v>
      </c>
      <c r="S76" s="24"/>
      <c r="T76" s="24"/>
      <c r="U76" s="24"/>
      <c r="V76" s="22" t="s">
        <v>91</v>
      </c>
      <c r="W76" s="24"/>
      <c r="X76" s="24"/>
      <c r="Y76" s="22"/>
      <c r="Z76" s="22"/>
      <c r="AA76" s="24"/>
      <c r="AB76" s="24"/>
      <c r="AC76" s="22"/>
      <c r="AD76" s="22"/>
      <c r="AE76" s="24"/>
      <c r="AF76" s="24"/>
      <c r="AG76" s="22"/>
      <c r="AH76" s="22"/>
      <c r="AI76" s="24"/>
      <c r="AJ76" s="24"/>
      <c r="AK76" s="22"/>
      <c r="AL76" s="22"/>
      <c r="AM76" s="24"/>
      <c r="AN76" s="25"/>
    </row>
    <row r="77">
      <c r="A77" s="21" t="s">
        <v>339</v>
      </c>
      <c r="B77" s="22" t="s">
        <v>340</v>
      </c>
      <c r="C77" s="22" t="s">
        <v>82</v>
      </c>
      <c r="D77" s="26">
        <v>45997.0</v>
      </c>
      <c r="E77" s="22" t="s">
        <v>187</v>
      </c>
      <c r="F77" s="22" t="s">
        <v>341</v>
      </c>
      <c r="G77" s="22" t="s">
        <v>342</v>
      </c>
      <c r="H77" s="22" t="s">
        <v>339</v>
      </c>
      <c r="I77" s="22">
        <v>1.0399988154691E13</v>
      </c>
      <c r="J77" s="22" t="s">
        <v>343</v>
      </c>
      <c r="K77" s="24"/>
      <c r="L77" s="22" t="s">
        <v>344</v>
      </c>
      <c r="M77" s="22">
        <v>1.0</v>
      </c>
      <c r="N77" s="22" t="s">
        <v>345</v>
      </c>
      <c r="O77" s="22" t="s">
        <v>346</v>
      </c>
      <c r="P77" s="24"/>
      <c r="Q77" s="22" t="s">
        <v>90</v>
      </c>
      <c r="R77" s="22">
        <v>3.2611618521411E13</v>
      </c>
      <c r="S77" s="24"/>
      <c r="T77" s="24"/>
      <c r="U77" s="24"/>
      <c r="V77" s="22" t="s">
        <v>55</v>
      </c>
      <c r="W77" s="24"/>
      <c r="X77" s="24"/>
      <c r="Y77" s="22"/>
      <c r="Z77" s="22"/>
      <c r="AA77" s="24"/>
      <c r="AB77" s="24"/>
      <c r="AC77" s="22"/>
      <c r="AD77" s="22"/>
      <c r="AE77" s="24"/>
      <c r="AF77" s="24"/>
      <c r="AG77" s="22"/>
      <c r="AH77" s="22"/>
      <c r="AI77" s="24"/>
      <c r="AJ77" s="24"/>
      <c r="AK77" s="22"/>
      <c r="AL77" s="22"/>
      <c r="AM77" s="24"/>
      <c r="AN77" s="25"/>
    </row>
    <row r="78">
      <c r="A78" s="21" t="s">
        <v>347</v>
      </c>
      <c r="B78" s="22" t="s">
        <v>277</v>
      </c>
      <c r="C78" s="22" t="s">
        <v>82</v>
      </c>
      <c r="D78" s="26">
        <v>45997.0</v>
      </c>
      <c r="E78" s="22" t="s">
        <v>138</v>
      </c>
      <c r="F78" s="22" t="s">
        <v>278</v>
      </c>
      <c r="G78" s="22" t="s">
        <v>348</v>
      </c>
      <c r="H78" s="22" t="s">
        <v>347</v>
      </c>
      <c r="I78" s="22">
        <v>1.0400927908163E13</v>
      </c>
      <c r="J78" s="22" t="s">
        <v>349</v>
      </c>
      <c r="K78" s="24"/>
      <c r="L78" s="22" t="s">
        <v>350</v>
      </c>
      <c r="M78" s="22">
        <v>1.0</v>
      </c>
      <c r="N78" s="22" t="s">
        <v>351</v>
      </c>
      <c r="O78" s="22" t="s">
        <v>352</v>
      </c>
      <c r="P78" s="24"/>
      <c r="Q78" s="22" t="s">
        <v>90</v>
      </c>
      <c r="R78" s="22">
        <v>3.2613512315203E13</v>
      </c>
      <c r="S78" s="24"/>
      <c r="T78" s="24"/>
      <c r="U78" s="24"/>
      <c r="V78" s="22" t="s">
        <v>127</v>
      </c>
      <c r="W78" s="24"/>
      <c r="X78" s="24"/>
      <c r="Y78" s="22"/>
      <c r="Z78" s="22"/>
      <c r="AA78" s="24"/>
      <c r="AB78" s="24"/>
      <c r="AC78" s="22"/>
      <c r="AD78" s="22"/>
      <c r="AE78" s="24"/>
      <c r="AF78" s="24"/>
      <c r="AG78" s="22"/>
      <c r="AH78" s="22"/>
      <c r="AI78" s="24"/>
      <c r="AJ78" s="24"/>
      <c r="AK78" s="22"/>
      <c r="AL78" s="22"/>
      <c r="AM78" s="24"/>
      <c r="AN78" s="25"/>
    </row>
    <row r="79">
      <c r="A79" s="21" t="s">
        <v>96</v>
      </c>
      <c r="B79" s="22" t="s">
        <v>297</v>
      </c>
      <c r="C79" s="22" t="s">
        <v>82</v>
      </c>
      <c r="D79" s="26">
        <v>45997.0</v>
      </c>
      <c r="E79" s="22"/>
      <c r="F79" s="22" t="s">
        <v>83</v>
      </c>
      <c r="G79" s="22" t="s">
        <v>353</v>
      </c>
      <c r="H79" s="22" t="s">
        <v>96</v>
      </c>
      <c r="I79" s="22">
        <v>1.0402599502147E13</v>
      </c>
      <c r="J79" s="22" t="s">
        <v>299</v>
      </c>
      <c r="K79" s="24"/>
      <c r="L79" s="22" t="s">
        <v>98</v>
      </c>
      <c r="M79" s="22">
        <v>1.0</v>
      </c>
      <c r="N79" s="22" t="s">
        <v>87</v>
      </c>
      <c r="O79" s="22" t="s">
        <v>88</v>
      </c>
      <c r="P79" s="24"/>
      <c r="Q79" s="22" t="s">
        <v>90</v>
      </c>
      <c r="R79" s="22">
        <v>3.2616831123779E13</v>
      </c>
      <c r="S79" s="24"/>
      <c r="T79" s="24"/>
      <c r="U79" s="24"/>
      <c r="V79" s="22" t="s">
        <v>55</v>
      </c>
      <c r="W79" s="24"/>
      <c r="X79" s="24"/>
      <c r="Y79" s="22"/>
      <c r="Z79" s="22"/>
      <c r="AA79" s="24"/>
      <c r="AB79" s="24"/>
      <c r="AC79" s="22"/>
      <c r="AD79" s="22"/>
      <c r="AE79" s="24"/>
      <c r="AF79" s="24"/>
      <c r="AG79" s="22"/>
      <c r="AH79" s="22"/>
      <c r="AI79" s="24"/>
      <c r="AJ79" s="24"/>
      <c r="AK79" s="22"/>
      <c r="AL79" s="22"/>
      <c r="AM79" s="24"/>
      <c r="AN79" s="25"/>
    </row>
    <row r="80">
      <c r="A80" s="21" t="s">
        <v>354</v>
      </c>
      <c r="B80" s="22" t="s">
        <v>355</v>
      </c>
      <c r="C80" s="22" t="s">
        <v>273</v>
      </c>
      <c r="D80" s="23">
        <v>45991.0</v>
      </c>
      <c r="E80" s="22" t="s">
        <v>149</v>
      </c>
      <c r="F80" s="22" t="s">
        <v>356</v>
      </c>
      <c r="G80" s="22" t="s">
        <v>357</v>
      </c>
      <c r="H80" s="22" t="s">
        <v>354</v>
      </c>
      <c r="I80" s="22">
        <v>1.0401948893507E13</v>
      </c>
      <c r="J80" s="22" t="s">
        <v>358</v>
      </c>
      <c r="K80" s="24"/>
      <c r="L80" s="22" t="s">
        <v>359</v>
      </c>
      <c r="M80" s="22">
        <v>1.0</v>
      </c>
      <c r="N80" s="22" t="s">
        <v>360</v>
      </c>
      <c r="O80" s="22" t="s">
        <v>361</v>
      </c>
      <c r="P80" s="24"/>
      <c r="Q80" s="22" t="s">
        <v>90</v>
      </c>
      <c r="R80" s="22">
        <v>3.2615544226115E13</v>
      </c>
      <c r="S80" s="24"/>
      <c r="T80" s="24"/>
      <c r="U80" s="24"/>
      <c r="V80" s="22" t="s">
        <v>54</v>
      </c>
      <c r="W80" s="24"/>
      <c r="X80" s="24"/>
      <c r="Y80" s="22"/>
      <c r="Z80" s="22"/>
      <c r="AA80" s="24"/>
      <c r="AB80" s="24"/>
      <c r="AC80" s="22"/>
      <c r="AD80" s="22"/>
      <c r="AE80" s="24"/>
      <c r="AF80" s="24"/>
      <c r="AG80" s="22"/>
      <c r="AH80" s="22"/>
      <c r="AI80" s="24"/>
      <c r="AJ80" s="24"/>
      <c r="AK80" s="22"/>
      <c r="AL80" s="22"/>
      <c r="AM80" s="24"/>
      <c r="AN80" s="25"/>
    </row>
    <row r="81">
      <c r="A81" s="21" t="s">
        <v>362</v>
      </c>
      <c r="B81" s="22" t="s">
        <v>363</v>
      </c>
      <c r="C81" s="22" t="s">
        <v>82</v>
      </c>
      <c r="D81" s="26">
        <v>45997.0</v>
      </c>
      <c r="E81" s="22" t="s">
        <v>211</v>
      </c>
      <c r="F81" s="22" t="s">
        <v>278</v>
      </c>
      <c r="G81" s="22" t="s">
        <v>364</v>
      </c>
      <c r="H81" s="22" t="s">
        <v>362</v>
      </c>
      <c r="I81" s="22">
        <v>1.0403581526339E13</v>
      </c>
      <c r="J81" s="22" t="s">
        <v>365</v>
      </c>
      <c r="K81" s="24"/>
      <c r="L81" s="22" t="s">
        <v>366</v>
      </c>
      <c r="M81" s="22">
        <v>1.0</v>
      </c>
      <c r="N81" s="22" t="s">
        <v>282</v>
      </c>
      <c r="O81" s="22" t="s">
        <v>283</v>
      </c>
      <c r="P81" s="24"/>
      <c r="Q81" s="22" t="s">
        <v>90</v>
      </c>
      <c r="R81" s="22">
        <v>3.2618758111555E13</v>
      </c>
      <c r="S81" s="24"/>
      <c r="T81" s="24"/>
      <c r="U81" s="24"/>
      <c r="V81" s="22" t="s">
        <v>54</v>
      </c>
      <c r="W81" s="24"/>
      <c r="X81" s="24"/>
      <c r="Y81" s="22"/>
      <c r="Z81" s="22"/>
      <c r="AA81" s="24"/>
      <c r="AB81" s="24"/>
      <c r="AC81" s="22"/>
      <c r="AD81" s="22"/>
      <c r="AE81" s="24"/>
      <c r="AF81" s="24"/>
      <c r="AG81" s="22"/>
      <c r="AH81" s="24"/>
      <c r="AI81" s="24"/>
      <c r="AJ81" s="24"/>
      <c r="AK81" s="22"/>
      <c r="AL81" s="22"/>
      <c r="AM81" s="24"/>
      <c r="AN81" s="25"/>
    </row>
    <row r="82">
      <c r="A82" s="21" t="s">
        <v>367</v>
      </c>
      <c r="B82" s="22" t="s">
        <v>368</v>
      </c>
      <c r="C82" s="22" t="s">
        <v>273</v>
      </c>
      <c r="D82" s="26">
        <v>45998.0</v>
      </c>
      <c r="E82" s="22" t="s">
        <v>196</v>
      </c>
      <c r="F82" s="22" t="s">
        <v>369</v>
      </c>
      <c r="G82" s="22" t="s">
        <v>370</v>
      </c>
      <c r="H82" s="22" t="s">
        <v>367</v>
      </c>
      <c r="I82" s="22">
        <v>1.0400197968195E13</v>
      </c>
      <c r="J82" s="22" t="s">
        <v>371</v>
      </c>
      <c r="K82" s="24"/>
      <c r="L82" s="22" t="s">
        <v>372</v>
      </c>
      <c r="M82" s="22">
        <v>1.0</v>
      </c>
      <c r="N82" s="22" t="s">
        <v>373</v>
      </c>
      <c r="O82" s="22" t="s">
        <v>374</v>
      </c>
      <c r="P82" s="24"/>
      <c r="Q82" s="22" t="s">
        <v>90</v>
      </c>
      <c r="R82" s="22">
        <v>3.2612041982275E13</v>
      </c>
      <c r="S82" s="24"/>
      <c r="T82" s="24"/>
      <c r="U82" s="24"/>
      <c r="V82" s="22" t="s">
        <v>55</v>
      </c>
      <c r="W82" s="24"/>
      <c r="X82" s="24"/>
      <c r="Y82" s="22"/>
      <c r="Z82" s="22"/>
      <c r="AA82" s="24"/>
      <c r="AB82" s="24"/>
      <c r="AC82" s="22"/>
      <c r="AD82" s="22"/>
      <c r="AE82" s="24"/>
      <c r="AF82" s="24"/>
      <c r="AG82" s="22"/>
      <c r="AH82" s="22"/>
      <c r="AI82" s="24"/>
      <c r="AJ82" s="24"/>
      <c r="AK82" s="22"/>
      <c r="AL82" s="22"/>
      <c r="AM82" s="24"/>
      <c r="AN82" s="25"/>
    </row>
    <row r="83">
      <c r="A83" s="21" t="s">
        <v>375</v>
      </c>
      <c r="B83" s="22" t="s">
        <v>376</v>
      </c>
      <c r="C83" s="22" t="s">
        <v>82</v>
      </c>
      <c r="D83" s="26">
        <v>45997.0</v>
      </c>
      <c r="E83" s="22" t="s">
        <v>149</v>
      </c>
      <c r="F83" s="22" t="s">
        <v>377</v>
      </c>
      <c r="G83" s="22" t="s">
        <v>378</v>
      </c>
      <c r="H83" s="22" t="s">
        <v>375</v>
      </c>
      <c r="I83" s="22">
        <v>1.0402392342851E13</v>
      </c>
      <c r="J83" s="22" t="s">
        <v>379</v>
      </c>
      <c r="K83" s="24"/>
      <c r="L83" s="22" t="s">
        <v>380</v>
      </c>
      <c r="M83" s="22">
        <v>1.0</v>
      </c>
      <c r="N83" s="22" t="s">
        <v>381</v>
      </c>
      <c r="O83" s="22" t="s">
        <v>382</v>
      </c>
      <c r="P83" s="24"/>
      <c r="Q83" s="22" t="s">
        <v>90</v>
      </c>
      <c r="R83" s="22">
        <v>3.2616415396163E13</v>
      </c>
      <c r="S83" s="24"/>
      <c r="T83" s="24"/>
      <c r="U83" s="24"/>
      <c r="V83" s="22" t="s">
        <v>55</v>
      </c>
      <c r="W83" s="24"/>
      <c r="X83" s="24"/>
      <c r="Y83" s="22"/>
      <c r="Z83" s="22"/>
      <c r="AA83" s="24"/>
      <c r="AB83" s="24"/>
      <c r="AC83" s="22"/>
      <c r="AD83" s="22"/>
      <c r="AE83" s="24"/>
      <c r="AF83" s="24"/>
      <c r="AG83" s="22"/>
      <c r="AH83" s="22"/>
      <c r="AI83" s="24"/>
      <c r="AJ83" s="24"/>
      <c r="AK83" s="22"/>
      <c r="AL83" s="22"/>
      <c r="AM83" s="24"/>
      <c r="AN83" s="25"/>
    </row>
    <row r="84">
      <c r="A84" s="21" t="s">
        <v>96</v>
      </c>
      <c r="B84" s="22" t="s">
        <v>335</v>
      </c>
      <c r="C84" s="22" t="s">
        <v>336</v>
      </c>
      <c r="D84" s="26">
        <v>45995.0</v>
      </c>
      <c r="E84" s="22"/>
      <c r="F84" s="22" t="s">
        <v>83</v>
      </c>
      <c r="G84" s="22" t="s">
        <v>383</v>
      </c>
      <c r="H84" s="22" t="s">
        <v>96</v>
      </c>
      <c r="I84" s="22">
        <v>1.0404961681731E13</v>
      </c>
      <c r="J84" s="22" t="s">
        <v>338</v>
      </c>
      <c r="K84" s="24"/>
      <c r="L84" s="22" t="s">
        <v>98</v>
      </c>
      <c r="M84" s="22">
        <v>1.0</v>
      </c>
      <c r="N84" s="22" t="s">
        <v>87</v>
      </c>
      <c r="O84" s="22" t="s">
        <v>88</v>
      </c>
      <c r="P84" s="24"/>
      <c r="Q84" s="22" t="s">
        <v>90</v>
      </c>
      <c r="R84" s="22">
        <v>3.2621530022211E13</v>
      </c>
      <c r="S84" s="24"/>
      <c r="T84" s="24"/>
      <c r="U84" s="24"/>
      <c r="V84" s="22" t="s">
        <v>55</v>
      </c>
      <c r="W84" s="24"/>
      <c r="X84" s="24"/>
      <c r="Y84" s="22"/>
      <c r="Z84" s="22"/>
      <c r="AA84" s="24"/>
      <c r="AB84" s="24"/>
      <c r="AC84" s="22"/>
      <c r="AD84" s="22"/>
      <c r="AE84" s="24"/>
      <c r="AF84" s="24"/>
      <c r="AG84" s="22"/>
      <c r="AH84" s="22"/>
      <c r="AI84" s="24"/>
      <c r="AJ84" s="24"/>
      <c r="AK84" s="22"/>
      <c r="AL84" s="22"/>
      <c r="AM84" s="24"/>
      <c r="AN84" s="25"/>
    </row>
    <row r="85">
      <c r="A85" s="21" t="s">
        <v>99</v>
      </c>
      <c r="B85" s="22" t="s">
        <v>384</v>
      </c>
      <c r="C85" s="22" t="s">
        <v>273</v>
      </c>
      <c r="D85" s="26">
        <v>45997.0</v>
      </c>
      <c r="E85" s="22"/>
      <c r="F85" s="22" t="s">
        <v>83</v>
      </c>
      <c r="G85" s="22" t="s">
        <v>385</v>
      </c>
      <c r="H85" s="22" t="s">
        <v>99</v>
      </c>
      <c r="I85" s="22">
        <v>1.0402890875203E13</v>
      </c>
      <c r="J85" s="22" t="s">
        <v>275</v>
      </c>
      <c r="K85" s="24"/>
      <c r="L85" s="22" t="s">
        <v>102</v>
      </c>
      <c r="M85" s="22">
        <v>1.0</v>
      </c>
      <c r="N85" s="22" t="s">
        <v>103</v>
      </c>
      <c r="O85" s="22" t="s">
        <v>104</v>
      </c>
      <c r="P85" s="24"/>
      <c r="Q85" s="22" t="s">
        <v>90</v>
      </c>
      <c r="R85" s="22">
        <v>3.2617385034051E13</v>
      </c>
      <c r="S85" s="24"/>
      <c r="T85" s="24"/>
      <c r="U85" s="24"/>
      <c r="V85" s="22" t="s">
        <v>105</v>
      </c>
      <c r="W85" s="24"/>
      <c r="X85" s="24"/>
      <c r="Y85" s="22"/>
      <c r="Z85" s="22"/>
      <c r="AA85" s="24"/>
      <c r="AB85" s="24"/>
      <c r="AC85" s="22"/>
      <c r="AD85" s="22"/>
      <c r="AE85" s="24"/>
      <c r="AF85" s="24"/>
      <c r="AG85" s="22"/>
      <c r="AH85" s="22"/>
      <c r="AI85" s="24"/>
      <c r="AJ85" s="24"/>
      <c r="AK85" s="22"/>
      <c r="AL85" s="22"/>
      <c r="AM85" s="24"/>
      <c r="AN85" s="25"/>
    </row>
    <row r="86">
      <c r="A86" s="21" t="s">
        <v>386</v>
      </c>
      <c r="B86" s="22" t="s">
        <v>387</v>
      </c>
      <c r="C86" s="22" t="s">
        <v>82</v>
      </c>
      <c r="D86" s="26">
        <v>45997.0</v>
      </c>
      <c r="E86" s="22" t="s">
        <v>149</v>
      </c>
      <c r="F86" s="22" t="s">
        <v>311</v>
      </c>
      <c r="G86" s="22" t="s">
        <v>388</v>
      </c>
      <c r="H86" s="22" t="s">
        <v>386</v>
      </c>
      <c r="I86" s="22">
        <v>1.0404675387715E13</v>
      </c>
      <c r="J86" s="22" t="s">
        <v>389</v>
      </c>
      <c r="K86" s="24"/>
      <c r="L86" s="22" t="s">
        <v>390</v>
      </c>
      <c r="M86" s="22">
        <v>1.0</v>
      </c>
      <c r="N86" s="22" t="s">
        <v>391</v>
      </c>
      <c r="O86" s="22" t="s">
        <v>392</v>
      </c>
      <c r="P86" s="24"/>
      <c r="Q86" s="22" t="s">
        <v>90</v>
      </c>
      <c r="R86" s="22">
        <v>3.2620963397955E13</v>
      </c>
      <c r="S86" s="24"/>
      <c r="T86" s="24"/>
      <c r="U86" s="24"/>
      <c r="V86" s="22" t="s">
        <v>55</v>
      </c>
      <c r="W86" s="24"/>
      <c r="X86" s="24"/>
      <c r="Y86" s="22"/>
      <c r="Z86" s="22"/>
      <c r="AA86" s="24"/>
      <c r="AB86" s="24"/>
      <c r="AC86" s="22"/>
      <c r="AD86" s="22"/>
      <c r="AE86" s="24"/>
      <c r="AF86" s="24"/>
      <c r="AG86" s="22"/>
      <c r="AH86" s="22"/>
      <c r="AI86" s="24"/>
      <c r="AJ86" s="24"/>
      <c r="AK86" s="22"/>
      <c r="AL86" s="22"/>
      <c r="AM86" s="24"/>
      <c r="AN86" s="25"/>
    </row>
    <row r="87">
      <c r="A87" s="21" t="s">
        <v>166</v>
      </c>
      <c r="B87" s="22" t="s">
        <v>393</v>
      </c>
      <c r="C87" s="22" t="s">
        <v>82</v>
      </c>
      <c r="D87" s="26">
        <v>45997.0</v>
      </c>
      <c r="E87" s="22" t="s">
        <v>187</v>
      </c>
      <c r="F87" s="22" t="s">
        <v>111</v>
      </c>
      <c r="G87" s="22" t="s">
        <v>394</v>
      </c>
      <c r="H87" s="22" t="s">
        <v>166</v>
      </c>
      <c r="I87" s="22">
        <v>1.0404806984003E13</v>
      </c>
      <c r="J87" s="22" t="s">
        <v>395</v>
      </c>
      <c r="K87" s="24"/>
      <c r="L87" s="22" t="s">
        <v>171</v>
      </c>
      <c r="M87" s="22">
        <v>1.0</v>
      </c>
      <c r="N87" s="22" t="s">
        <v>115</v>
      </c>
      <c r="O87" s="22" t="s">
        <v>116</v>
      </c>
      <c r="P87" s="24"/>
      <c r="Q87" s="22" t="s">
        <v>90</v>
      </c>
      <c r="R87" s="22">
        <v>3.2621221970243E13</v>
      </c>
      <c r="S87" s="24"/>
      <c r="T87" s="24"/>
      <c r="U87" s="24"/>
      <c r="V87" s="22" t="s">
        <v>55</v>
      </c>
      <c r="W87" s="24"/>
      <c r="X87" s="24"/>
      <c r="Y87" s="22"/>
      <c r="Z87" s="22"/>
      <c r="AA87" s="24"/>
      <c r="AB87" s="24"/>
      <c r="AC87" s="22"/>
      <c r="AD87" s="22"/>
      <c r="AE87" s="24"/>
      <c r="AF87" s="24"/>
      <c r="AG87" s="22"/>
      <c r="AH87" s="22"/>
      <c r="AI87" s="24"/>
      <c r="AJ87" s="24"/>
      <c r="AK87" s="22"/>
      <c r="AL87" s="22"/>
      <c r="AM87" s="24"/>
      <c r="AN87" s="25"/>
    </row>
    <row r="88">
      <c r="A88" s="21" t="s">
        <v>96</v>
      </c>
      <c r="B88" s="22" t="s">
        <v>297</v>
      </c>
      <c r="C88" s="22" t="s">
        <v>82</v>
      </c>
      <c r="D88" s="26">
        <v>45997.0</v>
      </c>
      <c r="E88" s="22"/>
      <c r="F88" s="22" t="s">
        <v>83</v>
      </c>
      <c r="G88" s="22" t="s">
        <v>396</v>
      </c>
      <c r="H88" s="22" t="s">
        <v>96</v>
      </c>
      <c r="I88" s="22">
        <v>1.0407425016131E13</v>
      </c>
      <c r="J88" s="22" t="s">
        <v>397</v>
      </c>
      <c r="K88" s="24"/>
      <c r="L88" s="22" t="s">
        <v>98</v>
      </c>
      <c r="M88" s="22">
        <v>1.0</v>
      </c>
      <c r="N88" s="22" t="s">
        <v>87</v>
      </c>
      <c r="O88" s="22" t="s">
        <v>88</v>
      </c>
      <c r="P88" s="24"/>
      <c r="Q88" s="22" t="s">
        <v>90</v>
      </c>
      <c r="R88" s="22">
        <v>3.2630923460931E13</v>
      </c>
      <c r="S88" s="24"/>
      <c r="T88" s="24"/>
      <c r="U88" s="24"/>
      <c r="V88" s="22" t="s">
        <v>55</v>
      </c>
      <c r="W88" s="24"/>
      <c r="X88" s="24"/>
      <c r="Y88" s="22"/>
      <c r="Z88" s="22"/>
      <c r="AA88" s="24"/>
      <c r="AB88" s="24"/>
      <c r="AC88" s="22"/>
      <c r="AD88" s="22"/>
      <c r="AE88" s="24"/>
      <c r="AF88" s="24"/>
      <c r="AG88" s="22"/>
      <c r="AH88" s="22"/>
      <c r="AI88" s="24"/>
      <c r="AJ88" s="24"/>
      <c r="AK88" s="22"/>
      <c r="AL88" s="22"/>
      <c r="AM88" s="24"/>
      <c r="AN88" s="25"/>
    </row>
    <row r="89">
      <c r="A89" s="21" t="s">
        <v>166</v>
      </c>
      <c r="B89" s="22" t="s">
        <v>398</v>
      </c>
      <c r="C89" s="22" t="s">
        <v>273</v>
      </c>
      <c r="D89" s="26">
        <v>45998.0</v>
      </c>
      <c r="E89" s="22" t="s">
        <v>110</v>
      </c>
      <c r="F89" s="22" t="s">
        <v>111</v>
      </c>
      <c r="G89" s="22" t="s">
        <v>399</v>
      </c>
      <c r="H89" s="22" t="s">
        <v>166</v>
      </c>
      <c r="I89" s="22">
        <v>1.0407874691395E13</v>
      </c>
      <c r="J89" s="22" t="s">
        <v>400</v>
      </c>
      <c r="K89" s="24"/>
      <c r="L89" s="22" t="s">
        <v>171</v>
      </c>
      <c r="M89" s="22">
        <v>1.0</v>
      </c>
      <c r="N89" s="22" t="s">
        <v>115</v>
      </c>
      <c r="O89" s="22" t="s">
        <v>116</v>
      </c>
      <c r="P89" s="24"/>
      <c r="Q89" s="22" t="s">
        <v>90</v>
      </c>
      <c r="R89" s="22">
        <v>3.2631813374275E13</v>
      </c>
      <c r="S89" s="24"/>
      <c r="T89" s="24"/>
      <c r="U89" s="24"/>
      <c r="V89" s="22" t="s">
        <v>55</v>
      </c>
      <c r="W89" s="24"/>
      <c r="X89" s="24"/>
      <c r="Y89" s="22"/>
      <c r="Z89" s="22"/>
      <c r="AA89" s="24"/>
      <c r="AB89" s="24"/>
      <c r="AC89" s="22"/>
      <c r="AD89" s="22"/>
      <c r="AE89" s="24"/>
      <c r="AF89" s="24"/>
      <c r="AG89" s="22"/>
      <c r="AH89" s="22"/>
      <c r="AI89" s="24"/>
      <c r="AJ89" s="24"/>
      <c r="AK89" s="22"/>
      <c r="AL89" s="22"/>
      <c r="AM89" s="24"/>
      <c r="AN89" s="25"/>
    </row>
    <row r="90">
      <c r="A90" s="21" t="s">
        <v>401</v>
      </c>
      <c r="B90" s="22" t="s">
        <v>318</v>
      </c>
      <c r="C90" s="22" t="s">
        <v>82</v>
      </c>
      <c r="D90" s="26">
        <v>45997.0</v>
      </c>
      <c r="E90" s="22" t="s">
        <v>196</v>
      </c>
      <c r="F90" s="22" t="s">
        <v>319</v>
      </c>
      <c r="G90" s="22" t="s">
        <v>402</v>
      </c>
      <c r="H90" s="22" t="s">
        <v>401</v>
      </c>
      <c r="I90" s="22">
        <v>1.0407084163395E13</v>
      </c>
      <c r="J90" s="22" t="s">
        <v>321</v>
      </c>
      <c r="K90" s="24"/>
      <c r="L90" s="22" t="s">
        <v>403</v>
      </c>
      <c r="M90" s="22">
        <v>1.0</v>
      </c>
      <c r="N90" s="22" t="s">
        <v>404</v>
      </c>
      <c r="O90" s="22" t="s">
        <v>405</v>
      </c>
      <c r="P90" s="24"/>
      <c r="Q90" s="22" t="s">
        <v>90</v>
      </c>
      <c r="R90" s="22">
        <v>3.2630249750851E13</v>
      </c>
      <c r="S90" s="24"/>
      <c r="T90" s="24"/>
      <c r="U90" s="24"/>
      <c r="V90" s="22" t="s">
        <v>127</v>
      </c>
      <c r="W90" s="24"/>
      <c r="X90" s="24"/>
      <c r="Y90" s="22"/>
      <c r="Z90" s="22"/>
      <c r="AA90" s="24"/>
      <c r="AB90" s="24"/>
      <c r="AC90" s="22"/>
      <c r="AD90" s="22"/>
      <c r="AE90" s="24"/>
      <c r="AF90" s="24"/>
      <c r="AG90" s="22"/>
      <c r="AH90" s="22"/>
      <c r="AI90" s="24"/>
      <c r="AJ90" s="24"/>
      <c r="AK90" s="22"/>
      <c r="AL90" s="22"/>
      <c r="AM90" s="24"/>
      <c r="AN90" s="25"/>
    </row>
    <row r="91">
      <c r="A91" s="21" t="s">
        <v>141</v>
      </c>
      <c r="B91" s="22" t="s">
        <v>286</v>
      </c>
      <c r="C91" s="22" t="s">
        <v>287</v>
      </c>
      <c r="D91" s="26">
        <v>45994.0</v>
      </c>
      <c r="E91" s="22"/>
      <c r="F91" s="22" t="s">
        <v>83</v>
      </c>
      <c r="G91" s="22" t="s">
        <v>406</v>
      </c>
      <c r="H91" s="22" t="s">
        <v>141</v>
      </c>
      <c r="I91" s="22">
        <v>1.0408406384963E13</v>
      </c>
      <c r="J91" s="22" t="s">
        <v>407</v>
      </c>
      <c r="K91" s="24"/>
      <c r="L91" s="22" t="s">
        <v>143</v>
      </c>
      <c r="M91" s="22">
        <v>1.0</v>
      </c>
      <c r="N91" s="22" t="s">
        <v>87</v>
      </c>
      <c r="O91" s="22" t="s">
        <v>88</v>
      </c>
      <c r="P91" s="24"/>
      <c r="Q91" s="22" t="s">
        <v>90</v>
      </c>
      <c r="R91" s="22">
        <v>3.2632865521987E13</v>
      </c>
      <c r="S91" s="24"/>
      <c r="T91" s="24"/>
      <c r="U91" s="24"/>
      <c r="V91" s="22" t="s">
        <v>54</v>
      </c>
      <c r="W91" s="24"/>
      <c r="X91" s="24"/>
      <c r="Y91" s="22"/>
      <c r="Z91" s="22"/>
      <c r="AA91" s="24"/>
      <c r="AB91" s="24"/>
      <c r="AC91" s="22"/>
      <c r="AD91" s="22"/>
      <c r="AE91" s="24"/>
      <c r="AF91" s="24"/>
      <c r="AG91" s="22"/>
      <c r="AH91" s="22"/>
      <c r="AI91" s="24"/>
      <c r="AJ91" s="24"/>
      <c r="AK91" s="22"/>
      <c r="AL91" s="22"/>
      <c r="AM91" s="24"/>
      <c r="AN91" s="25"/>
    </row>
    <row r="92">
      <c r="A92" s="21" t="s">
        <v>408</v>
      </c>
      <c r="B92" s="22" t="s">
        <v>409</v>
      </c>
      <c r="C92" s="22" t="s">
        <v>82</v>
      </c>
      <c r="D92" s="26">
        <v>45997.0</v>
      </c>
      <c r="E92" s="22" t="s">
        <v>153</v>
      </c>
      <c r="F92" s="22" t="s">
        <v>377</v>
      </c>
      <c r="G92" s="22" t="s">
        <v>410</v>
      </c>
      <c r="H92" s="22" t="s">
        <v>408</v>
      </c>
      <c r="I92" s="22">
        <v>1.0406739902787E13</v>
      </c>
      <c r="J92" s="22" t="s">
        <v>411</v>
      </c>
      <c r="K92" s="24"/>
      <c r="L92" s="22" t="s">
        <v>412</v>
      </c>
      <c r="M92" s="22">
        <v>1.0</v>
      </c>
      <c r="N92" s="22" t="s">
        <v>413</v>
      </c>
      <c r="O92" s="22" t="s">
        <v>414</v>
      </c>
      <c r="P92" s="24"/>
      <c r="Q92" s="22" t="s">
        <v>90</v>
      </c>
      <c r="R92" s="22">
        <v>3.2629562507587E13</v>
      </c>
      <c r="S92" s="24"/>
      <c r="T92" s="24"/>
      <c r="U92" s="24"/>
      <c r="V92" s="22" t="s">
        <v>127</v>
      </c>
      <c r="W92" s="24"/>
      <c r="X92" s="24"/>
      <c r="Y92" s="22"/>
      <c r="Z92" s="22"/>
      <c r="AA92" s="24"/>
      <c r="AB92" s="24"/>
      <c r="AC92" s="22"/>
      <c r="AD92" s="22"/>
      <c r="AE92" s="24"/>
      <c r="AF92" s="24"/>
      <c r="AG92" s="22"/>
      <c r="AH92" s="22"/>
      <c r="AI92" s="24"/>
      <c r="AJ92" s="24"/>
      <c r="AK92" s="22"/>
      <c r="AL92" s="22"/>
      <c r="AM92" s="24"/>
      <c r="AN92" s="25"/>
    </row>
    <row r="93">
      <c r="A93" s="21" t="s">
        <v>415</v>
      </c>
      <c r="B93" s="22" t="s">
        <v>416</v>
      </c>
      <c r="C93" s="22" t="s">
        <v>82</v>
      </c>
      <c r="D93" s="26">
        <v>45997.0</v>
      </c>
      <c r="E93" s="22" t="s">
        <v>134</v>
      </c>
      <c r="F93" s="22" t="s">
        <v>377</v>
      </c>
      <c r="G93" s="22" t="s">
        <v>417</v>
      </c>
      <c r="H93" s="22" t="s">
        <v>415</v>
      </c>
      <c r="I93" s="22">
        <v>1.0408707227971E13</v>
      </c>
      <c r="J93" s="22" t="s">
        <v>418</v>
      </c>
      <c r="K93" s="24"/>
      <c r="L93" s="22" t="s">
        <v>419</v>
      </c>
      <c r="M93" s="22">
        <v>1.0</v>
      </c>
      <c r="N93" s="22" t="s">
        <v>381</v>
      </c>
      <c r="O93" s="22" t="s">
        <v>382</v>
      </c>
      <c r="P93" s="24"/>
      <c r="Q93" s="22" t="s">
        <v>90</v>
      </c>
      <c r="R93" s="22">
        <v>3.2633469468995E13</v>
      </c>
      <c r="S93" s="24"/>
      <c r="T93" s="24"/>
      <c r="U93" s="24"/>
      <c r="V93" s="22" t="s">
        <v>91</v>
      </c>
      <c r="W93" s="24"/>
      <c r="X93" s="24"/>
      <c r="Y93" s="22"/>
      <c r="Z93" s="22"/>
      <c r="AA93" s="24"/>
      <c r="AB93" s="24"/>
      <c r="AC93" s="22"/>
      <c r="AD93" s="22"/>
      <c r="AE93" s="24"/>
      <c r="AF93" s="24"/>
      <c r="AG93" s="22"/>
      <c r="AH93" s="22"/>
      <c r="AI93" s="24"/>
      <c r="AJ93" s="24"/>
      <c r="AK93" s="22"/>
      <c r="AL93" s="22"/>
      <c r="AM93" s="24"/>
      <c r="AN93" s="25"/>
    </row>
    <row r="94">
      <c r="A94" s="21" t="s">
        <v>276</v>
      </c>
      <c r="B94" s="22" t="s">
        <v>420</v>
      </c>
      <c r="C94" s="22" t="s">
        <v>82</v>
      </c>
      <c r="D94" s="26">
        <v>45997.0</v>
      </c>
      <c r="E94" s="22" t="s">
        <v>153</v>
      </c>
      <c r="F94" s="22" t="s">
        <v>278</v>
      </c>
      <c r="G94" s="22" t="s">
        <v>421</v>
      </c>
      <c r="H94" s="22" t="s">
        <v>276</v>
      </c>
      <c r="I94" s="22">
        <v>1.0409142714691E13</v>
      </c>
      <c r="J94" s="22" t="s">
        <v>422</v>
      </c>
      <c r="K94" s="24"/>
      <c r="L94" s="22" t="s">
        <v>281</v>
      </c>
      <c r="M94" s="22">
        <v>1.0</v>
      </c>
      <c r="N94" s="22" t="s">
        <v>282</v>
      </c>
      <c r="O94" s="22" t="s">
        <v>283</v>
      </c>
      <c r="P94" s="24"/>
      <c r="Q94" s="22" t="s">
        <v>90</v>
      </c>
      <c r="R94" s="22">
        <v>3.2634350207299E13</v>
      </c>
      <c r="S94" s="24"/>
      <c r="T94" s="24"/>
      <c r="U94" s="24"/>
      <c r="V94" s="22" t="s">
        <v>55</v>
      </c>
      <c r="W94" s="24"/>
      <c r="X94" s="24"/>
      <c r="Y94" s="22"/>
      <c r="Z94" s="22"/>
      <c r="AA94" s="24"/>
      <c r="AB94" s="24"/>
      <c r="AC94" s="22"/>
      <c r="AD94" s="22"/>
      <c r="AE94" s="24"/>
      <c r="AF94" s="24"/>
      <c r="AG94" s="22"/>
      <c r="AH94" s="22"/>
      <c r="AI94" s="24"/>
      <c r="AJ94" s="24"/>
      <c r="AK94" s="22"/>
      <c r="AL94" s="22"/>
      <c r="AM94" s="24"/>
      <c r="AN94" s="25"/>
    </row>
    <row r="95">
      <c r="A95" s="21" t="s">
        <v>423</v>
      </c>
      <c r="B95" s="22" t="s">
        <v>424</v>
      </c>
      <c r="C95" s="22" t="s">
        <v>273</v>
      </c>
      <c r="D95" s="26">
        <v>45998.0</v>
      </c>
      <c r="E95" s="22" t="s">
        <v>134</v>
      </c>
      <c r="F95" s="22" t="s">
        <v>369</v>
      </c>
      <c r="G95" s="22" t="s">
        <v>425</v>
      </c>
      <c r="H95" s="22" t="s">
        <v>423</v>
      </c>
      <c r="I95" s="22">
        <v>1.0409492021571E13</v>
      </c>
      <c r="J95" s="22" t="s">
        <v>426</v>
      </c>
      <c r="K95" s="24"/>
      <c r="L95" s="22" t="s">
        <v>427</v>
      </c>
      <c r="M95" s="22">
        <v>1.0</v>
      </c>
      <c r="N95" s="22" t="s">
        <v>373</v>
      </c>
      <c r="O95" s="22" t="s">
        <v>374</v>
      </c>
      <c r="P95" s="24"/>
      <c r="Q95" s="22" t="s">
        <v>90</v>
      </c>
      <c r="R95" s="22">
        <v>3.2635052622147E13</v>
      </c>
      <c r="S95" s="24"/>
      <c r="T95" s="24"/>
      <c r="U95" s="24"/>
      <c r="V95" s="22" t="s">
        <v>95</v>
      </c>
      <c r="W95" s="24"/>
      <c r="X95" s="24"/>
      <c r="Y95" s="22"/>
      <c r="Z95" s="22"/>
      <c r="AA95" s="24"/>
      <c r="AB95" s="24"/>
      <c r="AC95" s="22"/>
      <c r="AD95" s="22"/>
      <c r="AE95" s="24"/>
      <c r="AF95" s="24"/>
      <c r="AG95" s="22"/>
      <c r="AH95" s="22"/>
      <c r="AI95" s="24"/>
      <c r="AJ95" s="24"/>
      <c r="AK95" s="22"/>
      <c r="AL95" s="22"/>
      <c r="AM95" s="24"/>
      <c r="AN95" s="25"/>
    </row>
    <row r="96">
      <c r="A96" s="21" t="s">
        <v>96</v>
      </c>
      <c r="B96" s="22" t="s">
        <v>428</v>
      </c>
      <c r="C96" s="22" t="s">
        <v>202</v>
      </c>
      <c r="D96" s="26">
        <v>45996.0</v>
      </c>
      <c r="E96" s="22"/>
      <c r="F96" s="22" t="s">
        <v>83</v>
      </c>
      <c r="G96" s="22" t="s">
        <v>429</v>
      </c>
      <c r="H96" s="22" t="s">
        <v>96</v>
      </c>
      <c r="I96" s="22">
        <v>1.0409513582915E13</v>
      </c>
      <c r="J96" s="22" t="s">
        <v>430</v>
      </c>
      <c r="K96" s="24"/>
      <c r="L96" s="22" t="s">
        <v>98</v>
      </c>
      <c r="M96" s="22">
        <v>1.0</v>
      </c>
      <c r="N96" s="22" t="s">
        <v>87</v>
      </c>
      <c r="O96" s="22" t="s">
        <v>88</v>
      </c>
      <c r="P96" s="24"/>
      <c r="Q96" s="22" t="s">
        <v>90</v>
      </c>
      <c r="R96" s="22">
        <v>3.2635096662339E13</v>
      </c>
      <c r="S96" s="24"/>
      <c r="T96" s="24"/>
      <c r="U96" s="24"/>
      <c r="V96" s="22" t="s">
        <v>55</v>
      </c>
      <c r="W96" s="24"/>
      <c r="X96" s="24"/>
      <c r="Y96" s="22"/>
      <c r="Z96" s="22"/>
      <c r="AA96" s="24"/>
      <c r="AB96" s="24"/>
      <c r="AC96" s="22"/>
      <c r="AD96" s="22"/>
      <c r="AE96" s="24"/>
      <c r="AF96" s="24"/>
      <c r="AG96" s="22"/>
      <c r="AH96" s="22"/>
      <c r="AI96" s="24"/>
      <c r="AJ96" s="24"/>
      <c r="AK96" s="22"/>
      <c r="AL96" s="22"/>
      <c r="AM96" s="24"/>
      <c r="AN96" s="25"/>
    </row>
    <row r="97">
      <c r="A97" s="21" t="s">
        <v>415</v>
      </c>
      <c r="B97" s="22" t="s">
        <v>431</v>
      </c>
      <c r="C97" s="22" t="s">
        <v>82</v>
      </c>
      <c r="D97" s="23">
        <v>46004.0</v>
      </c>
      <c r="E97" s="22" t="s">
        <v>145</v>
      </c>
      <c r="F97" s="22" t="s">
        <v>377</v>
      </c>
      <c r="G97" s="22" t="s">
        <v>432</v>
      </c>
      <c r="H97" s="22" t="s">
        <v>415</v>
      </c>
      <c r="I97" s="22">
        <v>1.0409534488899E13</v>
      </c>
      <c r="J97" s="22" t="s">
        <v>433</v>
      </c>
      <c r="K97" s="24"/>
      <c r="L97" s="22" t="s">
        <v>419</v>
      </c>
      <c r="M97" s="22">
        <v>1.0</v>
      </c>
      <c r="N97" s="22" t="s">
        <v>381</v>
      </c>
      <c r="O97" s="22" t="s">
        <v>382</v>
      </c>
      <c r="P97" s="24"/>
      <c r="Q97" s="22" t="s">
        <v>90</v>
      </c>
      <c r="R97" s="22">
        <v>3.2635138507075E13</v>
      </c>
      <c r="S97" s="24"/>
      <c r="T97" s="24"/>
      <c r="U97" s="24"/>
      <c r="V97" s="22" t="s">
        <v>91</v>
      </c>
      <c r="W97" s="24"/>
      <c r="X97" s="24"/>
      <c r="Y97" s="22"/>
      <c r="Z97" s="22"/>
      <c r="AA97" s="24"/>
      <c r="AB97" s="24"/>
      <c r="AC97" s="22"/>
      <c r="AD97" s="22"/>
      <c r="AE97" s="24"/>
      <c r="AF97" s="24"/>
      <c r="AG97" s="22"/>
      <c r="AH97" s="22"/>
      <c r="AI97" s="24"/>
      <c r="AJ97" s="24"/>
      <c r="AK97" s="22"/>
      <c r="AL97" s="22"/>
      <c r="AM97" s="24"/>
      <c r="AN97" s="25"/>
    </row>
    <row r="98">
      <c r="A98" s="21" t="s">
        <v>300</v>
      </c>
      <c r="B98" s="22" t="s">
        <v>434</v>
      </c>
      <c r="C98" s="22" t="s">
        <v>273</v>
      </c>
      <c r="D98" s="26">
        <v>45998.0</v>
      </c>
      <c r="E98" s="22" t="s">
        <v>134</v>
      </c>
      <c r="F98" s="22" t="s">
        <v>303</v>
      </c>
      <c r="G98" s="22" t="s">
        <v>435</v>
      </c>
      <c r="H98" s="22" t="s">
        <v>300</v>
      </c>
      <c r="I98" s="22">
        <v>1.0409601237315E13</v>
      </c>
      <c r="J98" s="22" t="s">
        <v>436</v>
      </c>
      <c r="K98" s="24"/>
      <c r="L98" s="22" t="s">
        <v>306</v>
      </c>
      <c r="M98" s="22">
        <v>1.0</v>
      </c>
      <c r="N98" s="22" t="s">
        <v>307</v>
      </c>
      <c r="O98" s="22" t="s">
        <v>308</v>
      </c>
      <c r="P98" s="24"/>
      <c r="Q98" s="22" t="s">
        <v>90</v>
      </c>
      <c r="R98" s="22">
        <v>3.2635288289603E13</v>
      </c>
      <c r="S98" s="24"/>
      <c r="T98" s="24"/>
      <c r="U98" s="24"/>
      <c r="V98" s="22" t="s">
        <v>55</v>
      </c>
      <c r="W98" s="24"/>
      <c r="X98" s="24"/>
      <c r="Y98" s="22"/>
      <c r="Z98" s="22"/>
      <c r="AA98" s="24"/>
      <c r="AB98" s="24"/>
      <c r="AC98" s="22"/>
      <c r="AD98" s="22"/>
      <c r="AE98" s="24"/>
      <c r="AF98" s="24"/>
      <c r="AG98" s="22"/>
      <c r="AH98" s="22"/>
      <c r="AI98" s="24"/>
      <c r="AJ98" s="24"/>
      <c r="AK98" s="22"/>
      <c r="AL98" s="22"/>
      <c r="AM98" s="24"/>
      <c r="AN98" s="25"/>
    </row>
    <row r="99">
      <c r="A99" s="21" t="s">
        <v>437</v>
      </c>
      <c r="B99" s="22" t="s">
        <v>438</v>
      </c>
      <c r="C99" s="22" t="s">
        <v>273</v>
      </c>
      <c r="D99" s="26">
        <v>45998.0</v>
      </c>
      <c r="E99" s="22" t="s">
        <v>439</v>
      </c>
      <c r="F99" s="22" t="s">
        <v>440</v>
      </c>
      <c r="G99" s="22" t="s">
        <v>441</v>
      </c>
      <c r="H99" s="22" t="s">
        <v>437</v>
      </c>
      <c r="I99" s="22">
        <v>1.0407939113283E13</v>
      </c>
      <c r="J99" s="22" t="s">
        <v>442</v>
      </c>
      <c r="K99" s="24"/>
      <c r="L99" s="22" t="s">
        <v>443</v>
      </c>
      <c r="M99" s="22">
        <v>1.0</v>
      </c>
      <c r="N99" s="22" t="s">
        <v>444</v>
      </c>
      <c r="O99" s="22" t="s">
        <v>445</v>
      </c>
      <c r="P99" s="24"/>
      <c r="Q99" s="22" t="s">
        <v>90</v>
      </c>
      <c r="R99" s="22">
        <v>3.2631940546883E13</v>
      </c>
      <c r="S99" s="24"/>
      <c r="T99" s="24"/>
      <c r="U99" s="24"/>
      <c r="V99" s="22" t="s">
        <v>91</v>
      </c>
      <c r="W99" s="24"/>
      <c r="X99" s="24"/>
      <c r="Y99" s="22"/>
      <c r="Z99" s="22"/>
      <c r="AA99" s="24"/>
      <c r="AB99" s="24"/>
      <c r="AC99" s="22"/>
      <c r="AD99" s="22"/>
      <c r="AE99" s="24"/>
      <c r="AF99" s="24"/>
      <c r="AG99" s="22"/>
      <c r="AH99" s="22"/>
      <c r="AI99" s="24"/>
      <c r="AJ99" s="24"/>
      <c r="AK99" s="22"/>
      <c r="AL99" s="22"/>
      <c r="AM99" s="24"/>
      <c r="AN99" s="25"/>
    </row>
    <row r="100">
      <c r="A100" s="21" t="s">
        <v>185</v>
      </c>
      <c r="B100" s="22" t="s">
        <v>446</v>
      </c>
      <c r="C100" s="22" t="s">
        <v>82</v>
      </c>
      <c r="D100" s="26">
        <v>45997.0</v>
      </c>
      <c r="E100" s="22" t="s">
        <v>110</v>
      </c>
      <c r="F100" s="22" t="s">
        <v>111</v>
      </c>
      <c r="G100" s="22" t="s">
        <v>447</v>
      </c>
      <c r="H100" s="22" t="s">
        <v>185</v>
      </c>
      <c r="I100" s="22">
        <v>1.0410132439363E13</v>
      </c>
      <c r="J100" s="22" t="s">
        <v>448</v>
      </c>
      <c r="K100" s="24"/>
      <c r="L100" s="22" t="s">
        <v>190</v>
      </c>
      <c r="M100" s="22">
        <v>1.0</v>
      </c>
      <c r="N100" s="22" t="s">
        <v>115</v>
      </c>
      <c r="O100" s="22" t="s">
        <v>116</v>
      </c>
      <c r="P100" s="24"/>
      <c r="Q100" s="22" t="s">
        <v>90</v>
      </c>
      <c r="R100" s="22">
        <v>3.2636319498563E13</v>
      </c>
      <c r="S100" s="24"/>
      <c r="T100" s="24"/>
      <c r="U100" s="24"/>
      <c r="V100" s="22" t="s">
        <v>95</v>
      </c>
      <c r="W100" s="24"/>
      <c r="X100" s="24"/>
      <c r="Y100" s="22"/>
      <c r="Z100" s="22"/>
      <c r="AA100" s="24"/>
      <c r="AB100" s="24"/>
      <c r="AC100" s="22"/>
      <c r="AD100" s="22"/>
      <c r="AE100" s="24"/>
      <c r="AF100" s="24"/>
      <c r="AG100" s="22"/>
      <c r="AH100" s="22"/>
      <c r="AI100" s="24"/>
      <c r="AJ100" s="24"/>
      <c r="AK100" s="22"/>
      <c r="AL100" s="22"/>
      <c r="AM100" s="24"/>
      <c r="AN100" s="25"/>
    </row>
    <row r="101">
      <c r="A101" s="21" t="s">
        <v>449</v>
      </c>
      <c r="B101" s="22" t="s">
        <v>450</v>
      </c>
      <c r="C101" s="22" t="s">
        <v>82</v>
      </c>
      <c r="D101" s="26">
        <v>45997.0</v>
      </c>
      <c r="E101" s="22" t="s">
        <v>134</v>
      </c>
      <c r="F101" s="22" t="s">
        <v>451</v>
      </c>
      <c r="G101" s="22" t="s">
        <v>452</v>
      </c>
      <c r="H101" s="22" t="s">
        <v>449</v>
      </c>
      <c r="I101" s="22">
        <v>1.0407369277763E13</v>
      </c>
      <c r="J101" s="22" t="s">
        <v>453</v>
      </c>
      <c r="K101" s="24"/>
      <c r="L101" s="22" t="s">
        <v>454</v>
      </c>
      <c r="M101" s="22">
        <v>1.0</v>
      </c>
      <c r="N101" s="22" t="s">
        <v>455</v>
      </c>
      <c r="O101" s="22" t="s">
        <v>456</v>
      </c>
      <c r="P101" s="24"/>
      <c r="Q101" s="22" t="s">
        <v>90</v>
      </c>
      <c r="R101" s="22">
        <v>3.2630814441795E13</v>
      </c>
      <c r="S101" s="24"/>
      <c r="T101" s="24"/>
      <c r="U101" s="24"/>
      <c r="V101" s="22" t="s">
        <v>54</v>
      </c>
      <c r="W101" s="24"/>
      <c r="X101" s="24"/>
      <c r="Y101" s="22"/>
      <c r="Z101" s="22"/>
      <c r="AA101" s="24"/>
      <c r="AB101" s="24"/>
      <c r="AC101" s="22"/>
      <c r="AD101" s="22"/>
      <c r="AE101" s="24"/>
      <c r="AF101" s="24"/>
      <c r="AG101" s="22"/>
      <c r="AH101" s="22"/>
      <c r="AI101" s="24"/>
      <c r="AJ101" s="24"/>
      <c r="AK101" s="22"/>
      <c r="AL101" s="22"/>
      <c r="AM101" s="24"/>
      <c r="AN101" s="25"/>
    </row>
    <row r="102">
      <c r="A102" s="21" t="s">
        <v>80</v>
      </c>
      <c r="B102" s="22" t="s">
        <v>290</v>
      </c>
      <c r="C102" s="22" t="s">
        <v>273</v>
      </c>
      <c r="D102" s="23">
        <v>45991.0</v>
      </c>
      <c r="E102" s="22"/>
      <c r="F102" s="22" t="s">
        <v>83</v>
      </c>
      <c r="G102" s="22" t="s">
        <v>457</v>
      </c>
      <c r="H102" s="22" t="s">
        <v>80</v>
      </c>
      <c r="I102" s="22">
        <v>1.0410190405955E13</v>
      </c>
      <c r="J102" s="22" t="s">
        <v>292</v>
      </c>
      <c r="K102" s="24"/>
      <c r="L102" s="22" t="s">
        <v>86</v>
      </c>
      <c r="M102" s="22">
        <v>1.0</v>
      </c>
      <c r="N102" s="22" t="s">
        <v>87</v>
      </c>
      <c r="O102" s="22" t="s">
        <v>88</v>
      </c>
      <c r="P102" s="24"/>
      <c r="Q102" s="22" t="s">
        <v>90</v>
      </c>
      <c r="R102" s="22">
        <v>3.2636437627203E13</v>
      </c>
      <c r="S102" s="24"/>
      <c r="T102" s="24"/>
      <c r="U102" s="24"/>
      <c r="V102" s="22" t="s">
        <v>91</v>
      </c>
      <c r="W102" s="24"/>
      <c r="X102" s="24"/>
      <c r="Y102" s="22"/>
      <c r="Z102" s="22"/>
      <c r="AA102" s="24"/>
      <c r="AB102" s="24"/>
      <c r="AC102" s="22"/>
      <c r="AD102" s="22"/>
      <c r="AE102" s="24"/>
      <c r="AF102" s="24"/>
      <c r="AG102" s="22"/>
      <c r="AH102" s="22"/>
      <c r="AI102" s="24"/>
      <c r="AJ102" s="24"/>
      <c r="AK102" s="22"/>
      <c r="AL102" s="22"/>
      <c r="AM102" s="24"/>
      <c r="AN102" s="25"/>
    </row>
    <row r="103">
      <c r="A103" s="21" t="s">
        <v>458</v>
      </c>
      <c r="B103" s="22" t="s">
        <v>459</v>
      </c>
      <c r="C103" s="22" t="s">
        <v>82</v>
      </c>
      <c r="D103" s="26">
        <v>45997.0</v>
      </c>
      <c r="E103" s="22" t="s">
        <v>177</v>
      </c>
      <c r="F103" s="22" t="s">
        <v>341</v>
      </c>
      <c r="G103" s="22" t="s">
        <v>460</v>
      </c>
      <c r="H103" s="22" t="s">
        <v>458</v>
      </c>
      <c r="I103" s="22">
        <v>1.0410400284995E13</v>
      </c>
      <c r="J103" s="22" t="s">
        <v>461</v>
      </c>
      <c r="K103" s="24"/>
      <c r="L103" s="22" t="s">
        <v>462</v>
      </c>
      <c r="M103" s="22">
        <v>1.0</v>
      </c>
      <c r="N103" s="22" t="s">
        <v>345</v>
      </c>
      <c r="O103" s="22" t="s">
        <v>346</v>
      </c>
      <c r="P103" s="24"/>
      <c r="Q103" s="22" t="s">
        <v>90</v>
      </c>
      <c r="R103" s="22">
        <v>3.2636857319747E13</v>
      </c>
      <c r="S103" s="24"/>
      <c r="T103" s="24"/>
      <c r="U103" s="24"/>
      <c r="V103" s="22" t="s">
        <v>91</v>
      </c>
      <c r="W103" s="24"/>
      <c r="X103" s="24"/>
      <c r="Y103" s="22"/>
      <c r="Z103" s="22"/>
      <c r="AA103" s="24"/>
      <c r="AB103" s="24"/>
      <c r="AC103" s="22"/>
      <c r="AD103" s="22"/>
      <c r="AE103" s="24"/>
      <c r="AF103" s="24"/>
      <c r="AG103" s="22"/>
      <c r="AH103" s="22"/>
      <c r="AI103" s="24"/>
      <c r="AJ103" s="24"/>
      <c r="AK103" s="22"/>
      <c r="AL103" s="22"/>
      <c r="AM103" s="24"/>
      <c r="AN103" s="25"/>
    </row>
    <row r="104">
      <c r="A104" s="21" t="s">
        <v>463</v>
      </c>
      <c r="B104" s="22" t="s">
        <v>464</v>
      </c>
      <c r="C104" s="22" t="s">
        <v>273</v>
      </c>
      <c r="D104" s="26">
        <v>45998.0</v>
      </c>
      <c r="E104" s="22" t="s">
        <v>149</v>
      </c>
      <c r="F104" s="22" t="s">
        <v>303</v>
      </c>
      <c r="G104" s="22" t="s">
        <v>465</v>
      </c>
      <c r="H104" s="22" t="s">
        <v>463</v>
      </c>
      <c r="I104" s="22">
        <v>1.0408641495363E13</v>
      </c>
      <c r="J104" s="22" t="s">
        <v>466</v>
      </c>
      <c r="K104" s="24"/>
      <c r="L104" s="22" t="s">
        <v>467</v>
      </c>
      <c r="M104" s="22">
        <v>1.0</v>
      </c>
      <c r="N104" s="22" t="s">
        <v>468</v>
      </c>
      <c r="O104" s="22" t="s">
        <v>469</v>
      </c>
      <c r="P104" s="24"/>
      <c r="Q104" s="22" t="s">
        <v>90</v>
      </c>
      <c r="R104" s="22">
        <v>3.2633338986819E13</v>
      </c>
      <c r="S104" s="24"/>
      <c r="T104" s="24"/>
      <c r="U104" s="24"/>
      <c r="V104" s="22" t="s">
        <v>105</v>
      </c>
      <c r="W104" s="24"/>
      <c r="X104" s="24"/>
      <c r="Y104" s="22"/>
      <c r="Z104" s="22"/>
      <c r="AA104" s="24"/>
      <c r="AB104" s="24"/>
      <c r="AC104" s="22"/>
      <c r="AD104" s="22"/>
      <c r="AE104" s="24"/>
      <c r="AF104" s="24"/>
      <c r="AG104" s="22"/>
      <c r="AH104" s="22"/>
      <c r="AI104" s="24"/>
      <c r="AJ104" s="24"/>
      <c r="AK104" s="22"/>
      <c r="AL104" s="22"/>
      <c r="AM104" s="24"/>
      <c r="AN104" s="25"/>
    </row>
    <row r="105">
      <c r="A105" s="21" t="s">
        <v>470</v>
      </c>
      <c r="B105" s="22" t="s">
        <v>471</v>
      </c>
      <c r="C105" s="22" t="s">
        <v>82</v>
      </c>
      <c r="D105" s="26">
        <v>45997.0</v>
      </c>
      <c r="E105" s="22" t="s">
        <v>134</v>
      </c>
      <c r="F105" s="22" t="s">
        <v>472</v>
      </c>
      <c r="G105" s="22" t="s">
        <v>473</v>
      </c>
      <c r="H105" s="22" t="s">
        <v>470</v>
      </c>
      <c r="I105" s="22">
        <v>1.0410068345155E13</v>
      </c>
      <c r="J105" s="22" t="s">
        <v>474</v>
      </c>
      <c r="K105" s="24"/>
      <c r="L105" s="22" t="s">
        <v>475</v>
      </c>
      <c r="M105" s="22">
        <v>1.0</v>
      </c>
      <c r="N105" s="22" t="s">
        <v>476</v>
      </c>
      <c r="O105" s="22" t="s">
        <v>477</v>
      </c>
      <c r="P105" s="24"/>
      <c r="Q105" s="22" t="s">
        <v>90</v>
      </c>
      <c r="R105" s="22">
        <v>3.2636191539523E13</v>
      </c>
      <c r="S105" s="24"/>
      <c r="T105" s="24"/>
      <c r="U105" s="24"/>
      <c r="V105" s="22" t="s">
        <v>91</v>
      </c>
      <c r="W105" s="24"/>
      <c r="X105" s="24"/>
      <c r="Y105" s="22"/>
      <c r="Z105" s="22"/>
      <c r="AA105" s="24"/>
      <c r="AB105" s="24"/>
      <c r="AC105" s="22"/>
      <c r="AD105" s="22"/>
      <c r="AE105" s="24"/>
      <c r="AF105" s="24"/>
      <c r="AG105" s="22"/>
      <c r="AH105" s="22"/>
      <c r="AI105" s="24"/>
      <c r="AJ105" s="24"/>
      <c r="AK105" s="22"/>
      <c r="AL105" s="22"/>
      <c r="AM105" s="24"/>
      <c r="AN105" s="25"/>
    </row>
    <row r="106">
      <c r="A106" s="21" t="s">
        <v>478</v>
      </c>
      <c r="B106" s="22" t="s">
        <v>479</v>
      </c>
      <c r="C106" s="22" t="s">
        <v>273</v>
      </c>
      <c r="D106" s="26">
        <v>45998.0</v>
      </c>
      <c r="E106" s="22" t="s">
        <v>480</v>
      </c>
      <c r="F106" s="22" t="s">
        <v>472</v>
      </c>
      <c r="G106" s="22" t="s">
        <v>481</v>
      </c>
      <c r="H106" s="22" t="s">
        <v>478</v>
      </c>
      <c r="I106" s="22">
        <v>1.0410627268931E13</v>
      </c>
      <c r="J106" s="22" t="s">
        <v>482</v>
      </c>
      <c r="K106" s="24"/>
      <c r="L106" s="22" t="s">
        <v>483</v>
      </c>
      <c r="M106" s="22">
        <v>1.0</v>
      </c>
      <c r="N106" s="22" t="s">
        <v>476</v>
      </c>
      <c r="O106" s="22" t="s">
        <v>477</v>
      </c>
      <c r="P106" s="24"/>
      <c r="Q106" s="22" t="s">
        <v>90</v>
      </c>
      <c r="R106" s="22">
        <v>3.2637321478467E13</v>
      </c>
      <c r="S106" s="24"/>
      <c r="T106" s="24"/>
      <c r="U106" s="24"/>
      <c r="V106" s="22" t="s">
        <v>95</v>
      </c>
      <c r="W106" s="24"/>
      <c r="X106" s="24"/>
      <c r="Y106" s="22"/>
      <c r="Z106" s="22"/>
      <c r="AA106" s="24"/>
      <c r="AB106" s="24"/>
      <c r="AC106" s="22"/>
      <c r="AD106" s="22"/>
      <c r="AE106" s="24"/>
      <c r="AF106" s="24"/>
      <c r="AG106" s="22"/>
      <c r="AH106" s="22"/>
      <c r="AI106" s="24"/>
      <c r="AJ106" s="24"/>
      <c r="AK106" s="22"/>
      <c r="AL106" s="22"/>
      <c r="AM106" s="24"/>
      <c r="AN106" s="25"/>
    </row>
    <row r="107">
      <c r="A107" s="21" t="s">
        <v>484</v>
      </c>
      <c r="B107" s="22" t="s">
        <v>387</v>
      </c>
      <c r="C107" s="22" t="s">
        <v>82</v>
      </c>
      <c r="D107" s="26">
        <v>45997.0</v>
      </c>
      <c r="E107" s="22" t="s">
        <v>149</v>
      </c>
      <c r="F107" s="22" t="s">
        <v>311</v>
      </c>
      <c r="G107" s="22" t="s">
        <v>485</v>
      </c>
      <c r="H107" s="22" t="s">
        <v>484</v>
      </c>
      <c r="I107" s="22">
        <v>1.0410777870659E13</v>
      </c>
      <c r="J107" s="22" t="s">
        <v>486</v>
      </c>
      <c r="K107" s="24"/>
      <c r="L107" s="22" t="s">
        <v>487</v>
      </c>
      <c r="M107" s="22">
        <v>1.0</v>
      </c>
      <c r="N107" s="22" t="s">
        <v>315</v>
      </c>
      <c r="O107" s="22" t="s">
        <v>316</v>
      </c>
      <c r="P107" s="24"/>
      <c r="Q107" s="22" t="s">
        <v>90</v>
      </c>
      <c r="R107" s="22">
        <v>3.2637636313411E13</v>
      </c>
      <c r="S107" s="24"/>
      <c r="T107" s="24"/>
      <c r="U107" s="24"/>
      <c r="V107" s="22" t="s">
        <v>127</v>
      </c>
      <c r="W107" s="24"/>
      <c r="X107" s="24"/>
      <c r="Y107" s="22"/>
      <c r="Z107" s="22"/>
      <c r="AA107" s="24"/>
      <c r="AB107" s="24"/>
      <c r="AC107" s="22"/>
      <c r="AD107" s="22"/>
      <c r="AE107" s="24"/>
      <c r="AF107" s="24"/>
      <c r="AG107" s="22"/>
      <c r="AH107" s="22"/>
      <c r="AI107" s="24"/>
      <c r="AJ107" s="24"/>
      <c r="AK107" s="22"/>
      <c r="AL107" s="22"/>
      <c r="AM107" s="24"/>
      <c r="AN107" s="25"/>
    </row>
    <row r="108">
      <c r="A108" s="21" t="s">
        <v>488</v>
      </c>
      <c r="B108" s="22" t="s">
        <v>489</v>
      </c>
      <c r="C108" s="22" t="s">
        <v>336</v>
      </c>
      <c r="D108" s="26">
        <v>45995.0</v>
      </c>
      <c r="E108" s="22" t="s">
        <v>149</v>
      </c>
      <c r="F108" s="22" t="s">
        <v>311</v>
      </c>
      <c r="G108" s="22" t="s">
        <v>490</v>
      </c>
      <c r="H108" s="22" t="s">
        <v>488</v>
      </c>
      <c r="I108" s="22">
        <v>1.0410857431363E13</v>
      </c>
      <c r="J108" s="22" t="s">
        <v>491</v>
      </c>
      <c r="K108" s="24"/>
      <c r="L108" s="22" t="s">
        <v>492</v>
      </c>
      <c r="M108" s="22">
        <v>1.0</v>
      </c>
      <c r="N108" s="22" t="s">
        <v>391</v>
      </c>
      <c r="O108" s="22" t="s">
        <v>392</v>
      </c>
      <c r="P108" s="24"/>
      <c r="Q108" s="22" t="s">
        <v>90</v>
      </c>
      <c r="R108" s="22">
        <v>3.2637812080963E13</v>
      </c>
      <c r="S108" s="24"/>
      <c r="T108" s="24"/>
      <c r="U108" s="24"/>
      <c r="V108" s="22" t="s">
        <v>95</v>
      </c>
      <c r="W108" s="24"/>
      <c r="X108" s="24"/>
      <c r="Y108" s="22"/>
      <c r="Z108" s="22"/>
      <c r="AA108" s="24"/>
      <c r="AB108" s="24"/>
      <c r="AC108" s="22"/>
      <c r="AD108" s="22"/>
      <c r="AE108" s="24"/>
      <c r="AF108" s="24"/>
      <c r="AG108" s="22"/>
      <c r="AH108" s="22"/>
      <c r="AI108" s="24"/>
      <c r="AJ108" s="24"/>
      <c r="AK108" s="22"/>
      <c r="AL108" s="22"/>
      <c r="AM108" s="24"/>
      <c r="AN108" s="25"/>
    </row>
    <row r="109">
      <c r="A109" s="21" t="s">
        <v>470</v>
      </c>
      <c r="B109" s="22" t="s">
        <v>471</v>
      </c>
      <c r="C109" s="22" t="s">
        <v>82</v>
      </c>
      <c r="D109" s="26">
        <v>45997.0</v>
      </c>
      <c r="E109" s="22" t="s">
        <v>134</v>
      </c>
      <c r="F109" s="22" t="s">
        <v>472</v>
      </c>
      <c r="G109" s="22" t="s">
        <v>493</v>
      </c>
      <c r="H109" s="22" t="s">
        <v>470</v>
      </c>
      <c r="I109" s="22">
        <v>1.0410918838595E13</v>
      </c>
      <c r="J109" s="22" t="s">
        <v>474</v>
      </c>
      <c r="K109" s="24"/>
      <c r="L109" s="22" t="s">
        <v>475</v>
      </c>
      <c r="M109" s="22">
        <v>1.0</v>
      </c>
      <c r="N109" s="22" t="s">
        <v>476</v>
      </c>
      <c r="O109" s="22" t="s">
        <v>477</v>
      </c>
      <c r="P109" s="24"/>
      <c r="Q109" s="22" t="s">
        <v>90</v>
      </c>
      <c r="R109" s="22">
        <v>3.2637936664899E13</v>
      </c>
      <c r="S109" s="24"/>
      <c r="T109" s="24"/>
      <c r="U109" s="24"/>
      <c r="V109" s="22" t="s">
        <v>91</v>
      </c>
      <c r="W109" s="24"/>
      <c r="X109" s="24"/>
      <c r="Y109" s="22"/>
      <c r="Z109" s="22"/>
      <c r="AA109" s="24"/>
      <c r="AB109" s="24"/>
      <c r="AC109" s="22"/>
      <c r="AD109" s="22"/>
      <c r="AE109" s="24"/>
      <c r="AF109" s="24"/>
      <c r="AG109" s="22"/>
      <c r="AH109" s="22"/>
      <c r="AI109" s="24"/>
      <c r="AJ109" s="24"/>
      <c r="AK109" s="22"/>
      <c r="AL109" s="22"/>
      <c r="AM109" s="24"/>
      <c r="AN109" s="25"/>
    </row>
    <row r="110">
      <c r="A110" s="21" t="s">
        <v>124</v>
      </c>
      <c r="B110" s="22" t="s">
        <v>335</v>
      </c>
      <c r="C110" s="22" t="s">
        <v>336</v>
      </c>
      <c r="D110" s="26">
        <v>45995.0</v>
      </c>
      <c r="E110" s="22"/>
      <c r="F110" s="22" t="s">
        <v>83</v>
      </c>
      <c r="G110" s="22" t="s">
        <v>494</v>
      </c>
      <c r="H110" s="22" t="s">
        <v>124</v>
      </c>
      <c r="I110" s="22">
        <v>1.0411486019907E13</v>
      </c>
      <c r="J110" s="22" t="s">
        <v>338</v>
      </c>
      <c r="K110" s="24"/>
      <c r="L110" s="22" t="s">
        <v>126</v>
      </c>
      <c r="M110" s="22">
        <v>1.0</v>
      </c>
      <c r="N110" s="22" t="s">
        <v>103</v>
      </c>
      <c r="O110" s="22" t="s">
        <v>104</v>
      </c>
      <c r="P110" s="24"/>
      <c r="Q110" s="22" t="s">
        <v>90</v>
      </c>
      <c r="R110" s="22">
        <v>3.2639094686019E13</v>
      </c>
      <c r="S110" s="24"/>
      <c r="T110" s="24"/>
      <c r="U110" s="24"/>
      <c r="V110" s="22" t="s">
        <v>127</v>
      </c>
      <c r="W110" s="24"/>
      <c r="X110" s="24"/>
      <c r="Y110" s="22"/>
      <c r="Z110" s="22"/>
      <c r="AA110" s="24"/>
      <c r="AB110" s="24"/>
      <c r="AC110" s="22"/>
      <c r="AD110" s="22"/>
      <c r="AE110" s="24"/>
      <c r="AF110" s="24"/>
      <c r="AG110" s="22"/>
      <c r="AH110" s="22"/>
      <c r="AI110" s="24"/>
      <c r="AJ110" s="24"/>
      <c r="AK110" s="22"/>
      <c r="AL110" s="22"/>
      <c r="AM110" s="24"/>
      <c r="AN110" s="25"/>
    </row>
    <row r="111">
      <c r="A111" s="21" t="s">
        <v>495</v>
      </c>
      <c r="B111" s="22" t="s">
        <v>496</v>
      </c>
      <c r="C111" s="22" t="s">
        <v>273</v>
      </c>
      <c r="D111" s="23">
        <v>45991.0</v>
      </c>
      <c r="E111" s="22" t="s">
        <v>497</v>
      </c>
      <c r="F111" s="22" t="s">
        <v>329</v>
      </c>
      <c r="G111" s="22" t="s">
        <v>498</v>
      </c>
      <c r="H111" s="22" t="s">
        <v>495</v>
      </c>
      <c r="I111" s="22">
        <v>1.0411917050179E13</v>
      </c>
      <c r="J111" s="22" t="s">
        <v>499</v>
      </c>
      <c r="K111" s="24"/>
      <c r="L111" s="22" t="s">
        <v>500</v>
      </c>
      <c r="M111" s="22">
        <v>1.0</v>
      </c>
      <c r="N111" s="22" t="s">
        <v>333</v>
      </c>
      <c r="O111" s="22" t="s">
        <v>334</v>
      </c>
      <c r="P111" s="24"/>
      <c r="Q111" s="22" t="s">
        <v>90</v>
      </c>
      <c r="R111" s="22">
        <v>3.2640001147203E13</v>
      </c>
      <c r="S111" s="24"/>
      <c r="T111" s="24"/>
      <c r="U111" s="24"/>
      <c r="V111" s="22" t="s">
        <v>54</v>
      </c>
      <c r="W111" s="24"/>
      <c r="X111" s="24"/>
      <c r="Y111" s="22"/>
      <c r="Z111" s="22"/>
      <c r="AA111" s="24"/>
      <c r="AB111" s="24"/>
      <c r="AC111" s="22"/>
      <c r="AD111" s="22"/>
      <c r="AE111" s="24"/>
      <c r="AF111" s="24"/>
      <c r="AG111" s="22"/>
      <c r="AH111" s="22"/>
      <c r="AI111" s="24"/>
      <c r="AJ111" s="24"/>
      <c r="AK111" s="22"/>
      <c r="AL111" s="22"/>
      <c r="AM111" s="24"/>
      <c r="AN111" s="25"/>
    </row>
    <row r="112">
      <c r="A112" s="21" t="s">
        <v>470</v>
      </c>
      <c r="B112" s="22" t="s">
        <v>471</v>
      </c>
      <c r="C112" s="22" t="s">
        <v>82</v>
      </c>
      <c r="D112" s="26">
        <v>45997.0</v>
      </c>
      <c r="E112" s="22" t="s">
        <v>134</v>
      </c>
      <c r="F112" s="22" t="s">
        <v>472</v>
      </c>
      <c r="G112" s="22" t="s">
        <v>501</v>
      </c>
      <c r="H112" s="22" t="s">
        <v>470</v>
      </c>
      <c r="I112" s="22">
        <v>1.0412049039683E13</v>
      </c>
      <c r="J112" s="22" t="s">
        <v>474</v>
      </c>
      <c r="K112" s="24"/>
      <c r="L112" s="22" t="s">
        <v>475</v>
      </c>
      <c r="M112" s="22">
        <v>1.0</v>
      </c>
      <c r="N112" s="22" t="s">
        <v>476</v>
      </c>
      <c r="O112" s="22" t="s">
        <v>477</v>
      </c>
      <c r="P112" s="24"/>
      <c r="Q112" s="22" t="s">
        <v>90</v>
      </c>
      <c r="R112" s="22">
        <v>3.2640269156675E13</v>
      </c>
      <c r="S112" s="24"/>
      <c r="T112" s="24"/>
      <c r="U112" s="24"/>
      <c r="V112" s="22" t="s">
        <v>91</v>
      </c>
      <c r="W112" s="24"/>
      <c r="X112" s="24"/>
      <c r="Y112" s="22"/>
      <c r="Z112" s="22"/>
      <c r="AA112" s="24"/>
      <c r="AB112" s="24"/>
      <c r="AC112" s="22"/>
      <c r="AD112" s="22"/>
      <c r="AE112" s="24"/>
      <c r="AF112" s="24"/>
      <c r="AG112" s="22"/>
      <c r="AH112" s="22"/>
      <c r="AI112" s="24"/>
      <c r="AJ112" s="24"/>
      <c r="AK112" s="22"/>
      <c r="AL112" s="22"/>
      <c r="AM112" s="24"/>
      <c r="AN112" s="25"/>
    </row>
    <row r="113">
      <c r="A113" s="21" t="s">
        <v>99</v>
      </c>
      <c r="B113" s="22" t="s">
        <v>428</v>
      </c>
      <c r="C113" s="22" t="s">
        <v>202</v>
      </c>
      <c r="D113" s="26">
        <v>45996.0</v>
      </c>
      <c r="E113" s="22"/>
      <c r="F113" s="22" t="s">
        <v>83</v>
      </c>
      <c r="G113" s="22" t="s">
        <v>502</v>
      </c>
      <c r="H113" s="22" t="s">
        <v>99</v>
      </c>
      <c r="I113" s="22">
        <v>1.0412053201219E13</v>
      </c>
      <c r="J113" s="22" t="s">
        <v>430</v>
      </c>
      <c r="K113" s="24"/>
      <c r="L113" s="22" t="s">
        <v>102</v>
      </c>
      <c r="M113" s="22">
        <v>1.0</v>
      </c>
      <c r="N113" s="22" t="s">
        <v>103</v>
      </c>
      <c r="O113" s="22" t="s">
        <v>104</v>
      </c>
      <c r="P113" s="24"/>
      <c r="Q113" s="22" t="s">
        <v>90</v>
      </c>
      <c r="R113" s="22">
        <v>3.2640277610819E13</v>
      </c>
      <c r="S113" s="24"/>
      <c r="T113" s="24"/>
      <c r="U113" s="24"/>
      <c r="V113" s="22" t="s">
        <v>105</v>
      </c>
      <c r="W113" s="24"/>
      <c r="X113" s="24"/>
      <c r="Y113" s="22"/>
      <c r="Z113" s="22"/>
      <c r="AA113" s="24"/>
      <c r="AB113" s="24"/>
      <c r="AC113" s="22"/>
      <c r="AD113" s="22"/>
      <c r="AE113" s="24"/>
      <c r="AF113" s="24"/>
      <c r="AG113" s="22"/>
      <c r="AH113" s="22"/>
      <c r="AI113" s="24"/>
      <c r="AJ113" s="24"/>
      <c r="AK113" s="22"/>
      <c r="AL113" s="22"/>
      <c r="AM113" s="24"/>
      <c r="AN113" s="25"/>
    </row>
    <row r="114">
      <c r="A114" s="21" t="s">
        <v>503</v>
      </c>
      <c r="B114" s="22" t="s">
        <v>504</v>
      </c>
      <c r="C114" s="22" t="s">
        <v>82</v>
      </c>
      <c r="D114" s="26">
        <v>45997.0</v>
      </c>
      <c r="E114" s="22" t="s">
        <v>211</v>
      </c>
      <c r="F114" s="22" t="s">
        <v>341</v>
      </c>
      <c r="G114" s="22" t="s">
        <v>505</v>
      </c>
      <c r="H114" s="22" t="s">
        <v>503</v>
      </c>
      <c r="I114" s="22">
        <v>1.0412271010115E13</v>
      </c>
      <c r="J114" s="22" t="s">
        <v>506</v>
      </c>
      <c r="K114" s="24"/>
      <c r="L114" s="22" t="s">
        <v>507</v>
      </c>
      <c r="M114" s="22">
        <v>1.0</v>
      </c>
      <c r="N114" s="22" t="s">
        <v>345</v>
      </c>
      <c r="O114" s="22" t="s">
        <v>346</v>
      </c>
      <c r="P114" s="24"/>
      <c r="Q114" s="22" t="s">
        <v>90</v>
      </c>
      <c r="R114" s="22">
        <v>3.2640727548227E13</v>
      </c>
      <c r="S114" s="24"/>
      <c r="T114" s="24"/>
      <c r="U114" s="24"/>
      <c r="V114" s="22" t="s">
        <v>54</v>
      </c>
      <c r="W114" s="24"/>
      <c r="X114" s="24"/>
      <c r="Y114" s="22"/>
      <c r="Z114" s="22"/>
      <c r="AA114" s="24"/>
      <c r="AB114" s="24"/>
      <c r="AC114" s="22"/>
      <c r="AD114" s="22"/>
      <c r="AE114" s="24"/>
      <c r="AF114" s="24"/>
      <c r="AG114" s="22"/>
      <c r="AH114" s="22"/>
      <c r="AI114" s="24"/>
      <c r="AJ114" s="24"/>
      <c r="AK114" s="22"/>
      <c r="AL114" s="22"/>
      <c r="AM114" s="24"/>
      <c r="AN114" s="25"/>
    </row>
    <row r="115">
      <c r="A115" s="21" t="s">
        <v>327</v>
      </c>
      <c r="B115" s="22" t="s">
        <v>328</v>
      </c>
      <c r="C115" s="22" t="s">
        <v>273</v>
      </c>
      <c r="D115" s="23">
        <v>45991.0</v>
      </c>
      <c r="E115" s="22" t="s">
        <v>266</v>
      </c>
      <c r="F115" s="22" t="s">
        <v>329</v>
      </c>
      <c r="G115" s="22" t="s">
        <v>508</v>
      </c>
      <c r="H115" s="22" t="s">
        <v>327</v>
      </c>
      <c r="I115" s="22">
        <v>1.0412523880771E13</v>
      </c>
      <c r="J115" s="22" t="s">
        <v>509</v>
      </c>
      <c r="K115" s="24"/>
      <c r="L115" s="22" t="s">
        <v>332</v>
      </c>
      <c r="M115" s="22">
        <v>1.0</v>
      </c>
      <c r="N115" s="22" t="s">
        <v>333</v>
      </c>
      <c r="O115" s="22" t="s">
        <v>334</v>
      </c>
      <c r="P115" s="24"/>
      <c r="Q115" s="22" t="s">
        <v>90</v>
      </c>
      <c r="R115" s="22">
        <v>3.2641235648835E13</v>
      </c>
      <c r="S115" s="24"/>
      <c r="T115" s="24"/>
      <c r="U115" s="24"/>
      <c r="V115" s="22" t="s">
        <v>55</v>
      </c>
      <c r="W115" s="24"/>
      <c r="X115" s="24"/>
      <c r="Y115" s="22"/>
      <c r="Z115" s="22"/>
      <c r="AA115" s="24"/>
      <c r="AB115" s="24"/>
      <c r="AC115" s="22"/>
      <c r="AD115" s="22"/>
      <c r="AE115" s="24"/>
      <c r="AF115" s="24"/>
      <c r="AG115" s="22"/>
      <c r="AH115" s="22"/>
      <c r="AI115" s="24"/>
      <c r="AJ115" s="24"/>
      <c r="AK115" s="22"/>
      <c r="AL115" s="22"/>
      <c r="AM115" s="24"/>
      <c r="AN115" s="25"/>
    </row>
    <row r="116">
      <c r="A116" s="21" t="s">
        <v>96</v>
      </c>
      <c r="B116" s="22" t="s">
        <v>335</v>
      </c>
      <c r="C116" s="22" t="s">
        <v>336</v>
      </c>
      <c r="D116" s="26">
        <v>45995.0</v>
      </c>
      <c r="E116" s="22"/>
      <c r="F116" s="22" t="s">
        <v>83</v>
      </c>
      <c r="G116" s="22" t="s">
        <v>510</v>
      </c>
      <c r="H116" s="22" t="s">
        <v>96</v>
      </c>
      <c r="I116" s="22">
        <v>1.0412623102275E13</v>
      </c>
      <c r="J116" s="22" t="s">
        <v>511</v>
      </c>
      <c r="K116" s="24"/>
      <c r="L116" s="22" t="s">
        <v>98</v>
      </c>
      <c r="M116" s="22">
        <v>1.0</v>
      </c>
      <c r="N116" s="22" t="s">
        <v>87</v>
      </c>
      <c r="O116" s="22" t="s">
        <v>88</v>
      </c>
      <c r="P116" s="24"/>
      <c r="Q116" s="22" t="s">
        <v>90</v>
      </c>
      <c r="R116" s="22">
        <v>3.2641440874819E13</v>
      </c>
      <c r="S116" s="24"/>
      <c r="T116" s="24"/>
      <c r="U116" s="24"/>
      <c r="V116" s="22" t="s">
        <v>55</v>
      </c>
      <c r="W116" s="24"/>
      <c r="X116" s="24"/>
      <c r="Y116" s="22"/>
      <c r="Z116" s="22"/>
      <c r="AA116" s="24"/>
      <c r="AB116" s="24"/>
      <c r="AC116" s="22"/>
      <c r="AD116" s="22"/>
      <c r="AE116" s="24"/>
      <c r="AF116" s="24"/>
      <c r="AG116" s="22"/>
      <c r="AH116" s="22"/>
      <c r="AI116" s="24"/>
      <c r="AJ116" s="24"/>
      <c r="AK116" s="22"/>
      <c r="AL116" s="22"/>
      <c r="AM116" s="24"/>
      <c r="AN116" s="25"/>
    </row>
    <row r="117">
      <c r="A117" s="21" t="s">
        <v>408</v>
      </c>
      <c r="B117" s="22" t="s">
        <v>512</v>
      </c>
      <c r="C117" s="22" t="s">
        <v>82</v>
      </c>
      <c r="D117" s="26">
        <v>45997.0</v>
      </c>
      <c r="E117" s="22" t="s">
        <v>153</v>
      </c>
      <c r="F117" s="22" t="s">
        <v>377</v>
      </c>
      <c r="G117" s="22" t="s">
        <v>513</v>
      </c>
      <c r="H117" s="22" t="s">
        <v>408</v>
      </c>
      <c r="I117" s="22">
        <v>1.0412678906179E13</v>
      </c>
      <c r="J117" s="22" t="s">
        <v>514</v>
      </c>
      <c r="K117" s="24"/>
      <c r="L117" s="22" t="s">
        <v>412</v>
      </c>
      <c r="M117" s="22">
        <v>1.0</v>
      </c>
      <c r="N117" s="22" t="s">
        <v>413</v>
      </c>
      <c r="O117" s="22" t="s">
        <v>414</v>
      </c>
      <c r="P117" s="24"/>
      <c r="Q117" s="22" t="s">
        <v>90</v>
      </c>
      <c r="R117" s="22">
        <v>3.2641558348099E13</v>
      </c>
      <c r="S117" s="24"/>
      <c r="T117" s="24"/>
      <c r="U117" s="24"/>
      <c r="V117" s="22" t="s">
        <v>127</v>
      </c>
      <c r="W117" s="24"/>
      <c r="X117" s="24"/>
      <c r="Y117" s="22"/>
      <c r="Z117" s="22"/>
      <c r="AA117" s="24"/>
      <c r="AB117" s="24"/>
      <c r="AC117" s="22"/>
      <c r="AD117" s="22"/>
      <c r="AE117" s="24"/>
      <c r="AF117" s="24"/>
      <c r="AG117" s="22"/>
      <c r="AH117" s="22"/>
      <c r="AI117" s="24"/>
      <c r="AJ117" s="24"/>
      <c r="AK117" s="22"/>
      <c r="AL117" s="22"/>
      <c r="AM117" s="24"/>
      <c r="AN117" s="25"/>
    </row>
    <row r="118">
      <c r="A118" s="21" t="s">
        <v>515</v>
      </c>
      <c r="B118" s="22" t="s">
        <v>516</v>
      </c>
      <c r="C118" s="22" t="s">
        <v>273</v>
      </c>
      <c r="D118" s="26">
        <v>45998.0</v>
      </c>
      <c r="E118" s="22" t="s">
        <v>134</v>
      </c>
      <c r="F118" s="22" t="s">
        <v>472</v>
      </c>
      <c r="G118" s="22" t="s">
        <v>517</v>
      </c>
      <c r="H118" s="22" t="s">
        <v>515</v>
      </c>
      <c r="I118" s="22">
        <v>1.0412907692355E13</v>
      </c>
      <c r="J118" s="22" t="s">
        <v>518</v>
      </c>
      <c r="K118" s="24"/>
      <c r="L118" s="22" t="s">
        <v>519</v>
      </c>
      <c r="M118" s="22">
        <v>1.0</v>
      </c>
      <c r="N118" s="22" t="s">
        <v>476</v>
      </c>
      <c r="O118" s="22" t="s">
        <v>477</v>
      </c>
      <c r="P118" s="24"/>
      <c r="Q118" s="22" t="s">
        <v>90</v>
      </c>
      <c r="R118" s="22">
        <v>3.2641981251907E13</v>
      </c>
      <c r="S118" s="24"/>
      <c r="T118" s="24"/>
      <c r="U118" s="24"/>
      <c r="V118" s="22" t="s">
        <v>55</v>
      </c>
      <c r="W118" s="24"/>
      <c r="X118" s="24"/>
      <c r="Y118" s="22"/>
      <c r="Z118" s="22"/>
      <c r="AA118" s="24"/>
      <c r="AB118" s="24"/>
      <c r="AC118" s="22"/>
      <c r="AD118" s="22"/>
      <c r="AE118" s="24"/>
      <c r="AF118" s="24"/>
      <c r="AG118" s="22"/>
      <c r="AH118" s="22"/>
      <c r="AI118" s="24"/>
      <c r="AJ118" s="24"/>
      <c r="AK118" s="22"/>
      <c r="AL118" s="22"/>
      <c r="AM118" s="24"/>
      <c r="AN118" s="25"/>
    </row>
    <row r="119">
      <c r="A119" s="21" t="s">
        <v>515</v>
      </c>
      <c r="B119" s="22" t="s">
        <v>516</v>
      </c>
      <c r="C119" s="22" t="s">
        <v>273</v>
      </c>
      <c r="D119" s="26">
        <v>45998.0</v>
      </c>
      <c r="E119" s="22" t="s">
        <v>134</v>
      </c>
      <c r="F119" s="22" t="s">
        <v>472</v>
      </c>
      <c r="G119" s="22" t="s">
        <v>520</v>
      </c>
      <c r="H119" s="22" t="s">
        <v>515</v>
      </c>
      <c r="I119" s="22">
        <v>1.0412957958467E13</v>
      </c>
      <c r="J119" s="22" t="s">
        <v>518</v>
      </c>
      <c r="K119" s="24"/>
      <c r="L119" s="22" t="s">
        <v>519</v>
      </c>
      <c r="M119" s="22">
        <v>1.0</v>
      </c>
      <c r="N119" s="22" t="s">
        <v>476</v>
      </c>
      <c r="O119" s="22" t="s">
        <v>477</v>
      </c>
      <c r="P119" s="24"/>
      <c r="Q119" s="22" t="s">
        <v>90</v>
      </c>
      <c r="R119" s="22">
        <v>3.2642078900547E13</v>
      </c>
      <c r="S119" s="24"/>
      <c r="T119" s="24"/>
      <c r="U119" s="24"/>
      <c r="V119" s="22" t="s">
        <v>55</v>
      </c>
      <c r="W119" s="24"/>
      <c r="X119" s="24"/>
      <c r="Y119" s="22"/>
      <c r="Z119" s="22"/>
      <c r="AA119" s="24"/>
      <c r="AB119" s="24"/>
      <c r="AC119" s="22"/>
      <c r="AD119" s="22"/>
      <c r="AE119" s="24"/>
      <c r="AF119" s="24"/>
      <c r="AG119" s="22"/>
      <c r="AH119" s="22"/>
      <c r="AI119" s="24"/>
      <c r="AJ119" s="24"/>
      <c r="AK119" s="22"/>
      <c r="AL119" s="22"/>
      <c r="AM119" s="24"/>
      <c r="AN119" s="25"/>
    </row>
    <row r="120">
      <c r="A120" s="21" t="s">
        <v>463</v>
      </c>
      <c r="B120" s="22" t="s">
        <v>521</v>
      </c>
      <c r="C120" s="22" t="s">
        <v>273</v>
      </c>
      <c r="D120" s="26">
        <v>45998.0</v>
      </c>
      <c r="E120" s="22" t="s">
        <v>522</v>
      </c>
      <c r="F120" s="22" t="s">
        <v>303</v>
      </c>
      <c r="G120" s="22" t="s">
        <v>523</v>
      </c>
      <c r="H120" s="22" t="s">
        <v>463</v>
      </c>
      <c r="I120" s="22">
        <v>1.0410365518147E13</v>
      </c>
      <c r="J120" s="22" t="s">
        <v>524</v>
      </c>
      <c r="K120" s="24"/>
      <c r="L120" s="22" t="s">
        <v>467</v>
      </c>
      <c r="M120" s="22">
        <v>1.0</v>
      </c>
      <c r="N120" s="22" t="s">
        <v>468</v>
      </c>
      <c r="O120" s="22" t="s">
        <v>469</v>
      </c>
      <c r="P120" s="24"/>
      <c r="Q120" s="22" t="s">
        <v>90</v>
      </c>
      <c r="R120" s="22">
        <v>3.2636788834627E13</v>
      </c>
      <c r="S120" s="24"/>
      <c r="T120" s="24"/>
      <c r="U120" s="24"/>
      <c r="V120" s="22" t="s">
        <v>105</v>
      </c>
      <c r="W120" s="24"/>
      <c r="X120" s="24"/>
      <c r="Y120" s="22"/>
      <c r="Z120" s="22"/>
      <c r="AA120" s="24"/>
      <c r="AB120" s="24"/>
      <c r="AC120" s="22"/>
      <c r="AD120" s="22"/>
      <c r="AE120" s="24"/>
      <c r="AF120" s="24"/>
      <c r="AG120" s="22"/>
      <c r="AH120" s="22"/>
      <c r="AI120" s="24"/>
      <c r="AJ120" s="24"/>
      <c r="AK120" s="22"/>
      <c r="AL120" s="22"/>
      <c r="AM120" s="24"/>
      <c r="AN120" s="25"/>
    </row>
    <row r="121">
      <c r="A121" s="21" t="s">
        <v>525</v>
      </c>
      <c r="B121" s="22" t="s">
        <v>318</v>
      </c>
      <c r="C121" s="22" t="s">
        <v>82</v>
      </c>
      <c r="D121" s="26">
        <v>45997.0</v>
      </c>
      <c r="E121" s="22" t="s">
        <v>196</v>
      </c>
      <c r="F121" s="22" t="s">
        <v>319</v>
      </c>
      <c r="G121" s="22" t="s">
        <v>526</v>
      </c>
      <c r="H121" s="22" t="s">
        <v>525</v>
      </c>
      <c r="I121" s="22">
        <v>1.0413393641795E13</v>
      </c>
      <c r="J121" s="22" t="s">
        <v>527</v>
      </c>
      <c r="K121" s="24"/>
      <c r="L121" s="22" t="s">
        <v>528</v>
      </c>
      <c r="M121" s="22">
        <v>1.0</v>
      </c>
      <c r="N121" s="22" t="s">
        <v>404</v>
      </c>
      <c r="O121" s="22" t="s">
        <v>405</v>
      </c>
      <c r="P121" s="24"/>
      <c r="Q121" s="22" t="s">
        <v>90</v>
      </c>
      <c r="R121" s="22">
        <v>3.2642987426115E13</v>
      </c>
      <c r="S121" s="24"/>
      <c r="T121" s="24"/>
      <c r="U121" s="24"/>
      <c r="V121" s="22" t="s">
        <v>105</v>
      </c>
      <c r="W121" s="24"/>
      <c r="X121" s="24"/>
      <c r="Y121" s="22"/>
      <c r="Z121" s="22"/>
      <c r="AA121" s="24"/>
      <c r="AB121" s="24"/>
      <c r="AC121" s="22"/>
      <c r="AD121" s="22"/>
      <c r="AE121" s="24"/>
      <c r="AF121" s="24"/>
      <c r="AG121" s="22"/>
      <c r="AH121" s="22"/>
      <c r="AI121" s="24"/>
      <c r="AJ121" s="24"/>
      <c r="AK121" s="22"/>
      <c r="AL121" s="22"/>
      <c r="AM121" s="24"/>
      <c r="AN121" s="25"/>
    </row>
    <row r="122">
      <c r="A122" s="21" t="s">
        <v>529</v>
      </c>
      <c r="B122" s="22" t="s">
        <v>530</v>
      </c>
      <c r="C122" s="22" t="s">
        <v>82</v>
      </c>
      <c r="D122" s="26">
        <v>45997.0</v>
      </c>
      <c r="E122" s="22" t="s">
        <v>149</v>
      </c>
      <c r="F122" s="22" t="s">
        <v>472</v>
      </c>
      <c r="G122" s="22" t="s">
        <v>531</v>
      </c>
      <c r="H122" s="22" t="s">
        <v>529</v>
      </c>
      <c r="I122" s="22">
        <v>1.0410406445379E13</v>
      </c>
      <c r="J122" s="22" t="s">
        <v>532</v>
      </c>
      <c r="K122" s="24"/>
      <c r="L122" s="22" t="s">
        <v>533</v>
      </c>
      <c r="M122" s="22">
        <v>1.0</v>
      </c>
      <c r="N122" s="22" t="s">
        <v>534</v>
      </c>
      <c r="O122" s="22" t="s">
        <v>535</v>
      </c>
      <c r="P122" s="24"/>
      <c r="Q122" s="22" t="s">
        <v>90</v>
      </c>
      <c r="R122" s="22">
        <v>3.2636869706051E13</v>
      </c>
      <c r="S122" s="24"/>
      <c r="T122" s="24"/>
      <c r="U122" s="24"/>
      <c r="V122" s="22" t="s">
        <v>127</v>
      </c>
      <c r="W122" s="24"/>
      <c r="X122" s="24"/>
      <c r="Y122" s="22"/>
      <c r="Z122" s="22"/>
      <c r="AA122" s="24"/>
      <c r="AB122" s="24"/>
      <c r="AC122" s="22"/>
      <c r="AD122" s="22"/>
      <c r="AE122" s="24"/>
      <c r="AF122" s="24"/>
      <c r="AG122" s="22"/>
      <c r="AH122" s="22"/>
      <c r="AI122" s="24"/>
      <c r="AJ122" s="24"/>
      <c r="AK122" s="22"/>
      <c r="AL122" s="22"/>
      <c r="AM122" s="24"/>
      <c r="AN122" s="25"/>
    </row>
    <row r="123">
      <c r="A123" s="21" t="s">
        <v>515</v>
      </c>
      <c r="B123" s="22" t="s">
        <v>530</v>
      </c>
      <c r="C123" s="22" t="s">
        <v>82</v>
      </c>
      <c r="D123" s="26">
        <v>45997.0</v>
      </c>
      <c r="E123" s="22" t="s">
        <v>149</v>
      </c>
      <c r="F123" s="22" t="s">
        <v>472</v>
      </c>
      <c r="G123" s="22" t="s">
        <v>536</v>
      </c>
      <c r="H123" s="22" t="s">
        <v>515</v>
      </c>
      <c r="I123" s="22">
        <v>1.0410410836291E13</v>
      </c>
      <c r="J123" s="22" t="s">
        <v>537</v>
      </c>
      <c r="K123" s="24"/>
      <c r="L123" s="22" t="s">
        <v>519</v>
      </c>
      <c r="M123" s="22">
        <v>1.0</v>
      </c>
      <c r="N123" s="22" t="s">
        <v>476</v>
      </c>
      <c r="O123" s="22" t="s">
        <v>477</v>
      </c>
      <c r="P123" s="24"/>
      <c r="Q123" s="22" t="s">
        <v>90</v>
      </c>
      <c r="R123" s="22">
        <v>3.2636878192963E13</v>
      </c>
      <c r="S123" s="24"/>
      <c r="T123" s="24"/>
      <c r="U123" s="24"/>
      <c r="V123" s="22" t="s">
        <v>55</v>
      </c>
      <c r="W123" s="24"/>
      <c r="X123" s="24"/>
      <c r="Y123" s="22"/>
      <c r="Z123" s="22"/>
      <c r="AA123" s="24"/>
      <c r="AB123" s="24"/>
      <c r="AC123" s="22"/>
      <c r="AD123" s="22"/>
      <c r="AE123" s="24"/>
      <c r="AF123" s="24"/>
      <c r="AG123" s="22"/>
      <c r="AH123" s="22"/>
      <c r="AI123" s="24"/>
      <c r="AJ123" s="24"/>
      <c r="AK123" s="22"/>
      <c r="AL123" s="22"/>
      <c r="AM123" s="24"/>
      <c r="AN123" s="25"/>
    </row>
    <row r="124">
      <c r="A124" s="21" t="s">
        <v>538</v>
      </c>
      <c r="B124" s="22" t="s">
        <v>539</v>
      </c>
      <c r="C124" s="22" t="s">
        <v>273</v>
      </c>
      <c r="D124" s="26">
        <v>45998.0</v>
      </c>
      <c r="E124" s="22" t="s">
        <v>149</v>
      </c>
      <c r="F124" s="22" t="s">
        <v>369</v>
      </c>
      <c r="G124" s="22" t="s">
        <v>540</v>
      </c>
      <c r="H124" s="22" t="s">
        <v>538</v>
      </c>
      <c r="I124" s="22">
        <v>1.0414067974467E13</v>
      </c>
      <c r="J124" s="22" t="s">
        <v>541</v>
      </c>
      <c r="K124" s="24"/>
      <c r="L124" s="22" t="s">
        <v>542</v>
      </c>
      <c r="M124" s="22">
        <v>1.0</v>
      </c>
      <c r="N124" s="22" t="s">
        <v>373</v>
      </c>
      <c r="O124" s="22" t="s">
        <v>374</v>
      </c>
      <c r="P124" s="24"/>
      <c r="Q124" s="22" t="s">
        <v>90</v>
      </c>
      <c r="R124" s="22">
        <v>3.2644336877891E13</v>
      </c>
      <c r="S124" s="24"/>
      <c r="T124" s="24"/>
      <c r="U124" s="24"/>
      <c r="V124" s="22" t="s">
        <v>91</v>
      </c>
      <c r="W124" s="24"/>
      <c r="X124" s="24"/>
      <c r="Y124" s="22"/>
      <c r="Z124" s="22"/>
      <c r="AA124" s="24"/>
      <c r="AB124" s="24"/>
      <c r="AC124" s="22"/>
      <c r="AD124" s="22"/>
      <c r="AE124" s="24"/>
      <c r="AF124" s="24"/>
      <c r="AG124" s="22"/>
      <c r="AH124" s="22"/>
      <c r="AI124" s="24"/>
      <c r="AJ124" s="24"/>
      <c r="AK124" s="22"/>
      <c r="AL124" s="22"/>
      <c r="AM124" s="24"/>
      <c r="AN124" s="25"/>
    </row>
    <row r="125">
      <c r="A125" s="21" t="s">
        <v>386</v>
      </c>
      <c r="B125" s="22" t="s">
        <v>310</v>
      </c>
      <c r="C125" s="22" t="s">
        <v>82</v>
      </c>
      <c r="D125" s="26">
        <v>45997.0</v>
      </c>
      <c r="E125" s="22" t="s">
        <v>134</v>
      </c>
      <c r="F125" s="22" t="s">
        <v>311</v>
      </c>
      <c r="G125" s="22" t="s">
        <v>543</v>
      </c>
      <c r="H125" s="22" t="s">
        <v>386</v>
      </c>
      <c r="I125" s="22">
        <v>1.0414122074435E13</v>
      </c>
      <c r="J125" s="22" t="s">
        <v>544</v>
      </c>
      <c r="K125" s="24"/>
      <c r="L125" s="22" t="s">
        <v>390</v>
      </c>
      <c r="M125" s="22">
        <v>1.0</v>
      </c>
      <c r="N125" s="22" t="s">
        <v>391</v>
      </c>
      <c r="O125" s="22" t="s">
        <v>392</v>
      </c>
      <c r="P125" s="24"/>
      <c r="Q125" s="22" t="s">
        <v>90</v>
      </c>
      <c r="R125" s="22">
        <v>3.2644448551235E13</v>
      </c>
      <c r="S125" s="24"/>
      <c r="T125" s="24"/>
      <c r="U125" s="24"/>
      <c r="V125" s="22" t="s">
        <v>55</v>
      </c>
      <c r="W125" s="24"/>
      <c r="X125" s="24"/>
      <c r="Y125" s="22"/>
      <c r="Z125" s="22"/>
      <c r="AA125" s="24"/>
      <c r="AB125" s="24"/>
      <c r="AC125" s="22"/>
      <c r="AD125" s="22"/>
      <c r="AE125" s="24"/>
      <c r="AF125" s="24"/>
      <c r="AG125" s="22"/>
      <c r="AH125" s="22"/>
      <c r="AI125" s="24"/>
      <c r="AJ125" s="24"/>
      <c r="AK125" s="22"/>
      <c r="AL125" s="22"/>
      <c r="AM125" s="24"/>
      <c r="AN125" s="25"/>
    </row>
    <row r="126">
      <c r="A126" s="21" t="s">
        <v>545</v>
      </c>
      <c r="B126" s="22" t="s">
        <v>546</v>
      </c>
      <c r="C126" s="22" t="s">
        <v>273</v>
      </c>
      <c r="D126" s="23">
        <v>45991.0</v>
      </c>
      <c r="E126" s="22" t="s">
        <v>480</v>
      </c>
      <c r="F126" s="22" t="s">
        <v>356</v>
      </c>
      <c r="G126" s="22" t="s">
        <v>547</v>
      </c>
      <c r="H126" s="22" t="s">
        <v>545</v>
      </c>
      <c r="I126" s="22">
        <v>1.0414157332803E13</v>
      </c>
      <c r="J126" s="22" t="s">
        <v>548</v>
      </c>
      <c r="K126" s="24"/>
      <c r="L126" s="22" t="s">
        <v>549</v>
      </c>
      <c r="M126" s="22">
        <v>1.0</v>
      </c>
      <c r="N126" s="22" t="s">
        <v>360</v>
      </c>
      <c r="O126" s="22" t="s">
        <v>361</v>
      </c>
      <c r="P126" s="24"/>
      <c r="Q126" s="22" t="s">
        <v>90</v>
      </c>
      <c r="R126" s="22">
        <v>3.2644527849795E13</v>
      </c>
      <c r="S126" s="24"/>
      <c r="T126" s="24"/>
      <c r="U126" s="24"/>
      <c r="V126" s="22" t="s">
        <v>55</v>
      </c>
      <c r="W126" s="24"/>
      <c r="X126" s="24"/>
      <c r="Y126" s="22"/>
      <c r="Z126" s="22"/>
      <c r="AA126" s="24"/>
      <c r="AB126" s="24"/>
      <c r="AC126" s="22"/>
      <c r="AD126" s="22"/>
      <c r="AE126" s="24"/>
      <c r="AF126" s="24"/>
      <c r="AG126" s="22"/>
      <c r="AH126" s="22"/>
      <c r="AI126" s="24"/>
      <c r="AJ126" s="24"/>
      <c r="AK126" s="22"/>
      <c r="AL126" s="22"/>
      <c r="AM126" s="24"/>
      <c r="AN126" s="25"/>
    </row>
    <row r="127">
      <c r="A127" s="21" t="s">
        <v>550</v>
      </c>
      <c r="B127" s="22" t="s">
        <v>376</v>
      </c>
      <c r="C127" s="22" t="s">
        <v>82</v>
      </c>
      <c r="D127" s="26">
        <v>45997.0</v>
      </c>
      <c r="E127" s="22" t="s">
        <v>149</v>
      </c>
      <c r="F127" s="22" t="s">
        <v>377</v>
      </c>
      <c r="G127" s="22" t="s">
        <v>551</v>
      </c>
      <c r="H127" s="22" t="s">
        <v>550</v>
      </c>
      <c r="I127" s="22">
        <v>1.0414378451267E13</v>
      </c>
      <c r="J127" s="22" t="s">
        <v>379</v>
      </c>
      <c r="K127" s="24"/>
      <c r="L127" s="22" t="s">
        <v>552</v>
      </c>
      <c r="M127" s="22">
        <v>1.0</v>
      </c>
      <c r="N127" s="22" t="s">
        <v>381</v>
      </c>
      <c r="O127" s="22" t="s">
        <v>382</v>
      </c>
      <c r="P127" s="24"/>
      <c r="Q127" s="22" t="s">
        <v>90</v>
      </c>
      <c r="R127" s="22">
        <v>3.2644949016899E13</v>
      </c>
      <c r="S127" s="24"/>
      <c r="T127" s="24"/>
      <c r="U127" s="24"/>
      <c r="V127" s="22" t="s">
        <v>95</v>
      </c>
      <c r="W127" s="24"/>
      <c r="X127" s="24"/>
      <c r="Y127" s="22"/>
      <c r="Z127" s="22"/>
      <c r="AA127" s="24"/>
      <c r="AB127" s="24"/>
      <c r="AC127" s="22"/>
      <c r="AD127" s="22"/>
      <c r="AE127" s="24"/>
      <c r="AF127" s="24"/>
      <c r="AG127" s="22"/>
      <c r="AH127" s="22"/>
      <c r="AI127" s="24"/>
      <c r="AJ127" s="24"/>
      <c r="AK127" s="22"/>
      <c r="AL127" s="22"/>
      <c r="AM127" s="24"/>
      <c r="AN127" s="25"/>
    </row>
    <row r="128">
      <c r="A128" s="21" t="s">
        <v>276</v>
      </c>
      <c r="B128" s="22" t="s">
        <v>277</v>
      </c>
      <c r="C128" s="22" t="s">
        <v>82</v>
      </c>
      <c r="D128" s="26">
        <v>45997.0</v>
      </c>
      <c r="E128" s="22" t="s">
        <v>138</v>
      </c>
      <c r="F128" s="22" t="s">
        <v>278</v>
      </c>
      <c r="G128" s="22" t="s">
        <v>553</v>
      </c>
      <c r="H128" s="22" t="s">
        <v>276</v>
      </c>
      <c r="I128" s="22">
        <v>1.0414447526211E13</v>
      </c>
      <c r="J128" s="22" t="s">
        <v>554</v>
      </c>
      <c r="K128" s="24"/>
      <c r="L128" s="22" t="s">
        <v>281</v>
      </c>
      <c r="M128" s="22">
        <v>1.0</v>
      </c>
      <c r="N128" s="22" t="s">
        <v>282</v>
      </c>
      <c r="O128" s="22" t="s">
        <v>283</v>
      </c>
      <c r="P128" s="24"/>
      <c r="Q128" s="22" t="s">
        <v>90</v>
      </c>
      <c r="R128" s="22">
        <v>3.2645086347587E13</v>
      </c>
      <c r="S128" s="24"/>
      <c r="T128" s="24"/>
      <c r="U128" s="24"/>
      <c r="V128" s="22" t="s">
        <v>55</v>
      </c>
      <c r="W128" s="24"/>
      <c r="X128" s="24"/>
      <c r="Y128" s="22"/>
      <c r="Z128" s="22"/>
      <c r="AA128" s="24"/>
      <c r="AB128" s="24"/>
      <c r="AC128" s="22"/>
      <c r="AD128" s="22"/>
      <c r="AE128" s="24"/>
      <c r="AF128" s="24"/>
      <c r="AG128" s="22"/>
      <c r="AH128" s="22"/>
      <c r="AI128" s="24"/>
      <c r="AJ128" s="24"/>
      <c r="AK128" s="22"/>
      <c r="AL128" s="22"/>
      <c r="AM128" s="24"/>
      <c r="AN128" s="25"/>
    </row>
    <row r="129">
      <c r="A129" s="21" t="s">
        <v>545</v>
      </c>
      <c r="B129" s="22" t="s">
        <v>546</v>
      </c>
      <c r="C129" s="22" t="s">
        <v>273</v>
      </c>
      <c r="D129" s="23">
        <v>45991.0</v>
      </c>
      <c r="E129" s="22" t="s">
        <v>480</v>
      </c>
      <c r="F129" s="22" t="s">
        <v>356</v>
      </c>
      <c r="G129" s="22" t="s">
        <v>555</v>
      </c>
      <c r="H129" s="22" t="s">
        <v>545</v>
      </c>
      <c r="I129" s="22">
        <v>1.0414508409155E13</v>
      </c>
      <c r="J129" s="22" t="s">
        <v>556</v>
      </c>
      <c r="K129" s="24"/>
      <c r="L129" s="22" t="s">
        <v>549</v>
      </c>
      <c r="M129" s="22">
        <v>1.0</v>
      </c>
      <c r="N129" s="22" t="s">
        <v>360</v>
      </c>
      <c r="O129" s="22" t="s">
        <v>361</v>
      </c>
      <c r="P129" s="24"/>
      <c r="Q129" s="22" t="s">
        <v>90</v>
      </c>
      <c r="R129" s="22">
        <v>3.2645208047939E13</v>
      </c>
      <c r="S129" s="24"/>
      <c r="T129" s="24"/>
      <c r="U129" s="24"/>
      <c r="V129" s="22" t="s">
        <v>55</v>
      </c>
      <c r="W129" s="24"/>
      <c r="X129" s="24"/>
      <c r="Y129" s="22"/>
      <c r="Z129" s="22"/>
      <c r="AA129" s="24"/>
      <c r="AB129" s="24"/>
      <c r="AC129" s="22"/>
      <c r="AD129" s="22"/>
      <c r="AE129" s="24"/>
      <c r="AF129" s="24"/>
      <c r="AG129" s="22"/>
      <c r="AH129" s="22"/>
      <c r="AI129" s="24"/>
      <c r="AJ129" s="24"/>
      <c r="AK129" s="22"/>
      <c r="AL129" s="22"/>
      <c r="AM129" s="24"/>
      <c r="AN129" s="25"/>
    </row>
    <row r="130">
      <c r="A130" s="21" t="s">
        <v>488</v>
      </c>
      <c r="B130" s="22" t="s">
        <v>557</v>
      </c>
      <c r="C130" s="22" t="s">
        <v>82</v>
      </c>
      <c r="D130" s="26">
        <v>45997.0</v>
      </c>
      <c r="E130" s="22" t="s">
        <v>248</v>
      </c>
      <c r="F130" s="22" t="s">
        <v>311</v>
      </c>
      <c r="G130" s="22" t="s">
        <v>558</v>
      </c>
      <c r="H130" s="22" t="s">
        <v>488</v>
      </c>
      <c r="I130" s="22">
        <v>1.0415638544707E13</v>
      </c>
      <c r="J130" s="22" t="s">
        <v>559</v>
      </c>
      <c r="K130" s="24"/>
      <c r="L130" s="22" t="s">
        <v>492</v>
      </c>
      <c r="M130" s="22">
        <v>1.0</v>
      </c>
      <c r="N130" s="22" t="s">
        <v>391</v>
      </c>
      <c r="O130" s="22" t="s">
        <v>392</v>
      </c>
      <c r="P130" s="24"/>
      <c r="Q130" s="22" t="s">
        <v>90</v>
      </c>
      <c r="R130" s="22">
        <v>3.2647800750403E13</v>
      </c>
      <c r="S130" s="24"/>
      <c r="T130" s="24"/>
      <c r="U130" s="24"/>
      <c r="V130" s="22" t="s">
        <v>95</v>
      </c>
      <c r="W130" s="24"/>
      <c r="X130" s="24"/>
      <c r="Y130" s="22"/>
      <c r="Z130" s="22"/>
      <c r="AA130" s="24"/>
      <c r="AB130" s="24"/>
      <c r="AC130" s="22"/>
      <c r="AD130" s="22"/>
      <c r="AE130" s="24"/>
      <c r="AF130" s="24"/>
      <c r="AG130" s="22"/>
      <c r="AH130" s="22"/>
      <c r="AI130" s="24"/>
      <c r="AJ130" s="25"/>
      <c r="AK130" s="22"/>
      <c r="AL130" s="22"/>
      <c r="AM130" s="25"/>
      <c r="AN130" s="25"/>
    </row>
    <row r="131">
      <c r="A131" s="21" t="s">
        <v>560</v>
      </c>
      <c r="B131" s="22" t="s">
        <v>355</v>
      </c>
      <c r="C131" s="22" t="s">
        <v>273</v>
      </c>
      <c r="D131" s="23">
        <v>45991.0</v>
      </c>
      <c r="E131" s="22" t="s">
        <v>149</v>
      </c>
      <c r="F131" s="22" t="s">
        <v>356</v>
      </c>
      <c r="G131" s="22" t="s">
        <v>561</v>
      </c>
      <c r="H131" s="22" t="s">
        <v>560</v>
      </c>
      <c r="I131" s="22">
        <v>1.0416127082819E13</v>
      </c>
      <c r="J131" s="22" t="s">
        <v>562</v>
      </c>
      <c r="K131" s="24"/>
      <c r="L131" s="22" t="s">
        <v>563</v>
      </c>
      <c r="M131" s="22">
        <v>1.0</v>
      </c>
      <c r="N131" s="22" t="s">
        <v>360</v>
      </c>
      <c r="O131" s="22" t="s">
        <v>361</v>
      </c>
      <c r="P131" s="24"/>
      <c r="Q131" s="22" t="s">
        <v>90</v>
      </c>
      <c r="R131" s="22">
        <v>3.2648911585603E13</v>
      </c>
      <c r="S131" s="24"/>
      <c r="T131" s="24"/>
      <c r="U131" s="24"/>
      <c r="V131" s="22" t="s">
        <v>91</v>
      </c>
      <c r="W131" s="24"/>
      <c r="X131" s="24"/>
      <c r="Y131" s="22"/>
      <c r="Z131" s="22"/>
      <c r="AA131" s="24"/>
      <c r="AB131" s="24"/>
      <c r="AC131" s="22"/>
      <c r="AD131" s="22"/>
      <c r="AE131" s="24"/>
      <c r="AF131" s="24"/>
      <c r="AG131" s="22"/>
      <c r="AH131" s="22"/>
      <c r="AI131" s="24"/>
      <c r="AJ131" s="25"/>
      <c r="AK131" s="22"/>
      <c r="AL131" s="22"/>
      <c r="AM131" s="25"/>
      <c r="AN131" s="25"/>
    </row>
    <row r="132">
      <c r="A132" s="21" t="s">
        <v>423</v>
      </c>
      <c r="B132" s="22" t="s">
        <v>564</v>
      </c>
      <c r="C132" s="22" t="s">
        <v>273</v>
      </c>
      <c r="D132" s="26">
        <v>45998.0</v>
      </c>
      <c r="E132" s="22" t="s">
        <v>149</v>
      </c>
      <c r="F132" s="22" t="s">
        <v>369</v>
      </c>
      <c r="G132" s="22" t="s">
        <v>565</v>
      </c>
      <c r="H132" s="22" t="s">
        <v>423</v>
      </c>
      <c r="I132" s="22">
        <v>1.0418142576963E13</v>
      </c>
      <c r="J132" s="22" t="s">
        <v>566</v>
      </c>
      <c r="K132" s="24"/>
      <c r="L132" s="22" t="s">
        <v>427</v>
      </c>
      <c r="M132" s="22">
        <v>1.0</v>
      </c>
      <c r="N132" s="22" t="s">
        <v>373</v>
      </c>
      <c r="O132" s="22" t="s">
        <v>374</v>
      </c>
      <c r="P132" s="24"/>
      <c r="Q132" s="22" t="s">
        <v>90</v>
      </c>
      <c r="R132" s="22">
        <v>3.2654350811459E13</v>
      </c>
      <c r="S132" s="24"/>
      <c r="T132" s="24"/>
      <c r="U132" s="24"/>
      <c r="V132" s="22" t="s">
        <v>95</v>
      </c>
      <c r="W132" s="24"/>
      <c r="X132" s="24"/>
      <c r="Y132" s="22"/>
      <c r="Z132" s="22"/>
      <c r="AA132" s="24"/>
      <c r="AB132" s="24"/>
      <c r="AC132" s="22"/>
      <c r="AD132" s="22"/>
      <c r="AE132" s="24"/>
      <c r="AF132" s="24"/>
      <c r="AG132" s="22"/>
      <c r="AH132" s="22"/>
      <c r="AI132" s="24"/>
      <c r="AJ132" s="25"/>
      <c r="AK132" s="22"/>
      <c r="AL132" s="22"/>
      <c r="AM132" s="25"/>
      <c r="AN132" s="25"/>
    </row>
    <row r="133">
      <c r="A133" s="21" t="s">
        <v>347</v>
      </c>
      <c r="B133" s="22" t="s">
        <v>277</v>
      </c>
      <c r="C133" s="22" t="s">
        <v>82</v>
      </c>
      <c r="D133" s="26">
        <v>45997.0</v>
      </c>
      <c r="E133" s="22" t="s">
        <v>138</v>
      </c>
      <c r="F133" s="22" t="s">
        <v>278</v>
      </c>
      <c r="G133" s="22" t="s">
        <v>567</v>
      </c>
      <c r="H133" s="22" t="s">
        <v>347</v>
      </c>
      <c r="I133" s="22">
        <v>1.0418818482499E13</v>
      </c>
      <c r="J133" s="22" t="s">
        <v>568</v>
      </c>
      <c r="K133" s="24"/>
      <c r="L133" s="22" t="s">
        <v>350</v>
      </c>
      <c r="M133" s="22">
        <v>1.0</v>
      </c>
      <c r="N133" s="22" t="s">
        <v>351</v>
      </c>
      <c r="O133" s="22" t="s">
        <v>352</v>
      </c>
      <c r="P133" s="24"/>
      <c r="Q133" s="22" t="s">
        <v>90</v>
      </c>
      <c r="R133" s="22">
        <v>3.2656571302211E13</v>
      </c>
      <c r="S133" s="24"/>
      <c r="T133" s="24"/>
      <c r="U133" s="24"/>
      <c r="V133" s="22" t="s">
        <v>127</v>
      </c>
      <c r="W133" s="24"/>
      <c r="X133" s="24"/>
      <c r="Y133" s="22"/>
      <c r="Z133" s="22"/>
      <c r="AA133" s="24"/>
      <c r="AB133" s="24"/>
      <c r="AC133" s="22"/>
      <c r="AD133" s="22"/>
      <c r="AE133" s="24"/>
      <c r="AF133" s="24"/>
      <c r="AG133" s="22"/>
      <c r="AH133" s="22"/>
      <c r="AI133" s="24"/>
      <c r="AJ133" s="25"/>
      <c r="AK133" s="22"/>
      <c r="AL133" s="22"/>
      <c r="AM133" s="25"/>
      <c r="AN133" s="25"/>
    </row>
    <row r="134">
      <c r="A134" s="21" t="s">
        <v>569</v>
      </c>
      <c r="B134" s="22" t="s">
        <v>516</v>
      </c>
      <c r="C134" s="22" t="s">
        <v>273</v>
      </c>
      <c r="D134" s="26">
        <v>45998.0</v>
      </c>
      <c r="E134" s="22" t="s">
        <v>134</v>
      </c>
      <c r="F134" s="22" t="s">
        <v>472</v>
      </c>
      <c r="G134" s="22" t="s">
        <v>570</v>
      </c>
      <c r="H134" s="22" t="s">
        <v>569</v>
      </c>
      <c r="I134" s="22">
        <v>1.0413034340675E13</v>
      </c>
      <c r="J134" s="22" t="s">
        <v>518</v>
      </c>
      <c r="K134" s="24"/>
      <c r="L134" s="22" t="s">
        <v>571</v>
      </c>
      <c r="M134" s="22">
        <v>1.0</v>
      </c>
      <c r="N134" s="22" t="s">
        <v>534</v>
      </c>
      <c r="O134" s="22" t="s">
        <v>535</v>
      </c>
      <c r="P134" s="24"/>
      <c r="Q134" s="22" t="s">
        <v>90</v>
      </c>
      <c r="R134" s="22">
        <v>3.2642231533891E13</v>
      </c>
      <c r="S134" s="24"/>
      <c r="T134" s="24"/>
      <c r="U134" s="24"/>
      <c r="V134" s="22" t="s">
        <v>105</v>
      </c>
      <c r="W134" s="24"/>
      <c r="X134" s="24"/>
      <c r="Y134" s="22"/>
      <c r="Z134" s="22"/>
      <c r="AA134" s="24"/>
      <c r="AB134" s="24"/>
      <c r="AC134" s="22"/>
      <c r="AD134" s="22"/>
      <c r="AE134" s="24"/>
      <c r="AF134" s="24"/>
      <c r="AG134" s="22"/>
      <c r="AH134" s="22"/>
      <c r="AI134" s="24"/>
      <c r="AJ134" s="25"/>
      <c r="AK134" s="22"/>
      <c r="AL134" s="22"/>
      <c r="AM134" s="25"/>
      <c r="AN134" s="25"/>
    </row>
    <row r="135">
      <c r="A135" s="21" t="s">
        <v>529</v>
      </c>
      <c r="B135" s="22" t="s">
        <v>516</v>
      </c>
      <c r="C135" s="22" t="s">
        <v>273</v>
      </c>
      <c r="D135" s="26">
        <v>45998.0</v>
      </c>
      <c r="E135" s="22" t="s">
        <v>134</v>
      </c>
      <c r="F135" s="22" t="s">
        <v>472</v>
      </c>
      <c r="G135" s="22" t="s">
        <v>572</v>
      </c>
      <c r="H135" s="22" t="s">
        <v>529</v>
      </c>
      <c r="I135" s="22">
        <v>1.0419496976707E13</v>
      </c>
      <c r="J135" s="22" t="s">
        <v>518</v>
      </c>
      <c r="K135" s="24"/>
      <c r="L135" s="22" t="s">
        <v>533</v>
      </c>
      <c r="M135" s="22">
        <v>1.0</v>
      </c>
      <c r="N135" s="22" t="s">
        <v>534</v>
      </c>
      <c r="O135" s="22" t="s">
        <v>535</v>
      </c>
      <c r="P135" s="24"/>
      <c r="Q135" s="22" t="s">
        <v>90</v>
      </c>
      <c r="R135" s="22">
        <v>3.2658062770499E13</v>
      </c>
      <c r="S135" s="24"/>
      <c r="T135" s="24"/>
      <c r="U135" s="24"/>
      <c r="V135" s="22" t="s">
        <v>127</v>
      </c>
      <c r="W135" s="24"/>
      <c r="X135" s="24"/>
      <c r="Y135" s="22"/>
      <c r="Z135" s="22"/>
      <c r="AA135" s="24"/>
      <c r="AB135" s="24"/>
      <c r="AC135" s="22"/>
      <c r="AD135" s="22"/>
      <c r="AE135" s="24"/>
      <c r="AF135" s="24"/>
      <c r="AG135" s="22"/>
      <c r="AH135" s="22"/>
      <c r="AI135" s="24"/>
      <c r="AJ135" s="25"/>
      <c r="AK135" s="22"/>
      <c r="AL135" s="22"/>
      <c r="AM135" s="25"/>
      <c r="AN135" s="25"/>
    </row>
    <row r="136">
      <c r="A136" s="21" t="s">
        <v>573</v>
      </c>
      <c r="B136" s="22" t="s">
        <v>574</v>
      </c>
      <c r="C136" s="22" t="s">
        <v>273</v>
      </c>
      <c r="D136" s="26">
        <v>45998.0</v>
      </c>
      <c r="E136" s="22" t="s">
        <v>187</v>
      </c>
      <c r="F136" s="22" t="s">
        <v>440</v>
      </c>
      <c r="G136" s="22" t="s">
        <v>575</v>
      </c>
      <c r="H136" s="22" t="s">
        <v>573</v>
      </c>
      <c r="I136" s="22">
        <v>1.0419558547779E13</v>
      </c>
      <c r="J136" s="22" t="s">
        <v>576</v>
      </c>
      <c r="K136" s="24"/>
      <c r="L136" s="22" t="s">
        <v>577</v>
      </c>
      <c r="M136" s="22">
        <v>1.0</v>
      </c>
      <c r="N136" s="22" t="s">
        <v>444</v>
      </c>
      <c r="O136" s="22" t="s">
        <v>445</v>
      </c>
      <c r="P136" s="24"/>
      <c r="Q136" s="22" t="s">
        <v>90</v>
      </c>
      <c r="R136" s="22">
        <v>3.2658199052611E13</v>
      </c>
      <c r="S136" s="24"/>
      <c r="T136" s="24"/>
      <c r="U136" s="24"/>
      <c r="V136" s="22" t="s">
        <v>55</v>
      </c>
      <c r="W136" s="24"/>
      <c r="X136" s="24"/>
      <c r="Y136" s="22"/>
      <c r="Z136" s="22"/>
      <c r="AA136" s="24"/>
      <c r="AB136" s="24"/>
      <c r="AC136" s="22"/>
      <c r="AD136" s="22"/>
      <c r="AE136" s="24"/>
      <c r="AF136" s="24"/>
      <c r="AG136" s="22"/>
      <c r="AH136" s="22"/>
      <c r="AI136" s="24"/>
      <c r="AJ136" s="25"/>
      <c r="AK136" s="22"/>
      <c r="AL136" s="22"/>
      <c r="AM136" s="25"/>
      <c r="AN136" s="25"/>
    </row>
    <row r="137">
      <c r="A137" s="21" t="s">
        <v>347</v>
      </c>
      <c r="B137" s="22" t="s">
        <v>578</v>
      </c>
      <c r="C137" s="22" t="s">
        <v>82</v>
      </c>
      <c r="D137" s="26">
        <v>45997.0</v>
      </c>
      <c r="E137" s="22" t="s">
        <v>187</v>
      </c>
      <c r="F137" s="22" t="s">
        <v>278</v>
      </c>
      <c r="G137" s="22" t="s">
        <v>579</v>
      </c>
      <c r="H137" s="22" t="s">
        <v>347</v>
      </c>
      <c r="I137" s="22">
        <v>1.0419608977731E13</v>
      </c>
      <c r="J137" s="22" t="s">
        <v>568</v>
      </c>
      <c r="K137" s="24"/>
      <c r="L137" s="22" t="s">
        <v>350</v>
      </c>
      <c r="M137" s="22">
        <v>1.0</v>
      </c>
      <c r="N137" s="22" t="s">
        <v>351</v>
      </c>
      <c r="O137" s="22" t="s">
        <v>352</v>
      </c>
      <c r="P137" s="24"/>
      <c r="Q137" s="22" t="s">
        <v>90</v>
      </c>
      <c r="R137" s="22">
        <v>3.2658306957635E13</v>
      </c>
      <c r="S137" s="24"/>
      <c r="T137" s="24"/>
      <c r="U137" s="24"/>
      <c r="V137" s="22" t="s">
        <v>127</v>
      </c>
      <c r="W137" s="24"/>
      <c r="X137" s="24"/>
      <c r="Y137" s="22"/>
      <c r="Z137" s="22"/>
      <c r="AA137" s="24"/>
      <c r="AB137" s="24"/>
      <c r="AC137" s="22"/>
      <c r="AD137" s="22"/>
      <c r="AE137" s="24"/>
      <c r="AF137" s="24"/>
      <c r="AG137" s="22"/>
      <c r="AH137" s="22"/>
      <c r="AI137" s="24"/>
      <c r="AJ137" s="25"/>
      <c r="AK137" s="22"/>
      <c r="AL137" s="22"/>
      <c r="AM137" s="25"/>
      <c r="AN137" s="25"/>
    </row>
    <row r="138">
      <c r="A138" s="21" t="s">
        <v>580</v>
      </c>
      <c r="B138" s="22" t="s">
        <v>434</v>
      </c>
      <c r="C138" s="22" t="s">
        <v>273</v>
      </c>
      <c r="D138" s="26">
        <v>45998.0</v>
      </c>
      <c r="E138" s="22" t="s">
        <v>134</v>
      </c>
      <c r="F138" s="22" t="s">
        <v>303</v>
      </c>
      <c r="G138" s="22" t="s">
        <v>581</v>
      </c>
      <c r="H138" s="22" t="s">
        <v>580</v>
      </c>
      <c r="I138" s="22">
        <v>1.0421852012867E13</v>
      </c>
      <c r="J138" s="22" t="s">
        <v>582</v>
      </c>
      <c r="K138" s="24"/>
      <c r="L138" s="22" t="s">
        <v>583</v>
      </c>
      <c r="M138" s="22">
        <v>1.0</v>
      </c>
      <c r="N138" s="22" t="s">
        <v>468</v>
      </c>
      <c r="O138" s="22" t="s">
        <v>469</v>
      </c>
      <c r="P138" s="24"/>
      <c r="Q138" s="22" t="s">
        <v>90</v>
      </c>
      <c r="R138" s="22">
        <v>3.2662596256067E13</v>
      </c>
      <c r="S138" s="24"/>
      <c r="T138" s="24"/>
      <c r="U138" s="24"/>
      <c r="V138" s="22" t="s">
        <v>175</v>
      </c>
      <c r="W138" s="24"/>
      <c r="X138" s="24"/>
      <c r="Y138" s="22"/>
      <c r="Z138" s="22"/>
      <c r="AA138" s="24"/>
      <c r="AB138" s="24"/>
      <c r="AC138" s="22"/>
      <c r="AD138" s="22"/>
      <c r="AE138" s="24"/>
      <c r="AF138" s="24"/>
      <c r="AG138" s="22"/>
      <c r="AH138" s="22"/>
      <c r="AI138" s="24"/>
      <c r="AJ138" s="25"/>
      <c r="AK138" s="22"/>
      <c r="AL138" s="22"/>
      <c r="AM138" s="25"/>
      <c r="AN138" s="25"/>
    </row>
    <row r="139">
      <c r="A139" s="21" t="s">
        <v>584</v>
      </c>
      <c r="B139" s="22" t="s">
        <v>512</v>
      </c>
      <c r="C139" s="22" t="s">
        <v>82</v>
      </c>
      <c r="D139" s="26">
        <v>45997.0</v>
      </c>
      <c r="E139" s="22" t="s">
        <v>153</v>
      </c>
      <c r="F139" s="22" t="s">
        <v>377</v>
      </c>
      <c r="G139" s="22" t="s">
        <v>585</v>
      </c>
      <c r="H139" s="22" t="s">
        <v>584</v>
      </c>
      <c r="I139" s="22">
        <v>1.0421970075971E13</v>
      </c>
      <c r="J139" s="22" t="s">
        <v>411</v>
      </c>
      <c r="K139" s="24"/>
      <c r="L139" s="22" t="s">
        <v>586</v>
      </c>
      <c r="M139" s="22">
        <v>1.0</v>
      </c>
      <c r="N139" s="22" t="s">
        <v>413</v>
      </c>
      <c r="O139" s="22" t="s">
        <v>414</v>
      </c>
      <c r="P139" s="24"/>
      <c r="Q139" s="22" t="s">
        <v>90</v>
      </c>
      <c r="R139" s="22">
        <v>3.2662864396611E13</v>
      </c>
      <c r="S139" s="24"/>
      <c r="T139" s="24"/>
      <c r="U139" s="24"/>
      <c r="V139" s="22" t="s">
        <v>105</v>
      </c>
      <c r="W139" s="24"/>
      <c r="X139" s="24"/>
      <c r="Y139" s="22"/>
      <c r="Z139" s="22"/>
      <c r="AA139" s="24"/>
      <c r="AB139" s="24"/>
      <c r="AC139" s="22"/>
      <c r="AD139" s="22"/>
      <c r="AE139" s="24"/>
      <c r="AF139" s="24"/>
      <c r="AG139" s="22"/>
      <c r="AH139" s="22"/>
      <c r="AI139" s="24"/>
      <c r="AJ139" s="25"/>
      <c r="AK139" s="22"/>
      <c r="AL139" s="22"/>
      <c r="AM139" s="25"/>
      <c r="AN139" s="25"/>
    </row>
    <row r="140">
      <c r="A140" s="21" t="s">
        <v>538</v>
      </c>
      <c r="B140" s="22" t="s">
        <v>587</v>
      </c>
      <c r="C140" s="22" t="s">
        <v>273</v>
      </c>
      <c r="D140" s="26">
        <v>45998.0</v>
      </c>
      <c r="E140" s="22" t="s">
        <v>153</v>
      </c>
      <c r="F140" s="22" t="s">
        <v>369</v>
      </c>
      <c r="G140" s="22" t="s">
        <v>588</v>
      </c>
      <c r="H140" s="22" t="s">
        <v>538</v>
      </c>
      <c r="I140" s="22">
        <v>1.0422005104963E13</v>
      </c>
      <c r="J140" s="22" t="s">
        <v>589</v>
      </c>
      <c r="K140" s="24"/>
      <c r="L140" s="22" t="s">
        <v>542</v>
      </c>
      <c r="M140" s="22">
        <v>1.0</v>
      </c>
      <c r="N140" s="22" t="s">
        <v>373</v>
      </c>
      <c r="O140" s="22" t="s">
        <v>374</v>
      </c>
      <c r="P140" s="24"/>
      <c r="Q140" s="22" t="s">
        <v>90</v>
      </c>
      <c r="R140" s="22">
        <v>3.2662942253379E13</v>
      </c>
      <c r="S140" s="24"/>
      <c r="T140" s="24"/>
      <c r="U140" s="24"/>
      <c r="V140" s="22" t="s">
        <v>91</v>
      </c>
      <c r="W140" s="24"/>
      <c r="X140" s="24"/>
      <c r="Y140" s="22"/>
      <c r="Z140" s="22"/>
      <c r="AA140" s="24"/>
      <c r="AB140" s="24"/>
      <c r="AC140" s="22"/>
      <c r="AD140" s="22"/>
      <c r="AE140" s="24"/>
      <c r="AF140" s="24"/>
      <c r="AG140" s="22"/>
      <c r="AH140" s="22"/>
      <c r="AI140" s="24"/>
      <c r="AJ140" s="25"/>
      <c r="AK140" s="22"/>
      <c r="AL140" s="22"/>
      <c r="AM140" s="25"/>
      <c r="AN140" s="25"/>
    </row>
    <row r="141">
      <c r="A141" s="21" t="s">
        <v>185</v>
      </c>
      <c r="B141" s="22" t="s">
        <v>393</v>
      </c>
      <c r="C141" s="22" t="s">
        <v>82</v>
      </c>
      <c r="D141" s="26">
        <v>45997.0</v>
      </c>
      <c r="E141" s="22" t="s">
        <v>187</v>
      </c>
      <c r="F141" s="22" t="s">
        <v>111</v>
      </c>
      <c r="G141" s="22" t="s">
        <v>590</v>
      </c>
      <c r="H141" s="22" t="s">
        <v>185</v>
      </c>
      <c r="I141" s="22">
        <v>1.0422017098051E13</v>
      </c>
      <c r="J141" s="22" t="s">
        <v>395</v>
      </c>
      <c r="K141" s="24"/>
      <c r="L141" s="22" t="s">
        <v>190</v>
      </c>
      <c r="M141" s="22">
        <v>1.0</v>
      </c>
      <c r="N141" s="22" t="s">
        <v>115</v>
      </c>
      <c r="O141" s="22" t="s">
        <v>116</v>
      </c>
      <c r="P141" s="24"/>
      <c r="Q141" s="22" t="s">
        <v>90</v>
      </c>
      <c r="R141" s="22">
        <v>3.2662967746883E13</v>
      </c>
      <c r="S141" s="24"/>
      <c r="T141" s="24"/>
      <c r="U141" s="24"/>
      <c r="V141" s="22" t="s">
        <v>95</v>
      </c>
      <c r="W141" s="24"/>
      <c r="X141" s="24"/>
      <c r="Y141" s="22"/>
      <c r="Z141" s="22"/>
      <c r="AA141" s="24"/>
      <c r="AB141" s="24"/>
      <c r="AC141" s="22"/>
      <c r="AD141" s="22"/>
      <c r="AE141" s="24"/>
      <c r="AF141" s="24"/>
      <c r="AG141" s="22"/>
      <c r="AH141" s="22"/>
      <c r="AI141" s="24"/>
      <c r="AJ141" s="25"/>
      <c r="AK141" s="22"/>
      <c r="AL141" s="22"/>
      <c r="AM141" s="25"/>
      <c r="AN141" s="25"/>
    </row>
    <row r="142">
      <c r="A142" s="21" t="s">
        <v>92</v>
      </c>
      <c r="B142" s="22" t="s">
        <v>297</v>
      </c>
      <c r="C142" s="22" t="s">
        <v>82</v>
      </c>
      <c r="D142" s="26">
        <v>45997.0</v>
      </c>
      <c r="E142" s="22"/>
      <c r="F142" s="22" t="s">
        <v>83</v>
      </c>
      <c r="G142" s="22" t="s">
        <v>591</v>
      </c>
      <c r="H142" s="22" t="s">
        <v>92</v>
      </c>
      <c r="I142" s="22">
        <v>1.0422147907907E13</v>
      </c>
      <c r="J142" s="22" t="s">
        <v>397</v>
      </c>
      <c r="K142" s="24"/>
      <c r="L142" s="22" t="s">
        <v>94</v>
      </c>
      <c r="M142" s="22">
        <v>1.0</v>
      </c>
      <c r="N142" s="22" t="s">
        <v>87</v>
      </c>
      <c r="O142" s="22" t="s">
        <v>88</v>
      </c>
      <c r="P142" s="24"/>
      <c r="Q142" s="22" t="s">
        <v>90</v>
      </c>
      <c r="R142" s="22">
        <v>3.2663253221699E13</v>
      </c>
      <c r="S142" s="24"/>
      <c r="T142" s="24"/>
      <c r="U142" s="24"/>
      <c r="V142" s="22" t="s">
        <v>95</v>
      </c>
      <c r="W142" s="24"/>
      <c r="X142" s="24"/>
      <c r="Y142" s="22"/>
      <c r="Z142" s="22"/>
      <c r="AA142" s="24"/>
      <c r="AB142" s="24"/>
      <c r="AC142" s="22"/>
      <c r="AD142" s="22"/>
      <c r="AE142" s="24"/>
      <c r="AF142" s="24"/>
      <c r="AG142" s="22"/>
      <c r="AH142" s="22"/>
      <c r="AI142" s="24"/>
      <c r="AJ142" s="25"/>
      <c r="AK142" s="22"/>
      <c r="AL142" s="22"/>
      <c r="AM142" s="25"/>
      <c r="AN142" s="25"/>
    </row>
    <row r="143">
      <c r="A143" s="21" t="s">
        <v>592</v>
      </c>
      <c r="B143" s="22" t="s">
        <v>387</v>
      </c>
      <c r="C143" s="22" t="s">
        <v>82</v>
      </c>
      <c r="D143" s="26">
        <v>45997.0</v>
      </c>
      <c r="E143" s="22" t="s">
        <v>149</v>
      </c>
      <c r="F143" s="22" t="s">
        <v>311</v>
      </c>
      <c r="G143" s="22" t="s">
        <v>593</v>
      </c>
      <c r="H143" s="22" t="s">
        <v>592</v>
      </c>
      <c r="I143" s="22">
        <v>1.0422155149635E13</v>
      </c>
      <c r="J143" s="22" t="s">
        <v>486</v>
      </c>
      <c r="K143" s="24"/>
      <c r="L143" s="22" t="s">
        <v>594</v>
      </c>
      <c r="M143" s="22">
        <v>1.0</v>
      </c>
      <c r="N143" s="22" t="s">
        <v>391</v>
      </c>
      <c r="O143" s="22" t="s">
        <v>392</v>
      </c>
      <c r="P143" s="24"/>
      <c r="Q143" s="22" t="s">
        <v>90</v>
      </c>
      <c r="R143" s="22">
        <v>3.2663268622659E13</v>
      </c>
      <c r="S143" s="24"/>
      <c r="T143" s="24"/>
      <c r="U143" s="24"/>
      <c r="V143" s="22" t="s">
        <v>54</v>
      </c>
      <c r="W143" s="24"/>
      <c r="X143" s="24"/>
      <c r="Y143" s="22"/>
      <c r="Z143" s="22"/>
      <c r="AA143" s="24"/>
      <c r="AB143" s="24"/>
      <c r="AC143" s="22"/>
      <c r="AD143" s="22"/>
      <c r="AE143" s="24"/>
      <c r="AF143" s="24"/>
      <c r="AG143" s="22"/>
      <c r="AH143" s="22"/>
      <c r="AI143" s="24"/>
      <c r="AJ143" s="25"/>
      <c r="AK143" s="22"/>
      <c r="AL143" s="22"/>
      <c r="AM143" s="25"/>
      <c r="AN143" s="25"/>
    </row>
    <row r="144">
      <c r="A144" s="21" t="s">
        <v>595</v>
      </c>
      <c r="B144" s="22" t="s">
        <v>596</v>
      </c>
      <c r="C144" s="22" t="s">
        <v>273</v>
      </c>
      <c r="D144" s="26">
        <v>45998.0</v>
      </c>
      <c r="E144" s="22" t="s">
        <v>266</v>
      </c>
      <c r="F144" s="22" t="s">
        <v>369</v>
      </c>
      <c r="G144" s="22" t="s">
        <v>597</v>
      </c>
      <c r="H144" s="22" t="s">
        <v>595</v>
      </c>
      <c r="I144" s="22">
        <v>1.0413902266691E13</v>
      </c>
      <c r="J144" s="22" t="s">
        <v>598</v>
      </c>
      <c r="K144" s="24"/>
      <c r="L144" s="22" t="s">
        <v>599</v>
      </c>
      <c r="M144" s="22">
        <v>1.0</v>
      </c>
      <c r="N144" s="22" t="s">
        <v>600</v>
      </c>
      <c r="O144" s="22" t="s">
        <v>601</v>
      </c>
      <c r="P144" s="24"/>
      <c r="Q144" s="22" t="s">
        <v>90</v>
      </c>
      <c r="R144" s="22">
        <v>3.2644007756099E13</v>
      </c>
      <c r="S144" s="24"/>
      <c r="T144" s="24"/>
      <c r="U144" s="24"/>
      <c r="V144" s="22" t="s">
        <v>127</v>
      </c>
      <c r="W144" s="24"/>
      <c r="X144" s="24"/>
      <c r="Y144" s="22"/>
      <c r="Z144" s="22"/>
      <c r="AA144" s="24"/>
      <c r="AB144" s="24"/>
      <c r="AC144" s="22"/>
      <c r="AD144" s="22"/>
      <c r="AE144" s="24"/>
      <c r="AF144" s="24"/>
      <c r="AG144" s="22"/>
      <c r="AH144" s="22"/>
      <c r="AI144" s="24"/>
      <c r="AJ144" s="25"/>
      <c r="AK144" s="22"/>
      <c r="AL144" s="22"/>
      <c r="AM144" s="25"/>
      <c r="AN144" s="25"/>
    </row>
    <row r="145">
      <c r="A145" s="21" t="s">
        <v>602</v>
      </c>
      <c r="B145" s="22" t="s">
        <v>603</v>
      </c>
      <c r="C145" s="22" t="s">
        <v>287</v>
      </c>
      <c r="D145" s="26">
        <v>45994.0</v>
      </c>
      <c r="E145" s="22" t="s">
        <v>604</v>
      </c>
      <c r="F145" s="22" t="s">
        <v>605</v>
      </c>
      <c r="G145" s="22" t="s">
        <v>606</v>
      </c>
      <c r="H145" s="22" t="s">
        <v>602</v>
      </c>
      <c r="I145" s="22">
        <v>1.0413969441091E13</v>
      </c>
      <c r="J145" s="22" t="s">
        <v>607</v>
      </c>
      <c r="K145" s="24"/>
      <c r="L145" s="22" t="s">
        <v>608</v>
      </c>
      <c r="M145" s="22">
        <v>1.0</v>
      </c>
      <c r="N145" s="22" t="s">
        <v>609</v>
      </c>
      <c r="O145" s="22" t="s">
        <v>610</v>
      </c>
      <c r="P145" s="24"/>
      <c r="Q145" s="22" t="s">
        <v>90</v>
      </c>
      <c r="R145" s="22">
        <v>3.2644142498115E13</v>
      </c>
      <c r="S145" s="24"/>
      <c r="T145" s="24"/>
      <c r="U145" s="24"/>
      <c r="V145" s="22" t="s">
        <v>54</v>
      </c>
      <c r="W145" s="24"/>
      <c r="X145" s="24"/>
      <c r="Y145" s="22"/>
      <c r="Z145" s="22"/>
      <c r="AA145" s="24"/>
      <c r="AB145" s="24"/>
      <c r="AC145" s="22"/>
      <c r="AD145" s="22"/>
      <c r="AE145" s="24"/>
      <c r="AF145" s="24"/>
      <c r="AG145" s="22"/>
      <c r="AH145" s="22"/>
      <c r="AI145" s="24"/>
      <c r="AJ145" s="25"/>
      <c r="AK145" s="22"/>
      <c r="AL145" s="22"/>
      <c r="AM145" s="25"/>
      <c r="AN145" s="25"/>
    </row>
    <row r="146">
      <c r="A146" s="21" t="s">
        <v>611</v>
      </c>
      <c r="B146" s="22" t="s">
        <v>424</v>
      </c>
      <c r="C146" s="22" t="s">
        <v>273</v>
      </c>
      <c r="D146" s="26">
        <v>45998.0</v>
      </c>
      <c r="E146" s="22" t="s">
        <v>134</v>
      </c>
      <c r="F146" s="22" t="s">
        <v>369</v>
      </c>
      <c r="G146" s="22" t="s">
        <v>612</v>
      </c>
      <c r="H146" s="22" t="s">
        <v>611</v>
      </c>
      <c r="I146" s="22">
        <v>1.0419456704835E13</v>
      </c>
      <c r="J146" s="22" t="s">
        <v>426</v>
      </c>
      <c r="K146" s="24"/>
      <c r="L146" s="22" t="s">
        <v>613</v>
      </c>
      <c r="M146" s="22">
        <v>1.0</v>
      </c>
      <c r="N146" s="22" t="s">
        <v>600</v>
      </c>
      <c r="O146" s="22" t="s">
        <v>601</v>
      </c>
      <c r="P146" s="24"/>
      <c r="Q146" s="22" t="s">
        <v>90</v>
      </c>
      <c r="R146" s="22">
        <v>3.2657972199747E13</v>
      </c>
      <c r="S146" s="24"/>
      <c r="T146" s="24"/>
      <c r="U146" s="24"/>
      <c r="V146" s="22" t="s">
        <v>105</v>
      </c>
      <c r="W146" s="24"/>
      <c r="X146" s="24"/>
      <c r="Y146" s="22"/>
      <c r="Z146" s="22"/>
      <c r="AA146" s="24"/>
      <c r="AB146" s="24"/>
      <c r="AC146" s="22"/>
      <c r="AD146" s="22"/>
      <c r="AE146" s="24"/>
      <c r="AF146" s="24"/>
      <c r="AG146" s="22"/>
      <c r="AH146" s="22"/>
      <c r="AI146" s="24"/>
      <c r="AJ146" s="25"/>
      <c r="AK146" s="22"/>
      <c r="AL146" s="22"/>
      <c r="AM146" s="25"/>
      <c r="AN146" s="25"/>
    </row>
    <row r="147">
      <c r="A147" s="21" t="s">
        <v>92</v>
      </c>
      <c r="B147" s="22" t="s">
        <v>614</v>
      </c>
      <c r="C147" s="22" t="s">
        <v>82</v>
      </c>
      <c r="D147" s="26">
        <v>45998.0</v>
      </c>
      <c r="E147" s="22"/>
      <c r="F147" s="22" t="s">
        <v>83</v>
      </c>
      <c r="G147" s="22" t="s">
        <v>615</v>
      </c>
      <c r="H147" s="22" t="s">
        <v>92</v>
      </c>
      <c r="I147" s="22">
        <v>1.0422635692355E13</v>
      </c>
      <c r="J147" s="22" t="s">
        <v>101</v>
      </c>
      <c r="K147" s="24"/>
      <c r="L147" s="22" t="s">
        <v>94</v>
      </c>
      <c r="M147" s="22">
        <v>1.0</v>
      </c>
      <c r="N147" s="22" t="s">
        <v>87</v>
      </c>
      <c r="O147" s="22" t="s">
        <v>88</v>
      </c>
      <c r="P147" s="24"/>
      <c r="Q147" s="22" t="s">
        <v>90</v>
      </c>
      <c r="R147" s="22">
        <v>3.2664284954947E13</v>
      </c>
      <c r="S147" s="24"/>
      <c r="T147" s="24"/>
      <c r="U147" s="24"/>
      <c r="V147" s="22" t="s">
        <v>95</v>
      </c>
      <c r="W147" s="24"/>
      <c r="X147" s="24"/>
      <c r="Y147" s="22"/>
      <c r="Z147" s="22"/>
      <c r="AA147" s="24"/>
      <c r="AB147" s="24"/>
      <c r="AC147" s="22"/>
      <c r="AD147" s="22"/>
      <c r="AE147" s="24"/>
      <c r="AF147" s="24"/>
      <c r="AG147" s="22"/>
      <c r="AH147" s="22"/>
      <c r="AI147" s="24"/>
      <c r="AJ147" s="25"/>
      <c r="AK147" s="22"/>
      <c r="AL147" s="22"/>
      <c r="AM147" s="25"/>
      <c r="AN147" s="25"/>
    </row>
    <row r="148">
      <c r="A148" s="21" t="s">
        <v>96</v>
      </c>
      <c r="B148" s="22" t="s">
        <v>428</v>
      </c>
      <c r="C148" s="22" t="s">
        <v>202</v>
      </c>
      <c r="D148" s="26">
        <v>45996.0</v>
      </c>
      <c r="E148" s="22"/>
      <c r="F148" s="22" t="s">
        <v>83</v>
      </c>
      <c r="G148" s="22" t="s">
        <v>616</v>
      </c>
      <c r="H148" s="22" t="s">
        <v>96</v>
      </c>
      <c r="I148" s="22">
        <v>1.0422963208515E13</v>
      </c>
      <c r="J148" s="22" t="s">
        <v>430</v>
      </c>
      <c r="K148" s="24"/>
      <c r="L148" s="22" t="s">
        <v>98</v>
      </c>
      <c r="M148" s="22">
        <v>1.0</v>
      </c>
      <c r="N148" s="22" t="s">
        <v>87</v>
      </c>
      <c r="O148" s="22" t="s">
        <v>88</v>
      </c>
      <c r="P148" s="24"/>
      <c r="Q148" s="22" t="s">
        <v>90</v>
      </c>
      <c r="R148" s="22">
        <v>3.2664972067139E13</v>
      </c>
      <c r="S148" s="24"/>
      <c r="T148" s="24"/>
      <c r="U148" s="24"/>
      <c r="V148" s="22" t="s">
        <v>55</v>
      </c>
      <c r="W148" s="24"/>
      <c r="X148" s="24"/>
      <c r="Y148" s="22"/>
      <c r="Z148" s="22"/>
      <c r="AA148" s="24"/>
      <c r="AB148" s="24"/>
      <c r="AC148" s="22"/>
      <c r="AD148" s="22"/>
      <c r="AE148" s="24"/>
      <c r="AF148" s="24"/>
      <c r="AG148" s="22"/>
      <c r="AH148" s="22"/>
      <c r="AI148" s="24"/>
      <c r="AJ148" s="25"/>
      <c r="AK148" s="22"/>
      <c r="AL148" s="22"/>
      <c r="AM148" s="25"/>
      <c r="AN148" s="25"/>
    </row>
    <row r="149">
      <c r="A149" s="21" t="s">
        <v>99</v>
      </c>
      <c r="B149" s="22" t="s">
        <v>272</v>
      </c>
      <c r="C149" s="22" t="s">
        <v>273</v>
      </c>
      <c r="D149" s="26">
        <v>45998.0</v>
      </c>
      <c r="E149" s="22"/>
      <c r="F149" s="22" t="s">
        <v>83</v>
      </c>
      <c r="G149" s="22" t="s">
        <v>617</v>
      </c>
      <c r="H149" s="22" t="s">
        <v>99</v>
      </c>
      <c r="I149" s="22">
        <v>1.0422983819587E13</v>
      </c>
      <c r="J149" s="22" t="s">
        <v>618</v>
      </c>
      <c r="K149" s="24"/>
      <c r="L149" s="22" t="s">
        <v>102</v>
      </c>
      <c r="M149" s="22">
        <v>1.0</v>
      </c>
      <c r="N149" s="22" t="s">
        <v>103</v>
      </c>
      <c r="O149" s="22" t="s">
        <v>104</v>
      </c>
      <c r="P149" s="24"/>
      <c r="Q149" s="22" t="s">
        <v>90</v>
      </c>
      <c r="R149" s="22">
        <v>3.2665013485891E13</v>
      </c>
      <c r="S149" s="24"/>
      <c r="T149" s="24"/>
      <c r="U149" s="24"/>
      <c r="V149" s="22" t="s">
        <v>105</v>
      </c>
      <c r="W149" s="24"/>
      <c r="X149" s="24"/>
      <c r="Y149" s="22"/>
      <c r="Z149" s="22"/>
      <c r="AA149" s="24"/>
      <c r="AB149" s="24"/>
      <c r="AC149" s="22"/>
      <c r="AD149" s="22"/>
      <c r="AE149" s="24"/>
      <c r="AF149" s="24"/>
      <c r="AG149" s="22"/>
      <c r="AH149" s="22"/>
      <c r="AI149" s="24"/>
      <c r="AJ149" s="25"/>
      <c r="AK149" s="22"/>
      <c r="AL149" s="22"/>
      <c r="AM149" s="25"/>
      <c r="AN149" s="25"/>
    </row>
    <row r="150">
      <c r="A150" s="21" t="s">
        <v>80</v>
      </c>
      <c r="B150" s="22" t="s">
        <v>297</v>
      </c>
      <c r="C150" s="22" t="s">
        <v>82</v>
      </c>
      <c r="D150" s="26">
        <v>45997.0</v>
      </c>
      <c r="E150" s="22"/>
      <c r="F150" s="22" t="s">
        <v>83</v>
      </c>
      <c r="G150" s="22" t="s">
        <v>619</v>
      </c>
      <c r="H150" s="22" t="s">
        <v>80</v>
      </c>
      <c r="I150" s="22">
        <v>1.0423032611139E13</v>
      </c>
      <c r="J150" s="22" t="s">
        <v>397</v>
      </c>
      <c r="K150" s="24"/>
      <c r="L150" s="22" t="s">
        <v>86</v>
      </c>
      <c r="M150" s="22">
        <v>1.0</v>
      </c>
      <c r="N150" s="22" t="s">
        <v>87</v>
      </c>
      <c r="O150" s="22" t="s">
        <v>88</v>
      </c>
      <c r="P150" s="24"/>
      <c r="Q150" s="22" t="s">
        <v>90</v>
      </c>
      <c r="R150" s="22">
        <v>3.2665116803395E13</v>
      </c>
      <c r="S150" s="24"/>
      <c r="T150" s="24"/>
      <c r="U150" s="24"/>
      <c r="V150" s="22" t="s">
        <v>91</v>
      </c>
      <c r="W150" s="24"/>
      <c r="X150" s="24"/>
      <c r="Y150" s="22"/>
      <c r="Z150" s="22"/>
      <c r="AA150" s="24"/>
      <c r="AB150" s="24"/>
      <c r="AC150" s="22"/>
      <c r="AD150" s="22"/>
      <c r="AE150" s="24"/>
      <c r="AF150" s="24"/>
      <c r="AG150" s="22"/>
      <c r="AH150" s="22"/>
      <c r="AI150" s="24"/>
      <c r="AJ150" s="25"/>
      <c r="AK150" s="22"/>
      <c r="AL150" s="22"/>
      <c r="AM150" s="25"/>
      <c r="AN150" s="25"/>
    </row>
    <row r="151">
      <c r="A151" s="21" t="s">
        <v>620</v>
      </c>
      <c r="B151" s="22" t="s">
        <v>621</v>
      </c>
      <c r="C151" s="22" t="s">
        <v>273</v>
      </c>
      <c r="D151" s="26">
        <v>45998.0</v>
      </c>
      <c r="E151" s="22" t="s">
        <v>622</v>
      </c>
      <c r="F151" s="22" t="s">
        <v>623</v>
      </c>
      <c r="G151" s="22" t="s">
        <v>624</v>
      </c>
      <c r="H151" s="22" t="s">
        <v>620</v>
      </c>
      <c r="I151" s="22">
        <v>1.0422208725315E13</v>
      </c>
      <c r="J151" s="22" t="s">
        <v>625</v>
      </c>
      <c r="K151" s="24"/>
      <c r="L151" s="22" t="s">
        <v>626</v>
      </c>
      <c r="M151" s="22">
        <v>1.0</v>
      </c>
      <c r="N151" s="22" t="s">
        <v>627</v>
      </c>
      <c r="O151" s="22" t="s">
        <v>628</v>
      </c>
      <c r="P151" s="24"/>
      <c r="Q151" s="22" t="s">
        <v>90</v>
      </c>
      <c r="R151" s="22">
        <v>3.2663386095939E13</v>
      </c>
      <c r="S151" s="24"/>
      <c r="T151" s="24"/>
      <c r="U151" s="24"/>
      <c r="V151" s="22" t="s">
        <v>54</v>
      </c>
      <c r="W151" s="24"/>
      <c r="X151" s="24"/>
      <c r="Y151" s="22"/>
      <c r="Z151" s="22"/>
      <c r="AA151" s="24"/>
      <c r="AB151" s="24"/>
      <c r="AC151" s="22"/>
      <c r="AD151" s="22"/>
      <c r="AE151" s="24"/>
      <c r="AF151" s="24"/>
      <c r="AG151" s="22"/>
      <c r="AH151" s="22"/>
      <c r="AI151" s="24"/>
      <c r="AJ151" s="25"/>
      <c r="AK151" s="22"/>
      <c r="AL151" s="22"/>
      <c r="AM151" s="25"/>
      <c r="AN151" s="25"/>
    </row>
    <row r="152">
      <c r="A152" s="21" t="s">
        <v>158</v>
      </c>
      <c r="B152" s="22" t="s">
        <v>629</v>
      </c>
      <c r="C152" s="22" t="s">
        <v>82</v>
      </c>
      <c r="D152" s="26">
        <v>45997.0</v>
      </c>
      <c r="E152" s="22" t="s">
        <v>230</v>
      </c>
      <c r="F152" s="22" t="s">
        <v>111</v>
      </c>
      <c r="G152" s="22" t="s">
        <v>630</v>
      </c>
      <c r="H152" s="22" t="s">
        <v>158</v>
      </c>
      <c r="I152" s="22">
        <v>1.0422461661507E13</v>
      </c>
      <c r="J152" s="22" t="s">
        <v>631</v>
      </c>
      <c r="K152" s="24"/>
      <c r="L152" s="22" t="s">
        <v>163</v>
      </c>
      <c r="M152" s="22">
        <v>1.0</v>
      </c>
      <c r="N152" s="22" t="s">
        <v>164</v>
      </c>
      <c r="O152" s="22" t="s">
        <v>165</v>
      </c>
      <c r="P152" s="24"/>
      <c r="Q152" s="22" t="s">
        <v>90</v>
      </c>
      <c r="R152" s="22">
        <v>3.2663926604099E13</v>
      </c>
      <c r="S152" s="24"/>
      <c r="T152" s="24"/>
      <c r="U152" s="24"/>
      <c r="V152" s="22" t="s">
        <v>127</v>
      </c>
      <c r="W152" s="24"/>
      <c r="X152" s="24"/>
      <c r="Y152" s="22"/>
      <c r="Z152" s="22"/>
      <c r="AA152" s="24"/>
      <c r="AB152" s="24"/>
      <c r="AC152" s="22"/>
      <c r="AD152" s="22"/>
      <c r="AE152" s="24"/>
      <c r="AF152" s="24"/>
      <c r="AG152" s="22"/>
      <c r="AH152" s="22"/>
      <c r="AI152" s="24"/>
      <c r="AJ152" s="25"/>
      <c r="AK152" s="22"/>
      <c r="AL152" s="22"/>
      <c r="AM152" s="25"/>
      <c r="AN152" s="25"/>
    </row>
    <row r="153">
      <c r="A153" s="21" t="s">
        <v>632</v>
      </c>
      <c r="B153" s="22" t="s">
        <v>633</v>
      </c>
      <c r="C153" s="22" t="s">
        <v>82</v>
      </c>
      <c r="D153" s="26">
        <v>45997.0</v>
      </c>
      <c r="E153" s="22" t="s">
        <v>168</v>
      </c>
      <c r="F153" s="22" t="s">
        <v>634</v>
      </c>
      <c r="G153" s="22" t="s">
        <v>635</v>
      </c>
      <c r="H153" s="22" t="s">
        <v>632</v>
      </c>
      <c r="I153" s="22">
        <v>1.0422503735619E13</v>
      </c>
      <c r="J153" s="22" t="s">
        <v>636</v>
      </c>
      <c r="K153" s="24"/>
      <c r="L153" s="22" t="s">
        <v>637</v>
      </c>
      <c r="M153" s="22">
        <v>1.0</v>
      </c>
      <c r="N153" s="22" t="s">
        <v>638</v>
      </c>
      <c r="O153" s="22" t="s">
        <v>639</v>
      </c>
      <c r="P153" s="24"/>
      <c r="Q153" s="22" t="s">
        <v>90</v>
      </c>
      <c r="R153" s="22">
        <v>3.2664015110467E13</v>
      </c>
      <c r="S153" s="24"/>
      <c r="T153" s="24"/>
      <c r="U153" s="24"/>
      <c r="V153" s="22" t="s">
        <v>91</v>
      </c>
      <c r="W153" s="24"/>
      <c r="X153" s="24"/>
      <c r="Y153" s="22"/>
      <c r="Z153" s="22"/>
      <c r="AA153" s="24"/>
      <c r="AB153" s="24"/>
      <c r="AC153" s="22"/>
      <c r="AD153" s="22"/>
      <c r="AE153" s="24"/>
      <c r="AF153" s="24"/>
      <c r="AG153" s="22"/>
      <c r="AH153" s="22"/>
      <c r="AI153" s="24"/>
      <c r="AJ153" s="25"/>
      <c r="AK153" s="22"/>
      <c r="AL153" s="22"/>
      <c r="AM153" s="25"/>
      <c r="AN153" s="25"/>
    </row>
    <row r="154">
      <c r="A154" s="21" t="s">
        <v>640</v>
      </c>
      <c r="B154" s="22" t="s">
        <v>355</v>
      </c>
      <c r="C154" s="22" t="s">
        <v>273</v>
      </c>
      <c r="D154" s="23">
        <v>45991.0</v>
      </c>
      <c r="E154" s="22" t="s">
        <v>149</v>
      </c>
      <c r="F154" s="22" t="s">
        <v>356</v>
      </c>
      <c r="G154" s="22" t="s">
        <v>641</v>
      </c>
      <c r="H154" s="22" t="s">
        <v>640</v>
      </c>
      <c r="I154" s="22">
        <v>1.0423140057411E13</v>
      </c>
      <c r="J154" s="22" t="s">
        <v>562</v>
      </c>
      <c r="K154" s="24"/>
      <c r="L154" s="22" t="s">
        <v>642</v>
      </c>
      <c r="M154" s="22">
        <v>1.0</v>
      </c>
      <c r="N154" s="22" t="s">
        <v>360</v>
      </c>
      <c r="O154" s="22" t="s">
        <v>361</v>
      </c>
      <c r="P154" s="24"/>
      <c r="Q154" s="22" t="s">
        <v>90</v>
      </c>
      <c r="R154" s="22">
        <v>3.2665347686723E13</v>
      </c>
      <c r="S154" s="24"/>
      <c r="T154" s="24"/>
      <c r="U154" s="24"/>
      <c r="V154" s="22" t="s">
        <v>95</v>
      </c>
      <c r="W154" s="24"/>
      <c r="X154" s="24"/>
      <c r="Y154" s="22"/>
      <c r="Z154" s="22"/>
      <c r="AA154" s="24"/>
      <c r="AB154" s="24"/>
      <c r="AC154" s="22"/>
      <c r="AD154" s="22"/>
      <c r="AE154" s="24"/>
      <c r="AF154" s="24"/>
      <c r="AG154" s="22"/>
      <c r="AH154" s="22"/>
      <c r="AI154" s="24"/>
      <c r="AJ154" s="25"/>
      <c r="AK154" s="22"/>
      <c r="AL154" s="22"/>
      <c r="AM154" s="25"/>
      <c r="AN154" s="25"/>
    </row>
    <row r="155">
      <c r="A155" s="21" t="s">
        <v>643</v>
      </c>
      <c r="B155" s="22" t="s">
        <v>644</v>
      </c>
      <c r="C155" s="22" t="s">
        <v>287</v>
      </c>
      <c r="D155" s="23">
        <v>46001.0</v>
      </c>
      <c r="E155" s="22" t="s">
        <v>219</v>
      </c>
      <c r="F155" s="22" t="s">
        <v>634</v>
      </c>
      <c r="G155" s="22" t="s">
        <v>645</v>
      </c>
      <c r="H155" s="22" t="s">
        <v>643</v>
      </c>
      <c r="I155" s="22">
        <v>1.0423235510595E13</v>
      </c>
      <c r="J155" s="22" t="s">
        <v>646</v>
      </c>
      <c r="K155" s="24"/>
      <c r="L155" s="22" t="s">
        <v>647</v>
      </c>
      <c r="M155" s="22">
        <v>1.0</v>
      </c>
      <c r="N155" s="22" t="s">
        <v>638</v>
      </c>
      <c r="O155" s="22" t="s">
        <v>639</v>
      </c>
      <c r="P155" s="24"/>
      <c r="Q155" s="22" t="s">
        <v>90</v>
      </c>
      <c r="R155" s="22">
        <v>3.2665568510275E13</v>
      </c>
      <c r="S155" s="24"/>
      <c r="T155" s="24"/>
      <c r="U155" s="24"/>
      <c r="V155" s="22" t="s">
        <v>54</v>
      </c>
      <c r="W155" s="24"/>
      <c r="X155" s="24"/>
      <c r="Y155" s="22"/>
      <c r="Z155" s="22"/>
      <c r="AA155" s="24"/>
      <c r="AB155" s="24"/>
      <c r="AC155" s="22"/>
      <c r="AD155" s="22"/>
      <c r="AE155" s="24"/>
      <c r="AF155" s="24"/>
      <c r="AG155" s="22"/>
      <c r="AH155" s="22"/>
      <c r="AI155" s="24"/>
      <c r="AJ155" s="25"/>
      <c r="AK155" s="22"/>
      <c r="AL155" s="22"/>
      <c r="AM155" s="25"/>
      <c r="AN155" s="25"/>
    </row>
    <row r="156">
      <c r="A156" s="21" t="s">
        <v>550</v>
      </c>
      <c r="B156" s="22" t="s">
        <v>512</v>
      </c>
      <c r="C156" s="22" t="s">
        <v>82</v>
      </c>
      <c r="D156" s="26">
        <v>45997.0</v>
      </c>
      <c r="E156" s="22" t="s">
        <v>153</v>
      </c>
      <c r="F156" s="22" t="s">
        <v>377</v>
      </c>
      <c r="G156" s="22" t="s">
        <v>648</v>
      </c>
      <c r="H156" s="22" t="s">
        <v>550</v>
      </c>
      <c r="I156" s="22">
        <v>1.0423259169091E13</v>
      </c>
      <c r="J156" s="22" t="s">
        <v>514</v>
      </c>
      <c r="K156" s="24"/>
      <c r="L156" s="22" t="s">
        <v>552</v>
      </c>
      <c r="M156" s="22">
        <v>1.0</v>
      </c>
      <c r="N156" s="22" t="s">
        <v>381</v>
      </c>
      <c r="O156" s="22" t="s">
        <v>382</v>
      </c>
      <c r="P156" s="24"/>
      <c r="Q156" s="22" t="s">
        <v>90</v>
      </c>
      <c r="R156" s="22">
        <v>3.2665622774083E13</v>
      </c>
      <c r="S156" s="24"/>
      <c r="T156" s="24"/>
      <c r="U156" s="24"/>
      <c r="V156" s="22" t="s">
        <v>95</v>
      </c>
      <c r="W156" s="24"/>
      <c r="X156" s="24"/>
      <c r="Y156" s="22"/>
      <c r="Z156" s="22"/>
      <c r="AA156" s="24"/>
      <c r="AB156" s="24"/>
      <c r="AC156" s="22"/>
      <c r="AD156" s="22"/>
      <c r="AE156" s="24"/>
      <c r="AF156" s="24"/>
      <c r="AG156" s="22"/>
      <c r="AH156" s="22"/>
      <c r="AI156" s="24"/>
      <c r="AJ156" s="25"/>
      <c r="AK156" s="22"/>
      <c r="AL156" s="22"/>
      <c r="AM156" s="25"/>
      <c r="AN156" s="25"/>
    </row>
    <row r="157">
      <c r="A157" s="21" t="s">
        <v>649</v>
      </c>
      <c r="B157" s="22" t="s">
        <v>318</v>
      </c>
      <c r="C157" s="22" t="s">
        <v>82</v>
      </c>
      <c r="D157" s="26">
        <v>45997.0</v>
      </c>
      <c r="E157" s="22" t="s">
        <v>196</v>
      </c>
      <c r="F157" s="22" t="s">
        <v>319</v>
      </c>
      <c r="G157" s="22" t="s">
        <v>650</v>
      </c>
      <c r="H157" s="22" t="s">
        <v>649</v>
      </c>
      <c r="I157" s="22">
        <v>1.0423296360771E13</v>
      </c>
      <c r="J157" s="22" t="s">
        <v>527</v>
      </c>
      <c r="K157" s="24"/>
      <c r="L157" s="22" t="s">
        <v>651</v>
      </c>
      <c r="M157" s="22">
        <v>1.0</v>
      </c>
      <c r="N157" s="22" t="s">
        <v>323</v>
      </c>
      <c r="O157" s="22" t="s">
        <v>324</v>
      </c>
      <c r="P157" s="24"/>
      <c r="Q157" s="22" t="s">
        <v>90</v>
      </c>
      <c r="R157" s="22">
        <v>3.2665710428483E13</v>
      </c>
      <c r="S157" s="24"/>
      <c r="T157" s="24"/>
      <c r="U157" s="24"/>
      <c r="V157" s="22" t="s">
        <v>91</v>
      </c>
      <c r="W157" s="24"/>
      <c r="X157" s="24"/>
      <c r="Y157" s="22"/>
      <c r="Z157" s="22"/>
      <c r="AA157" s="24"/>
      <c r="AB157" s="24"/>
      <c r="AC157" s="22"/>
      <c r="AD157" s="22"/>
      <c r="AE157" s="24"/>
      <c r="AF157" s="24"/>
      <c r="AG157" s="22"/>
      <c r="AH157" s="22"/>
      <c r="AI157" s="24"/>
      <c r="AJ157" s="25"/>
      <c r="AK157" s="22"/>
      <c r="AL157" s="22"/>
      <c r="AM157" s="25"/>
      <c r="AN157" s="25"/>
    </row>
    <row r="158">
      <c r="A158" s="21" t="s">
        <v>595</v>
      </c>
      <c r="B158" s="22" t="s">
        <v>587</v>
      </c>
      <c r="C158" s="22" t="s">
        <v>273</v>
      </c>
      <c r="D158" s="26">
        <v>45998.0</v>
      </c>
      <c r="E158" s="22" t="s">
        <v>153</v>
      </c>
      <c r="F158" s="22" t="s">
        <v>369</v>
      </c>
      <c r="G158" s="22" t="s">
        <v>652</v>
      </c>
      <c r="H158" s="22" t="s">
        <v>595</v>
      </c>
      <c r="I158" s="22">
        <v>1.0423329194307E13</v>
      </c>
      <c r="J158" s="22" t="s">
        <v>589</v>
      </c>
      <c r="K158" s="24"/>
      <c r="L158" s="22" t="s">
        <v>599</v>
      </c>
      <c r="M158" s="22">
        <v>1.0</v>
      </c>
      <c r="N158" s="22" t="s">
        <v>600</v>
      </c>
      <c r="O158" s="22" t="s">
        <v>601</v>
      </c>
      <c r="P158" s="24"/>
      <c r="Q158" s="22" t="s">
        <v>90</v>
      </c>
      <c r="R158" s="22">
        <v>3.2665780355395E13</v>
      </c>
      <c r="S158" s="24"/>
      <c r="T158" s="24"/>
      <c r="U158" s="24"/>
      <c r="V158" s="22" t="s">
        <v>127</v>
      </c>
      <c r="W158" s="24"/>
      <c r="X158" s="24"/>
      <c r="Y158" s="22"/>
      <c r="Z158" s="22"/>
      <c r="AA158" s="24"/>
      <c r="AB158" s="24"/>
      <c r="AC158" s="22"/>
      <c r="AD158" s="22"/>
      <c r="AE158" s="24"/>
      <c r="AF158" s="24"/>
      <c r="AG158" s="22"/>
      <c r="AH158" s="22"/>
      <c r="AI158" s="24"/>
      <c r="AJ158" s="25"/>
      <c r="AK158" s="22"/>
      <c r="AL158" s="22"/>
      <c r="AM158" s="25"/>
      <c r="AN158" s="25"/>
    </row>
    <row r="159">
      <c r="A159" s="21" t="s">
        <v>550</v>
      </c>
      <c r="B159" s="22" t="s">
        <v>653</v>
      </c>
      <c r="C159" s="22" t="s">
        <v>82</v>
      </c>
      <c r="D159" s="26">
        <v>45997.0</v>
      </c>
      <c r="E159" s="22" t="s">
        <v>138</v>
      </c>
      <c r="F159" s="22" t="s">
        <v>377</v>
      </c>
      <c r="G159" s="22" t="s">
        <v>654</v>
      </c>
      <c r="H159" s="22" t="s">
        <v>550</v>
      </c>
      <c r="I159" s="22">
        <v>1.0423665000771E13</v>
      </c>
      <c r="J159" s="22" t="s">
        <v>655</v>
      </c>
      <c r="K159" s="24"/>
      <c r="L159" s="22" t="s">
        <v>552</v>
      </c>
      <c r="M159" s="22">
        <v>1.0</v>
      </c>
      <c r="N159" s="22" t="s">
        <v>381</v>
      </c>
      <c r="O159" s="22" t="s">
        <v>382</v>
      </c>
      <c r="P159" s="24"/>
      <c r="Q159" s="22" t="s">
        <v>90</v>
      </c>
      <c r="R159" s="22">
        <v>3.2666450657603E13</v>
      </c>
      <c r="S159" s="24"/>
      <c r="T159" s="24"/>
      <c r="U159" s="24"/>
      <c r="V159" s="22" t="s">
        <v>95</v>
      </c>
      <c r="W159" s="24"/>
      <c r="X159" s="24"/>
      <c r="Y159" s="22"/>
      <c r="Z159" s="22"/>
      <c r="AA159" s="24"/>
      <c r="AB159" s="24"/>
      <c r="AC159" s="22"/>
      <c r="AD159" s="22"/>
      <c r="AE159" s="24"/>
      <c r="AF159" s="24"/>
      <c r="AG159" s="22"/>
      <c r="AH159" s="22"/>
      <c r="AI159" s="24"/>
      <c r="AJ159" s="25"/>
      <c r="AK159" s="22"/>
      <c r="AL159" s="22"/>
      <c r="AM159" s="25"/>
      <c r="AN159" s="25"/>
    </row>
    <row r="160">
      <c r="A160" s="21" t="s">
        <v>339</v>
      </c>
      <c r="B160" s="22" t="s">
        <v>340</v>
      </c>
      <c r="C160" s="22" t="s">
        <v>82</v>
      </c>
      <c r="D160" s="26">
        <v>45997.0</v>
      </c>
      <c r="E160" s="22" t="s">
        <v>187</v>
      </c>
      <c r="F160" s="22" t="s">
        <v>341</v>
      </c>
      <c r="G160" s="22" t="s">
        <v>656</v>
      </c>
      <c r="H160" s="22" t="s">
        <v>339</v>
      </c>
      <c r="I160" s="22">
        <v>1.0424194302275E13</v>
      </c>
      <c r="J160" s="22" t="s">
        <v>657</v>
      </c>
      <c r="K160" s="24"/>
      <c r="L160" s="22" t="s">
        <v>344</v>
      </c>
      <c r="M160" s="22">
        <v>1.0</v>
      </c>
      <c r="N160" s="22" t="s">
        <v>345</v>
      </c>
      <c r="O160" s="22" t="s">
        <v>346</v>
      </c>
      <c r="P160" s="24"/>
      <c r="Q160" s="22" t="s">
        <v>90</v>
      </c>
      <c r="R160" s="22">
        <v>3.2667593015619E13</v>
      </c>
      <c r="S160" s="24"/>
      <c r="T160" s="24"/>
      <c r="U160" s="24"/>
      <c r="V160" s="22" t="s">
        <v>55</v>
      </c>
      <c r="W160" s="24"/>
      <c r="X160" s="24"/>
      <c r="Y160" s="22"/>
      <c r="Z160" s="22"/>
      <c r="AA160" s="24"/>
      <c r="AB160" s="24"/>
      <c r="AC160" s="22"/>
      <c r="AD160" s="22"/>
      <c r="AE160" s="24"/>
      <c r="AF160" s="24"/>
      <c r="AG160" s="22"/>
      <c r="AH160" s="22"/>
      <c r="AI160" s="24"/>
      <c r="AJ160" s="25"/>
      <c r="AK160" s="22"/>
      <c r="AL160" s="22"/>
      <c r="AM160" s="25"/>
      <c r="AN160" s="25"/>
    </row>
    <row r="161">
      <c r="A161" s="21" t="s">
        <v>658</v>
      </c>
      <c r="B161" s="22" t="s">
        <v>659</v>
      </c>
      <c r="C161" s="22" t="s">
        <v>82</v>
      </c>
      <c r="D161" s="23">
        <v>46004.0</v>
      </c>
      <c r="E161" s="22" t="s">
        <v>187</v>
      </c>
      <c r="F161" s="22" t="s">
        <v>341</v>
      </c>
      <c r="G161" s="22" t="s">
        <v>660</v>
      </c>
      <c r="H161" s="22" t="s">
        <v>658</v>
      </c>
      <c r="I161" s="22">
        <v>1.0423707959619E13</v>
      </c>
      <c r="J161" s="22" t="s">
        <v>661</v>
      </c>
      <c r="K161" s="24"/>
      <c r="L161" s="22" t="s">
        <v>662</v>
      </c>
      <c r="M161" s="22">
        <v>1.0</v>
      </c>
      <c r="N161" s="22" t="s">
        <v>345</v>
      </c>
      <c r="O161" s="22" t="s">
        <v>346</v>
      </c>
      <c r="P161" s="24"/>
      <c r="Q161" s="22" t="s">
        <v>90</v>
      </c>
      <c r="R161" s="22">
        <v>3.2666539524419E13</v>
      </c>
      <c r="S161" s="24"/>
      <c r="T161" s="24"/>
      <c r="U161" s="24"/>
      <c r="V161" s="22" t="s">
        <v>95</v>
      </c>
      <c r="W161" s="24"/>
      <c r="X161" s="24"/>
      <c r="Y161" s="22"/>
      <c r="Z161" s="22"/>
      <c r="AA161" s="24"/>
      <c r="AB161" s="24"/>
      <c r="AC161" s="22"/>
      <c r="AD161" s="22"/>
      <c r="AE161" s="24"/>
      <c r="AF161" s="24"/>
      <c r="AG161" s="22"/>
      <c r="AH161" s="22"/>
      <c r="AI161" s="24"/>
      <c r="AJ161" s="25"/>
      <c r="AK161" s="22"/>
      <c r="AL161" s="25"/>
      <c r="AM161" s="25"/>
      <c r="AN161" s="25"/>
    </row>
    <row r="162">
      <c r="A162" s="21" t="s">
        <v>92</v>
      </c>
      <c r="B162" s="22" t="s">
        <v>297</v>
      </c>
      <c r="C162" s="22" t="s">
        <v>82</v>
      </c>
      <c r="D162" s="26">
        <v>45997.0</v>
      </c>
      <c r="E162" s="22"/>
      <c r="F162" s="22" t="s">
        <v>83</v>
      </c>
      <c r="G162" s="22" t="s">
        <v>663</v>
      </c>
      <c r="H162" s="22" t="s">
        <v>92</v>
      </c>
      <c r="I162" s="22">
        <v>1.0424344871235E13</v>
      </c>
      <c r="J162" s="22" t="s">
        <v>397</v>
      </c>
      <c r="K162" s="24"/>
      <c r="L162" s="22" t="s">
        <v>94</v>
      </c>
      <c r="M162" s="22">
        <v>1.0</v>
      </c>
      <c r="N162" s="22" t="s">
        <v>87</v>
      </c>
      <c r="O162" s="22" t="s">
        <v>88</v>
      </c>
      <c r="P162" s="24"/>
      <c r="Q162" s="22" t="s">
        <v>90</v>
      </c>
      <c r="R162" s="22">
        <v>3.2667908178243E13</v>
      </c>
      <c r="S162" s="24"/>
      <c r="T162" s="24"/>
      <c r="U162" s="24"/>
      <c r="V162" s="22" t="s">
        <v>95</v>
      </c>
      <c r="W162" s="24"/>
      <c r="X162" s="24"/>
      <c r="Y162" s="22"/>
      <c r="Z162" s="22"/>
      <c r="AA162" s="24"/>
      <c r="AB162" s="24"/>
      <c r="AC162" s="22"/>
      <c r="AD162" s="22"/>
      <c r="AE162" s="24"/>
      <c r="AF162" s="24"/>
      <c r="AG162" s="22"/>
      <c r="AH162" s="22"/>
      <c r="AI162" s="24"/>
      <c r="AJ162" s="25"/>
      <c r="AK162" s="22"/>
      <c r="AL162" s="22"/>
      <c r="AM162" s="25"/>
      <c r="AN162" s="25"/>
    </row>
    <row r="163">
      <c r="A163" s="21" t="s">
        <v>664</v>
      </c>
      <c r="B163" s="22" t="s">
        <v>665</v>
      </c>
      <c r="C163" s="22" t="s">
        <v>82</v>
      </c>
      <c r="D163" s="26">
        <v>45997.0</v>
      </c>
      <c r="E163" s="22" t="s">
        <v>196</v>
      </c>
      <c r="F163" s="22" t="s">
        <v>472</v>
      </c>
      <c r="G163" s="22" t="s">
        <v>666</v>
      </c>
      <c r="H163" s="22" t="s">
        <v>664</v>
      </c>
      <c r="I163" s="22">
        <v>1.0424654201155E13</v>
      </c>
      <c r="J163" s="22" t="s">
        <v>667</v>
      </c>
      <c r="K163" s="24"/>
      <c r="L163" s="22" t="s">
        <v>668</v>
      </c>
      <c r="M163" s="22">
        <v>1.0</v>
      </c>
      <c r="N163" s="22" t="s">
        <v>534</v>
      </c>
      <c r="O163" s="22" t="s">
        <v>535</v>
      </c>
      <c r="P163" s="24"/>
      <c r="Q163" s="22" t="s">
        <v>90</v>
      </c>
      <c r="R163" s="22">
        <v>3.2668569469251E13</v>
      </c>
      <c r="S163" s="24"/>
      <c r="T163" s="24"/>
      <c r="U163" s="24"/>
      <c r="V163" s="22" t="s">
        <v>175</v>
      </c>
      <c r="W163" s="24"/>
      <c r="X163" s="24"/>
      <c r="Y163" s="22"/>
      <c r="Z163" s="22"/>
      <c r="AA163" s="24"/>
      <c r="AB163" s="24"/>
      <c r="AC163" s="22"/>
      <c r="AD163" s="22"/>
      <c r="AE163" s="24"/>
      <c r="AF163" s="24"/>
      <c r="AG163" s="22"/>
      <c r="AH163" s="22"/>
      <c r="AI163" s="24"/>
      <c r="AJ163" s="25"/>
      <c r="AK163" s="22"/>
      <c r="AL163" s="22"/>
      <c r="AM163" s="25"/>
      <c r="AN163" s="25"/>
    </row>
    <row r="164">
      <c r="A164" s="21" t="s">
        <v>550</v>
      </c>
      <c r="B164" s="22" t="s">
        <v>512</v>
      </c>
      <c r="C164" s="22" t="s">
        <v>82</v>
      </c>
      <c r="D164" s="26">
        <v>45997.0</v>
      </c>
      <c r="E164" s="22" t="s">
        <v>153</v>
      </c>
      <c r="F164" s="22" t="s">
        <v>377</v>
      </c>
      <c r="G164" s="22" t="s">
        <v>669</v>
      </c>
      <c r="H164" s="22" t="s">
        <v>550</v>
      </c>
      <c r="I164" s="22">
        <v>1.0424837374275E13</v>
      </c>
      <c r="J164" s="22" t="s">
        <v>514</v>
      </c>
      <c r="K164" s="24"/>
      <c r="L164" s="22" t="s">
        <v>552</v>
      </c>
      <c r="M164" s="22">
        <v>1.0</v>
      </c>
      <c r="N164" s="22" t="s">
        <v>381</v>
      </c>
      <c r="O164" s="22" t="s">
        <v>382</v>
      </c>
      <c r="P164" s="24"/>
      <c r="Q164" s="22" t="s">
        <v>90</v>
      </c>
      <c r="R164" s="22">
        <v>3.2668966781251E13</v>
      </c>
      <c r="S164" s="24"/>
      <c r="T164" s="24"/>
      <c r="U164" s="24"/>
      <c r="V164" s="22" t="s">
        <v>95</v>
      </c>
      <c r="W164" s="24"/>
      <c r="X164" s="24"/>
      <c r="Y164" s="22"/>
      <c r="Z164" s="22"/>
      <c r="AA164" s="24"/>
      <c r="AB164" s="24"/>
      <c r="AC164" s="22"/>
      <c r="AD164" s="22"/>
      <c r="AE164" s="24"/>
      <c r="AF164" s="24"/>
      <c r="AG164" s="22"/>
      <c r="AH164" s="22"/>
      <c r="AI164" s="24"/>
      <c r="AJ164" s="25"/>
      <c r="AK164" s="22"/>
      <c r="AL164" s="22"/>
      <c r="AM164" s="25"/>
      <c r="AN164" s="25"/>
    </row>
    <row r="165">
      <c r="A165" s="21" t="s">
        <v>386</v>
      </c>
      <c r="B165" s="22" t="s">
        <v>670</v>
      </c>
      <c r="C165" s="22" t="s">
        <v>273</v>
      </c>
      <c r="D165" s="26">
        <v>45998.0</v>
      </c>
      <c r="E165" s="22" t="s">
        <v>196</v>
      </c>
      <c r="F165" s="22" t="s">
        <v>311</v>
      </c>
      <c r="G165" s="22" t="s">
        <v>671</v>
      </c>
      <c r="H165" s="22" t="s">
        <v>386</v>
      </c>
      <c r="I165" s="22">
        <v>1.0424114151747E13</v>
      </c>
      <c r="J165" s="22" t="s">
        <v>672</v>
      </c>
      <c r="K165" s="24"/>
      <c r="L165" s="22" t="s">
        <v>390</v>
      </c>
      <c r="M165" s="22">
        <v>1.0</v>
      </c>
      <c r="N165" s="22" t="s">
        <v>391</v>
      </c>
      <c r="O165" s="22" t="s">
        <v>392</v>
      </c>
      <c r="P165" s="24"/>
      <c r="Q165" s="22" t="s">
        <v>90</v>
      </c>
      <c r="R165" s="22">
        <v>3.2667423801667E13</v>
      </c>
      <c r="S165" s="24"/>
      <c r="T165" s="24"/>
      <c r="U165" s="24"/>
      <c r="V165" s="22" t="s">
        <v>55</v>
      </c>
      <c r="W165" s="24"/>
      <c r="X165" s="24"/>
      <c r="Y165" s="22"/>
      <c r="Z165" s="22"/>
      <c r="AA165" s="24"/>
      <c r="AB165" s="24"/>
      <c r="AC165" s="22"/>
      <c r="AD165" s="22"/>
      <c r="AE165" s="24"/>
      <c r="AF165" s="24"/>
      <c r="AG165" s="22"/>
      <c r="AH165" s="22"/>
      <c r="AI165" s="24"/>
      <c r="AJ165" s="25"/>
      <c r="AK165" s="22"/>
      <c r="AL165" s="22"/>
      <c r="AM165" s="25"/>
      <c r="AN165" s="25"/>
    </row>
    <row r="166">
      <c r="A166" s="21" t="s">
        <v>367</v>
      </c>
      <c r="B166" s="22" t="s">
        <v>673</v>
      </c>
      <c r="C166" s="22" t="s">
        <v>273</v>
      </c>
      <c r="D166" s="26">
        <v>45998.0</v>
      </c>
      <c r="E166" s="22" t="s">
        <v>248</v>
      </c>
      <c r="F166" s="22" t="s">
        <v>369</v>
      </c>
      <c r="G166" s="22" t="s">
        <v>674</v>
      </c>
      <c r="H166" s="22" t="s">
        <v>367</v>
      </c>
      <c r="I166" s="22">
        <v>1.0424850415939E13</v>
      </c>
      <c r="J166" s="22" t="s">
        <v>675</v>
      </c>
      <c r="K166" s="24"/>
      <c r="L166" s="22" t="s">
        <v>372</v>
      </c>
      <c r="M166" s="22">
        <v>1.0</v>
      </c>
      <c r="N166" s="22" t="s">
        <v>373</v>
      </c>
      <c r="O166" s="22" t="s">
        <v>374</v>
      </c>
      <c r="P166" s="24"/>
      <c r="Q166" s="22" t="s">
        <v>90</v>
      </c>
      <c r="R166" s="22">
        <v>3.2668995977539E13</v>
      </c>
      <c r="S166" s="24"/>
      <c r="T166" s="24"/>
      <c r="U166" s="24"/>
      <c r="V166" s="22" t="s">
        <v>55</v>
      </c>
      <c r="W166" s="24"/>
      <c r="X166" s="24"/>
      <c r="Y166" s="22"/>
      <c r="Z166" s="22"/>
      <c r="AA166" s="24"/>
      <c r="AB166" s="24"/>
      <c r="AC166" s="22"/>
      <c r="AD166" s="22"/>
      <c r="AE166" s="24"/>
      <c r="AF166" s="24"/>
      <c r="AG166" s="22"/>
      <c r="AH166" s="22"/>
      <c r="AI166" s="24"/>
      <c r="AJ166" s="25"/>
      <c r="AK166" s="22"/>
      <c r="AL166" s="22"/>
      <c r="AM166" s="25"/>
      <c r="AN166" s="25"/>
    </row>
    <row r="167">
      <c r="A167" s="21" t="s">
        <v>166</v>
      </c>
      <c r="B167" s="22" t="s">
        <v>393</v>
      </c>
      <c r="C167" s="22" t="s">
        <v>82</v>
      </c>
      <c r="D167" s="26">
        <v>45997.0</v>
      </c>
      <c r="E167" s="22" t="s">
        <v>187</v>
      </c>
      <c r="F167" s="22" t="s">
        <v>111</v>
      </c>
      <c r="G167" s="22" t="s">
        <v>676</v>
      </c>
      <c r="H167" s="22" t="s">
        <v>166</v>
      </c>
      <c r="I167" s="22">
        <v>1.0425002197315E13</v>
      </c>
      <c r="J167" s="22" t="s">
        <v>395</v>
      </c>
      <c r="K167" s="24"/>
      <c r="L167" s="22" t="s">
        <v>171</v>
      </c>
      <c r="M167" s="22">
        <v>1.0</v>
      </c>
      <c r="N167" s="22" t="s">
        <v>115</v>
      </c>
      <c r="O167" s="22" t="s">
        <v>116</v>
      </c>
      <c r="P167" s="24"/>
      <c r="Q167" s="22" t="s">
        <v>90</v>
      </c>
      <c r="R167" s="22">
        <v>3.2669333225795E13</v>
      </c>
      <c r="S167" s="24"/>
      <c r="T167" s="24"/>
      <c r="U167" s="24"/>
      <c r="V167" s="22" t="s">
        <v>55</v>
      </c>
      <c r="W167" s="24"/>
      <c r="X167" s="24"/>
      <c r="Y167" s="22"/>
      <c r="Z167" s="22"/>
      <c r="AA167" s="24"/>
      <c r="AB167" s="24"/>
      <c r="AC167" s="22"/>
      <c r="AD167" s="22"/>
      <c r="AE167" s="24"/>
      <c r="AF167" s="24"/>
      <c r="AG167" s="22"/>
      <c r="AH167" s="22"/>
      <c r="AI167" s="24"/>
      <c r="AJ167" s="25"/>
      <c r="AK167" s="22"/>
      <c r="AL167" s="22"/>
      <c r="AM167" s="25"/>
      <c r="AN167" s="25"/>
    </row>
    <row r="168">
      <c r="A168" s="21" t="s">
        <v>96</v>
      </c>
      <c r="B168" s="22" t="s">
        <v>272</v>
      </c>
      <c r="C168" s="22" t="s">
        <v>273</v>
      </c>
      <c r="D168" s="26">
        <v>45998.0</v>
      </c>
      <c r="E168" s="22"/>
      <c r="F168" s="22" t="s">
        <v>83</v>
      </c>
      <c r="G168" s="22" t="s">
        <v>677</v>
      </c>
      <c r="H168" s="22" t="s">
        <v>96</v>
      </c>
      <c r="I168" s="22">
        <v>1.0425109315907E13</v>
      </c>
      <c r="J168" s="22" t="s">
        <v>618</v>
      </c>
      <c r="K168" s="24"/>
      <c r="L168" s="22" t="s">
        <v>98</v>
      </c>
      <c r="M168" s="22">
        <v>1.0</v>
      </c>
      <c r="N168" s="22" t="s">
        <v>87</v>
      </c>
      <c r="O168" s="22" t="s">
        <v>88</v>
      </c>
      <c r="P168" s="24"/>
      <c r="Q168" s="22" t="s">
        <v>90</v>
      </c>
      <c r="R168" s="22">
        <v>3.2669583671619E13</v>
      </c>
      <c r="S168" s="24"/>
      <c r="T168" s="24"/>
      <c r="U168" s="24"/>
      <c r="V168" s="22" t="s">
        <v>55</v>
      </c>
      <c r="W168" s="24"/>
      <c r="X168" s="24"/>
      <c r="Y168" s="22"/>
      <c r="Z168" s="22"/>
      <c r="AA168" s="24"/>
      <c r="AB168" s="24"/>
      <c r="AC168" s="22"/>
      <c r="AD168" s="22"/>
      <c r="AE168" s="24"/>
      <c r="AF168" s="24"/>
      <c r="AG168" s="22"/>
      <c r="AH168" s="22"/>
      <c r="AI168" s="24"/>
      <c r="AJ168" s="25"/>
      <c r="AK168" s="22"/>
      <c r="AL168" s="22"/>
      <c r="AM168" s="25"/>
      <c r="AN168" s="25"/>
    </row>
    <row r="169">
      <c r="A169" s="21" t="s">
        <v>92</v>
      </c>
      <c r="B169" s="22" t="s">
        <v>428</v>
      </c>
      <c r="C169" s="22" t="s">
        <v>202</v>
      </c>
      <c r="D169" s="26">
        <v>45996.0</v>
      </c>
      <c r="E169" s="22"/>
      <c r="F169" s="22" t="s">
        <v>83</v>
      </c>
      <c r="G169" s="22" t="s">
        <v>678</v>
      </c>
      <c r="H169" s="22" t="s">
        <v>92</v>
      </c>
      <c r="I169" s="22">
        <v>1.0426002145603E13</v>
      </c>
      <c r="J169" s="22" t="s">
        <v>430</v>
      </c>
      <c r="K169" s="24"/>
      <c r="L169" s="22" t="s">
        <v>94</v>
      </c>
      <c r="M169" s="22">
        <v>1.0</v>
      </c>
      <c r="N169" s="22" t="s">
        <v>87</v>
      </c>
      <c r="O169" s="22" t="s">
        <v>88</v>
      </c>
      <c r="P169" s="24"/>
      <c r="Q169" s="22" t="s">
        <v>90</v>
      </c>
      <c r="R169" s="22">
        <v>3.2671502008643E13</v>
      </c>
      <c r="S169" s="24"/>
      <c r="T169" s="24"/>
      <c r="U169" s="24"/>
      <c r="V169" s="22" t="s">
        <v>95</v>
      </c>
      <c r="W169" s="24"/>
      <c r="X169" s="24"/>
      <c r="Y169" s="22"/>
      <c r="Z169" s="22"/>
      <c r="AA169" s="24"/>
      <c r="AB169" s="24"/>
      <c r="AC169" s="22"/>
      <c r="AD169" s="22"/>
      <c r="AE169" s="24"/>
      <c r="AF169" s="24"/>
      <c r="AG169" s="22"/>
      <c r="AH169" s="22"/>
      <c r="AI169" s="24"/>
      <c r="AJ169" s="25"/>
      <c r="AK169" s="22"/>
      <c r="AL169" s="22"/>
      <c r="AM169" s="25"/>
      <c r="AN169" s="25"/>
    </row>
    <row r="170">
      <c r="A170" s="21" t="s">
        <v>679</v>
      </c>
      <c r="B170" s="22" t="s">
        <v>680</v>
      </c>
      <c r="C170" s="22" t="s">
        <v>82</v>
      </c>
      <c r="D170" s="26">
        <v>45997.0</v>
      </c>
      <c r="E170" s="22" t="s">
        <v>219</v>
      </c>
      <c r="F170" s="22" t="s">
        <v>111</v>
      </c>
      <c r="G170" s="22" t="s">
        <v>681</v>
      </c>
      <c r="H170" s="22" t="s">
        <v>679</v>
      </c>
      <c r="I170" s="22">
        <v>1.0423827267907E13</v>
      </c>
      <c r="J170" s="22" t="s">
        <v>682</v>
      </c>
      <c r="K170" s="24"/>
      <c r="L170" s="22" t="s">
        <v>683</v>
      </c>
      <c r="M170" s="22">
        <v>1.0</v>
      </c>
      <c r="N170" s="22" t="s">
        <v>164</v>
      </c>
      <c r="O170" s="22" t="s">
        <v>165</v>
      </c>
      <c r="P170" s="24"/>
      <c r="Q170" s="22" t="s">
        <v>90</v>
      </c>
      <c r="R170" s="22">
        <v>3.2666787250499E13</v>
      </c>
      <c r="S170" s="24"/>
      <c r="T170" s="24"/>
      <c r="U170" s="24"/>
      <c r="V170" s="22" t="s">
        <v>105</v>
      </c>
      <c r="W170" s="24"/>
      <c r="X170" s="24"/>
      <c r="Y170" s="22"/>
      <c r="Z170" s="22"/>
      <c r="AA170" s="24"/>
      <c r="AB170" s="24"/>
      <c r="AC170" s="22"/>
      <c r="AD170" s="22"/>
      <c r="AE170" s="24"/>
      <c r="AF170" s="24"/>
      <c r="AG170" s="22"/>
      <c r="AH170" s="22"/>
      <c r="AI170" s="24"/>
      <c r="AJ170" s="25"/>
      <c r="AK170" s="22"/>
      <c r="AL170" s="22"/>
      <c r="AM170" s="25"/>
      <c r="AN170" s="25"/>
    </row>
    <row r="171">
      <c r="A171" s="21" t="s">
        <v>185</v>
      </c>
      <c r="B171" s="22" t="s">
        <v>393</v>
      </c>
      <c r="C171" s="22" t="s">
        <v>82</v>
      </c>
      <c r="D171" s="26">
        <v>45997.0</v>
      </c>
      <c r="E171" s="22" t="s">
        <v>187</v>
      </c>
      <c r="F171" s="22" t="s">
        <v>111</v>
      </c>
      <c r="G171" s="22" t="s">
        <v>684</v>
      </c>
      <c r="H171" s="22" t="s">
        <v>185</v>
      </c>
      <c r="I171" s="22">
        <v>1.0426555105603E13</v>
      </c>
      <c r="J171" s="22" t="s">
        <v>395</v>
      </c>
      <c r="K171" s="24"/>
      <c r="L171" s="22" t="s">
        <v>190</v>
      </c>
      <c r="M171" s="22">
        <v>1.0</v>
      </c>
      <c r="N171" s="22" t="s">
        <v>115</v>
      </c>
      <c r="O171" s="22" t="s">
        <v>116</v>
      </c>
      <c r="P171" s="24"/>
      <c r="Q171" s="22" t="s">
        <v>90</v>
      </c>
      <c r="R171" s="22">
        <v>3.2672690929987E13</v>
      </c>
      <c r="S171" s="24"/>
      <c r="T171" s="24"/>
      <c r="U171" s="24"/>
      <c r="V171" s="22" t="s">
        <v>95</v>
      </c>
      <c r="W171" s="24"/>
      <c r="X171" s="24"/>
      <c r="Y171" s="22"/>
      <c r="Z171" s="22"/>
      <c r="AA171" s="24"/>
      <c r="AB171" s="24"/>
      <c r="AC171" s="22"/>
      <c r="AD171" s="22"/>
      <c r="AE171" s="24"/>
      <c r="AF171" s="24"/>
      <c r="AG171" s="22"/>
      <c r="AH171" s="22"/>
      <c r="AI171" s="24"/>
      <c r="AJ171" s="25"/>
      <c r="AK171" s="22"/>
      <c r="AL171" s="22"/>
      <c r="AM171" s="25"/>
      <c r="AN171" s="25"/>
    </row>
    <row r="172">
      <c r="A172" s="21" t="s">
        <v>80</v>
      </c>
      <c r="B172" s="22" t="s">
        <v>335</v>
      </c>
      <c r="C172" s="22" t="s">
        <v>336</v>
      </c>
      <c r="D172" s="26">
        <v>45995.0</v>
      </c>
      <c r="E172" s="22"/>
      <c r="F172" s="22" t="s">
        <v>83</v>
      </c>
      <c r="G172" s="22" t="s">
        <v>685</v>
      </c>
      <c r="H172" s="22" t="s">
        <v>80</v>
      </c>
      <c r="I172" s="22">
        <v>1.0426598424899E13</v>
      </c>
      <c r="J172" s="22" t="s">
        <v>338</v>
      </c>
      <c r="K172" s="24"/>
      <c r="L172" s="22" t="s">
        <v>86</v>
      </c>
      <c r="M172" s="22">
        <v>1.0</v>
      </c>
      <c r="N172" s="22" t="s">
        <v>87</v>
      </c>
      <c r="O172" s="22" t="s">
        <v>88</v>
      </c>
      <c r="P172" s="24"/>
      <c r="Q172" s="22" t="s">
        <v>90</v>
      </c>
      <c r="R172" s="22">
        <v>3.2672780157251E13</v>
      </c>
      <c r="S172" s="24"/>
      <c r="T172" s="24"/>
      <c r="U172" s="24"/>
      <c r="V172" s="22" t="s">
        <v>91</v>
      </c>
      <c r="W172" s="24"/>
      <c r="X172" s="24"/>
      <c r="Y172" s="22"/>
      <c r="Z172" s="22"/>
      <c r="AA172" s="24"/>
      <c r="AB172" s="24"/>
      <c r="AC172" s="22"/>
      <c r="AD172" s="22"/>
      <c r="AE172" s="24"/>
      <c r="AF172" s="24"/>
      <c r="AG172" s="22"/>
      <c r="AH172" s="22"/>
      <c r="AI172" s="24"/>
      <c r="AJ172" s="25"/>
      <c r="AK172" s="22"/>
      <c r="AL172" s="22"/>
      <c r="AM172" s="25"/>
      <c r="AN172" s="25"/>
    </row>
    <row r="173">
      <c r="A173" s="21" t="s">
        <v>686</v>
      </c>
      <c r="B173" s="22" t="s">
        <v>450</v>
      </c>
      <c r="C173" s="22" t="s">
        <v>82</v>
      </c>
      <c r="D173" s="26">
        <v>45997.0</v>
      </c>
      <c r="E173" s="22" t="s">
        <v>134</v>
      </c>
      <c r="F173" s="22" t="s">
        <v>451</v>
      </c>
      <c r="G173" s="22" t="s">
        <v>687</v>
      </c>
      <c r="H173" s="22" t="s">
        <v>686</v>
      </c>
      <c r="I173" s="22">
        <v>1.0426681491779E13</v>
      </c>
      <c r="J173" s="22" t="s">
        <v>453</v>
      </c>
      <c r="K173" s="24"/>
      <c r="L173" s="22" t="s">
        <v>688</v>
      </c>
      <c r="M173" s="22">
        <v>1.0</v>
      </c>
      <c r="N173" s="22" t="s">
        <v>455</v>
      </c>
      <c r="O173" s="22" t="s">
        <v>456</v>
      </c>
      <c r="P173" s="24"/>
      <c r="Q173" s="22" t="s">
        <v>90</v>
      </c>
      <c r="R173" s="22">
        <v>3.2672960577859E13</v>
      </c>
      <c r="S173" s="24"/>
      <c r="T173" s="24"/>
      <c r="U173" s="24"/>
      <c r="V173" s="22" t="s">
        <v>91</v>
      </c>
      <c r="W173" s="24"/>
      <c r="X173" s="24"/>
      <c r="Y173" s="22"/>
      <c r="Z173" s="22"/>
      <c r="AA173" s="24"/>
      <c r="AB173" s="24"/>
      <c r="AC173" s="22"/>
      <c r="AD173" s="22"/>
      <c r="AE173" s="24"/>
      <c r="AF173" s="24"/>
      <c r="AG173" s="22"/>
      <c r="AH173" s="22"/>
      <c r="AI173" s="24"/>
      <c r="AJ173" s="25"/>
      <c r="AK173" s="22"/>
      <c r="AL173" s="22"/>
      <c r="AM173" s="25"/>
      <c r="AN173" s="25"/>
    </row>
    <row r="174">
      <c r="A174" s="21" t="s">
        <v>689</v>
      </c>
      <c r="B174" s="22" t="s">
        <v>512</v>
      </c>
      <c r="C174" s="22" t="s">
        <v>82</v>
      </c>
      <c r="D174" s="26">
        <v>45997.0</v>
      </c>
      <c r="E174" s="22" t="s">
        <v>153</v>
      </c>
      <c r="F174" s="22" t="s">
        <v>377</v>
      </c>
      <c r="G174" s="22" t="s">
        <v>690</v>
      </c>
      <c r="H174" s="22" t="s">
        <v>689</v>
      </c>
      <c r="I174" s="22">
        <v>1.0426816037187E13</v>
      </c>
      <c r="J174" s="22" t="s">
        <v>514</v>
      </c>
      <c r="K174" s="24"/>
      <c r="L174" s="22" t="s">
        <v>691</v>
      </c>
      <c r="M174" s="22">
        <v>1.0</v>
      </c>
      <c r="N174" s="22" t="s">
        <v>413</v>
      </c>
      <c r="O174" s="22" t="s">
        <v>414</v>
      </c>
      <c r="P174" s="24"/>
      <c r="Q174" s="22" t="s">
        <v>90</v>
      </c>
      <c r="R174" s="22">
        <v>3.2673266467139E13</v>
      </c>
      <c r="S174" s="24"/>
      <c r="T174" s="24"/>
      <c r="U174" s="24"/>
      <c r="V174" s="22" t="s">
        <v>175</v>
      </c>
      <c r="W174" s="24"/>
      <c r="X174" s="24"/>
      <c r="Y174" s="22"/>
      <c r="Z174" s="22"/>
      <c r="AA174" s="24"/>
      <c r="AB174" s="24"/>
      <c r="AC174" s="22"/>
      <c r="AD174" s="22"/>
      <c r="AE174" s="24"/>
      <c r="AF174" s="24"/>
      <c r="AG174" s="22"/>
      <c r="AH174" s="22"/>
      <c r="AI174" s="24"/>
      <c r="AJ174" s="25"/>
      <c r="AK174" s="22"/>
      <c r="AL174" s="22"/>
      <c r="AM174" s="25"/>
      <c r="AN174" s="25"/>
    </row>
    <row r="175">
      <c r="A175" s="21" t="s">
        <v>692</v>
      </c>
      <c r="B175" s="22" t="s">
        <v>424</v>
      </c>
      <c r="C175" s="22" t="s">
        <v>273</v>
      </c>
      <c r="D175" s="26">
        <v>45998.0</v>
      </c>
      <c r="E175" s="22" t="s">
        <v>134</v>
      </c>
      <c r="F175" s="22" t="s">
        <v>369</v>
      </c>
      <c r="G175" s="22" t="s">
        <v>693</v>
      </c>
      <c r="H175" s="22" t="s">
        <v>692</v>
      </c>
      <c r="I175" s="22">
        <v>1.0427430338883E13</v>
      </c>
      <c r="J175" s="22" t="s">
        <v>426</v>
      </c>
      <c r="K175" s="24"/>
      <c r="L175" s="22" t="s">
        <v>694</v>
      </c>
      <c r="M175" s="22">
        <v>1.0</v>
      </c>
      <c r="N175" s="22" t="s">
        <v>373</v>
      </c>
      <c r="O175" s="22" t="s">
        <v>374</v>
      </c>
      <c r="P175" s="24"/>
      <c r="Q175" s="22" t="s">
        <v>90</v>
      </c>
      <c r="R175" s="22">
        <v>3.2674574434627E13</v>
      </c>
      <c r="S175" s="24"/>
      <c r="T175" s="24"/>
      <c r="U175" s="24"/>
      <c r="V175" s="22" t="s">
        <v>54</v>
      </c>
      <c r="W175" s="24"/>
      <c r="X175" s="24"/>
      <c r="Y175" s="22"/>
      <c r="Z175" s="22"/>
      <c r="AA175" s="24"/>
      <c r="AB175" s="24"/>
      <c r="AC175" s="22"/>
      <c r="AD175" s="22"/>
      <c r="AE175" s="24"/>
      <c r="AF175" s="24"/>
      <c r="AG175" s="22"/>
      <c r="AH175" s="22"/>
      <c r="AI175" s="24"/>
      <c r="AJ175" s="25"/>
      <c r="AK175" s="22"/>
      <c r="AL175" s="22"/>
      <c r="AM175" s="25"/>
      <c r="AN175" s="25"/>
    </row>
    <row r="176">
      <c r="A176" s="21" t="s">
        <v>375</v>
      </c>
      <c r="B176" s="22" t="s">
        <v>512</v>
      </c>
      <c r="C176" s="22" t="s">
        <v>82</v>
      </c>
      <c r="D176" s="26">
        <v>45997.0</v>
      </c>
      <c r="E176" s="22" t="s">
        <v>153</v>
      </c>
      <c r="F176" s="22" t="s">
        <v>377</v>
      </c>
      <c r="G176" s="22" t="s">
        <v>695</v>
      </c>
      <c r="H176" s="22" t="s">
        <v>375</v>
      </c>
      <c r="I176" s="22">
        <v>1.0428223914307E13</v>
      </c>
      <c r="J176" s="22" t="s">
        <v>514</v>
      </c>
      <c r="K176" s="24"/>
      <c r="L176" s="22" t="s">
        <v>380</v>
      </c>
      <c r="M176" s="22">
        <v>1.0</v>
      </c>
      <c r="N176" s="22" t="s">
        <v>381</v>
      </c>
      <c r="O176" s="22" t="s">
        <v>382</v>
      </c>
      <c r="P176" s="24"/>
      <c r="Q176" s="22" t="s">
        <v>90</v>
      </c>
      <c r="R176" s="22">
        <v>3.2676257825091E13</v>
      </c>
      <c r="S176" s="24"/>
      <c r="T176" s="24"/>
      <c r="U176" s="24"/>
      <c r="V176" s="22" t="s">
        <v>55</v>
      </c>
      <c r="W176" s="24"/>
      <c r="X176" s="24"/>
      <c r="Y176" s="22"/>
      <c r="Z176" s="22"/>
      <c r="AA176" s="24"/>
      <c r="AB176" s="24"/>
      <c r="AC176" s="22"/>
      <c r="AD176" s="22"/>
      <c r="AE176" s="24"/>
      <c r="AF176" s="24"/>
      <c r="AG176" s="22"/>
      <c r="AH176" s="22"/>
      <c r="AI176" s="24"/>
      <c r="AJ176" s="25"/>
      <c r="AK176" s="22"/>
      <c r="AL176" s="22"/>
      <c r="AM176" s="25"/>
      <c r="AN176" s="25"/>
    </row>
    <row r="177">
      <c r="A177" s="21" t="s">
        <v>696</v>
      </c>
      <c r="B177" s="22" t="s">
        <v>697</v>
      </c>
      <c r="C177" s="22" t="s">
        <v>82</v>
      </c>
      <c r="D177" s="26">
        <v>45997.0</v>
      </c>
      <c r="E177" s="22" t="s">
        <v>439</v>
      </c>
      <c r="F177" s="22" t="s">
        <v>698</v>
      </c>
      <c r="G177" s="22" t="s">
        <v>699</v>
      </c>
      <c r="H177" s="22" t="s">
        <v>696</v>
      </c>
      <c r="I177" s="22">
        <v>1.0424318067011E13</v>
      </c>
      <c r="J177" s="22" t="s">
        <v>700</v>
      </c>
      <c r="K177" s="24"/>
      <c r="L177" s="22" t="s">
        <v>701</v>
      </c>
      <c r="M177" s="22">
        <v>1.0</v>
      </c>
      <c r="N177" s="22" t="s">
        <v>702</v>
      </c>
      <c r="O177" s="22" t="s">
        <v>703</v>
      </c>
      <c r="P177" s="24"/>
      <c r="Q177" s="22" t="s">
        <v>90</v>
      </c>
      <c r="R177" s="22">
        <v>3.2667850965315E13</v>
      </c>
      <c r="S177" s="24"/>
      <c r="T177" s="24"/>
      <c r="U177" s="24"/>
      <c r="V177" s="22" t="s">
        <v>55</v>
      </c>
      <c r="W177" s="24"/>
      <c r="X177" s="24"/>
      <c r="Y177" s="22"/>
      <c r="Z177" s="22"/>
      <c r="AA177" s="24"/>
      <c r="AB177" s="24"/>
      <c r="AC177" s="22"/>
      <c r="AD177" s="22"/>
      <c r="AE177" s="24"/>
      <c r="AF177" s="24"/>
      <c r="AG177" s="22"/>
      <c r="AH177" s="22"/>
      <c r="AI177" s="24"/>
      <c r="AJ177" s="25"/>
      <c r="AK177" s="22"/>
      <c r="AL177" s="22"/>
      <c r="AM177" s="25"/>
      <c r="AN177" s="25"/>
    </row>
    <row r="178">
      <c r="A178" s="21" t="s">
        <v>640</v>
      </c>
      <c r="B178" s="22" t="s">
        <v>355</v>
      </c>
      <c r="C178" s="22" t="s">
        <v>273</v>
      </c>
      <c r="D178" s="23">
        <v>45991.0</v>
      </c>
      <c r="E178" s="22" t="s">
        <v>149</v>
      </c>
      <c r="F178" s="22" t="s">
        <v>356</v>
      </c>
      <c r="G178" s="22" t="s">
        <v>704</v>
      </c>
      <c r="H178" s="22" t="s">
        <v>640</v>
      </c>
      <c r="I178" s="22">
        <v>1.0428283978051E13</v>
      </c>
      <c r="J178" s="22" t="s">
        <v>562</v>
      </c>
      <c r="K178" s="24"/>
      <c r="L178" s="22" t="s">
        <v>642</v>
      </c>
      <c r="M178" s="22">
        <v>1.0</v>
      </c>
      <c r="N178" s="22" t="s">
        <v>360</v>
      </c>
      <c r="O178" s="22" t="s">
        <v>361</v>
      </c>
      <c r="P178" s="24"/>
      <c r="Q178" s="22" t="s">
        <v>90</v>
      </c>
      <c r="R178" s="22">
        <v>3.2676382966083E13</v>
      </c>
      <c r="S178" s="24"/>
      <c r="T178" s="24"/>
      <c r="U178" s="24"/>
      <c r="V178" s="22" t="s">
        <v>95</v>
      </c>
      <c r="W178" s="24"/>
      <c r="X178" s="24"/>
      <c r="Y178" s="22"/>
      <c r="Z178" s="22"/>
      <c r="AA178" s="24"/>
      <c r="AB178" s="24"/>
      <c r="AC178" s="22"/>
      <c r="AD178" s="22"/>
      <c r="AE178" s="24"/>
      <c r="AF178" s="24"/>
      <c r="AG178" s="22"/>
      <c r="AH178" s="22"/>
      <c r="AI178" s="24"/>
      <c r="AJ178" s="25"/>
      <c r="AK178" s="22"/>
      <c r="AL178" s="22"/>
      <c r="AM178" s="25"/>
      <c r="AN178" s="25"/>
    </row>
    <row r="179">
      <c r="A179" s="21" t="s">
        <v>408</v>
      </c>
      <c r="B179" s="22" t="s">
        <v>705</v>
      </c>
      <c r="C179" s="22" t="s">
        <v>82</v>
      </c>
      <c r="D179" s="26">
        <v>45997.0</v>
      </c>
      <c r="E179" s="22" t="s">
        <v>266</v>
      </c>
      <c r="F179" s="22" t="s">
        <v>377</v>
      </c>
      <c r="G179" s="22" t="s">
        <v>706</v>
      </c>
      <c r="H179" s="22" t="s">
        <v>408</v>
      </c>
      <c r="I179" s="22">
        <v>1.0428323955011E13</v>
      </c>
      <c r="J179" s="22" t="s">
        <v>707</v>
      </c>
      <c r="K179" s="24"/>
      <c r="L179" s="22" t="s">
        <v>412</v>
      </c>
      <c r="M179" s="22">
        <v>1.0</v>
      </c>
      <c r="N179" s="22" t="s">
        <v>413</v>
      </c>
      <c r="O179" s="22" t="s">
        <v>414</v>
      </c>
      <c r="P179" s="24"/>
      <c r="Q179" s="22" t="s">
        <v>90</v>
      </c>
      <c r="R179" s="22">
        <v>3.2676467704131E13</v>
      </c>
      <c r="S179" s="24"/>
      <c r="T179" s="24"/>
      <c r="U179" s="24"/>
      <c r="V179" s="22" t="s">
        <v>127</v>
      </c>
      <c r="W179" s="24"/>
      <c r="X179" s="24"/>
      <c r="Y179" s="22"/>
      <c r="Z179" s="22"/>
      <c r="AA179" s="24"/>
      <c r="AB179" s="24"/>
      <c r="AC179" s="22"/>
      <c r="AD179" s="22"/>
      <c r="AE179" s="24"/>
      <c r="AF179" s="24"/>
      <c r="AG179" s="22"/>
      <c r="AH179" s="22"/>
      <c r="AI179" s="24"/>
      <c r="AJ179" s="25"/>
      <c r="AK179" s="22"/>
      <c r="AL179" s="22"/>
      <c r="AM179" s="25"/>
      <c r="AN179" s="25"/>
    </row>
    <row r="180">
      <c r="A180" s="21" t="s">
        <v>99</v>
      </c>
      <c r="B180" s="22" t="s">
        <v>272</v>
      </c>
      <c r="C180" s="22" t="s">
        <v>273</v>
      </c>
      <c r="D180" s="26">
        <v>45998.0</v>
      </c>
      <c r="E180" s="22"/>
      <c r="F180" s="22" t="s">
        <v>83</v>
      </c>
      <c r="G180" s="22" t="s">
        <v>708</v>
      </c>
      <c r="H180" s="22" t="s">
        <v>99</v>
      </c>
      <c r="I180" s="22">
        <v>1.0428325331267E13</v>
      </c>
      <c r="J180" s="22" t="s">
        <v>618</v>
      </c>
      <c r="K180" s="24"/>
      <c r="L180" s="22" t="s">
        <v>102</v>
      </c>
      <c r="M180" s="22">
        <v>1.0</v>
      </c>
      <c r="N180" s="22" t="s">
        <v>103</v>
      </c>
      <c r="O180" s="22" t="s">
        <v>104</v>
      </c>
      <c r="P180" s="24"/>
      <c r="Q180" s="22" t="s">
        <v>90</v>
      </c>
      <c r="R180" s="22">
        <v>3.2676470751555E13</v>
      </c>
      <c r="S180" s="24"/>
      <c r="T180" s="24"/>
      <c r="U180" s="24"/>
      <c r="V180" s="22" t="s">
        <v>105</v>
      </c>
      <c r="W180" s="24"/>
      <c r="X180" s="24"/>
      <c r="Y180" s="22"/>
      <c r="Z180" s="22"/>
      <c r="AA180" s="24"/>
      <c r="AB180" s="24"/>
      <c r="AC180" s="22"/>
      <c r="AD180" s="22"/>
      <c r="AE180" s="24"/>
      <c r="AF180" s="24"/>
      <c r="AG180" s="22"/>
      <c r="AH180" s="22"/>
      <c r="AI180" s="24"/>
      <c r="AJ180" s="25"/>
      <c r="AK180" s="22"/>
      <c r="AL180" s="22"/>
      <c r="AM180" s="25"/>
      <c r="AN180" s="25"/>
    </row>
    <row r="181">
      <c r="A181" s="21" t="s">
        <v>709</v>
      </c>
      <c r="B181" s="22" t="s">
        <v>710</v>
      </c>
      <c r="C181" s="22" t="s">
        <v>82</v>
      </c>
      <c r="D181" s="26">
        <v>45997.0</v>
      </c>
      <c r="E181" s="22" t="s">
        <v>196</v>
      </c>
      <c r="F181" s="22" t="s">
        <v>311</v>
      </c>
      <c r="G181" s="22" t="s">
        <v>711</v>
      </c>
      <c r="H181" s="22" t="s">
        <v>709</v>
      </c>
      <c r="I181" s="22">
        <v>1.0428404498755E13</v>
      </c>
      <c r="J181" s="22" t="s">
        <v>712</v>
      </c>
      <c r="K181" s="24"/>
      <c r="L181" s="22" t="s">
        <v>713</v>
      </c>
      <c r="M181" s="22">
        <v>1.0</v>
      </c>
      <c r="N181" s="22" t="s">
        <v>391</v>
      </c>
      <c r="O181" s="22" t="s">
        <v>392</v>
      </c>
      <c r="P181" s="24"/>
      <c r="Q181" s="22" t="s">
        <v>90</v>
      </c>
      <c r="R181" s="22">
        <v>3.2676641243459E13</v>
      </c>
      <c r="S181" s="24"/>
      <c r="T181" s="24"/>
      <c r="U181" s="24"/>
      <c r="V181" s="22" t="s">
        <v>91</v>
      </c>
      <c r="W181" s="24"/>
      <c r="X181" s="24"/>
      <c r="Y181" s="22"/>
      <c r="Z181" s="22"/>
      <c r="AA181" s="24"/>
      <c r="AB181" s="24"/>
      <c r="AC181" s="22"/>
      <c r="AD181" s="22"/>
      <c r="AE181" s="24"/>
      <c r="AF181" s="24"/>
      <c r="AG181" s="22"/>
      <c r="AH181" s="22"/>
      <c r="AI181" s="24"/>
      <c r="AJ181" s="25"/>
      <c r="AK181" s="22"/>
      <c r="AL181" s="22"/>
      <c r="AM181" s="25"/>
      <c r="AN181" s="25"/>
    </row>
    <row r="182">
      <c r="A182" s="21" t="s">
        <v>714</v>
      </c>
      <c r="B182" s="22" t="s">
        <v>715</v>
      </c>
      <c r="C182" s="22" t="s">
        <v>273</v>
      </c>
      <c r="D182" s="26">
        <v>45998.0</v>
      </c>
      <c r="E182" s="22" t="s">
        <v>716</v>
      </c>
      <c r="F182" s="22" t="s">
        <v>717</v>
      </c>
      <c r="G182" s="22" t="s">
        <v>718</v>
      </c>
      <c r="H182" s="22" t="s">
        <v>714</v>
      </c>
      <c r="I182" s="22">
        <v>1.0424999117123E13</v>
      </c>
      <c r="J182" s="22" t="s">
        <v>719</v>
      </c>
      <c r="K182" s="24"/>
      <c r="L182" s="22" t="s">
        <v>720</v>
      </c>
      <c r="M182" s="22">
        <v>1.0</v>
      </c>
      <c r="N182" s="22" t="s">
        <v>721</v>
      </c>
      <c r="O182" s="22" t="s">
        <v>722</v>
      </c>
      <c r="P182" s="24"/>
      <c r="Q182" s="22" t="s">
        <v>90</v>
      </c>
      <c r="R182" s="22">
        <v>3.2669326573891E13</v>
      </c>
      <c r="S182" s="24"/>
      <c r="T182" s="24"/>
      <c r="U182" s="24"/>
      <c r="V182" s="22" t="s">
        <v>55</v>
      </c>
      <c r="W182" s="24"/>
      <c r="X182" s="24"/>
      <c r="Y182" s="22"/>
      <c r="Z182" s="22"/>
      <c r="AA182" s="24"/>
      <c r="AB182" s="24"/>
      <c r="AC182" s="22"/>
      <c r="AD182" s="22"/>
      <c r="AE182" s="24"/>
      <c r="AF182" s="24"/>
      <c r="AG182" s="22"/>
      <c r="AH182" s="22"/>
      <c r="AI182" s="24"/>
      <c r="AJ182" s="25"/>
      <c r="AK182" s="22"/>
      <c r="AL182" s="22"/>
      <c r="AM182" s="25"/>
      <c r="AN182" s="25"/>
    </row>
    <row r="183">
      <c r="A183" s="21" t="s">
        <v>401</v>
      </c>
      <c r="B183" s="22" t="s">
        <v>318</v>
      </c>
      <c r="C183" s="22" t="s">
        <v>82</v>
      </c>
      <c r="D183" s="26">
        <v>45997.0</v>
      </c>
      <c r="E183" s="22" t="s">
        <v>196</v>
      </c>
      <c r="F183" s="22" t="s">
        <v>319</v>
      </c>
      <c r="G183" s="22" t="s">
        <v>723</v>
      </c>
      <c r="H183" s="22" t="s">
        <v>401</v>
      </c>
      <c r="I183" s="22">
        <v>1.0428541534531E13</v>
      </c>
      <c r="J183" s="22" t="s">
        <v>527</v>
      </c>
      <c r="K183" s="24"/>
      <c r="L183" s="22" t="s">
        <v>403</v>
      </c>
      <c r="M183" s="22">
        <v>1.0</v>
      </c>
      <c r="N183" s="22" t="s">
        <v>404</v>
      </c>
      <c r="O183" s="22" t="s">
        <v>405</v>
      </c>
      <c r="P183" s="24"/>
      <c r="Q183" s="22" t="s">
        <v>90</v>
      </c>
      <c r="R183" s="22">
        <v>3.2676962206019E13</v>
      </c>
      <c r="S183" s="24"/>
      <c r="T183" s="24"/>
      <c r="U183" s="24"/>
      <c r="V183" s="22" t="s">
        <v>127</v>
      </c>
      <c r="W183" s="24"/>
      <c r="X183" s="24"/>
      <c r="Y183" s="22"/>
      <c r="Z183" s="22"/>
      <c r="AA183" s="24"/>
      <c r="AB183" s="24"/>
      <c r="AC183" s="22"/>
      <c r="AD183" s="22"/>
      <c r="AE183" s="24"/>
      <c r="AF183" s="24"/>
      <c r="AG183" s="22"/>
      <c r="AH183" s="22"/>
      <c r="AI183" s="24"/>
      <c r="AJ183" s="25"/>
      <c r="AK183" s="22"/>
      <c r="AL183" s="22"/>
      <c r="AM183" s="25"/>
      <c r="AN183" s="25"/>
    </row>
    <row r="184">
      <c r="A184" s="21" t="s">
        <v>724</v>
      </c>
      <c r="B184" s="22" t="s">
        <v>318</v>
      </c>
      <c r="C184" s="22" t="s">
        <v>82</v>
      </c>
      <c r="D184" s="26">
        <v>45997.0</v>
      </c>
      <c r="E184" s="22" t="s">
        <v>196</v>
      </c>
      <c r="F184" s="22" t="s">
        <v>319</v>
      </c>
      <c r="G184" s="22" t="s">
        <v>725</v>
      </c>
      <c r="H184" s="22" t="s">
        <v>724</v>
      </c>
      <c r="I184" s="22">
        <v>1.0428902474051E13</v>
      </c>
      <c r="J184" s="22" t="s">
        <v>527</v>
      </c>
      <c r="K184" s="24"/>
      <c r="L184" s="22" t="s">
        <v>726</v>
      </c>
      <c r="M184" s="22">
        <v>1.0</v>
      </c>
      <c r="N184" s="22" t="s">
        <v>323</v>
      </c>
      <c r="O184" s="22" t="s">
        <v>324</v>
      </c>
      <c r="P184" s="24"/>
      <c r="Q184" s="22" t="s">
        <v>90</v>
      </c>
      <c r="R184" s="22">
        <v>3.2677734580547E13</v>
      </c>
      <c r="S184" s="24"/>
      <c r="T184" s="24"/>
      <c r="U184" s="24"/>
      <c r="V184" s="22" t="s">
        <v>95</v>
      </c>
      <c r="W184" s="24"/>
      <c r="X184" s="24"/>
      <c r="Y184" s="22"/>
      <c r="Z184" s="22"/>
      <c r="AA184" s="24"/>
      <c r="AB184" s="24"/>
      <c r="AC184" s="22"/>
      <c r="AD184" s="22"/>
      <c r="AE184" s="24"/>
      <c r="AF184" s="24"/>
      <c r="AG184" s="22"/>
      <c r="AH184" s="22"/>
      <c r="AI184" s="24"/>
      <c r="AJ184" s="25"/>
      <c r="AK184" s="22"/>
      <c r="AL184" s="22"/>
      <c r="AM184" s="25"/>
      <c r="AN184" s="25"/>
    </row>
    <row r="185">
      <c r="A185" s="21" t="s">
        <v>569</v>
      </c>
      <c r="B185" s="22" t="s">
        <v>471</v>
      </c>
      <c r="C185" s="22" t="s">
        <v>82</v>
      </c>
      <c r="D185" s="26">
        <v>45997.0</v>
      </c>
      <c r="E185" s="22" t="s">
        <v>134</v>
      </c>
      <c r="F185" s="22" t="s">
        <v>472</v>
      </c>
      <c r="G185" s="22" t="s">
        <v>727</v>
      </c>
      <c r="H185" s="22" t="s">
        <v>569</v>
      </c>
      <c r="I185" s="22">
        <v>1.0428961292611E13</v>
      </c>
      <c r="J185" s="22" t="s">
        <v>474</v>
      </c>
      <c r="K185" s="24"/>
      <c r="L185" s="22" t="s">
        <v>571</v>
      </c>
      <c r="M185" s="22">
        <v>1.0</v>
      </c>
      <c r="N185" s="22" t="s">
        <v>534</v>
      </c>
      <c r="O185" s="22" t="s">
        <v>535</v>
      </c>
      <c r="P185" s="24"/>
      <c r="Q185" s="22" t="s">
        <v>90</v>
      </c>
      <c r="R185" s="22">
        <v>3.2677863260483E13</v>
      </c>
      <c r="S185" s="24"/>
      <c r="T185" s="24"/>
      <c r="U185" s="24"/>
      <c r="V185" s="22" t="s">
        <v>105</v>
      </c>
      <c r="W185" s="24"/>
      <c r="X185" s="24"/>
      <c r="Y185" s="22"/>
      <c r="Z185" s="22"/>
      <c r="AA185" s="24"/>
      <c r="AB185" s="24"/>
      <c r="AC185" s="22"/>
      <c r="AD185" s="22"/>
      <c r="AE185" s="24"/>
      <c r="AF185" s="24"/>
      <c r="AG185" s="22"/>
      <c r="AH185" s="22"/>
      <c r="AI185" s="24"/>
      <c r="AJ185" s="25"/>
      <c r="AK185" s="22"/>
      <c r="AL185" s="22"/>
      <c r="AM185" s="25"/>
      <c r="AN185" s="25"/>
    </row>
    <row r="186">
      <c r="A186" s="21" t="s">
        <v>124</v>
      </c>
      <c r="B186" s="22" t="s">
        <v>728</v>
      </c>
      <c r="C186" s="22" t="s">
        <v>202</v>
      </c>
      <c r="D186" s="26">
        <v>45996.0</v>
      </c>
      <c r="E186" s="22" t="s">
        <v>145</v>
      </c>
      <c r="F186" s="22" t="s">
        <v>83</v>
      </c>
      <c r="G186" s="22" t="s">
        <v>729</v>
      </c>
      <c r="H186" s="22" t="s">
        <v>124</v>
      </c>
      <c r="I186" s="22">
        <v>1.0428963389763E13</v>
      </c>
      <c r="J186" s="22" t="s">
        <v>730</v>
      </c>
      <c r="K186" s="24"/>
      <c r="L186" s="22" t="s">
        <v>126</v>
      </c>
      <c r="M186" s="22">
        <v>1.0</v>
      </c>
      <c r="N186" s="22" t="s">
        <v>103</v>
      </c>
      <c r="O186" s="22" t="s">
        <v>104</v>
      </c>
      <c r="P186" s="24"/>
      <c r="Q186" s="22" t="s">
        <v>90</v>
      </c>
      <c r="R186" s="22">
        <v>3.2677868175683E13</v>
      </c>
      <c r="S186" s="24"/>
      <c r="T186" s="24"/>
      <c r="U186" s="24"/>
      <c r="V186" s="22" t="s">
        <v>127</v>
      </c>
      <c r="W186" s="24"/>
      <c r="X186" s="24"/>
      <c r="Y186" s="22"/>
      <c r="Z186" s="22"/>
      <c r="AA186" s="24"/>
      <c r="AB186" s="24"/>
      <c r="AC186" s="22"/>
      <c r="AD186" s="22"/>
      <c r="AE186" s="24"/>
      <c r="AF186" s="24"/>
      <c r="AG186" s="22"/>
      <c r="AH186" s="22"/>
      <c r="AI186" s="24"/>
      <c r="AJ186" s="25"/>
      <c r="AK186" s="22"/>
      <c r="AL186" s="22"/>
      <c r="AM186" s="25"/>
      <c r="AN186" s="25"/>
    </row>
    <row r="187">
      <c r="A187" s="21" t="s">
        <v>92</v>
      </c>
      <c r="B187" s="22" t="s">
        <v>297</v>
      </c>
      <c r="C187" s="22" t="s">
        <v>82</v>
      </c>
      <c r="D187" s="26">
        <v>45997.0</v>
      </c>
      <c r="E187" s="22"/>
      <c r="F187" s="22" t="s">
        <v>83</v>
      </c>
      <c r="G187" s="22" t="s">
        <v>731</v>
      </c>
      <c r="H187" s="22" t="s">
        <v>92</v>
      </c>
      <c r="I187" s="22">
        <v>1.0429030793539E13</v>
      </c>
      <c r="J187" s="22" t="s">
        <v>397</v>
      </c>
      <c r="K187" s="24"/>
      <c r="L187" s="22" t="s">
        <v>94</v>
      </c>
      <c r="M187" s="22">
        <v>1.0</v>
      </c>
      <c r="N187" s="22" t="s">
        <v>87</v>
      </c>
      <c r="O187" s="22" t="s">
        <v>88</v>
      </c>
      <c r="P187" s="24"/>
      <c r="Q187" s="22" t="s">
        <v>90</v>
      </c>
      <c r="R187" s="22">
        <v>3.2678013272387E13</v>
      </c>
      <c r="S187" s="24"/>
      <c r="T187" s="24"/>
      <c r="U187" s="24"/>
      <c r="V187" s="22" t="s">
        <v>95</v>
      </c>
      <c r="W187" s="24"/>
      <c r="X187" s="24"/>
      <c r="Y187" s="22"/>
      <c r="Z187" s="22"/>
      <c r="AA187" s="24"/>
      <c r="AB187" s="24"/>
      <c r="AC187" s="22"/>
      <c r="AD187" s="22"/>
      <c r="AE187" s="24"/>
      <c r="AF187" s="25"/>
      <c r="AG187" s="22"/>
      <c r="AH187" s="22"/>
      <c r="AI187" s="25"/>
      <c r="AJ187" s="25"/>
    </row>
    <row r="188">
      <c r="A188" s="21" t="s">
        <v>732</v>
      </c>
      <c r="B188" s="22" t="s">
        <v>733</v>
      </c>
      <c r="C188" s="22" t="s">
        <v>82</v>
      </c>
      <c r="D188" s="26">
        <v>45997.0</v>
      </c>
      <c r="E188" s="22" t="s">
        <v>734</v>
      </c>
      <c r="F188" s="22" t="s">
        <v>634</v>
      </c>
      <c r="G188" s="22" t="s">
        <v>735</v>
      </c>
      <c r="H188" s="22" t="s">
        <v>732</v>
      </c>
      <c r="I188" s="22">
        <v>1.0428242690371E13</v>
      </c>
      <c r="J188" s="22" t="s">
        <v>736</v>
      </c>
      <c r="K188" s="24"/>
      <c r="L188" s="22" t="s">
        <v>737</v>
      </c>
      <c r="M188" s="22">
        <v>1.0</v>
      </c>
      <c r="N188" s="22" t="s">
        <v>738</v>
      </c>
      <c r="O188" s="22" t="s">
        <v>739</v>
      </c>
      <c r="P188" s="24"/>
      <c r="Q188" s="22" t="s">
        <v>90</v>
      </c>
      <c r="R188" s="22">
        <v>3.2676297015619E13</v>
      </c>
      <c r="S188" s="24"/>
      <c r="T188" s="24"/>
      <c r="U188" s="24"/>
      <c r="V188" s="22" t="s">
        <v>105</v>
      </c>
      <c r="W188" s="24"/>
      <c r="X188" s="24"/>
      <c r="Y188" s="22"/>
      <c r="Z188" s="22"/>
      <c r="AA188" s="24"/>
      <c r="AB188" s="24"/>
      <c r="AC188" s="22"/>
      <c r="AD188" s="22"/>
      <c r="AE188" s="24"/>
      <c r="AF188" s="25"/>
      <c r="AG188" s="22"/>
      <c r="AH188" s="22"/>
      <c r="AI188" s="25"/>
      <c r="AJ188" s="25"/>
    </row>
    <row r="189">
      <c r="A189" s="21" t="s">
        <v>740</v>
      </c>
      <c r="B189" s="22" t="s">
        <v>741</v>
      </c>
      <c r="C189" s="22" t="s">
        <v>82</v>
      </c>
      <c r="D189" s="26">
        <v>45997.0</v>
      </c>
      <c r="E189" s="22" t="s">
        <v>134</v>
      </c>
      <c r="F189" s="22" t="s">
        <v>303</v>
      </c>
      <c r="G189" s="22" t="s">
        <v>742</v>
      </c>
      <c r="H189" s="22" t="s">
        <v>740</v>
      </c>
      <c r="I189" s="22">
        <v>1.0429395992899E13</v>
      </c>
      <c r="J189" s="22" t="s">
        <v>743</v>
      </c>
      <c r="K189" s="24"/>
      <c r="L189" s="22" t="s">
        <v>744</v>
      </c>
      <c r="M189" s="22">
        <v>1.0</v>
      </c>
      <c r="N189" s="22" t="s">
        <v>307</v>
      </c>
      <c r="O189" s="22" t="s">
        <v>308</v>
      </c>
      <c r="P189" s="24"/>
      <c r="Q189" s="22" t="s">
        <v>90</v>
      </c>
      <c r="R189" s="22">
        <v>3.2678813958467E13</v>
      </c>
      <c r="S189" s="24"/>
      <c r="T189" s="24"/>
      <c r="U189" s="24"/>
      <c r="V189" s="22" t="s">
        <v>91</v>
      </c>
      <c r="W189" s="24"/>
      <c r="X189" s="24"/>
      <c r="Y189" s="22"/>
      <c r="Z189" s="22"/>
      <c r="AA189" s="24"/>
      <c r="AB189" s="24"/>
      <c r="AC189" s="22"/>
      <c r="AD189" s="22"/>
      <c r="AE189" s="24"/>
      <c r="AF189" s="25"/>
      <c r="AG189" s="22"/>
      <c r="AH189" s="22"/>
      <c r="AI189" s="25"/>
      <c r="AJ189" s="25"/>
    </row>
    <row r="190">
      <c r="A190" s="21" t="s">
        <v>745</v>
      </c>
      <c r="B190" s="22" t="s">
        <v>710</v>
      </c>
      <c r="C190" s="22" t="s">
        <v>82</v>
      </c>
      <c r="D190" s="26">
        <v>45997.0</v>
      </c>
      <c r="E190" s="22" t="s">
        <v>196</v>
      </c>
      <c r="F190" s="22" t="s">
        <v>311</v>
      </c>
      <c r="G190" s="22" t="s">
        <v>746</v>
      </c>
      <c r="H190" s="22" t="s">
        <v>745</v>
      </c>
      <c r="I190" s="22">
        <v>1.0429422436675E13</v>
      </c>
      <c r="J190" s="22" t="s">
        <v>712</v>
      </c>
      <c r="K190" s="24"/>
      <c r="L190" s="22" t="s">
        <v>747</v>
      </c>
      <c r="M190" s="22">
        <v>1.0</v>
      </c>
      <c r="N190" s="22" t="s">
        <v>315</v>
      </c>
      <c r="O190" s="22" t="s">
        <v>316</v>
      </c>
      <c r="P190" s="24"/>
      <c r="Q190" s="22" t="s">
        <v>90</v>
      </c>
      <c r="R190" s="22">
        <v>3.2678870221123E13</v>
      </c>
      <c r="S190" s="24"/>
      <c r="T190" s="24"/>
      <c r="U190" s="24"/>
      <c r="V190" s="27" t="s">
        <v>175</v>
      </c>
      <c r="W190" s="24"/>
      <c r="X190" s="24"/>
      <c r="Y190" s="22"/>
      <c r="Z190" s="22"/>
      <c r="AA190" s="24"/>
      <c r="AB190" s="24"/>
      <c r="AC190" s="22"/>
      <c r="AD190" s="22"/>
      <c r="AE190" s="24"/>
      <c r="AF190" s="25"/>
      <c r="AG190" s="22"/>
      <c r="AH190" s="22"/>
      <c r="AI190" s="25"/>
      <c r="AJ190" s="25"/>
    </row>
    <row r="191">
      <c r="A191" s="21" t="s">
        <v>602</v>
      </c>
      <c r="B191" s="22" t="s">
        <v>748</v>
      </c>
      <c r="C191" s="22" t="s">
        <v>287</v>
      </c>
      <c r="D191" s="26">
        <v>45994.0</v>
      </c>
      <c r="E191" s="22" t="s">
        <v>749</v>
      </c>
      <c r="F191" s="22" t="s">
        <v>605</v>
      </c>
      <c r="G191" s="22" t="s">
        <v>750</v>
      </c>
      <c r="H191" s="22" t="s">
        <v>602</v>
      </c>
      <c r="I191" s="22">
        <v>1.0429728457027E13</v>
      </c>
      <c r="J191" s="22" t="s">
        <v>751</v>
      </c>
      <c r="K191" s="24"/>
      <c r="L191" s="22" t="s">
        <v>608</v>
      </c>
      <c r="M191" s="22">
        <v>1.0</v>
      </c>
      <c r="N191" s="22" t="s">
        <v>609</v>
      </c>
      <c r="O191" s="22" t="s">
        <v>610</v>
      </c>
      <c r="P191" s="24"/>
      <c r="Q191" s="22" t="s">
        <v>90</v>
      </c>
      <c r="R191" s="22">
        <v>3.2679533183299E13</v>
      </c>
      <c r="S191" s="24"/>
      <c r="T191" s="24"/>
      <c r="U191" s="24"/>
      <c r="V191" s="22" t="s">
        <v>54</v>
      </c>
      <c r="W191" s="24"/>
      <c r="X191" s="24"/>
      <c r="Y191" s="22"/>
      <c r="Z191" s="22"/>
      <c r="AA191" s="24"/>
      <c r="AB191" s="24"/>
      <c r="AC191" s="22"/>
      <c r="AD191" s="22"/>
      <c r="AE191" s="24"/>
      <c r="AF191" s="25"/>
      <c r="AG191" s="22"/>
      <c r="AH191" s="22"/>
      <c r="AI191" s="25"/>
      <c r="AJ191" s="25"/>
    </row>
    <row r="192">
      <c r="A192" s="21" t="s">
        <v>752</v>
      </c>
      <c r="B192" s="22" t="s">
        <v>318</v>
      </c>
      <c r="C192" s="22" t="s">
        <v>82</v>
      </c>
      <c r="D192" s="26">
        <v>45997.0</v>
      </c>
      <c r="E192" s="22" t="s">
        <v>196</v>
      </c>
      <c r="F192" s="22" t="s">
        <v>319</v>
      </c>
      <c r="G192" s="22" t="s">
        <v>753</v>
      </c>
      <c r="H192" s="22" t="s">
        <v>752</v>
      </c>
      <c r="I192" s="22">
        <v>1.0429991715139E13</v>
      </c>
      <c r="J192" s="22" t="s">
        <v>527</v>
      </c>
      <c r="K192" s="24"/>
      <c r="L192" s="22" t="s">
        <v>754</v>
      </c>
      <c r="M192" s="22">
        <v>1.0</v>
      </c>
      <c r="N192" s="22" t="s">
        <v>404</v>
      </c>
      <c r="O192" s="22" t="s">
        <v>405</v>
      </c>
      <c r="P192" s="24"/>
      <c r="Q192" s="22" t="s">
        <v>90</v>
      </c>
      <c r="R192" s="22">
        <v>3.2680110555459E13</v>
      </c>
      <c r="S192" s="24"/>
      <c r="T192" s="24"/>
      <c r="U192" s="24"/>
      <c r="V192" s="22" t="s">
        <v>175</v>
      </c>
      <c r="W192" s="24"/>
      <c r="X192" s="24"/>
      <c r="Y192" s="22"/>
      <c r="Z192" s="22"/>
      <c r="AA192" s="24"/>
      <c r="AB192" s="24"/>
      <c r="AC192" s="22"/>
      <c r="AD192" s="22"/>
      <c r="AE192" s="24"/>
      <c r="AF192" s="25"/>
      <c r="AG192" s="22"/>
      <c r="AH192" s="22"/>
      <c r="AI192" s="25"/>
      <c r="AJ192" s="25"/>
    </row>
    <row r="193">
      <c r="A193" s="21" t="s">
        <v>92</v>
      </c>
      <c r="B193" s="22" t="s">
        <v>755</v>
      </c>
      <c r="C193" s="22" t="s">
        <v>202</v>
      </c>
      <c r="D193" s="26">
        <v>45996.0</v>
      </c>
      <c r="E193" s="22" t="s">
        <v>153</v>
      </c>
      <c r="F193" s="22" t="s">
        <v>83</v>
      </c>
      <c r="G193" s="22" t="s">
        <v>756</v>
      </c>
      <c r="H193" s="22" t="s">
        <v>92</v>
      </c>
      <c r="I193" s="22">
        <v>1.0429996695875E13</v>
      </c>
      <c r="J193" s="22" t="s">
        <v>757</v>
      </c>
      <c r="K193" s="24"/>
      <c r="L193" s="22" t="s">
        <v>94</v>
      </c>
      <c r="M193" s="22">
        <v>1.0</v>
      </c>
      <c r="N193" s="22" t="s">
        <v>87</v>
      </c>
      <c r="O193" s="22" t="s">
        <v>88</v>
      </c>
      <c r="P193" s="24"/>
      <c r="Q193" s="22" t="s">
        <v>90</v>
      </c>
      <c r="R193" s="22">
        <v>3.2680121631043E13</v>
      </c>
      <c r="S193" s="24"/>
      <c r="T193" s="24"/>
      <c r="U193" s="24"/>
      <c r="V193" s="22" t="s">
        <v>95</v>
      </c>
      <c r="W193" s="24"/>
      <c r="X193" s="24"/>
      <c r="Y193" s="22"/>
      <c r="Z193" s="22"/>
      <c r="AA193" s="24"/>
      <c r="AB193" s="24"/>
      <c r="AC193" s="22"/>
      <c r="AD193" s="22"/>
      <c r="AE193" s="24"/>
      <c r="AF193" s="25"/>
      <c r="AG193" s="22"/>
      <c r="AH193" s="22"/>
      <c r="AI193" s="25"/>
      <c r="AJ193" s="25"/>
    </row>
    <row r="194">
      <c r="A194" s="21" t="s">
        <v>758</v>
      </c>
      <c r="B194" s="22" t="s">
        <v>759</v>
      </c>
      <c r="C194" s="22" t="s">
        <v>202</v>
      </c>
      <c r="D194" s="26">
        <v>45996.0</v>
      </c>
      <c r="E194" s="22" t="s">
        <v>181</v>
      </c>
      <c r="F194" s="22" t="s">
        <v>717</v>
      </c>
      <c r="G194" s="22" t="s">
        <v>760</v>
      </c>
      <c r="H194" s="22" t="s">
        <v>758</v>
      </c>
      <c r="I194" s="22">
        <v>1.0430018158915E13</v>
      </c>
      <c r="J194" s="22" t="s">
        <v>761</v>
      </c>
      <c r="K194" s="24"/>
      <c r="L194" s="22" t="s">
        <v>762</v>
      </c>
      <c r="M194" s="22">
        <v>1.0</v>
      </c>
      <c r="N194" s="22" t="s">
        <v>721</v>
      </c>
      <c r="O194" s="22" t="s">
        <v>722</v>
      </c>
      <c r="P194" s="24"/>
      <c r="Q194" s="22" t="s">
        <v>90</v>
      </c>
      <c r="R194" s="22">
        <v>3.2680168653123E13</v>
      </c>
      <c r="S194" s="24"/>
      <c r="T194" s="24"/>
      <c r="U194" s="24"/>
      <c r="V194" s="22" t="s">
        <v>54</v>
      </c>
      <c r="W194" s="24"/>
      <c r="X194" s="24"/>
      <c r="Y194" s="22"/>
      <c r="Z194" s="22"/>
      <c r="AA194" s="24"/>
      <c r="AB194" s="24"/>
      <c r="AC194" s="22"/>
      <c r="AD194" s="22"/>
      <c r="AE194" s="24"/>
      <c r="AF194" s="25"/>
      <c r="AG194" s="22"/>
      <c r="AH194" s="22"/>
      <c r="AI194" s="25"/>
      <c r="AJ194" s="25"/>
    </row>
    <row r="195">
      <c r="A195" s="21" t="s">
        <v>620</v>
      </c>
      <c r="B195" s="22" t="s">
        <v>763</v>
      </c>
      <c r="C195" s="22" t="s">
        <v>82</v>
      </c>
      <c r="D195" s="26">
        <v>45997.0</v>
      </c>
      <c r="E195" s="22" t="s">
        <v>149</v>
      </c>
      <c r="F195" s="22" t="s">
        <v>623</v>
      </c>
      <c r="G195" s="22" t="s">
        <v>764</v>
      </c>
      <c r="H195" s="22" t="s">
        <v>620</v>
      </c>
      <c r="I195" s="22">
        <v>1.0430233870659E13</v>
      </c>
      <c r="J195" s="22" t="s">
        <v>765</v>
      </c>
      <c r="K195" s="24"/>
      <c r="L195" s="22" t="s">
        <v>626</v>
      </c>
      <c r="M195" s="22">
        <v>1.0</v>
      </c>
      <c r="N195" s="22" t="s">
        <v>627</v>
      </c>
      <c r="O195" s="22" t="s">
        <v>628</v>
      </c>
      <c r="P195" s="24"/>
      <c r="Q195" s="22" t="s">
        <v>90</v>
      </c>
      <c r="R195" s="22">
        <v>3.2680648409411E13</v>
      </c>
      <c r="S195" s="24"/>
      <c r="T195" s="24"/>
      <c r="U195" s="24"/>
      <c r="V195" s="22" t="s">
        <v>54</v>
      </c>
      <c r="W195" s="24"/>
      <c r="X195" s="24"/>
      <c r="Y195" s="22"/>
      <c r="Z195" s="22"/>
      <c r="AA195" s="24"/>
      <c r="AB195" s="24"/>
      <c r="AC195" s="22"/>
      <c r="AD195" s="22"/>
      <c r="AE195" s="24"/>
      <c r="AF195" s="25"/>
      <c r="AG195" s="22"/>
      <c r="AH195" s="22"/>
      <c r="AI195" s="25"/>
      <c r="AJ195" s="25"/>
    </row>
    <row r="196">
      <c r="A196" s="21" t="s">
        <v>584</v>
      </c>
      <c r="B196" s="22" t="s">
        <v>376</v>
      </c>
      <c r="C196" s="22" t="s">
        <v>82</v>
      </c>
      <c r="D196" s="26">
        <v>45997.0</v>
      </c>
      <c r="E196" s="22" t="s">
        <v>149</v>
      </c>
      <c r="F196" s="22" t="s">
        <v>377</v>
      </c>
      <c r="G196" s="22" t="s">
        <v>766</v>
      </c>
      <c r="H196" s="22" t="s">
        <v>584</v>
      </c>
      <c r="I196" s="22">
        <v>1.0430328537411E13</v>
      </c>
      <c r="J196" s="22" t="s">
        <v>379</v>
      </c>
      <c r="K196" s="24"/>
      <c r="L196" s="22" t="s">
        <v>586</v>
      </c>
      <c r="M196" s="22">
        <v>1.0</v>
      </c>
      <c r="N196" s="22" t="s">
        <v>413</v>
      </c>
      <c r="O196" s="22" t="s">
        <v>414</v>
      </c>
      <c r="P196" s="24"/>
      <c r="Q196" s="22" t="s">
        <v>90</v>
      </c>
      <c r="R196" s="22">
        <v>3.2680877982019E13</v>
      </c>
      <c r="S196" s="24"/>
      <c r="T196" s="24"/>
      <c r="U196" s="24"/>
      <c r="V196" s="22" t="s">
        <v>105</v>
      </c>
      <c r="W196" s="24"/>
      <c r="X196" s="24"/>
      <c r="Y196" s="22"/>
      <c r="Z196" s="22"/>
      <c r="AA196" s="24"/>
      <c r="AB196" s="24"/>
      <c r="AC196" s="22"/>
      <c r="AD196" s="22"/>
      <c r="AE196" s="24"/>
      <c r="AF196" s="25"/>
      <c r="AG196" s="22"/>
      <c r="AH196" s="22"/>
      <c r="AI196" s="25"/>
      <c r="AJ196" s="25"/>
    </row>
    <row r="197">
      <c r="A197" s="28"/>
      <c r="B197" s="22" t="s">
        <v>376</v>
      </c>
      <c r="C197" s="22" t="s">
        <v>82</v>
      </c>
      <c r="D197" s="26">
        <v>45997.0</v>
      </c>
      <c r="E197" s="22" t="s">
        <v>149</v>
      </c>
      <c r="F197" s="22" t="s">
        <v>377</v>
      </c>
      <c r="G197" s="22" t="s">
        <v>766</v>
      </c>
      <c r="H197" s="29"/>
      <c r="I197" s="22">
        <v>1.0430328537411E13</v>
      </c>
      <c r="J197" s="22" t="s">
        <v>379</v>
      </c>
      <c r="K197" s="24"/>
      <c r="L197" s="22" t="s">
        <v>767</v>
      </c>
      <c r="M197" s="24"/>
      <c r="N197" s="24"/>
      <c r="O197" s="22" t="s">
        <v>768</v>
      </c>
      <c r="P197" s="24"/>
      <c r="Q197" s="22" t="s">
        <v>769</v>
      </c>
      <c r="R197" s="24"/>
      <c r="S197" s="24"/>
      <c r="T197" s="24"/>
      <c r="U197" s="24"/>
      <c r="V197" s="22"/>
      <c r="W197" s="24"/>
      <c r="X197" s="24"/>
      <c r="Y197" s="22"/>
      <c r="Z197" s="22"/>
      <c r="AA197" s="24"/>
      <c r="AB197" s="24"/>
      <c r="AC197" s="22"/>
      <c r="AD197" s="22"/>
      <c r="AE197" s="24"/>
      <c r="AF197" s="25"/>
      <c r="AG197" s="22"/>
      <c r="AH197" s="22"/>
      <c r="AI197" s="25"/>
      <c r="AJ197" s="25"/>
    </row>
    <row r="198">
      <c r="A198" s="21" t="s">
        <v>317</v>
      </c>
      <c r="B198" s="22" t="s">
        <v>770</v>
      </c>
      <c r="C198" s="22" t="s">
        <v>82</v>
      </c>
      <c r="D198" s="26">
        <v>45997.0</v>
      </c>
      <c r="E198" s="22" t="s">
        <v>181</v>
      </c>
      <c r="F198" s="22" t="s">
        <v>319</v>
      </c>
      <c r="G198" s="22" t="s">
        <v>771</v>
      </c>
      <c r="H198" s="22" t="s">
        <v>317</v>
      </c>
      <c r="I198" s="22">
        <v>1.0430586192195E13</v>
      </c>
      <c r="J198" s="22" t="s">
        <v>772</v>
      </c>
      <c r="K198" s="24"/>
      <c r="L198" s="22" t="s">
        <v>322</v>
      </c>
      <c r="M198" s="22">
        <v>1.0</v>
      </c>
      <c r="N198" s="22" t="s">
        <v>323</v>
      </c>
      <c r="O198" s="22" t="s">
        <v>324</v>
      </c>
      <c r="P198" s="24"/>
      <c r="Q198" s="22" t="s">
        <v>90</v>
      </c>
      <c r="R198" s="22">
        <v>3.2681421406531E13</v>
      </c>
      <c r="S198" s="24"/>
      <c r="T198" s="24"/>
      <c r="U198" s="24"/>
      <c r="V198" s="22" t="s">
        <v>55</v>
      </c>
      <c r="W198" s="24"/>
      <c r="X198" s="24"/>
      <c r="Y198" s="22"/>
      <c r="Z198" s="22"/>
      <c r="AA198" s="24"/>
      <c r="AB198" s="24"/>
      <c r="AC198" s="22"/>
      <c r="AD198" s="22"/>
      <c r="AE198" s="24"/>
      <c r="AF198" s="25"/>
      <c r="AG198" s="22"/>
      <c r="AH198" s="22"/>
      <c r="AI198" s="25"/>
      <c r="AJ198" s="25"/>
    </row>
    <row r="199">
      <c r="A199" s="21" t="s">
        <v>209</v>
      </c>
      <c r="B199" s="22" t="s">
        <v>773</v>
      </c>
      <c r="C199" s="22" t="s">
        <v>273</v>
      </c>
      <c r="D199" s="23">
        <v>45991.0</v>
      </c>
      <c r="E199" s="22" t="s">
        <v>211</v>
      </c>
      <c r="F199" s="22" t="s">
        <v>111</v>
      </c>
      <c r="G199" s="22" t="s">
        <v>774</v>
      </c>
      <c r="H199" s="22" t="s">
        <v>209</v>
      </c>
      <c r="I199" s="22">
        <v>1.0430911512899E13</v>
      </c>
      <c r="J199" s="22" t="s">
        <v>775</v>
      </c>
      <c r="K199" s="24"/>
      <c r="L199" s="22" t="s">
        <v>214</v>
      </c>
      <c r="M199" s="22">
        <v>1.0</v>
      </c>
      <c r="N199" s="22" t="s">
        <v>115</v>
      </c>
      <c r="O199" s="22" t="s">
        <v>116</v>
      </c>
      <c r="P199" s="24"/>
      <c r="Q199" s="22" t="s">
        <v>90</v>
      </c>
      <c r="R199" s="22">
        <v>3.2682128081219E13</v>
      </c>
      <c r="S199" s="24"/>
      <c r="T199" s="24"/>
      <c r="U199" s="24"/>
      <c r="V199" s="27" t="s">
        <v>91</v>
      </c>
      <c r="W199" s="24"/>
      <c r="X199" s="24"/>
      <c r="Y199" s="22"/>
      <c r="Z199" s="22"/>
      <c r="AA199" s="24"/>
      <c r="AB199" s="24"/>
      <c r="AC199" s="22"/>
      <c r="AD199" s="22"/>
      <c r="AE199" s="24"/>
      <c r="AF199" s="25"/>
      <c r="AG199" s="22"/>
      <c r="AH199" s="22"/>
      <c r="AI199" s="25"/>
      <c r="AJ199" s="25"/>
    </row>
    <row r="200">
      <c r="A200" s="21" t="s">
        <v>185</v>
      </c>
      <c r="B200" s="22" t="s">
        <v>393</v>
      </c>
      <c r="C200" s="22" t="s">
        <v>82</v>
      </c>
      <c r="D200" s="26">
        <v>45997.0</v>
      </c>
      <c r="E200" s="22" t="s">
        <v>187</v>
      </c>
      <c r="F200" s="22" t="s">
        <v>111</v>
      </c>
      <c r="G200" s="22" t="s">
        <v>776</v>
      </c>
      <c r="H200" s="22" t="s">
        <v>185</v>
      </c>
      <c r="I200" s="22">
        <v>1.0430961123651E13</v>
      </c>
      <c r="J200" s="22" t="s">
        <v>395</v>
      </c>
      <c r="K200" s="24"/>
      <c r="L200" s="22" t="s">
        <v>190</v>
      </c>
      <c r="M200" s="22">
        <v>1.0</v>
      </c>
      <c r="N200" s="22" t="s">
        <v>115</v>
      </c>
      <c r="O200" s="22" t="s">
        <v>116</v>
      </c>
      <c r="P200" s="24"/>
      <c r="Q200" s="22" t="s">
        <v>90</v>
      </c>
      <c r="R200" s="22">
        <v>3.2682237231427E13</v>
      </c>
      <c r="S200" s="24"/>
      <c r="T200" s="24"/>
      <c r="U200" s="24"/>
      <c r="V200" s="22" t="s">
        <v>95</v>
      </c>
      <c r="W200" s="24"/>
      <c r="X200" s="24"/>
      <c r="Y200" s="22"/>
      <c r="Z200" s="22"/>
      <c r="AA200" s="24"/>
      <c r="AB200" s="24"/>
      <c r="AC200" s="22"/>
      <c r="AD200" s="22"/>
      <c r="AE200" s="24"/>
      <c r="AF200" s="25"/>
      <c r="AG200" s="22"/>
      <c r="AH200" s="22"/>
      <c r="AI200" s="25"/>
      <c r="AJ200" s="25"/>
    </row>
    <row r="201">
      <c r="A201" s="21" t="s">
        <v>141</v>
      </c>
      <c r="B201" s="22" t="s">
        <v>297</v>
      </c>
      <c r="C201" s="22" t="s">
        <v>82</v>
      </c>
      <c r="D201" s="26">
        <v>45997.0</v>
      </c>
      <c r="E201" s="22"/>
      <c r="F201" s="22" t="s">
        <v>83</v>
      </c>
      <c r="G201" s="22" t="s">
        <v>777</v>
      </c>
      <c r="H201" s="22" t="s">
        <v>141</v>
      </c>
      <c r="I201" s="22">
        <v>1.0430994284867E13</v>
      </c>
      <c r="J201" s="22" t="s">
        <v>397</v>
      </c>
      <c r="K201" s="24"/>
      <c r="L201" s="22" t="s">
        <v>143</v>
      </c>
      <c r="M201" s="22">
        <v>1.0</v>
      </c>
      <c r="N201" s="22" t="s">
        <v>87</v>
      </c>
      <c r="O201" s="22" t="s">
        <v>88</v>
      </c>
      <c r="P201" s="24"/>
      <c r="Q201" s="22" t="s">
        <v>90</v>
      </c>
      <c r="R201" s="22">
        <v>3.2682310402371E13</v>
      </c>
      <c r="S201" s="24"/>
      <c r="T201" s="24"/>
      <c r="U201" s="24"/>
      <c r="V201" s="22" t="s">
        <v>54</v>
      </c>
      <c r="W201" s="24"/>
      <c r="X201" s="24"/>
      <c r="Y201" s="22"/>
      <c r="Z201" s="22"/>
      <c r="AA201" s="24"/>
      <c r="AB201" s="24"/>
      <c r="AC201" s="22"/>
      <c r="AD201" s="22"/>
      <c r="AE201" s="24"/>
      <c r="AF201" s="25"/>
      <c r="AG201" s="22"/>
      <c r="AH201" s="22"/>
      <c r="AI201" s="25"/>
      <c r="AJ201" s="25"/>
    </row>
    <row r="202">
      <c r="A202" s="21" t="s">
        <v>778</v>
      </c>
      <c r="B202" s="22" t="s">
        <v>574</v>
      </c>
      <c r="C202" s="22" t="s">
        <v>273</v>
      </c>
      <c r="D202" s="26">
        <v>45998.0</v>
      </c>
      <c r="E202" s="22" t="s">
        <v>187</v>
      </c>
      <c r="F202" s="22" t="s">
        <v>440</v>
      </c>
      <c r="G202" s="22" t="s">
        <v>779</v>
      </c>
      <c r="H202" s="22" t="s">
        <v>778</v>
      </c>
      <c r="I202" s="22">
        <v>1.0426468827459E13</v>
      </c>
      <c r="J202" s="22" t="s">
        <v>576</v>
      </c>
      <c r="K202" s="24"/>
      <c r="L202" s="22" t="s">
        <v>780</v>
      </c>
      <c r="M202" s="22">
        <v>1.0</v>
      </c>
      <c r="N202" s="22" t="s">
        <v>781</v>
      </c>
      <c r="O202" s="22" t="s">
        <v>782</v>
      </c>
      <c r="P202" s="24"/>
      <c r="Q202" s="22" t="s">
        <v>90</v>
      </c>
      <c r="R202" s="22">
        <v>3.2672502055235E13</v>
      </c>
      <c r="S202" s="24"/>
      <c r="T202" s="24"/>
      <c r="U202" s="24"/>
      <c r="V202" s="22" t="s">
        <v>127</v>
      </c>
      <c r="W202" s="24"/>
      <c r="X202" s="24"/>
      <c r="Y202" s="22"/>
      <c r="Z202" s="22"/>
      <c r="AA202" s="24"/>
      <c r="AB202" s="24"/>
      <c r="AC202" s="22"/>
      <c r="AD202" s="22"/>
      <c r="AE202" s="24"/>
      <c r="AF202" s="25"/>
      <c r="AG202" s="22"/>
      <c r="AH202" s="22"/>
      <c r="AI202" s="25"/>
      <c r="AJ202" s="25"/>
    </row>
    <row r="203">
      <c r="A203" s="21" t="s">
        <v>783</v>
      </c>
      <c r="B203" s="22" t="s">
        <v>741</v>
      </c>
      <c r="C203" s="22" t="s">
        <v>82</v>
      </c>
      <c r="D203" s="26">
        <v>45997.0</v>
      </c>
      <c r="E203" s="22" t="s">
        <v>134</v>
      </c>
      <c r="F203" s="22" t="s">
        <v>303</v>
      </c>
      <c r="G203" s="22" t="s">
        <v>784</v>
      </c>
      <c r="H203" s="22" t="s">
        <v>783</v>
      </c>
      <c r="I203" s="22">
        <v>1.0431215075651E13</v>
      </c>
      <c r="J203" s="22" t="s">
        <v>743</v>
      </c>
      <c r="K203" s="24"/>
      <c r="L203" s="22" t="s">
        <v>785</v>
      </c>
      <c r="M203" s="22">
        <v>1.0</v>
      </c>
      <c r="N203" s="22" t="s">
        <v>307</v>
      </c>
      <c r="O203" s="22" t="s">
        <v>308</v>
      </c>
      <c r="P203" s="24"/>
      <c r="Q203" s="22" t="s">
        <v>90</v>
      </c>
      <c r="R203" s="22">
        <v>3.2682803560771E13</v>
      </c>
      <c r="S203" s="24"/>
      <c r="T203" s="24"/>
      <c r="U203" s="24"/>
      <c r="V203" s="22" t="s">
        <v>95</v>
      </c>
      <c r="W203" s="24"/>
      <c r="X203" s="24"/>
      <c r="Y203" s="22"/>
      <c r="Z203" s="22"/>
      <c r="AA203" s="24"/>
      <c r="AB203" s="24"/>
      <c r="AC203" s="22"/>
      <c r="AD203" s="22"/>
      <c r="AE203" s="24"/>
      <c r="AF203" s="25"/>
      <c r="AG203" s="22"/>
      <c r="AH203" s="22"/>
      <c r="AI203" s="25"/>
      <c r="AJ203" s="25"/>
    </row>
    <row r="204">
      <c r="A204" s="21" t="s">
        <v>569</v>
      </c>
      <c r="B204" s="22" t="s">
        <v>786</v>
      </c>
      <c r="C204" s="22" t="s">
        <v>273</v>
      </c>
      <c r="D204" s="26">
        <v>45998.0</v>
      </c>
      <c r="E204" s="22" t="s">
        <v>145</v>
      </c>
      <c r="F204" s="22" t="s">
        <v>472</v>
      </c>
      <c r="G204" s="22" t="s">
        <v>787</v>
      </c>
      <c r="H204" s="22" t="s">
        <v>569</v>
      </c>
      <c r="I204" s="22">
        <v>1.0431435014467E13</v>
      </c>
      <c r="J204" s="22" t="s">
        <v>788</v>
      </c>
      <c r="K204" s="24"/>
      <c r="L204" s="22" t="s">
        <v>571</v>
      </c>
      <c r="M204" s="22">
        <v>1.0</v>
      </c>
      <c r="N204" s="22" t="s">
        <v>534</v>
      </c>
      <c r="O204" s="22" t="s">
        <v>535</v>
      </c>
      <c r="P204" s="24"/>
      <c r="Q204" s="22" t="s">
        <v>90</v>
      </c>
      <c r="R204" s="22">
        <v>3.2683277713731E13</v>
      </c>
      <c r="S204" s="24"/>
      <c r="T204" s="24"/>
      <c r="U204" s="24"/>
      <c r="V204" s="22" t="s">
        <v>105</v>
      </c>
      <c r="W204" s="24"/>
      <c r="X204" s="24"/>
      <c r="Y204" s="22"/>
      <c r="Z204" s="22"/>
      <c r="AA204" s="24"/>
      <c r="AB204" s="24"/>
      <c r="AC204" s="22"/>
      <c r="AD204" s="22"/>
      <c r="AE204" s="24"/>
      <c r="AF204" s="25"/>
      <c r="AG204" s="22"/>
      <c r="AH204" s="22"/>
      <c r="AI204" s="25"/>
      <c r="AJ204" s="25"/>
    </row>
    <row r="205">
      <c r="A205" s="21" t="s">
        <v>789</v>
      </c>
      <c r="B205" s="22" t="s">
        <v>790</v>
      </c>
      <c r="C205" s="22" t="s">
        <v>287</v>
      </c>
      <c r="D205" s="26">
        <v>45994.0</v>
      </c>
      <c r="E205" s="22" t="s">
        <v>791</v>
      </c>
      <c r="F205" s="22" t="s">
        <v>605</v>
      </c>
      <c r="G205" s="22" t="s">
        <v>792</v>
      </c>
      <c r="H205" s="22" t="s">
        <v>789</v>
      </c>
      <c r="I205" s="22">
        <v>1.0428531114307E13</v>
      </c>
      <c r="J205" s="22" t="s">
        <v>793</v>
      </c>
      <c r="K205" s="24"/>
      <c r="L205" s="22" t="s">
        <v>794</v>
      </c>
      <c r="M205" s="22">
        <v>1.0</v>
      </c>
      <c r="N205" s="22" t="s">
        <v>795</v>
      </c>
      <c r="O205" s="22" t="s">
        <v>796</v>
      </c>
      <c r="P205" s="24"/>
      <c r="Q205" s="22" t="s">
        <v>90</v>
      </c>
      <c r="R205" s="22">
        <v>3.2676938154307E13</v>
      </c>
      <c r="S205" s="24"/>
      <c r="T205" s="24"/>
      <c r="U205" s="24"/>
      <c r="V205" s="22" t="s">
        <v>105</v>
      </c>
      <c r="W205" s="24"/>
      <c r="X205" s="24"/>
      <c r="Y205" s="22"/>
      <c r="Z205" s="22"/>
      <c r="AA205" s="24"/>
      <c r="AB205" s="24"/>
      <c r="AC205" s="22"/>
      <c r="AD205" s="22"/>
      <c r="AE205" s="24"/>
      <c r="AF205" s="25"/>
      <c r="AG205" s="22"/>
      <c r="AH205" s="22"/>
      <c r="AI205" s="25"/>
      <c r="AJ205" s="25"/>
    </row>
    <row r="206">
      <c r="A206" s="21" t="s">
        <v>789</v>
      </c>
      <c r="B206" s="22" t="s">
        <v>797</v>
      </c>
      <c r="C206" s="22" t="s">
        <v>287</v>
      </c>
      <c r="D206" s="26">
        <v>45994.0</v>
      </c>
      <c r="E206" s="22" t="s">
        <v>252</v>
      </c>
      <c r="F206" s="22" t="s">
        <v>605</v>
      </c>
      <c r="G206" s="22" t="s">
        <v>798</v>
      </c>
      <c r="H206" s="22" t="s">
        <v>789</v>
      </c>
      <c r="I206" s="22">
        <v>1.0431964873027E13</v>
      </c>
      <c r="J206" s="22" t="s">
        <v>799</v>
      </c>
      <c r="K206" s="24"/>
      <c r="L206" s="22" t="s">
        <v>794</v>
      </c>
      <c r="M206" s="22">
        <v>1.0</v>
      </c>
      <c r="N206" s="22" t="s">
        <v>795</v>
      </c>
      <c r="O206" s="22" t="s">
        <v>796</v>
      </c>
      <c r="P206" s="24"/>
      <c r="Q206" s="22" t="s">
        <v>90</v>
      </c>
      <c r="R206" s="22">
        <v>3.2684453855555E13</v>
      </c>
      <c r="S206" s="24"/>
      <c r="T206" s="24"/>
      <c r="U206" s="24"/>
      <c r="V206" s="22" t="s">
        <v>105</v>
      </c>
      <c r="W206" s="24"/>
      <c r="X206" s="24"/>
      <c r="Y206" s="22"/>
      <c r="Z206" s="22"/>
      <c r="AA206" s="24"/>
      <c r="AB206" s="24"/>
      <c r="AC206" s="22"/>
      <c r="AD206" s="22"/>
      <c r="AE206" s="24"/>
      <c r="AF206" s="25"/>
      <c r="AG206" s="22"/>
      <c r="AH206" s="22"/>
      <c r="AI206" s="25"/>
      <c r="AJ206" s="25"/>
    </row>
    <row r="207">
      <c r="A207" s="21" t="s">
        <v>584</v>
      </c>
      <c r="B207" s="22" t="s">
        <v>800</v>
      </c>
      <c r="C207" s="22" t="s">
        <v>82</v>
      </c>
      <c r="D207" s="26">
        <v>45997.0</v>
      </c>
      <c r="E207" s="22" t="s">
        <v>145</v>
      </c>
      <c r="F207" s="22" t="s">
        <v>377</v>
      </c>
      <c r="G207" s="22" t="s">
        <v>801</v>
      </c>
      <c r="H207" s="22" t="s">
        <v>584</v>
      </c>
      <c r="I207" s="22">
        <v>1.0431967265091E13</v>
      </c>
      <c r="J207" s="22" t="s">
        <v>802</v>
      </c>
      <c r="K207" s="24"/>
      <c r="L207" s="22" t="s">
        <v>586</v>
      </c>
      <c r="M207" s="22">
        <v>1.0</v>
      </c>
      <c r="N207" s="22" t="s">
        <v>413</v>
      </c>
      <c r="O207" s="22" t="s">
        <v>414</v>
      </c>
      <c r="P207" s="24"/>
      <c r="Q207" s="22" t="s">
        <v>90</v>
      </c>
      <c r="R207" s="22">
        <v>3.2684459163971E13</v>
      </c>
      <c r="S207" s="24"/>
      <c r="T207" s="24"/>
      <c r="U207" s="24"/>
      <c r="V207" s="22" t="s">
        <v>105</v>
      </c>
      <c r="W207" s="24"/>
      <c r="X207" s="24"/>
      <c r="Y207" s="22"/>
      <c r="Z207" s="22"/>
      <c r="AA207" s="24"/>
      <c r="AB207" s="24"/>
      <c r="AC207" s="22"/>
      <c r="AD207" s="22"/>
      <c r="AE207" s="24"/>
      <c r="AF207" s="25"/>
      <c r="AG207" s="22"/>
      <c r="AH207" s="22"/>
      <c r="AI207" s="25"/>
      <c r="AJ207" s="25"/>
    </row>
    <row r="208">
      <c r="A208" s="21" t="s">
        <v>803</v>
      </c>
      <c r="B208" s="22" t="s">
        <v>763</v>
      </c>
      <c r="C208" s="22" t="s">
        <v>82</v>
      </c>
      <c r="D208" s="26">
        <v>45997.0</v>
      </c>
      <c r="E208" s="22" t="s">
        <v>149</v>
      </c>
      <c r="F208" s="22" t="s">
        <v>623</v>
      </c>
      <c r="G208" s="22" t="s">
        <v>804</v>
      </c>
      <c r="H208" s="22" t="s">
        <v>803</v>
      </c>
      <c r="I208" s="22">
        <v>1.0431974900035E13</v>
      </c>
      <c r="J208" s="22" t="s">
        <v>765</v>
      </c>
      <c r="K208" s="24"/>
      <c r="L208" s="22" t="s">
        <v>805</v>
      </c>
      <c r="M208" s="22">
        <v>1.0</v>
      </c>
      <c r="N208" s="22" t="s">
        <v>627</v>
      </c>
      <c r="O208" s="22" t="s">
        <v>628</v>
      </c>
      <c r="P208" s="24"/>
      <c r="Q208" s="22" t="s">
        <v>90</v>
      </c>
      <c r="R208" s="22">
        <v>3.2684478792003E13</v>
      </c>
      <c r="S208" s="24"/>
      <c r="T208" s="24"/>
      <c r="U208" s="24"/>
      <c r="V208" s="22" t="s">
        <v>95</v>
      </c>
      <c r="W208" s="24"/>
      <c r="X208" s="24"/>
      <c r="Y208" s="22"/>
      <c r="Z208" s="22"/>
      <c r="AA208" s="24"/>
      <c r="AB208" s="24"/>
      <c r="AC208" s="22"/>
      <c r="AD208" s="22"/>
      <c r="AE208" s="24"/>
      <c r="AF208" s="25"/>
      <c r="AG208" s="22"/>
      <c r="AH208" s="22"/>
      <c r="AI208" s="25"/>
      <c r="AJ208" s="25"/>
    </row>
    <row r="209">
      <c r="A209" s="21" t="s">
        <v>806</v>
      </c>
      <c r="B209" s="22" t="s">
        <v>807</v>
      </c>
      <c r="C209" s="22" t="s">
        <v>273</v>
      </c>
      <c r="D209" s="26">
        <v>45998.0</v>
      </c>
      <c r="E209" s="22" t="s">
        <v>211</v>
      </c>
      <c r="F209" s="22" t="s">
        <v>278</v>
      </c>
      <c r="G209" s="22" t="s">
        <v>808</v>
      </c>
      <c r="H209" s="22" t="s">
        <v>806</v>
      </c>
      <c r="I209" s="22">
        <v>1.0432155582787E13</v>
      </c>
      <c r="J209" s="22" t="s">
        <v>349</v>
      </c>
      <c r="K209" s="24"/>
      <c r="L209" s="22" t="s">
        <v>809</v>
      </c>
      <c r="M209" s="22">
        <v>1.0</v>
      </c>
      <c r="N209" s="22" t="s">
        <v>282</v>
      </c>
      <c r="O209" s="22" t="s">
        <v>283</v>
      </c>
      <c r="P209" s="24"/>
      <c r="Q209" s="22" t="s">
        <v>90</v>
      </c>
      <c r="R209" s="22">
        <v>3.2684912116035E13</v>
      </c>
      <c r="S209" s="24"/>
      <c r="T209" s="24"/>
      <c r="U209" s="24"/>
      <c r="V209" s="22" t="s">
        <v>95</v>
      </c>
      <c r="W209" s="24"/>
      <c r="X209" s="24"/>
      <c r="Y209" s="22"/>
      <c r="Z209" s="22"/>
      <c r="AA209" s="24"/>
      <c r="AB209" s="24"/>
      <c r="AC209" s="22"/>
      <c r="AD209" s="22"/>
      <c r="AE209" s="24"/>
      <c r="AF209" s="25"/>
      <c r="AG209" s="22"/>
      <c r="AH209" s="22"/>
      <c r="AI209" s="25"/>
      <c r="AJ209" s="25"/>
    </row>
    <row r="210">
      <c r="A210" s="21" t="s">
        <v>415</v>
      </c>
      <c r="B210" s="22" t="s">
        <v>810</v>
      </c>
      <c r="C210" s="22" t="s">
        <v>82</v>
      </c>
      <c r="D210" s="23">
        <v>46004.0</v>
      </c>
      <c r="E210" s="22" t="s">
        <v>134</v>
      </c>
      <c r="F210" s="22" t="s">
        <v>377</v>
      </c>
      <c r="G210" s="22" t="s">
        <v>811</v>
      </c>
      <c r="H210" s="22" t="s">
        <v>415</v>
      </c>
      <c r="I210" s="22">
        <v>1.0432213254467E13</v>
      </c>
      <c r="J210" s="22" t="s">
        <v>812</v>
      </c>
      <c r="K210" s="24"/>
      <c r="L210" s="22" t="s">
        <v>419</v>
      </c>
      <c r="M210" s="22">
        <v>1.0</v>
      </c>
      <c r="N210" s="22" t="s">
        <v>381</v>
      </c>
      <c r="O210" s="22" t="s">
        <v>382</v>
      </c>
      <c r="P210" s="24"/>
      <c r="Q210" s="22" t="s">
        <v>90</v>
      </c>
      <c r="R210" s="22">
        <v>3.2685059080515E13</v>
      </c>
      <c r="S210" s="24"/>
      <c r="T210" s="24"/>
      <c r="U210" s="24"/>
      <c r="V210" s="22" t="s">
        <v>91</v>
      </c>
      <c r="W210" s="24"/>
      <c r="X210" s="24"/>
      <c r="Y210" s="22"/>
      <c r="Z210" s="22"/>
      <c r="AA210" s="24"/>
      <c r="AB210" s="24"/>
      <c r="AC210" s="22"/>
      <c r="AD210" s="22"/>
      <c r="AE210" s="24"/>
      <c r="AF210" s="25"/>
      <c r="AG210" s="22"/>
      <c r="AH210" s="22"/>
      <c r="AI210" s="25"/>
      <c r="AJ210" s="25"/>
    </row>
    <row r="211">
      <c r="A211" s="21" t="s">
        <v>124</v>
      </c>
      <c r="B211" s="22" t="s">
        <v>297</v>
      </c>
      <c r="C211" s="22" t="s">
        <v>82</v>
      </c>
      <c r="D211" s="26">
        <v>45997.0</v>
      </c>
      <c r="E211" s="22"/>
      <c r="F211" s="22" t="s">
        <v>83</v>
      </c>
      <c r="G211" s="22" t="s">
        <v>813</v>
      </c>
      <c r="H211" s="22" t="s">
        <v>124</v>
      </c>
      <c r="I211" s="22">
        <v>1.0432545096003E13</v>
      </c>
      <c r="J211" s="22" t="s">
        <v>397</v>
      </c>
      <c r="K211" s="24"/>
      <c r="L211" s="22" t="s">
        <v>126</v>
      </c>
      <c r="M211" s="22">
        <v>1.0</v>
      </c>
      <c r="N211" s="22" t="s">
        <v>103</v>
      </c>
      <c r="O211" s="22" t="s">
        <v>104</v>
      </c>
      <c r="P211" s="24"/>
      <c r="Q211" s="22" t="s">
        <v>90</v>
      </c>
      <c r="R211" s="22">
        <v>3.2685805601091E13</v>
      </c>
      <c r="S211" s="24"/>
      <c r="T211" s="24"/>
      <c r="U211" s="24"/>
      <c r="V211" s="22" t="s">
        <v>127</v>
      </c>
      <c r="W211" s="24"/>
      <c r="X211" s="24"/>
      <c r="Y211" s="22"/>
      <c r="Z211" s="22"/>
      <c r="AA211" s="24"/>
      <c r="AB211" s="24"/>
      <c r="AC211" s="22"/>
      <c r="AD211" s="22"/>
      <c r="AE211" s="24"/>
      <c r="AF211" s="25"/>
      <c r="AG211" s="22"/>
      <c r="AH211" s="22"/>
      <c r="AI211" s="25"/>
      <c r="AJ211" s="25"/>
    </row>
    <row r="212">
      <c r="A212" s="21" t="s">
        <v>814</v>
      </c>
      <c r="B212" s="22" t="s">
        <v>815</v>
      </c>
      <c r="C212" s="22" t="s">
        <v>82</v>
      </c>
      <c r="D212" s="26">
        <v>45997.0</v>
      </c>
      <c r="E212" s="22" t="s">
        <v>187</v>
      </c>
      <c r="F212" s="22" t="s">
        <v>698</v>
      </c>
      <c r="G212" s="22" t="s">
        <v>816</v>
      </c>
      <c r="H212" s="22" t="s">
        <v>814</v>
      </c>
      <c r="I212" s="22">
        <v>1.0429074899267E13</v>
      </c>
      <c r="J212" s="22" t="s">
        <v>817</v>
      </c>
      <c r="K212" s="24"/>
      <c r="L212" s="22" t="s">
        <v>818</v>
      </c>
      <c r="M212" s="22">
        <v>1.0</v>
      </c>
      <c r="N212" s="22" t="s">
        <v>819</v>
      </c>
      <c r="O212" s="22" t="s">
        <v>820</v>
      </c>
      <c r="P212" s="24"/>
      <c r="Q212" s="22" t="s">
        <v>90</v>
      </c>
      <c r="R212" s="22">
        <v>3.2678111740227E13</v>
      </c>
      <c r="S212" s="24"/>
      <c r="T212" s="24"/>
      <c r="U212" s="24"/>
      <c r="V212" s="22" t="s">
        <v>127</v>
      </c>
      <c r="W212" s="24"/>
      <c r="X212" s="24"/>
      <c r="Y212" s="22"/>
      <c r="Z212" s="22"/>
      <c r="AA212" s="24"/>
      <c r="AB212" s="24"/>
      <c r="AC212" s="22"/>
      <c r="AD212" s="22"/>
      <c r="AE212" s="24"/>
      <c r="AF212" s="25"/>
      <c r="AG212" s="22"/>
      <c r="AH212" s="22"/>
      <c r="AI212" s="25"/>
      <c r="AJ212" s="25"/>
    </row>
    <row r="213">
      <c r="A213" s="21" t="s">
        <v>423</v>
      </c>
      <c r="B213" s="22" t="s">
        <v>587</v>
      </c>
      <c r="C213" s="22" t="s">
        <v>273</v>
      </c>
      <c r="D213" s="26">
        <v>45998.0</v>
      </c>
      <c r="E213" s="22" t="s">
        <v>153</v>
      </c>
      <c r="F213" s="22" t="s">
        <v>369</v>
      </c>
      <c r="G213" s="22" t="s">
        <v>821</v>
      </c>
      <c r="H213" s="22" t="s">
        <v>423</v>
      </c>
      <c r="I213" s="22">
        <v>1.0432768016707E13</v>
      </c>
      <c r="J213" s="22" t="s">
        <v>589</v>
      </c>
      <c r="K213" s="24"/>
      <c r="L213" s="22" t="s">
        <v>427</v>
      </c>
      <c r="M213" s="22">
        <v>2.0</v>
      </c>
      <c r="N213" s="22" t="s">
        <v>373</v>
      </c>
      <c r="O213" s="22" t="s">
        <v>374</v>
      </c>
      <c r="P213" s="24"/>
      <c r="Q213" s="22" t="s">
        <v>90</v>
      </c>
      <c r="R213" s="22">
        <v>3.2686318879043E13</v>
      </c>
      <c r="S213" s="24"/>
      <c r="T213" s="24"/>
      <c r="U213" s="24"/>
      <c r="V213" s="22" t="s">
        <v>95</v>
      </c>
      <c r="W213" s="24"/>
      <c r="X213" s="24"/>
      <c r="Y213" s="22"/>
      <c r="Z213" s="22"/>
      <c r="AA213" s="24"/>
      <c r="AB213" s="24"/>
      <c r="AC213" s="22"/>
      <c r="AD213" s="22"/>
      <c r="AE213" s="24"/>
      <c r="AF213" s="25"/>
      <c r="AG213" s="22"/>
      <c r="AH213" s="22"/>
      <c r="AI213" s="25"/>
      <c r="AJ213" s="25"/>
    </row>
    <row r="214">
      <c r="A214" s="21" t="s">
        <v>822</v>
      </c>
      <c r="B214" s="22" t="s">
        <v>823</v>
      </c>
      <c r="C214" s="22" t="s">
        <v>82</v>
      </c>
      <c r="D214" s="26">
        <v>45997.0</v>
      </c>
      <c r="E214" s="22" t="s">
        <v>177</v>
      </c>
      <c r="F214" s="22" t="s">
        <v>634</v>
      </c>
      <c r="G214" s="22" t="s">
        <v>824</v>
      </c>
      <c r="H214" s="22" t="s">
        <v>822</v>
      </c>
      <c r="I214" s="22">
        <v>1.0432782336323E13</v>
      </c>
      <c r="J214" s="22" t="s">
        <v>825</v>
      </c>
      <c r="K214" s="24"/>
      <c r="L214" s="22" t="s">
        <v>826</v>
      </c>
      <c r="M214" s="22">
        <v>1.0</v>
      </c>
      <c r="N214" s="22" t="s">
        <v>638</v>
      </c>
      <c r="O214" s="22" t="s">
        <v>639</v>
      </c>
      <c r="P214" s="24"/>
      <c r="Q214" s="22" t="s">
        <v>90</v>
      </c>
      <c r="R214" s="22">
        <v>3.2686352269635E13</v>
      </c>
      <c r="S214" s="24"/>
      <c r="T214" s="24"/>
      <c r="U214" s="24"/>
      <c r="V214" s="22" t="s">
        <v>55</v>
      </c>
      <c r="W214" s="24"/>
      <c r="X214" s="24"/>
      <c r="Y214" s="22"/>
      <c r="Z214" s="22"/>
      <c r="AA214" s="24"/>
      <c r="AB214" s="24"/>
      <c r="AC214" s="22"/>
      <c r="AD214" s="22"/>
      <c r="AE214" s="24"/>
      <c r="AF214" s="25"/>
      <c r="AG214" s="22"/>
      <c r="AH214" s="22"/>
      <c r="AI214" s="25"/>
      <c r="AJ214" s="25"/>
    </row>
    <row r="215">
      <c r="A215" s="21" t="s">
        <v>327</v>
      </c>
      <c r="B215" s="22" t="s">
        <v>328</v>
      </c>
      <c r="C215" s="22" t="s">
        <v>273</v>
      </c>
      <c r="D215" s="23">
        <v>45991.0</v>
      </c>
      <c r="E215" s="22" t="s">
        <v>266</v>
      </c>
      <c r="F215" s="22" t="s">
        <v>329</v>
      </c>
      <c r="G215" s="22" t="s">
        <v>827</v>
      </c>
      <c r="H215" s="22" t="s">
        <v>327</v>
      </c>
      <c r="I215" s="22">
        <v>1.0432866976067E13</v>
      </c>
      <c r="J215" s="22" t="s">
        <v>509</v>
      </c>
      <c r="K215" s="24"/>
      <c r="L215" s="22" t="s">
        <v>332</v>
      </c>
      <c r="M215" s="22">
        <v>1.0</v>
      </c>
      <c r="N215" s="22" t="s">
        <v>333</v>
      </c>
      <c r="O215" s="22" t="s">
        <v>334</v>
      </c>
      <c r="P215" s="24"/>
      <c r="Q215" s="22" t="s">
        <v>90</v>
      </c>
      <c r="R215" s="22">
        <v>3.2686537474371E13</v>
      </c>
      <c r="S215" s="24"/>
      <c r="T215" s="24"/>
      <c r="U215" s="24"/>
      <c r="V215" s="22" t="s">
        <v>55</v>
      </c>
      <c r="W215" s="24"/>
      <c r="X215" s="24"/>
      <c r="Y215" s="22"/>
      <c r="Z215" s="22"/>
      <c r="AA215" s="24"/>
      <c r="AB215" s="24"/>
      <c r="AC215" s="22"/>
      <c r="AD215" s="22"/>
      <c r="AE215" s="24"/>
      <c r="AF215" s="25"/>
      <c r="AG215" s="22"/>
      <c r="AH215" s="22"/>
      <c r="AI215" s="25"/>
      <c r="AJ215" s="25"/>
    </row>
    <row r="216">
      <c r="A216" s="21" t="s">
        <v>828</v>
      </c>
      <c r="B216" s="22" t="s">
        <v>823</v>
      </c>
      <c r="C216" s="22" t="s">
        <v>82</v>
      </c>
      <c r="D216" s="26">
        <v>45997.0</v>
      </c>
      <c r="E216" s="22" t="s">
        <v>177</v>
      </c>
      <c r="F216" s="22" t="s">
        <v>634</v>
      </c>
      <c r="G216" s="22" t="s">
        <v>829</v>
      </c>
      <c r="H216" s="22" t="s">
        <v>828</v>
      </c>
      <c r="I216" s="22">
        <v>1.0433026752835E13</v>
      </c>
      <c r="J216" s="22" t="s">
        <v>825</v>
      </c>
      <c r="K216" s="24"/>
      <c r="L216" s="22" t="s">
        <v>830</v>
      </c>
      <c r="M216" s="22">
        <v>3.0</v>
      </c>
      <c r="N216" s="22" t="s">
        <v>638</v>
      </c>
      <c r="O216" s="22" t="s">
        <v>639</v>
      </c>
      <c r="P216" s="24"/>
      <c r="Q216" s="22" t="s">
        <v>90</v>
      </c>
      <c r="R216" s="22">
        <v>3.2686890746179E13</v>
      </c>
      <c r="S216" s="24"/>
      <c r="T216" s="24"/>
      <c r="U216" s="24"/>
      <c r="V216" s="22" t="s">
        <v>95</v>
      </c>
      <c r="W216" s="24"/>
      <c r="X216" s="24"/>
      <c r="Y216" s="22"/>
      <c r="Z216" s="22"/>
      <c r="AA216" s="24"/>
      <c r="AB216" s="24"/>
      <c r="AC216" s="22"/>
      <c r="AD216" s="22"/>
      <c r="AE216" s="24"/>
      <c r="AF216" s="25"/>
      <c r="AG216" s="22"/>
      <c r="AH216" s="22"/>
      <c r="AI216" s="25"/>
      <c r="AJ216" s="25"/>
    </row>
    <row r="217">
      <c r="A217" s="21" t="s">
        <v>831</v>
      </c>
      <c r="B217" s="22" t="s">
        <v>823</v>
      </c>
      <c r="C217" s="22" t="s">
        <v>82</v>
      </c>
      <c r="D217" s="26">
        <v>45997.0</v>
      </c>
      <c r="E217" s="22" t="s">
        <v>177</v>
      </c>
      <c r="F217" s="22" t="s">
        <v>634</v>
      </c>
      <c r="G217" s="22" t="s">
        <v>829</v>
      </c>
      <c r="H217" s="22" t="s">
        <v>831</v>
      </c>
      <c r="I217" s="22">
        <v>1.0433026752835E13</v>
      </c>
      <c r="J217" s="22" t="s">
        <v>825</v>
      </c>
      <c r="K217" s="24"/>
      <c r="L217" s="22" t="s">
        <v>832</v>
      </c>
      <c r="M217" s="22">
        <v>2.0</v>
      </c>
      <c r="N217" s="22" t="s">
        <v>738</v>
      </c>
      <c r="O217" s="22" t="s">
        <v>739</v>
      </c>
      <c r="P217" s="24"/>
      <c r="Q217" s="22" t="s">
        <v>90</v>
      </c>
      <c r="R217" s="22">
        <v>3.2686890778947E13</v>
      </c>
      <c r="S217" s="24"/>
      <c r="T217" s="24"/>
      <c r="U217" s="24"/>
      <c r="V217" s="22" t="s">
        <v>132</v>
      </c>
      <c r="W217" s="24"/>
      <c r="X217" s="24"/>
      <c r="Y217" s="22"/>
      <c r="Z217" s="22"/>
      <c r="AA217" s="24"/>
      <c r="AB217" s="24"/>
      <c r="AC217" s="22"/>
      <c r="AD217" s="22"/>
      <c r="AE217" s="24"/>
      <c r="AF217" s="25"/>
      <c r="AG217" s="22"/>
      <c r="AH217" s="22"/>
      <c r="AI217" s="25"/>
      <c r="AJ217" s="25"/>
    </row>
    <row r="218">
      <c r="A218" s="28"/>
      <c r="B218" s="22" t="s">
        <v>823</v>
      </c>
      <c r="C218" s="22" t="s">
        <v>82</v>
      </c>
      <c r="D218" s="26">
        <v>45997.0</v>
      </c>
      <c r="E218" s="22" t="s">
        <v>177</v>
      </c>
      <c r="F218" s="22" t="s">
        <v>634</v>
      </c>
      <c r="G218" s="22" t="s">
        <v>829</v>
      </c>
      <c r="H218" s="29"/>
      <c r="I218" s="22">
        <v>1.0433026752835E13</v>
      </c>
      <c r="J218" s="22" t="s">
        <v>825</v>
      </c>
      <c r="K218" s="24"/>
      <c r="L218" s="22" t="s">
        <v>833</v>
      </c>
      <c r="M218" s="24"/>
      <c r="N218" s="24"/>
      <c r="O218" s="22" t="s">
        <v>768</v>
      </c>
      <c r="P218" s="24"/>
      <c r="Q218" s="22" t="s">
        <v>769</v>
      </c>
      <c r="R218" s="24"/>
      <c r="S218" s="24"/>
      <c r="T218" s="24"/>
      <c r="U218" s="24"/>
      <c r="V218" s="22"/>
      <c r="W218" s="24"/>
      <c r="X218" s="24"/>
      <c r="Y218" s="22"/>
      <c r="Z218" s="22"/>
      <c r="AA218" s="24"/>
      <c r="AB218" s="24"/>
      <c r="AC218" s="22"/>
      <c r="AD218" s="22"/>
      <c r="AE218" s="24"/>
      <c r="AF218" s="25"/>
      <c r="AG218" s="22"/>
      <c r="AH218" s="22"/>
      <c r="AI218" s="25"/>
      <c r="AJ218" s="25"/>
    </row>
    <row r="219">
      <c r="A219" s="21" t="s">
        <v>822</v>
      </c>
      <c r="B219" s="22" t="s">
        <v>834</v>
      </c>
      <c r="C219" s="22" t="s">
        <v>273</v>
      </c>
      <c r="D219" s="26">
        <v>45998.0</v>
      </c>
      <c r="E219" s="22" t="s">
        <v>734</v>
      </c>
      <c r="F219" s="22" t="s">
        <v>634</v>
      </c>
      <c r="G219" s="22" t="s">
        <v>835</v>
      </c>
      <c r="H219" s="22" t="s">
        <v>822</v>
      </c>
      <c r="I219" s="22">
        <v>1.0433177452867E13</v>
      </c>
      <c r="J219" s="22" t="s">
        <v>836</v>
      </c>
      <c r="K219" s="24"/>
      <c r="L219" s="22" t="s">
        <v>826</v>
      </c>
      <c r="M219" s="22">
        <v>1.0</v>
      </c>
      <c r="N219" s="22" t="s">
        <v>638</v>
      </c>
      <c r="O219" s="22" t="s">
        <v>639</v>
      </c>
      <c r="P219" s="24"/>
      <c r="Q219" s="22" t="s">
        <v>90</v>
      </c>
      <c r="R219" s="22">
        <v>3.2687218655555E13</v>
      </c>
      <c r="S219" s="24"/>
      <c r="T219" s="24"/>
      <c r="U219" s="24"/>
      <c r="V219" s="22" t="s">
        <v>55</v>
      </c>
      <c r="W219" s="24"/>
      <c r="X219" s="24"/>
      <c r="Y219" s="22"/>
      <c r="Z219" s="22"/>
      <c r="AA219" s="24"/>
      <c r="AB219" s="24"/>
      <c r="AC219" s="22"/>
      <c r="AD219" s="22"/>
      <c r="AE219" s="24"/>
      <c r="AF219" s="25"/>
      <c r="AG219" s="22"/>
      <c r="AH219" s="22"/>
      <c r="AI219" s="25"/>
      <c r="AJ219" s="25"/>
    </row>
    <row r="220">
      <c r="A220" s="21" t="s">
        <v>837</v>
      </c>
      <c r="B220" s="22" t="s">
        <v>697</v>
      </c>
      <c r="C220" s="22" t="s">
        <v>82</v>
      </c>
      <c r="D220" s="26">
        <v>45997.0</v>
      </c>
      <c r="E220" s="22" t="s">
        <v>439</v>
      </c>
      <c r="F220" s="22" t="s">
        <v>698</v>
      </c>
      <c r="G220" s="22" t="s">
        <v>838</v>
      </c>
      <c r="H220" s="22" t="s">
        <v>837</v>
      </c>
      <c r="I220" s="22">
        <v>1.0433361543491E13</v>
      </c>
      <c r="J220" s="22" t="s">
        <v>700</v>
      </c>
      <c r="K220" s="24"/>
      <c r="L220" s="22" t="s">
        <v>839</v>
      </c>
      <c r="M220" s="22">
        <v>1.0</v>
      </c>
      <c r="N220" s="22" t="s">
        <v>819</v>
      </c>
      <c r="O220" s="22" t="s">
        <v>820</v>
      </c>
      <c r="P220" s="24"/>
      <c r="Q220" s="22" t="s">
        <v>90</v>
      </c>
      <c r="R220" s="22">
        <v>3.2687615967555E13</v>
      </c>
      <c r="S220" s="24"/>
      <c r="T220" s="24"/>
      <c r="U220" s="24"/>
      <c r="V220" s="22" t="s">
        <v>105</v>
      </c>
      <c r="W220" s="24"/>
      <c r="X220" s="24"/>
      <c r="Y220" s="22"/>
      <c r="Z220" s="22"/>
      <c r="AA220" s="24"/>
      <c r="AB220" s="24"/>
      <c r="AC220" s="22"/>
      <c r="AD220" s="22"/>
      <c r="AE220" s="24"/>
      <c r="AF220" s="25"/>
      <c r="AG220" s="22"/>
      <c r="AH220" s="22"/>
      <c r="AI220" s="25"/>
      <c r="AJ220" s="25"/>
    </row>
    <row r="221">
      <c r="A221" s="21" t="s">
        <v>814</v>
      </c>
      <c r="B221" s="22" t="s">
        <v>840</v>
      </c>
      <c r="C221" s="22" t="s">
        <v>82</v>
      </c>
      <c r="D221" s="26">
        <v>45997.0</v>
      </c>
      <c r="E221" s="22" t="s">
        <v>841</v>
      </c>
      <c r="F221" s="22" t="s">
        <v>698</v>
      </c>
      <c r="G221" s="22" t="s">
        <v>842</v>
      </c>
      <c r="H221" s="22" t="s">
        <v>814</v>
      </c>
      <c r="I221" s="22">
        <v>1.0433489371459E13</v>
      </c>
      <c r="J221" s="22" t="s">
        <v>843</v>
      </c>
      <c r="K221" s="24"/>
      <c r="L221" s="22" t="s">
        <v>818</v>
      </c>
      <c r="M221" s="22">
        <v>1.0</v>
      </c>
      <c r="N221" s="22" t="s">
        <v>819</v>
      </c>
      <c r="O221" s="22" t="s">
        <v>820</v>
      </c>
      <c r="P221" s="24"/>
      <c r="Q221" s="22" t="s">
        <v>90</v>
      </c>
      <c r="R221" s="22">
        <v>3.2687882109251E13</v>
      </c>
      <c r="S221" s="24"/>
      <c r="T221" s="24"/>
      <c r="U221" s="24"/>
      <c r="V221" s="22" t="s">
        <v>127</v>
      </c>
      <c r="W221" s="24"/>
      <c r="X221" s="24"/>
      <c r="Y221" s="22"/>
      <c r="Z221" s="22"/>
      <c r="AA221" s="24"/>
      <c r="AB221" s="24"/>
      <c r="AC221" s="22"/>
      <c r="AD221" s="22"/>
      <c r="AE221" s="24"/>
      <c r="AF221" s="25"/>
      <c r="AG221" s="22"/>
      <c r="AH221" s="22"/>
      <c r="AI221" s="25"/>
      <c r="AJ221" s="25"/>
    </row>
    <row r="222">
      <c r="A222" s="21" t="s">
        <v>837</v>
      </c>
      <c r="B222" s="22" t="s">
        <v>815</v>
      </c>
      <c r="C222" s="22" t="s">
        <v>82</v>
      </c>
      <c r="D222" s="26">
        <v>45997.0</v>
      </c>
      <c r="E222" s="22" t="s">
        <v>187</v>
      </c>
      <c r="F222" s="22" t="s">
        <v>698</v>
      </c>
      <c r="G222" s="22" t="s">
        <v>844</v>
      </c>
      <c r="H222" s="22" t="s">
        <v>837</v>
      </c>
      <c r="I222" s="22">
        <v>1.0431151046979E13</v>
      </c>
      <c r="J222" s="22" t="s">
        <v>817</v>
      </c>
      <c r="K222" s="24"/>
      <c r="L222" s="22" t="s">
        <v>839</v>
      </c>
      <c r="M222" s="22">
        <v>1.0</v>
      </c>
      <c r="N222" s="22" t="s">
        <v>819</v>
      </c>
      <c r="O222" s="22" t="s">
        <v>820</v>
      </c>
      <c r="P222" s="24"/>
      <c r="Q222" s="22" t="s">
        <v>90</v>
      </c>
      <c r="R222" s="22">
        <v>3.2682660921667E13</v>
      </c>
      <c r="S222" s="24"/>
      <c r="T222" s="24"/>
      <c r="U222" s="24"/>
      <c r="V222" s="22" t="s">
        <v>105</v>
      </c>
      <c r="W222" s="24"/>
      <c r="X222" s="24"/>
      <c r="Y222" s="22"/>
      <c r="Z222" s="22"/>
      <c r="AA222" s="24"/>
      <c r="AB222" s="24"/>
      <c r="AC222" s="22"/>
      <c r="AD222" s="22"/>
      <c r="AE222" s="24"/>
      <c r="AF222" s="25"/>
      <c r="AG222" s="22"/>
      <c r="AH222" s="22"/>
      <c r="AI222" s="25"/>
      <c r="AJ222" s="25"/>
    </row>
    <row r="223">
      <c r="A223" s="21" t="s">
        <v>845</v>
      </c>
      <c r="B223" s="22" t="s">
        <v>450</v>
      </c>
      <c r="C223" s="22" t="s">
        <v>82</v>
      </c>
      <c r="D223" s="26">
        <v>45997.0</v>
      </c>
      <c r="E223" s="22" t="s">
        <v>134</v>
      </c>
      <c r="F223" s="22" t="s">
        <v>451</v>
      </c>
      <c r="G223" s="22" t="s">
        <v>846</v>
      </c>
      <c r="H223" s="22" t="s">
        <v>845</v>
      </c>
      <c r="I223" s="22">
        <v>1.0433811513667E13</v>
      </c>
      <c r="J223" s="22" t="s">
        <v>453</v>
      </c>
      <c r="K223" s="24"/>
      <c r="L223" s="22" t="s">
        <v>847</v>
      </c>
      <c r="M223" s="22">
        <v>1.0</v>
      </c>
      <c r="N223" s="22" t="s">
        <v>455</v>
      </c>
      <c r="O223" s="22" t="s">
        <v>456</v>
      </c>
      <c r="P223" s="24"/>
      <c r="Q223" s="22" t="s">
        <v>90</v>
      </c>
      <c r="R223" s="22">
        <v>3.2688583672131E13</v>
      </c>
      <c r="S223" s="24"/>
      <c r="T223" s="24"/>
      <c r="U223" s="24"/>
      <c r="V223" s="22" t="s">
        <v>55</v>
      </c>
      <c r="W223" s="24"/>
      <c r="X223" s="24"/>
      <c r="Y223" s="22"/>
      <c r="Z223" s="22"/>
      <c r="AA223" s="24"/>
      <c r="AB223" s="24"/>
      <c r="AC223" s="22"/>
      <c r="AD223" s="22"/>
      <c r="AE223" s="24"/>
      <c r="AF223" s="25"/>
      <c r="AG223" s="22"/>
      <c r="AH223" s="22"/>
      <c r="AI223" s="25"/>
      <c r="AJ223" s="25"/>
    </row>
    <row r="224">
      <c r="A224" s="21" t="s">
        <v>848</v>
      </c>
      <c r="B224" s="22" t="s">
        <v>849</v>
      </c>
      <c r="C224" s="22" t="s">
        <v>82</v>
      </c>
      <c r="D224" s="23">
        <v>46004.0</v>
      </c>
      <c r="E224" s="22" t="s">
        <v>134</v>
      </c>
      <c r="F224" s="22" t="s">
        <v>472</v>
      </c>
      <c r="G224" s="22" t="s">
        <v>850</v>
      </c>
      <c r="H224" s="22" t="s">
        <v>848</v>
      </c>
      <c r="I224" s="22">
        <v>1.0433833173315E13</v>
      </c>
      <c r="J224" s="22" t="s">
        <v>851</v>
      </c>
      <c r="K224" s="24"/>
      <c r="L224" s="22" t="s">
        <v>852</v>
      </c>
      <c r="M224" s="22">
        <v>1.0</v>
      </c>
      <c r="N224" s="22" t="s">
        <v>534</v>
      </c>
      <c r="O224" s="22" t="s">
        <v>535</v>
      </c>
      <c r="P224" s="24"/>
      <c r="Q224" s="22" t="s">
        <v>90</v>
      </c>
      <c r="R224" s="22">
        <v>3.2688633020739E13</v>
      </c>
      <c r="S224" s="24"/>
      <c r="T224" s="24"/>
      <c r="U224" s="24"/>
      <c r="V224" s="22" t="s">
        <v>132</v>
      </c>
      <c r="W224" s="24"/>
      <c r="X224" s="24"/>
      <c r="Y224" s="22"/>
      <c r="Z224" s="22"/>
      <c r="AA224" s="24"/>
      <c r="AB224" s="24"/>
      <c r="AC224" s="22"/>
      <c r="AD224" s="22"/>
      <c r="AE224" s="24"/>
      <c r="AF224" s="25"/>
      <c r="AG224" s="22"/>
      <c r="AH224" s="22"/>
      <c r="AI224" s="25"/>
      <c r="AJ224" s="25"/>
    </row>
    <row r="225">
      <c r="A225" s="21" t="s">
        <v>484</v>
      </c>
      <c r="B225" s="22" t="s">
        <v>310</v>
      </c>
      <c r="C225" s="22" t="s">
        <v>82</v>
      </c>
      <c r="D225" s="26">
        <v>45997.0</v>
      </c>
      <c r="E225" s="22" t="s">
        <v>134</v>
      </c>
      <c r="F225" s="22" t="s">
        <v>311</v>
      </c>
      <c r="G225" s="22" t="s">
        <v>853</v>
      </c>
      <c r="H225" s="22" t="s">
        <v>484</v>
      </c>
      <c r="I225" s="22">
        <v>1.0433886093635E13</v>
      </c>
      <c r="J225" s="22" t="s">
        <v>544</v>
      </c>
      <c r="K225" s="24"/>
      <c r="L225" s="22" t="s">
        <v>487</v>
      </c>
      <c r="M225" s="22">
        <v>1.0</v>
      </c>
      <c r="N225" s="22" t="s">
        <v>315</v>
      </c>
      <c r="O225" s="22" t="s">
        <v>316</v>
      </c>
      <c r="P225" s="24"/>
      <c r="Q225" s="22" t="s">
        <v>90</v>
      </c>
      <c r="R225" s="22">
        <v>3.2688754721091E13</v>
      </c>
      <c r="S225" s="24"/>
      <c r="T225" s="24"/>
      <c r="U225" s="24"/>
      <c r="V225" s="22" t="s">
        <v>127</v>
      </c>
      <c r="W225" s="24"/>
      <c r="X225" s="24"/>
      <c r="Y225" s="22"/>
      <c r="Z225" s="22"/>
      <c r="AA225" s="24"/>
      <c r="AB225" s="24"/>
      <c r="AC225" s="22"/>
      <c r="AD225" s="22"/>
      <c r="AE225" s="24"/>
      <c r="AF225" s="25"/>
      <c r="AG225" s="22"/>
      <c r="AH225" s="22"/>
      <c r="AI225" s="25"/>
      <c r="AJ225" s="25"/>
    </row>
    <row r="226">
      <c r="A226" s="21" t="s">
        <v>822</v>
      </c>
      <c r="B226" s="22" t="s">
        <v>854</v>
      </c>
      <c r="C226" s="22" t="s">
        <v>82</v>
      </c>
      <c r="D226" s="26">
        <v>45997.0</v>
      </c>
      <c r="E226" s="22" t="s">
        <v>211</v>
      </c>
      <c r="F226" s="22" t="s">
        <v>634</v>
      </c>
      <c r="G226" s="22" t="s">
        <v>855</v>
      </c>
      <c r="H226" s="22" t="s">
        <v>822</v>
      </c>
      <c r="I226" s="22">
        <v>1.0433969586499E13</v>
      </c>
      <c r="J226" s="22" t="s">
        <v>856</v>
      </c>
      <c r="K226" s="24"/>
      <c r="L226" s="22" t="s">
        <v>826</v>
      </c>
      <c r="M226" s="22">
        <v>1.0</v>
      </c>
      <c r="N226" s="22" t="s">
        <v>638</v>
      </c>
      <c r="O226" s="22" t="s">
        <v>639</v>
      </c>
      <c r="P226" s="24"/>
      <c r="Q226" s="22" t="s">
        <v>90</v>
      </c>
      <c r="R226" s="22">
        <v>3.2688947069251E13</v>
      </c>
      <c r="S226" s="24"/>
      <c r="T226" s="24"/>
      <c r="U226" s="24"/>
      <c r="V226" s="22" t="s">
        <v>55</v>
      </c>
      <c r="W226" s="24"/>
      <c r="X226" s="24"/>
      <c r="Y226" s="22"/>
      <c r="Z226" s="22"/>
      <c r="AA226" s="24"/>
      <c r="AB226" s="24"/>
      <c r="AC226" s="22"/>
      <c r="AD226" s="22"/>
      <c r="AE226" s="24"/>
      <c r="AF226" s="25"/>
      <c r="AG226" s="22"/>
      <c r="AH226" s="22"/>
      <c r="AI226" s="25"/>
      <c r="AJ226" s="25"/>
    </row>
    <row r="227">
      <c r="A227" s="21" t="s">
        <v>158</v>
      </c>
      <c r="B227" s="22" t="s">
        <v>393</v>
      </c>
      <c r="C227" s="22" t="s">
        <v>82</v>
      </c>
      <c r="D227" s="26">
        <v>45997.0</v>
      </c>
      <c r="E227" s="22" t="s">
        <v>187</v>
      </c>
      <c r="F227" s="22" t="s">
        <v>111</v>
      </c>
      <c r="G227" s="22" t="s">
        <v>857</v>
      </c>
      <c r="H227" s="22" t="s">
        <v>158</v>
      </c>
      <c r="I227" s="22">
        <v>1.0434216952131E13</v>
      </c>
      <c r="J227" s="22" t="s">
        <v>395</v>
      </c>
      <c r="K227" s="24"/>
      <c r="L227" s="22" t="s">
        <v>163</v>
      </c>
      <c r="M227" s="22">
        <v>1.0</v>
      </c>
      <c r="N227" s="22" t="s">
        <v>164</v>
      </c>
      <c r="O227" s="22" t="s">
        <v>165</v>
      </c>
      <c r="P227" s="24"/>
      <c r="Q227" s="22" t="s">
        <v>90</v>
      </c>
      <c r="R227" s="22">
        <v>3.2689495507267E13</v>
      </c>
      <c r="S227" s="24"/>
      <c r="T227" s="24"/>
      <c r="U227" s="24"/>
      <c r="V227" s="22" t="s">
        <v>127</v>
      </c>
      <c r="W227" s="24"/>
      <c r="X227" s="24"/>
      <c r="Y227" s="22"/>
      <c r="Z227" s="22"/>
      <c r="AA227" s="24"/>
      <c r="AB227" s="24"/>
      <c r="AC227" s="22"/>
      <c r="AD227" s="22"/>
      <c r="AE227" s="24"/>
      <c r="AF227" s="25"/>
      <c r="AG227" s="22"/>
      <c r="AH227" s="22"/>
      <c r="AI227" s="25"/>
      <c r="AJ227" s="25"/>
    </row>
    <row r="228">
      <c r="A228" s="21" t="s">
        <v>141</v>
      </c>
      <c r="B228" s="22" t="s">
        <v>297</v>
      </c>
      <c r="C228" s="22" t="s">
        <v>82</v>
      </c>
      <c r="D228" s="26">
        <v>45997.0</v>
      </c>
      <c r="E228" s="22"/>
      <c r="F228" s="22" t="s">
        <v>83</v>
      </c>
      <c r="G228" s="22" t="s">
        <v>858</v>
      </c>
      <c r="H228" s="22" t="s">
        <v>141</v>
      </c>
      <c r="I228" s="22">
        <v>1.0434280620355E13</v>
      </c>
      <c r="J228" s="22" t="s">
        <v>397</v>
      </c>
      <c r="K228" s="24"/>
      <c r="L228" s="22" t="s">
        <v>143</v>
      </c>
      <c r="M228" s="22">
        <v>1.0</v>
      </c>
      <c r="N228" s="22" t="s">
        <v>87</v>
      </c>
      <c r="O228" s="22" t="s">
        <v>88</v>
      </c>
      <c r="P228" s="24"/>
      <c r="Q228" s="22" t="s">
        <v>90</v>
      </c>
      <c r="R228" s="22">
        <v>3.2689640440131E13</v>
      </c>
      <c r="S228" s="24"/>
      <c r="T228" s="24"/>
      <c r="U228" s="24"/>
      <c r="V228" s="22" t="s">
        <v>54</v>
      </c>
      <c r="W228" s="24"/>
      <c r="X228" s="24"/>
      <c r="Y228" s="22"/>
      <c r="Z228" s="22"/>
      <c r="AA228" s="24"/>
      <c r="AB228" s="24"/>
      <c r="AC228" s="22"/>
      <c r="AD228" s="22"/>
      <c r="AE228" s="24"/>
      <c r="AF228" s="25"/>
      <c r="AG228" s="22"/>
      <c r="AH228" s="22"/>
      <c r="AI228" s="25"/>
      <c r="AJ228" s="25"/>
    </row>
    <row r="229">
      <c r="A229" s="21" t="s">
        <v>859</v>
      </c>
      <c r="B229" s="22" t="s">
        <v>797</v>
      </c>
      <c r="C229" s="22" t="s">
        <v>287</v>
      </c>
      <c r="D229" s="26">
        <v>45994.0</v>
      </c>
      <c r="E229" s="22" t="s">
        <v>252</v>
      </c>
      <c r="F229" s="22" t="s">
        <v>605</v>
      </c>
      <c r="G229" s="22" t="s">
        <v>860</v>
      </c>
      <c r="H229" s="22" t="s">
        <v>859</v>
      </c>
      <c r="I229" s="22">
        <v>1.0434344812867E13</v>
      </c>
      <c r="J229" s="22" t="s">
        <v>799</v>
      </c>
      <c r="K229" s="24"/>
      <c r="L229" s="22" t="s">
        <v>861</v>
      </c>
      <c r="M229" s="22">
        <v>1.0</v>
      </c>
      <c r="N229" s="22" t="s">
        <v>609</v>
      </c>
      <c r="O229" s="22" t="s">
        <v>610</v>
      </c>
      <c r="P229" s="24"/>
      <c r="Q229" s="22" t="s">
        <v>90</v>
      </c>
      <c r="R229" s="22">
        <v>3.2689783308611E13</v>
      </c>
      <c r="S229" s="24"/>
      <c r="T229" s="24"/>
      <c r="U229" s="24"/>
      <c r="V229" s="22" t="s">
        <v>95</v>
      </c>
      <c r="W229" s="24"/>
      <c r="X229" s="24"/>
      <c r="Y229" s="22"/>
      <c r="Z229" s="22"/>
      <c r="AA229" s="24"/>
      <c r="AB229" s="24"/>
      <c r="AC229" s="22"/>
      <c r="AD229" s="22"/>
      <c r="AE229" s="24"/>
      <c r="AF229" s="25"/>
      <c r="AG229" s="22"/>
      <c r="AH229" s="22"/>
      <c r="AI229" s="25"/>
      <c r="AJ229" s="25"/>
    </row>
    <row r="230">
      <c r="A230" s="21" t="s">
        <v>545</v>
      </c>
      <c r="B230" s="22" t="s">
        <v>355</v>
      </c>
      <c r="C230" s="22" t="s">
        <v>273</v>
      </c>
      <c r="D230" s="23">
        <v>45991.0</v>
      </c>
      <c r="E230" s="22" t="s">
        <v>149</v>
      </c>
      <c r="F230" s="22" t="s">
        <v>356</v>
      </c>
      <c r="G230" s="22" t="s">
        <v>862</v>
      </c>
      <c r="H230" s="22" t="s">
        <v>545</v>
      </c>
      <c r="I230" s="22">
        <v>1.0434352415043E13</v>
      </c>
      <c r="J230" s="22" t="s">
        <v>562</v>
      </c>
      <c r="K230" s="24"/>
      <c r="L230" s="22" t="s">
        <v>549</v>
      </c>
      <c r="M230" s="22">
        <v>1.0</v>
      </c>
      <c r="N230" s="22" t="s">
        <v>360</v>
      </c>
      <c r="O230" s="22" t="s">
        <v>361</v>
      </c>
      <c r="P230" s="24"/>
      <c r="Q230" s="22" t="s">
        <v>90</v>
      </c>
      <c r="R230" s="22">
        <v>3.2689800544579E13</v>
      </c>
      <c r="S230" s="24"/>
      <c r="T230" s="24"/>
      <c r="U230" s="24"/>
      <c r="V230" s="22" t="s">
        <v>55</v>
      </c>
      <c r="W230" s="24"/>
      <c r="X230" s="24"/>
      <c r="Y230" s="22"/>
      <c r="Z230" s="22"/>
      <c r="AA230" s="24"/>
      <c r="AB230" s="24"/>
      <c r="AC230" s="22"/>
      <c r="AD230" s="22"/>
      <c r="AE230" s="24"/>
      <c r="AF230" s="25"/>
      <c r="AG230" s="22"/>
      <c r="AH230" s="22"/>
      <c r="AI230" s="25"/>
      <c r="AJ230" s="25"/>
    </row>
    <row r="231">
      <c r="A231" s="21" t="s">
        <v>863</v>
      </c>
      <c r="B231" s="22" t="s">
        <v>815</v>
      </c>
      <c r="C231" s="22" t="s">
        <v>82</v>
      </c>
      <c r="D231" s="26">
        <v>45997.0</v>
      </c>
      <c r="E231" s="22" t="s">
        <v>187</v>
      </c>
      <c r="F231" s="22" t="s">
        <v>698</v>
      </c>
      <c r="G231" s="22" t="s">
        <v>864</v>
      </c>
      <c r="H231" s="22" t="s">
        <v>863</v>
      </c>
      <c r="I231" s="22">
        <v>1.0431764857155E13</v>
      </c>
      <c r="J231" s="22" t="s">
        <v>817</v>
      </c>
      <c r="K231" s="24"/>
      <c r="L231" s="22" t="s">
        <v>865</v>
      </c>
      <c r="M231" s="22">
        <v>1.0</v>
      </c>
      <c r="N231" s="22" t="s">
        <v>819</v>
      </c>
      <c r="O231" s="22" t="s">
        <v>820</v>
      </c>
      <c r="P231" s="24"/>
      <c r="Q231" s="22" t="s">
        <v>90</v>
      </c>
      <c r="R231" s="22">
        <v>3.2683986714947E13</v>
      </c>
      <c r="S231" s="24"/>
      <c r="T231" s="24"/>
      <c r="U231" s="24"/>
      <c r="V231" s="22" t="s">
        <v>175</v>
      </c>
      <c r="W231" s="24"/>
      <c r="X231" s="24"/>
      <c r="Y231" s="22"/>
      <c r="Z231" s="22"/>
      <c r="AA231" s="24"/>
      <c r="AB231" s="24"/>
      <c r="AC231" s="22"/>
      <c r="AD231" s="22"/>
      <c r="AE231" s="24"/>
      <c r="AF231" s="25"/>
      <c r="AG231" s="22"/>
      <c r="AH231" s="22"/>
      <c r="AI231" s="25"/>
      <c r="AJ231" s="25"/>
    </row>
    <row r="232">
      <c r="A232" s="21" t="s">
        <v>172</v>
      </c>
      <c r="B232" s="22" t="s">
        <v>297</v>
      </c>
      <c r="C232" s="22" t="s">
        <v>82</v>
      </c>
      <c r="D232" s="26">
        <v>45997.0</v>
      </c>
      <c r="E232" s="22"/>
      <c r="F232" s="22" t="s">
        <v>83</v>
      </c>
      <c r="G232" s="22" t="s">
        <v>866</v>
      </c>
      <c r="H232" s="22" t="s">
        <v>172</v>
      </c>
      <c r="I232" s="22">
        <v>1.0434390196547E13</v>
      </c>
      <c r="J232" s="22" t="s">
        <v>397</v>
      </c>
      <c r="K232" s="24"/>
      <c r="L232" s="22" t="s">
        <v>174</v>
      </c>
      <c r="M232" s="22">
        <v>1.0</v>
      </c>
      <c r="N232" s="22" t="s">
        <v>103</v>
      </c>
      <c r="O232" s="22" t="s">
        <v>104</v>
      </c>
      <c r="P232" s="24"/>
      <c r="Q232" s="22" t="s">
        <v>90</v>
      </c>
      <c r="R232" s="22">
        <v>3.2689883283779E13</v>
      </c>
      <c r="S232" s="24"/>
      <c r="T232" s="24"/>
      <c r="U232" s="24"/>
      <c r="V232" s="22" t="s">
        <v>175</v>
      </c>
      <c r="W232" s="24"/>
      <c r="X232" s="24"/>
      <c r="Y232" s="22"/>
      <c r="Z232" s="22"/>
      <c r="AA232" s="24"/>
      <c r="AB232" s="24"/>
      <c r="AC232" s="22"/>
      <c r="AD232" s="22"/>
      <c r="AE232" s="24"/>
      <c r="AF232" s="25"/>
      <c r="AG232" s="22"/>
      <c r="AH232" s="22"/>
      <c r="AI232" s="25"/>
      <c r="AJ232" s="25"/>
    </row>
    <row r="233">
      <c r="A233" s="21" t="s">
        <v>867</v>
      </c>
      <c r="B233" s="22" t="s">
        <v>868</v>
      </c>
      <c r="C233" s="22" t="s">
        <v>273</v>
      </c>
      <c r="D233" s="26">
        <v>45998.0</v>
      </c>
      <c r="E233" s="22" t="s">
        <v>149</v>
      </c>
      <c r="F233" s="22" t="s">
        <v>869</v>
      </c>
      <c r="G233" s="22" t="s">
        <v>870</v>
      </c>
      <c r="H233" s="22" t="s">
        <v>867</v>
      </c>
      <c r="I233" s="22">
        <v>1.0432583041347E13</v>
      </c>
      <c r="J233" s="22" t="s">
        <v>871</v>
      </c>
      <c r="K233" s="24"/>
      <c r="L233" s="22" t="s">
        <v>872</v>
      </c>
      <c r="M233" s="22">
        <v>1.0</v>
      </c>
      <c r="N233" s="22" t="s">
        <v>873</v>
      </c>
      <c r="O233" s="22" t="s">
        <v>874</v>
      </c>
      <c r="P233" s="24"/>
      <c r="Q233" s="22" t="s">
        <v>90</v>
      </c>
      <c r="R233" s="22">
        <v>3.2685891551555E13</v>
      </c>
      <c r="S233" s="24"/>
      <c r="T233" s="24"/>
      <c r="U233" s="24"/>
      <c r="V233" s="22" t="s">
        <v>55</v>
      </c>
      <c r="W233" s="24"/>
      <c r="X233" s="24"/>
      <c r="Y233" s="22"/>
      <c r="Z233" s="22"/>
      <c r="AA233" s="24"/>
      <c r="AB233" s="24"/>
      <c r="AC233" s="22"/>
      <c r="AD233" s="22"/>
      <c r="AE233" s="24"/>
      <c r="AF233" s="25"/>
      <c r="AG233" s="22"/>
      <c r="AH233" s="22"/>
      <c r="AI233" s="25"/>
      <c r="AJ233" s="25"/>
    </row>
    <row r="234">
      <c r="A234" s="28"/>
      <c r="B234" s="22" t="s">
        <v>868</v>
      </c>
      <c r="C234" s="22" t="s">
        <v>273</v>
      </c>
      <c r="D234" s="26">
        <v>45998.0</v>
      </c>
      <c r="E234" s="22" t="s">
        <v>149</v>
      </c>
      <c r="F234" s="22" t="s">
        <v>869</v>
      </c>
      <c r="G234" s="22" t="s">
        <v>870</v>
      </c>
      <c r="H234" s="29"/>
      <c r="I234" s="22">
        <v>1.0432583041347E13</v>
      </c>
      <c r="J234" s="22" t="s">
        <v>871</v>
      </c>
      <c r="K234" s="24"/>
      <c r="L234" s="22" t="s">
        <v>875</v>
      </c>
      <c r="M234" s="24"/>
      <c r="N234" s="24"/>
      <c r="O234" s="22" t="s">
        <v>768</v>
      </c>
      <c r="P234" s="24"/>
      <c r="Q234" s="22" t="s">
        <v>769</v>
      </c>
      <c r="R234" s="24"/>
      <c r="S234" s="24"/>
      <c r="T234" s="24"/>
      <c r="U234" s="24"/>
      <c r="V234" s="22"/>
      <c r="W234" s="24"/>
      <c r="X234" s="24"/>
      <c r="Y234" s="22"/>
      <c r="Z234" s="22"/>
      <c r="AA234" s="24"/>
      <c r="AB234" s="24"/>
      <c r="AC234" s="22"/>
      <c r="AD234" s="22"/>
      <c r="AE234" s="24"/>
      <c r="AF234" s="25"/>
      <c r="AG234" s="22"/>
      <c r="AH234" s="22"/>
      <c r="AI234" s="25"/>
      <c r="AJ234" s="25"/>
    </row>
    <row r="235">
      <c r="A235" s="21" t="s">
        <v>632</v>
      </c>
      <c r="B235" s="22" t="s">
        <v>876</v>
      </c>
      <c r="C235" s="22" t="s">
        <v>273</v>
      </c>
      <c r="D235" s="26">
        <v>45998.0</v>
      </c>
      <c r="E235" s="22" t="s">
        <v>177</v>
      </c>
      <c r="F235" s="22" t="s">
        <v>634</v>
      </c>
      <c r="G235" s="22" t="s">
        <v>877</v>
      </c>
      <c r="H235" s="22" t="s">
        <v>632</v>
      </c>
      <c r="I235" s="22">
        <v>1.0434524741955E13</v>
      </c>
      <c r="J235" s="22" t="s">
        <v>878</v>
      </c>
      <c r="K235" s="24"/>
      <c r="L235" s="22" t="s">
        <v>637</v>
      </c>
      <c r="M235" s="22">
        <v>1.0</v>
      </c>
      <c r="N235" s="22" t="s">
        <v>638</v>
      </c>
      <c r="O235" s="22" t="s">
        <v>639</v>
      </c>
      <c r="P235" s="24"/>
      <c r="Q235" s="22" t="s">
        <v>90</v>
      </c>
      <c r="R235" s="22">
        <v>3.2690193465667E13</v>
      </c>
      <c r="S235" s="24"/>
      <c r="T235" s="24"/>
      <c r="U235" s="24"/>
      <c r="V235" s="22" t="s">
        <v>91</v>
      </c>
      <c r="W235" s="24"/>
      <c r="X235" s="24"/>
      <c r="Y235" s="22"/>
      <c r="Z235" s="22"/>
      <c r="AA235" s="24"/>
      <c r="AB235" s="24"/>
      <c r="AC235" s="22"/>
      <c r="AD235" s="22"/>
      <c r="AE235" s="24"/>
      <c r="AF235" s="25"/>
      <c r="AG235" s="22"/>
      <c r="AH235" s="22"/>
      <c r="AI235" s="25"/>
      <c r="AJ235" s="25"/>
    </row>
    <row r="236">
      <c r="A236" s="21" t="s">
        <v>879</v>
      </c>
      <c r="B236" s="22" t="s">
        <v>868</v>
      </c>
      <c r="C236" s="22" t="s">
        <v>273</v>
      </c>
      <c r="D236" s="26">
        <v>45998.0</v>
      </c>
      <c r="E236" s="22" t="s">
        <v>149</v>
      </c>
      <c r="F236" s="22" t="s">
        <v>869</v>
      </c>
      <c r="G236" s="22" t="s">
        <v>880</v>
      </c>
      <c r="H236" s="22" t="s">
        <v>879</v>
      </c>
      <c r="I236" s="22">
        <v>1.0433707671875E13</v>
      </c>
      <c r="J236" s="22" t="s">
        <v>871</v>
      </c>
      <c r="K236" s="24"/>
      <c r="L236" s="22" t="s">
        <v>881</v>
      </c>
      <c r="M236" s="22">
        <v>1.0</v>
      </c>
      <c r="N236" s="22" t="s">
        <v>882</v>
      </c>
      <c r="O236" s="22" t="s">
        <v>883</v>
      </c>
      <c r="P236" s="24"/>
      <c r="Q236" s="22" t="s">
        <v>90</v>
      </c>
      <c r="R236" s="22">
        <v>3.2688354689347E13</v>
      </c>
      <c r="S236" s="24"/>
      <c r="T236" s="24"/>
      <c r="U236" s="24"/>
      <c r="V236" s="22" t="s">
        <v>127</v>
      </c>
      <c r="W236" s="24"/>
      <c r="X236" s="24"/>
      <c r="Y236" s="22"/>
      <c r="Z236" s="22"/>
      <c r="AA236" s="24"/>
      <c r="AB236" s="24"/>
      <c r="AC236" s="22"/>
      <c r="AD236" s="22"/>
      <c r="AE236" s="24"/>
      <c r="AF236" s="25"/>
      <c r="AG236" s="22"/>
      <c r="AH236" s="22"/>
      <c r="AI236" s="25"/>
      <c r="AJ236" s="25"/>
    </row>
    <row r="237">
      <c r="A237" s="21" t="s">
        <v>141</v>
      </c>
      <c r="B237" s="22" t="s">
        <v>297</v>
      </c>
      <c r="C237" s="22" t="s">
        <v>82</v>
      </c>
      <c r="D237" s="26">
        <v>45997.0</v>
      </c>
      <c r="E237" s="22"/>
      <c r="F237" s="22" t="s">
        <v>83</v>
      </c>
      <c r="G237" s="22" t="s">
        <v>884</v>
      </c>
      <c r="H237" s="22" t="s">
        <v>141</v>
      </c>
      <c r="I237" s="22">
        <v>1.0434630648131E13</v>
      </c>
      <c r="J237" s="22" t="s">
        <v>397</v>
      </c>
      <c r="K237" s="24"/>
      <c r="L237" s="22" t="s">
        <v>143</v>
      </c>
      <c r="M237" s="22">
        <v>1.0</v>
      </c>
      <c r="N237" s="22" t="s">
        <v>87</v>
      </c>
      <c r="O237" s="22" t="s">
        <v>88</v>
      </c>
      <c r="P237" s="24"/>
      <c r="Q237" s="22" t="s">
        <v>90</v>
      </c>
      <c r="R237" s="22">
        <v>3.2690435588419E13</v>
      </c>
      <c r="S237" s="24"/>
      <c r="T237" s="24"/>
      <c r="U237" s="24"/>
      <c r="V237" s="22" t="s">
        <v>54</v>
      </c>
      <c r="W237" s="24"/>
      <c r="X237" s="24"/>
      <c r="Y237" s="22"/>
      <c r="Z237" s="22"/>
      <c r="AA237" s="24"/>
      <c r="AB237" s="24"/>
      <c r="AC237" s="22"/>
      <c r="AD237" s="22"/>
      <c r="AE237" s="24"/>
      <c r="AF237" s="25"/>
      <c r="AG237" s="22"/>
      <c r="AH237" s="22"/>
      <c r="AI237" s="25"/>
      <c r="AJ237" s="25"/>
    </row>
    <row r="238">
      <c r="A238" s="21" t="s">
        <v>885</v>
      </c>
      <c r="B238" s="22" t="s">
        <v>886</v>
      </c>
      <c r="C238" s="22" t="s">
        <v>287</v>
      </c>
      <c r="D238" s="26">
        <v>45994.0</v>
      </c>
      <c r="E238" s="22" t="s">
        <v>887</v>
      </c>
      <c r="F238" s="22" t="s">
        <v>605</v>
      </c>
      <c r="G238" s="22" t="s">
        <v>888</v>
      </c>
      <c r="H238" s="22" t="s">
        <v>885</v>
      </c>
      <c r="I238" s="22">
        <v>1.0434659156291E13</v>
      </c>
      <c r="J238" s="22" t="s">
        <v>889</v>
      </c>
      <c r="K238" s="24"/>
      <c r="L238" s="22" t="s">
        <v>890</v>
      </c>
      <c r="M238" s="22">
        <v>1.0</v>
      </c>
      <c r="N238" s="22" t="s">
        <v>795</v>
      </c>
      <c r="O238" s="22" t="s">
        <v>796</v>
      </c>
      <c r="P238" s="24"/>
      <c r="Q238" s="22" t="s">
        <v>90</v>
      </c>
      <c r="R238" s="22">
        <v>3.2690497683779E13</v>
      </c>
      <c r="S238" s="24"/>
      <c r="T238" s="24"/>
      <c r="U238" s="24"/>
      <c r="V238" s="22" t="s">
        <v>127</v>
      </c>
      <c r="W238" s="24"/>
      <c r="X238" s="24"/>
      <c r="Y238" s="22"/>
      <c r="Z238" s="22"/>
      <c r="AA238" s="24"/>
      <c r="AB238" s="24"/>
      <c r="AC238" s="22"/>
      <c r="AD238" s="22"/>
      <c r="AE238" s="24"/>
      <c r="AF238" s="25"/>
      <c r="AG238" s="22"/>
      <c r="AH238" s="22"/>
      <c r="AI238" s="25"/>
      <c r="AJ238" s="25"/>
    </row>
    <row r="239">
      <c r="A239" s="21" t="s">
        <v>859</v>
      </c>
      <c r="B239" s="22" t="s">
        <v>797</v>
      </c>
      <c r="C239" s="22" t="s">
        <v>287</v>
      </c>
      <c r="D239" s="26">
        <v>45994.0</v>
      </c>
      <c r="E239" s="22" t="s">
        <v>252</v>
      </c>
      <c r="F239" s="22" t="s">
        <v>605</v>
      </c>
      <c r="G239" s="22" t="s">
        <v>891</v>
      </c>
      <c r="H239" s="22" t="s">
        <v>859</v>
      </c>
      <c r="I239" s="22">
        <v>1.0434727051587E13</v>
      </c>
      <c r="J239" s="22" t="s">
        <v>799</v>
      </c>
      <c r="K239" s="24"/>
      <c r="L239" s="22" t="s">
        <v>861</v>
      </c>
      <c r="M239" s="22">
        <v>1.0</v>
      </c>
      <c r="N239" s="22" t="s">
        <v>609</v>
      </c>
      <c r="O239" s="22" t="s">
        <v>610</v>
      </c>
      <c r="P239" s="24"/>
      <c r="Q239" s="22" t="s">
        <v>90</v>
      </c>
      <c r="R239" s="22">
        <v>3.2690642911555E13</v>
      </c>
      <c r="S239" s="24"/>
      <c r="T239" s="24"/>
      <c r="U239" s="24"/>
      <c r="V239" s="22" t="s">
        <v>95</v>
      </c>
      <c r="W239" s="24"/>
      <c r="X239" s="24"/>
      <c r="Y239" s="22"/>
      <c r="Z239" s="22"/>
      <c r="AA239" s="24"/>
      <c r="AB239" s="24"/>
      <c r="AC239" s="22"/>
      <c r="AD239" s="22"/>
      <c r="AE239" s="24"/>
      <c r="AF239" s="25"/>
      <c r="AG239" s="22"/>
      <c r="AH239" s="22"/>
      <c r="AI239" s="25"/>
      <c r="AJ239" s="25"/>
    </row>
    <row r="240">
      <c r="A240" s="21" t="s">
        <v>488</v>
      </c>
      <c r="B240" s="22" t="s">
        <v>310</v>
      </c>
      <c r="C240" s="22" t="s">
        <v>82</v>
      </c>
      <c r="D240" s="26">
        <v>45997.0</v>
      </c>
      <c r="E240" s="22" t="s">
        <v>134</v>
      </c>
      <c r="F240" s="22" t="s">
        <v>311</v>
      </c>
      <c r="G240" s="22" t="s">
        <v>892</v>
      </c>
      <c r="H240" s="22" t="s">
        <v>488</v>
      </c>
      <c r="I240" s="22">
        <v>1.0434766995779E13</v>
      </c>
      <c r="J240" s="22" t="s">
        <v>544</v>
      </c>
      <c r="K240" s="24"/>
      <c r="L240" s="22" t="s">
        <v>492</v>
      </c>
      <c r="M240" s="22">
        <v>1.0</v>
      </c>
      <c r="N240" s="22" t="s">
        <v>391</v>
      </c>
      <c r="O240" s="22" t="s">
        <v>392</v>
      </c>
      <c r="P240" s="24"/>
      <c r="Q240" s="22" t="s">
        <v>90</v>
      </c>
      <c r="R240" s="22">
        <v>3.2690727977283E13</v>
      </c>
      <c r="S240" s="24"/>
      <c r="T240" s="24"/>
      <c r="U240" s="24"/>
      <c r="V240" s="22" t="s">
        <v>95</v>
      </c>
      <c r="W240" s="24"/>
      <c r="X240" s="24"/>
      <c r="Y240" s="22"/>
      <c r="Z240" s="22"/>
      <c r="AA240" s="24"/>
      <c r="AB240" s="24"/>
      <c r="AC240" s="22"/>
      <c r="AD240" s="22"/>
      <c r="AE240" s="24"/>
      <c r="AF240" s="25"/>
      <c r="AG240" s="22"/>
      <c r="AH240" s="22"/>
      <c r="AI240" s="25"/>
      <c r="AJ240" s="25"/>
    </row>
    <row r="241">
      <c r="A241" s="21" t="s">
        <v>124</v>
      </c>
      <c r="B241" s="22" t="s">
        <v>297</v>
      </c>
      <c r="C241" s="22" t="s">
        <v>82</v>
      </c>
      <c r="D241" s="26">
        <v>45997.0</v>
      </c>
      <c r="E241" s="22"/>
      <c r="F241" s="22" t="s">
        <v>83</v>
      </c>
      <c r="G241" s="22" t="s">
        <v>893</v>
      </c>
      <c r="H241" s="22" t="s">
        <v>124</v>
      </c>
      <c r="I241" s="22">
        <v>1.0434924020035E13</v>
      </c>
      <c r="J241" s="22" t="s">
        <v>397</v>
      </c>
      <c r="K241" s="24"/>
      <c r="L241" s="22" t="s">
        <v>126</v>
      </c>
      <c r="M241" s="22">
        <v>1.0</v>
      </c>
      <c r="N241" s="22" t="s">
        <v>103</v>
      </c>
      <c r="O241" s="22" t="s">
        <v>104</v>
      </c>
      <c r="P241" s="24"/>
      <c r="Q241" s="22" t="s">
        <v>90</v>
      </c>
      <c r="R241" s="22">
        <v>3.2691066011971E13</v>
      </c>
      <c r="S241" s="24"/>
      <c r="T241" s="24"/>
      <c r="U241" s="24"/>
      <c r="V241" s="22" t="s">
        <v>127</v>
      </c>
      <c r="W241" s="24"/>
      <c r="X241" s="24"/>
      <c r="Y241" s="22"/>
      <c r="Z241" s="22"/>
      <c r="AA241" s="24"/>
      <c r="AB241" s="24"/>
      <c r="AC241" s="22"/>
      <c r="AD241" s="22"/>
      <c r="AE241" s="24"/>
      <c r="AF241" s="25"/>
      <c r="AG241" s="22"/>
      <c r="AH241" s="22"/>
      <c r="AI241" s="25"/>
      <c r="AJ241" s="25"/>
    </row>
    <row r="242">
      <c r="A242" s="21" t="s">
        <v>632</v>
      </c>
      <c r="B242" s="22" t="s">
        <v>823</v>
      </c>
      <c r="C242" s="22" t="s">
        <v>82</v>
      </c>
      <c r="D242" s="26">
        <v>45997.0</v>
      </c>
      <c r="E242" s="22" t="s">
        <v>177</v>
      </c>
      <c r="F242" s="22" t="s">
        <v>634</v>
      </c>
      <c r="G242" s="22" t="s">
        <v>894</v>
      </c>
      <c r="H242" s="22" t="s">
        <v>632</v>
      </c>
      <c r="I242" s="22">
        <v>1.0434926051651E13</v>
      </c>
      <c r="J242" s="22" t="s">
        <v>825</v>
      </c>
      <c r="K242" s="24"/>
      <c r="L242" s="22" t="s">
        <v>637</v>
      </c>
      <c r="M242" s="22">
        <v>1.0</v>
      </c>
      <c r="N242" s="22" t="s">
        <v>638</v>
      </c>
      <c r="O242" s="22" t="s">
        <v>639</v>
      </c>
      <c r="P242" s="24"/>
      <c r="Q242" s="22" t="s">
        <v>90</v>
      </c>
      <c r="R242" s="22">
        <v>3.2691070370115E13</v>
      </c>
      <c r="S242" s="24"/>
      <c r="T242" s="24"/>
      <c r="U242" s="24"/>
      <c r="V242" s="22" t="s">
        <v>91</v>
      </c>
      <c r="W242" s="24"/>
      <c r="X242" s="24"/>
      <c r="Y242" s="22"/>
      <c r="Z242" s="22"/>
      <c r="AA242" s="24"/>
      <c r="AB242" s="24"/>
      <c r="AC242" s="22"/>
      <c r="AD242" s="22"/>
      <c r="AE242" s="24"/>
      <c r="AF242" s="25"/>
      <c r="AG242" s="22"/>
      <c r="AH242" s="22"/>
      <c r="AI242" s="25"/>
      <c r="AJ242" s="25"/>
    </row>
    <row r="243">
      <c r="A243" s="21" t="s">
        <v>895</v>
      </c>
      <c r="B243" s="22" t="s">
        <v>896</v>
      </c>
      <c r="C243" s="22" t="s">
        <v>82</v>
      </c>
      <c r="D243" s="23">
        <v>46004.0</v>
      </c>
      <c r="E243" s="22" t="s">
        <v>181</v>
      </c>
      <c r="F243" s="22" t="s">
        <v>203</v>
      </c>
      <c r="G243" s="22" t="s">
        <v>897</v>
      </c>
      <c r="H243" s="22" t="s">
        <v>895</v>
      </c>
      <c r="I243" s="22">
        <v>1.0434360082755E13</v>
      </c>
      <c r="J243" s="22" t="s">
        <v>898</v>
      </c>
      <c r="K243" s="24"/>
      <c r="L243" s="22" t="s">
        <v>899</v>
      </c>
      <c r="M243" s="22">
        <v>1.0</v>
      </c>
      <c r="N243" s="22" t="s">
        <v>900</v>
      </c>
      <c r="O243" s="22" t="s">
        <v>901</v>
      </c>
      <c r="P243" s="24"/>
      <c r="Q243" s="22" t="s">
        <v>90</v>
      </c>
      <c r="R243" s="22">
        <v>3.2689818632515E13</v>
      </c>
      <c r="S243" s="24"/>
      <c r="T243" s="24"/>
      <c r="U243" s="24"/>
      <c r="V243" s="22" t="s">
        <v>132</v>
      </c>
      <c r="W243" s="24"/>
      <c r="X243" s="24"/>
      <c r="Y243" s="22"/>
      <c r="Z243" s="22"/>
      <c r="AA243" s="24"/>
      <c r="AB243" s="24"/>
      <c r="AC243" s="22"/>
      <c r="AD243" s="22"/>
      <c r="AE243" s="24"/>
      <c r="AF243" s="25"/>
      <c r="AG243" s="22"/>
      <c r="AH243" s="22"/>
      <c r="AI243" s="25"/>
      <c r="AJ243" s="25"/>
    </row>
    <row r="244">
      <c r="A244" s="21" t="s">
        <v>902</v>
      </c>
      <c r="B244" s="22" t="s">
        <v>903</v>
      </c>
      <c r="C244" s="22" t="s">
        <v>273</v>
      </c>
      <c r="D244" s="23">
        <v>45991.0</v>
      </c>
      <c r="E244" s="22" t="s">
        <v>243</v>
      </c>
      <c r="F244" s="22" t="s">
        <v>329</v>
      </c>
      <c r="G244" s="22" t="s">
        <v>904</v>
      </c>
      <c r="H244" s="22" t="s">
        <v>902</v>
      </c>
      <c r="I244" s="22">
        <v>1.0434477392195E13</v>
      </c>
      <c r="J244" s="22" t="s">
        <v>905</v>
      </c>
      <c r="K244" s="24"/>
      <c r="L244" s="22" t="s">
        <v>906</v>
      </c>
      <c r="M244" s="22">
        <v>1.0</v>
      </c>
      <c r="N244" s="22" t="s">
        <v>907</v>
      </c>
      <c r="O244" s="22" t="s">
        <v>908</v>
      </c>
      <c r="P244" s="24"/>
      <c r="Q244" s="22" t="s">
        <v>90</v>
      </c>
      <c r="R244" s="22">
        <v>3.2690081661251E13</v>
      </c>
      <c r="S244" s="24"/>
      <c r="T244" s="24"/>
      <c r="U244" s="24"/>
      <c r="V244" s="22" t="s">
        <v>105</v>
      </c>
      <c r="W244" s="24"/>
      <c r="X244" s="24"/>
      <c r="Y244" s="22"/>
      <c r="Z244" s="22"/>
      <c r="AA244" s="24"/>
      <c r="AB244" s="24"/>
      <c r="AC244" s="22"/>
      <c r="AD244" s="24"/>
      <c r="AE244" s="24"/>
      <c r="AF244" s="25"/>
      <c r="AG244" s="22"/>
      <c r="AH244" s="22"/>
      <c r="AI244" s="25"/>
      <c r="AJ244" s="25"/>
    </row>
    <row r="245">
      <c r="A245" s="21" t="s">
        <v>200</v>
      </c>
      <c r="B245" s="22" t="s">
        <v>909</v>
      </c>
      <c r="C245" s="22" t="s">
        <v>82</v>
      </c>
      <c r="D245" s="23">
        <v>46004.0</v>
      </c>
      <c r="E245" s="22" t="s">
        <v>134</v>
      </c>
      <c r="F245" s="22" t="s">
        <v>203</v>
      </c>
      <c r="G245" s="22" t="s">
        <v>910</v>
      </c>
      <c r="H245" s="22" t="s">
        <v>200</v>
      </c>
      <c r="I245" s="22">
        <v>1.0434567897411E13</v>
      </c>
      <c r="J245" s="22" t="s">
        <v>911</v>
      </c>
      <c r="K245" s="24"/>
      <c r="L245" s="22" t="s">
        <v>206</v>
      </c>
      <c r="M245" s="22">
        <v>1.0</v>
      </c>
      <c r="N245" s="22" t="s">
        <v>207</v>
      </c>
      <c r="O245" s="22" t="s">
        <v>208</v>
      </c>
      <c r="P245" s="24"/>
      <c r="Q245" s="22" t="s">
        <v>90</v>
      </c>
      <c r="R245" s="22">
        <v>3.2690290622787E13</v>
      </c>
      <c r="S245" s="24"/>
      <c r="T245" s="24"/>
      <c r="U245" s="24"/>
      <c r="V245" s="22" t="s">
        <v>54</v>
      </c>
      <c r="W245" s="24"/>
      <c r="X245" s="24"/>
      <c r="Y245" s="22"/>
      <c r="Z245" s="22"/>
      <c r="AA245" s="24"/>
      <c r="AB245" s="24"/>
      <c r="AC245" s="22"/>
      <c r="AD245" s="22"/>
      <c r="AE245" s="24"/>
      <c r="AF245" s="25"/>
      <c r="AG245" s="22"/>
      <c r="AH245" s="22"/>
      <c r="AI245" s="25"/>
      <c r="AJ245" s="25"/>
    </row>
    <row r="246">
      <c r="A246" s="21" t="s">
        <v>912</v>
      </c>
      <c r="B246" s="22" t="s">
        <v>512</v>
      </c>
      <c r="C246" s="22" t="s">
        <v>82</v>
      </c>
      <c r="D246" s="26">
        <v>45997.0</v>
      </c>
      <c r="E246" s="22" t="s">
        <v>153</v>
      </c>
      <c r="F246" s="22" t="s">
        <v>377</v>
      </c>
      <c r="G246" s="22" t="s">
        <v>913</v>
      </c>
      <c r="H246" s="22" t="s">
        <v>912</v>
      </c>
      <c r="I246" s="22">
        <v>1.0434982084931E13</v>
      </c>
      <c r="J246" s="22" t="s">
        <v>514</v>
      </c>
      <c r="K246" s="24"/>
      <c r="L246" s="22" t="s">
        <v>914</v>
      </c>
      <c r="M246" s="22">
        <v>1.0</v>
      </c>
      <c r="N246" s="22" t="s">
        <v>381</v>
      </c>
      <c r="O246" s="22" t="s">
        <v>382</v>
      </c>
      <c r="P246" s="24"/>
      <c r="Q246" s="22" t="s">
        <v>90</v>
      </c>
      <c r="R246" s="22">
        <v>3.2691189743939E13</v>
      </c>
      <c r="S246" s="24"/>
      <c r="T246" s="24"/>
      <c r="U246" s="24"/>
      <c r="V246" s="22" t="s">
        <v>54</v>
      </c>
      <c r="W246" s="24"/>
      <c r="X246" s="24"/>
      <c r="Y246" s="22"/>
      <c r="Z246" s="22"/>
      <c r="AA246" s="24"/>
      <c r="AB246" s="24"/>
      <c r="AC246" s="22"/>
      <c r="AD246" s="22"/>
      <c r="AE246" s="24"/>
      <c r="AF246" s="25"/>
      <c r="AG246" s="22"/>
      <c r="AH246" s="22"/>
      <c r="AI246" s="25"/>
      <c r="AJ246" s="25"/>
    </row>
    <row r="247">
      <c r="A247" s="21" t="s">
        <v>124</v>
      </c>
      <c r="B247" s="22" t="s">
        <v>297</v>
      </c>
      <c r="C247" s="22" t="s">
        <v>82</v>
      </c>
      <c r="D247" s="26">
        <v>45997.0</v>
      </c>
      <c r="E247" s="22"/>
      <c r="F247" s="22" t="s">
        <v>83</v>
      </c>
      <c r="G247" s="22" t="s">
        <v>915</v>
      </c>
      <c r="H247" s="22" t="s">
        <v>124</v>
      </c>
      <c r="I247" s="22">
        <v>1.0435017081155E13</v>
      </c>
      <c r="J247" s="22" t="s">
        <v>397</v>
      </c>
      <c r="K247" s="24"/>
      <c r="L247" s="22" t="s">
        <v>126</v>
      </c>
      <c r="M247" s="22">
        <v>1.0</v>
      </c>
      <c r="N247" s="22" t="s">
        <v>103</v>
      </c>
      <c r="O247" s="22" t="s">
        <v>104</v>
      </c>
      <c r="P247" s="24"/>
      <c r="Q247" s="22" t="s">
        <v>90</v>
      </c>
      <c r="R247" s="22">
        <v>3.2691267240259E13</v>
      </c>
      <c r="S247" s="24"/>
      <c r="T247" s="24"/>
      <c r="U247" s="24"/>
      <c r="V247" s="22" t="s">
        <v>127</v>
      </c>
      <c r="W247" s="24"/>
      <c r="X247" s="24"/>
      <c r="Y247" s="22"/>
      <c r="Z247" s="22"/>
      <c r="AA247" s="24"/>
      <c r="AB247" s="24"/>
      <c r="AC247" s="22"/>
      <c r="AD247" s="22"/>
      <c r="AE247" s="24"/>
      <c r="AF247" s="25"/>
      <c r="AG247" s="22"/>
      <c r="AH247" s="22"/>
      <c r="AI247" s="25"/>
      <c r="AJ247" s="25"/>
    </row>
    <row r="248">
      <c r="A248" s="21" t="s">
        <v>200</v>
      </c>
      <c r="B248" s="22" t="s">
        <v>909</v>
      </c>
      <c r="C248" s="22" t="s">
        <v>82</v>
      </c>
      <c r="D248" s="23">
        <v>46004.0</v>
      </c>
      <c r="E248" s="22" t="s">
        <v>134</v>
      </c>
      <c r="F248" s="22" t="s">
        <v>203</v>
      </c>
      <c r="G248" s="22" t="s">
        <v>916</v>
      </c>
      <c r="H248" s="22" t="s">
        <v>200</v>
      </c>
      <c r="I248" s="22">
        <v>1.0435290628419E13</v>
      </c>
      <c r="J248" s="22" t="s">
        <v>911</v>
      </c>
      <c r="K248" s="24"/>
      <c r="L248" s="22" t="s">
        <v>206</v>
      </c>
      <c r="M248" s="22">
        <v>1.0</v>
      </c>
      <c r="N248" s="22" t="s">
        <v>207</v>
      </c>
      <c r="O248" s="22" t="s">
        <v>208</v>
      </c>
      <c r="P248" s="24"/>
      <c r="Q248" s="22" t="s">
        <v>90</v>
      </c>
      <c r="R248" s="22">
        <v>3.2691836944707E13</v>
      </c>
      <c r="S248" s="24"/>
      <c r="T248" s="24"/>
      <c r="U248" s="24"/>
      <c r="V248" s="22" t="s">
        <v>54</v>
      </c>
      <c r="W248" s="24"/>
      <c r="X248" s="24"/>
      <c r="Y248" s="22"/>
      <c r="Z248" s="22"/>
      <c r="AA248" s="24"/>
      <c r="AB248" s="24"/>
      <c r="AC248" s="22"/>
      <c r="AD248" s="22"/>
      <c r="AE248" s="24"/>
      <c r="AF248" s="25"/>
      <c r="AG248" s="22"/>
      <c r="AH248" s="22"/>
      <c r="AI248" s="25"/>
      <c r="AJ248" s="25"/>
    </row>
    <row r="249">
      <c r="A249" s="21" t="s">
        <v>276</v>
      </c>
      <c r="B249" s="22" t="s">
        <v>420</v>
      </c>
      <c r="C249" s="22" t="s">
        <v>82</v>
      </c>
      <c r="D249" s="26">
        <v>45997.0</v>
      </c>
      <c r="E249" s="22" t="s">
        <v>153</v>
      </c>
      <c r="F249" s="22" t="s">
        <v>278</v>
      </c>
      <c r="G249" s="22" t="s">
        <v>917</v>
      </c>
      <c r="H249" s="22" t="s">
        <v>276</v>
      </c>
      <c r="I249" s="22">
        <v>1.0435453813059E13</v>
      </c>
      <c r="J249" s="22" t="s">
        <v>422</v>
      </c>
      <c r="K249" s="24"/>
      <c r="L249" s="22" t="s">
        <v>281</v>
      </c>
      <c r="M249" s="22">
        <v>1.0</v>
      </c>
      <c r="N249" s="22" t="s">
        <v>282</v>
      </c>
      <c r="O249" s="22" t="s">
        <v>283</v>
      </c>
      <c r="P249" s="24"/>
      <c r="Q249" s="22" t="s">
        <v>90</v>
      </c>
      <c r="R249" s="22">
        <v>3.2692184056131E13</v>
      </c>
      <c r="S249" s="24"/>
      <c r="T249" s="24"/>
      <c r="U249" s="24"/>
      <c r="V249" s="22" t="s">
        <v>55</v>
      </c>
      <c r="W249" s="24"/>
      <c r="X249" s="24"/>
      <c r="Y249" s="22"/>
      <c r="Z249" s="22"/>
      <c r="AA249" s="24"/>
      <c r="AB249" s="24"/>
      <c r="AC249" s="22"/>
      <c r="AD249" s="22"/>
      <c r="AE249" s="24"/>
      <c r="AF249" s="25"/>
      <c r="AG249" s="22"/>
      <c r="AH249" s="22"/>
      <c r="AI249" s="25"/>
      <c r="AJ249" s="25"/>
    </row>
    <row r="250">
      <c r="A250" s="21" t="s">
        <v>437</v>
      </c>
      <c r="B250" s="22" t="s">
        <v>574</v>
      </c>
      <c r="C250" s="22" t="s">
        <v>273</v>
      </c>
      <c r="D250" s="26">
        <v>45998.0</v>
      </c>
      <c r="E250" s="22" t="s">
        <v>187</v>
      </c>
      <c r="F250" s="22" t="s">
        <v>440</v>
      </c>
      <c r="G250" s="22" t="s">
        <v>918</v>
      </c>
      <c r="H250" s="22" t="s">
        <v>437</v>
      </c>
      <c r="I250" s="22">
        <v>1.0435543597379E13</v>
      </c>
      <c r="J250" s="22" t="s">
        <v>576</v>
      </c>
      <c r="K250" s="24"/>
      <c r="L250" s="22" t="s">
        <v>443</v>
      </c>
      <c r="M250" s="22">
        <v>1.0</v>
      </c>
      <c r="N250" s="22" t="s">
        <v>444</v>
      </c>
      <c r="O250" s="22" t="s">
        <v>445</v>
      </c>
      <c r="P250" s="24"/>
      <c r="Q250" s="22" t="s">
        <v>90</v>
      </c>
      <c r="R250" s="22">
        <v>3.2692382073155E13</v>
      </c>
      <c r="S250" s="24"/>
      <c r="T250" s="24"/>
      <c r="U250" s="24"/>
      <c r="V250" s="22" t="s">
        <v>91</v>
      </c>
      <c r="W250" s="24"/>
      <c r="X250" s="24"/>
      <c r="Y250" s="22"/>
      <c r="Z250" s="22"/>
      <c r="AA250" s="24"/>
      <c r="AB250" s="24"/>
      <c r="AC250" s="22"/>
      <c r="AD250" s="22"/>
      <c r="AE250" s="24"/>
      <c r="AF250" s="25"/>
      <c r="AG250" s="22"/>
      <c r="AH250" s="22"/>
      <c r="AI250" s="25"/>
      <c r="AJ250" s="25"/>
    </row>
    <row r="251">
      <c r="A251" s="21" t="s">
        <v>80</v>
      </c>
      <c r="B251" s="22" t="s">
        <v>297</v>
      </c>
      <c r="C251" s="22" t="s">
        <v>82</v>
      </c>
      <c r="D251" s="26">
        <v>45997.0</v>
      </c>
      <c r="E251" s="22"/>
      <c r="F251" s="22" t="s">
        <v>83</v>
      </c>
      <c r="G251" s="22" t="s">
        <v>919</v>
      </c>
      <c r="H251" s="22" t="s">
        <v>80</v>
      </c>
      <c r="I251" s="22">
        <v>1.0435583377731E13</v>
      </c>
      <c r="J251" s="22" t="s">
        <v>397</v>
      </c>
      <c r="K251" s="24"/>
      <c r="L251" s="22" t="s">
        <v>86</v>
      </c>
      <c r="M251" s="22">
        <v>1.0</v>
      </c>
      <c r="N251" s="22" t="s">
        <v>87</v>
      </c>
      <c r="O251" s="22" t="s">
        <v>88</v>
      </c>
      <c r="P251" s="24"/>
      <c r="Q251" s="22" t="s">
        <v>90</v>
      </c>
      <c r="R251" s="22">
        <v>3.2692468908355E13</v>
      </c>
      <c r="S251" s="24"/>
      <c r="T251" s="24"/>
      <c r="U251" s="24"/>
      <c r="V251" s="22" t="s">
        <v>91</v>
      </c>
      <c r="W251" s="24"/>
      <c r="X251" s="24"/>
      <c r="Y251" s="22"/>
      <c r="Z251" s="22"/>
      <c r="AA251" s="24"/>
      <c r="AB251" s="24"/>
      <c r="AC251" s="22"/>
      <c r="AD251" s="22"/>
      <c r="AE251" s="24"/>
      <c r="AF251" s="25"/>
      <c r="AG251" s="22"/>
      <c r="AH251" s="22"/>
      <c r="AI251" s="25"/>
      <c r="AJ251" s="25"/>
    </row>
    <row r="252">
      <c r="A252" s="21" t="s">
        <v>96</v>
      </c>
      <c r="B252" s="22" t="s">
        <v>428</v>
      </c>
      <c r="C252" s="22" t="s">
        <v>202</v>
      </c>
      <c r="D252" s="26">
        <v>45996.0</v>
      </c>
      <c r="E252" s="22"/>
      <c r="F252" s="22" t="s">
        <v>83</v>
      </c>
      <c r="G252" s="22" t="s">
        <v>920</v>
      </c>
      <c r="H252" s="22" t="s">
        <v>96</v>
      </c>
      <c r="I252" s="22">
        <v>1.0435622043971E13</v>
      </c>
      <c r="J252" s="22" t="s">
        <v>430</v>
      </c>
      <c r="K252" s="24"/>
      <c r="L252" s="22" t="s">
        <v>98</v>
      </c>
      <c r="M252" s="22">
        <v>1.0</v>
      </c>
      <c r="N252" s="22" t="s">
        <v>87</v>
      </c>
      <c r="O252" s="22" t="s">
        <v>88</v>
      </c>
      <c r="P252" s="24"/>
      <c r="Q252" s="22" t="s">
        <v>90</v>
      </c>
      <c r="R252" s="22">
        <v>3.2692553580867E13</v>
      </c>
      <c r="S252" s="24"/>
      <c r="T252" s="24"/>
      <c r="U252" s="24"/>
      <c r="V252" s="22" t="s">
        <v>55</v>
      </c>
      <c r="W252" s="24"/>
      <c r="X252" s="24"/>
      <c r="Y252" s="22"/>
      <c r="Z252" s="22"/>
      <c r="AA252" s="24"/>
      <c r="AB252" s="24"/>
      <c r="AC252" s="22"/>
      <c r="AD252" s="22"/>
      <c r="AE252" s="24"/>
      <c r="AF252" s="25"/>
      <c r="AG252" s="22"/>
      <c r="AH252" s="22"/>
      <c r="AI252" s="25"/>
      <c r="AJ252" s="25"/>
    </row>
    <row r="253">
      <c r="A253" s="21" t="s">
        <v>783</v>
      </c>
      <c r="B253" s="22" t="s">
        <v>921</v>
      </c>
      <c r="C253" s="22" t="s">
        <v>82</v>
      </c>
      <c r="D253" s="26">
        <v>45997.0</v>
      </c>
      <c r="E253" s="22" t="s">
        <v>266</v>
      </c>
      <c r="F253" s="22" t="s">
        <v>303</v>
      </c>
      <c r="G253" s="22" t="s">
        <v>922</v>
      </c>
      <c r="H253" s="22" t="s">
        <v>783</v>
      </c>
      <c r="I253" s="22">
        <v>1.0435649929539E13</v>
      </c>
      <c r="J253" s="22" t="s">
        <v>923</v>
      </c>
      <c r="K253" s="24"/>
      <c r="L253" s="22" t="s">
        <v>785</v>
      </c>
      <c r="M253" s="22">
        <v>1.0</v>
      </c>
      <c r="N253" s="22" t="s">
        <v>307</v>
      </c>
      <c r="O253" s="22" t="s">
        <v>308</v>
      </c>
      <c r="P253" s="24"/>
      <c r="Q253" s="22" t="s">
        <v>90</v>
      </c>
      <c r="R253" s="22">
        <v>3.2692612858179E13</v>
      </c>
      <c r="S253" s="24"/>
      <c r="T253" s="24"/>
      <c r="U253" s="24"/>
      <c r="V253" s="22" t="s">
        <v>95</v>
      </c>
      <c r="W253" s="24"/>
      <c r="X253" s="24"/>
      <c r="Y253" s="22"/>
      <c r="Z253" s="22"/>
      <c r="AA253" s="24"/>
      <c r="AB253" s="24"/>
      <c r="AC253" s="22"/>
      <c r="AD253" s="22"/>
      <c r="AE253" s="24"/>
      <c r="AF253" s="25"/>
      <c r="AG253" s="22"/>
      <c r="AH253" s="22"/>
      <c r="AI253" s="25"/>
      <c r="AJ253" s="25"/>
    </row>
    <row r="254">
      <c r="A254" s="21" t="s">
        <v>924</v>
      </c>
      <c r="B254" s="22" t="s">
        <v>763</v>
      </c>
      <c r="C254" s="22" t="s">
        <v>82</v>
      </c>
      <c r="D254" s="26">
        <v>45997.0</v>
      </c>
      <c r="E254" s="22" t="s">
        <v>149</v>
      </c>
      <c r="F254" s="22" t="s">
        <v>623</v>
      </c>
      <c r="G254" s="22" t="s">
        <v>925</v>
      </c>
      <c r="H254" s="22" t="s">
        <v>924</v>
      </c>
      <c r="I254" s="22">
        <v>1.0435666215235E13</v>
      </c>
      <c r="J254" s="22" t="s">
        <v>765</v>
      </c>
      <c r="K254" s="24"/>
      <c r="L254" s="22" t="s">
        <v>926</v>
      </c>
      <c r="M254" s="22">
        <v>1.0</v>
      </c>
      <c r="N254" s="22" t="s">
        <v>627</v>
      </c>
      <c r="O254" s="22" t="s">
        <v>628</v>
      </c>
      <c r="P254" s="24"/>
      <c r="Q254" s="22" t="s">
        <v>90</v>
      </c>
      <c r="R254" s="22">
        <v>3.2692648149315E13</v>
      </c>
      <c r="S254" s="24"/>
      <c r="T254" s="24"/>
      <c r="U254" s="24"/>
      <c r="V254" s="22" t="s">
        <v>55</v>
      </c>
      <c r="W254" s="24"/>
      <c r="X254" s="24"/>
      <c r="Y254" s="22"/>
      <c r="Z254" s="22"/>
      <c r="AA254" s="24"/>
      <c r="AB254" s="24"/>
      <c r="AC254" s="22"/>
      <c r="AD254" s="22"/>
      <c r="AE254" s="24"/>
      <c r="AF254" s="25"/>
      <c r="AG254" s="22"/>
      <c r="AH254" s="22"/>
      <c r="AI254" s="25"/>
      <c r="AJ254" s="25"/>
    </row>
    <row r="255">
      <c r="A255" s="21" t="s">
        <v>96</v>
      </c>
      <c r="B255" s="22" t="s">
        <v>297</v>
      </c>
      <c r="C255" s="22" t="s">
        <v>82</v>
      </c>
      <c r="D255" s="26">
        <v>45997.0</v>
      </c>
      <c r="E255" s="22"/>
      <c r="F255" s="22" t="s">
        <v>83</v>
      </c>
      <c r="G255" s="22" t="s">
        <v>927</v>
      </c>
      <c r="H255" s="22" t="s">
        <v>96</v>
      </c>
      <c r="I255" s="22">
        <v>1.0435432579395E13</v>
      </c>
      <c r="J255" s="22" t="s">
        <v>397</v>
      </c>
      <c r="K255" s="24"/>
      <c r="L255" s="22" t="s">
        <v>98</v>
      </c>
      <c r="M255" s="22">
        <v>1.0</v>
      </c>
      <c r="N255" s="22" t="s">
        <v>87</v>
      </c>
      <c r="O255" s="22" t="s">
        <v>88</v>
      </c>
      <c r="P255" s="24"/>
      <c r="Q255" s="22" t="s">
        <v>90</v>
      </c>
      <c r="R255" s="22">
        <v>3.2692133953859E13</v>
      </c>
      <c r="S255" s="24"/>
      <c r="T255" s="24"/>
      <c r="U255" s="24"/>
      <c r="V255" s="22" t="s">
        <v>55</v>
      </c>
      <c r="W255" s="24"/>
      <c r="X255" s="24"/>
      <c r="Y255" s="22"/>
      <c r="Z255" s="22"/>
      <c r="AA255" s="24"/>
      <c r="AB255" s="24"/>
      <c r="AC255" s="22"/>
      <c r="AD255" s="22"/>
      <c r="AE255" s="24"/>
      <c r="AF255" s="25"/>
      <c r="AG255" s="22"/>
      <c r="AH255" s="22"/>
      <c r="AI255" s="25"/>
      <c r="AJ255" s="25"/>
    </row>
    <row r="256">
      <c r="A256" s="21" t="s">
        <v>560</v>
      </c>
      <c r="B256" s="22" t="s">
        <v>355</v>
      </c>
      <c r="C256" s="22" t="s">
        <v>273</v>
      </c>
      <c r="D256" s="23">
        <v>45991.0</v>
      </c>
      <c r="E256" s="22" t="s">
        <v>149</v>
      </c>
      <c r="F256" s="22" t="s">
        <v>356</v>
      </c>
      <c r="G256" s="22" t="s">
        <v>928</v>
      </c>
      <c r="H256" s="22" t="s">
        <v>560</v>
      </c>
      <c r="I256" s="22">
        <v>1.0435716383043E13</v>
      </c>
      <c r="J256" s="22" t="s">
        <v>562</v>
      </c>
      <c r="K256" s="24"/>
      <c r="L256" s="22" t="s">
        <v>563</v>
      </c>
      <c r="M256" s="22">
        <v>1.0</v>
      </c>
      <c r="N256" s="22" t="s">
        <v>360</v>
      </c>
      <c r="O256" s="22" t="s">
        <v>361</v>
      </c>
      <c r="P256" s="24"/>
      <c r="Q256" s="22" t="s">
        <v>90</v>
      </c>
      <c r="R256" s="22">
        <v>3.2692756513091E13</v>
      </c>
      <c r="S256" s="24"/>
      <c r="T256" s="24"/>
      <c r="U256" s="24"/>
      <c r="V256" s="22" t="s">
        <v>91</v>
      </c>
      <c r="W256" s="24"/>
      <c r="X256" s="24"/>
      <c r="Y256" s="22"/>
      <c r="Z256" s="22"/>
      <c r="AA256" s="24"/>
      <c r="AB256" s="24"/>
      <c r="AC256" s="22"/>
      <c r="AD256" s="22"/>
      <c r="AE256" s="24"/>
      <c r="AF256" s="25"/>
      <c r="AG256" s="22"/>
      <c r="AH256" s="22"/>
      <c r="AI256" s="25"/>
      <c r="AJ256" s="25"/>
    </row>
    <row r="257">
      <c r="A257" s="21" t="s">
        <v>488</v>
      </c>
      <c r="B257" s="22" t="s">
        <v>929</v>
      </c>
      <c r="C257" s="22" t="s">
        <v>287</v>
      </c>
      <c r="D257" s="23">
        <v>46001.0</v>
      </c>
      <c r="E257" s="22" t="s">
        <v>134</v>
      </c>
      <c r="F257" s="22" t="s">
        <v>311</v>
      </c>
      <c r="G257" s="22" t="s">
        <v>930</v>
      </c>
      <c r="H257" s="22" t="s">
        <v>488</v>
      </c>
      <c r="I257" s="22">
        <v>1.0436130013507E13</v>
      </c>
      <c r="J257" s="22" t="s">
        <v>931</v>
      </c>
      <c r="K257" s="24"/>
      <c r="L257" s="22" t="s">
        <v>492</v>
      </c>
      <c r="M257" s="22">
        <v>1.0</v>
      </c>
      <c r="N257" s="22" t="s">
        <v>391</v>
      </c>
      <c r="O257" s="22" t="s">
        <v>392</v>
      </c>
      <c r="P257" s="24"/>
      <c r="Q257" s="22" t="s">
        <v>90</v>
      </c>
      <c r="R257" s="22">
        <v>3.2693652062531E13</v>
      </c>
      <c r="S257" s="24"/>
      <c r="T257" s="24"/>
      <c r="U257" s="24"/>
      <c r="V257" s="22" t="s">
        <v>95</v>
      </c>
      <c r="W257" s="24"/>
      <c r="X257" s="24"/>
      <c r="Y257" s="22"/>
      <c r="Z257" s="22"/>
      <c r="AA257" s="24"/>
      <c r="AB257" s="24"/>
      <c r="AC257" s="22"/>
      <c r="AD257" s="22"/>
      <c r="AE257" s="24"/>
      <c r="AF257" s="25"/>
      <c r="AG257" s="22"/>
      <c r="AH257" s="22"/>
      <c r="AI257" s="25"/>
      <c r="AJ257" s="25"/>
    </row>
    <row r="258">
      <c r="A258" s="21" t="s">
        <v>545</v>
      </c>
      <c r="B258" s="22" t="s">
        <v>355</v>
      </c>
      <c r="C258" s="22" t="s">
        <v>273</v>
      </c>
      <c r="D258" s="23">
        <v>45991.0</v>
      </c>
      <c r="E258" s="22" t="s">
        <v>149</v>
      </c>
      <c r="F258" s="22" t="s">
        <v>356</v>
      </c>
      <c r="G258" s="22" t="s">
        <v>932</v>
      </c>
      <c r="H258" s="22" t="s">
        <v>545</v>
      </c>
      <c r="I258" s="22">
        <v>1.0436184047939E13</v>
      </c>
      <c r="J258" s="22" t="s">
        <v>562</v>
      </c>
      <c r="K258" s="24"/>
      <c r="L258" s="22" t="s">
        <v>549</v>
      </c>
      <c r="M258" s="22">
        <v>1.0</v>
      </c>
      <c r="N258" s="22" t="s">
        <v>360</v>
      </c>
      <c r="O258" s="22" t="s">
        <v>361</v>
      </c>
      <c r="P258" s="24"/>
      <c r="Q258" s="22" t="s">
        <v>90</v>
      </c>
      <c r="R258" s="22">
        <v>3.2693769142595E13</v>
      </c>
      <c r="S258" s="24"/>
      <c r="T258" s="24"/>
      <c r="U258" s="24"/>
      <c r="V258" s="22" t="s">
        <v>55</v>
      </c>
      <c r="W258" s="24"/>
      <c r="X258" s="24"/>
      <c r="Y258" s="22"/>
      <c r="Z258" s="22"/>
      <c r="AA258" s="24"/>
      <c r="AB258" s="24"/>
      <c r="AC258" s="22"/>
      <c r="AD258" s="22"/>
      <c r="AE258" s="24"/>
      <c r="AF258" s="25"/>
      <c r="AG258" s="22"/>
      <c r="AH258" s="22"/>
      <c r="AI258" s="25"/>
      <c r="AJ258" s="25"/>
    </row>
    <row r="259">
      <c r="A259" s="21" t="s">
        <v>732</v>
      </c>
      <c r="B259" s="22" t="s">
        <v>933</v>
      </c>
      <c r="C259" s="22" t="s">
        <v>82</v>
      </c>
      <c r="D259" s="23">
        <v>46004.0</v>
      </c>
      <c r="E259" s="22" t="s">
        <v>934</v>
      </c>
      <c r="F259" s="22" t="s">
        <v>634</v>
      </c>
      <c r="G259" s="22" t="s">
        <v>935</v>
      </c>
      <c r="H259" s="22" t="s">
        <v>732</v>
      </c>
      <c r="I259" s="22">
        <v>1.0436341104963E13</v>
      </c>
      <c r="J259" s="22" t="s">
        <v>936</v>
      </c>
      <c r="K259" s="24"/>
      <c r="L259" s="22" t="s">
        <v>737</v>
      </c>
      <c r="M259" s="22">
        <v>1.0</v>
      </c>
      <c r="N259" s="22" t="s">
        <v>738</v>
      </c>
      <c r="O259" s="22" t="s">
        <v>739</v>
      </c>
      <c r="P259" s="24"/>
      <c r="Q259" s="22" t="s">
        <v>90</v>
      </c>
      <c r="R259" s="22">
        <v>3.2694115074371E13</v>
      </c>
      <c r="S259" s="24"/>
      <c r="T259" s="24"/>
      <c r="U259" s="24"/>
      <c r="V259" s="22" t="s">
        <v>105</v>
      </c>
      <c r="W259" s="24"/>
      <c r="X259" s="24"/>
      <c r="Y259" s="22"/>
      <c r="Z259" s="22"/>
      <c r="AA259" s="24"/>
      <c r="AB259" s="24"/>
      <c r="AC259" s="22"/>
      <c r="AD259" s="22"/>
      <c r="AE259" s="24"/>
      <c r="AF259" s="25"/>
      <c r="AG259" s="22"/>
      <c r="AH259" s="22"/>
      <c r="AI259" s="25"/>
      <c r="AJ259" s="25"/>
    </row>
    <row r="260">
      <c r="A260" s="21" t="s">
        <v>488</v>
      </c>
      <c r="B260" s="22" t="s">
        <v>310</v>
      </c>
      <c r="C260" s="22" t="s">
        <v>82</v>
      </c>
      <c r="D260" s="26">
        <v>45997.0</v>
      </c>
      <c r="E260" s="22" t="s">
        <v>134</v>
      </c>
      <c r="F260" s="22" t="s">
        <v>311</v>
      </c>
      <c r="G260" s="22" t="s">
        <v>937</v>
      </c>
      <c r="H260" s="22" t="s">
        <v>488</v>
      </c>
      <c r="I260" s="22">
        <v>1.0436364304707E13</v>
      </c>
      <c r="J260" s="22" t="s">
        <v>544</v>
      </c>
      <c r="K260" s="24"/>
      <c r="L260" s="22" t="s">
        <v>492</v>
      </c>
      <c r="M260" s="22">
        <v>1.0</v>
      </c>
      <c r="N260" s="22" t="s">
        <v>391</v>
      </c>
      <c r="O260" s="22" t="s">
        <v>392</v>
      </c>
      <c r="P260" s="24"/>
      <c r="Q260" s="22" t="s">
        <v>90</v>
      </c>
      <c r="R260" s="22">
        <v>3.2694166815043E13</v>
      </c>
      <c r="S260" s="24"/>
      <c r="T260" s="24"/>
      <c r="U260" s="24"/>
      <c r="V260" s="22" t="s">
        <v>95</v>
      </c>
      <c r="W260" s="24"/>
      <c r="X260" s="24"/>
      <c r="Y260" s="22"/>
      <c r="Z260" s="22"/>
      <c r="AA260" s="24"/>
      <c r="AB260" s="24"/>
      <c r="AC260" s="22"/>
      <c r="AD260" s="22"/>
      <c r="AE260" s="24"/>
      <c r="AF260" s="25"/>
      <c r="AG260" s="22"/>
      <c r="AH260" s="22"/>
      <c r="AI260" s="25"/>
      <c r="AJ260" s="25"/>
    </row>
    <row r="261">
      <c r="A261" s="21" t="s">
        <v>938</v>
      </c>
      <c r="B261" s="22" t="s">
        <v>471</v>
      </c>
      <c r="C261" s="22" t="s">
        <v>82</v>
      </c>
      <c r="D261" s="26">
        <v>45997.0</v>
      </c>
      <c r="E261" s="22" t="s">
        <v>134</v>
      </c>
      <c r="F261" s="22" t="s">
        <v>472</v>
      </c>
      <c r="G261" s="22" t="s">
        <v>939</v>
      </c>
      <c r="H261" s="22" t="s">
        <v>938</v>
      </c>
      <c r="I261" s="22">
        <v>1.0436416209219E13</v>
      </c>
      <c r="J261" s="22" t="s">
        <v>474</v>
      </c>
      <c r="K261" s="24"/>
      <c r="L261" s="22" t="s">
        <v>940</v>
      </c>
      <c r="M261" s="22">
        <v>1.0</v>
      </c>
      <c r="N261" s="22" t="s">
        <v>476</v>
      </c>
      <c r="O261" s="22" t="s">
        <v>477</v>
      </c>
      <c r="P261" s="24"/>
      <c r="Q261" s="22" t="s">
        <v>90</v>
      </c>
      <c r="R261" s="22">
        <v>3.2694275375427E13</v>
      </c>
      <c r="S261" s="24"/>
      <c r="T261" s="24"/>
      <c r="U261" s="24"/>
      <c r="V261" s="22" t="s">
        <v>54</v>
      </c>
      <c r="W261" s="24"/>
      <c r="X261" s="24"/>
      <c r="Y261" s="22"/>
      <c r="Z261" s="22"/>
      <c r="AA261" s="24"/>
      <c r="AB261" s="24"/>
      <c r="AC261" s="22"/>
      <c r="AD261" s="22"/>
      <c r="AE261" s="24"/>
      <c r="AF261" s="25"/>
      <c r="AG261" s="22"/>
      <c r="AH261" s="22"/>
      <c r="AI261" s="25"/>
      <c r="AJ261" s="25"/>
    </row>
    <row r="262">
      <c r="A262" s="21" t="s">
        <v>141</v>
      </c>
      <c r="B262" s="22" t="s">
        <v>297</v>
      </c>
      <c r="C262" s="22" t="s">
        <v>82</v>
      </c>
      <c r="D262" s="26">
        <v>45997.0</v>
      </c>
      <c r="E262" s="22"/>
      <c r="F262" s="22" t="s">
        <v>83</v>
      </c>
      <c r="G262" s="22" t="s">
        <v>941</v>
      </c>
      <c r="H262" s="22" t="s">
        <v>141</v>
      </c>
      <c r="I262" s="22">
        <v>1.0436445372739E13</v>
      </c>
      <c r="J262" s="22" t="s">
        <v>397</v>
      </c>
      <c r="K262" s="24"/>
      <c r="L262" s="22" t="s">
        <v>143</v>
      </c>
      <c r="M262" s="22">
        <v>1.0</v>
      </c>
      <c r="N262" s="22" t="s">
        <v>87</v>
      </c>
      <c r="O262" s="22" t="s">
        <v>88</v>
      </c>
      <c r="P262" s="24"/>
      <c r="Q262" s="22" t="s">
        <v>90</v>
      </c>
      <c r="R262" s="22">
        <v>3.2694344843587E13</v>
      </c>
      <c r="S262" s="24"/>
      <c r="T262" s="24"/>
      <c r="U262" s="24"/>
      <c r="V262" s="22" t="s">
        <v>54</v>
      </c>
      <c r="W262" s="24"/>
      <c r="X262" s="24"/>
      <c r="Y262" s="22"/>
      <c r="Z262" s="22"/>
      <c r="AA262" s="24"/>
      <c r="AB262" s="24"/>
      <c r="AC262" s="22"/>
      <c r="AD262" s="22"/>
      <c r="AE262" s="24"/>
      <c r="AF262" s="25"/>
      <c r="AG262" s="22"/>
      <c r="AH262" s="22"/>
      <c r="AI262" s="25"/>
      <c r="AJ262" s="25"/>
    </row>
    <row r="263">
      <c r="A263" s="21" t="s">
        <v>317</v>
      </c>
      <c r="B263" s="22" t="s">
        <v>318</v>
      </c>
      <c r="C263" s="22" t="s">
        <v>82</v>
      </c>
      <c r="D263" s="26">
        <v>45997.0</v>
      </c>
      <c r="E263" s="22" t="s">
        <v>196</v>
      </c>
      <c r="F263" s="22" t="s">
        <v>319</v>
      </c>
      <c r="G263" s="22" t="s">
        <v>942</v>
      </c>
      <c r="H263" s="22" t="s">
        <v>317</v>
      </c>
      <c r="I263" s="22">
        <v>1.0436529684803E13</v>
      </c>
      <c r="J263" s="22" t="s">
        <v>527</v>
      </c>
      <c r="K263" s="24"/>
      <c r="L263" s="22" t="s">
        <v>322</v>
      </c>
      <c r="M263" s="22">
        <v>1.0</v>
      </c>
      <c r="N263" s="22" t="s">
        <v>323</v>
      </c>
      <c r="O263" s="22" t="s">
        <v>324</v>
      </c>
      <c r="P263" s="24"/>
      <c r="Q263" s="22" t="s">
        <v>90</v>
      </c>
      <c r="R263" s="22">
        <v>3.2694529261891E13</v>
      </c>
      <c r="S263" s="24"/>
      <c r="T263" s="24"/>
      <c r="U263" s="24"/>
      <c r="V263" s="22" t="s">
        <v>55</v>
      </c>
      <c r="W263" s="24"/>
      <c r="X263" s="24"/>
      <c r="Y263" s="22"/>
      <c r="Z263" s="22"/>
      <c r="AA263" s="24"/>
      <c r="AB263" s="24"/>
      <c r="AC263" s="22"/>
      <c r="AD263" s="22"/>
      <c r="AE263" s="24"/>
      <c r="AF263" s="25"/>
      <c r="AG263" s="22"/>
      <c r="AH263" s="22"/>
      <c r="AI263" s="25"/>
      <c r="AJ263" s="25"/>
    </row>
    <row r="264">
      <c r="A264" s="21" t="s">
        <v>938</v>
      </c>
      <c r="B264" s="22" t="s">
        <v>943</v>
      </c>
      <c r="C264" s="22" t="s">
        <v>82</v>
      </c>
      <c r="D264" s="26">
        <v>45997.0</v>
      </c>
      <c r="E264" s="22" t="s">
        <v>145</v>
      </c>
      <c r="F264" s="22" t="s">
        <v>472</v>
      </c>
      <c r="G264" s="22" t="s">
        <v>944</v>
      </c>
      <c r="H264" s="22" t="s">
        <v>938</v>
      </c>
      <c r="I264" s="22">
        <v>1.0435137175875E13</v>
      </c>
      <c r="J264" s="22" t="s">
        <v>945</v>
      </c>
      <c r="K264" s="24"/>
      <c r="L264" s="22" t="s">
        <v>940</v>
      </c>
      <c r="M264" s="22">
        <v>1.0</v>
      </c>
      <c r="N264" s="22" t="s">
        <v>476</v>
      </c>
      <c r="O264" s="22" t="s">
        <v>477</v>
      </c>
      <c r="P264" s="24"/>
      <c r="Q264" s="22" t="s">
        <v>90</v>
      </c>
      <c r="R264" s="22">
        <v>3.2691518275907E13</v>
      </c>
      <c r="S264" s="24"/>
      <c r="T264" s="24"/>
      <c r="U264" s="24"/>
      <c r="V264" s="22" t="s">
        <v>54</v>
      </c>
      <c r="W264" s="24"/>
      <c r="X264" s="24"/>
      <c r="Y264" s="22"/>
      <c r="Z264" s="22"/>
      <c r="AA264" s="24"/>
      <c r="AB264" s="24"/>
      <c r="AC264" s="22"/>
      <c r="AD264" s="22"/>
      <c r="AE264" s="24"/>
      <c r="AF264" s="25"/>
      <c r="AG264" s="22"/>
      <c r="AH264" s="22"/>
      <c r="AI264" s="25"/>
      <c r="AJ264" s="25"/>
    </row>
    <row r="265">
      <c r="A265" s="21" t="s">
        <v>108</v>
      </c>
      <c r="B265" s="22" t="s">
        <v>946</v>
      </c>
      <c r="C265" s="22" t="s">
        <v>273</v>
      </c>
      <c r="D265" s="23">
        <v>45991.0</v>
      </c>
      <c r="E265" s="22" t="s">
        <v>219</v>
      </c>
      <c r="F265" s="22" t="s">
        <v>111</v>
      </c>
      <c r="G265" s="22" t="s">
        <v>947</v>
      </c>
      <c r="H265" s="22" t="s">
        <v>108</v>
      </c>
      <c r="I265" s="22">
        <v>1.0436545610051E13</v>
      </c>
      <c r="J265" s="22" t="s">
        <v>948</v>
      </c>
      <c r="K265" s="24"/>
      <c r="L265" s="22" t="s">
        <v>114</v>
      </c>
      <c r="M265" s="22">
        <v>1.0</v>
      </c>
      <c r="N265" s="22" t="s">
        <v>115</v>
      </c>
      <c r="O265" s="22" t="s">
        <v>116</v>
      </c>
      <c r="P265" s="24"/>
      <c r="Q265" s="22" t="s">
        <v>90</v>
      </c>
      <c r="R265" s="22">
        <v>3.2694563504451E13</v>
      </c>
      <c r="S265" s="24"/>
      <c r="T265" s="24"/>
      <c r="U265" s="24"/>
      <c r="V265" s="22" t="s">
        <v>54</v>
      </c>
      <c r="W265" s="24"/>
      <c r="X265" s="24"/>
      <c r="Y265" s="22"/>
      <c r="Z265" s="22"/>
      <c r="AA265" s="24"/>
      <c r="AB265" s="24"/>
      <c r="AC265" s="22"/>
      <c r="AD265" s="22"/>
      <c r="AE265" s="24"/>
      <c r="AF265" s="25"/>
      <c r="AG265" s="22"/>
      <c r="AH265" s="22"/>
      <c r="AI265" s="25"/>
      <c r="AJ265" s="25"/>
    </row>
    <row r="266">
      <c r="A266" s="21" t="s">
        <v>470</v>
      </c>
      <c r="B266" s="22" t="s">
        <v>471</v>
      </c>
      <c r="C266" s="22" t="s">
        <v>82</v>
      </c>
      <c r="D266" s="26">
        <v>45997.0</v>
      </c>
      <c r="E266" s="22" t="s">
        <v>134</v>
      </c>
      <c r="F266" s="22" t="s">
        <v>472</v>
      </c>
      <c r="G266" s="22" t="s">
        <v>949</v>
      </c>
      <c r="H266" s="22" t="s">
        <v>470</v>
      </c>
      <c r="I266" s="22">
        <v>1.0436571136323E13</v>
      </c>
      <c r="J266" s="22" t="s">
        <v>474</v>
      </c>
      <c r="K266" s="24"/>
      <c r="L266" s="22" t="s">
        <v>475</v>
      </c>
      <c r="M266" s="22">
        <v>1.0</v>
      </c>
      <c r="N266" s="22" t="s">
        <v>476</v>
      </c>
      <c r="O266" s="22" t="s">
        <v>477</v>
      </c>
      <c r="P266" s="24"/>
      <c r="Q266" s="22" t="s">
        <v>90</v>
      </c>
      <c r="R266" s="22">
        <v>3.2694619603267E13</v>
      </c>
      <c r="S266" s="24"/>
      <c r="T266" s="24"/>
      <c r="U266" s="24"/>
      <c r="V266" s="22" t="s">
        <v>91</v>
      </c>
      <c r="W266" s="24"/>
      <c r="X266" s="24"/>
      <c r="Y266" s="22"/>
      <c r="Z266" s="22"/>
      <c r="AA266" s="24"/>
      <c r="AB266" s="24"/>
      <c r="AC266" s="22"/>
      <c r="AD266" s="22"/>
      <c r="AE266" s="24"/>
      <c r="AF266" s="25"/>
      <c r="AG266" s="22"/>
      <c r="AH266" s="22"/>
      <c r="AI266" s="25"/>
      <c r="AJ266" s="25"/>
    </row>
    <row r="267">
      <c r="A267" s="21" t="s">
        <v>950</v>
      </c>
      <c r="B267" s="22" t="s">
        <v>697</v>
      </c>
      <c r="C267" s="22" t="s">
        <v>82</v>
      </c>
      <c r="D267" s="26">
        <v>45997.0</v>
      </c>
      <c r="E267" s="22" t="s">
        <v>439</v>
      </c>
      <c r="F267" s="22" t="s">
        <v>698</v>
      </c>
      <c r="G267" s="22" t="s">
        <v>951</v>
      </c>
      <c r="H267" s="22" t="s">
        <v>950</v>
      </c>
      <c r="I267" s="22">
        <v>1.0436576117059E13</v>
      </c>
      <c r="J267" s="22" t="s">
        <v>700</v>
      </c>
      <c r="K267" s="24"/>
      <c r="L267" s="22" t="s">
        <v>952</v>
      </c>
      <c r="M267" s="22">
        <v>1.0</v>
      </c>
      <c r="N267" s="22" t="s">
        <v>702</v>
      </c>
      <c r="O267" s="22" t="s">
        <v>703</v>
      </c>
      <c r="P267" s="24"/>
      <c r="Q267" s="22" t="s">
        <v>90</v>
      </c>
      <c r="R267" s="22">
        <v>3.2694631498051E13</v>
      </c>
      <c r="S267" s="24"/>
      <c r="T267" s="24"/>
      <c r="U267" s="24"/>
      <c r="V267" s="22" t="s">
        <v>54</v>
      </c>
      <c r="W267" s="24"/>
      <c r="X267" s="24"/>
      <c r="Y267" s="22"/>
      <c r="Z267" s="22"/>
      <c r="AA267" s="24"/>
      <c r="AB267" s="24"/>
      <c r="AC267" s="22"/>
      <c r="AD267" s="22"/>
      <c r="AE267" s="24"/>
      <c r="AF267" s="25"/>
      <c r="AG267" s="22"/>
      <c r="AH267" s="22"/>
      <c r="AI267" s="25"/>
      <c r="AJ267" s="25"/>
    </row>
    <row r="268">
      <c r="A268" s="21" t="s">
        <v>611</v>
      </c>
      <c r="B268" s="22" t="s">
        <v>424</v>
      </c>
      <c r="C268" s="22" t="s">
        <v>273</v>
      </c>
      <c r="D268" s="26">
        <v>45998.0</v>
      </c>
      <c r="E268" s="22" t="s">
        <v>134</v>
      </c>
      <c r="F268" s="22" t="s">
        <v>369</v>
      </c>
      <c r="G268" s="22" t="s">
        <v>953</v>
      </c>
      <c r="H268" s="22" t="s">
        <v>611</v>
      </c>
      <c r="I268" s="22">
        <v>1.0436577231171E13</v>
      </c>
      <c r="J268" s="22" t="s">
        <v>426</v>
      </c>
      <c r="K268" s="24"/>
      <c r="L268" s="22" t="s">
        <v>613</v>
      </c>
      <c r="M268" s="22">
        <v>1.0</v>
      </c>
      <c r="N268" s="22" t="s">
        <v>600</v>
      </c>
      <c r="O268" s="22" t="s">
        <v>601</v>
      </c>
      <c r="P268" s="24"/>
      <c r="Q268" s="22" t="s">
        <v>90</v>
      </c>
      <c r="R268" s="22">
        <v>3.2694634283331E13</v>
      </c>
      <c r="S268" s="24"/>
      <c r="T268" s="24"/>
      <c r="U268" s="24"/>
      <c r="V268" s="22" t="s">
        <v>105</v>
      </c>
      <c r="W268" s="24"/>
      <c r="X268" s="24"/>
      <c r="Y268" s="22"/>
      <c r="Z268" s="22"/>
      <c r="AA268" s="24"/>
      <c r="AB268" s="24"/>
      <c r="AC268" s="22"/>
      <c r="AD268" s="22"/>
      <c r="AE268" s="24"/>
      <c r="AF268" s="25"/>
      <c r="AG268" s="22"/>
      <c r="AH268" s="22"/>
      <c r="AI268" s="25"/>
      <c r="AJ268" s="25"/>
    </row>
    <row r="269">
      <c r="A269" s="21" t="s">
        <v>92</v>
      </c>
      <c r="B269" s="22" t="s">
        <v>297</v>
      </c>
      <c r="C269" s="22" t="s">
        <v>82</v>
      </c>
      <c r="D269" s="26">
        <v>45997.0</v>
      </c>
      <c r="E269" s="22"/>
      <c r="F269" s="22" t="s">
        <v>83</v>
      </c>
      <c r="G269" s="22" t="s">
        <v>954</v>
      </c>
      <c r="H269" s="22" t="s">
        <v>92</v>
      </c>
      <c r="I269" s="22">
        <v>1.0436577984835E13</v>
      </c>
      <c r="J269" s="22" t="s">
        <v>397</v>
      </c>
      <c r="K269" s="24"/>
      <c r="L269" s="22" t="s">
        <v>94</v>
      </c>
      <c r="M269" s="22">
        <v>1.0</v>
      </c>
      <c r="N269" s="22" t="s">
        <v>87</v>
      </c>
      <c r="O269" s="22" t="s">
        <v>88</v>
      </c>
      <c r="P269" s="24"/>
      <c r="Q269" s="22" t="s">
        <v>90</v>
      </c>
      <c r="R269" s="22">
        <v>3.2694636282179E13</v>
      </c>
      <c r="S269" s="24"/>
      <c r="T269" s="24"/>
      <c r="U269" s="24"/>
      <c r="V269" s="22" t="s">
        <v>95</v>
      </c>
      <c r="W269" s="24"/>
      <c r="X269" s="24"/>
      <c r="Y269" s="22"/>
      <c r="Z269" s="22"/>
      <c r="AA269" s="24"/>
      <c r="AB269" s="24"/>
      <c r="AC269" s="22"/>
      <c r="AD269" s="22"/>
      <c r="AE269" s="24"/>
      <c r="AF269" s="25"/>
      <c r="AG269" s="22"/>
      <c r="AH269" s="22"/>
      <c r="AI269" s="25"/>
      <c r="AJ269" s="25"/>
    </row>
    <row r="270">
      <c r="A270" s="21" t="s">
        <v>166</v>
      </c>
      <c r="B270" s="22" t="s">
        <v>629</v>
      </c>
      <c r="C270" s="22" t="s">
        <v>82</v>
      </c>
      <c r="D270" s="26">
        <v>45997.0</v>
      </c>
      <c r="E270" s="22" t="s">
        <v>230</v>
      </c>
      <c r="F270" s="22" t="s">
        <v>111</v>
      </c>
      <c r="G270" s="22" t="s">
        <v>955</v>
      </c>
      <c r="H270" s="22" t="s">
        <v>166</v>
      </c>
      <c r="I270" s="22">
        <v>1.0436582441283E13</v>
      </c>
      <c r="J270" s="22" t="s">
        <v>631</v>
      </c>
      <c r="K270" s="24"/>
      <c r="L270" s="22" t="s">
        <v>171</v>
      </c>
      <c r="M270" s="22">
        <v>1.0</v>
      </c>
      <c r="N270" s="22" t="s">
        <v>115</v>
      </c>
      <c r="O270" s="22" t="s">
        <v>116</v>
      </c>
      <c r="P270" s="24"/>
      <c r="Q270" s="22" t="s">
        <v>90</v>
      </c>
      <c r="R270" s="22">
        <v>3.2694646309187E13</v>
      </c>
      <c r="S270" s="24"/>
      <c r="T270" s="24"/>
      <c r="U270" s="24"/>
      <c r="V270" s="22" t="s">
        <v>55</v>
      </c>
      <c r="W270" s="24"/>
      <c r="X270" s="24"/>
      <c r="Y270" s="22"/>
      <c r="Z270" s="22"/>
      <c r="AA270" s="24"/>
      <c r="AB270" s="24"/>
      <c r="AC270" s="22"/>
      <c r="AD270" s="22"/>
      <c r="AE270" s="24"/>
      <c r="AF270" s="25"/>
      <c r="AG270" s="22"/>
      <c r="AH270" s="22"/>
      <c r="AI270" s="25"/>
      <c r="AJ270" s="25"/>
    </row>
    <row r="271">
      <c r="A271" s="21" t="s">
        <v>632</v>
      </c>
      <c r="B271" s="22" t="s">
        <v>956</v>
      </c>
      <c r="C271" s="22" t="s">
        <v>273</v>
      </c>
      <c r="D271" s="26">
        <v>45998.0</v>
      </c>
      <c r="E271" s="22" t="s">
        <v>219</v>
      </c>
      <c r="F271" s="22" t="s">
        <v>634</v>
      </c>
      <c r="G271" s="22" t="s">
        <v>957</v>
      </c>
      <c r="H271" s="22" t="s">
        <v>632</v>
      </c>
      <c r="I271" s="22">
        <v>1.0436589584707E13</v>
      </c>
      <c r="J271" s="22" t="s">
        <v>958</v>
      </c>
      <c r="K271" s="24"/>
      <c r="L271" s="22" t="s">
        <v>637</v>
      </c>
      <c r="M271" s="22">
        <v>1.0</v>
      </c>
      <c r="N271" s="22" t="s">
        <v>638</v>
      </c>
      <c r="O271" s="22" t="s">
        <v>639</v>
      </c>
      <c r="P271" s="24"/>
      <c r="Q271" s="22" t="s">
        <v>90</v>
      </c>
      <c r="R271" s="22">
        <v>3.2694661120323E13</v>
      </c>
      <c r="S271" s="24"/>
      <c r="T271" s="24"/>
      <c r="U271" s="24"/>
      <c r="V271" s="22" t="s">
        <v>91</v>
      </c>
      <c r="W271" s="24"/>
      <c r="X271" s="24"/>
      <c r="Y271" s="22"/>
      <c r="Z271" s="22"/>
      <c r="AA271" s="24"/>
      <c r="AB271" s="24"/>
      <c r="AC271" s="22"/>
      <c r="AD271" s="22"/>
      <c r="AE271" s="24"/>
      <c r="AF271" s="25"/>
      <c r="AG271" s="22"/>
      <c r="AH271" s="22"/>
      <c r="AI271" s="25"/>
      <c r="AJ271" s="25"/>
    </row>
    <row r="272">
      <c r="A272" s="21" t="s">
        <v>550</v>
      </c>
      <c r="B272" s="22" t="s">
        <v>512</v>
      </c>
      <c r="C272" s="22" t="s">
        <v>82</v>
      </c>
      <c r="D272" s="26">
        <v>45997.0</v>
      </c>
      <c r="E272" s="22" t="s">
        <v>153</v>
      </c>
      <c r="F272" s="22" t="s">
        <v>377</v>
      </c>
      <c r="G272" s="22" t="s">
        <v>959</v>
      </c>
      <c r="H272" s="22" t="s">
        <v>550</v>
      </c>
      <c r="I272" s="22">
        <v>1.0436598956355E13</v>
      </c>
      <c r="J272" s="22" t="s">
        <v>514</v>
      </c>
      <c r="K272" s="24"/>
      <c r="L272" s="22" t="s">
        <v>552</v>
      </c>
      <c r="M272" s="22">
        <v>1.0</v>
      </c>
      <c r="N272" s="22" t="s">
        <v>381</v>
      </c>
      <c r="O272" s="22" t="s">
        <v>382</v>
      </c>
      <c r="P272" s="24"/>
      <c r="Q272" s="22" t="s">
        <v>90</v>
      </c>
      <c r="R272" s="22">
        <v>3.2694679634243E13</v>
      </c>
      <c r="S272" s="24"/>
      <c r="T272" s="24"/>
      <c r="U272" s="24"/>
      <c r="V272" s="22" t="s">
        <v>95</v>
      </c>
      <c r="W272" s="24"/>
      <c r="X272" s="24"/>
      <c r="Y272" s="22"/>
      <c r="Z272" s="22"/>
      <c r="AA272" s="24"/>
      <c r="AB272" s="24"/>
      <c r="AC272" s="22"/>
      <c r="AD272" s="22"/>
      <c r="AE272" s="24"/>
      <c r="AF272" s="25"/>
      <c r="AG272" s="22"/>
      <c r="AH272" s="22"/>
      <c r="AI272" s="25"/>
      <c r="AJ272" s="25"/>
    </row>
    <row r="273">
      <c r="A273" s="21" t="s">
        <v>689</v>
      </c>
      <c r="B273" s="22" t="s">
        <v>512</v>
      </c>
      <c r="C273" s="22" t="s">
        <v>82</v>
      </c>
      <c r="D273" s="26">
        <v>45997.0</v>
      </c>
      <c r="E273" s="22" t="s">
        <v>153</v>
      </c>
      <c r="F273" s="22" t="s">
        <v>377</v>
      </c>
      <c r="G273" s="22" t="s">
        <v>960</v>
      </c>
      <c r="H273" s="22" t="s">
        <v>689</v>
      </c>
      <c r="I273" s="22">
        <v>1.0436599316803E13</v>
      </c>
      <c r="J273" s="22" t="s">
        <v>514</v>
      </c>
      <c r="K273" s="24"/>
      <c r="L273" s="22" t="s">
        <v>691</v>
      </c>
      <c r="M273" s="22">
        <v>1.0</v>
      </c>
      <c r="N273" s="22" t="s">
        <v>413</v>
      </c>
      <c r="O273" s="22" t="s">
        <v>414</v>
      </c>
      <c r="P273" s="24"/>
      <c r="Q273" s="22" t="s">
        <v>90</v>
      </c>
      <c r="R273" s="22">
        <v>3.2694680650051E13</v>
      </c>
      <c r="S273" s="24"/>
      <c r="T273" s="24"/>
      <c r="U273" s="24"/>
      <c r="V273" s="22" t="s">
        <v>175</v>
      </c>
      <c r="W273" s="24"/>
      <c r="X273" s="24"/>
      <c r="Y273" s="22"/>
      <c r="Z273" s="22"/>
      <c r="AA273" s="24"/>
      <c r="AB273" s="24"/>
      <c r="AC273" s="22"/>
      <c r="AD273" s="22"/>
      <c r="AE273" s="24"/>
      <c r="AF273" s="25"/>
      <c r="AG273" s="22"/>
      <c r="AH273" s="22"/>
      <c r="AI273" s="25"/>
      <c r="AJ273" s="25"/>
    </row>
    <row r="274">
      <c r="A274" s="21" t="s">
        <v>529</v>
      </c>
      <c r="B274" s="22" t="s">
        <v>516</v>
      </c>
      <c r="C274" s="22" t="s">
        <v>273</v>
      </c>
      <c r="D274" s="26">
        <v>45998.0</v>
      </c>
      <c r="E274" s="22" t="s">
        <v>134</v>
      </c>
      <c r="F274" s="22" t="s">
        <v>472</v>
      </c>
      <c r="G274" s="22" t="s">
        <v>961</v>
      </c>
      <c r="H274" s="22" t="s">
        <v>529</v>
      </c>
      <c r="I274" s="22">
        <v>1.0436600529219E13</v>
      </c>
      <c r="J274" s="22" t="s">
        <v>518</v>
      </c>
      <c r="K274" s="24"/>
      <c r="L274" s="22" t="s">
        <v>533</v>
      </c>
      <c r="M274" s="22">
        <v>1.0</v>
      </c>
      <c r="N274" s="22" t="s">
        <v>534</v>
      </c>
      <c r="O274" s="22" t="s">
        <v>535</v>
      </c>
      <c r="P274" s="24"/>
      <c r="Q274" s="22" t="s">
        <v>90</v>
      </c>
      <c r="R274" s="22">
        <v>3.2694683795779E13</v>
      </c>
      <c r="S274" s="24"/>
      <c r="T274" s="24"/>
      <c r="U274" s="24"/>
      <c r="V274" s="22" t="s">
        <v>127</v>
      </c>
      <c r="W274" s="24"/>
      <c r="X274" s="24"/>
      <c r="Y274" s="22"/>
      <c r="Z274" s="22"/>
      <c r="AA274" s="24"/>
      <c r="AB274" s="24"/>
      <c r="AC274" s="22"/>
      <c r="AD274" s="22"/>
      <c r="AE274" s="24"/>
      <c r="AF274" s="25"/>
      <c r="AG274" s="22"/>
      <c r="AH274" s="22"/>
      <c r="AI274" s="25"/>
      <c r="AJ274" s="25"/>
    </row>
    <row r="275">
      <c r="A275" s="21" t="s">
        <v>962</v>
      </c>
      <c r="B275" s="22" t="s">
        <v>963</v>
      </c>
      <c r="C275" s="22" t="s">
        <v>273</v>
      </c>
      <c r="D275" s="26">
        <v>45998.0</v>
      </c>
      <c r="E275" s="22" t="s">
        <v>841</v>
      </c>
      <c r="F275" s="22" t="s">
        <v>634</v>
      </c>
      <c r="G275" s="22" t="s">
        <v>964</v>
      </c>
      <c r="H275" s="22" t="s">
        <v>962</v>
      </c>
      <c r="I275" s="22">
        <v>1.0436095836483E13</v>
      </c>
      <c r="J275" s="22" t="s">
        <v>965</v>
      </c>
      <c r="K275" s="24"/>
      <c r="L275" s="22" t="s">
        <v>966</v>
      </c>
      <c r="M275" s="22">
        <v>1.0</v>
      </c>
      <c r="N275" s="22" t="s">
        <v>738</v>
      </c>
      <c r="O275" s="22" t="s">
        <v>739</v>
      </c>
      <c r="P275" s="24"/>
      <c r="Q275" s="22" t="s">
        <v>90</v>
      </c>
      <c r="R275" s="22">
        <v>3.2693579514179E13</v>
      </c>
      <c r="S275" s="24"/>
      <c r="T275" s="24"/>
      <c r="U275" s="24"/>
      <c r="V275" s="22" t="s">
        <v>127</v>
      </c>
      <c r="W275" s="24"/>
      <c r="X275" s="24"/>
      <c r="Y275" s="22"/>
      <c r="Z275" s="22"/>
      <c r="AA275" s="24"/>
      <c r="AB275" s="24"/>
      <c r="AC275" s="22"/>
      <c r="AD275" s="22"/>
      <c r="AE275" s="24"/>
      <c r="AF275" s="25"/>
      <c r="AG275" s="22"/>
      <c r="AH275" s="22"/>
      <c r="AI275" s="25"/>
      <c r="AJ275" s="25"/>
    </row>
    <row r="276">
      <c r="A276" s="21" t="s">
        <v>732</v>
      </c>
      <c r="B276" s="22" t="s">
        <v>963</v>
      </c>
      <c r="C276" s="22" t="s">
        <v>273</v>
      </c>
      <c r="D276" s="26">
        <v>45998.0</v>
      </c>
      <c r="E276" s="22" t="s">
        <v>841</v>
      </c>
      <c r="F276" s="22" t="s">
        <v>634</v>
      </c>
      <c r="G276" s="22" t="s">
        <v>964</v>
      </c>
      <c r="H276" s="22" t="s">
        <v>732</v>
      </c>
      <c r="I276" s="22">
        <v>1.0436095836483E13</v>
      </c>
      <c r="J276" s="22" t="s">
        <v>965</v>
      </c>
      <c r="K276" s="24"/>
      <c r="L276" s="22" t="s">
        <v>737</v>
      </c>
      <c r="M276" s="22">
        <v>1.0</v>
      </c>
      <c r="N276" s="22" t="s">
        <v>738</v>
      </c>
      <c r="O276" s="22" t="s">
        <v>739</v>
      </c>
      <c r="P276" s="24"/>
      <c r="Q276" s="22" t="s">
        <v>90</v>
      </c>
      <c r="R276" s="22">
        <v>3.2693579546947E13</v>
      </c>
      <c r="S276" s="24"/>
      <c r="T276" s="24"/>
      <c r="U276" s="24"/>
      <c r="V276" s="22" t="s">
        <v>105</v>
      </c>
      <c r="W276" s="24"/>
      <c r="X276" s="24"/>
      <c r="Y276" s="22"/>
      <c r="Z276" s="22"/>
      <c r="AA276" s="24"/>
      <c r="AB276" s="24"/>
      <c r="AC276" s="22"/>
      <c r="AD276" s="22"/>
      <c r="AE276" s="24"/>
      <c r="AF276" s="25"/>
      <c r="AG276" s="22"/>
      <c r="AH276" s="22"/>
      <c r="AI276" s="25"/>
      <c r="AJ276" s="25"/>
    </row>
    <row r="277">
      <c r="A277" s="21" t="s">
        <v>80</v>
      </c>
      <c r="B277" s="22" t="s">
        <v>290</v>
      </c>
      <c r="C277" s="22" t="s">
        <v>273</v>
      </c>
      <c r="D277" s="23">
        <v>45991.0</v>
      </c>
      <c r="E277" s="22"/>
      <c r="F277" s="22" t="s">
        <v>83</v>
      </c>
      <c r="G277" s="22" t="s">
        <v>967</v>
      </c>
      <c r="H277" s="22" t="s">
        <v>80</v>
      </c>
      <c r="I277" s="22">
        <v>1.0435276964163E13</v>
      </c>
      <c r="J277" s="22" t="s">
        <v>968</v>
      </c>
      <c r="K277" s="24"/>
      <c r="L277" s="22" t="s">
        <v>86</v>
      </c>
      <c r="M277" s="22">
        <v>1.0</v>
      </c>
      <c r="N277" s="22" t="s">
        <v>87</v>
      </c>
      <c r="O277" s="22" t="s">
        <v>88</v>
      </c>
      <c r="P277" s="24"/>
      <c r="Q277" s="22" t="s">
        <v>90</v>
      </c>
      <c r="R277" s="22">
        <v>3.2691809386819E13</v>
      </c>
      <c r="S277" s="24"/>
      <c r="T277" s="24"/>
      <c r="U277" s="24"/>
      <c r="V277" s="22" t="s">
        <v>91</v>
      </c>
      <c r="W277" s="24"/>
      <c r="X277" s="24"/>
      <c r="Y277" s="22"/>
      <c r="Z277" s="22"/>
      <c r="AA277" s="24"/>
      <c r="AB277" s="24"/>
      <c r="AC277" s="22"/>
      <c r="AD277" s="22"/>
      <c r="AE277" s="24"/>
      <c r="AF277" s="25"/>
      <c r="AG277" s="22"/>
      <c r="AH277" s="22"/>
      <c r="AI277" s="25"/>
      <c r="AJ277" s="25"/>
    </row>
    <row r="278">
      <c r="A278" s="21" t="s">
        <v>632</v>
      </c>
      <c r="B278" s="22" t="s">
        <v>969</v>
      </c>
      <c r="C278" s="22" t="s">
        <v>82</v>
      </c>
      <c r="D278" s="26">
        <v>45997.0</v>
      </c>
      <c r="E278" s="22" t="s">
        <v>970</v>
      </c>
      <c r="F278" s="22" t="s">
        <v>634</v>
      </c>
      <c r="G278" s="22" t="s">
        <v>971</v>
      </c>
      <c r="H278" s="22" t="s">
        <v>632</v>
      </c>
      <c r="I278" s="22">
        <v>1.0436615438659E13</v>
      </c>
      <c r="J278" s="22" t="s">
        <v>972</v>
      </c>
      <c r="K278" s="24"/>
      <c r="L278" s="22" t="s">
        <v>637</v>
      </c>
      <c r="M278" s="22">
        <v>1.0</v>
      </c>
      <c r="N278" s="22" t="s">
        <v>638</v>
      </c>
      <c r="O278" s="22" t="s">
        <v>639</v>
      </c>
      <c r="P278" s="24"/>
      <c r="Q278" s="22" t="s">
        <v>90</v>
      </c>
      <c r="R278" s="22">
        <v>3.2694721675587E13</v>
      </c>
      <c r="S278" s="24"/>
      <c r="T278" s="24"/>
      <c r="U278" s="24"/>
      <c r="V278" s="22" t="s">
        <v>91</v>
      </c>
      <c r="W278" s="24"/>
      <c r="X278" s="24"/>
      <c r="Y278" s="22"/>
      <c r="Z278" s="22"/>
      <c r="AA278" s="24"/>
      <c r="AB278" s="24"/>
      <c r="AC278" s="22"/>
      <c r="AD278" s="22"/>
      <c r="AE278" s="24"/>
      <c r="AF278" s="25"/>
      <c r="AG278" s="22"/>
      <c r="AH278" s="22"/>
      <c r="AI278" s="25"/>
      <c r="AJ278" s="25"/>
    </row>
    <row r="279">
      <c r="A279" s="21" t="s">
        <v>973</v>
      </c>
      <c r="B279" s="22" t="s">
        <v>974</v>
      </c>
      <c r="C279" s="22" t="s">
        <v>273</v>
      </c>
      <c r="D279" s="26">
        <v>45998.0</v>
      </c>
      <c r="E279" s="22" t="s">
        <v>975</v>
      </c>
      <c r="F279" s="22" t="s">
        <v>440</v>
      </c>
      <c r="G279" s="22" t="s">
        <v>976</v>
      </c>
      <c r="H279" s="22" t="s">
        <v>973</v>
      </c>
      <c r="I279" s="22">
        <v>1.0436617961795E13</v>
      </c>
      <c r="J279" s="22" t="s">
        <v>977</v>
      </c>
      <c r="K279" s="24"/>
      <c r="L279" s="22" t="s">
        <v>978</v>
      </c>
      <c r="M279" s="22">
        <v>1.0</v>
      </c>
      <c r="N279" s="22" t="s">
        <v>781</v>
      </c>
      <c r="O279" s="22" t="s">
        <v>782</v>
      </c>
      <c r="P279" s="24"/>
      <c r="Q279" s="22" t="s">
        <v>90</v>
      </c>
      <c r="R279" s="22">
        <v>3.2694727311683E13</v>
      </c>
      <c r="S279" s="24"/>
      <c r="T279" s="24"/>
      <c r="U279" s="24"/>
      <c r="V279" s="22" t="s">
        <v>105</v>
      </c>
      <c r="W279" s="24"/>
      <c r="X279" s="24"/>
      <c r="Y279" s="22"/>
      <c r="Z279" s="22"/>
      <c r="AA279" s="24"/>
      <c r="AB279" s="24"/>
      <c r="AC279" s="22"/>
      <c r="AD279" s="22"/>
      <c r="AE279" s="24"/>
      <c r="AF279" s="25"/>
      <c r="AG279" s="22"/>
      <c r="AH279" s="22"/>
      <c r="AI279" s="25"/>
      <c r="AJ279" s="25"/>
    </row>
    <row r="280">
      <c r="A280" s="21" t="s">
        <v>979</v>
      </c>
      <c r="B280" s="22" t="s">
        <v>980</v>
      </c>
      <c r="C280" s="22" t="s">
        <v>287</v>
      </c>
      <c r="D280" s="26">
        <v>45994.0</v>
      </c>
      <c r="E280" s="22" t="s">
        <v>981</v>
      </c>
      <c r="F280" s="22" t="s">
        <v>605</v>
      </c>
      <c r="G280" s="22" t="s">
        <v>982</v>
      </c>
      <c r="H280" s="22" t="s">
        <v>979</v>
      </c>
      <c r="I280" s="22">
        <v>1.0436622123331E13</v>
      </c>
      <c r="J280" s="22" t="s">
        <v>983</v>
      </c>
      <c r="K280" s="24"/>
      <c r="L280" s="22" t="s">
        <v>984</v>
      </c>
      <c r="M280" s="22">
        <v>1.0</v>
      </c>
      <c r="N280" s="22" t="s">
        <v>609</v>
      </c>
      <c r="O280" s="22" t="s">
        <v>610</v>
      </c>
      <c r="P280" s="24"/>
      <c r="Q280" s="22" t="s">
        <v>90</v>
      </c>
      <c r="R280" s="22">
        <v>3.2694735929667E13</v>
      </c>
      <c r="S280" s="24"/>
      <c r="T280" s="24"/>
      <c r="U280" s="24"/>
      <c r="V280" s="22" t="s">
        <v>55</v>
      </c>
      <c r="W280" s="24"/>
      <c r="X280" s="24"/>
      <c r="Y280" s="22"/>
      <c r="Z280" s="22"/>
      <c r="AA280" s="24"/>
      <c r="AB280" s="24"/>
      <c r="AC280" s="22"/>
      <c r="AD280" s="22"/>
      <c r="AE280" s="24"/>
      <c r="AF280" s="25"/>
      <c r="AG280" s="22"/>
      <c r="AH280" s="22"/>
      <c r="AI280" s="25"/>
      <c r="AJ280" s="25"/>
    </row>
    <row r="281">
      <c r="A281" s="21" t="s">
        <v>339</v>
      </c>
      <c r="B281" s="22" t="s">
        <v>659</v>
      </c>
      <c r="C281" s="22" t="s">
        <v>82</v>
      </c>
      <c r="D281" s="23">
        <v>46004.0</v>
      </c>
      <c r="E281" s="22" t="s">
        <v>187</v>
      </c>
      <c r="F281" s="22" t="s">
        <v>341</v>
      </c>
      <c r="G281" s="22" t="s">
        <v>985</v>
      </c>
      <c r="H281" s="22" t="s">
        <v>339</v>
      </c>
      <c r="I281" s="22">
        <v>1.0436646011203E13</v>
      </c>
      <c r="J281" s="22" t="s">
        <v>661</v>
      </c>
      <c r="K281" s="24"/>
      <c r="L281" s="22" t="s">
        <v>344</v>
      </c>
      <c r="M281" s="22">
        <v>1.0</v>
      </c>
      <c r="N281" s="22" t="s">
        <v>345</v>
      </c>
      <c r="O281" s="22" t="s">
        <v>346</v>
      </c>
      <c r="P281" s="24"/>
      <c r="Q281" s="22" t="s">
        <v>90</v>
      </c>
      <c r="R281" s="22">
        <v>3.2694785343811E13</v>
      </c>
      <c r="S281" s="24"/>
      <c r="T281" s="24"/>
      <c r="U281" s="24"/>
      <c r="V281" s="22" t="s">
        <v>55</v>
      </c>
      <c r="W281" s="24"/>
      <c r="X281" s="24"/>
      <c r="Y281" s="22"/>
      <c r="Z281" s="22"/>
      <c r="AA281" s="24"/>
      <c r="AB281" s="24"/>
      <c r="AC281" s="22"/>
      <c r="AD281" s="22"/>
      <c r="AE281" s="24"/>
      <c r="AF281" s="25"/>
      <c r="AG281" s="22"/>
      <c r="AH281" s="22"/>
      <c r="AI281" s="25"/>
      <c r="AJ281" s="25"/>
    </row>
    <row r="282">
      <c r="A282" s="21" t="s">
        <v>740</v>
      </c>
      <c r="B282" s="22" t="s">
        <v>464</v>
      </c>
      <c r="C282" s="22" t="s">
        <v>273</v>
      </c>
      <c r="D282" s="26">
        <v>45998.0</v>
      </c>
      <c r="E282" s="22" t="s">
        <v>149</v>
      </c>
      <c r="F282" s="22" t="s">
        <v>303</v>
      </c>
      <c r="G282" s="22" t="s">
        <v>986</v>
      </c>
      <c r="H282" s="22" t="s">
        <v>740</v>
      </c>
      <c r="I282" s="22">
        <v>1.0436654203203E13</v>
      </c>
      <c r="J282" s="22" t="s">
        <v>466</v>
      </c>
      <c r="K282" s="24"/>
      <c r="L282" s="22" t="s">
        <v>744</v>
      </c>
      <c r="M282" s="22">
        <v>1.0</v>
      </c>
      <c r="N282" s="22" t="s">
        <v>307</v>
      </c>
      <c r="O282" s="22" t="s">
        <v>308</v>
      </c>
      <c r="P282" s="24"/>
      <c r="Q282" s="22" t="s">
        <v>90</v>
      </c>
      <c r="R282" s="22">
        <v>3.2694802678083E13</v>
      </c>
      <c r="S282" s="24"/>
      <c r="T282" s="24"/>
      <c r="U282" s="24"/>
      <c r="V282" s="22" t="s">
        <v>91</v>
      </c>
      <c r="W282" s="24"/>
      <c r="X282" s="24"/>
      <c r="Y282" s="22"/>
      <c r="Z282" s="22"/>
      <c r="AA282" s="24"/>
      <c r="AB282" s="24"/>
      <c r="AC282" s="22"/>
      <c r="AD282" s="22"/>
      <c r="AE282" s="24"/>
      <c r="AF282" s="25"/>
      <c r="AG282" s="22"/>
      <c r="AH282" s="22"/>
      <c r="AI282" s="25"/>
      <c r="AJ282" s="25"/>
    </row>
    <row r="283">
      <c r="A283" s="21" t="s">
        <v>386</v>
      </c>
      <c r="B283" s="22" t="s">
        <v>987</v>
      </c>
      <c r="C283" s="22" t="s">
        <v>82</v>
      </c>
      <c r="D283" s="26">
        <v>45997.0</v>
      </c>
      <c r="E283" s="22" t="s">
        <v>266</v>
      </c>
      <c r="F283" s="22" t="s">
        <v>311</v>
      </c>
      <c r="G283" s="22" t="s">
        <v>988</v>
      </c>
      <c r="H283" s="22" t="s">
        <v>386</v>
      </c>
      <c r="I283" s="22">
        <v>1.0436656660803E13</v>
      </c>
      <c r="J283" s="22" t="s">
        <v>989</v>
      </c>
      <c r="K283" s="24"/>
      <c r="L283" s="22" t="s">
        <v>390</v>
      </c>
      <c r="M283" s="22">
        <v>1.0</v>
      </c>
      <c r="N283" s="22" t="s">
        <v>391</v>
      </c>
      <c r="O283" s="22" t="s">
        <v>392</v>
      </c>
      <c r="P283" s="24"/>
      <c r="Q283" s="22" t="s">
        <v>90</v>
      </c>
      <c r="R283" s="22">
        <v>3.2694808838467E13</v>
      </c>
      <c r="S283" s="24"/>
      <c r="T283" s="24"/>
      <c r="U283" s="24"/>
      <c r="V283" s="22" t="s">
        <v>55</v>
      </c>
      <c r="W283" s="24"/>
      <c r="X283" s="24"/>
      <c r="Y283" s="22"/>
      <c r="Z283" s="22"/>
      <c r="AA283" s="24"/>
      <c r="AB283" s="24"/>
      <c r="AC283" s="22"/>
      <c r="AD283" s="22"/>
      <c r="AE283" s="24"/>
      <c r="AF283" s="25"/>
      <c r="AG283" s="22"/>
      <c r="AH283" s="22"/>
      <c r="AI283" s="25"/>
      <c r="AJ283" s="25"/>
    </row>
    <row r="284">
      <c r="A284" s="21" t="s">
        <v>529</v>
      </c>
      <c r="B284" s="22" t="s">
        <v>516</v>
      </c>
      <c r="C284" s="22" t="s">
        <v>273</v>
      </c>
      <c r="D284" s="26">
        <v>45998.0</v>
      </c>
      <c r="E284" s="22" t="s">
        <v>134</v>
      </c>
      <c r="F284" s="22" t="s">
        <v>472</v>
      </c>
      <c r="G284" s="22" t="s">
        <v>990</v>
      </c>
      <c r="H284" s="22" t="s">
        <v>529</v>
      </c>
      <c r="I284" s="22">
        <v>1.0436658954563E13</v>
      </c>
      <c r="J284" s="22" t="s">
        <v>518</v>
      </c>
      <c r="K284" s="24"/>
      <c r="L284" s="22" t="s">
        <v>533</v>
      </c>
      <c r="M284" s="22">
        <v>1.0</v>
      </c>
      <c r="N284" s="22" t="s">
        <v>534</v>
      </c>
      <c r="O284" s="22" t="s">
        <v>535</v>
      </c>
      <c r="P284" s="24"/>
      <c r="Q284" s="22" t="s">
        <v>90</v>
      </c>
      <c r="R284" s="22">
        <v>3.2694813786435E13</v>
      </c>
      <c r="S284" s="24"/>
      <c r="T284" s="24"/>
      <c r="U284" s="24"/>
      <c r="V284" s="22" t="s">
        <v>127</v>
      </c>
      <c r="W284" s="24"/>
      <c r="X284" s="24"/>
      <c r="Y284" s="22"/>
      <c r="Z284" s="22"/>
      <c r="AA284" s="24"/>
      <c r="AB284" s="24"/>
      <c r="AC284" s="22"/>
      <c r="AD284" s="22"/>
      <c r="AE284" s="24"/>
      <c r="AF284" s="25"/>
      <c r="AG284" s="22"/>
      <c r="AH284" s="22"/>
      <c r="AI284" s="25"/>
      <c r="AJ284" s="25"/>
    </row>
    <row r="285">
      <c r="A285" s="21" t="s">
        <v>470</v>
      </c>
      <c r="B285" s="22" t="s">
        <v>471</v>
      </c>
      <c r="C285" s="22" t="s">
        <v>82</v>
      </c>
      <c r="D285" s="26">
        <v>45997.0</v>
      </c>
      <c r="E285" s="22" t="s">
        <v>134</v>
      </c>
      <c r="F285" s="22" t="s">
        <v>472</v>
      </c>
      <c r="G285" s="22" t="s">
        <v>991</v>
      </c>
      <c r="H285" s="22" t="s">
        <v>470</v>
      </c>
      <c r="I285" s="22">
        <v>1.0436667244867E13</v>
      </c>
      <c r="J285" s="22" t="s">
        <v>474</v>
      </c>
      <c r="K285" s="24"/>
      <c r="L285" s="22" t="s">
        <v>475</v>
      </c>
      <c r="M285" s="22">
        <v>1.0</v>
      </c>
      <c r="N285" s="22" t="s">
        <v>476</v>
      </c>
      <c r="O285" s="22" t="s">
        <v>477</v>
      </c>
      <c r="P285" s="24"/>
      <c r="Q285" s="22" t="s">
        <v>90</v>
      </c>
      <c r="R285" s="22">
        <v>3.2694832103747E13</v>
      </c>
      <c r="S285" s="24"/>
      <c r="T285" s="24"/>
      <c r="U285" s="24"/>
      <c r="V285" s="22" t="s">
        <v>91</v>
      </c>
      <c r="W285" s="24"/>
      <c r="X285" s="24"/>
      <c r="Y285" s="22"/>
      <c r="Z285" s="22"/>
      <c r="AA285" s="24"/>
      <c r="AB285" s="24"/>
      <c r="AC285" s="22"/>
      <c r="AD285" s="22"/>
      <c r="AE285" s="24"/>
      <c r="AF285" s="25"/>
      <c r="AG285" s="22"/>
      <c r="AH285" s="22"/>
      <c r="AI285" s="25"/>
      <c r="AJ285" s="25"/>
    </row>
    <row r="286">
      <c r="A286" s="21" t="s">
        <v>724</v>
      </c>
      <c r="B286" s="22" t="s">
        <v>992</v>
      </c>
      <c r="C286" s="22" t="s">
        <v>82</v>
      </c>
      <c r="D286" s="26">
        <v>45997.0</v>
      </c>
      <c r="E286" s="22" t="s">
        <v>181</v>
      </c>
      <c r="F286" s="22" t="s">
        <v>319</v>
      </c>
      <c r="G286" s="22" t="s">
        <v>993</v>
      </c>
      <c r="H286" s="22" t="s">
        <v>724</v>
      </c>
      <c r="I286" s="22">
        <v>1.0436554654019E13</v>
      </c>
      <c r="J286" s="22" t="s">
        <v>994</v>
      </c>
      <c r="K286" s="24"/>
      <c r="L286" s="22" t="s">
        <v>726</v>
      </c>
      <c r="M286" s="22">
        <v>1.0</v>
      </c>
      <c r="N286" s="22" t="s">
        <v>323</v>
      </c>
      <c r="O286" s="22" t="s">
        <v>324</v>
      </c>
      <c r="P286" s="24"/>
      <c r="Q286" s="22" t="s">
        <v>90</v>
      </c>
      <c r="R286" s="22">
        <v>3.2694583492931E13</v>
      </c>
      <c r="S286" s="24"/>
      <c r="T286" s="24"/>
      <c r="U286" s="24"/>
      <c r="V286" s="22" t="s">
        <v>95</v>
      </c>
      <c r="W286" s="24"/>
      <c r="X286" s="24"/>
      <c r="Y286" s="22"/>
      <c r="Z286" s="22"/>
      <c r="AA286" s="24"/>
      <c r="AB286" s="24"/>
      <c r="AC286" s="22"/>
      <c r="AD286" s="22"/>
      <c r="AE286" s="24"/>
      <c r="AF286" s="25"/>
      <c r="AG286" s="22"/>
      <c r="AH286" s="22"/>
      <c r="AI286" s="25"/>
      <c r="AJ286" s="25"/>
    </row>
    <row r="287">
      <c r="A287" s="21" t="s">
        <v>732</v>
      </c>
      <c r="B287" s="22" t="s">
        <v>995</v>
      </c>
      <c r="C287" s="22" t="s">
        <v>273</v>
      </c>
      <c r="D287" s="23">
        <v>46005.0</v>
      </c>
      <c r="E287" s="22" t="s">
        <v>934</v>
      </c>
      <c r="F287" s="22" t="s">
        <v>634</v>
      </c>
      <c r="G287" s="22" t="s">
        <v>996</v>
      </c>
      <c r="H287" s="22" t="s">
        <v>732</v>
      </c>
      <c r="I287" s="22">
        <v>1.0436603347267E13</v>
      </c>
      <c r="J287" s="22" t="s">
        <v>997</v>
      </c>
      <c r="K287" s="24"/>
      <c r="L287" s="22" t="s">
        <v>737</v>
      </c>
      <c r="M287" s="22">
        <v>1.0</v>
      </c>
      <c r="N287" s="22" t="s">
        <v>738</v>
      </c>
      <c r="O287" s="22" t="s">
        <v>739</v>
      </c>
      <c r="P287" s="24"/>
      <c r="Q287" s="22" t="s">
        <v>90</v>
      </c>
      <c r="R287" s="22">
        <v>3.2694691135811E13</v>
      </c>
      <c r="S287" s="24"/>
      <c r="T287" s="24"/>
      <c r="U287" s="24"/>
      <c r="V287" s="22" t="s">
        <v>105</v>
      </c>
      <c r="W287" s="24"/>
      <c r="X287" s="24"/>
      <c r="Y287" s="22"/>
      <c r="Z287" s="22"/>
      <c r="AA287" s="24"/>
      <c r="AB287" s="24"/>
      <c r="AC287" s="22"/>
      <c r="AD287" s="22"/>
      <c r="AE287" s="24"/>
      <c r="AF287" s="25"/>
      <c r="AG287" s="22"/>
      <c r="AH287" s="22"/>
      <c r="AI287" s="25"/>
      <c r="AJ287" s="25"/>
    </row>
    <row r="288">
      <c r="A288" s="21" t="s">
        <v>375</v>
      </c>
      <c r="B288" s="22" t="s">
        <v>653</v>
      </c>
      <c r="C288" s="22" t="s">
        <v>82</v>
      </c>
      <c r="D288" s="26">
        <v>45997.0</v>
      </c>
      <c r="E288" s="22" t="s">
        <v>138</v>
      </c>
      <c r="F288" s="22" t="s">
        <v>377</v>
      </c>
      <c r="G288" s="22" t="s">
        <v>998</v>
      </c>
      <c r="H288" s="22" t="s">
        <v>375</v>
      </c>
      <c r="I288" s="22">
        <v>1.0436678484291E13</v>
      </c>
      <c r="J288" s="22" t="s">
        <v>655</v>
      </c>
      <c r="K288" s="24"/>
      <c r="L288" s="22" t="s">
        <v>380</v>
      </c>
      <c r="M288" s="22">
        <v>1.0</v>
      </c>
      <c r="N288" s="22" t="s">
        <v>381</v>
      </c>
      <c r="O288" s="22" t="s">
        <v>382</v>
      </c>
      <c r="P288" s="24"/>
      <c r="Q288" s="22" t="s">
        <v>90</v>
      </c>
      <c r="R288" s="22">
        <v>3.2694854910275E13</v>
      </c>
      <c r="S288" s="24"/>
      <c r="T288" s="24"/>
      <c r="U288" s="24"/>
      <c r="V288" s="22" t="s">
        <v>55</v>
      </c>
      <c r="W288" s="24"/>
      <c r="X288" s="24"/>
      <c r="Y288" s="22"/>
      <c r="Z288" s="22"/>
      <c r="AA288" s="24"/>
      <c r="AB288" s="24"/>
      <c r="AC288" s="22"/>
      <c r="AD288" s="22"/>
      <c r="AE288" s="24"/>
      <c r="AF288" s="25"/>
      <c r="AG288" s="22"/>
      <c r="AH288" s="22"/>
      <c r="AI288" s="25"/>
      <c r="AJ288" s="25"/>
    </row>
    <row r="289">
      <c r="A289" s="21" t="s">
        <v>478</v>
      </c>
      <c r="B289" s="22" t="s">
        <v>471</v>
      </c>
      <c r="C289" s="22" t="s">
        <v>82</v>
      </c>
      <c r="D289" s="26">
        <v>45997.0</v>
      </c>
      <c r="E289" s="22" t="s">
        <v>134</v>
      </c>
      <c r="F289" s="22" t="s">
        <v>472</v>
      </c>
      <c r="G289" s="22" t="s">
        <v>999</v>
      </c>
      <c r="H289" s="22" t="s">
        <v>478</v>
      </c>
      <c r="I289" s="22">
        <v>1.0436690805059E13</v>
      </c>
      <c r="J289" s="22" t="s">
        <v>474</v>
      </c>
      <c r="K289" s="24"/>
      <c r="L289" s="22" t="s">
        <v>483</v>
      </c>
      <c r="M289" s="22">
        <v>1.0</v>
      </c>
      <c r="N289" s="22" t="s">
        <v>476</v>
      </c>
      <c r="O289" s="22" t="s">
        <v>477</v>
      </c>
      <c r="P289" s="24"/>
      <c r="Q289" s="22" t="s">
        <v>90</v>
      </c>
      <c r="R289" s="22">
        <v>3.2694883025219E13</v>
      </c>
      <c r="S289" s="24"/>
      <c r="T289" s="24"/>
      <c r="U289" s="24"/>
      <c r="V289" s="22" t="s">
        <v>95</v>
      </c>
      <c r="W289" s="24"/>
      <c r="X289" s="24"/>
      <c r="Y289" s="22"/>
      <c r="Z289" s="22"/>
      <c r="AA289" s="24"/>
      <c r="AB289" s="24"/>
      <c r="AC289" s="22"/>
      <c r="AD289" s="22"/>
      <c r="AE289" s="24"/>
      <c r="AF289" s="25"/>
      <c r="AG289" s="22"/>
      <c r="AH289" s="22"/>
      <c r="AI289" s="25"/>
      <c r="AJ289" s="25"/>
    </row>
    <row r="290">
      <c r="A290" s="21" t="s">
        <v>386</v>
      </c>
      <c r="B290" s="22" t="s">
        <v>1000</v>
      </c>
      <c r="C290" s="22" t="s">
        <v>273</v>
      </c>
      <c r="D290" s="26">
        <v>45998.0</v>
      </c>
      <c r="E290" s="22" t="s">
        <v>134</v>
      </c>
      <c r="F290" s="22" t="s">
        <v>311</v>
      </c>
      <c r="G290" s="22" t="s">
        <v>1001</v>
      </c>
      <c r="H290" s="22" t="s">
        <v>386</v>
      </c>
      <c r="I290" s="22">
        <v>1.0436706042179E13</v>
      </c>
      <c r="J290" s="22" t="s">
        <v>1002</v>
      </c>
      <c r="K290" s="24"/>
      <c r="L290" s="22" t="s">
        <v>390</v>
      </c>
      <c r="M290" s="22">
        <v>1.0</v>
      </c>
      <c r="N290" s="22" t="s">
        <v>391</v>
      </c>
      <c r="O290" s="22" t="s">
        <v>392</v>
      </c>
      <c r="P290" s="24"/>
      <c r="Q290" s="22" t="s">
        <v>90</v>
      </c>
      <c r="R290" s="22">
        <v>3.2694916546883E13</v>
      </c>
      <c r="S290" s="24"/>
      <c r="T290" s="24"/>
      <c r="U290" s="24"/>
      <c r="V290" s="22" t="s">
        <v>55</v>
      </c>
      <c r="W290" s="24"/>
      <c r="X290" s="24"/>
      <c r="Y290" s="22"/>
      <c r="Z290" s="22"/>
      <c r="AA290" s="24"/>
      <c r="AB290" s="24"/>
      <c r="AC290" s="22"/>
      <c r="AD290" s="22"/>
      <c r="AE290" s="24"/>
      <c r="AF290" s="25"/>
      <c r="AG290" s="22"/>
      <c r="AH290" s="22"/>
      <c r="AI290" s="25"/>
      <c r="AJ290" s="25"/>
    </row>
    <row r="291">
      <c r="A291" s="21" t="s">
        <v>488</v>
      </c>
      <c r="B291" s="22" t="s">
        <v>1003</v>
      </c>
      <c r="C291" s="22" t="s">
        <v>287</v>
      </c>
      <c r="D291" s="23">
        <v>46001.0</v>
      </c>
      <c r="E291" s="22" t="s">
        <v>522</v>
      </c>
      <c r="F291" s="22" t="s">
        <v>311</v>
      </c>
      <c r="G291" s="22" t="s">
        <v>1004</v>
      </c>
      <c r="H291" s="22" t="s">
        <v>488</v>
      </c>
      <c r="I291" s="22">
        <v>1.0436714824003E13</v>
      </c>
      <c r="J291" s="22" t="s">
        <v>1005</v>
      </c>
      <c r="K291" s="24"/>
      <c r="L291" s="22" t="s">
        <v>492</v>
      </c>
      <c r="M291" s="22">
        <v>1.0</v>
      </c>
      <c r="N291" s="22" t="s">
        <v>391</v>
      </c>
      <c r="O291" s="22" t="s">
        <v>392</v>
      </c>
      <c r="P291" s="24"/>
      <c r="Q291" s="22" t="s">
        <v>90</v>
      </c>
      <c r="R291" s="22">
        <v>3.2694936174915E13</v>
      </c>
      <c r="S291" s="24"/>
      <c r="T291" s="24"/>
      <c r="U291" s="24"/>
      <c r="V291" s="22" t="s">
        <v>95</v>
      </c>
      <c r="W291" s="24"/>
      <c r="X291" s="24"/>
      <c r="Y291" s="22"/>
      <c r="Z291" s="22"/>
      <c r="AA291" s="24"/>
      <c r="AB291" s="24"/>
      <c r="AC291" s="22"/>
      <c r="AD291" s="22"/>
      <c r="AE291" s="24"/>
      <c r="AF291" s="25"/>
      <c r="AG291" s="22"/>
      <c r="AH291" s="22"/>
      <c r="AI291" s="25"/>
      <c r="AJ291" s="25"/>
    </row>
    <row r="292">
      <c r="A292" s="21" t="s">
        <v>525</v>
      </c>
      <c r="B292" s="22" t="s">
        <v>770</v>
      </c>
      <c r="C292" s="22" t="s">
        <v>82</v>
      </c>
      <c r="D292" s="26">
        <v>45997.0</v>
      </c>
      <c r="E292" s="22" t="s">
        <v>181</v>
      </c>
      <c r="F292" s="22" t="s">
        <v>319</v>
      </c>
      <c r="G292" s="22" t="s">
        <v>1006</v>
      </c>
      <c r="H292" s="22" t="s">
        <v>525</v>
      </c>
      <c r="I292" s="22">
        <v>1.0436728848707E13</v>
      </c>
      <c r="J292" s="22" t="s">
        <v>772</v>
      </c>
      <c r="K292" s="24"/>
      <c r="L292" s="22" t="s">
        <v>528</v>
      </c>
      <c r="M292" s="22">
        <v>2.0</v>
      </c>
      <c r="N292" s="22" t="s">
        <v>404</v>
      </c>
      <c r="O292" s="22" t="s">
        <v>405</v>
      </c>
      <c r="P292" s="24"/>
      <c r="Q292" s="22" t="s">
        <v>90</v>
      </c>
      <c r="R292" s="22">
        <v>3.2694967468355E13</v>
      </c>
      <c r="S292" s="24"/>
      <c r="T292" s="24"/>
      <c r="U292" s="24"/>
      <c r="V292" s="22" t="s">
        <v>105</v>
      </c>
      <c r="W292" s="24"/>
      <c r="X292" s="24"/>
      <c r="Y292" s="22"/>
      <c r="Z292" s="22"/>
      <c r="AA292" s="24"/>
      <c r="AB292" s="24"/>
      <c r="AC292" s="22"/>
      <c r="AD292" s="22"/>
      <c r="AE292" s="24"/>
      <c r="AF292" s="25"/>
      <c r="AG292" s="22"/>
      <c r="AH292" s="22"/>
      <c r="AI292" s="25"/>
      <c r="AJ292" s="25"/>
    </row>
    <row r="293">
      <c r="A293" s="21" t="s">
        <v>822</v>
      </c>
      <c r="B293" s="22" t="s">
        <v>823</v>
      </c>
      <c r="C293" s="22" t="s">
        <v>82</v>
      </c>
      <c r="D293" s="26">
        <v>45997.0</v>
      </c>
      <c r="E293" s="22" t="s">
        <v>177</v>
      </c>
      <c r="F293" s="22" t="s">
        <v>634</v>
      </c>
      <c r="G293" s="22" t="s">
        <v>1007</v>
      </c>
      <c r="H293" s="22" t="s">
        <v>822</v>
      </c>
      <c r="I293" s="22">
        <v>1.0436730093891E13</v>
      </c>
      <c r="J293" s="22" t="s">
        <v>825</v>
      </c>
      <c r="K293" s="24"/>
      <c r="L293" s="22" t="s">
        <v>826</v>
      </c>
      <c r="M293" s="22">
        <v>1.0</v>
      </c>
      <c r="N293" s="22" t="s">
        <v>638</v>
      </c>
      <c r="O293" s="22" t="s">
        <v>639</v>
      </c>
      <c r="P293" s="24"/>
      <c r="Q293" s="22" t="s">
        <v>90</v>
      </c>
      <c r="R293" s="22">
        <v>3.2694970548547E13</v>
      </c>
      <c r="S293" s="24"/>
      <c r="T293" s="24"/>
      <c r="U293" s="24"/>
      <c r="V293" s="22" t="s">
        <v>55</v>
      </c>
      <c r="W293" s="24"/>
      <c r="X293" s="24"/>
      <c r="Y293" s="22"/>
      <c r="Z293" s="22"/>
      <c r="AA293" s="24"/>
      <c r="AB293" s="24"/>
      <c r="AC293" s="22"/>
      <c r="AD293" s="22"/>
      <c r="AE293" s="24"/>
      <c r="AF293" s="25"/>
      <c r="AG293" s="22"/>
      <c r="AH293" s="25"/>
      <c r="AI293" s="25"/>
      <c r="AJ293" s="25"/>
    </row>
    <row r="294">
      <c r="A294" s="21" t="s">
        <v>592</v>
      </c>
      <c r="B294" s="22" t="s">
        <v>310</v>
      </c>
      <c r="C294" s="22" t="s">
        <v>82</v>
      </c>
      <c r="D294" s="26">
        <v>45997.0</v>
      </c>
      <c r="E294" s="22" t="s">
        <v>134</v>
      </c>
      <c r="F294" s="22" t="s">
        <v>311</v>
      </c>
      <c r="G294" s="22" t="s">
        <v>1008</v>
      </c>
      <c r="H294" s="22" t="s">
        <v>592</v>
      </c>
      <c r="I294" s="22">
        <v>1.0436732977475E13</v>
      </c>
      <c r="J294" s="22" t="s">
        <v>544</v>
      </c>
      <c r="K294" s="24"/>
      <c r="L294" s="22" t="s">
        <v>594</v>
      </c>
      <c r="M294" s="22">
        <v>1.0</v>
      </c>
      <c r="N294" s="22" t="s">
        <v>391</v>
      </c>
      <c r="O294" s="22" t="s">
        <v>392</v>
      </c>
      <c r="P294" s="24"/>
      <c r="Q294" s="22" t="s">
        <v>90</v>
      </c>
      <c r="R294" s="22">
        <v>3.2694976905539E13</v>
      </c>
      <c r="S294" s="24"/>
      <c r="T294" s="24"/>
      <c r="U294" s="24"/>
      <c r="V294" s="22" t="s">
        <v>54</v>
      </c>
      <c r="W294" s="24"/>
      <c r="X294" s="24"/>
      <c r="Y294" s="22"/>
      <c r="Z294" s="22"/>
      <c r="AA294" s="24"/>
      <c r="AB294" s="24"/>
      <c r="AC294" s="22"/>
      <c r="AD294" s="22"/>
      <c r="AE294" s="24"/>
      <c r="AF294" s="25"/>
      <c r="AG294" s="22"/>
      <c r="AH294" s="22"/>
      <c r="AI294" s="25"/>
      <c r="AJ294" s="25"/>
    </row>
    <row r="295">
      <c r="A295" s="21" t="s">
        <v>859</v>
      </c>
      <c r="B295" s="22" t="s">
        <v>1009</v>
      </c>
      <c r="C295" s="22" t="s">
        <v>287</v>
      </c>
      <c r="D295" s="26">
        <v>45994.0</v>
      </c>
      <c r="E295" s="22" t="s">
        <v>1010</v>
      </c>
      <c r="F295" s="22" t="s">
        <v>605</v>
      </c>
      <c r="G295" s="22" t="s">
        <v>1011</v>
      </c>
      <c r="H295" s="22" t="s">
        <v>859</v>
      </c>
      <c r="I295" s="22">
        <v>1.0436736549187E13</v>
      </c>
      <c r="J295" s="22" t="s">
        <v>1012</v>
      </c>
      <c r="K295" s="24"/>
      <c r="L295" s="22" t="s">
        <v>861</v>
      </c>
      <c r="M295" s="22">
        <v>1.0</v>
      </c>
      <c r="N295" s="22" t="s">
        <v>609</v>
      </c>
      <c r="O295" s="22" t="s">
        <v>610</v>
      </c>
      <c r="P295" s="24"/>
      <c r="Q295" s="22" t="s">
        <v>90</v>
      </c>
      <c r="R295" s="22">
        <v>3.2694985097539E13</v>
      </c>
      <c r="S295" s="24"/>
      <c r="T295" s="24"/>
      <c r="U295" s="24"/>
      <c r="V295" s="22" t="s">
        <v>95</v>
      </c>
      <c r="W295" s="24"/>
      <c r="X295" s="24"/>
      <c r="Y295" s="22"/>
      <c r="Z295" s="22"/>
      <c r="AA295" s="24"/>
      <c r="AB295" s="24"/>
      <c r="AC295" s="22"/>
      <c r="AD295" s="22"/>
      <c r="AE295" s="24"/>
      <c r="AF295" s="25"/>
      <c r="AG295" s="22"/>
      <c r="AH295" s="22"/>
      <c r="AI295" s="25"/>
      <c r="AJ295" s="25"/>
    </row>
    <row r="296">
      <c r="A296" s="21" t="s">
        <v>525</v>
      </c>
      <c r="B296" s="22" t="s">
        <v>318</v>
      </c>
      <c r="C296" s="22" t="s">
        <v>82</v>
      </c>
      <c r="D296" s="26">
        <v>45997.0</v>
      </c>
      <c r="E296" s="22" t="s">
        <v>196</v>
      </c>
      <c r="F296" s="22" t="s">
        <v>319</v>
      </c>
      <c r="G296" s="22" t="s">
        <v>1013</v>
      </c>
      <c r="H296" s="22" t="s">
        <v>525</v>
      </c>
      <c r="I296" s="22">
        <v>1.0436673372483E13</v>
      </c>
      <c r="J296" s="22" t="s">
        <v>527</v>
      </c>
      <c r="K296" s="24"/>
      <c r="L296" s="22" t="s">
        <v>528</v>
      </c>
      <c r="M296" s="22">
        <v>1.0</v>
      </c>
      <c r="N296" s="22" t="s">
        <v>404</v>
      </c>
      <c r="O296" s="22" t="s">
        <v>405</v>
      </c>
      <c r="P296" s="24"/>
      <c r="Q296" s="22" t="s">
        <v>90</v>
      </c>
      <c r="R296" s="22">
        <v>3.2694845079875E13</v>
      </c>
      <c r="S296" s="24"/>
      <c r="T296" s="24"/>
      <c r="U296" s="24"/>
      <c r="V296" s="22" t="s">
        <v>105</v>
      </c>
      <c r="W296" s="24"/>
      <c r="X296" s="24"/>
      <c r="Y296" s="22"/>
      <c r="Z296" s="22"/>
      <c r="AA296" s="24"/>
      <c r="AB296" s="24"/>
      <c r="AC296" s="22"/>
      <c r="AD296" s="22"/>
      <c r="AE296" s="24"/>
      <c r="AF296" s="25"/>
      <c r="AG296" s="22"/>
      <c r="AH296" s="22"/>
      <c r="AI296" s="25"/>
      <c r="AJ296" s="25"/>
    </row>
    <row r="297">
      <c r="A297" s="21" t="s">
        <v>92</v>
      </c>
      <c r="B297" s="22" t="s">
        <v>290</v>
      </c>
      <c r="C297" s="22" t="s">
        <v>273</v>
      </c>
      <c r="D297" s="23">
        <v>45991.0</v>
      </c>
      <c r="E297" s="22"/>
      <c r="F297" s="22" t="s">
        <v>83</v>
      </c>
      <c r="G297" s="22" t="s">
        <v>1014</v>
      </c>
      <c r="H297" s="22" t="s">
        <v>92</v>
      </c>
      <c r="I297" s="22">
        <v>1.0436689625411E13</v>
      </c>
      <c r="J297" s="22" t="s">
        <v>968</v>
      </c>
      <c r="K297" s="24"/>
      <c r="L297" s="22" t="s">
        <v>94</v>
      </c>
      <c r="M297" s="22">
        <v>1.0</v>
      </c>
      <c r="N297" s="22" t="s">
        <v>87</v>
      </c>
      <c r="O297" s="22" t="s">
        <v>88</v>
      </c>
      <c r="P297" s="24"/>
      <c r="Q297" s="22" t="s">
        <v>90</v>
      </c>
      <c r="R297" s="22">
        <v>3.2694881026371E13</v>
      </c>
      <c r="S297" s="24"/>
      <c r="T297" s="24"/>
      <c r="U297" s="24"/>
      <c r="V297" s="22" t="s">
        <v>95</v>
      </c>
      <c r="W297" s="24"/>
      <c r="X297" s="24"/>
      <c r="Y297" s="22"/>
      <c r="Z297" s="22"/>
      <c r="AA297" s="24"/>
      <c r="AB297" s="24"/>
      <c r="AC297" s="22"/>
      <c r="AD297" s="22"/>
      <c r="AE297" s="24"/>
      <c r="AF297" s="25"/>
      <c r="AG297" s="22"/>
      <c r="AH297" s="22"/>
      <c r="AI297" s="25"/>
      <c r="AJ297" s="25"/>
    </row>
    <row r="298">
      <c r="A298" s="21" t="s">
        <v>789</v>
      </c>
      <c r="B298" s="22" t="s">
        <v>980</v>
      </c>
      <c r="C298" s="22" t="s">
        <v>287</v>
      </c>
      <c r="D298" s="26">
        <v>45994.0</v>
      </c>
      <c r="E298" s="22" t="s">
        <v>981</v>
      </c>
      <c r="F298" s="22" t="s">
        <v>605</v>
      </c>
      <c r="G298" s="22" t="s">
        <v>1015</v>
      </c>
      <c r="H298" s="22" t="s">
        <v>789</v>
      </c>
      <c r="I298" s="22">
        <v>1.0436737958211E13</v>
      </c>
      <c r="J298" s="22" t="s">
        <v>983</v>
      </c>
      <c r="K298" s="24"/>
      <c r="L298" s="22" t="s">
        <v>794</v>
      </c>
      <c r="M298" s="22">
        <v>1.0</v>
      </c>
      <c r="N298" s="22" t="s">
        <v>795</v>
      </c>
      <c r="O298" s="22" t="s">
        <v>796</v>
      </c>
      <c r="P298" s="24"/>
      <c r="Q298" s="22" t="s">
        <v>90</v>
      </c>
      <c r="R298" s="22">
        <v>3.2694987784515E13</v>
      </c>
      <c r="S298" s="24"/>
      <c r="T298" s="24"/>
      <c r="U298" s="24"/>
      <c r="V298" s="22" t="s">
        <v>105</v>
      </c>
      <c r="W298" s="24"/>
      <c r="X298" s="24"/>
      <c r="Y298" s="22"/>
      <c r="Z298" s="22"/>
      <c r="AA298" s="24"/>
      <c r="AB298" s="24"/>
      <c r="AC298" s="22"/>
      <c r="AD298" s="22"/>
      <c r="AE298" s="24"/>
      <c r="AF298" s="25"/>
      <c r="AG298" s="22"/>
      <c r="AH298" s="22"/>
      <c r="AI298" s="25"/>
      <c r="AJ298" s="25"/>
    </row>
    <row r="299">
      <c r="A299" s="21" t="s">
        <v>415</v>
      </c>
      <c r="B299" s="22" t="s">
        <v>416</v>
      </c>
      <c r="C299" s="22" t="s">
        <v>82</v>
      </c>
      <c r="D299" s="26">
        <v>45997.0</v>
      </c>
      <c r="E299" s="22" t="s">
        <v>134</v>
      </c>
      <c r="F299" s="22" t="s">
        <v>377</v>
      </c>
      <c r="G299" s="22" t="s">
        <v>1016</v>
      </c>
      <c r="H299" s="22" t="s">
        <v>415</v>
      </c>
      <c r="I299" s="22">
        <v>1.0436755718467E13</v>
      </c>
      <c r="J299" s="22" t="s">
        <v>1017</v>
      </c>
      <c r="K299" s="24"/>
      <c r="L299" s="22" t="s">
        <v>419</v>
      </c>
      <c r="M299" s="22">
        <v>1.0</v>
      </c>
      <c r="N299" s="22" t="s">
        <v>381</v>
      </c>
      <c r="O299" s="22" t="s">
        <v>382</v>
      </c>
      <c r="P299" s="24"/>
      <c r="Q299" s="22" t="s">
        <v>90</v>
      </c>
      <c r="R299" s="22">
        <v>3.2695027138883E13</v>
      </c>
      <c r="S299" s="24"/>
      <c r="T299" s="24"/>
      <c r="U299" s="24"/>
      <c r="V299" s="22" t="s">
        <v>91</v>
      </c>
      <c r="W299" s="24"/>
      <c r="X299" s="24"/>
      <c r="Y299" s="22"/>
      <c r="Z299" s="22"/>
      <c r="AA299" s="24"/>
      <c r="AB299" s="24"/>
      <c r="AC299" s="22"/>
      <c r="AD299" s="22"/>
      <c r="AE299" s="24"/>
      <c r="AF299" s="25"/>
      <c r="AG299" s="22"/>
      <c r="AH299" s="22"/>
      <c r="AI299" s="25"/>
      <c r="AJ299" s="25"/>
    </row>
    <row r="300">
      <c r="A300" s="21" t="s">
        <v>172</v>
      </c>
      <c r="B300" s="22" t="s">
        <v>428</v>
      </c>
      <c r="C300" s="22" t="s">
        <v>202</v>
      </c>
      <c r="D300" s="26">
        <v>45996.0</v>
      </c>
      <c r="E300" s="22"/>
      <c r="F300" s="22" t="s">
        <v>83</v>
      </c>
      <c r="G300" s="22" t="s">
        <v>1018</v>
      </c>
      <c r="H300" s="22" t="s">
        <v>172</v>
      </c>
      <c r="I300" s="22">
        <v>1.0436774953283E13</v>
      </c>
      <c r="J300" s="22" t="s">
        <v>430</v>
      </c>
      <c r="K300" s="24"/>
      <c r="L300" s="22" t="s">
        <v>174</v>
      </c>
      <c r="M300" s="22">
        <v>1.0</v>
      </c>
      <c r="N300" s="22" t="s">
        <v>103</v>
      </c>
      <c r="O300" s="22" t="s">
        <v>104</v>
      </c>
      <c r="P300" s="24"/>
      <c r="Q300" s="22" t="s">
        <v>90</v>
      </c>
      <c r="R300" s="22">
        <v>3.2695068328259E13</v>
      </c>
      <c r="S300" s="24"/>
      <c r="T300" s="24"/>
      <c r="U300" s="24"/>
      <c r="V300" s="22" t="s">
        <v>175</v>
      </c>
      <c r="W300" s="24"/>
      <c r="X300" s="24"/>
      <c r="Y300" s="22"/>
      <c r="Z300" s="22"/>
      <c r="AA300" s="24"/>
      <c r="AB300" s="24"/>
      <c r="AC300" s="22"/>
      <c r="AD300" s="22"/>
      <c r="AE300" s="24"/>
      <c r="AF300" s="25"/>
      <c r="AG300" s="22"/>
      <c r="AH300" s="22"/>
      <c r="AI300" s="25"/>
      <c r="AJ300" s="25"/>
    </row>
    <row r="301">
      <c r="A301" s="21" t="s">
        <v>814</v>
      </c>
      <c r="B301" s="22" t="s">
        <v>1019</v>
      </c>
      <c r="C301" s="22" t="s">
        <v>82</v>
      </c>
      <c r="D301" s="26">
        <v>45997.0</v>
      </c>
      <c r="E301" s="22" t="s">
        <v>975</v>
      </c>
      <c r="F301" s="22" t="s">
        <v>698</v>
      </c>
      <c r="G301" s="22" t="s">
        <v>1020</v>
      </c>
      <c r="H301" s="22" t="s">
        <v>814</v>
      </c>
      <c r="I301" s="22">
        <v>1.0436781408579E13</v>
      </c>
      <c r="J301" s="22" t="s">
        <v>1021</v>
      </c>
      <c r="K301" s="24"/>
      <c r="L301" s="22" t="s">
        <v>818</v>
      </c>
      <c r="M301" s="22">
        <v>1.0</v>
      </c>
      <c r="N301" s="22" t="s">
        <v>819</v>
      </c>
      <c r="O301" s="22" t="s">
        <v>820</v>
      </c>
      <c r="P301" s="24"/>
      <c r="Q301" s="22" t="s">
        <v>90</v>
      </c>
      <c r="R301" s="22">
        <v>3.2695081271619E13</v>
      </c>
      <c r="S301" s="24"/>
      <c r="T301" s="24"/>
      <c r="U301" s="24"/>
      <c r="V301" s="22" t="s">
        <v>127</v>
      </c>
      <c r="W301" s="24"/>
      <c r="X301" s="24"/>
      <c r="Y301" s="22"/>
      <c r="Z301" s="22"/>
      <c r="AA301" s="24"/>
      <c r="AB301" s="24"/>
      <c r="AC301" s="22"/>
      <c r="AD301" s="22"/>
      <c r="AE301" s="24"/>
      <c r="AF301" s="25"/>
      <c r="AG301" s="22"/>
      <c r="AH301" s="22"/>
      <c r="AI301" s="25"/>
      <c r="AJ301" s="25"/>
    </row>
    <row r="302">
      <c r="A302" s="21" t="s">
        <v>867</v>
      </c>
      <c r="B302" s="22" t="s">
        <v>1022</v>
      </c>
      <c r="C302" s="22" t="s">
        <v>273</v>
      </c>
      <c r="D302" s="26">
        <v>45998.0</v>
      </c>
      <c r="E302" s="22" t="s">
        <v>196</v>
      </c>
      <c r="F302" s="22" t="s">
        <v>869</v>
      </c>
      <c r="G302" s="22" t="s">
        <v>1023</v>
      </c>
      <c r="H302" s="22" t="s">
        <v>867</v>
      </c>
      <c r="I302" s="22">
        <v>1.0436790911299E13</v>
      </c>
      <c r="J302" s="22" t="s">
        <v>1024</v>
      </c>
      <c r="K302" s="24"/>
      <c r="L302" s="22" t="s">
        <v>872</v>
      </c>
      <c r="M302" s="22">
        <v>1.0</v>
      </c>
      <c r="N302" s="22" t="s">
        <v>873</v>
      </c>
      <c r="O302" s="22" t="s">
        <v>874</v>
      </c>
      <c r="P302" s="24"/>
      <c r="Q302" s="22" t="s">
        <v>90</v>
      </c>
      <c r="R302" s="22">
        <v>3.2695100014915E13</v>
      </c>
      <c r="S302" s="24"/>
      <c r="T302" s="24"/>
      <c r="U302" s="24"/>
      <c r="V302" s="22" t="s">
        <v>55</v>
      </c>
      <c r="W302" s="24"/>
      <c r="X302" s="24"/>
      <c r="Y302" s="22"/>
      <c r="Z302" s="22"/>
      <c r="AA302" s="24"/>
      <c r="AB302" s="24"/>
      <c r="AC302" s="22"/>
      <c r="AD302" s="22"/>
      <c r="AE302" s="24"/>
      <c r="AF302" s="25"/>
      <c r="AG302" s="22"/>
      <c r="AH302" s="22"/>
      <c r="AI302" s="25"/>
      <c r="AJ302" s="25"/>
    </row>
    <row r="303">
      <c r="A303" s="21" t="s">
        <v>185</v>
      </c>
      <c r="B303" s="22" t="s">
        <v>629</v>
      </c>
      <c r="C303" s="22" t="s">
        <v>82</v>
      </c>
      <c r="D303" s="26">
        <v>45997.0</v>
      </c>
      <c r="E303" s="22" t="s">
        <v>230</v>
      </c>
      <c r="F303" s="22" t="s">
        <v>111</v>
      </c>
      <c r="G303" s="22" t="s">
        <v>1025</v>
      </c>
      <c r="H303" s="22" t="s">
        <v>185</v>
      </c>
      <c r="I303" s="22">
        <v>1.0436811292995E13</v>
      </c>
      <c r="J303" s="22" t="s">
        <v>631</v>
      </c>
      <c r="K303" s="24"/>
      <c r="L303" s="22" t="s">
        <v>190</v>
      </c>
      <c r="M303" s="22">
        <v>1.0</v>
      </c>
      <c r="N303" s="22" t="s">
        <v>115</v>
      </c>
      <c r="O303" s="22" t="s">
        <v>116</v>
      </c>
      <c r="P303" s="24"/>
      <c r="Q303" s="22" t="s">
        <v>90</v>
      </c>
      <c r="R303" s="22">
        <v>3.2695145300291E13</v>
      </c>
      <c r="S303" s="24"/>
      <c r="T303" s="24"/>
      <c r="U303" s="24"/>
      <c r="V303" s="22" t="s">
        <v>95</v>
      </c>
      <c r="W303" s="24"/>
      <c r="X303" s="24"/>
      <c r="Y303" s="22"/>
      <c r="Z303" s="22"/>
      <c r="AA303" s="24"/>
      <c r="AB303" s="24"/>
      <c r="AC303" s="22"/>
      <c r="AD303" s="22"/>
      <c r="AE303" s="24"/>
      <c r="AF303" s="25"/>
      <c r="AG303" s="22"/>
      <c r="AH303" s="22"/>
      <c r="AI303" s="25"/>
      <c r="AJ303" s="25"/>
    </row>
    <row r="304">
      <c r="A304" s="21" t="s">
        <v>979</v>
      </c>
      <c r="B304" s="22" t="s">
        <v>797</v>
      </c>
      <c r="C304" s="22" t="s">
        <v>287</v>
      </c>
      <c r="D304" s="26">
        <v>45994.0</v>
      </c>
      <c r="E304" s="22" t="s">
        <v>252</v>
      </c>
      <c r="F304" s="22" t="s">
        <v>605</v>
      </c>
      <c r="G304" s="22" t="s">
        <v>1026</v>
      </c>
      <c r="H304" s="22" t="s">
        <v>979</v>
      </c>
      <c r="I304" s="22">
        <v>1.0436823253315E13</v>
      </c>
      <c r="J304" s="22" t="s">
        <v>799</v>
      </c>
      <c r="K304" s="24"/>
      <c r="L304" s="22" t="s">
        <v>984</v>
      </c>
      <c r="M304" s="22">
        <v>1.0</v>
      </c>
      <c r="N304" s="22" t="s">
        <v>609</v>
      </c>
      <c r="O304" s="22" t="s">
        <v>610</v>
      </c>
      <c r="P304" s="24"/>
      <c r="Q304" s="22" t="s">
        <v>90</v>
      </c>
      <c r="R304" s="22">
        <v>3.2695170695491E13</v>
      </c>
      <c r="S304" s="24"/>
      <c r="T304" s="24"/>
      <c r="U304" s="24"/>
      <c r="V304" s="22" t="s">
        <v>55</v>
      </c>
      <c r="W304" s="24"/>
      <c r="X304" s="24"/>
      <c r="Y304" s="22"/>
      <c r="Z304" s="22"/>
      <c r="AA304" s="24"/>
      <c r="AB304" s="24"/>
      <c r="AC304" s="22"/>
      <c r="AD304" s="22"/>
      <c r="AE304" s="24"/>
      <c r="AF304" s="25"/>
      <c r="AG304" s="22"/>
      <c r="AH304" s="22"/>
      <c r="AI304" s="25"/>
      <c r="AJ304" s="25"/>
    </row>
    <row r="305">
      <c r="A305" s="21" t="s">
        <v>495</v>
      </c>
      <c r="B305" s="22" t="s">
        <v>1027</v>
      </c>
      <c r="C305" s="22" t="s">
        <v>273</v>
      </c>
      <c r="D305" s="23">
        <v>45991.0</v>
      </c>
      <c r="E305" s="22" t="s">
        <v>134</v>
      </c>
      <c r="F305" s="22" t="s">
        <v>329</v>
      </c>
      <c r="G305" s="22" t="s">
        <v>1028</v>
      </c>
      <c r="H305" s="22" t="s">
        <v>495</v>
      </c>
      <c r="I305" s="22">
        <v>1.0436856054083E13</v>
      </c>
      <c r="J305" s="22" t="s">
        <v>1029</v>
      </c>
      <c r="K305" s="24"/>
      <c r="L305" s="22" t="s">
        <v>500</v>
      </c>
      <c r="M305" s="22">
        <v>1.0</v>
      </c>
      <c r="N305" s="22" t="s">
        <v>333</v>
      </c>
      <c r="O305" s="22" t="s">
        <v>334</v>
      </c>
      <c r="P305" s="24"/>
      <c r="Q305" s="22" t="s">
        <v>90</v>
      </c>
      <c r="R305" s="22">
        <v>3.2695241638211E13</v>
      </c>
      <c r="S305" s="24"/>
      <c r="T305" s="24"/>
      <c r="U305" s="24"/>
      <c r="V305" s="22" t="s">
        <v>54</v>
      </c>
      <c r="W305" s="24"/>
      <c r="X305" s="24"/>
      <c r="Y305" s="22"/>
      <c r="Z305" s="22"/>
      <c r="AA305" s="24"/>
      <c r="AB305" s="24"/>
      <c r="AC305" s="22"/>
      <c r="AD305" s="22"/>
      <c r="AE305" s="24"/>
      <c r="AF305" s="25"/>
      <c r="AG305" s="22"/>
      <c r="AH305" s="22"/>
      <c r="AI305" s="25"/>
      <c r="AJ305" s="25"/>
    </row>
    <row r="306">
      <c r="A306" s="21" t="s">
        <v>515</v>
      </c>
      <c r="B306" s="22" t="s">
        <v>516</v>
      </c>
      <c r="C306" s="22" t="s">
        <v>273</v>
      </c>
      <c r="D306" s="26">
        <v>45998.0</v>
      </c>
      <c r="E306" s="22" t="s">
        <v>134</v>
      </c>
      <c r="F306" s="22" t="s">
        <v>472</v>
      </c>
      <c r="G306" s="22" t="s">
        <v>1030</v>
      </c>
      <c r="H306" s="22" t="s">
        <v>515</v>
      </c>
      <c r="I306" s="22">
        <v>1.0436748411203E13</v>
      </c>
      <c r="J306" s="22" t="s">
        <v>518</v>
      </c>
      <c r="K306" s="24"/>
      <c r="L306" s="22" t="s">
        <v>519</v>
      </c>
      <c r="M306" s="22">
        <v>1.0</v>
      </c>
      <c r="N306" s="22" t="s">
        <v>476</v>
      </c>
      <c r="O306" s="22" t="s">
        <v>477</v>
      </c>
      <c r="P306" s="24"/>
      <c r="Q306" s="22" t="s">
        <v>90</v>
      </c>
      <c r="R306" s="22">
        <v>3.2695010689347E13</v>
      </c>
      <c r="S306" s="24"/>
      <c r="T306" s="24"/>
      <c r="U306" s="24"/>
      <c r="V306" s="22" t="s">
        <v>55</v>
      </c>
      <c r="W306" s="24"/>
      <c r="X306" s="24"/>
      <c r="Y306" s="22"/>
      <c r="Z306" s="22"/>
      <c r="AA306" s="24"/>
      <c r="AB306" s="24"/>
      <c r="AC306" s="22"/>
      <c r="AD306" s="22"/>
      <c r="AE306" s="24"/>
      <c r="AF306" s="25"/>
      <c r="AG306" s="22"/>
      <c r="AH306" s="22"/>
      <c r="AI306" s="25"/>
      <c r="AJ306" s="25"/>
    </row>
    <row r="307">
      <c r="A307" s="21" t="s">
        <v>386</v>
      </c>
      <c r="B307" s="22" t="s">
        <v>1031</v>
      </c>
      <c r="C307" s="22" t="s">
        <v>273</v>
      </c>
      <c r="D307" s="26">
        <v>45998.0</v>
      </c>
      <c r="E307" s="22" t="s">
        <v>149</v>
      </c>
      <c r="F307" s="22" t="s">
        <v>311</v>
      </c>
      <c r="G307" s="22" t="s">
        <v>1032</v>
      </c>
      <c r="H307" s="22" t="s">
        <v>386</v>
      </c>
      <c r="I307" s="22">
        <v>1.0436883284291E13</v>
      </c>
      <c r="J307" s="22" t="s">
        <v>1033</v>
      </c>
      <c r="K307" s="24"/>
      <c r="L307" s="22" t="s">
        <v>390</v>
      </c>
      <c r="M307" s="22">
        <v>1.0</v>
      </c>
      <c r="N307" s="22" t="s">
        <v>391</v>
      </c>
      <c r="O307" s="22" t="s">
        <v>392</v>
      </c>
      <c r="P307" s="24"/>
      <c r="Q307" s="22" t="s">
        <v>90</v>
      </c>
      <c r="R307" s="22">
        <v>3.2695296655683E13</v>
      </c>
      <c r="S307" s="24"/>
      <c r="T307" s="24"/>
      <c r="U307" s="24"/>
      <c r="V307" s="22" t="s">
        <v>55</v>
      </c>
      <c r="W307" s="24"/>
      <c r="X307" s="24"/>
      <c r="Y307" s="22"/>
      <c r="Z307" s="22"/>
      <c r="AA307" s="24"/>
      <c r="AB307" s="24"/>
      <c r="AC307" s="22"/>
      <c r="AD307" s="22"/>
      <c r="AE307" s="24"/>
      <c r="AF307" s="25"/>
      <c r="AG307" s="22"/>
      <c r="AH307" s="22"/>
      <c r="AI307" s="25"/>
      <c r="AJ307" s="25"/>
    </row>
    <row r="308">
      <c r="A308" s="21" t="s">
        <v>692</v>
      </c>
      <c r="B308" s="22" t="s">
        <v>1034</v>
      </c>
      <c r="C308" s="22" t="s">
        <v>273</v>
      </c>
      <c r="D308" s="26">
        <v>45998.0</v>
      </c>
      <c r="E308" s="22" t="s">
        <v>145</v>
      </c>
      <c r="F308" s="22" t="s">
        <v>369</v>
      </c>
      <c r="G308" s="22" t="s">
        <v>1035</v>
      </c>
      <c r="H308" s="22" t="s">
        <v>692</v>
      </c>
      <c r="I308" s="22">
        <v>1.0436918149443E13</v>
      </c>
      <c r="J308" s="22" t="s">
        <v>1036</v>
      </c>
      <c r="K308" s="24"/>
      <c r="L308" s="22" t="s">
        <v>694</v>
      </c>
      <c r="M308" s="22">
        <v>1.0</v>
      </c>
      <c r="N308" s="22" t="s">
        <v>373</v>
      </c>
      <c r="O308" s="22" t="s">
        <v>374</v>
      </c>
      <c r="P308" s="24"/>
      <c r="Q308" s="22" t="s">
        <v>90</v>
      </c>
      <c r="R308" s="22">
        <v>3.2695377363267E13</v>
      </c>
      <c r="S308" s="24"/>
      <c r="T308" s="24"/>
      <c r="U308" s="24"/>
      <c r="V308" s="22" t="s">
        <v>54</v>
      </c>
      <c r="W308" s="24"/>
      <c r="X308" s="24"/>
      <c r="Y308" s="22"/>
      <c r="Z308" s="22"/>
      <c r="AA308" s="24"/>
      <c r="AB308" s="24"/>
      <c r="AC308" s="22"/>
      <c r="AD308" s="22"/>
      <c r="AE308" s="24"/>
      <c r="AF308" s="25"/>
      <c r="AG308" s="22"/>
      <c r="AH308" s="22"/>
      <c r="AI308" s="25"/>
      <c r="AJ308" s="25"/>
    </row>
    <row r="309">
      <c r="A309" s="21" t="s">
        <v>580</v>
      </c>
      <c r="B309" s="22" t="s">
        <v>741</v>
      </c>
      <c r="C309" s="22" t="s">
        <v>82</v>
      </c>
      <c r="D309" s="26">
        <v>45997.0</v>
      </c>
      <c r="E309" s="22" t="s">
        <v>134</v>
      </c>
      <c r="F309" s="22" t="s">
        <v>303</v>
      </c>
      <c r="G309" s="22" t="s">
        <v>1037</v>
      </c>
      <c r="H309" s="22" t="s">
        <v>580</v>
      </c>
      <c r="I309" s="22">
        <v>1.0436941939011E13</v>
      </c>
      <c r="J309" s="22" t="s">
        <v>743</v>
      </c>
      <c r="K309" s="24"/>
      <c r="L309" s="22" t="s">
        <v>583</v>
      </c>
      <c r="M309" s="22">
        <v>1.0</v>
      </c>
      <c r="N309" s="22" t="s">
        <v>468</v>
      </c>
      <c r="O309" s="22" t="s">
        <v>469</v>
      </c>
      <c r="P309" s="24"/>
      <c r="Q309" s="22" t="s">
        <v>90</v>
      </c>
      <c r="R309" s="22">
        <v>3.2695431954755E13</v>
      </c>
      <c r="S309" s="24"/>
      <c r="T309" s="24"/>
      <c r="U309" s="24"/>
      <c r="V309" s="22" t="s">
        <v>175</v>
      </c>
      <c r="W309" s="24"/>
      <c r="X309" s="24"/>
      <c r="Y309" s="22"/>
      <c r="Z309" s="22"/>
      <c r="AA309" s="24"/>
      <c r="AB309" s="24"/>
      <c r="AC309" s="22"/>
      <c r="AD309" s="22"/>
      <c r="AE309" s="24"/>
      <c r="AF309" s="25"/>
      <c r="AG309" s="22"/>
      <c r="AH309" s="22"/>
      <c r="AI309" s="25"/>
      <c r="AJ309" s="25"/>
    </row>
    <row r="310">
      <c r="A310" s="21" t="s">
        <v>696</v>
      </c>
      <c r="B310" s="22" t="s">
        <v>815</v>
      </c>
      <c r="C310" s="22" t="s">
        <v>82</v>
      </c>
      <c r="D310" s="26">
        <v>45997.0</v>
      </c>
      <c r="E310" s="22" t="s">
        <v>187</v>
      </c>
      <c r="F310" s="22" t="s">
        <v>698</v>
      </c>
      <c r="G310" s="22" t="s">
        <v>1038</v>
      </c>
      <c r="H310" s="22" t="s">
        <v>696</v>
      </c>
      <c r="I310" s="22">
        <v>1.0436947902787E13</v>
      </c>
      <c r="J310" s="22" t="s">
        <v>817</v>
      </c>
      <c r="K310" s="24"/>
      <c r="L310" s="22" t="s">
        <v>701</v>
      </c>
      <c r="M310" s="22">
        <v>1.0</v>
      </c>
      <c r="N310" s="22" t="s">
        <v>702</v>
      </c>
      <c r="O310" s="22" t="s">
        <v>703</v>
      </c>
      <c r="P310" s="24"/>
      <c r="Q310" s="22" t="s">
        <v>90</v>
      </c>
      <c r="R310" s="22">
        <v>3.2695442866499E13</v>
      </c>
      <c r="S310" s="24"/>
      <c r="T310" s="24"/>
      <c r="U310" s="24"/>
      <c r="V310" s="22" t="s">
        <v>55</v>
      </c>
      <c r="W310" s="24"/>
      <c r="X310" s="24"/>
      <c r="Y310" s="22"/>
      <c r="Z310" s="22"/>
      <c r="AA310" s="24"/>
      <c r="AB310" s="24"/>
      <c r="AC310" s="22"/>
      <c r="AD310" s="22"/>
      <c r="AE310" s="24"/>
      <c r="AF310" s="25"/>
      <c r="AG310" s="22"/>
      <c r="AH310" s="22"/>
      <c r="AI310" s="25"/>
      <c r="AJ310" s="25"/>
    </row>
    <row r="311">
      <c r="A311" s="21" t="s">
        <v>902</v>
      </c>
      <c r="B311" s="22" t="s">
        <v>1039</v>
      </c>
      <c r="C311" s="22" t="s">
        <v>273</v>
      </c>
      <c r="D311" s="23">
        <v>45991.0</v>
      </c>
      <c r="E311" s="22" t="s">
        <v>248</v>
      </c>
      <c r="F311" s="22" t="s">
        <v>329</v>
      </c>
      <c r="G311" s="22" t="s">
        <v>1040</v>
      </c>
      <c r="H311" s="22" t="s">
        <v>902</v>
      </c>
      <c r="I311" s="22">
        <v>1.0436968776003E13</v>
      </c>
      <c r="J311" s="22" t="s">
        <v>1041</v>
      </c>
      <c r="K311" s="24"/>
      <c r="L311" s="22" t="s">
        <v>906</v>
      </c>
      <c r="M311" s="22">
        <v>1.0</v>
      </c>
      <c r="N311" s="22" t="s">
        <v>907</v>
      </c>
      <c r="O311" s="22" t="s">
        <v>908</v>
      </c>
      <c r="P311" s="24"/>
      <c r="Q311" s="22" t="s">
        <v>90</v>
      </c>
      <c r="R311" s="22">
        <v>3.2695487529283E13</v>
      </c>
      <c r="S311" s="24"/>
      <c r="T311" s="24"/>
      <c r="U311" s="24"/>
      <c r="V311" s="22" t="s">
        <v>105</v>
      </c>
      <c r="W311" s="24"/>
      <c r="X311" s="24"/>
      <c r="Y311" s="22"/>
      <c r="Z311" s="22"/>
      <c r="AA311" s="24"/>
      <c r="AB311" s="24"/>
      <c r="AC311" s="22"/>
      <c r="AD311" s="22"/>
      <c r="AE311" s="24"/>
      <c r="AF311" s="25"/>
      <c r="AG311" s="22"/>
      <c r="AH311" s="22"/>
      <c r="AI311" s="25"/>
      <c r="AJ311" s="25"/>
    </row>
    <row r="312">
      <c r="A312" s="21" t="s">
        <v>709</v>
      </c>
      <c r="B312" s="22" t="s">
        <v>1042</v>
      </c>
      <c r="C312" s="22" t="s">
        <v>287</v>
      </c>
      <c r="D312" s="26">
        <v>45994.0</v>
      </c>
      <c r="E312" s="22" t="s">
        <v>134</v>
      </c>
      <c r="F312" s="22" t="s">
        <v>311</v>
      </c>
      <c r="G312" s="22" t="s">
        <v>1043</v>
      </c>
      <c r="H312" s="22" t="s">
        <v>709</v>
      </c>
      <c r="I312" s="22">
        <v>1.0436970840387E13</v>
      </c>
      <c r="J312" s="22" t="s">
        <v>1044</v>
      </c>
      <c r="K312" s="24"/>
      <c r="L312" s="22" t="s">
        <v>713</v>
      </c>
      <c r="M312" s="22">
        <v>1.0</v>
      </c>
      <c r="N312" s="22" t="s">
        <v>391</v>
      </c>
      <c r="O312" s="22" t="s">
        <v>392</v>
      </c>
      <c r="P312" s="24"/>
      <c r="Q312" s="22" t="s">
        <v>90</v>
      </c>
      <c r="R312" s="22">
        <v>3.2695491559747E13</v>
      </c>
      <c r="S312" s="24"/>
      <c r="T312" s="24"/>
      <c r="U312" s="24"/>
      <c r="V312" s="22" t="s">
        <v>91</v>
      </c>
      <c r="W312" s="24"/>
      <c r="X312" s="24"/>
      <c r="Y312" s="22"/>
      <c r="Z312" s="22"/>
      <c r="AA312" s="24"/>
      <c r="AB312" s="24"/>
      <c r="AC312" s="22"/>
      <c r="AD312" s="22"/>
      <c r="AE312" s="24"/>
      <c r="AF312" s="25"/>
      <c r="AG312" s="22"/>
      <c r="AH312" s="22"/>
      <c r="AI312" s="25"/>
      <c r="AJ312" s="25"/>
    </row>
    <row r="313">
      <c r="A313" s="21" t="s">
        <v>686</v>
      </c>
      <c r="B313" s="22" t="s">
        <v>1045</v>
      </c>
      <c r="C313" s="22" t="s">
        <v>273</v>
      </c>
      <c r="D313" s="26">
        <v>45998.0</v>
      </c>
      <c r="E313" s="22" t="s">
        <v>149</v>
      </c>
      <c r="F313" s="22" t="s">
        <v>451</v>
      </c>
      <c r="G313" s="22" t="s">
        <v>1046</v>
      </c>
      <c r="H313" s="22" t="s">
        <v>686</v>
      </c>
      <c r="I313" s="22">
        <v>1.0436973658435E13</v>
      </c>
      <c r="J313" s="22" t="s">
        <v>1047</v>
      </c>
      <c r="K313" s="24"/>
      <c r="L313" s="22" t="s">
        <v>688</v>
      </c>
      <c r="M313" s="22">
        <v>1.0</v>
      </c>
      <c r="N313" s="22" t="s">
        <v>455</v>
      </c>
      <c r="O313" s="22" t="s">
        <v>456</v>
      </c>
      <c r="P313" s="24"/>
      <c r="Q313" s="22" t="s">
        <v>90</v>
      </c>
      <c r="R313" s="22">
        <v>3.2695497949507E13</v>
      </c>
      <c r="S313" s="24"/>
      <c r="T313" s="24"/>
      <c r="U313" s="24"/>
      <c r="V313" s="22" t="s">
        <v>91</v>
      </c>
      <c r="W313" s="24"/>
      <c r="X313" s="24"/>
      <c r="Y313" s="22"/>
      <c r="Z313" s="22"/>
      <c r="AA313" s="24"/>
      <c r="AB313" s="24"/>
      <c r="AC313" s="22"/>
      <c r="AD313" s="22"/>
      <c r="AE313" s="24"/>
      <c r="AF313" s="25"/>
      <c r="AG313" s="22"/>
      <c r="AH313" s="22"/>
      <c r="AI313" s="25"/>
      <c r="AJ313" s="25"/>
    </row>
    <row r="314">
      <c r="A314" s="21" t="s">
        <v>1048</v>
      </c>
      <c r="B314" s="22" t="s">
        <v>1049</v>
      </c>
      <c r="C314" s="22" t="s">
        <v>273</v>
      </c>
      <c r="D314" s="26">
        <v>45998.0</v>
      </c>
      <c r="E314" s="22" t="s">
        <v>177</v>
      </c>
      <c r="F314" s="22" t="s">
        <v>440</v>
      </c>
      <c r="G314" s="22" t="s">
        <v>1050</v>
      </c>
      <c r="H314" s="22" t="s">
        <v>1048</v>
      </c>
      <c r="I314" s="22">
        <v>1.0436887576899E13</v>
      </c>
      <c r="J314" s="22" t="s">
        <v>1051</v>
      </c>
      <c r="K314" s="24"/>
      <c r="L314" s="22" t="s">
        <v>1052</v>
      </c>
      <c r="M314" s="22">
        <v>1.0</v>
      </c>
      <c r="N314" s="22" t="s">
        <v>444</v>
      </c>
      <c r="O314" s="22" t="s">
        <v>445</v>
      </c>
      <c r="P314" s="24"/>
      <c r="Q314" s="22" t="s">
        <v>90</v>
      </c>
      <c r="R314" s="22">
        <v>3.2695307698499E13</v>
      </c>
      <c r="S314" s="24"/>
      <c r="T314" s="24"/>
      <c r="U314" s="24"/>
      <c r="V314" s="22" t="s">
        <v>54</v>
      </c>
      <c r="W314" s="24"/>
      <c r="X314" s="24"/>
      <c r="Y314" s="22"/>
      <c r="Z314" s="22"/>
      <c r="AA314" s="24"/>
      <c r="AB314" s="24"/>
      <c r="AC314" s="22"/>
      <c r="AD314" s="22"/>
      <c r="AE314" s="24"/>
      <c r="AF314" s="25"/>
      <c r="AG314" s="22"/>
      <c r="AH314" s="22"/>
      <c r="AI314" s="25"/>
      <c r="AJ314" s="25"/>
    </row>
    <row r="315">
      <c r="A315" s="21" t="s">
        <v>822</v>
      </c>
      <c r="B315" s="22" t="s">
        <v>1053</v>
      </c>
      <c r="C315" s="22" t="s">
        <v>273</v>
      </c>
      <c r="D315" s="26">
        <v>45997.0</v>
      </c>
      <c r="E315" s="22" t="s">
        <v>1054</v>
      </c>
      <c r="F315" s="22" t="s">
        <v>634</v>
      </c>
      <c r="G315" s="22" t="s">
        <v>1055</v>
      </c>
      <c r="H315" s="22" t="s">
        <v>822</v>
      </c>
      <c r="I315" s="22">
        <v>1.0436992172355E13</v>
      </c>
      <c r="J315" s="22" t="s">
        <v>1056</v>
      </c>
      <c r="K315" s="24"/>
      <c r="L315" s="22" t="s">
        <v>826</v>
      </c>
      <c r="M315" s="22">
        <v>1.0</v>
      </c>
      <c r="N315" s="22" t="s">
        <v>638</v>
      </c>
      <c r="O315" s="22" t="s">
        <v>639</v>
      </c>
      <c r="P315" s="24"/>
      <c r="Q315" s="22" t="s">
        <v>90</v>
      </c>
      <c r="R315" s="22">
        <v>3.2695539761475E13</v>
      </c>
      <c r="S315" s="24"/>
      <c r="T315" s="24"/>
      <c r="U315" s="24"/>
      <c r="V315" s="22" t="s">
        <v>55</v>
      </c>
      <c r="W315" s="24"/>
      <c r="X315" s="24"/>
      <c r="Y315" s="22"/>
      <c r="Z315" s="22"/>
      <c r="AA315" s="24"/>
      <c r="AB315" s="24"/>
      <c r="AC315" s="22"/>
      <c r="AD315" s="22"/>
      <c r="AE315" s="24"/>
      <c r="AF315" s="25"/>
      <c r="AG315" s="22"/>
      <c r="AH315" s="22"/>
      <c r="AI315" s="25"/>
      <c r="AJ315" s="25"/>
    </row>
    <row r="316">
      <c r="A316" s="21" t="s">
        <v>478</v>
      </c>
      <c r="B316" s="22" t="s">
        <v>471</v>
      </c>
      <c r="C316" s="22" t="s">
        <v>82</v>
      </c>
      <c r="D316" s="26">
        <v>45997.0</v>
      </c>
      <c r="E316" s="22" t="s">
        <v>134</v>
      </c>
      <c r="F316" s="22" t="s">
        <v>472</v>
      </c>
      <c r="G316" s="22" t="s">
        <v>1057</v>
      </c>
      <c r="H316" s="22" t="s">
        <v>478</v>
      </c>
      <c r="I316" s="22">
        <v>1.0436862443843E13</v>
      </c>
      <c r="J316" s="22" t="s">
        <v>474</v>
      </c>
      <c r="K316" s="24"/>
      <c r="L316" s="22" t="s">
        <v>483</v>
      </c>
      <c r="M316" s="22">
        <v>1.0</v>
      </c>
      <c r="N316" s="22" t="s">
        <v>476</v>
      </c>
      <c r="O316" s="22" t="s">
        <v>477</v>
      </c>
      <c r="P316" s="24"/>
      <c r="Q316" s="22" t="s">
        <v>90</v>
      </c>
      <c r="R316" s="22">
        <v>3.2695254352195E13</v>
      </c>
      <c r="S316" s="24"/>
      <c r="T316" s="24"/>
      <c r="U316" s="24"/>
      <c r="V316" s="22" t="s">
        <v>95</v>
      </c>
      <c r="W316" s="24"/>
      <c r="X316" s="24"/>
      <c r="Y316" s="22"/>
      <c r="Z316" s="22"/>
      <c r="AA316" s="24"/>
      <c r="AB316" s="24"/>
      <c r="AC316" s="22"/>
      <c r="AD316" s="22"/>
      <c r="AE316" s="24"/>
      <c r="AF316" s="25"/>
      <c r="AG316" s="22"/>
      <c r="AH316" s="22"/>
      <c r="AI316" s="25"/>
      <c r="AJ316" s="25"/>
    </row>
    <row r="317">
      <c r="A317" s="21" t="s">
        <v>515</v>
      </c>
      <c r="B317" s="22" t="s">
        <v>1058</v>
      </c>
      <c r="C317" s="22" t="s">
        <v>273</v>
      </c>
      <c r="D317" s="26">
        <v>45998.0</v>
      </c>
      <c r="E317" s="22" t="s">
        <v>149</v>
      </c>
      <c r="F317" s="22" t="s">
        <v>472</v>
      </c>
      <c r="G317" s="22" t="s">
        <v>1059</v>
      </c>
      <c r="H317" s="22" t="s">
        <v>515</v>
      </c>
      <c r="I317" s="22">
        <v>1.0437024219459E13</v>
      </c>
      <c r="J317" s="22" t="s">
        <v>1060</v>
      </c>
      <c r="K317" s="24"/>
      <c r="L317" s="22" t="s">
        <v>519</v>
      </c>
      <c r="M317" s="22">
        <v>1.0</v>
      </c>
      <c r="N317" s="22" t="s">
        <v>476</v>
      </c>
      <c r="O317" s="22" t="s">
        <v>477</v>
      </c>
      <c r="P317" s="24"/>
      <c r="Q317" s="22" t="s">
        <v>90</v>
      </c>
      <c r="R317" s="22">
        <v>3.2695608869187E13</v>
      </c>
      <c r="S317" s="24"/>
      <c r="T317" s="24"/>
      <c r="U317" s="24"/>
      <c r="V317" s="22" t="s">
        <v>55</v>
      </c>
      <c r="W317" s="24"/>
      <c r="X317" s="24"/>
      <c r="Y317" s="22"/>
      <c r="Z317" s="22"/>
      <c r="AA317" s="24"/>
      <c r="AB317" s="24"/>
      <c r="AC317" s="22"/>
      <c r="AD317" s="22"/>
      <c r="AE317" s="24"/>
      <c r="AF317" s="25"/>
      <c r="AG317" s="22"/>
      <c r="AH317" s="22"/>
      <c r="AI317" s="25"/>
      <c r="AJ317" s="25"/>
    </row>
    <row r="318">
      <c r="A318" s="21" t="s">
        <v>317</v>
      </c>
      <c r="B318" s="22" t="s">
        <v>318</v>
      </c>
      <c r="C318" s="22" t="s">
        <v>82</v>
      </c>
      <c r="D318" s="26">
        <v>45997.0</v>
      </c>
      <c r="E318" s="22" t="s">
        <v>196</v>
      </c>
      <c r="F318" s="22" t="s">
        <v>319</v>
      </c>
      <c r="G318" s="22" t="s">
        <v>1061</v>
      </c>
      <c r="H318" s="22" t="s">
        <v>317</v>
      </c>
      <c r="I318" s="22">
        <v>1.0437025235267E13</v>
      </c>
      <c r="J318" s="22" t="s">
        <v>527</v>
      </c>
      <c r="K318" s="24"/>
      <c r="L318" s="22" t="s">
        <v>322</v>
      </c>
      <c r="M318" s="22">
        <v>1.0</v>
      </c>
      <c r="N318" s="22" t="s">
        <v>323</v>
      </c>
      <c r="O318" s="22" t="s">
        <v>324</v>
      </c>
      <c r="P318" s="24"/>
      <c r="Q318" s="22" t="s">
        <v>90</v>
      </c>
      <c r="R318" s="22">
        <v>3.2695611949379E13</v>
      </c>
      <c r="S318" s="24"/>
      <c r="T318" s="24"/>
      <c r="U318" s="24"/>
      <c r="V318" s="22" t="s">
        <v>55</v>
      </c>
      <c r="W318" s="24"/>
      <c r="X318" s="24"/>
      <c r="Y318" s="22"/>
      <c r="Z318" s="22"/>
      <c r="AA318" s="24"/>
      <c r="AB318" s="24"/>
      <c r="AC318" s="22"/>
      <c r="AD318" s="22"/>
      <c r="AE318" s="24"/>
      <c r="AF318" s="25"/>
      <c r="AG318" s="22"/>
      <c r="AH318" s="22"/>
      <c r="AI318" s="25"/>
      <c r="AJ318" s="25"/>
    </row>
    <row r="319">
      <c r="A319" s="21" t="s">
        <v>924</v>
      </c>
      <c r="B319" s="22" t="s">
        <v>763</v>
      </c>
      <c r="C319" s="22" t="s">
        <v>82</v>
      </c>
      <c r="D319" s="26">
        <v>45997.0</v>
      </c>
      <c r="E319" s="22" t="s">
        <v>149</v>
      </c>
      <c r="F319" s="22" t="s">
        <v>623</v>
      </c>
      <c r="G319" s="22" t="s">
        <v>1062</v>
      </c>
      <c r="H319" s="22" t="s">
        <v>924</v>
      </c>
      <c r="I319" s="22">
        <v>1.0437031100739E13</v>
      </c>
      <c r="J319" s="22" t="s">
        <v>765</v>
      </c>
      <c r="K319" s="24"/>
      <c r="L319" s="22" t="s">
        <v>926</v>
      </c>
      <c r="M319" s="22">
        <v>1.0</v>
      </c>
      <c r="N319" s="22" t="s">
        <v>627</v>
      </c>
      <c r="O319" s="22" t="s">
        <v>628</v>
      </c>
      <c r="P319" s="24"/>
      <c r="Q319" s="22" t="s">
        <v>90</v>
      </c>
      <c r="R319" s="22">
        <v>3.2695624433987E13</v>
      </c>
      <c r="S319" s="24"/>
      <c r="T319" s="24"/>
      <c r="U319" s="24"/>
      <c r="V319" s="22" t="s">
        <v>55</v>
      </c>
      <c r="W319" s="24"/>
      <c r="X319" s="24"/>
      <c r="Y319" s="22"/>
      <c r="Z319" s="22"/>
      <c r="AA319" s="24"/>
      <c r="AB319" s="24"/>
      <c r="AC319" s="22"/>
      <c r="AD319" s="22"/>
      <c r="AE319" s="24"/>
      <c r="AF319" s="25"/>
      <c r="AG319" s="22"/>
      <c r="AH319" s="22"/>
      <c r="AI319" s="25"/>
      <c r="AJ319" s="25"/>
    </row>
    <row r="320">
      <c r="A320" s="21" t="s">
        <v>408</v>
      </c>
      <c r="B320" s="22" t="s">
        <v>800</v>
      </c>
      <c r="C320" s="22" t="s">
        <v>82</v>
      </c>
      <c r="D320" s="26">
        <v>45997.0</v>
      </c>
      <c r="E320" s="22" t="s">
        <v>145</v>
      </c>
      <c r="F320" s="22" t="s">
        <v>377</v>
      </c>
      <c r="G320" s="22" t="s">
        <v>1063</v>
      </c>
      <c r="H320" s="22" t="s">
        <v>408</v>
      </c>
      <c r="I320" s="22">
        <v>1.0437034410307E13</v>
      </c>
      <c r="J320" s="22" t="s">
        <v>802</v>
      </c>
      <c r="K320" s="24"/>
      <c r="L320" s="22" t="s">
        <v>412</v>
      </c>
      <c r="M320" s="22">
        <v>1.0</v>
      </c>
      <c r="N320" s="22" t="s">
        <v>413</v>
      </c>
      <c r="O320" s="22" t="s">
        <v>414</v>
      </c>
      <c r="P320" s="24"/>
      <c r="Q320" s="22" t="s">
        <v>90</v>
      </c>
      <c r="R320" s="22">
        <v>3.2695630889283E13</v>
      </c>
      <c r="S320" s="24"/>
      <c r="T320" s="24"/>
      <c r="U320" s="24"/>
      <c r="V320" s="22" t="s">
        <v>127</v>
      </c>
      <c r="W320" s="24"/>
      <c r="X320" s="24"/>
      <c r="Y320" s="22"/>
      <c r="Z320" s="22"/>
      <c r="AA320" s="24"/>
      <c r="AB320" s="24"/>
      <c r="AC320" s="22"/>
      <c r="AD320" s="22"/>
      <c r="AE320" s="24"/>
      <c r="AF320" s="25"/>
      <c r="AG320" s="22"/>
      <c r="AH320" s="22"/>
      <c r="AI320" s="25"/>
      <c r="AJ320" s="25"/>
    </row>
    <row r="321">
      <c r="A321" s="21" t="s">
        <v>573</v>
      </c>
      <c r="B321" s="22" t="s">
        <v>574</v>
      </c>
      <c r="C321" s="22" t="s">
        <v>273</v>
      </c>
      <c r="D321" s="26">
        <v>45998.0</v>
      </c>
      <c r="E321" s="22" t="s">
        <v>187</v>
      </c>
      <c r="F321" s="22" t="s">
        <v>440</v>
      </c>
      <c r="G321" s="22" t="s">
        <v>1064</v>
      </c>
      <c r="H321" s="22" t="s">
        <v>573</v>
      </c>
      <c r="I321" s="22">
        <v>1.0437036769603E13</v>
      </c>
      <c r="J321" s="22" t="s">
        <v>576</v>
      </c>
      <c r="K321" s="24"/>
      <c r="L321" s="22" t="s">
        <v>577</v>
      </c>
      <c r="M321" s="22">
        <v>1.0</v>
      </c>
      <c r="N321" s="22" t="s">
        <v>444</v>
      </c>
      <c r="O321" s="22" t="s">
        <v>445</v>
      </c>
      <c r="P321" s="24"/>
      <c r="Q321" s="22" t="s">
        <v>90</v>
      </c>
      <c r="R321" s="22">
        <v>3.2695635640643E13</v>
      </c>
      <c r="S321" s="24"/>
      <c r="T321" s="24"/>
      <c r="U321" s="24"/>
      <c r="V321" s="22" t="s">
        <v>55</v>
      </c>
      <c r="W321" s="24"/>
      <c r="X321" s="24"/>
      <c r="Y321" s="22"/>
      <c r="Z321" s="22"/>
      <c r="AA321" s="24"/>
      <c r="AB321" s="24"/>
      <c r="AC321" s="22"/>
      <c r="AD321" s="22"/>
      <c r="AE321" s="24"/>
      <c r="AF321" s="25"/>
      <c r="AG321" s="22"/>
      <c r="AH321" s="22"/>
      <c r="AI321" s="25"/>
      <c r="AJ321" s="25"/>
    </row>
    <row r="322">
      <c r="A322" s="21" t="s">
        <v>515</v>
      </c>
      <c r="B322" s="22" t="s">
        <v>516</v>
      </c>
      <c r="C322" s="22" t="s">
        <v>273</v>
      </c>
      <c r="D322" s="26">
        <v>45998.0</v>
      </c>
      <c r="E322" s="22" t="s">
        <v>134</v>
      </c>
      <c r="F322" s="22" t="s">
        <v>472</v>
      </c>
      <c r="G322" s="22" t="s">
        <v>1065</v>
      </c>
      <c r="H322" s="22" t="s">
        <v>515</v>
      </c>
      <c r="I322" s="22">
        <v>1.0437041652035E13</v>
      </c>
      <c r="J322" s="22" t="s">
        <v>518</v>
      </c>
      <c r="K322" s="24"/>
      <c r="L322" s="22" t="s">
        <v>519</v>
      </c>
      <c r="M322" s="22">
        <v>1.0</v>
      </c>
      <c r="N322" s="22" t="s">
        <v>476</v>
      </c>
      <c r="O322" s="22" t="s">
        <v>477</v>
      </c>
      <c r="P322" s="24"/>
      <c r="Q322" s="22" t="s">
        <v>90</v>
      </c>
      <c r="R322" s="22">
        <v>3.2695646585155E13</v>
      </c>
      <c r="S322" s="24"/>
      <c r="T322" s="24"/>
      <c r="U322" s="24"/>
      <c r="V322" s="22" t="s">
        <v>55</v>
      </c>
      <c r="W322" s="24"/>
      <c r="X322" s="24"/>
      <c r="Y322" s="22"/>
      <c r="Z322" s="22"/>
      <c r="AA322" s="24"/>
      <c r="AB322" s="24"/>
      <c r="AC322" s="22"/>
      <c r="AD322" s="22"/>
      <c r="AE322" s="24"/>
      <c r="AF322" s="25"/>
      <c r="AG322" s="22"/>
      <c r="AH322" s="22"/>
      <c r="AI322" s="25"/>
      <c r="AJ322" s="25"/>
    </row>
    <row r="323">
      <c r="A323" s="21" t="s">
        <v>386</v>
      </c>
      <c r="B323" s="22" t="s">
        <v>987</v>
      </c>
      <c r="C323" s="22" t="s">
        <v>82</v>
      </c>
      <c r="D323" s="26">
        <v>45997.0</v>
      </c>
      <c r="E323" s="22" t="s">
        <v>266</v>
      </c>
      <c r="F323" s="22" t="s">
        <v>311</v>
      </c>
      <c r="G323" s="22" t="s">
        <v>1066</v>
      </c>
      <c r="H323" s="22" t="s">
        <v>386</v>
      </c>
      <c r="I323" s="22">
        <v>1.0437042897219E13</v>
      </c>
      <c r="J323" s="22" t="s">
        <v>989</v>
      </c>
      <c r="K323" s="24"/>
      <c r="L323" s="22" t="s">
        <v>390</v>
      </c>
      <c r="M323" s="22">
        <v>1.0</v>
      </c>
      <c r="N323" s="22" t="s">
        <v>391</v>
      </c>
      <c r="O323" s="22" t="s">
        <v>392</v>
      </c>
      <c r="P323" s="24"/>
      <c r="Q323" s="22" t="s">
        <v>90</v>
      </c>
      <c r="R323" s="22">
        <v>3.2695649141059E13</v>
      </c>
      <c r="S323" s="24"/>
      <c r="T323" s="24"/>
      <c r="U323" s="24"/>
      <c r="V323" s="22" t="s">
        <v>55</v>
      </c>
      <c r="W323" s="24"/>
      <c r="X323" s="24"/>
      <c r="Y323" s="22"/>
      <c r="Z323" s="22"/>
      <c r="AA323" s="24"/>
      <c r="AB323" s="24"/>
      <c r="AC323" s="22"/>
      <c r="AD323" s="22"/>
      <c r="AE323" s="24"/>
      <c r="AF323" s="25"/>
      <c r="AG323" s="22"/>
      <c r="AH323" s="22"/>
      <c r="AI323" s="25"/>
      <c r="AJ323" s="25"/>
    </row>
    <row r="324">
      <c r="A324" s="21" t="s">
        <v>96</v>
      </c>
      <c r="B324" s="22" t="s">
        <v>272</v>
      </c>
      <c r="C324" s="22" t="s">
        <v>273</v>
      </c>
      <c r="D324" s="26">
        <v>45998.0</v>
      </c>
      <c r="E324" s="22"/>
      <c r="F324" s="22" t="s">
        <v>83</v>
      </c>
      <c r="G324" s="22" t="s">
        <v>1067</v>
      </c>
      <c r="H324" s="22" t="s">
        <v>96</v>
      </c>
      <c r="I324" s="22">
        <v>1.0437069144387E13</v>
      </c>
      <c r="J324" s="22" t="s">
        <v>618</v>
      </c>
      <c r="K324" s="24"/>
      <c r="L324" s="22" t="s">
        <v>98</v>
      </c>
      <c r="M324" s="22">
        <v>1.0</v>
      </c>
      <c r="N324" s="22" t="s">
        <v>87</v>
      </c>
      <c r="O324" s="22" t="s">
        <v>88</v>
      </c>
      <c r="P324" s="24"/>
      <c r="Q324" s="22" t="s">
        <v>90</v>
      </c>
      <c r="R324" s="22">
        <v>3.2695705370947E13</v>
      </c>
      <c r="S324" s="24"/>
      <c r="T324" s="24"/>
      <c r="U324" s="24"/>
      <c r="V324" s="22" t="s">
        <v>55</v>
      </c>
      <c r="W324" s="24"/>
      <c r="X324" s="24"/>
      <c r="Y324" s="22"/>
      <c r="Z324" s="22"/>
      <c r="AA324" s="24"/>
      <c r="AB324" s="24"/>
      <c r="AC324" s="22"/>
      <c r="AD324" s="22"/>
      <c r="AE324" s="24"/>
      <c r="AF324" s="25"/>
      <c r="AG324" s="22"/>
      <c r="AH324" s="22"/>
      <c r="AI324" s="25"/>
      <c r="AJ324" s="25"/>
    </row>
    <row r="325">
      <c r="A325" s="21" t="s">
        <v>96</v>
      </c>
      <c r="B325" s="22" t="s">
        <v>290</v>
      </c>
      <c r="C325" s="22" t="s">
        <v>273</v>
      </c>
      <c r="D325" s="23">
        <v>45991.0</v>
      </c>
      <c r="E325" s="22"/>
      <c r="F325" s="22" t="s">
        <v>83</v>
      </c>
      <c r="G325" s="22" t="s">
        <v>1068</v>
      </c>
      <c r="H325" s="22" t="s">
        <v>96</v>
      </c>
      <c r="I325" s="22">
        <v>1.0437083857219E13</v>
      </c>
      <c r="J325" s="22" t="s">
        <v>968</v>
      </c>
      <c r="K325" s="24"/>
      <c r="L325" s="22" t="s">
        <v>98</v>
      </c>
      <c r="M325" s="22">
        <v>1.0</v>
      </c>
      <c r="N325" s="22" t="s">
        <v>87</v>
      </c>
      <c r="O325" s="22" t="s">
        <v>88</v>
      </c>
      <c r="P325" s="24"/>
      <c r="Q325" s="22" t="s">
        <v>90</v>
      </c>
      <c r="R325" s="22">
        <v>3.2695744364867E13</v>
      </c>
      <c r="S325" s="24"/>
      <c r="T325" s="24"/>
      <c r="U325" s="24"/>
      <c r="V325" s="22" t="s">
        <v>55</v>
      </c>
      <c r="W325" s="24"/>
      <c r="X325" s="24"/>
      <c r="Y325" s="22"/>
      <c r="Z325" s="22"/>
      <c r="AA325" s="24"/>
      <c r="AB325" s="24"/>
      <c r="AC325" s="22"/>
      <c r="AD325" s="22"/>
      <c r="AE325" s="24"/>
      <c r="AF325" s="25"/>
      <c r="AG325" s="22"/>
      <c r="AH325" s="22"/>
      <c r="AI325" s="25"/>
      <c r="AJ325" s="25"/>
    </row>
    <row r="326">
      <c r="A326" s="21" t="s">
        <v>92</v>
      </c>
      <c r="B326" s="22" t="s">
        <v>290</v>
      </c>
      <c r="C326" s="22" t="s">
        <v>273</v>
      </c>
      <c r="D326" s="23">
        <v>45991.0</v>
      </c>
      <c r="E326" s="22"/>
      <c r="F326" s="22" t="s">
        <v>83</v>
      </c>
      <c r="G326" s="22" t="s">
        <v>1069</v>
      </c>
      <c r="H326" s="22" t="s">
        <v>92</v>
      </c>
      <c r="I326" s="22">
        <v>1.0437085430083E13</v>
      </c>
      <c r="J326" s="22" t="s">
        <v>968</v>
      </c>
      <c r="K326" s="24"/>
      <c r="L326" s="22" t="s">
        <v>94</v>
      </c>
      <c r="M326" s="22">
        <v>1.0</v>
      </c>
      <c r="N326" s="22" t="s">
        <v>87</v>
      </c>
      <c r="O326" s="22" t="s">
        <v>88</v>
      </c>
      <c r="P326" s="24"/>
      <c r="Q326" s="22" t="s">
        <v>90</v>
      </c>
      <c r="R326" s="22">
        <v>3.2695747019075E13</v>
      </c>
      <c r="S326" s="24"/>
      <c r="T326" s="24"/>
      <c r="U326" s="24"/>
      <c r="V326" s="22" t="s">
        <v>95</v>
      </c>
      <c r="W326" s="24"/>
      <c r="X326" s="24"/>
      <c r="Y326" s="22"/>
      <c r="Z326" s="22"/>
      <c r="AA326" s="24"/>
      <c r="AB326" s="24"/>
      <c r="AC326" s="22"/>
      <c r="AD326" s="22"/>
      <c r="AE326" s="24"/>
      <c r="AF326" s="25"/>
      <c r="AG326" s="22"/>
      <c r="AH326" s="22"/>
      <c r="AI326" s="25"/>
      <c r="AJ326" s="25"/>
    </row>
    <row r="327">
      <c r="A327" s="21" t="s">
        <v>408</v>
      </c>
      <c r="B327" s="22" t="s">
        <v>512</v>
      </c>
      <c r="C327" s="22" t="s">
        <v>82</v>
      </c>
      <c r="D327" s="26">
        <v>45997.0</v>
      </c>
      <c r="E327" s="22" t="s">
        <v>153</v>
      </c>
      <c r="F327" s="22" t="s">
        <v>377</v>
      </c>
      <c r="G327" s="22" t="s">
        <v>1070</v>
      </c>
      <c r="H327" s="22" t="s">
        <v>408</v>
      </c>
      <c r="I327" s="22">
        <v>1.0437112922435E13</v>
      </c>
      <c r="J327" s="22" t="s">
        <v>514</v>
      </c>
      <c r="K327" s="24"/>
      <c r="L327" s="22" t="s">
        <v>412</v>
      </c>
      <c r="M327" s="22">
        <v>1.0</v>
      </c>
      <c r="N327" s="22" t="s">
        <v>413</v>
      </c>
      <c r="O327" s="22" t="s">
        <v>414</v>
      </c>
      <c r="P327" s="24"/>
      <c r="Q327" s="22" t="s">
        <v>90</v>
      </c>
      <c r="R327" s="22">
        <v>3.2695807902019E13</v>
      </c>
      <c r="S327" s="24"/>
      <c r="T327" s="24"/>
      <c r="U327" s="24"/>
      <c r="V327" s="22" t="s">
        <v>127</v>
      </c>
      <c r="W327" s="24"/>
      <c r="X327" s="24"/>
      <c r="Y327" s="22"/>
      <c r="Z327" s="22"/>
      <c r="AA327" s="24"/>
      <c r="AB327" s="24"/>
      <c r="AC327" s="22"/>
      <c r="AD327" s="22"/>
      <c r="AE327" s="24"/>
      <c r="AF327" s="25"/>
      <c r="AG327" s="22"/>
      <c r="AH327" s="22"/>
      <c r="AI327" s="25"/>
      <c r="AJ327" s="25"/>
    </row>
    <row r="328">
      <c r="A328" s="21" t="s">
        <v>354</v>
      </c>
      <c r="B328" s="22" t="s">
        <v>355</v>
      </c>
      <c r="C328" s="22" t="s">
        <v>273</v>
      </c>
      <c r="D328" s="23">
        <v>45991.0</v>
      </c>
      <c r="E328" s="22" t="s">
        <v>149</v>
      </c>
      <c r="F328" s="22" t="s">
        <v>356</v>
      </c>
      <c r="G328" s="22" t="s">
        <v>1071</v>
      </c>
      <c r="H328" s="22" t="s">
        <v>354</v>
      </c>
      <c r="I328" s="22">
        <v>1.0437117673795E13</v>
      </c>
      <c r="J328" s="22" t="s">
        <v>562</v>
      </c>
      <c r="K328" s="24"/>
      <c r="L328" s="22" t="s">
        <v>359</v>
      </c>
      <c r="M328" s="22">
        <v>1.0</v>
      </c>
      <c r="N328" s="22" t="s">
        <v>360</v>
      </c>
      <c r="O328" s="22" t="s">
        <v>361</v>
      </c>
      <c r="P328" s="24"/>
      <c r="Q328" s="22" t="s">
        <v>90</v>
      </c>
      <c r="R328" s="22">
        <v>3.2695817732419E13</v>
      </c>
      <c r="S328" s="24"/>
      <c r="T328" s="24"/>
      <c r="U328" s="24"/>
      <c r="V328" s="22" t="s">
        <v>54</v>
      </c>
      <c r="W328" s="24"/>
      <c r="X328" s="24"/>
      <c r="Y328" s="22"/>
      <c r="Z328" s="22"/>
      <c r="AA328" s="24"/>
      <c r="AB328" s="24"/>
      <c r="AC328" s="22"/>
      <c r="AD328" s="22"/>
      <c r="AE328" s="24"/>
      <c r="AF328" s="25"/>
      <c r="AG328" s="22"/>
      <c r="AH328" s="22"/>
      <c r="AI328" s="25"/>
      <c r="AJ328" s="25"/>
    </row>
    <row r="329">
      <c r="A329" s="21" t="s">
        <v>300</v>
      </c>
      <c r="B329" s="22" t="s">
        <v>1072</v>
      </c>
      <c r="C329" s="22" t="s">
        <v>82</v>
      </c>
      <c r="D329" s="26">
        <v>45997.0</v>
      </c>
      <c r="E329" s="22" t="s">
        <v>1073</v>
      </c>
      <c r="F329" s="22" t="s">
        <v>303</v>
      </c>
      <c r="G329" s="22" t="s">
        <v>1074</v>
      </c>
      <c r="H329" s="22" t="s">
        <v>300</v>
      </c>
      <c r="I329" s="22">
        <v>1.0437128880451E13</v>
      </c>
      <c r="J329" s="22" t="s">
        <v>1075</v>
      </c>
      <c r="K329" s="24"/>
      <c r="L329" s="22" t="s">
        <v>306</v>
      </c>
      <c r="M329" s="22">
        <v>1.0</v>
      </c>
      <c r="N329" s="22" t="s">
        <v>307</v>
      </c>
      <c r="O329" s="22" t="s">
        <v>308</v>
      </c>
      <c r="P329" s="24"/>
      <c r="Q329" s="22" t="s">
        <v>90</v>
      </c>
      <c r="R329" s="22">
        <v>3.2695841816899E13</v>
      </c>
      <c r="S329" s="24"/>
      <c r="T329" s="24"/>
      <c r="U329" s="24"/>
      <c r="V329" s="22" t="s">
        <v>55</v>
      </c>
      <c r="W329" s="24"/>
      <c r="X329" s="24"/>
      <c r="Y329" s="22"/>
      <c r="Z329" s="22"/>
      <c r="AA329" s="24"/>
      <c r="AB329" s="24"/>
      <c r="AC329" s="22"/>
      <c r="AD329" s="22"/>
      <c r="AE329" s="24"/>
      <c r="AF329" s="25"/>
      <c r="AG329" s="22"/>
      <c r="AH329" s="22"/>
      <c r="AI329" s="25"/>
      <c r="AJ329" s="25"/>
    </row>
    <row r="330">
      <c r="A330" s="21" t="s">
        <v>885</v>
      </c>
      <c r="B330" s="22" t="s">
        <v>603</v>
      </c>
      <c r="C330" s="22" t="s">
        <v>287</v>
      </c>
      <c r="D330" s="26">
        <v>45994.0</v>
      </c>
      <c r="E330" s="22" t="s">
        <v>604</v>
      </c>
      <c r="F330" s="22" t="s">
        <v>605</v>
      </c>
      <c r="G330" s="22" t="s">
        <v>1076</v>
      </c>
      <c r="H330" s="22" t="s">
        <v>885</v>
      </c>
      <c r="I330" s="22">
        <v>1.0437138186563E13</v>
      </c>
      <c r="J330" s="22" t="s">
        <v>607</v>
      </c>
      <c r="K330" s="24"/>
      <c r="L330" s="22" t="s">
        <v>890</v>
      </c>
      <c r="M330" s="22">
        <v>1.0</v>
      </c>
      <c r="N330" s="22" t="s">
        <v>795</v>
      </c>
      <c r="O330" s="22" t="s">
        <v>796</v>
      </c>
      <c r="P330" s="24"/>
      <c r="Q330" s="22" t="s">
        <v>90</v>
      </c>
      <c r="R330" s="22">
        <v>3.2695862001987E13</v>
      </c>
      <c r="S330" s="24"/>
      <c r="T330" s="24"/>
      <c r="U330" s="24"/>
      <c r="V330" s="22" t="s">
        <v>127</v>
      </c>
      <c r="W330" s="24"/>
      <c r="X330" s="24"/>
      <c r="Y330" s="22"/>
      <c r="Z330" s="22"/>
      <c r="AA330" s="24"/>
      <c r="AB330" s="24"/>
      <c r="AC330" s="22"/>
      <c r="AD330" s="22"/>
      <c r="AE330" s="24"/>
      <c r="AF330" s="25"/>
      <c r="AG330" s="22"/>
      <c r="AH330" s="22"/>
      <c r="AI330" s="25"/>
      <c r="AJ330" s="25"/>
    </row>
    <row r="331">
      <c r="A331" s="21" t="s">
        <v>924</v>
      </c>
      <c r="B331" s="22" t="s">
        <v>763</v>
      </c>
      <c r="C331" s="22" t="s">
        <v>82</v>
      </c>
      <c r="D331" s="26">
        <v>45997.0</v>
      </c>
      <c r="E331" s="22" t="s">
        <v>149</v>
      </c>
      <c r="F331" s="22" t="s">
        <v>623</v>
      </c>
      <c r="G331" s="22" t="s">
        <v>1077</v>
      </c>
      <c r="H331" s="22" t="s">
        <v>924</v>
      </c>
      <c r="I331" s="22">
        <v>1.0437000331587E13</v>
      </c>
      <c r="J331" s="22" t="s">
        <v>765</v>
      </c>
      <c r="K331" s="24"/>
      <c r="L331" s="22" t="s">
        <v>926</v>
      </c>
      <c r="M331" s="22">
        <v>1.0</v>
      </c>
      <c r="N331" s="22" t="s">
        <v>627</v>
      </c>
      <c r="O331" s="22" t="s">
        <v>628</v>
      </c>
      <c r="P331" s="24"/>
      <c r="Q331" s="22" t="s">
        <v>90</v>
      </c>
      <c r="R331" s="22">
        <v>3.2695557062979E13</v>
      </c>
      <c r="S331" s="24"/>
      <c r="T331" s="24"/>
      <c r="U331" s="24"/>
      <c r="V331" s="22" t="s">
        <v>55</v>
      </c>
      <c r="W331" s="24"/>
      <c r="X331" s="24"/>
      <c r="Y331" s="22"/>
      <c r="Z331" s="22"/>
      <c r="AA331" s="24"/>
      <c r="AB331" s="24"/>
      <c r="AC331" s="22"/>
      <c r="AD331" s="22"/>
      <c r="AE331" s="24"/>
      <c r="AF331" s="25"/>
      <c r="AG331" s="22"/>
      <c r="AH331" s="22"/>
      <c r="AI331" s="25"/>
      <c r="AJ331" s="25"/>
    </row>
    <row r="332">
      <c r="A332" s="21" t="s">
        <v>1078</v>
      </c>
      <c r="B332" s="22" t="s">
        <v>1079</v>
      </c>
      <c r="C332" s="22" t="s">
        <v>82</v>
      </c>
      <c r="D332" s="26">
        <v>45997.0</v>
      </c>
      <c r="E332" s="22" t="s">
        <v>153</v>
      </c>
      <c r="F332" s="22" t="s">
        <v>717</v>
      </c>
      <c r="G332" s="22" t="s">
        <v>1080</v>
      </c>
      <c r="H332" s="22" t="s">
        <v>1078</v>
      </c>
      <c r="I332" s="22">
        <v>1.0436606394691E13</v>
      </c>
      <c r="J332" s="22" t="s">
        <v>1081</v>
      </c>
      <c r="K332" s="24"/>
      <c r="L332" s="22" t="s">
        <v>1082</v>
      </c>
      <c r="M332" s="22">
        <v>1.0</v>
      </c>
      <c r="N332" s="22" t="s">
        <v>1083</v>
      </c>
      <c r="O332" s="22" t="s">
        <v>1084</v>
      </c>
      <c r="P332" s="24"/>
      <c r="Q332" s="22" t="s">
        <v>90</v>
      </c>
      <c r="R332" s="22">
        <v>3.2694698803523E13</v>
      </c>
      <c r="S332" s="24"/>
      <c r="T332" s="24"/>
      <c r="U332" s="24"/>
      <c r="V332" s="22" t="s">
        <v>105</v>
      </c>
      <c r="W332" s="24"/>
      <c r="X332" s="24"/>
      <c r="Y332" s="22"/>
      <c r="Z332" s="22"/>
      <c r="AA332" s="24"/>
      <c r="AB332" s="24"/>
      <c r="AC332" s="22"/>
      <c r="AD332" s="22"/>
      <c r="AE332" s="24"/>
      <c r="AF332" s="25"/>
      <c r="AG332" s="22"/>
      <c r="AH332" s="22"/>
      <c r="AI332" s="25"/>
      <c r="AJ332" s="25"/>
    </row>
    <row r="333">
      <c r="A333" s="21" t="s">
        <v>1085</v>
      </c>
      <c r="B333" s="22" t="s">
        <v>763</v>
      </c>
      <c r="C333" s="22" t="s">
        <v>82</v>
      </c>
      <c r="D333" s="26">
        <v>45997.0</v>
      </c>
      <c r="E333" s="22" t="s">
        <v>149</v>
      </c>
      <c r="F333" s="22" t="s">
        <v>623</v>
      </c>
      <c r="G333" s="22" t="s">
        <v>1086</v>
      </c>
      <c r="H333" s="22" t="s">
        <v>1085</v>
      </c>
      <c r="I333" s="22">
        <v>1.0437018747203E13</v>
      </c>
      <c r="J333" s="22" t="s">
        <v>765</v>
      </c>
      <c r="K333" s="24"/>
      <c r="L333" s="22" t="s">
        <v>1087</v>
      </c>
      <c r="M333" s="22">
        <v>1.0</v>
      </c>
      <c r="N333" s="22" t="s">
        <v>1088</v>
      </c>
      <c r="O333" s="22" t="s">
        <v>1089</v>
      </c>
      <c r="P333" s="24"/>
      <c r="Q333" s="22" t="s">
        <v>90</v>
      </c>
      <c r="R333" s="22">
        <v>3.2695596908867E13</v>
      </c>
      <c r="S333" s="24"/>
      <c r="T333" s="24"/>
      <c r="U333" s="24"/>
      <c r="V333" s="22" t="s">
        <v>127</v>
      </c>
      <c r="W333" s="24"/>
      <c r="X333" s="24"/>
      <c r="Y333" s="22"/>
      <c r="Z333" s="22"/>
      <c r="AA333" s="24"/>
      <c r="AB333" s="24"/>
      <c r="AC333" s="22"/>
      <c r="AD333" s="22"/>
      <c r="AE333" s="24"/>
      <c r="AF333" s="25"/>
      <c r="AG333" s="22"/>
      <c r="AH333" s="22"/>
      <c r="AI333" s="25"/>
      <c r="AJ333" s="25"/>
    </row>
    <row r="334">
      <c r="A334" s="21" t="s">
        <v>664</v>
      </c>
      <c r="B334" s="22" t="s">
        <v>530</v>
      </c>
      <c r="C334" s="22" t="s">
        <v>82</v>
      </c>
      <c r="D334" s="26">
        <v>45997.0</v>
      </c>
      <c r="E334" s="22" t="s">
        <v>149</v>
      </c>
      <c r="F334" s="22" t="s">
        <v>472</v>
      </c>
      <c r="G334" s="22" t="s">
        <v>1090</v>
      </c>
      <c r="H334" s="22" t="s">
        <v>664</v>
      </c>
      <c r="I334" s="22">
        <v>1.0437151392067E13</v>
      </c>
      <c r="J334" s="22" t="s">
        <v>537</v>
      </c>
      <c r="K334" s="24"/>
      <c r="L334" s="22" t="s">
        <v>668</v>
      </c>
      <c r="M334" s="22">
        <v>1.0</v>
      </c>
      <c r="N334" s="22" t="s">
        <v>534</v>
      </c>
      <c r="O334" s="22" t="s">
        <v>535</v>
      </c>
      <c r="P334" s="24"/>
      <c r="Q334" s="22" t="s">
        <v>90</v>
      </c>
      <c r="R334" s="22">
        <v>3.2695889822019E13</v>
      </c>
      <c r="S334" s="24"/>
      <c r="T334" s="24"/>
      <c r="U334" s="24"/>
      <c r="V334" s="22" t="s">
        <v>175</v>
      </c>
      <c r="W334" s="24"/>
      <c r="X334" s="24"/>
      <c r="Y334" s="22"/>
      <c r="Z334" s="22"/>
      <c r="AA334" s="24"/>
      <c r="AB334" s="24"/>
      <c r="AC334" s="22"/>
      <c r="AD334" s="22"/>
      <c r="AE334" s="24"/>
      <c r="AF334" s="25"/>
      <c r="AG334" s="22"/>
      <c r="AH334" s="22"/>
      <c r="AI334" s="25"/>
      <c r="AJ334" s="25"/>
    </row>
    <row r="335">
      <c r="A335" s="21" t="s">
        <v>408</v>
      </c>
      <c r="B335" s="22" t="s">
        <v>416</v>
      </c>
      <c r="C335" s="22" t="s">
        <v>82</v>
      </c>
      <c r="D335" s="26">
        <v>45997.0</v>
      </c>
      <c r="E335" s="22" t="s">
        <v>134</v>
      </c>
      <c r="F335" s="22" t="s">
        <v>377</v>
      </c>
      <c r="G335" s="22" t="s">
        <v>1091</v>
      </c>
      <c r="H335" s="22" t="s">
        <v>408</v>
      </c>
      <c r="I335" s="22">
        <v>1.0437160730947E13</v>
      </c>
      <c r="J335" s="22" t="s">
        <v>1017</v>
      </c>
      <c r="K335" s="24"/>
      <c r="L335" s="22" t="s">
        <v>412</v>
      </c>
      <c r="M335" s="22">
        <v>1.0</v>
      </c>
      <c r="N335" s="22" t="s">
        <v>413</v>
      </c>
      <c r="O335" s="22" t="s">
        <v>414</v>
      </c>
      <c r="P335" s="24"/>
      <c r="Q335" s="22" t="s">
        <v>90</v>
      </c>
      <c r="R335" s="22">
        <v>3.2695911252291E13</v>
      </c>
      <c r="S335" s="24"/>
      <c r="T335" s="24"/>
      <c r="U335" s="24"/>
      <c r="V335" s="22" t="s">
        <v>127</v>
      </c>
      <c r="W335" s="24"/>
      <c r="X335" s="24"/>
      <c r="Y335" s="22"/>
      <c r="Z335" s="22"/>
      <c r="AA335" s="24"/>
      <c r="AB335" s="24"/>
      <c r="AC335" s="22"/>
      <c r="AD335" s="22"/>
      <c r="AE335" s="24"/>
      <c r="AF335" s="25"/>
      <c r="AG335" s="22"/>
      <c r="AH335" s="22"/>
      <c r="AI335" s="25"/>
      <c r="AJ335" s="25"/>
    </row>
    <row r="336">
      <c r="A336" s="21" t="s">
        <v>632</v>
      </c>
      <c r="B336" s="22" t="s">
        <v>823</v>
      </c>
      <c r="C336" s="22" t="s">
        <v>82</v>
      </c>
      <c r="D336" s="26">
        <v>45997.0</v>
      </c>
      <c r="E336" s="22" t="s">
        <v>177</v>
      </c>
      <c r="F336" s="22" t="s">
        <v>634</v>
      </c>
      <c r="G336" s="22" t="s">
        <v>1092</v>
      </c>
      <c r="H336" s="22" t="s">
        <v>632</v>
      </c>
      <c r="I336" s="22">
        <v>1.0437171577155E13</v>
      </c>
      <c r="J336" s="22" t="s">
        <v>825</v>
      </c>
      <c r="K336" s="24"/>
      <c r="L336" s="22" t="s">
        <v>637</v>
      </c>
      <c r="M336" s="22">
        <v>1.0</v>
      </c>
      <c r="N336" s="22" t="s">
        <v>638</v>
      </c>
      <c r="O336" s="22" t="s">
        <v>639</v>
      </c>
      <c r="P336" s="24"/>
      <c r="Q336" s="22" t="s">
        <v>90</v>
      </c>
      <c r="R336" s="22">
        <v>3.2695935926595E13</v>
      </c>
      <c r="S336" s="24"/>
      <c r="T336" s="24"/>
      <c r="U336" s="24"/>
      <c r="V336" s="22" t="s">
        <v>91</v>
      </c>
      <c r="W336" s="24"/>
      <c r="X336" s="24"/>
      <c r="Y336" s="22"/>
      <c r="Z336" s="22"/>
      <c r="AA336" s="24"/>
      <c r="AB336" s="24"/>
      <c r="AC336" s="22"/>
      <c r="AD336" s="22"/>
      <c r="AE336" s="24"/>
      <c r="AF336" s="25"/>
      <c r="AG336" s="22"/>
      <c r="AH336" s="22"/>
      <c r="AI336" s="25"/>
      <c r="AJ336" s="25"/>
    </row>
    <row r="337">
      <c r="A337" s="21" t="s">
        <v>367</v>
      </c>
      <c r="B337" s="22" t="s">
        <v>424</v>
      </c>
      <c r="C337" s="22" t="s">
        <v>273</v>
      </c>
      <c r="D337" s="26">
        <v>45998.0</v>
      </c>
      <c r="E337" s="22" t="s">
        <v>134</v>
      </c>
      <c r="F337" s="22" t="s">
        <v>369</v>
      </c>
      <c r="G337" s="22" t="s">
        <v>1093</v>
      </c>
      <c r="H337" s="22" t="s">
        <v>367</v>
      </c>
      <c r="I337" s="22">
        <v>1.0437184618819E13</v>
      </c>
      <c r="J337" s="22" t="s">
        <v>426</v>
      </c>
      <c r="K337" s="24"/>
      <c r="L337" s="22" t="s">
        <v>372</v>
      </c>
      <c r="M337" s="22">
        <v>1.0</v>
      </c>
      <c r="N337" s="22" t="s">
        <v>373</v>
      </c>
      <c r="O337" s="22" t="s">
        <v>374</v>
      </c>
      <c r="P337" s="24"/>
      <c r="Q337" s="22" t="s">
        <v>90</v>
      </c>
      <c r="R337" s="22">
        <v>3.2695966826819E13</v>
      </c>
      <c r="S337" s="24"/>
      <c r="T337" s="24"/>
      <c r="U337" s="24"/>
      <c r="V337" s="22" t="s">
        <v>55</v>
      </c>
      <c r="W337" s="24"/>
      <c r="X337" s="24"/>
      <c r="Y337" s="22"/>
      <c r="Z337" s="22"/>
      <c r="AA337" s="24"/>
      <c r="AB337" s="24"/>
      <c r="AC337" s="22"/>
      <c r="AD337" s="22"/>
      <c r="AE337" s="24"/>
      <c r="AF337" s="25"/>
      <c r="AG337" s="22"/>
      <c r="AH337" s="22"/>
      <c r="AI337" s="25"/>
      <c r="AJ337" s="25"/>
    </row>
    <row r="338">
      <c r="A338" s="21" t="s">
        <v>386</v>
      </c>
      <c r="B338" s="22" t="s">
        <v>310</v>
      </c>
      <c r="C338" s="22" t="s">
        <v>82</v>
      </c>
      <c r="D338" s="26">
        <v>45997.0</v>
      </c>
      <c r="E338" s="22" t="s">
        <v>134</v>
      </c>
      <c r="F338" s="22" t="s">
        <v>311</v>
      </c>
      <c r="G338" s="22" t="s">
        <v>1094</v>
      </c>
      <c r="H338" s="22" t="s">
        <v>386</v>
      </c>
      <c r="I338" s="22">
        <v>1.0437191434563E13</v>
      </c>
      <c r="J338" s="22" t="s">
        <v>544</v>
      </c>
      <c r="K338" s="24"/>
      <c r="L338" s="22" t="s">
        <v>390</v>
      </c>
      <c r="M338" s="22">
        <v>1.0</v>
      </c>
      <c r="N338" s="22" t="s">
        <v>391</v>
      </c>
      <c r="O338" s="22" t="s">
        <v>392</v>
      </c>
      <c r="P338" s="24"/>
      <c r="Q338" s="22" t="s">
        <v>90</v>
      </c>
      <c r="R338" s="22">
        <v>3.2695981244739E13</v>
      </c>
      <c r="S338" s="24"/>
      <c r="T338" s="24"/>
      <c r="U338" s="24"/>
      <c r="V338" s="22" t="s">
        <v>55</v>
      </c>
      <c r="W338" s="24"/>
      <c r="X338" s="24"/>
      <c r="Y338" s="22"/>
      <c r="Z338" s="22"/>
      <c r="AA338" s="24"/>
      <c r="AB338" s="24"/>
      <c r="AC338" s="22"/>
      <c r="AD338" s="22"/>
      <c r="AE338" s="24"/>
      <c r="AF338" s="25"/>
      <c r="AG338" s="22"/>
      <c r="AH338" s="22"/>
      <c r="AI338" s="25"/>
      <c r="AJ338" s="25"/>
    </row>
    <row r="339">
      <c r="A339" s="21" t="s">
        <v>525</v>
      </c>
      <c r="B339" s="22" t="s">
        <v>770</v>
      </c>
      <c r="C339" s="22" t="s">
        <v>82</v>
      </c>
      <c r="D339" s="26">
        <v>45997.0</v>
      </c>
      <c r="E339" s="22" t="s">
        <v>181</v>
      </c>
      <c r="F339" s="22" t="s">
        <v>319</v>
      </c>
      <c r="G339" s="22" t="s">
        <v>1095</v>
      </c>
      <c r="H339" s="22" t="s">
        <v>525</v>
      </c>
      <c r="I339" s="22">
        <v>1.0437222695235E13</v>
      </c>
      <c r="J339" s="22" t="s">
        <v>772</v>
      </c>
      <c r="K339" s="24"/>
      <c r="L339" s="22" t="s">
        <v>528</v>
      </c>
      <c r="M339" s="22">
        <v>1.0</v>
      </c>
      <c r="N339" s="22" t="s">
        <v>404</v>
      </c>
      <c r="O339" s="22" t="s">
        <v>405</v>
      </c>
      <c r="P339" s="24"/>
      <c r="Q339" s="22" t="s">
        <v>90</v>
      </c>
      <c r="R339" s="22">
        <v>3.2696050549059E13</v>
      </c>
      <c r="S339" s="24"/>
      <c r="T339" s="24"/>
      <c r="U339" s="24"/>
      <c r="V339" s="22" t="s">
        <v>105</v>
      </c>
      <c r="W339" s="24"/>
      <c r="X339" s="24"/>
      <c r="Y339" s="22"/>
      <c r="Z339" s="22"/>
      <c r="AA339" s="24"/>
      <c r="AB339" s="24"/>
      <c r="AC339" s="22"/>
      <c r="AD339" s="22"/>
      <c r="AE339" s="24"/>
      <c r="AF339" s="25"/>
      <c r="AG339" s="22"/>
      <c r="AH339" s="22"/>
      <c r="AI339" s="25"/>
      <c r="AJ339" s="25"/>
    </row>
    <row r="340">
      <c r="A340" s="21" t="s">
        <v>573</v>
      </c>
      <c r="B340" s="22" t="s">
        <v>574</v>
      </c>
      <c r="C340" s="22" t="s">
        <v>273</v>
      </c>
      <c r="D340" s="26">
        <v>45998.0</v>
      </c>
      <c r="E340" s="22" t="s">
        <v>187</v>
      </c>
      <c r="F340" s="22" t="s">
        <v>440</v>
      </c>
      <c r="G340" s="22" t="s">
        <v>1096</v>
      </c>
      <c r="H340" s="22" t="s">
        <v>573</v>
      </c>
      <c r="I340" s="22">
        <v>1.0437247435075E13</v>
      </c>
      <c r="J340" s="22" t="s">
        <v>576</v>
      </c>
      <c r="K340" s="24"/>
      <c r="L340" s="22" t="s">
        <v>577</v>
      </c>
      <c r="M340" s="22">
        <v>1.0</v>
      </c>
      <c r="N340" s="22" t="s">
        <v>444</v>
      </c>
      <c r="O340" s="22" t="s">
        <v>445</v>
      </c>
      <c r="P340" s="24"/>
      <c r="Q340" s="22" t="s">
        <v>90</v>
      </c>
      <c r="R340" s="22">
        <v>3.2696107794755E13</v>
      </c>
      <c r="S340" s="24"/>
      <c r="T340" s="24"/>
      <c r="U340" s="24"/>
      <c r="V340" s="22" t="s">
        <v>55</v>
      </c>
      <c r="W340" s="24"/>
      <c r="X340" s="24"/>
      <c r="Y340" s="22"/>
      <c r="Z340" s="22"/>
      <c r="AA340" s="24"/>
      <c r="AB340" s="24"/>
      <c r="AC340" s="22"/>
      <c r="AD340" s="22"/>
      <c r="AE340" s="24"/>
      <c r="AF340" s="25"/>
      <c r="AG340" s="22"/>
      <c r="AH340" s="22"/>
      <c r="AI340" s="25"/>
      <c r="AJ340" s="25"/>
    </row>
    <row r="341">
      <c r="A341" s="21" t="s">
        <v>362</v>
      </c>
      <c r="B341" s="22" t="s">
        <v>1097</v>
      </c>
      <c r="C341" s="22" t="s">
        <v>82</v>
      </c>
      <c r="D341" s="26">
        <v>45997.0</v>
      </c>
      <c r="E341" s="22" t="s">
        <v>145</v>
      </c>
      <c r="F341" s="22" t="s">
        <v>278</v>
      </c>
      <c r="G341" s="22" t="s">
        <v>1098</v>
      </c>
      <c r="H341" s="22" t="s">
        <v>362</v>
      </c>
      <c r="I341" s="22">
        <v>1.0437291016515E13</v>
      </c>
      <c r="J341" s="22" t="s">
        <v>1099</v>
      </c>
      <c r="K341" s="24"/>
      <c r="L341" s="22" t="s">
        <v>366</v>
      </c>
      <c r="M341" s="22">
        <v>1.0</v>
      </c>
      <c r="N341" s="22" t="s">
        <v>282</v>
      </c>
      <c r="O341" s="22" t="s">
        <v>283</v>
      </c>
      <c r="P341" s="24"/>
      <c r="Q341" s="22" t="s">
        <v>90</v>
      </c>
      <c r="R341" s="22">
        <v>3.2696204689731E13</v>
      </c>
      <c r="S341" s="24"/>
      <c r="T341" s="24"/>
      <c r="U341" s="24"/>
      <c r="V341" s="22" t="s">
        <v>54</v>
      </c>
      <c r="W341" s="24"/>
      <c r="X341" s="24"/>
      <c r="Y341" s="22"/>
      <c r="Z341" s="22"/>
      <c r="AA341" s="24"/>
      <c r="AB341" s="24"/>
      <c r="AC341" s="22"/>
      <c r="AD341" s="22"/>
      <c r="AE341" s="24"/>
      <c r="AF341" s="25"/>
      <c r="AG341" s="22"/>
      <c r="AH341" s="22"/>
      <c r="AI341" s="25"/>
      <c r="AJ341" s="25"/>
    </row>
    <row r="342">
      <c r="A342" s="21" t="s">
        <v>495</v>
      </c>
      <c r="B342" s="22" t="s">
        <v>328</v>
      </c>
      <c r="C342" s="22" t="s">
        <v>273</v>
      </c>
      <c r="D342" s="23">
        <v>45991.0</v>
      </c>
      <c r="E342" s="22" t="s">
        <v>266</v>
      </c>
      <c r="F342" s="22" t="s">
        <v>329</v>
      </c>
      <c r="G342" s="22" t="s">
        <v>1100</v>
      </c>
      <c r="H342" s="22" t="s">
        <v>495</v>
      </c>
      <c r="I342" s="22">
        <v>1.0437301600579E13</v>
      </c>
      <c r="J342" s="22" t="s">
        <v>509</v>
      </c>
      <c r="K342" s="24"/>
      <c r="L342" s="22" t="s">
        <v>500</v>
      </c>
      <c r="M342" s="22">
        <v>1.0</v>
      </c>
      <c r="N342" s="22" t="s">
        <v>333</v>
      </c>
      <c r="O342" s="22" t="s">
        <v>334</v>
      </c>
      <c r="P342" s="24"/>
      <c r="Q342" s="22" t="s">
        <v>90</v>
      </c>
      <c r="R342" s="22">
        <v>3.2696231887171E13</v>
      </c>
      <c r="S342" s="24"/>
      <c r="T342" s="24"/>
      <c r="U342" s="24"/>
      <c r="V342" s="22" t="s">
        <v>54</v>
      </c>
      <c r="W342" s="24"/>
      <c r="X342" s="24"/>
      <c r="Y342" s="22"/>
      <c r="Z342" s="22"/>
      <c r="AA342" s="24"/>
      <c r="AB342" s="24"/>
      <c r="AC342" s="22"/>
      <c r="AD342" s="22"/>
      <c r="AE342" s="24"/>
      <c r="AF342" s="25"/>
      <c r="AG342" s="30"/>
      <c r="AH342" s="30"/>
      <c r="AI342" s="31"/>
      <c r="AJ342" s="31"/>
      <c r="AK342" s="32"/>
    </row>
    <row r="343">
      <c r="A343" s="21" t="s">
        <v>979</v>
      </c>
      <c r="B343" s="22" t="s">
        <v>1101</v>
      </c>
      <c r="C343" s="22" t="s">
        <v>287</v>
      </c>
      <c r="D343" s="26">
        <v>45994.0</v>
      </c>
      <c r="E343" s="22" t="s">
        <v>1102</v>
      </c>
      <c r="F343" s="22" t="s">
        <v>605</v>
      </c>
      <c r="G343" s="22" t="s">
        <v>1103</v>
      </c>
      <c r="H343" s="22" t="s">
        <v>979</v>
      </c>
      <c r="I343" s="22">
        <v>1.0437216239939E13</v>
      </c>
      <c r="J343" s="22" t="s">
        <v>1104</v>
      </c>
      <c r="K343" s="24"/>
      <c r="L343" s="22" t="s">
        <v>984</v>
      </c>
      <c r="M343" s="22">
        <v>1.0</v>
      </c>
      <c r="N343" s="22" t="s">
        <v>609</v>
      </c>
      <c r="O343" s="22" t="s">
        <v>610</v>
      </c>
      <c r="P343" s="24"/>
      <c r="Q343" s="22" t="s">
        <v>90</v>
      </c>
      <c r="R343" s="22">
        <v>3.2696036065603E13</v>
      </c>
      <c r="S343" s="24"/>
      <c r="T343" s="24"/>
      <c r="U343" s="24"/>
      <c r="V343" s="22" t="s">
        <v>55</v>
      </c>
      <c r="W343" s="24"/>
      <c r="X343" s="24"/>
      <c r="Y343" s="22"/>
      <c r="Z343" s="22"/>
      <c r="AA343" s="24"/>
      <c r="AB343" s="24"/>
      <c r="AC343" s="22"/>
      <c r="AD343" s="22"/>
      <c r="AE343" s="24"/>
      <c r="AF343" s="25"/>
      <c r="AG343" s="30"/>
      <c r="AH343" s="30"/>
      <c r="AI343" s="31"/>
      <c r="AJ343" s="31"/>
      <c r="AK343" s="32"/>
    </row>
    <row r="344">
      <c r="A344" s="21" t="s">
        <v>1105</v>
      </c>
      <c r="B344" s="22" t="s">
        <v>328</v>
      </c>
      <c r="C344" s="22" t="s">
        <v>273</v>
      </c>
      <c r="D344" s="23">
        <v>45991.0</v>
      </c>
      <c r="E344" s="22" t="s">
        <v>266</v>
      </c>
      <c r="F344" s="22" t="s">
        <v>329</v>
      </c>
      <c r="G344" s="22" t="s">
        <v>1106</v>
      </c>
      <c r="H344" s="22" t="s">
        <v>1105</v>
      </c>
      <c r="I344" s="22">
        <v>1.0437309989187E13</v>
      </c>
      <c r="J344" s="22" t="s">
        <v>509</v>
      </c>
      <c r="K344" s="24"/>
      <c r="L344" s="22" t="s">
        <v>1107</v>
      </c>
      <c r="M344" s="22">
        <v>1.0</v>
      </c>
      <c r="N344" s="22" t="s">
        <v>333</v>
      </c>
      <c r="O344" s="22" t="s">
        <v>334</v>
      </c>
      <c r="P344" s="24"/>
      <c r="Q344" s="22" t="s">
        <v>90</v>
      </c>
      <c r="R344" s="22">
        <v>3.2696251285827E13</v>
      </c>
      <c r="S344" s="24"/>
      <c r="T344" s="24"/>
      <c r="U344" s="24"/>
      <c r="V344" s="22" t="s">
        <v>95</v>
      </c>
      <c r="W344" s="24"/>
      <c r="X344" s="24"/>
      <c r="Y344" s="22"/>
      <c r="Z344" s="22"/>
      <c r="AA344" s="24"/>
      <c r="AB344" s="24"/>
      <c r="AC344" s="22"/>
      <c r="AD344" s="22"/>
      <c r="AE344" s="24"/>
      <c r="AF344" s="25"/>
      <c r="AG344" s="30"/>
      <c r="AH344" s="30"/>
      <c r="AI344" s="31"/>
      <c r="AJ344" s="31"/>
      <c r="AK344" s="32"/>
    </row>
    <row r="345">
      <c r="A345" s="21" t="s">
        <v>1108</v>
      </c>
      <c r="B345" s="22" t="s">
        <v>909</v>
      </c>
      <c r="C345" s="22" t="s">
        <v>82</v>
      </c>
      <c r="D345" s="23">
        <v>46004.0</v>
      </c>
      <c r="E345" s="22" t="s">
        <v>134</v>
      </c>
      <c r="F345" s="22" t="s">
        <v>203</v>
      </c>
      <c r="G345" s="22" t="s">
        <v>1109</v>
      </c>
      <c r="H345" s="22" t="s">
        <v>1108</v>
      </c>
      <c r="I345" s="22">
        <v>1.0437340266819E13</v>
      </c>
      <c r="J345" s="22" t="s">
        <v>911</v>
      </c>
      <c r="K345" s="24"/>
      <c r="L345" s="22" t="s">
        <v>1110</v>
      </c>
      <c r="M345" s="22">
        <v>1.0</v>
      </c>
      <c r="N345" s="22" t="s">
        <v>207</v>
      </c>
      <c r="O345" s="22" t="s">
        <v>208</v>
      </c>
      <c r="P345" s="24"/>
      <c r="Q345" s="22" t="s">
        <v>90</v>
      </c>
      <c r="R345" s="22">
        <v>3.2696318722371E13</v>
      </c>
      <c r="S345" s="24"/>
      <c r="T345" s="24"/>
      <c r="U345" s="24"/>
      <c r="V345" s="22" t="s">
        <v>55</v>
      </c>
      <c r="W345" s="24"/>
      <c r="X345" s="24"/>
      <c r="Y345" s="22"/>
      <c r="Z345" s="22"/>
      <c r="AA345" s="24"/>
      <c r="AB345" s="24"/>
      <c r="AC345" s="22"/>
      <c r="AD345" s="22"/>
      <c r="AE345" s="24"/>
      <c r="AF345" s="25"/>
      <c r="AG345" s="30"/>
      <c r="AH345" s="30"/>
      <c r="AI345" s="31"/>
      <c r="AJ345" s="31"/>
      <c r="AK345" s="32"/>
    </row>
    <row r="346">
      <c r="A346" s="21" t="s">
        <v>950</v>
      </c>
      <c r="B346" s="22" t="s">
        <v>697</v>
      </c>
      <c r="C346" s="22" t="s">
        <v>82</v>
      </c>
      <c r="D346" s="26">
        <v>45997.0</v>
      </c>
      <c r="E346" s="22" t="s">
        <v>439</v>
      </c>
      <c r="F346" s="22" t="s">
        <v>698</v>
      </c>
      <c r="G346" s="22" t="s">
        <v>1111</v>
      </c>
      <c r="H346" s="22" t="s">
        <v>950</v>
      </c>
      <c r="I346" s="22">
        <v>1.0437346296131E13</v>
      </c>
      <c r="J346" s="22" t="s">
        <v>700</v>
      </c>
      <c r="K346" s="24"/>
      <c r="L346" s="22" t="s">
        <v>952</v>
      </c>
      <c r="M346" s="22">
        <v>1.0</v>
      </c>
      <c r="N346" s="22" t="s">
        <v>702</v>
      </c>
      <c r="O346" s="22" t="s">
        <v>703</v>
      </c>
      <c r="P346" s="24"/>
      <c r="Q346" s="22" t="s">
        <v>90</v>
      </c>
      <c r="R346" s="22">
        <v>3.2696333762883E13</v>
      </c>
      <c r="S346" s="24"/>
      <c r="T346" s="24"/>
      <c r="U346" s="24"/>
      <c r="V346" s="22" t="s">
        <v>54</v>
      </c>
      <c r="W346" s="24"/>
      <c r="X346" s="24"/>
      <c r="Y346" s="22"/>
      <c r="Z346" s="22"/>
      <c r="AA346" s="24"/>
      <c r="AB346" s="24"/>
      <c r="AC346" s="22"/>
      <c r="AD346" s="22"/>
      <c r="AE346" s="24"/>
      <c r="AF346" s="25"/>
      <c r="AG346" s="30"/>
      <c r="AH346" s="30"/>
      <c r="AI346" s="31"/>
      <c r="AJ346" s="31"/>
      <c r="AK346" s="32"/>
    </row>
    <row r="347">
      <c r="A347" s="21" t="s">
        <v>209</v>
      </c>
      <c r="B347" s="22" t="s">
        <v>1112</v>
      </c>
      <c r="C347" s="22" t="s">
        <v>82</v>
      </c>
      <c r="D347" s="26">
        <v>45997.0</v>
      </c>
      <c r="E347" s="22" t="s">
        <v>1113</v>
      </c>
      <c r="F347" s="22" t="s">
        <v>111</v>
      </c>
      <c r="G347" s="22" t="s">
        <v>1114</v>
      </c>
      <c r="H347" s="22" t="s">
        <v>209</v>
      </c>
      <c r="I347" s="22">
        <v>1.0437373624643E13</v>
      </c>
      <c r="J347" s="22" t="s">
        <v>1115</v>
      </c>
      <c r="K347" s="24"/>
      <c r="L347" s="22" t="s">
        <v>214</v>
      </c>
      <c r="M347" s="22">
        <v>1.0</v>
      </c>
      <c r="N347" s="22" t="s">
        <v>115</v>
      </c>
      <c r="O347" s="22" t="s">
        <v>116</v>
      </c>
      <c r="P347" s="24"/>
      <c r="Q347" s="22" t="s">
        <v>90</v>
      </c>
      <c r="R347" s="22">
        <v>3.2696397627715E13</v>
      </c>
      <c r="S347" s="24"/>
      <c r="T347" s="24"/>
      <c r="U347" s="24"/>
      <c r="V347" s="22" t="s">
        <v>91</v>
      </c>
      <c r="W347" s="24"/>
      <c r="X347" s="24"/>
      <c r="Y347" s="22"/>
      <c r="Z347" s="22"/>
      <c r="AA347" s="24"/>
      <c r="AB347" s="24"/>
      <c r="AC347" s="22"/>
      <c r="AD347" s="22"/>
      <c r="AE347" s="24"/>
      <c r="AF347" s="25"/>
      <c r="AG347" s="30"/>
      <c r="AH347" s="30"/>
      <c r="AI347" s="31"/>
      <c r="AJ347" s="31"/>
      <c r="AK347" s="32"/>
    </row>
    <row r="348">
      <c r="A348" s="21" t="s">
        <v>758</v>
      </c>
      <c r="B348" s="22" t="s">
        <v>1116</v>
      </c>
      <c r="C348" s="22" t="s">
        <v>336</v>
      </c>
      <c r="D348" s="26">
        <v>45995.0</v>
      </c>
      <c r="E348" s="22" t="s">
        <v>1117</v>
      </c>
      <c r="F348" s="22" t="s">
        <v>717</v>
      </c>
      <c r="G348" s="22" t="s">
        <v>1118</v>
      </c>
      <c r="H348" s="22" t="s">
        <v>758</v>
      </c>
      <c r="I348" s="22">
        <v>1.0437377327427E13</v>
      </c>
      <c r="J348" s="22" t="s">
        <v>1119</v>
      </c>
      <c r="K348" s="24"/>
      <c r="L348" s="22" t="s">
        <v>762</v>
      </c>
      <c r="M348" s="22">
        <v>1.0</v>
      </c>
      <c r="N348" s="22" t="s">
        <v>721</v>
      </c>
      <c r="O348" s="22" t="s">
        <v>722</v>
      </c>
      <c r="P348" s="24"/>
      <c r="Q348" s="22" t="s">
        <v>90</v>
      </c>
      <c r="R348" s="22">
        <v>3.2696405098819E13</v>
      </c>
      <c r="S348" s="24"/>
      <c r="T348" s="24"/>
      <c r="U348" s="24"/>
      <c r="V348" s="22" t="s">
        <v>54</v>
      </c>
      <c r="W348" s="24"/>
      <c r="X348" s="24"/>
      <c r="Y348" s="22"/>
      <c r="Z348" s="22"/>
      <c r="AA348" s="24"/>
      <c r="AB348" s="24"/>
      <c r="AC348" s="22"/>
      <c r="AD348" s="22"/>
      <c r="AE348" s="24"/>
      <c r="AF348" s="25"/>
      <c r="AG348" s="30"/>
      <c r="AH348" s="30"/>
      <c r="AI348" s="31"/>
      <c r="AJ348" s="31"/>
      <c r="AK348" s="32"/>
    </row>
    <row r="349">
      <c r="A349" s="21" t="s">
        <v>689</v>
      </c>
      <c r="B349" s="22" t="s">
        <v>1120</v>
      </c>
      <c r="C349" s="22" t="s">
        <v>82</v>
      </c>
      <c r="D349" s="23">
        <v>46004.0</v>
      </c>
      <c r="E349" s="22" t="s">
        <v>153</v>
      </c>
      <c r="F349" s="22" t="s">
        <v>377</v>
      </c>
      <c r="G349" s="22" t="s">
        <v>1121</v>
      </c>
      <c r="H349" s="22" t="s">
        <v>689</v>
      </c>
      <c r="I349" s="22">
        <v>1.0437386436931E13</v>
      </c>
      <c r="J349" s="22" t="s">
        <v>1122</v>
      </c>
      <c r="K349" s="24"/>
      <c r="L349" s="22" t="s">
        <v>691</v>
      </c>
      <c r="M349" s="22">
        <v>1.0</v>
      </c>
      <c r="N349" s="22" t="s">
        <v>413</v>
      </c>
      <c r="O349" s="22" t="s">
        <v>414</v>
      </c>
      <c r="P349" s="24"/>
      <c r="Q349" s="22" t="s">
        <v>90</v>
      </c>
      <c r="R349" s="22">
        <v>3.2696429707587E13</v>
      </c>
      <c r="S349" s="24"/>
      <c r="T349" s="24"/>
      <c r="U349" s="24"/>
      <c r="V349" s="22" t="s">
        <v>175</v>
      </c>
      <c r="W349" s="24"/>
      <c r="X349" s="24"/>
      <c r="Y349" s="22"/>
      <c r="Z349" s="22"/>
      <c r="AA349" s="24"/>
      <c r="AB349" s="24"/>
      <c r="AC349" s="22"/>
      <c r="AD349" s="22"/>
      <c r="AE349" s="24"/>
      <c r="AF349" s="25"/>
      <c r="AG349" s="30"/>
      <c r="AH349" s="30"/>
      <c r="AI349" s="31"/>
      <c r="AJ349" s="31"/>
      <c r="AK349" s="32"/>
    </row>
    <row r="350">
      <c r="A350" s="21" t="s">
        <v>309</v>
      </c>
      <c r="B350" s="22" t="s">
        <v>1123</v>
      </c>
      <c r="C350" s="22" t="s">
        <v>287</v>
      </c>
      <c r="D350" s="23">
        <v>46001.0</v>
      </c>
      <c r="E350" s="22" t="s">
        <v>266</v>
      </c>
      <c r="F350" s="22" t="s">
        <v>311</v>
      </c>
      <c r="G350" s="22" t="s">
        <v>1124</v>
      </c>
      <c r="H350" s="22" t="s">
        <v>309</v>
      </c>
      <c r="I350" s="22">
        <v>1.0437410554179E13</v>
      </c>
      <c r="J350" s="22" t="s">
        <v>1125</v>
      </c>
      <c r="K350" s="24"/>
      <c r="L350" s="22" t="s">
        <v>314</v>
      </c>
      <c r="M350" s="22">
        <v>1.0</v>
      </c>
      <c r="N350" s="22" t="s">
        <v>315</v>
      </c>
      <c r="O350" s="22" t="s">
        <v>316</v>
      </c>
      <c r="P350" s="24"/>
      <c r="Q350" s="22" t="s">
        <v>90</v>
      </c>
      <c r="R350" s="22">
        <v>3.2696486297923E13</v>
      </c>
      <c r="S350" s="24"/>
      <c r="T350" s="24"/>
      <c r="U350" s="24"/>
      <c r="V350" s="22" t="s">
        <v>105</v>
      </c>
      <c r="W350" s="24"/>
      <c r="X350" s="24"/>
      <c r="Y350" s="22"/>
      <c r="Z350" s="22"/>
      <c r="AA350" s="24"/>
      <c r="AB350" s="24"/>
      <c r="AC350" s="22"/>
      <c r="AD350" s="22"/>
      <c r="AE350" s="24"/>
      <c r="AF350" s="25"/>
      <c r="AG350" s="30"/>
      <c r="AH350" s="30"/>
      <c r="AI350" s="31"/>
      <c r="AJ350" s="31"/>
      <c r="AK350" s="32"/>
    </row>
    <row r="351">
      <c r="A351" s="21" t="s">
        <v>478</v>
      </c>
      <c r="B351" s="22" t="s">
        <v>471</v>
      </c>
      <c r="C351" s="22" t="s">
        <v>82</v>
      </c>
      <c r="D351" s="26">
        <v>45997.0</v>
      </c>
      <c r="E351" s="22" t="s">
        <v>134</v>
      </c>
      <c r="F351" s="22" t="s">
        <v>472</v>
      </c>
      <c r="G351" s="22" t="s">
        <v>1126</v>
      </c>
      <c r="H351" s="22" t="s">
        <v>478</v>
      </c>
      <c r="I351" s="22">
        <v>1.0437428871491E13</v>
      </c>
      <c r="J351" s="22" t="s">
        <v>474</v>
      </c>
      <c r="K351" s="24"/>
      <c r="L351" s="22" t="s">
        <v>483</v>
      </c>
      <c r="M351" s="22">
        <v>1.0</v>
      </c>
      <c r="N351" s="22" t="s">
        <v>476</v>
      </c>
      <c r="O351" s="22" t="s">
        <v>477</v>
      </c>
      <c r="P351" s="24"/>
      <c r="Q351" s="22" t="s">
        <v>90</v>
      </c>
      <c r="R351" s="22">
        <v>3.2696527094083E13</v>
      </c>
      <c r="S351" s="24"/>
      <c r="T351" s="24"/>
      <c r="U351" s="24"/>
      <c r="V351" s="22" t="s">
        <v>95</v>
      </c>
      <c r="W351" s="24"/>
      <c r="X351" s="24"/>
      <c r="Y351" s="22"/>
      <c r="Z351" s="22"/>
      <c r="AA351" s="24"/>
      <c r="AB351" s="24"/>
      <c r="AC351" s="22"/>
      <c r="AD351" s="24"/>
      <c r="AE351" s="24"/>
      <c r="AF351" s="25"/>
      <c r="AG351" s="30"/>
      <c r="AH351" s="30"/>
      <c r="AI351" s="31"/>
      <c r="AJ351" s="31"/>
      <c r="AK351" s="32"/>
    </row>
    <row r="352">
      <c r="A352" s="21" t="s">
        <v>525</v>
      </c>
      <c r="B352" s="22" t="s">
        <v>318</v>
      </c>
      <c r="C352" s="22" t="s">
        <v>82</v>
      </c>
      <c r="D352" s="26">
        <v>45997.0</v>
      </c>
      <c r="E352" s="22" t="s">
        <v>196</v>
      </c>
      <c r="F352" s="22" t="s">
        <v>319</v>
      </c>
      <c r="G352" s="22" t="s">
        <v>1127</v>
      </c>
      <c r="H352" s="22" t="s">
        <v>525</v>
      </c>
      <c r="I352" s="22">
        <v>1.0437305762115E13</v>
      </c>
      <c r="J352" s="22" t="s">
        <v>527</v>
      </c>
      <c r="K352" s="24"/>
      <c r="L352" s="22" t="s">
        <v>528</v>
      </c>
      <c r="M352" s="22">
        <v>1.0</v>
      </c>
      <c r="N352" s="22" t="s">
        <v>404</v>
      </c>
      <c r="O352" s="22" t="s">
        <v>405</v>
      </c>
      <c r="P352" s="24"/>
      <c r="Q352" s="22" t="s">
        <v>90</v>
      </c>
      <c r="R352" s="22">
        <v>3.2696241455427E13</v>
      </c>
      <c r="S352" s="24"/>
      <c r="T352" s="24"/>
      <c r="U352" s="24"/>
      <c r="V352" s="22" t="s">
        <v>105</v>
      </c>
      <c r="W352" s="24"/>
      <c r="X352" s="24"/>
      <c r="Y352" s="22"/>
      <c r="Z352" s="22"/>
      <c r="AA352" s="24"/>
      <c r="AB352" s="24"/>
      <c r="AC352" s="22"/>
      <c r="AD352" s="22"/>
      <c r="AE352" s="24"/>
      <c r="AF352" s="25"/>
      <c r="AG352" s="30"/>
      <c r="AH352" s="30"/>
      <c r="AI352" s="31"/>
      <c r="AJ352" s="31"/>
      <c r="AK352" s="32"/>
    </row>
    <row r="353">
      <c r="A353" s="21" t="s">
        <v>525</v>
      </c>
      <c r="B353" s="22" t="s">
        <v>318</v>
      </c>
      <c r="C353" s="22" t="s">
        <v>82</v>
      </c>
      <c r="D353" s="26">
        <v>45997.0</v>
      </c>
      <c r="E353" s="22" t="s">
        <v>196</v>
      </c>
      <c r="F353" s="22" t="s">
        <v>319</v>
      </c>
      <c r="G353" s="22" t="s">
        <v>1128</v>
      </c>
      <c r="H353" s="22" t="s">
        <v>525</v>
      </c>
      <c r="I353" s="22">
        <v>1.0437450268995E13</v>
      </c>
      <c r="J353" s="22" t="s">
        <v>527</v>
      </c>
      <c r="K353" s="24"/>
      <c r="L353" s="22" t="s">
        <v>528</v>
      </c>
      <c r="M353" s="22">
        <v>1.0</v>
      </c>
      <c r="N353" s="22" t="s">
        <v>404</v>
      </c>
      <c r="O353" s="22" t="s">
        <v>405</v>
      </c>
      <c r="P353" s="24"/>
      <c r="Q353" s="22" t="s">
        <v>90</v>
      </c>
      <c r="R353" s="22">
        <v>3.2696576409923E13</v>
      </c>
      <c r="S353" s="24"/>
      <c r="T353" s="24"/>
      <c r="U353" s="24"/>
      <c r="V353" s="22" t="s">
        <v>105</v>
      </c>
      <c r="W353" s="24"/>
      <c r="X353" s="24"/>
      <c r="Y353" s="22"/>
      <c r="Z353" s="22"/>
      <c r="AA353" s="24"/>
      <c r="AB353" s="24"/>
      <c r="AC353" s="22"/>
      <c r="AD353" s="22"/>
      <c r="AE353" s="24"/>
      <c r="AF353" s="25"/>
      <c r="AG353" s="30"/>
      <c r="AH353" s="30"/>
      <c r="AI353" s="31"/>
      <c r="AJ353" s="31"/>
      <c r="AK353" s="32"/>
    </row>
    <row r="354">
      <c r="A354" s="21" t="s">
        <v>814</v>
      </c>
      <c r="B354" s="22" t="s">
        <v>840</v>
      </c>
      <c r="C354" s="22" t="s">
        <v>82</v>
      </c>
      <c r="D354" s="26">
        <v>45997.0</v>
      </c>
      <c r="E354" s="22" t="s">
        <v>841</v>
      </c>
      <c r="F354" s="22" t="s">
        <v>698</v>
      </c>
      <c r="G354" s="22" t="s">
        <v>1129</v>
      </c>
      <c r="H354" s="22" t="s">
        <v>814</v>
      </c>
      <c r="I354" s="22">
        <v>1.0437467996483E13</v>
      </c>
      <c r="J354" s="22" t="s">
        <v>843</v>
      </c>
      <c r="K354" s="24"/>
      <c r="L354" s="22" t="s">
        <v>818</v>
      </c>
      <c r="M354" s="22">
        <v>1.0</v>
      </c>
      <c r="N354" s="22" t="s">
        <v>819</v>
      </c>
      <c r="O354" s="22" t="s">
        <v>820</v>
      </c>
      <c r="P354" s="24"/>
      <c r="Q354" s="22" t="s">
        <v>90</v>
      </c>
      <c r="R354" s="22">
        <v>3.2696618484035E13</v>
      </c>
      <c r="S354" s="24"/>
      <c r="T354" s="24"/>
      <c r="U354" s="24"/>
      <c r="V354" s="22" t="s">
        <v>127</v>
      </c>
      <c r="W354" s="24"/>
      <c r="X354" s="24"/>
      <c r="Y354" s="22"/>
      <c r="Z354" s="22"/>
      <c r="AA354" s="24"/>
      <c r="AB354" s="24"/>
      <c r="AC354" s="22"/>
      <c r="AD354" s="22"/>
      <c r="AE354" s="24"/>
      <c r="AF354" s="25"/>
      <c r="AG354" s="30"/>
      <c r="AH354" s="30"/>
      <c r="AI354" s="31"/>
      <c r="AJ354" s="31"/>
      <c r="AK354" s="32"/>
    </row>
    <row r="355">
      <c r="A355" s="21" t="s">
        <v>709</v>
      </c>
      <c r="B355" s="22" t="s">
        <v>1130</v>
      </c>
      <c r="C355" s="22" t="s">
        <v>273</v>
      </c>
      <c r="D355" s="26">
        <v>45998.0</v>
      </c>
      <c r="E355" s="22" t="s">
        <v>1131</v>
      </c>
      <c r="F355" s="22" t="s">
        <v>311</v>
      </c>
      <c r="G355" s="22" t="s">
        <v>1132</v>
      </c>
      <c r="H355" s="22" t="s">
        <v>709</v>
      </c>
      <c r="I355" s="22">
        <v>1.0437511414083E13</v>
      </c>
      <c r="J355" s="22" t="s">
        <v>1133</v>
      </c>
      <c r="K355" s="24"/>
      <c r="L355" s="22" t="s">
        <v>713</v>
      </c>
      <c r="M355" s="22">
        <v>1.0</v>
      </c>
      <c r="N355" s="22" t="s">
        <v>391</v>
      </c>
      <c r="O355" s="22" t="s">
        <v>392</v>
      </c>
      <c r="P355" s="24"/>
      <c r="Q355" s="22" t="s">
        <v>90</v>
      </c>
      <c r="R355" s="22">
        <v>3.2696718524739E13</v>
      </c>
      <c r="S355" s="24"/>
      <c r="T355" s="24"/>
      <c r="U355" s="24"/>
      <c r="V355" s="22" t="s">
        <v>91</v>
      </c>
      <c r="W355" s="24"/>
      <c r="X355" s="24"/>
      <c r="Y355" s="22"/>
      <c r="Z355" s="22"/>
      <c r="AA355" s="24"/>
      <c r="AB355" s="24"/>
      <c r="AC355" s="22"/>
      <c r="AD355" s="22"/>
      <c r="AE355" s="24"/>
      <c r="AF355" s="25"/>
      <c r="AG355" s="30"/>
      <c r="AH355" s="30"/>
      <c r="AI355" s="31"/>
      <c r="AJ355" s="31"/>
      <c r="AK355" s="32"/>
    </row>
    <row r="356">
      <c r="A356" s="21" t="s">
        <v>859</v>
      </c>
      <c r="B356" s="22" t="s">
        <v>1134</v>
      </c>
      <c r="C356" s="22" t="s">
        <v>287</v>
      </c>
      <c r="D356" s="26">
        <v>45994.0</v>
      </c>
      <c r="E356" s="22" t="s">
        <v>1135</v>
      </c>
      <c r="F356" s="22" t="s">
        <v>605</v>
      </c>
      <c r="G356" s="22" t="s">
        <v>1136</v>
      </c>
      <c r="H356" s="22" t="s">
        <v>859</v>
      </c>
      <c r="I356" s="22">
        <v>1.0437538939203E13</v>
      </c>
      <c r="J356" s="22" t="s">
        <v>1137</v>
      </c>
      <c r="K356" s="24"/>
      <c r="L356" s="22" t="s">
        <v>861</v>
      </c>
      <c r="M356" s="22">
        <v>1.0</v>
      </c>
      <c r="N356" s="22" t="s">
        <v>609</v>
      </c>
      <c r="O356" s="22" t="s">
        <v>610</v>
      </c>
      <c r="P356" s="24"/>
      <c r="Q356" s="22" t="s">
        <v>90</v>
      </c>
      <c r="R356" s="22">
        <v>3.2696780882243E13</v>
      </c>
      <c r="S356" s="24"/>
      <c r="T356" s="24"/>
      <c r="U356" s="24"/>
      <c r="V356" s="22" t="s">
        <v>95</v>
      </c>
      <c r="W356" s="24"/>
      <c r="X356" s="24"/>
      <c r="Y356" s="22"/>
      <c r="Z356" s="22"/>
      <c r="AA356" s="24"/>
      <c r="AB356" s="24"/>
      <c r="AC356" s="22"/>
      <c r="AD356" s="24"/>
      <c r="AE356" s="24"/>
      <c r="AF356" s="25"/>
      <c r="AG356" s="30"/>
      <c r="AH356" s="30"/>
      <c r="AI356" s="31"/>
      <c r="AJ356" s="31"/>
      <c r="AK356" s="32"/>
    </row>
    <row r="357">
      <c r="A357" s="21" t="s">
        <v>327</v>
      </c>
      <c r="B357" s="22" t="s">
        <v>1138</v>
      </c>
      <c r="C357" s="22" t="s">
        <v>273</v>
      </c>
      <c r="D357" s="23">
        <v>45991.0</v>
      </c>
      <c r="E357" s="22" t="s">
        <v>145</v>
      </c>
      <c r="F357" s="22" t="s">
        <v>329</v>
      </c>
      <c r="G357" s="22" t="s">
        <v>1139</v>
      </c>
      <c r="H357" s="22" t="s">
        <v>327</v>
      </c>
      <c r="I357" s="22">
        <v>1.0437545197891E13</v>
      </c>
      <c r="J357" s="22" t="s">
        <v>1140</v>
      </c>
      <c r="K357" s="24"/>
      <c r="L357" s="22" t="s">
        <v>332</v>
      </c>
      <c r="M357" s="22">
        <v>1.0</v>
      </c>
      <c r="N357" s="22" t="s">
        <v>333</v>
      </c>
      <c r="O357" s="22" t="s">
        <v>334</v>
      </c>
      <c r="P357" s="24"/>
      <c r="Q357" s="22" t="s">
        <v>90</v>
      </c>
      <c r="R357" s="22">
        <v>3.2696795365699E13</v>
      </c>
      <c r="S357" s="24"/>
      <c r="T357" s="24"/>
      <c r="U357" s="24"/>
      <c r="V357" s="22" t="s">
        <v>55</v>
      </c>
      <c r="W357" s="24"/>
      <c r="X357" s="24"/>
      <c r="Y357" s="22"/>
      <c r="Z357" s="22"/>
      <c r="AA357" s="24"/>
      <c r="AB357" s="24"/>
      <c r="AC357" s="22"/>
      <c r="AD357" s="22"/>
      <c r="AE357" s="24"/>
      <c r="AF357" s="25"/>
      <c r="AG357" s="30"/>
      <c r="AH357" s="30"/>
      <c r="AI357" s="31"/>
      <c r="AJ357" s="31"/>
      <c r="AK357" s="32"/>
    </row>
    <row r="358">
      <c r="A358" s="21" t="s">
        <v>778</v>
      </c>
      <c r="B358" s="22" t="s">
        <v>574</v>
      </c>
      <c r="C358" s="22" t="s">
        <v>273</v>
      </c>
      <c r="D358" s="26">
        <v>45998.0</v>
      </c>
      <c r="E358" s="22" t="s">
        <v>187</v>
      </c>
      <c r="F358" s="22" t="s">
        <v>440</v>
      </c>
      <c r="G358" s="22" t="s">
        <v>1141</v>
      </c>
      <c r="H358" s="22" t="s">
        <v>778</v>
      </c>
      <c r="I358" s="22">
        <v>1.0437559615811E13</v>
      </c>
      <c r="J358" s="22" t="s">
        <v>576</v>
      </c>
      <c r="K358" s="24"/>
      <c r="L358" s="22" t="s">
        <v>780</v>
      </c>
      <c r="M358" s="22">
        <v>1.0</v>
      </c>
      <c r="N358" s="22" t="s">
        <v>781</v>
      </c>
      <c r="O358" s="22" t="s">
        <v>782</v>
      </c>
      <c r="P358" s="24"/>
      <c r="Q358" s="22" t="s">
        <v>90</v>
      </c>
      <c r="R358" s="22">
        <v>3.2696831115587E13</v>
      </c>
      <c r="S358" s="24"/>
      <c r="T358" s="24"/>
      <c r="U358" s="24"/>
      <c r="V358" s="22" t="s">
        <v>127</v>
      </c>
      <c r="W358" s="24"/>
      <c r="X358" s="24"/>
      <c r="Y358" s="22"/>
      <c r="Z358" s="22"/>
      <c r="AA358" s="24"/>
      <c r="AB358" s="24"/>
      <c r="AC358" s="22"/>
      <c r="AD358" s="22"/>
      <c r="AE358" s="24"/>
      <c r="AF358" s="25"/>
      <c r="AG358" s="30"/>
      <c r="AH358" s="30"/>
      <c r="AI358" s="31"/>
      <c r="AJ358" s="31"/>
      <c r="AK358" s="32"/>
    </row>
    <row r="359">
      <c r="A359" s="21" t="s">
        <v>386</v>
      </c>
      <c r="B359" s="22" t="s">
        <v>1142</v>
      </c>
      <c r="C359" s="22" t="s">
        <v>273</v>
      </c>
      <c r="D359" s="26">
        <v>45998.0</v>
      </c>
      <c r="E359" s="22" t="s">
        <v>302</v>
      </c>
      <c r="F359" s="22" t="s">
        <v>311</v>
      </c>
      <c r="G359" s="22" t="s">
        <v>1143</v>
      </c>
      <c r="H359" s="22" t="s">
        <v>386</v>
      </c>
      <c r="I359" s="22">
        <v>1.0437618467139E13</v>
      </c>
      <c r="J359" s="22" t="s">
        <v>1144</v>
      </c>
      <c r="K359" s="24"/>
      <c r="L359" s="22" t="s">
        <v>390</v>
      </c>
      <c r="M359" s="22">
        <v>1.0</v>
      </c>
      <c r="N359" s="22" t="s">
        <v>391</v>
      </c>
      <c r="O359" s="22" t="s">
        <v>392</v>
      </c>
      <c r="P359" s="24"/>
      <c r="Q359" s="22" t="s">
        <v>90</v>
      </c>
      <c r="R359" s="22">
        <v>3.2696976736579E13</v>
      </c>
      <c r="S359" s="24"/>
      <c r="T359" s="24"/>
      <c r="U359" s="24"/>
      <c r="V359" s="22" t="s">
        <v>55</v>
      </c>
      <c r="W359" s="24"/>
      <c r="X359" s="24"/>
      <c r="Y359" s="22"/>
      <c r="Z359" s="22"/>
      <c r="AA359" s="24"/>
      <c r="AB359" s="24"/>
      <c r="AC359" s="22"/>
      <c r="AD359" s="22"/>
      <c r="AE359" s="24"/>
      <c r="AF359" s="25"/>
      <c r="AG359" s="30"/>
      <c r="AH359" s="30"/>
      <c r="AI359" s="31"/>
      <c r="AJ359" s="31"/>
      <c r="AK359" s="32"/>
    </row>
    <row r="360">
      <c r="A360" s="21" t="s">
        <v>525</v>
      </c>
      <c r="B360" s="22" t="s">
        <v>318</v>
      </c>
      <c r="C360" s="22" t="s">
        <v>82</v>
      </c>
      <c r="D360" s="26">
        <v>45997.0</v>
      </c>
      <c r="E360" s="22" t="s">
        <v>196</v>
      </c>
      <c r="F360" s="22" t="s">
        <v>319</v>
      </c>
      <c r="G360" s="22" t="s">
        <v>1145</v>
      </c>
      <c r="H360" s="22" t="s">
        <v>525</v>
      </c>
      <c r="I360" s="22">
        <v>1.0437621317955E13</v>
      </c>
      <c r="J360" s="22" t="s">
        <v>527</v>
      </c>
      <c r="K360" s="24"/>
      <c r="L360" s="22" t="s">
        <v>528</v>
      </c>
      <c r="M360" s="22">
        <v>1.0</v>
      </c>
      <c r="N360" s="22" t="s">
        <v>404</v>
      </c>
      <c r="O360" s="22" t="s">
        <v>405</v>
      </c>
      <c r="P360" s="24"/>
      <c r="Q360" s="22" t="s">
        <v>90</v>
      </c>
      <c r="R360" s="22">
        <v>3.2696982765891E13</v>
      </c>
      <c r="S360" s="24"/>
      <c r="T360" s="24"/>
      <c r="U360" s="24"/>
      <c r="V360" s="22" t="s">
        <v>105</v>
      </c>
      <c r="W360" s="24"/>
      <c r="X360" s="24"/>
      <c r="Y360" s="22"/>
      <c r="Z360" s="22"/>
      <c r="AA360" s="24"/>
      <c r="AB360" s="24"/>
      <c r="AC360" s="22"/>
      <c r="AD360" s="22"/>
      <c r="AE360" s="24"/>
      <c r="AF360" s="25"/>
      <c r="AG360" s="30"/>
      <c r="AH360" s="30"/>
      <c r="AI360" s="31"/>
      <c r="AJ360" s="31"/>
      <c r="AK360" s="32"/>
    </row>
    <row r="361">
      <c r="A361" s="21" t="s">
        <v>938</v>
      </c>
      <c r="B361" s="22" t="s">
        <v>471</v>
      </c>
      <c r="C361" s="22" t="s">
        <v>82</v>
      </c>
      <c r="D361" s="26">
        <v>45997.0</v>
      </c>
      <c r="E361" s="22" t="s">
        <v>134</v>
      </c>
      <c r="F361" s="22" t="s">
        <v>472</v>
      </c>
      <c r="G361" s="22" t="s">
        <v>1146</v>
      </c>
      <c r="H361" s="22" t="s">
        <v>938</v>
      </c>
      <c r="I361" s="22">
        <v>1.0437455511875E13</v>
      </c>
      <c r="J361" s="22" t="s">
        <v>851</v>
      </c>
      <c r="K361" s="24"/>
      <c r="L361" s="22" t="s">
        <v>940</v>
      </c>
      <c r="M361" s="22">
        <v>1.0</v>
      </c>
      <c r="N361" s="22" t="s">
        <v>476</v>
      </c>
      <c r="O361" s="22" t="s">
        <v>477</v>
      </c>
      <c r="P361" s="24"/>
      <c r="Q361" s="22" t="s">
        <v>90</v>
      </c>
      <c r="R361" s="22">
        <v>3.2696588566851E13</v>
      </c>
      <c r="S361" s="24"/>
      <c r="T361" s="24"/>
      <c r="U361" s="24"/>
      <c r="V361" s="22" t="s">
        <v>54</v>
      </c>
      <c r="W361" s="24"/>
      <c r="X361" s="24"/>
      <c r="Y361" s="22"/>
      <c r="Z361" s="22"/>
      <c r="AA361" s="24"/>
      <c r="AB361" s="24"/>
      <c r="AC361" s="22"/>
      <c r="AD361" s="22"/>
      <c r="AE361" s="24"/>
      <c r="AF361" s="25"/>
      <c r="AG361" s="30"/>
      <c r="AH361" s="30"/>
      <c r="AI361" s="31"/>
      <c r="AJ361" s="31"/>
      <c r="AK361" s="32"/>
    </row>
    <row r="362">
      <c r="A362" s="21" t="s">
        <v>979</v>
      </c>
      <c r="B362" s="22" t="s">
        <v>603</v>
      </c>
      <c r="C362" s="22" t="s">
        <v>287</v>
      </c>
      <c r="D362" s="26">
        <v>45994.0</v>
      </c>
      <c r="E362" s="22" t="s">
        <v>604</v>
      </c>
      <c r="F362" s="22" t="s">
        <v>605</v>
      </c>
      <c r="G362" s="22" t="s">
        <v>1147</v>
      </c>
      <c r="H362" s="22" t="s">
        <v>979</v>
      </c>
      <c r="I362" s="22">
        <v>1.0437217780035E13</v>
      </c>
      <c r="J362" s="22" t="s">
        <v>607</v>
      </c>
      <c r="K362" s="24"/>
      <c r="L362" s="22" t="s">
        <v>984</v>
      </c>
      <c r="M362" s="22">
        <v>1.0</v>
      </c>
      <c r="N362" s="22" t="s">
        <v>609</v>
      </c>
      <c r="O362" s="22" t="s">
        <v>610</v>
      </c>
      <c r="P362" s="24"/>
      <c r="Q362" s="22" t="s">
        <v>90</v>
      </c>
      <c r="R362" s="22">
        <v>3.2696040620355E13</v>
      </c>
      <c r="S362" s="24"/>
      <c r="T362" s="24"/>
      <c r="U362" s="24"/>
      <c r="V362" s="22" t="s">
        <v>55</v>
      </c>
      <c r="W362" s="24"/>
      <c r="X362" s="24"/>
      <c r="Y362" s="22"/>
      <c r="Z362" s="22"/>
      <c r="AA362" s="24"/>
      <c r="AB362" s="24"/>
      <c r="AC362" s="22"/>
      <c r="AD362" s="22"/>
      <c r="AE362" s="24"/>
      <c r="AF362" s="25"/>
      <c r="AG362" s="30"/>
      <c r="AH362" s="30"/>
      <c r="AI362" s="31"/>
      <c r="AJ362" s="31"/>
      <c r="AK362" s="32"/>
    </row>
    <row r="363">
      <c r="A363" s="21" t="s">
        <v>938</v>
      </c>
      <c r="B363" s="22" t="s">
        <v>1148</v>
      </c>
      <c r="C363" s="22" t="s">
        <v>82</v>
      </c>
      <c r="D363" s="26">
        <v>45997.0</v>
      </c>
      <c r="E363" s="22" t="s">
        <v>248</v>
      </c>
      <c r="F363" s="22" t="s">
        <v>472</v>
      </c>
      <c r="G363" s="22" t="s">
        <v>1149</v>
      </c>
      <c r="H363" s="22" t="s">
        <v>938</v>
      </c>
      <c r="I363" s="22">
        <v>1.0437719359811E13</v>
      </c>
      <c r="J363" s="22" t="s">
        <v>1150</v>
      </c>
      <c r="K363" s="24"/>
      <c r="L363" s="22" t="s">
        <v>940</v>
      </c>
      <c r="M363" s="22">
        <v>1.0</v>
      </c>
      <c r="N363" s="22" t="s">
        <v>476</v>
      </c>
      <c r="O363" s="22" t="s">
        <v>477</v>
      </c>
      <c r="P363" s="24"/>
      <c r="Q363" s="22" t="s">
        <v>90</v>
      </c>
      <c r="R363" s="22">
        <v>3.2697216401731E13</v>
      </c>
      <c r="S363" s="24"/>
      <c r="T363" s="24"/>
      <c r="U363" s="24"/>
      <c r="V363" s="22" t="s">
        <v>54</v>
      </c>
      <c r="W363" s="24"/>
      <c r="X363" s="24"/>
      <c r="Y363" s="22"/>
      <c r="Z363" s="22"/>
      <c r="AA363" s="24"/>
      <c r="AB363" s="24"/>
      <c r="AC363" s="22"/>
      <c r="AD363" s="22"/>
      <c r="AE363" s="24"/>
      <c r="AF363" s="25"/>
      <c r="AG363" s="30"/>
      <c r="AH363" s="30"/>
      <c r="AI363" s="31"/>
      <c r="AJ363" s="31"/>
      <c r="AK363" s="32"/>
    </row>
    <row r="364">
      <c r="A364" s="21" t="s">
        <v>1151</v>
      </c>
      <c r="B364" s="22" t="s">
        <v>1152</v>
      </c>
      <c r="C364" s="22" t="s">
        <v>82</v>
      </c>
      <c r="D364" s="26">
        <v>45997.0</v>
      </c>
      <c r="E364" s="22" t="s">
        <v>149</v>
      </c>
      <c r="F364" s="22" t="s">
        <v>303</v>
      </c>
      <c r="G364" s="22" t="s">
        <v>1153</v>
      </c>
      <c r="H364" s="22" t="s">
        <v>1151</v>
      </c>
      <c r="I364" s="22">
        <v>1.0437869076803E13</v>
      </c>
      <c r="J364" s="22" t="s">
        <v>1154</v>
      </c>
      <c r="K364" s="24"/>
      <c r="L364" s="22" t="s">
        <v>1155</v>
      </c>
      <c r="M364" s="22">
        <v>1.0</v>
      </c>
      <c r="N364" s="22" t="s">
        <v>307</v>
      </c>
      <c r="O364" s="22" t="s">
        <v>308</v>
      </c>
      <c r="P364" s="24"/>
      <c r="Q364" s="22" t="s">
        <v>90</v>
      </c>
      <c r="R364" s="22">
        <v>3.2697505743171E13</v>
      </c>
      <c r="S364" s="24"/>
      <c r="T364" s="24"/>
      <c r="U364" s="24"/>
      <c r="V364" s="22" t="s">
        <v>54</v>
      </c>
      <c r="W364" s="24"/>
      <c r="X364" s="24"/>
      <c r="Y364" s="22"/>
      <c r="Z364" s="22"/>
      <c r="AA364" s="24"/>
      <c r="AB364" s="24"/>
      <c r="AC364" s="22"/>
      <c r="AD364" s="22"/>
      <c r="AE364" s="24"/>
      <c r="AF364" s="25"/>
      <c r="AG364" s="30"/>
      <c r="AH364" s="30"/>
      <c r="AI364" s="31"/>
      <c r="AJ364" s="31"/>
      <c r="AK364" s="32"/>
    </row>
    <row r="365">
      <c r="A365" s="21" t="s">
        <v>408</v>
      </c>
      <c r="B365" s="22" t="s">
        <v>512</v>
      </c>
      <c r="C365" s="22" t="s">
        <v>82</v>
      </c>
      <c r="D365" s="26">
        <v>45997.0</v>
      </c>
      <c r="E365" s="22" t="s">
        <v>153</v>
      </c>
      <c r="F365" s="22" t="s">
        <v>377</v>
      </c>
      <c r="G365" s="22" t="s">
        <v>1156</v>
      </c>
      <c r="H365" s="22" t="s">
        <v>408</v>
      </c>
      <c r="I365" s="22">
        <v>1.0437981307203E13</v>
      </c>
      <c r="J365" s="22" t="s">
        <v>514</v>
      </c>
      <c r="K365" s="24"/>
      <c r="L365" s="22" t="s">
        <v>412</v>
      </c>
      <c r="M365" s="22">
        <v>1.0</v>
      </c>
      <c r="N365" s="22" t="s">
        <v>413</v>
      </c>
      <c r="O365" s="22" t="s">
        <v>414</v>
      </c>
      <c r="P365" s="24"/>
      <c r="Q365" s="22" t="s">
        <v>90</v>
      </c>
      <c r="R365" s="22">
        <v>3.2697730335043E13</v>
      </c>
      <c r="S365" s="24"/>
      <c r="T365" s="24"/>
      <c r="U365" s="24"/>
      <c r="V365" s="22" t="s">
        <v>127</v>
      </c>
      <c r="W365" s="24"/>
      <c r="X365" s="24"/>
      <c r="Y365" s="22"/>
      <c r="Z365" s="22"/>
      <c r="AA365" s="24"/>
      <c r="AB365" s="24"/>
      <c r="AC365" s="22"/>
      <c r="AD365" s="22"/>
      <c r="AE365" s="24"/>
      <c r="AF365" s="25"/>
      <c r="AG365" s="30"/>
      <c r="AH365" s="30"/>
      <c r="AI365" s="31"/>
      <c r="AJ365" s="31"/>
      <c r="AK365" s="32"/>
    </row>
    <row r="366">
      <c r="A366" s="21" t="s">
        <v>515</v>
      </c>
      <c r="B366" s="22" t="s">
        <v>471</v>
      </c>
      <c r="C366" s="22" t="s">
        <v>82</v>
      </c>
      <c r="D366" s="26">
        <v>45997.0</v>
      </c>
      <c r="E366" s="22" t="s">
        <v>134</v>
      </c>
      <c r="F366" s="22" t="s">
        <v>472</v>
      </c>
      <c r="G366" s="22" t="s">
        <v>1157</v>
      </c>
      <c r="H366" s="22" t="s">
        <v>515</v>
      </c>
      <c r="I366" s="22">
        <v>1.0438040191299E13</v>
      </c>
      <c r="J366" s="22" t="s">
        <v>474</v>
      </c>
      <c r="K366" s="24"/>
      <c r="L366" s="22" t="s">
        <v>519</v>
      </c>
      <c r="M366" s="22">
        <v>1.0</v>
      </c>
      <c r="N366" s="22" t="s">
        <v>476</v>
      </c>
      <c r="O366" s="22" t="s">
        <v>477</v>
      </c>
      <c r="P366" s="24"/>
      <c r="Q366" s="22" t="s">
        <v>90</v>
      </c>
      <c r="R366" s="22">
        <v>3.2697849545027E13</v>
      </c>
      <c r="S366" s="24"/>
      <c r="T366" s="24"/>
      <c r="U366" s="24"/>
      <c r="V366" s="22" t="s">
        <v>55</v>
      </c>
      <c r="W366" s="24"/>
      <c r="X366" s="24"/>
      <c r="Y366" s="22"/>
      <c r="Z366" s="22"/>
      <c r="AA366" s="24"/>
      <c r="AB366" s="24"/>
      <c r="AC366" s="22"/>
      <c r="AD366" s="22"/>
      <c r="AE366" s="24"/>
      <c r="AF366" s="25"/>
      <c r="AG366" s="30"/>
      <c r="AH366" s="30"/>
      <c r="AI366" s="31"/>
      <c r="AJ366" s="31"/>
      <c r="AK366" s="32"/>
    </row>
    <row r="367">
      <c r="A367" s="21" t="s">
        <v>569</v>
      </c>
      <c r="B367" s="22" t="s">
        <v>471</v>
      </c>
      <c r="C367" s="22" t="s">
        <v>82</v>
      </c>
      <c r="D367" s="26">
        <v>45997.0</v>
      </c>
      <c r="E367" s="22" t="s">
        <v>134</v>
      </c>
      <c r="F367" s="22" t="s">
        <v>472</v>
      </c>
      <c r="G367" s="22" t="s">
        <v>1158</v>
      </c>
      <c r="H367" s="22" t="s">
        <v>569</v>
      </c>
      <c r="I367" s="22">
        <v>1.0438054183235E13</v>
      </c>
      <c r="J367" s="22" t="s">
        <v>474</v>
      </c>
      <c r="K367" s="24"/>
      <c r="L367" s="22" t="s">
        <v>571</v>
      </c>
      <c r="M367" s="22">
        <v>1.0</v>
      </c>
      <c r="N367" s="22" t="s">
        <v>534</v>
      </c>
      <c r="O367" s="22" t="s">
        <v>535</v>
      </c>
      <c r="P367" s="24"/>
      <c r="Q367" s="22" t="s">
        <v>90</v>
      </c>
      <c r="R367" s="22">
        <v>3.2697878806851E13</v>
      </c>
      <c r="S367" s="24"/>
      <c r="T367" s="24"/>
      <c r="U367" s="24"/>
      <c r="V367" s="22" t="s">
        <v>105</v>
      </c>
      <c r="W367" s="24"/>
      <c r="X367" s="24"/>
      <c r="Y367" s="22"/>
      <c r="Z367" s="22"/>
      <c r="AA367" s="24"/>
      <c r="AB367" s="24"/>
      <c r="AC367" s="22"/>
      <c r="AD367" s="22"/>
      <c r="AE367" s="24"/>
      <c r="AF367" s="25"/>
      <c r="AG367" s="30"/>
      <c r="AH367" s="30"/>
      <c r="AI367" s="31"/>
      <c r="AJ367" s="31"/>
      <c r="AK367" s="32"/>
    </row>
    <row r="368">
      <c r="A368" s="21" t="s">
        <v>973</v>
      </c>
      <c r="B368" s="22" t="s">
        <v>1049</v>
      </c>
      <c r="C368" s="22" t="s">
        <v>273</v>
      </c>
      <c r="D368" s="26">
        <v>45998.0</v>
      </c>
      <c r="E368" s="22" t="s">
        <v>177</v>
      </c>
      <c r="F368" s="22" t="s">
        <v>440</v>
      </c>
      <c r="G368" s="22" t="s">
        <v>1159</v>
      </c>
      <c r="H368" s="22" t="s">
        <v>973</v>
      </c>
      <c r="I368" s="22">
        <v>1.0438142427459E13</v>
      </c>
      <c r="J368" s="22" t="s">
        <v>1051</v>
      </c>
      <c r="K368" s="24"/>
      <c r="L368" s="22" t="s">
        <v>978</v>
      </c>
      <c r="M368" s="22">
        <v>1.0</v>
      </c>
      <c r="N368" s="22" t="s">
        <v>781</v>
      </c>
      <c r="O368" s="22" t="s">
        <v>782</v>
      </c>
      <c r="P368" s="24"/>
      <c r="Q368" s="22" t="s">
        <v>90</v>
      </c>
      <c r="R368" s="22">
        <v>3.2698082623811E13</v>
      </c>
      <c r="S368" s="24"/>
      <c r="T368" s="24"/>
      <c r="U368" s="24"/>
      <c r="V368" s="22" t="s">
        <v>105</v>
      </c>
      <c r="W368" s="24"/>
      <c r="X368" s="24"/>
      <c r="Y368" s="22"/>
      <c r="Z368" s="22"/>
      <c r="AA368" s="24"/>
      <c r="AB368" s="24"/>
      <c r="AC368" s="22"/>
      <c r="AD368" s="22"/>
      <c r="AE368" s="24"/>
      <c r="AF368" s="25"/>
      <c r="AG368" s="30"/>
      <c r="AH368" s="30"/>
      <c r="AI368" s="31"/>
      <c r="AJ368" s="31"/>
      <c r="AK368" s="32"/>
    </row>
    <row r="369">
      <c r="A369" s="21" t="s">
        <v>885</v>
      </c>
      <c r="B369" s="22" t="s">
        <v>797</v>
      </c>
      <c r="C369" s="22" t="s">
        <v>287</v>
      </c>
      <c r="D369" s="26">
        <v>45994.0</v>
      </c>
      <c r="E369" s="22" t="s">
        <v>252</v>
      </c>
      <c r="F369" s="22" t="s">
        <v>605</v>
      </c>
      <c r="G369" s="22" t="s">
        <v>1160</v>
      </c>
      <c r="H369" s="22" t="s">
        <v>885</v>
      </c>
      <c r="I369" s="22">
        <v>1.0438171787587E13</v>
      </c>
      <c r="J369" s="22" t="s">
        <v>799</v>
      </c>
      <c r="K369" s="24"/>
      <c r="L369" s="22" t="s">
        <v>890</v>
      </c>
      <c r="M369" s="22">
        <v>1.0</v>
      </c>
      <c r="N369" s="22" t="s">
        <v>795</v>
      </c>
      <c r="O369" s="22" t="s">
        <v>796</v>
      </c>
      <c r="P369" s="24"/>
      <c r="Q369" s="22" t="s">
        <v>90</v>
      </c>
      <c r="R369" s="22">
        <v>3.2698145046851E13</v>
      </c>
      <c r="S369" s="24"/>
      <c r="T369" s="24"/>
      <c r="U369" s="24"/>
      <c r="V369" s="22" t="s">
        <v>127</v>
      </c>
      <c r="W369" s="24"/>
      <c r="X369" s="24"/>
      <c r="Y369" s="22"/>
      <c r="Z369" s="22"/>
      <c r="AA369" s="24"/>
      <c r="AB369" s="24"/>
      <c r="AC369" s="22"/>
      <c r="AD369" s="22"/>
      <c r="AE369" s="24"/>
      <c r="AF369" s="25"/>
      <c r="AG369" s="30"/>
      <c r="AH369" s="30"/>
      <c r="AI369" s="31"/>
      <c r="AJ369" s="31"/>
      <c r="AK369" s="32"/>
    </row>
    <row r="370">
      <c r="A370" s="21" t="s">
        <v>696</v>
      </c>
      <c r="B370" s="22" t="s">
        <v>815</v>
      </c>
      <c r="C370" s="22" t="s">
        <v>82</v>
      </c>
      <c r="D370" s="26">
        <v>45997.0</v>
      </c>
      <c r="E370" s="22" t="s">
        <v>187</v>
      </c>
      <c r="F370" s="22" t="s">
        <v>698</v>
      </c>
      <c r="G370" s="22" t="s">
        <v>1161</v>
      </c>
      <c r="H370" s="22" t="s">
        <v>696</v>
      </c>
      <c r="I370" s="22">
        <v>1.0437712740675E13</v>
      </c>
      <c r="J370" s="22" t="s">
        <v>817</v>
      </c>
      <c r="K370" s="24"/>
      <c r="L370" s="22" t="s">
        <v>701</v>
      </c>
      <c r="M370" s="22">
        <v>1.0</v>
      </c>
      <c r="N370" s="22" t="s">
        <v>702</v>
      </c>
      <c r="O370" s="22" t="s">
        <v>703</v>
      </c>
      <c r="P370" s="24"/>
      <c r="Q370" s="22" t="s">
        <v>90</v>
      </c>
      <c r="R370" s="22">
        <v>3.2697203228995E13</v>
      </c>
      <c r="S370" s="24"/>
      <c r="T370" s="24"/>
      <c r="U370" s="24"/>
      <c r="V370" s="22" t="s">
        <v>55</v>
      </c>
      <c r="W370" s="24"/>
      <c r="X370" s="24"/>
      <c r="Y370" s="22"/>
      <c r="Z370" s="22"/>
      <c r="AA370" s="24"/>
      <c r="AB370" s="24"/>
      <c r="AC370" s="22"/>
      <c r="AD370" s="22"/>
      <c r="AE370" s="24"/>
      <c r="AF370" s="25"/>
      <c r="AG370" s="30"/>
      <c r="AH370" s="30"/>
      <c r="AI370" s="31"/>
      <c r="AJ370" s="31"/>
      <c r="AK370" s="32"/>
    </row>
    <row r="371">
      <c r="A371" s="21" t="s">
        <v>1162</v>
      </c>
      <c r="B371" s="22" t="s">
        <v>876</v>
      </c>
      <c r="C371" s="22" t="s">
        <v>273</v>
      </c>
      <c r="D371" s="26">
        <v>45998.0</v>
      </c>
      <c r="E371" s="22" t="s">
        <v>177</v>
      </c>
      <c r="F371" s="22" t="s">
        <v>634</v>
      </c>
      <c r="G371" s="22" t="s">
        <v>1163</v>
      </c>
      <c r="H371" s="22" t="s">
        <v>1162</v>
      </c>
      <c r="I371" s="22">
        <v>1.0438329073987E13</v>
      </c>
      <c r="J371" s="22" t="s">
        <v>878</v>
      </c>
      <c r="K371" s="24"/>
      <c r="L371" s="22" t="s">
        <v>1164</v>
      </c>
      <c r="M371" s="22">
        <v>1.0</v>
      </c>
      <c r="N371" s="22" t="s">
        <v>738</v>
      </c>
      <c r="O371" s="22" t="s">
        <v>739</v>
      </c>
      <c r="P371" s="24"/>
      <c r="Q371" s="22" t="s">
        <v>90</v>
      </c>
      <c r="R371" s="22">
        <v>3.2698496909635E13</v>
      </c>
      <c r="S371" s="24"/>
      <c r="T371" s="24"/>
      <c r="U371" s="24"/>
      <c r="V371" s="22" t="s">
        <v>175</v>
      </c>
      <c r="W371" s="24"/>
      <c r="X371" s="24"/>
      <c r="Y371" s="22"/>
      <c r="Z371" s="22"/>
      <c r="AA371" s="24"/>
      <c r="AB371" s="24"/>
      <c r="AC371" s="22"/>
      <c r="AD371" s="22"/>
      <c r="AE371" s="24"/>
      <c r="AF371" s="25"/>
      <c r="AG371" s="30"/>
      <c r="AH371" s="30"/>
      <c r="AI371" s="31"/>
      <c r="AJ371" s="31"/>
      <c r="AK371" s="32"/>
    </row>
    <row r="372">
      <c r="A372" s="21" t="s">
        <v>789</v>
      </c>
      <c r="B372" s="22" t="s">
        <v>1165</v>
      </c>
      <c r="C372" s="22" t="s">
        <v>287</v>
      </c>
      <c r="D372" s="26">
        <v>45994.0</v>
      </c>
      <c r="E372" s="22" t="s">
        <v>248</v>
      </c>
      <c r="F372" s="22" t="s">
        <v>605</v>
      </c>
      <c r="G372" s="22" t="s">
        <v>1166</v>
      </c>
      <c r="H372" s="22" t="s">
        <v>789</v>
      </c>
      <c r="I372" s="22">
        <v>1.0438437077315E13</v>
      </c>
      <c r="J372" s="22" t="s">
        <v>1167</v>
      </c>
      <c r="K372" s="24"/>
      <c r="L372" s="22" t="s">
        <v>794</v>
      </c>
      <c r="M372" s="22">
        <v>1.0</v>
      </c>
      <c r="N372" s="22" t="s">
        <v>795</v>
      </c>
      <c r="O372" s="22" t="s">
        <v>796</v>
      </c>
      <c r="P372" s="24"/>
      <c r="Q372" s="22" t="s">
        <v>90</v>
      </c>
      <c r="R372" s="22">
        <v>3.2698732740931E13</v>
      </c>
      <c r="S372" s="24"/>
      <c r="T372" s="24"/>
      <c r="U372" s="24"/>
      <c r="V372" s="22" t="s">
        <v>105</v>
      </c>
      <c r="W372" s="24"/>
      <c r="X372" s="24"/>
      <c r="Y372" s="22"/>
      <c r="Z372" s="22"/>
      <c r="AA372" s="24"/>
      <c r="AB372" s="24"/>
      <c r="AC372" s="22"/>
      <c r="AD372" s="22"/>
      <c r="AE372" s="24"/>
      <c r="AF372" s="25"/>
      <c r="AG372" s="30"/>
      <c r="AH372" s="30"/>
      <c r="AI372" s="31"/>
      <c r="AJ372" s="31"/>
      <c r="AK372" s="32"/>
    </row>
    <row r="373">
      <c r="A373" s="21" t="s">
        <v>503</v>
      </c>
      <c r="B373" s="22" t="s">
        <v>1168</v>
      </c>
      <c r="C373" s="22" t="s">
        <v>82</v>
      </c>
      <c r="D373" s="26">
        <v>45997.0</v>
      </c>
      <c r="E373" s="22" t="s">
        <v>1113</v>
      </c>
      <c r="F373" s="22" t="s">
        <v>341</v>
      </c>
      <c r="G373" s="22" t="s">
        <v>1169</v>
      </c>
      <c r="H373" s="22" t="s">
        <v>503</v>
      </c>
      <c r="I373" s="22">
        <v>1.0438438584643E13</v>
      </c>
      <c r="J373" s="22" t="s">
        <v>1170</v>
      </c>
      <c r="K373" s="24"/>
      <c r="L373" s="22" t="s">
        <v>507</v>
      </c>
      <c r="M373" s="22">
        <v>1.0</v>
      </c>
      <c r="N373" s="22" t="s">
        <v>345</v>
      </c>
      <c r="O373" s="22" t="s">
        <v>346</v>
      </c>
      <c r="P373" s="24"/>
      <c r="Q373" s="22" t="s">
        <v>90</v>
      </c>
      <c r="R373" s="22">
        <v>3.2698736050499E13</v>
      </c>
      <c r="S373" s="24"/>
      <c r="T373" s="24"/>
      <c r="U373" s="24"/>
      <c r="V373" s="22" t="s">
        <v>54</v>
      </c>
      <c r="W373" s="24"/>
      <c r="X373" s="24"/>
      <c r="Y373" s="22"/>
      <c r="Z373" s="22"/>
      <c r="AA373" s="24"/>
      <c r="AB373" s="24"/>
      <c r="AC373" s="22"/>
      <c r="AD373" s="22"/>
      <c r="AE373" s="24"/>
      <c r="AF373" s="25"/>
      <c r="AG373" s="30"/>
      <c r="AH373" s="30"/>
      <c r="AI373" s="31"/>
      <c r="AJ373" s="31"/>
      <c r="AK373" s="32"/>
    </row>
    <row r="374">
      <c r="A374" s="21" t="s">
        <v>80</v>
      </c>
      <c r="B374" s="22" t="s">
        <v>290</v>
      </c>
      <c r="C374" s="22" t="s">
        <v>273</v>
      </c>
      <c r="D374" s="23">
        <v>45991.0</v>
      </c>
      <c r="E374" s="22"/>
      <c r="F374" s="22" t="s">
        <v>83</v>
      </c>
      <c r="G374" s="22" t="s">
        <v>1171</v>
      </c>
      <c r="H374" s="22" t="s">
        <v>80</v>
      </c>
      <c r="I374" s="22">
        <v>1.0438441140547E13</v>
      </c>
      <c r="J374" s="22" t="s">
        <v>968</v>
      </c>
      <c r="K374" s="24"/>
      <c r="L374" s="22" t="s">
        <v>86</v>
      </c>
      <c r="M374" s="22">
        <v>1.0</v>
      </c>
      <c r="N374" s="22" t="s">
        <v>87</v>
      </c>
      <c r="O374" s="22" t="s">
        <v>88</v>
      </c>
      <c r="P374" s="24"/>
      <c r="Q374" s="22" t="s">
        <v>90</v>
      </c>
      <c r="R374" s="22">
        <v>3.2698741850435E13</v>
      </c>
      <c r="S374" s="24"/>
      <c r="T374" s="24"/>
      <c r="U374" s="24"/>
      <c r="V374" s="22" t="s">
        <v>91</v>
      </c>
      <c r="W374" s="24"/>
      <c r="X374" s="24"/>
      <c r="Y374" s="22"/>
      <c r="Z374" s="22"/>
      <c r="AA374" s="24"/>
      <c r="AB374" s="24"/>
      <c r="AC374" s="22"/>
      <c r="AD374" s="22"/>
      <c r="AE374" s="24"/>
      <c r="AF374" s="25"/>
      <c r="AG374" s="30"/>
      <c r="AH374" s="30"/>
      <c r="AI374" s="31"/>
      <c r="AJ374" s="31"/>
      <c r="AK374" s="32"/>
    </row>
    <row r="375">
      <c r="A375" s="21" t="s">
        <v>689</v>
      </c>
      <c r="B375" s="22" t="s">
        <v>1172</v>
      </c>
      <c r="C375" s="22" t="s">
        <v>82</v>
      </c>
      <c r="D375" s="23">
        <v>46004.0</v>
      </c>
      <c r="E375" s="22" t="s">
        <v>248</v>
      </c>
      <c r="F375" s="22" t="s">
        <v>377</v>
      </c>
      <c r="G375" s="22" t="s">
        <v>1173</v>
      </c>
      <c r="H375" s="22" t="s">
        <v>689</v>
      </c>
      <c r="I375" s="22">
        <v>1.0437719490883E13</v>
      </c>
      <c r="J375" s="22" t="s">
        <v>1174</v>
      </c>
      <c r="K375" s="24"/>
      <c r="L375" s="22" t="s">
        <v>691</v>
      </c>
      <c r="M375" s="22">
        <v>1.0</v>
      </c>
      <c r="N375" s="22" t="s">
        <v>413</v>
      </c>
      <c r="O375" s="22" t="s">
        <v>414</v>
      </c>
      <c r="P375" s="24"/>
      <c r="Q375" s="22" t="s">
        <v>90</v>
      </c>
      <c r="R375" s="22">
        <v>3.2697216991555E13</v>
      </c>
      <c r="S375" s="24"/>
      <c r="T375" s="24"/>
      <c r="U375" s="24"/>
      <c r="V375" s="22" t="s">
        <v>175</v>
      </c>
      <c r="W375" s="24"/>
      <c r="X375" s="24"/>
      <c r="Y375" s="22"/>
      <c r="Z375" s="22"/>
      <c r="AA375" s="24"/>
      <c r="AB375" s="24"/>
      <c r="AC375" s="22"/>
      <c r="AD375" s="22"/>
      <c r="AE375" s="24"/>
      <c r="AF375" s="25"/>
      <c r="AG375" s="30"/>
      <c r="AH375" s="30"/>
      <c r="AI375" s="31"/>
      <c r="AJ375" s="31"/>
      <c r="AK375" s="32"/>
    </row>
    <row r="376">
      <c r="A376" s="21" t="s">
        <v>1175</v>
      </c>
      <c r="B376" s="22" t="s">
        <v>1176</v>
      </c>
      <c r="C376" s="22" t="s">
        <v>273</v>
      </c>
      <c r="D376" s="23">
        <v>45991.0</v>
      </c>
      <c r="E376" s="22" t="s">
        <v>138</v>
      </c>
      <c r="F376" s="22" t="s">
        <v>329</v>
      </c>
      <c r="G376" s="22" t="s">
        <v>1177</v>
      </c>
      <c r="H376" s="22" t="s">
        <v>1175</v>
      </c>
      <c r="I376" s="22">
        <v>1.0438515097923E13</v>
      </c>
      <c r="J376" s="22" t="s">
        <v>1178</v>
      </c>
      <c r="K376" s="24"/>
      <c r="L376" s="22" t="s">
        <v>1179</v>
      </c>
      <c r="M376" s="22">
        <v>1.0</v>
      </c>
      <c r="N376" s="22" t="s">
        <v>907</v>
      </c>
      <c r="O376" s="22" t="s">
        <v>908</v>
      </c>
      <c r="P376" s="24"/>
      <c r="Q376" s="22" t="s">
        <v>90</v>
      </c>
      <c r="R376" s="22">
        <v>3.2698906345795E13</v>
      </c>
      <c r="S376" s="24"/>
      <c r="T376" s="24"/>
      <c r="U376" s="24"/>
      <c r="V376" s="22" t="s">
        <v>127</v>
      </c>
      <c r="W376" s="24"/>
      <c r="X376" s="24"/>
      <c r="Y376" s="22"/>
      <c r="Z376" s="22"/>
      <c r="AA376" s="24"/>
      <c r="AB376" s="24"/>
      <c r="AC376" s="22"/>
      <c r="AD376" s="22"/>
      <c r="AE376" s="24"/>
      <c r="AF376" s="25"/>
      <c r="AG376" s="30"/>
      <c r="AH376" s="30"/>
      <c r="AI376" s="31"/>
      <c r="AJ376" s="31"/>
      <c r="AK376" s="32"/>
    </row>
    <row r="377">
      <c r="A377" s="21" t="s">
        <v>1180</v>
      </c>
      <c r="B377" s="22" t="s">
        <v>763</v>
      </c>
      <c r="C377" s="22" t="s">
        <v>82</v>
      </c>
      <c r="D377" s="26">
        <v>45997.0</v>
      </c>
      <c r="E377" s="22" t="s">
        <v>149</v>
      </c>
      <c r="F377" s="22" t="s">
        <v>623</v>
      </c>
      <c r="G377" s="22" t="s">
        <v>1181</v>
      </c>
      <c r="H377" s="22" t="s">
        <v>1180</v>
      </c>
      <c r="I377" s="22">
        <v>1.0438611206467E13</v>
      </c>
      <c r="J377" s="22" t="s">
        <v>765</v>
      </c>
      <c r="K377" s="24"/>
      <c r="L377" s="22" t="s">
        <v>1182</v>
      </c>
      <c r="M377" s="22">
        <v>1.0</v>
      </c>
      <c r="N377" s="22" t="s">
        <v>1088</v>
      </c>
      <c r="O377" s="22" t="s">
        <v>1089</v>
      </c>
      <c r="P377" s="24"/>
      <c r="Q377" s="22" t="s">
        <v>90</v>
      </c>
      <c r="R377" s="22">
        <v>3.2699114586435E13</v>
      </c>
      <c r="S377" s="24"/>
      <c r="T377" s="24"/>
      <c r="U377" s="24"/>
      <c r="V377" s="22" t="s">
        <v>105</v>
      </c>
      <c r="W377" s="24"/>
      <c r="X377" s="24"/>
      <c r="Y377" s="22"/>
      <c r="Z377" s="22"/>
      <c r="AA377" s="24"/>
      <c r="AB377" s="24"/>
      <c r="AC377" s="22"/>
      <c r="AD377" s="22"/>
      <c r="AE377" s="24"/>
      <c r="AF377" s="25"/>
      <c r="AG377" s="30"/>
      <c r="AH377" s="30"/>
      <c r="AI377" s="31"/>
      <c r="AJ377" s="31"/>
      <c r="AK377" s="32"/>
    </row>
    <row r="378">
      <c r="A378" s="21" t="s">
        <v>300</v>
      </c>
      <c r="B378" s="22" t="s">
        <v>434</v>
      </c>
      <c r="C378" s="22" t="s">
        <v>273</v>
      </c>
      <c r="D378" s="26">
        <v>45998.0</v>
      </c>
      <c r="E378" s="22" t="s">
        <v>134</v>
      </c>
      <c r="F378" s="22" t="s">
        <v>303</v>
      </c>
      <c r="G378" s="22" t="s">
        <v>1183</v>
      </c>
      <c r="H378" s="22" t="s">
        <v>300</v>
      </c>
      <c r="I378" s="22">
        <v>1.0438630211907E13</v>
      </c>
      <c r="J378" s="22" t="s">
        <v>582</v>
      </c>
      <c r="K378" s="24"/>
      <c r="L378" s="22" t="s">
        <v>306</v>
      </c>
      <c r="M378" s="22">
        <v>1.0</v>
      </c>
      <c r="N378" s="22" t="s">
        <v>307</v>
      </c>
      <c r="O378" s="22" t="s">
        <v>308</v>
      </c>
      <c r="P378" s="24"/>
      <c r="Q378" s="22" t="s">
        <v>90</v>
      </c>
      <c r="R378" s="22">
        <v>3.2699160265027E13</v>
      </c>
      <c r="S378" s="24"/>
      <c r="T378" s="24"/>
      <c r="U378" s="24"/>
      <c r="V378" s="22" t="s">
        <v>55</v>
      </c>
      <c r="W378" s="24"/>
      <c r="X378" s="24"/>
      <c r="Y378" s="22"/>
      <c r="Z378" s="22"/>
      <c r="AA378" s="24"/>
      <c r="AB378" s="24"/>
      <c r="AC378" s="22"/>
      <c r="AD378" s="22"/>
      <c r="AE378" s="24"/>
      <c r="AF378" s="25"/>
      <c r="AG378" s="30"/>
      <c r="AH378" s="30"/>
      <c r="AI378" s="31"/>
      <c r="AJ378" s="31"/>
      <c r="AK378" s="32"/>
    </row>
    <row r="379">
      <c r="A379" s="21" t="s">
        <v>367</v>
      </c>
      <c r="B379" s="22" t="s">
        <v>587</v>
      </c>
      <c r="C379" s="22" t="s">
        <v>273</v>
      </c>
      <c r="D379" s="26">
        <v>45998.0</v>
      </c>
      <c r="E379" s="22" t="s">
        <v>153</v>
      </c>
      <c r="F379" s="22" t="s">
        <v>369</v>
      </c>
      <c r="G379" s="22" t="s">
        <v>1184</v>
      </c>
      <c r="H379" s="22" t="s">
        <v>367</v>
      </c>
      <c r="I379" s="22">
        <v>1.0438634209603E13</v>
      </c>
      <c r="J379" s="22" t="s">
        <v>589</v>
      </c>
      <c r="K379" s="24"/>
      <c r="L379" s="22" t="s">
        <v>372</v>
      </c>
      <c r="M379" s="22">
        <v>1.0</v>
      </c>
      <c r="N379" s="22" t="s">
        <v>373</v>
      </c>
      <c r="O379" s="22" t="s">
        <v>374</v>
      </c>
      <c r="P379" s="24"/>
      <c r="Q379" s="22" t="s">
        <v>90</v>
      </c>
      <c r="R379" s="22">
        <v>3.2699169145155E13</v>
      </c>
      <c r="S379" s="24"/>
      <c r="T379" s="24"/>
      <c r="U379" s="24"/>
      <c r="V379" s="22" t="s">
        <v>55</v>
      </c>
      <c r="W379" s="24"/>
      <c r="X379" s="24"/>
      <c r="Y379" s="22"/>
      <c r="Z379" s="22"/>
      <c r="AA379" s="24"/>
      <c r="AB379" s="24"/>
      <c r="AC379" s="22"/>
      <c r="AD379" s="22"/>
      <c r="AE379" s="24"/>
      <c r="AF379" s="25"/>
      <c r="AG379" s="30"/>
      <c r="AH379" s="30"/>
      <c r="AI379" s="31"/>
      <c r="AJ379" s="31"/>
      <c r="AK379" s="32"/>
    </row>
    <row r="380">
      <c r="A380" s="21" t="s">
        <v>141</v>
      </c>
      <c r="B380" s="22" t="s">
        <v>272</v>
      </c>
      <c r="C380" s="22" t="s">
        <v>273</v>
      </c>
      <c r="D380" s="26">
        <v>45998.0</v>
      </c>
      <c r="E380" s="22"/>
      <c r="F380" s="22" t="s">
        <v>83</v>
      </c>
      <c r="G380" s="22" t="s">
        <v>1185</v>
      </c>
      <c r="H380" s="22" t="s">
        <v>141</v>
      </c>
      <c r="I380" s="22">
        <v>1.0437205229891E13</v>
      </c>
      <c r="J380" s="22" t="s">
        <v>618</v>
      </c>
      <c r="K380" s="24"/>
      <c r="L380" s="22" t="s">
        <v>143</v>
      </c>
      <c r="M380" s="22">
        <v>1.0</v>
      </c>
      <c r="N380" s="22" t="s">
        <v>87</v>
      </c>
      <c r="O380" s="22" t="s">
        <v>88</v>
      </c>
      <c r="P380" s="24"/>
      <c r="Q380" s="22" t="s">
        <v>90</v>
      </c>
      <c r="R380" s="22">
        <v>3.2696012472643E13</v>
      </c>
      <c r="S380" s="24"/>
      <c r="T380" s="24"/>
      <c r="U380" s="24"/>
      <c r="V380" s="22" t="s">
        <v>54</v>
      </c>
      <c r="W380" s="24"/>
      <c r="X380" s="24"/>
      <c r="Y380" s="22"/>
      <c r="Z380" s="22"/>
      <c r="AA380" s="24"/>
      <c r="AB380" s="24"/>
      <c r="AC380" s="22"/>
      <c r="AD380" s="22"/>
      <c r="AE380" s="24"/>
      <c r="AF380" s="25"/>
      <c r="AG380" s="30"/>
      <c r="AH380" s="30"/>
      <c r="AI380" s="31"/>
      <c r="AJ380" s="31"/>
      <c r="AK380" s="32"/>
    </row>
    <row r="381">
      <c r="A381" s="21" t="s">
        <v>664</v>
      </c>
      <c r="B381" s="22" t="s">
        <v>471</v>
      </c>
      <c r="C381" s="22" t="s">
        <v>82</v>
      </c>
      <c r="D381" s="26">
        <v>45997.0</v>
      </c>
      <c r="E381" s="22" t="s">
        <v>134</v>
      </c>
      <c r="F381" s="22" t="s">
        <v>472</v>
      </c>
      <c r="G381" s="22" t="s">
        <v>1186</v>
      </c>
      <c r="H381" s="22" t="s">
        <v>664</v>
      </c>
      <c r="I381" s="22">
        <v>1.0438659572035E13</v>
      </c>
      <c r="J381" s="22" t="s">
        <v>474</v>
      </c>
      <c r="K381" s="24"/>
      <c r="L381" s="22" t="s">
        <v>668</v>
      </c>
      <c r="M381" s="22">
        <v>1.0</v>
      </c>
      <c r="N381" s="22" t="s">
        <v>534</v>
      </c>
      <c r="O381" s="22" t="s">
        <v>535</v>
      </c>
      <c r="P381" s="24"/>
      <c r="Q381" s="22" t="s">
        <v>90</v>
      </c>
      <c r="R381" s="22">
        <v>3.2699228422467E13</v>
      </c>
      <c r="S381" s="24"/>
      <c r="T381" s="24"/>
      <c r="U381" s="24"/>
      <c r="V381" s="22" t="s">
        <v>175</v>
      </c>
      <c r="W381" s="24"/>
      <c r="X381" s="24"/>
      <c r="Y381" s="22"/>
      <c r="Z381" s="22"/>
      <c r="AA381" s="24"/>
      <c r="AB381" s="24"/>
      <c r="AC381" s="22"/>
      <c r="AD381" s="22"/>
      <c r="AE381" s="24"/>
      <c r="AF381" s="25"/>
      <c r="AG381" s="30"/>
      <c r="AH381" s="30"/>
      <c r="AI381" s="31"/>
      <c r="AJ381" s="31"/>
      <c r="AK381" s="32"/>
    </row>
    <row r="382">
      <c r="A382" s="21" t="s">
        <v>495</v>
      </c>
      <c r="B382" s="22" t="s">
        <v>1187</v>
      </c>
      <c r="C382" s="22" t="s">
        <v>273</v>
      </c>
      <c r="D382" s="23">
        <v>45991.0</v>
      </c>
      <c r="E382" s="22" t="s">
        <v>134</v>
      </c>
      <c r="F382" s="22" t="s">
        <v>329</v>
      </c>
      <c r="G382" s="22" t="s">
        <v>1188</v>
      </c>
      <c r="H382" s="22" t="s">
        <v>495</v>
      </c>
      <c r="I382" s="22">
        <v>1.0438665011523E13</v>
      </c>
      <c r="J382" s="22" t="s">
        <v>1189</v>
      </c>
      <c r="K382" s="24"/>
      <c r="L382" s="22" t="s">
        <v>500</v>
      </c>
      <c r="M382" s="22">
        <v>1.0</v>
      </c>
      <c r="N382" s="22" t="s">
        <v>333</v>
      </c>
      <c r="O382" s="22" t="s">
        <v>334</v>
      </c>
      <c r="P382" s="24"/>
      <c r="Q382" s="22" t="s">
        <v>90</v>
      </c>
      <c r="R382" s="22">
        <v>3.2699239792963E13</v>
      </c>
      <c r="S382" s="24"/>
      <c r="T382" s="24"/>
      <c r="U382" s="24"/>
      <c r="V382" s="22" t="s">
        <v>54</v>
      </c>
      <c r="W382" s="24"/>
      <c r="X382" s="24"/>
      <c r="Y382" s="22"/>
      <c r="Z382" s="22"/>
      <c r="AA382" s="24"/>
      <c r="AB382" s="24"/>
      <c r="AC382" s="22"/>
      <c r="AD382" s="22"/>
      <c r="AE382" s="24"/>
      <c r="AF382" s="25"/>
      <c r="AG382" s="30"/>
      <c r="AH382" s="30"/>
      <c r="AI382" s="31"/>
      <c r="AJ382" s="31"/>
      <c r="AK382" s="32"/>
    </row>
    <row r="383">
      <c r="A383" s="21" t="s">
        <v>141</v>
      </c>
      <c r="B383" s="22" t="s">
        <v>272</v>
      </c>
      <c r="C383" s="22" t="s">
        <v>273</v>
      </c>
      <c r="D383" s="26">
        <v>45998.0</v>
      </c>
      <c r="E383" s="22"/>
      <c r="F383" s="22" t="s">
        <v>83</v>
      </c>
      <c r="G383" s="22" t="s">
        <v>1190</v>
      </c>
      <c r="H383" s="22" t="s">
        <v>141</v>
      </c>
      <c r="I383" s="22">
        <v>1.0438682640707E13</v>
      </c>
      <c r="J383" s="22" t="s">
        <v>618</v>
      </c>
      <c r="K383" s="24"/>
      <c r="L383" s="22" t="s">
        <v>143</v>
      </c>
      <c r="M383" s="22">
        <v>1.0</v>
      </c>
      <c r="N383" s="22" t="s">
        <v>87</v>
      </c>
      <c r="O383" s="22" t="s">
        <v>88</v>
      </c>
      <c r="P383" s="24"/>
      <c r="Q383" s="22" t="s">
        <v>90</v>
      </c>
      <c r="R383" s="22">
        <v>3.2699276689731E13</v>
      </c>
      <c r="S383" s="24"/>
      <c r="T383" s="24"/>
      <c r="U383" s="24"/>
      <c r="V383" s="22" t="s">
        <v>54</v>
      </c>
      <c r="W383" s="24"/>
      <c r="X383" s="24"/>
      <c r="Y383" s="22"/>
      <c r="Z383" s="22"/>
      <c r="AA383" s="24"/>
      <c r="AB383" s="24"/>
      <c r="AC383" s="22"/>
      <c r="AD383" s="22"/>
      <c r="AE383" s="24"/>
      <c r="AF383" s="25"/>
      <c r="AG383" s="30"/>
      <c r="AH383" s="30"/>
      <c r="AI383" s="31"/>
      <c r="AJ383" s="31"/>
      <c r="AK383" s="32"/>
    </row>
    <row r="384">
      <c r="A384" s="21" t="s">
        <v>529</v>
      </c>
      <c r="B384" s="22" t="s">
        <v>471</v>
      </c>
      <c r="C384" s="22" t="s">
        <v>82</v>
      </c>
      <c r="D384" s="26">
        <v>45997.0</v>
      </c>
      <c r="E384" s="22" t="s">
        <v>134</v>
      </c>
      <c r="F384" s="22" t="s">
        <v>472</v>
      </c>
      <c r="G384" s="22" t="s">
        <v>1191</v>
      </c>
      <c r="H384" s="22" t="s">
        <v>529</v>
      </c>
      <c r="I384" s="22">
        <v>1.0438733922627E13</v>
      </c>
      <c r="J384" s="22" t="s">
        <v>474</v>
      </c>
      <c r="K384" s="24"/>
      <c r="L384" s="22" t="s">
        <v>533</v>
      </c>
      <c r="M384" s="22">
        <v>1.0</v>
      </c>
      <c r="N384" s="22" t="s">
        <v>534</v>
      </c>
      <c r="O384" s="22" t="s">
        <v>535</v>
      </c>
      <c r="P384" s="24"/>
      <c r="Q384" s="22" t="s">
        <v>90</v>
      </c>
      <c r="R384" s="22">
        <v>3.2699390067011E13</v>
      </c>
      <c r="S384" s="24"/>
      <c r="T384" s="24"/>
      <c r="U384" s="24"/>
      <c r="V384" s="22" t="s">
        <v>127</v>
      </c>
      <c r="W384" s="24"/>
      <c r="X384" s="24"/>
      <c r="Y384" s="22"/>
      <c r="Z384" s="22"/>
      <c r="AA384" s="24"/>
      <c r="AB384" s="24"/>
      <c r="AC384" s="22"/>
      <c r="AD384" s="22"/>
      <c r="AE384" s="24"/>
      <c r="AF384" s="25"/>
      <c r="AG384" s="30"/>
      <c r="AH384" s="30"/>
      <c r="AI384" s="31"/>
      <c r="AJ384" s="31"/>
      <c r="AK384" s="32"/>
    </row>
    <row r="385">
      <c r="A385" s="21" t="s">
        <v>1192</v>
      </c>
      <c r="B385" s="22" t="s">
        <v>1193</v>
      </c>
      <c r="C385" s="22" t="s">
        <v>287</v>
      </c>
      <c r="D385" s="26">
        <v>45994.0</v>
      </c>
      <c r="E385" s="22" t="s">
        <v>134</v>
      </c>
      <c r="F385" s="22" t="s">
        <v>717</v>
      </c>
      <c r="G385" s="22" t="s">
        <v>1194</v>
      </c>
      <c r="H385" s="22" t="s">
        <v>1192</v>
      </c>
      <c r="I385" s="22">
        <v>1.0438748504387E13</v>
      </c>
      <c r="J385" s="22" t="s">
        <v>1195</v>
      </c>
      <c r="K385" s="24"/>
      <c r="L385" s="22" t="s">
        <v>1196</v>
      </c>
      <c r="M385" s="22">
        <v>1.0</v>
      </c>
      <c r="N385" s="22" t="s">
        <v>1083</v>
      </c>
      <c r="O385" s="22" t="s">
        <v>1084</v>
      </c>
      <c r="P385" s="24"/>
      <c r="Q385" s="22" t="s">
        <v>90</v>
      </c>
      <c r="R385" s="22">
        <v>3.2699421917507E13</v>
      </c>
      <c r="S385" s="24"/>
      <c r="T385" s="24"/>
      <c r="U385" s="24"/>
      <c r="V385" s="27" t="s">
        <v>127</v>
      </c>
      <c r="W385" s="24"/>
      <c r="X385" s="24"/>
      <c r="Y385" s="22"/>
      <c r="Z385" s="22"/>
      <c r="AA385" s="24"/>
      <c r="AB385" s="24"/>
      <c r="AC385" s="22"/>
      <c r="AD385" s="22"/>
      <c r="AE385" s="24"/>
      <c r="AF385" s="25"/>
      <c r="AG385" s="30"/>
      <c r="AH385" s="30"/>
      <c r="AI385" s="31"/>
      <c r="AJ385" s="31"/>
      <c r="AK385" s="32"/>
    </row>
    <row r="386">
      <c r="A386" s="21" t="s">
        <v>595</v>
      </c>
      <c r="B386" s="22" t="s">
        <v>1034</v>
      </c>
      <c r="C386" s="22" t="s">
        <v>273</v>
      </c>
      <c r="D386" s="26">
        <v>45998.0</v>
      </c>
      <c r="E386" s="22" t="s">
        <v>145</v>
      </c>
      <c r="F386" s="22" t="s">
        <v>369</v>
      </c>
      <c r="G386" s="22" t="s">
        <v>1197</v>
      </c>
      <c r="H386" s="22" t="s">
        <v>595</v>
      </c>
      <c r="I386" s="22">
        <v>1.0438759448899E13</v>
      </c>
      <c r="J386" s="22" t="s">
        <v>1036</v>
      </c>
      <c r="K386" s="24"/>
      <c r="L386" s="22" t="s">
        <v>599</v>
      </c>
      <c r="M386" s="22">
        <v>1.0</v>
      </c>
      <c r="N386" s="22" t="s">
        <v>600</v>
      </c>
      <c r="O386" s="22" t="s">
        <v>601</v>
      </c>
      <c r="P386" s="24"/>
      <c r="Q386" s="22" t="s">
        <v>90</v>
      </c>
      <c r="R386" s="22">
        <v>3.2699444625731E13</v>
      </c>
      <c r="S386" s="24"/>
      <c r="T386" s="24"/>
      <c r="U386" s="24"/>
      <c r="V386" s="22" t="s">
        <v>127</v>
      </c>
      <c r="W386" s="24"/>
      <c r="X386" s="24"/>
      <c r="Y386" s="22"/>
      <c r="Z386" s="22"/>
      <c r="AA386" s="24"/>
      <c r="AB386" s="24"/>
      <c r="AC386" s="22"/>
      <c r="AD386" s="22"/>
      <c r="AE386" s="24"/>
      <c r="AF386" s="25"/>
      <c r="AG386" s="30"/>
      <c r="AH386" s="30"/>
      <c r="AI386" s="31"/>
      <c r="AJ386" s="31"/>
      <c r="AK386" s="32"/>
    </row>
    <row r="387">
      <c r="A387" s="21" t="s">
        <v>1105</v>
      </c>
      <c r="B387" s="22" t="s">
        <v>1187</v>
      </c>
      <c r="C387" s="22" t="s">
        <v>273</v>
      </c>
      <c r="D387" s="23">
        <v>45991.0</v>
      </c>
      <c r="E387" s="22" t="s">
        <v>134</v>
      </c>
      <c r="F387" s="22" t="s">
        <v>329</v>
      </c>
      <c r="G387" s="22" t="s">
        <v>1198</v>
      </c>
      <c r="H387" s="22" t="s">
        <v>1105</v>
      </c>
      <c r="I387" s="22">
        <v>1.0438856147267E13</v>
      </c>
      <c r="J387" s="22" t="s">
        <v>1189</v>
      </c>
      <c r="K387" s="24"/>
      <c r="L387" s="22" t="s">
        <v>1107</v>
      </c>
      <c r="M387" s="22">
        <v>1.0</v>
      </c>
      <c r="N387" s="22" t="s">
        <v>333</v>
      </c>
      <c r="O387" s="22" t="s">
        <v>334</v>
      </c>
      <c r="P387" s="24"/>
      <c r="Q387" s="22" t="s">
        <v>90</v>
      </c>
      <c r="R387" s="22">
        <v>3.2699648049475E13</v>
      </c>
      <c r="S387" s="24"/>
      <c r="T387" s="24"/>
      <c r="U387" s="24"/>
      <c r="V387" s="22" t="s">
        <v>95</v>
      </c>
      <c r="W387" s="24"/>
      <c r="X387" s="24"/>
      <c r="Y387" s="22"/>
      <c r="Z387" s="22"/>
      <c r="AA387" s="24"/>
      <c r="AB387" s="24"/>
      <c r="AC387" s="22"/>
      <c r="AD387" s="22"/>
      <c r="AE387" s="24"/>
      <c r="AF387" s="25"/>
      <c r="AG387" s="30"/>
      <c r="AH387" s="30"/>
      <c r="AI387" s="31"/>
      <c r="AJ387" s="31"/>
      <c r="AK387" s="32"/>
    </row>
    <row r="388">
      <c r="A388" s="21" t="s">
        <v>108</v>
      </c>
      <c r="B388" s="22" t="s">
        <v>393</v>
      </c>
      <c r="C388" s="22" t="s">
        <v>82</v>
      </c>
      <c r="D388" s="26">
        <v>45997.0</v>
      </c>
      <c r="E388" s="22" t="s">
        <v>187</v>
      </c>
      <c r="F388" s="22" t="s">
        <v>111</v>
      </c>
      <c r="G388" s="22" t="s">
        <v>1199</v>
      </c>
      <c r="H388" s="22" t="s">
        <v>108</v>
      </c>
      <c r="I388" s="22">
        <v>1.0438858768707E13</v>
      </c>
      <c r="J388" s="22" t="s">
        <v>395</v>
      </c>
      <c r="K388" s="24"/>
      <c r="L388" s="22" t="s">
        <v>114</v>
      </c>
      <c r="M388" s="22">
        <v>1.0</v>
      </c>
      <c r="N388" s="22" t="s">
        <v>115</v>
      </c>
      <c r="O388" s="22" t="s">
        <v>116</v>
      </c>
      <c r="P388" s="24"/>
      <c r="Q388" s="22" t="s">
        <v>90</v>
      </c>
      <c r="R388" s="22">
        <v>3.2699653488963E13</v>
      </c>
      <c r="S388" s="24"/>
      <c r="T388" s="24"/>
      <c r="U388" s="24"/>
      <c r="V388" s="22" t="s">
        <v>54</v>
      </c>
      <c r="W388" s="24"/>
      <c r="X388" s="24"/>
      <c r="Y388" s="22"/>
      <c r="Z388" s="22"/>
      <c r="AA388" s="24"/>
      <c r="AB388" s="24"/>
      <c r="AC388" s="22"/>
      <c r="AD388" s="22"/>
      <c r="AE388" s="24"/>
      <c r="AF388" s="25"/>
      <c r="AG388" s="30"/>
      <c r="AH388" s="30"/>
      <c r="AI388" s="31"/>
      <c r="AJ388" s="31"/>
      <c r="AK388" s="32"/>
    </row>
    <row r="389">
      <c r="A389" s="21" t="s">
        <v>1200</v>
      </c>
      <c r="B389" s="22" t="s">
        <v>1201</v>
      </c>
      <c r="C389" s="22" t="s">
        <v>273</v>
      </c>
      <c r="D389" s="26">
        <v>45998.0</v>
      </c>
      <c r="E389" s="22" t="s">
        <v>187</v>
      </c>
      <c r="F389" s="22" t="s">
        <v>278</v>
      </c>
      <c r="G389" s="22" t="s">
        <v>1202</v>
      </c>
      <c r="H389" s="22" t="s">
        <v>1200</v>
      </c>
      <c r="I389" s="22">
        <v>1.0438871155011E13</v>
      </c>
      <c r="J389" s="22" t="s">
        <v>568</v>
      </c>
      <c r="K389" s="24"/>
      <c r="L389" s="22" t="s">
        <v>1203</v>
      </c>
      <c r="M389" s="22">
        <v>1.0</v>
      </c>
      <c r="N389" s="22" t="s">
        <v>282</v>
      </c>
      <c r="O389" s="22" t="s">
        <v>283</v>
      </c>
      <c r="P389" s="24"/>
      <c r="Q389" s="22" t="s">
        <v>90</v>
      </c>
      <c r="R389" s="22">
        <v>3.2699678228803E13</v>
      </c>
      <c r="S389" s="24"/>
      <c r="T389" s="24"/>
      <c r="U389" s="24"/>
      <c r="V389" s="22" t="s">
        <v>91</v>
      </c>
      <c r="W389" s="24"/>
      <c r="X389" s="24"/>
      <c r="Y389" s="22"/>
      <c r="Z389" s="22"/>
      <c r="AA389" s="24"/>
      <c r="AB389" s="24"/>
      <c r="AC389" s="22"/>
      <c r="AD389" s="22"/>
      <c r="AE389" s="24"/>
      <c r="AF389" s="25"/>
      <c r="AG389" s="30"/>
      <c r="AH389" s="30"/>
      <c r="AI389" s="31"/>
      <c r="AJ389" s="31"/>
      <c r="AK389" s="32"/>
    </row>
    <row r="390">
      <c r="A390" s="21" t="s">
        <v>1204</v>
      </c>
      <c r="B390" s="22" t="s">
        <v>1205</v>
      </c>
      <c r="C390" s="22" t="s">
        <v>273</v>
      </c>
      <c r="D390" s="26">
        <v>45998.0</v>
      </c>
      <c r="E390" s="22" t="s">
        <v>149</v>
      </c>
      <c r="F390" s="22" t="s">
        <v>623</v>
      </c>
      <c r="G390" s="22" t="s">
        <v>1206</v>
      </c>
      <c r="H390" s="22" t="s">
        <v>1204</v>
      </c>
      <c r="I390" s="22">
        <v>1.0438897369411E13</v>
      </c>
      <c r="J390" s="22" t="s">
        <v>1207</v>
      </c>
      <c r="K390" s="24"/>
      <c r="L390" s="22" t="s">
        <v>1208</v>
      </c>
      <c r="M390" s="22">
        <v>1.0</v>
      </c>
      <c r="N390" s="22" t="s">
        <v>627</v>
      </c>
      <c r="O390" s="22" t="s">
        <v>628</v>
      </c>
      <c r="P390" s="24"/>
      <c r="Q390" s="22" t="s">
        <v>90</v>
      </c>
      <c r="R390" s="22">
        <v>3.2699739308355E13</v>
      </c>
      <c r="S390" s="24"/>
      <c r="T390" s="24"/>
      <c r="U390" s="24"/>
      <c r="V390" s="22" t="s">
        <v>91</v>
      </c>
      <c r="W390" s="24"/>
      <c r="X390" s="24"/>
      <c r="Y390" s="22"/>
      <c r="Z390" s="22"/>
      <c r="AA390" s="24"/>
      <c r="AB390" s="24"/>
      <c r="AC390" s="22"/>
      <c r="AD390" s="22"/>
      <c r="AE390" s="24"/>
      <c r="AF390" s="25"/>
      <c r="AG390" s="30"/>
      <c r="AH390" s="30"/>
      <c r="AI390" s="31"/>
      <c r="AJ390" s="31"/>
      <c r="AK390" s="32"/>
    </row>
    <row r="391">
      <c r="A391" s="21" t="s">
        <v>632</v>
      </c>
      <c r="B391" s="22" t="s">
        <v>834</v>
      </c>
      <c r="C391" s="22" t="s">
        <v>273</v>
      </c>
      <c r="D391" s="26">
        <v>45998.0</v>
      </c>
      <c r="E391" s="22" t="s">
        <v>734</v>
      </c>
      <c r="F391" s="22" t="s">
        <v>634</v>
      </c>
      <c r="G391" s="22" t="s">
        <v>1209</v>
      </c>
      <c r="H391" s="22" t="s">
        <v>632</v>
      </c>
      <c r="I391" s="22">
        <v>1.0438652559683E13</v>
      </c>
      <c r="J391" s="22" t="s">
        <v>836</v>
      </c>
      <c r="K391" s="24"/>
      <c r="L391" s="22" t="s">
        <v>637</v>
      </c>
      <c r="M391" s="22">
        <v>1.0</v>
      </c>
      <c r="N391" s="22" t="s">
        <v>638</v>
      </c>
      <c r="O391" s="22" t="s">
        <v>639</v>
      </c>
      <c r="P391" s="24"/>
      <c r="Q391" s="22" t="s">
        <v>90</v>
      </c>
      <c r="R391" s="22">
        <v>3.2699210039619E13</v>
      </c>
      <c r="S391" s="24"/>
      <c r="T391" s="24"/>
      <c r="U391" s="24"/>
      <c r="V391" s="22" t="s">
        <v>91</v>
      </c>
      <c r="W391" s="24"/>
      <c r="X391" s="24"/>
      <c r="Y391" s="22"/>
      <c r="Z391" s="22"/>
      <c r="AA391" s="24"/>
      <c r="AB391" s="24"/>
      <c r="AC391" s="22"/>
      <c r="AD391" s="22"/>
      <c r="AE391" s="24"/>
      <c r="AF391" s="25"/>
      <c r="AG391" s="30"/>
      <c r="AH391" s="30"/>
      <c r="AI391" s="31"/>
      <c r="AJ391" s="31"/>
      <c r="AK391" s="32"/>
    </row>
    <row r="392">
      <c r="A392" s="21" t="s">
        <v>828</v>
      </c>
      <c r="B392" s="22" t="s">
        <v>834</v>
      </c>
      <c r="C392" s="22" t="s">
        <v>273</v>
      </c>
      <c r="D392" s="26">
        <v>45998.0</v>
      </c>
      <c r="E392" s="22" t="s">
        <v>734</v>
      </c>
      <c r="F392" s="22" t="s">
        <v>634</v>
      </c>
      <c r="G392" s="22" t="s">
        <v>1209</v>
      </c>
      <c r="H392" s="22" t="s">
        <v>828</v>
      </c>
      <c r="I392" s="22">
        <v>1.0438652559683E13</v>
      </c>
      <c r="J392" s="22" t="s">
        <v>836</v>
      </c>
      <c r="K392" s="24"/>
      <c r="L392" s="22" t="s">
        <v>830</v>
      </c>
      <c r="M392" s="22">
        <v>1.0</v>
      </c>
      <c r="N392" s="22" t="s">
        <v>638</v>
      </c>
      <c r="O392" s="22" t="s">
        <v>639</v>
      </c>
      <c r="P392" s="24"/>
      <c r="Q392" s="22" t="s">
        <v>90</v>
      </c>
      <c r="R392" s="22">
        <v>3.2745831825731E13</v>
      </c>
      <c r="S392" s="24"/>
      <c r="T392" s="24"/>
      <c r="U392" s="24"/>
      <c r="V392" s="22" t="s">
        <v>95</v>
      </c>
      <c r="W392" s="24"/>
      <c r="X392" s="24"/>
      <c r="Y392" s="22"/>
      <c r="Z392" s="22"/>
      <c r="AA392" s="24"/>
      <c r="AB392" s="24"/>
      <c r="AC392" s="22"/>
      <c r="AD392" s="22"/>
      <c r="AE392" s="24"/>
      <c r="AF392" s="25"/>
      <c r="AG392" s="30"/>
      <c r="AH392" s="30"/>
      <c r="AI392" s="31"/>
      <c r="AJ392" s="31"/>
      <c r="AK392" s="32"/>
    </row>
    <row r="393">
      <c r="A393" s="21" t="s">
        <v>209</v>
      </c>
      <c r="B393" s="22" t="s">
        <v>393</v>
      </c>
      <c r="C393" s="22" t="s">
        <v>82</v>
      </c>
      <c r="D393" s="26">
        <v>45997.0</v>
      </c>
      <c r="E393" s="22" t="s">
        <v>187</v>
      </c>
      <c r="F393" s="22" t="s">
        <v>111</v>
      </c>
      <c r="G393" s="22" t="s">
        <v>1210</v>
      </c>
      <c r="H393" s="22" t="s">
        <v>209</v>
      </c>
      <c r="I393" s="22">
        <v>1.0438915686723E13</v>
      </c>
      <c r="J393" s="22" t="s">
        <v>395</v>
      </c>
      <c r="K393" s="24"/>
      <c r="L393" s="22" t="s">
        <v>214</v>
      </c>
      <c r="M393" s="22">
        <v>1.0</v>
      </c>
      <c r="N393" s="22" t="s">
        <v>115</v>
      </c>
      <c r="O393" s="22" t="s">
        <v>116</v>
      </c>
      <c r="P393" s="24"/>
      <c r="Q393" s="22" t="s">
        <v>90</v>
      </c>
      <c r="R393" s="22">
        <v>3.2699780530499E13</v>
      </c>
      <c r="S393" s="24"/>
      <c r="T393" s="24"/>
      <c r="U393" s="24"/>
      <c r="V393" s="22" t="s">
        <v>91</v>
      </c>
      <c r="W393" s="24"/>
      <c r="X393" s="24"/>
      <c r="Y393" s="22"/>
      <c r="Z393" s="22"/>
      <c r="AA393" s="24"/>
      <c r="AB393" s="24"/>
      <c r="AC393" s="22"/>
      <c r="AD393" s="22"/>
      <c r="AE393" s="24"/>
      <c r="AF393" s="25"/>
      <c r="AG393" s="30"/>
      <c r="AH393" s="30"/>
      <c r="AI393" s="31"/>
      <c r="AJ393" s="31"/>
      <c r="AK393" s="32"/>
    </row>
    <row r="394">
      <c r="A394" s="21" t="s">
        <v>789</v>
      </c>
      <c r="B394" s="22" t="s">
        <v>1211</v>
      </c>
      <c r="C394" s="22" t="s">
        <v>287</v>
      </c>
      <c r="D394" s="26">
        <v>45994.0</v>
      </c>
      <c r="E394" s="22" t="s">
        <v>1212</v>
      </c>
      <c r="F394" s="22" t="s">
        <v>605</v>
      </c>
      <c r="G394" s="22" t="s">
        <v>1213</v>
      </c>
      <c r="H394" s="22" t="s">
        <v>789</v>
      </c>
      <c r="I394" s="22">
        <v>1.0438969098563E13</v>
      </c>
      <c r="J394" s="22" t="s">
        <v>1214</v>
      </c>
      <c r="K394" s="24"/>
      <c r="L394" s="22" t="s">
        <v>794</v>
      </c>
      <c r="M394" s="22">
        <v>1.0</v>
      </c>
      <c r="N394" s="22" t="s">
        <v>795</v>
      </c>
      <c r="O394" s="22" t="s">
        <v>796</v>
      </c>
      <c r="P394" s="24"/>
      <c r="Q394" s="22" t="s">
        <v>90</v>
      </c>
      <c r="R394" s="22">
        <v>3.2699897479491E13</v>
      </c>
      <c r="S394" s="24"/>
      <c r="T394" s="24"/>
      <c r="U394" s="24"/>
      <c r="V394" s="27" t="s">
        <v>105</v>
      </c>
      <c r="W394" s="24"/>
      <c r="X394" s="24"/>
      <c r="Y394" s="22"/>
      <c r="Z394" s="22"/>
      <c r="AA394" s="24"/>
      <c r="AB394" s="24"/>
      <c r="AC394" s="22"/>
      <c r="AD394" s="22"/>
      <c r="AE394" s="24"/>
      <c r="AF394" s="25"/>
      <c r="AG394" s="30"/>
      <c r="AH394" s="30"/>
      <c r="AI394" s="31"/>
      <c r="AJ394" s="31"/>
      <c r="AK394" s="32"/>
    </row>
    <row r="395">
      <c r="A395" s="21" t="s">
        <v>696</v>
      </c>
      <c r="B395" s="22" t="s">
        <v>1019</v>
      </c>
      <c r="C395" s="22" t="s">
        <v>82</v>
      </c>
      <c r="D395" s="26">
        <v>45997.0</v>
      </c>
      <c r="E395" s="22" t="s">
        <v>975</v>
      </c>
      <c r="F395" s="22" t="s">
        <v>698</v>
      </c>
      <c r="G395" s="22" t="s">
        <v>1215</v>
      </c>
      <c r="H395" s="22" t="s">
        <v>696</v>
      </c>
      <c r="I395" s="22">
        <v>1.0439000424771E13</v>
      </c>
      <c r="J395" s="22" t="s">
        <v>1021</v>
      </c>
      <c r="K395" s="24"/>
      <c r="L395" s="22" t="s">
        <v>701</v>
      </c>
      <c r="M395" s="22">
        <v>1.0</v>
      </c>
      <c r="N395" s="22" t="s">
        <v>702</v>
      </c>
      <c r="O395" s="22" t="s">
        <v>703</v>
      </c>
      <c r="P395" s="24"/>
      <c r="Q395" s="22" t="s">
        <v>90</v>
      </c>
      <c r="R395" s="22">
        <v>3.2699966030147E13</v>
      </c>
      <c r="S395" s="24"/>
      <c r="T395" s="24"/>
      <c r="U395" s="24"/>
      <c r="V395" s="22" t="s">
        <v>55</v>
      </c>
      <c r="W395" s="24"/>
      <c r="X395" s="24"/>
      <c r="Y395" s="22"/>
      <c r="Z395" s="22"/>
      <c r="AA395" s="24"/>
      <c r="AB395" s="24"/>
      <c r="AC395" s="22"/>
      <c r="AD395" s="22"/>
      <c r="AE395" s="24"/>
      <c r="AF395" s="25"/>
      <c r="AG395" s="30"/>
      <c r="AH395" s="30"/>
      <c r="AI395" s="31"/>
      <c r="AJ395" s="31"/>
      <c r="AK395" s="32"/>
    </row>
    <row r="396">
      <c r="A396" s="21" t="s">
        <v>1151</v>
      </c>
      <c r="B396" s="22" t="s">
        <v>741</v>
      </c>
      <c r="C396" s="22" t="s">
        <v>82</v>
      </c>
      <c r="D396" s="26">
        <v>45997.0</v>
      </c>
      <c r="E396" s="22" t="s">
        <v>134</v>
      </c>
      <c r="F396" s="22" t="s">
        <v>303</v>
      </c>
      <c r="G396" s="22" t="s">
        <v>1216</v>
      </c>
      <c r="H396" s="22" t="s">
        <v>1151</v>
      </c>
      <c r="I396" s="22">
        <v>1.0439019921731E13</v>
      </c>
      <c r="J396" s="22" t="s">
        <v>743</v>
      </c>
      <c r="K396" s="24"/>
      <c r="L396" s="22" t="s">
        <v>1155</v>
      </c>
      <c r="M396" s="22">
        <v>1.0</v>
      </c>
      <c r="N396" s="22" t="s">
        <v>307</v>
      </c>
      <c r="O396" s="22" t="s">
        <v>308</v>
      </c>
      <c r="P396" s="24"/>
      <c r="Q396" s="22" t="s">
        <v>90</v>
      </c>
      <c r="R396" s="22">
        <v>3.2700007514435E13</v>
      </c>
      <c r="S396" s="24"/>
      <c r="T396" s="24"/>
      <c r="U396" s="24"/>
      <c r="V396" s="22" t="s">
        <v>54</v>
      </c>
      <c r="W396" s="24"/>
      <c r="X396" s="24"/>
      <c r="Y396" s="22"/>
      <c r="Z396" s="22"/>
      <c r="AA396" s="24"/>
      <c r="AB396" s="24"/>
      <c r="AC396" s="22"/>
      <c r="AD396" s="22"/>
      <c r="AE396" s="24"/>
      <c r="AF396" s="25"/>
      <c r="AG396" s="30"/>
      <c r="AH396" s="30"/>
      <c r="AI396" s="31"/>
      <c r="AJ396" s="31"/>
      <c r="AK396" s="32"/>
    </row>
    <row r="397">
      <c r="A397" s="21" t="s">
        <v>1217</v>
      </c>
      <c r="B397" s="22" t="s">
        <v>797</v>
      </c>
      <c r="C397" s="22" t="s">
        <v>287</v>
      </c>
      <c r="D397" s="26">
        <v>45994.0</v>
      </c>
      <c r="E397" s="22" t="s">
        <v>252</v>
      </c>
      <c r="F397" s="22" t="s">
        <v>605</v>
      </c>
      <c r="G397" s="22" t="s">
        <v>1218</v>
      </c>
      <c r="H397" s="22" t="s">
        <v>1217</v>
      </c>
      <c r="I397" s="22">
        <v>1.0439029457219E13</v>
      </c>
      <c r="J397" s="22" t="s">
        <v>799</v>
      </c>
      <c r="K397" s="24"/>
      <c r="L397" s="22" t="s">
        <v>1219</v>
      </c>
      <c r="M397" s="22">
        <v>1.0</v>
      </c>
      <c r="N397" s="22" t="s">
        <v>609</v>
      </c>
      <c r="O397" s="22" t="s">
        <v>610</v>
      </c>
      <c r="P397" s="24"/>
      <c r="Q397" s="22" t="s">
        <v>90</v>
      </c>
      <c r="R397" s="22">
        <v>3.2700027306307E13</v>
      </c>
      <c r="S397" s="24"/>
      <c r="T397" s="24"/>
      <c r="U397" s="24"/>
      <c r="V397" s="22" t="s">
        <v>91</v>
      </c>
      <c r="W397" s="24"/>
      <c r="X397" s="24"/>
      <c r="Y397" s="22"/>
      <c r="Z397" s="22"/>
      <c r="AA397" s="24"/>
      <c r="AB397" s="24"/>
      <c r="AC397" s="22"/>
      <c r="AD397" s="22"/>
      <c r="AE397" s="24"/>
      <c r="AF397" s="25"/>
      <c r="AG397" s="30"/>
      <c r="AH397" s="30"/>
      <c r="AI397" s="31"/>
      <c r="AJ397" s="31"/>
      <c r="AK397" s="32"/>
    </row>
    <row r="398">
      <c r="A398" s="21" t="s">
        <v>902</v>
      </c>
      <c r="B398" s="22" t="s">
        <v>1176</v>
      </c>
      <c r="C398" s="22" t="s">
        <v>273</v>
      </c>
      <c r="D398" s="23">
        <v>45991.0</v>
      </c>
      <c r="E398" s="22" t="s">
        <v>138</v>
      </c>
      <c r="F398" s="22" t="s">
        <v>329</v>
      </c>
      <c r="G398" s="22" t="s">
        <v>1220</v>
      </c>
      <c r="H398" s="22" t="s">
        <v>902</v>
      </c>
      <c r="I398" s="22">
        <v>1.0439034831171E13</v>
      </c>
      <c r="J398" s="22" t="s">
        <v>1178</v>
      </c>
      <c r="K398" s="24"/>
      <c r="L398" s="22" t="s">
        <v>906</v>
      </c>
      <c r="M398" s="22">
        <v>1.0</v>
      </c>
      <c r="N398" s="22" t="s">
        <v>907</v>
      </c>
      <c r="O398" s="22" t="s">
        <v>908</v>
      </c>
      <c r="P398" s="24"/>
      <c r="Q398" s="22" t="s">
        <v>90</v>
      </c>
      <c r="R398" s="22">
        <v>3.2700039037251E13</v>
      </c>
      <c r="S398" s="24"/>
      <c r="T398" s="24"/>
      <c r="U398" s="24"/>
      <c r="V398" s="22" t="s">
        <v>105</v>
      </c>
      <c r="W398" s="24"/>
      <c r="X398" s="24"/>
      <c r="Y398" s="22"/>
      <c r="Z398" s="22"/>
      <c r="AA398" s="24"/>
      <c r="AB398" s="24"/>
      <c r="AC398" s="22"/>
      <c r="AD398" s="22"/>
      <c r="AE398" s="24"/>
      <c r="AF398" s="25"/>
      <c r="AG398" s="30"/>
      <c r="AH398" s="30"/>
      <c r="AI398" s="31"/>
      <c r="AJ398" s="31"/>
      <c r="AK398" s="32"/>
    </row>
    <row r="399">
      <c r="A399" s="21" t="s">
        <v>1048</v>
      </c>
      <c r="B399" s="22" t="s">
        <v>1049</v>
      </c>
      <c r="C399" s="22" t="s">
        <v>273</v>
      </c>
      <c r="D399" s="26">
        <v>45998.0</v>
      </c>
      <c r="E399" s="22" t="s">
        <v>177</v>
      </c>
      <c r="F399" s="22" t="s">
        <v>440</v>
      </c>
      <c r="G399" s="22" t="s">
        <v>1221</v>
      </c>
      <c r="H399" s="22" t="s">
        <v>1048</v>
      </c>
      <c r="I399" s="22">
        <v>1.0439073005891E13</v>
      </c>
      <c r="J399" s="22" t="s">
        <v>1051</v>
      </c>
      <c r="K399" s="24"/>
      <c r="L399" s="22" t="s">
        <v>1052</v>
      </c>
      <c r="M399" s="22">
        <v>1.0</v>
      </c>
      <c r="N399" s="22" t="s">
        <v>444</v>
      </c>
      <c r="O399" s="22" t="s">
        <v>445</v>
      </c>
      <c r="P399" s="24"/>
      <c r="Q399" s="22" t="s">
        <v>90</v>
      </c>
      <c r="R399" s="22">
        <v>3.2700125512003E13</v>
      </c>
      <c r="S399" s="24"/>
      <c r="T399" s="24"/>
      <c r="U399" s="24"/>
      <c r="V399" s="22" t="s">
        <v>54</v>
      </c>
      <c r="W399" s="24"/>
      <c r="X399" s="24"/>
      <c r="Y399" s="22"/>
      <c r="Z399" s="22"/>
      <c r="AA399" s="24"/>
      <c r="AB399" s="24"/>
      <c r="AC399" s="22"/>
      <c r="AD399" s="22"/>
      <c r="AE399" s="24"/>
      <c r="AF399" s="25"/>
      <c r="AG399" s="30"/>
      <c r="AH399" s="30"/>
      <c r="AI399" s="31"/>
      <c r="AJ399" s="31"/>
      <c r="AK399" s="32"/>
    </row>
    <row r="400">
      <c r="A400" s="21" t="s">
        <v>423</v>
      </c>
      <c r="B400" s="22" t="s">
        <v>424</v>
      </c>
      <c r="C400" s="22" t="s">
        <v>273</v>
      </c>
      <c r="D400" s="26">
        <v>45998.0</v>
      </c>
      <c r="E400" s="22" t="s">
        <v>134</v>
      </c>
      <c r="F400" s="22" t="s">
        <v>369</v>
      </c>
      <c r="G400" s="22" t="s">
        <v>1222</v>
      </c>
      <c r="H400" s="22" t="s">
        <v>423</v>
      </c>
      <c r="I400" s="22">
        <v>1.0438913196355E13</v>
      </c>
      <c r="J400" s="22" t="s">
        <v>426</v>
      </c>
      <c r="K400" s="24"/>
      <c r="L400" s="22" t="s">
        <v>427</v>
      </c>
      <c r="M400" s="22">
        <v>1.0</v>
      </c>
      <c r="N400" s="22" t="s">
        <v>373</v>
      </c>
      <c r="O400" s="22" t="s">
        <v>374</v>
      </c>
      <c r="P400" s="24"/>
      <c r="Q400" s="22" t="s">
        <v>90</v>
      </c>
      <c r="R400" s="22">
        <v>3.2699776631107E13</v>
      </c>
      <c r="S400" s="24"/>
      <c r="T400" s="24"/>
      <c r="U400" s="24"/>
      <c r="V400" s="22" t="s">
        <v>95</v>
      </c>
      <c r="W400" s="24"/>
      <c r="X400" s="24"/>
      <c r="Y400" s="22"/>
      <c r="Z400" s="22"/>
      <c r="AA400" s="24"/>
      <c r="AB400" s="24"/>
      <c r="AC400" s="22"/>
      <c r="AD400" s="22"/>
      <c r="AE400" s="24"/>
      <c r="AF400" s="25"/>
      <c r="AG400" s="30"/>
      <c r="AH400" s="30"/>
      <c r="AI400" s="31"/>
      <c r="AJ400" s="31"/>
      <c r="AK400" s="32"/>
    </row>
    <row r="401">
      <c r="A401" s="21" t="s">
        <v>96</v>
      </c>
      <c r="B401" s="22" t="s">
        <v>272</v>
      </c>
      <c r="C401" s="22" t="s">
        <v>273</v>
      </c>
      <c r="D401" s="26">
        <v>45998.0</v>
      </c>
      <c r="E401" s="22"/>
      <c r="F401" s="22" t="s">
        <v>83</v>
      </c>
      <c r="G401" s="22" t="s">
        <v>1223</v>
      </c>
      <c r="H401" s="22" t="s">
        <v>96</v>
      </c>
      <c r="I401" s="22">
        <v>1.0439100465475E13</v>
      </c>
      <c r="J401" s="22" t="s">
        <v>618</v>
      </c>
      <c r="K401" s="24"/>
      <c r="L401" s="22" t="s">
        <v>98</v>
      </c>
      <c r="M401" s="22">
        <v>1.0</v>
      </c>
      <c r="N401" s="22" t="s">
        <v>87</v>
      </c>
      <c r="O401" s="22" t="s">
        <v>88</v>
      </c>
      <c r="P401" s="24"/>
      <c r="Q401" s="22" t="s">
        <v>90</v>
      </c>
      <c r="R401" s="22">
        <v>3.2700186067267E13</v>
      </c>
      <c r="S401" s="24"/>
      <c r="T401" s="24"/>
      <c r="U401" s="24"/>
      <c r="V401" s="22" t="s">
        <v>55</v>
      </c>
      <c r="W401" s="24"/>
      <c r="X401" s="24"/>
      <c r="Y401" s="22"/>
      <c r="Z401" s="22"/>
      <c r="AA401" s="24"/>
      <c r="AB401" s="24"/>
      <c r="AC401" s="22"/>
      <c r="AD401" s="22"/>
      <c r="AE401" s="24"/>
      <c r="AF401" s="25"/>
      <c r="AG401" s="30"/>
      <c r="AH401" s="30"/>
      <c r="AI401" s="31"/>
      <c r="AJ401" s="31"/>
      <c r="AK401" s="32"/>
    </row>
    <row r="402">
      <c r="A402" s="21" t="s">
        <v>1224</v>
      </c>
      <c r="B402" s="22" t="s">
        <v>1225</v>
      </c>
      <c r="C402" s="22" t="s">
        <v>273</v>
      </c>
      <c r="D402" s="26">
        <v>45998.0</v>
      </c>
      <c r="E402" s="22" t="s">
        <v>134</v>
      </c>
      <c r="F402" s="22" t="s">
        <v>717</v>
      </c>
      <c r="G402" s="22" t="s">
        <v>1226</v>
      </c>
      <c r="H402" s="22" t="s">
        <v>1224</v>
      </c>
      <c r="I402" s="22">
        <v>1.0438172016963E13</v>
      </c>
      <c r="J402" s="22" t="s">
        <v>1227</v>
      </c>
      <c r="K402" s="24"/>
      <c r="L402" s="22" t="s">
        <v>1228</v>
      </c>
      <c r="M402" s="22">
        <v>1.0</v>
      </c>
      <c r="N402" s="22" t="s">
        <v>721</v>
      </c>
      <c r="O402" s="22" t="s">
        <v>722</v>
      </c>
      <c r="P402" s="24"/>
      <c r="Q402" s="22" t="s">
        <v>90</v>
      </c>
      <c r="R402" s="22">
        <v>3.2698145505603E13</v>
      </c>
      <c r="S402" s="24"/>
      <c r="T402" s="24"/>
      <c r="U402" s="24"/>
      <c r="V402" s="22" t="s">
        <v>91</v>
      </c>
      <c r="W402" s="24"/>
      <c r="X402" s="24"/>
      <c r="Y402" s="22"/>
      <c r="Z402" s="22"/>
      <c r="AA402" s="24"/>
      <c r="AB402" s="24"/>
      <c r="AC402" s="22"/>
      <c r="AD402" s="22"/>
      <c r="AE402" s="24"/>
      <c r="AF402" s="25"/>
      <c r="AG402" s="30"/>
      <c r="AH402" s="30"/>
      <c r="AI402" s="31"/>
      <c r="AJ402" s="31"/>
      <c r="AK402" s="32"/>
    </row>
    <row r="403">
      <c r="A403" s="21" t="s">
        <v>529</v>
      </c>
      <c r="B403" s="22" t="s">
        <v>943</v>
      </c>
      <c r="C403" s="22" t="s">
        <v>82</v>
      </c>
      <c r="D403" s="26">
        <v>45997.0</v>
      </c>
      <c r="E403" s="22" t="s">
        <v>145</v>
      </c>
      <c r="F403" s="22" t="s">
        <v>472</v>
      </c>
      <c r="G403" s="22" t="s">
        <v>1229</v>
      </c>
      <c r="H403" s="22" t="s">
        <v>529</v>
      </c>
      <c r="I403" s="22">
        <v>1.0439101448515E13</v>
      </c>
      <c r="J403" s="22" t="s">
        <v>945</v>
      </c>
      <c r="K403" s="24"/>
      <c r="L403" s="22" t="s">
        <v>533</v>
      </c>
      <c r="M403" s="22">
        <v>1.0</v>
      </c>
      <c r="N403" s="22" t="s">
        <v>534</v>
      </c>
      <c r="O403" s="22" t="s">
        <v>535</v>
      </c>
      <c r="P403" s="24"/>
      <c r="Q403" s="22" t="s">
        <v>90</v>
      </c>
      <c r="R403" s="22">
        <v>3.2700188721475E13</v>
      </c>
      <c r="S403" s="24"/>
      <c r="T403" s="24"/>
      <c r="U403" s="24"/>
      <c r="V403" s="22" t="s">
        <v>127</v>
      </c>
      <c r="W403" s="24"/>
      <c r="X403" s="24"/>
      <c r="Y403" s="22"/>
      <c r="Z403" s="22"/>
      <c r="AA403" s="24"/>
      <c r="AB403" s="24"/>
      <c r="AC403" s="22"/>
      <c r="AD403" s="22"/>
      <c r="AE403" s="24"/>
      <c r="AF403" s="25"/>
      <c r="AG403" s="30"/>
      <c r="AH403" s="30"/>
      <c r="AI403" s="31"/>
      <c r="AJ403" s="31"/>
      <c r="AK403" s="32"/>
    </row>
    <row r="404">
      <c r="A404" s="21" t="s">
        <v>938</v>
      </c>
      <c r="B404" s="22" t="s">
        <v>1230</v>
      </c>
      <c r="C404" s="22" t="s">
        <v>82</v>
      </c>
      <c r="D404" s="26">
        <v>45997.0</v>
      </c>
      <c r="E404" s="22" t="s">
        <v>252</v>
      </c>
      <c r="F404" s="22" t="s">
        <v>472</v>
      </c>
      <c r="G404" s="22" t="s">
        <v>1231</v>
      </c>
      <c r="H404" s="22" t="s">
        <v>938</v>
      </c>
      <c r="I404" s="22">
        <v>1.0439201653059E13</v>
      </c>
      <c r="J404" s="22" t="s">
        <v>1232</v>
      </c>
      <c r="K404" s="24"/>
      <c r="L404" s="22" t="s">
        <v>940</v>
      </c>
      <c r="M404" s="22">
        <v>1.0</v>
      </c>
      <c r="N404" s="22" t="s">
        <v>476</v>
      </c>
      <c r="O404" s="22" t="s">
        <v>477</v>
      </c>
      <c r="P404" s="24"/>
      <c r="Q404" s="22" t="s">
        <v>90</v>
      </c>
      <c r="R404" s="22">
        <v>3.2700415639875E13</v>
      </c>
      <c r="S404" s="24"/>
      <c r="T404" s="24"/>
      <c r="U404" s="24"/>
      <c r="V404" s="22" t="s">
        <v>54</v>
      </c>
      <c r="W404" s="24"/>
      <c r="X404" s="24"/>
      <c r="Y404" s="22"/>
      <c r="Z404" s="22"/>
      <c r="AA404" s="24"/>
      <c r="AB404" s="24"/>
      <c r="AC404" s="22"/>
      <c r="AD404" s="22"/>
      <c r="AE404" s="24"/>
      <c r="AF404" s="25"/>
      <c r="AG404" s="30"/>
      <c r="AH404" s="30"/>
      <c r="AI404" s="31"/>
      <c r="AJ404" s="31"/>
      <c r="AK404" s="32"/>
    </row>
    <row r="405">
      <c r="A405" s="21" t="s">
        <v>141</v>
      </c>
      <c r="B405" s="22" t="s">
        <v>297</v>
      </c>
      <c r="C405" s="22" t="s">
        <v>82</v>
      </c>
      <c r="D405" s="26">
        <v>45997.0</v>
      </c>
      <c r="E405" s="22"/>
      <c r="F405" s="22" t="s">
        <v>83</v>
      </c>
      <c r="G405" s="22" t="s">
        <v>1233</v>
      </c>
      <c r="H405" s="22" t="s">
        <v>141</v>
      </c>
      <c r="I405" s="22">
        <v>1.0439216791875E13</v>
      </c>
      <c r="J405" s="22" t="s">
        <v>397</v>
      </c>
      <c r="K405" s="24"/>
      <c r="L405" s="22" t="s">
        <v>143</v>
      </c>
      <c r="M405" s="22">
        <v>1.0</v>
      </c>
      <c r="N405" s="22" t="s">
        <v>87</v>
      </c>
      <c r="O405" s="22" t="s">
        <v>88</v>
      </c>
      <c r="P405" s="24"/>
      <c r="Q405" s="22" t="s">
        <v>90</v>
      </c>
      <c r="R405" s="22">
        <v>3.2700449325379E13</v>
      </c>
      <c r="S405" s="24"/>
      <c r="T405" s="24"/>
      <c r="U405" s="24"/>
      <c r="V405" s="22" t="s">
        <v>54</v>
      </c>
      <c r="W405" s="24"/>
      <c r="X405" s="24"/>
      <c r="Y405" s="22"/>
      <c r="Z405" s="22"/>
      <c r="AA405" s="24"/>
      <c r="AB405" s="24"/>
      <c r="AC405" s="22"/>
      <c r="AD405" s="22"/>
      <c r="AE405" s="24"/>
      <c r="AF405" s="25"/>
      <c r="AG405" s="30"/>
      <c r="AH405" s="30"/>
      <c r="AI405" s="31"/>
      <c r="AJ405" s="31"/>
      <c r="AK405" s="32"/>
    </row>
    <row r="406">
      <c r="A406" s="21" t="s">
        <v>740</v>
      </c>
      <c r="B406" s="22" t="s">
        <v>301</v>
      </c>
      <c r="C406" s="22" t="s">
        <v>82</v>
      </c>
      <c r="D406" s="26">
        <v>45997.0</v>
      </c>
      <c r="E406" s="22" t="s">
        <v>302</v>
      </c>
      <c r="F406" s="22" t="s">
        <v>303</v>
      </c>
      <c r="G406" s="22" t="s">
        <v>1234</v>
      </c>
      <c r="H406" s="22" t="s">
        <v>740</v>
      </c>
      <c r="I406" s="22">
        <v>1.0439223443779E13</v>
      </c>
      <c r="J406" s="22" t="s">
        <v>1235</v>
      </c>
      <c r="K406" s="24"/>
      <c r="L406" s="22" t="s">
        <v>744</v>
      </c>
      <c r="M406" s="22">
        <v>1.0</v>
      </c>
      <c r="N406" s="22" t="s">
        <v>307</v>
      </c>
      <c r="O406" s="22" t="s">
        <v>308</v>
      </c>
      <c r="P406" s="24"/>
      <c r="Q406" s="22" t="s">
        <v>90</v>
      </c>
      <c r="R406" s="22">
        <v>3.2700464857411E13</v>
      </c>
      <c r="S406" s="24"/>
      <c r="T406" s="24"/>
      <c r="U406" s="24"/>
      <c r="V406" s="22" t="s">
        <v>91</v>
      </c>
      <c r="W406" s="24"/>
      <c r="X406" s="24"/>
      <c r="Y406" s="22"/>
      <c r="Z406" s="22"/>
      <c r="AA406" s="24"/>
      <c r="AB406" s="24"/>
      <c r="AC406" s="22"/>
      <c r="AD406" s="22"/>
      <c r="AE406" s="24"/>
      <c r="AF406" s="25"/>
      <c r="AG406" s="30"/>
      <c r="AH406" s="30"/>
      <c r="AI406" s="31"/>
      <c r="AJ406" s="31"/>
      <c r="AK406" s="32"/>
    </row>
    <row r="407">
      <c r="A407" s="21" t="s">
        <v>584</v>
      </c>
      <c r="B407" s="22" t="s">
        <v>512</v>
      </c>
      <c r="C407" s="22" t="s">
        <v>82</v>
      </c>
      <c r="D407" s="26">
        <v>45997.0</v>
      </c>
      <c r="E407" s="22" t="s">
        <v>153</v>
      </c>
      <c r="F407" s="22" t="s">
        <v>377</v>
      </c>
      <c r="G407" s="22" t="s">
        <v>1236</v>
      </c>
      <c r="H407" s="22" t="s">
        <v>584</v>
      </c>
      <c r="I407" s="22">
        <v>1.0439237501251E13</v>
      </c>
      <c r="J407" s="22" t="s">
        <v>514</v>
      </c>
      <c r="K407" s="24"/>
      <c r="L407" s="22" t="s">
        <v>586</v>
      </c>
      <c r="M407" s="22">
        <v>1.0</v>
      </c>
      <c r="N407" s="22" t="s">
        <v>413</v>
      </c>
      <c r="O407" s="22" t="s">
        <v>414</v>
      </c>
      <c r="P407" s="24"/>
      <c r="Q407" s="22" t="s">
        <v>90</v>
      </c>
      <c r="R407" s="22">
        <v>3.2700494610755E13</v>
      </c>
      <c r="S407" s="24"/>
      <c r="T407" s="24"/>
      <c r="U407" s="24"/>
      <c r="V407" s="22" t="s">
        <v>105</v>
      </c>
      <c r="W407" s="24"/>
      <c r="X407" s="24"/>
      <c r="Y407" s="22"/>
      <c r="Z407" s="22"/>
      <c r="AA407" s="24"/>
      <c r="AB407" s="24"/>
      <c r="AC407" s="22"/>
      <c r="AD407" s="22"/>
      <c r="AE407" s="24"/>
      <c r="AF407" s="25"/>
      <c r="AG407" s="30"/>
      <c r="AH407" s="30"/>
      <c r="AI407" s="31"/>
      <c r="AJ407" s="31"/>
      <c r="AK407" s="32"/>
    </row>
    <row r="408">
      <c r="A408" s="21" t="s">
        <v>1175</v>
      </c>
      <c r="B408" s="22" t="s">
        <v>1138</v>
      </c>
      <c r="C408" s="22" t="s">
        <v>273</v>
      </c>
      <c r="D408" s="23">
        <v>45991.0</v>
      </c>
      <c r="E408" s="22" t="s">
        <v>145</v>
      </c>
      <c r="F408" s="22" t="s">
        <v>329</v>
      </c>
      <c r="G408" s="22" t="s">
        <v>1237</v>
      </c>
      <c r="H408" s="22" t="s">
        <v>1175</v>
      </c>
      <c r="I408" s="22">
        <v>1.0439237632323E13</v>
      </c>
      <c r="J408" s="22" t="s">
        <v>1140</v>
      </c>
      <c r="K408" s="24"/>
      <c r="L408" s="22" t="s">
        <v>1179</v>
      </c>
      <c r="M408" s="22">
        <v>1.0</v>
      </c>
      <c r="N408" s="22" t="s">
        <v>907</v>
      </c>
      <c r="O408" s="22" t="s">
        <v>908</v>
      </c>
      <c r="P408" s="24"/>
      <c r="Q408" s="22" t="s">
        <v>90</v>
      </c>
      <c r="R408" s="22">
        <v>3.2700494774595E13</v>
      </c>
      <c r="S408" s="24"/>
      <c r="T408" s="24"/>
      <c r="U408" s="24"/>
      <c r="V408" s="22" t="s">
        <v>127</v>
      </c>
      <c r="W408" s="24"/>
      <c r="X408" s="24"/>
      <c r="Y408" s="22"/>
      <c r="Z408" s="22"/>
      <c r="AA408" s="24"/>
      <c r="AB408" s="24"/>
      <c r="AC408" s="22"/>
      <c r="AD408" s="22"/>
      <c r="AE408" s="24"/>
      <c r="AF408" s="25"/>
      <c r="AG408" s="30"/>
      <c r="AH408" s="30"/>
      <c r="AI408" s="31"/>
      <c r="AJ408" s="31"/>
      <c r="AK408" s="32"/>
    </row>
    <row r="409">
      <c r="A409" s="21" t="s">
        <v>327</v>
      </c>
      <c r="B409" s="22" t="s">
        <v>1238</v>
      </c>
      <c r="C409" s="22" t="s">
        <v>273</v>
      </c>
      <c r="D409" s="23">
        <v>45991.0</v>
      </c>
      <c r="E409" s="22" t="s">
        <v>211</v>
      </c>
      <c r="F409" s="22" t="s">
        <v>329</v>
      </c>
      <c r="G409" s="22" t="s">
        <v>1239</v>
      </c>
      <c r="H409" s="22" t="s">
        <v>327</v>
      </c>
      <c r="I409" s="22">
        <v>1.0439260569923E13</v>
      </c>
      <c r="J409" s="22" t="s">
        <v>1240</v>
      </c>
      <c r="K409" s="24"/>
      <c r="L409" s="22" t="s">
        <v>332</v>
      </c>
      <c r="M409" s="22">
        <v>1.0</v>
      </c>
      <c r="N409" s="22" t="s">
        <v>333</v>
      </c>
      <c r="O409" s="22" t="s">
        <v>334</v>
      </c>
      <c r="P409" s="24"/>
      <c r="Q409" s="22" t="s">
        <v>90</v>
      </c>
      <c r="R409" s="22">
        <v>3.2700545859907E13</v>
      </c>
      <c r="S409" s="24"/>
      <c r="T409" s="24"/>
      <c r="U409" s="24"/>
      <c r="V409" s="22" t="s">
        <v>55</v>
      </c>
      <c r="W409" s="24"/>
      <c r="X409" s="24"/>
      <c r="Y409" s="22"/>
      <c r="Z409" s="22"/>
      <c r="AA409" s="24"/>
      <c r="AB409" s="24"/>
      <c r="AC409" s="22"/>
      <c r="AD409" s="22"/>
      <c r="AE409" s="24"/>
      <c r="AF409" s="25"/>
      <c r="AG409" s="30"/>
      <c r="AH409" s="30"/>
      <c r="AI409" s="31"/>
      <c r="AJ409" s="31"/>
      <c r="AK409" s="32"/>
    </row>
    <row r="410">
      <c r="A410" s="21" t="s">
        <v>885</v>
      </c>
      <c r="B410" s="22" t="s">
        <v>797</v>
      </c>
      <c r="C410" s="22" t="s">
        <v>287</v>
      </c>
      <c r="D410" s="26">
        <v>45994.0</v>
      </c>
      <c r="E410" s="22" t="s">
        <v>252</v>
      </c>
      <c r="F410" s="22" t="s">
        <v>605</v>
      </c>
      <c r="G410" s="22" t="s">
        <v>1241</v>
      </c>
      <c r="H410" s="22" t="s">
        <v>885</v>
      </c>
      <c r="I410" s="22">
        <v>1.0439264960835E13</v>
      </c>
      <c r="J410" s="22" t="s">
        <v>799</v>
      </c>
      <c r="K410" s="24"/>
      <c r="L410" s="22" t="s">
        <v>890</v>
      </c>
      <c r="M410" s="22">
        <v>1.0</v>
      </c>
      <c r="N410" s="22" t="s">
        <v>795</v>
      </c>
      <c r="O410" s="22" t="s">
        <v>796</v>
      </c>
      <c r="P410" s="24"/>
      <c r="Q410" s="22" t="s">
        <v>90</v>
      </c>
      <c r="R410" s="22">
        <v>3.2700555493699E13</v>
      </c>
      <c r="S410" s="24"/>
      <c r="T410" s="24"/>
      <c r="U410" s="24"/>
      <c r="V410" s="22" t="s">
        <v>127</v>
      </c>
      <c r="W410" s="24"/>
      <c r="X410" s="24"/>
      <c r="Y410" s="22"/>
      <c r="Z410" s="22"/>
      <c r="AA410" s="24"/>
      <c r="AB410" s="24"/>
      <c r="AC410" s="22"/>
      <c r="AD410" s="22"/>
      <c r="AE410" s="24"/>
      <c r="AF410" s="25"/>
      <c r="AG410" s="30"/>
      <c r="AH410" s="30"/>
      <c r="AI410" s="31"/>
      <c r="AJ410" s="31"/>
      <c r="AK410" s="32"/>
    </row>
    <row r="411">
      <c r="A411" s="21" t="s">
        <v>1242</v>
      </c>
      <c r="B411" s="22" t="s">
        <v>697</v>
      </c>
      <c r="C411" s="22" t="s">
        <v>82</v>
      </c>
      <c r="D411" s="26">
        <v>45997.0</v>
      </c>
      <c r="E411" s="22" t="s">
        <v>439</v>
      </c>
      <c r="F411" s="22" t="s">
        <v>698</v>
      </c>
      <c r="G411" s="22" t="s">
        <v>1243</v>
      </c>
      <c r="H411" s="22" t="s">
        <v>1242</v>
      </c>
      <c r="I411" s="22">
        <v>1.0439337378115E13</v>
      </c>
      <c r="J411" s="22" t="s">
        <v>700</v>
      </c>
      <c r="K411" s="24"/>
      <c r="L411" s="22" t="s">
        <v>1244</v>
      </c>
      <c r="M411" s="22">
        <v>1.0</v>
      </c>
      <c r="N411" s="22" t="s">
        <v>702</v>
      </c>
      <c r="O411" s="22" t="s">
        <v>703</v>
      </c>
      <c r="P411" s="24"/>
      <c r="Q411" s="22" t="s">
        <v>90</v>
      </c>
      <c r="R411" s="22">
        <v>3.2700722872643E13</v>
      </c>
      <c r="S411" s="24"/>
      <c r="T411" s="24"/>
      <c r="U411" s="24"/>
      <c r="V411" s="22" t="s">
        <v>95</v>
      </c>
      <c r="W411" s="24"/>
      <c r="X411" s="24"/>
      <c r="Y411" s="22"/>
      <c r="Z411" s="22"/>
      <c r="AA411" s="24"/>
      <c r="AB411" s="24"/>
      <c r="AC411" s="22"/>
      <c r="AD411" s="22"/>
      <c r="AE411" s="24"/>
      <c r="AF411" s="25"/>
      <c r="AG411" s="30"/>
      <c r="AH411" s="30"/>
      <c r="AI411" s="31"/>
      <c r="AJ411" s="31"/>
      <c r="AK411" s="32"/>
    </row>
    <row r="412">
      <c r="A412" s="21" t="s">
        <v>327</v>
      </c>
      <c r="B412" s="22" t="s">
        <v>1187</v>
      </c>
      <c r="C412" s="22" t="s">
        <v>273</v>
      </c>
      <c r="D412" s="23">
        <v>45991.0</v>
      </c>
      <c r="E412" s="22" t="s">
        <v>134</v>
      </c>
      <c r="F412" s="22" t="s">
        <v>329</v>
      </c>
      <c r="G412" s="22" t="s">
        <v>1245</v>
      </c>
      <c r="H412" s="22" t="s">
        <v>327</v>
      </c>
      <c r="I412" s="22">
        <v>1.0439428112707E13</v>
      </c>
      <c r="J412" s="22" t="s">
        <v>1189</v>
      </c>
      <c r="K412" s="24"/>
      <c r="L412" s="22" t="s">
        <v>332</v>
      </c>
      <c r="M412" s="22">
        <v>1.0</v>
      </c>
      <c r="N412" s="22" t="s">
        <v>333</v>
      </c>
      <c r="O412" s="22" t="s">
        <v>334</v>
      </c>
      <c r="P412" s="24"/>
      <c r="Q412" s="22" t="s">
        <v>90</v>
      </c>
      <c r="R412" s="22">
        <v>3.2700936454467E13</v>
      </c>
      <c r="S412" s="24"/>
      <c r="T412" s="24"/>
      <c r="U412" s="24"/>
      <c r="V412" s="22" t="s">
        <v>55</v>
      </c>
      <c r="W412" s="24"/>
      <c r="X412" s="24"/>
      <c r="Y412" s="22"/>
      <c r="Z412" s="22"/>
      <c r="AA412" s="24"/>
      <c r="AB412" s="24"/>
      <c r="AC412" s="22"/>
      <c r="AD412" s="22"/>
      <c r="AE412" s="24"/>
      <c r="AF412" s="25"/>
      <c r="AG412" s="30"/>
      <c r="AH412" s="30"/>
      <c r="AI412" s="31"/>
      <c r="AJ412" s="31"/>
      <c r="AK412" s="32"/>
    </row>
    <row r="413">
      <c r="A413" s="21" t="s">
        <v>1246</v>
      </c>
      <c r="B413" s="22" t="s">
        <v>1247</v>
      </c>
      <c r="C413" s="22" t="s">
        <v>82</v>
      </c>
      <c r="D413" s="26">
        <v>45997.0</v>
      </c>
      <c r="E413" s="22" t="s">
        <v>266</v>
      </c>
      <c r="F413" s="22" t="s">
        <v>623</v>
      </c>
      <c r="G413" s="22" t="s">
        <v>1248</v>
      </c>
      <c r="H413" s="22" t="s">
        <v>1246</v>
      </c>
      <c r="I413" s="22">
        <v>1.0439514980675E13</v>
      </c>
      <c r="J413" s="22" t="s">
        <v>1249</v>
      </c>
      <c r="K413" s="24"/>
      <c r="L413" s="22" t="s">
        <v>1250</v>
      </c>
      <c r="M413" s="22">
        <v>1.0</v>
      </c>
      <c r="N413" s="22" t="s">
        <v>1088</v>
      </c>
      <c r="O413" s="22" t="s">
        <v>1089</v>
      </c>
      <c r="P413" s="24"/>
      <c r="Q413" s="22" t="s">
        <v>90</v>
      </c>
      <c r="R413" s="22">
        <v>3.2701140795715E13</v>
      </c>
      <c r="S413" s="24"/>
      <c r="T413" s="24"/>
      <c r="U413" s="24"/>
      <c r="V413" s="22" t="s">
        <v>175</v>
      </c>
      <c r="W413" s="24"/>
      <c r="X413" s="24"/>
      <c r="Y413" s="22"/>
      <c r="Z413" s="22"/>
      <c r="AA413" s="24"/>
      <c r="AB413" s="24"/>
      <c r="AC413" s="22"/>
      <c r="AD413" s="22"/>
      <c r="AE413" s="24"/>
      <c r="AF413" s="25"/>
      <c r="AG413" s="30"/>
      <c r="AH413" s="30"/>
      <c r="AI413" s="31"/>
      <c r="AJ413" s="31"/>
      <c r="AK413" s="32"/>
    </row>
    <row r="414">
      <c r="A414" s="21" t="s">
        <v>339</v>
      </c>
      <c r="B414" s="22" t="s">
        <v>659</v>
      </c>
      <c r="C414" s="22" t="s">
        <v>82</v>
      </c>
      <c r="D414" s="23">
        <v>46004.0</v>
      </c>
      <c r="E414" s="22" t="s">
        <v>187</v>
      </c>
      <c r="F414" s="22" t="s">
        <v>341</v>
      </c>
      <c r="G414" s="22" t="s">
        <v>1251</v>
      </c>
      <c r="H414" s="22" t="s">
        <v>339</v>
      </c>
      <c r="I414" s="22">
        <v>1.0439754809667E13</v>
      </c>
      <c r="J414" s="22" t="s">
        <v>661</v>
      </c>
      <c r="K414" s="24"/>
      <c r="L414" s="22" t="s">
        <v>344</v>
      </c>
      <c r="M414" s="22">
        <v>1.0</v>
      </c>
      <c r="N414" s="22" t="s">
        <v>345</v>
      </c>
      <c r="O414" s="22" t="s">
        <v>346</v>
      </c>
      <c r="P414" s="24"/>
      <c r="Q414" s="22" t="s">
        <v>90</v>
      </c>
      <c r="R414" s="22">
        <v>3.2701516415299E13</v>
      </c>
      <c r="S414" s="24"/>
      <c r="T414" s="24"/>
      <c r="U414" s="24"/>
      <c r="V414" s="22" t="s">
        <v>55</v>
      </c>
      <c r="W414" s="24"/>
      <c r="X414" s="24"/>
      <c r="Y414" s="22"/>
      <c r="Z414" s="22"/>
      <c r="AA414" s="24"/>
      <c r="AB414" s="24"/>
      <c r="AC414" s="22"/>
      <c r="AD414" s="22"/>
      <c r="AE414" s="24"/>
      <c r="AF414" s="25"/>
      <c r="AG414" s="30"/>
      <c r="AH414" s="30"/>
      <c r="AI414" s="31"/>
      <c r="AJ414" s="31"/>
      <c r="AK414" s="32"/>
    </row>
    <row r="415">
      <c r="A415" s="21" t="s">
        <v>96</v>
      </c>
      <c r="B415" s="22" t="s">
        <v>1252</v>
      </c>
      <c r="C415" s="22" t="s">
        <v>82</v>
      </c>
      <c r="D415" s="26">
        <v>45997.0</v>
      </c>
      <c r="E415" s="22" t="s">
        <v>248</v>
      </c>
      <c r="F415" s="22" t="s">
        <v>83</v>
      </c>
      <c r="G415" s="22" t="s">
        <v>1253</v>
      </c>
      <c r="H415" s="22" t="s">
        <v>96</v>
      </c>
      <c r="I415" s="22">
        <v>1.0439840039235E13</v>
      </c>
      <c r="J415" s="22" t="s">
        <v>1254</v>
      </c>
      <c r="K415" s="24"/>
      <c r="L415" s="22" t="s">
        <v>98</v>
      </c>
      <c r="M415" s="22">
        <v>1.0</v>
      </c>
      <c r="N415" s="22" t="s">
        <v>87</v>
      </c>
      <c r="O415" s="22" t="s">
        <v>88</v>
      </c>
      <c r="P415" s="24"/>
      <c r="Q415" s="22" t="s">
        <v>90</v>
      </c>
      <c r="R415" s="22">
        <v>3.2701691035971E13</v>
      </c>
      <c r="S415" s="24"/>
      <c r="T415" s="24"/>
      <c r="U415" s="24"/>
      <c r="V415" s="22" t="s">
        <v>55</v>
      </c>
      <c r="W415" s="24"/>
      <c r="X415" s="24"/>
      <c r="Y415" s="22"/>
      <c r="Z415" s="22"/>
      <c r="AA415" s="24"/>
      <c r="AB415" s="24"/>
      <c r="AC415" s="22"/>
      <c r="AD415" s="22"/>
      <c r="AE415" s="24"/>
      <c r="AF415" s="25"/>
      <c r="AG415" s="30"/>
      <c r="AH415" s="30"/>
      <c r="AI415" s="31"/>
      <c r="AJ415" s="31"/>
      <c r="AK415" s="32"/>
    </row>
    <row r="416">
      <c r="A416" s="21" t="s">
        <v>276</v>
      </c>
      <c r="B416" s="22" t="s">
        <v>1097</v>
      </c>
      <c r="C416" s="22" t="s">
        <v>82</v>
      </c>
      <c r="D416" s="26">
        <v>45997.0</v>
      </c>
      <c r="E416" s="22" t="s">
        <v>145</v>
      </c>
      <c r="F416" s="22" t="s">
        <v>278</v>
      </c>
      <c r="G416" s="22" t="s">
        <v>1255</v>
      </c>
      <c r="H416" s="22" t="s">
        <v>276</v>
      </c>
      <c r="I416" s="22">
        <v>1.0439840104771E13</v>
      </c>
      <c r="J416" s="22" t="s">
        <v>1256</v>
      </c>
      <c r="K416" s="24"/>
      <c r="L416" s="22" t="s">
        <v>281</v>
      </c>
      <c r="M416" s="22">
        <v>1.0</v>
      </c>
      <c r="N416" s="22" t="s">
        <v>282</v>
      </c>
      <c r="O416" s="22" t="s">
        <v>283</v>
      </c>
      <c r="P416" s="24"/>
      <c r="Q416" s="22" t="s">
        <v>90</v>
      </c>
      <c r="R416" s="22">
        <v>3.2701691101507E13</v>
      </c>
      <c r="S416" s="24"/>
      <c r="T416" s="24"/>
      <c r="U416" s="24"/>
      <c r="V416" s="22" t="s">
        <v>55</v>
      </c>
      <c r="W416" s="24"/>
      <c r="X416" s="24"/>
      <c r="Y416" s="22"/>
      <c r="Z416" s="22"/>
      <c r="AA416" s="24"/>
      <c r="AB416" s="24"/>
      <c r="AC416" s="22"/>
      <c r="AD416" s="22"/>
      <c r="AE416" s="24"/>
      <c r="AF416" s="25"/>
      <c r="AG416" s="30"/>
      <c r="AH416" s="30"/>
      <c r="AI416" s="31"/>
      <c r="AJ416" s="31"/>
      <c r="AK416" s="32"/>
    </row>
    <row r="417">
      <c r="A417" s="21" t="s">
        <v>375</v>
      </c>
      <c r="B417" s="22" t="s">
        <v>512</v>
      </c>
      <c r="C417" s="22" t="s">
        <v>82</v>
      </c>
      <c r="D417" s="26">
        <v>45997.0</v>
      </c>
      <c r="E417" s="22" t="s">
        <v>153</v>
      </c>
      <c r="F417" s="22" t="s">
        <v>377</v>
      </c>
      <c r="G417" s="22" t="s">
        <v>1257</v>
      </c>
      <c r="H417" s="22" t="s">
        <v>375</v>
      </c>
      <c r="I417" s="22">
        <v>1.0439848886595E13</v>
      </c>
      <c r="J417" s="22" t="s">
        <v>514</v>
      </c>
      <c r="K417" s="24"/>
      <c r="L417" s="22" t="s">
        <v>380</v>
      </c>
      <c r="M417" s="22">
        <v>1.0</v>
      </c>
      <c r="N417" s="22" t="s">
        <v>381</v>
      </c>
      <c r="O417" s="22" t="s">
        <v>382</v>
      </c>
      <c r="P417" s="24"/>
      <c r="Q417" s="22" t="s">
        <v>90</v>
      </c>
      <c r="R417" s="22">
        <v>3.2701710074179E13</v>
      </c>
      <c r="S417" s="24"/>
      <c r="T417" s="24"/>
      <c r="U417" s="24"/>
      <c r="V417" s="22" t="s">
        <v>55</v>
      </c>
      <c r="W417" s="24"/>
      <c r="X417" s="24"/>
      <c r="Y417" s="22"/>
      <c r="Z417" s="22"/>
      <c r="AA417" s="24"/>
      <c r="AB417" s="24"/>
      <c r="AC417" s="22"/>
      <c r="AD417" s="22"/>
      <c r="AE417" s="24"/>
      <c r="AF417" s="25"/>
      <c r="AG417" s="30"/>
      <c r="AH417" s="30"/>
      <c r="AI417" s="31"/>
      <c r="AJ417" s="31"/>
      <c r="AK417" s="32"/>
    </row>
    <row r="418">
      <c r="A418" s="21" t="s">
        <v>1105</v>
      </c>
      <c r="B418" s="22" t="s">
        <v>1258</v>
      </c>
      <c r="C418" s="22" t="s">
        <v>273</v>
      </c>
      <c r="D418" s="23">
        <v>45991.0</v>
      </c>
      <c r="E418" s="22" t="s">
        <v>149</v>
      </c>
      <c r="F418" s="22" t="s">
        <v>329</v>
      </c>
      <c r="G418" s="22" t="s">
        <v>1259</v>
      </c>
      <c r="H418" s="22" t="s">
        <v>1105</v>
      </c>
      <c r="I418" s="22">
        <v>1.0439866384707E13</v>
      </c>
      <c r="J418" s="22" t="s">
        <v>1260</v>
      </c>
      <c r="K418" s="24"/>
      <c r="L418" s="22" t="s">
        <v>1107</v>
      </c>
      <c r="M418" s="22">
        <v>1.0</v>
      </c>
      <c r="N418" s="22" t="s">
        <v>333</v>
      </c>
      <c r="O418" s="22" t="s">
        <v>334</v>
      </c>
      <c r="P418" s="24"/>
      <c r="Q418" s="22" t="s">
        <v>90</v>
      </c>
      <c r="R418" s="22">
        <v>3.2701749920067E13</v>
      </c>
      <c r="S418" s="24"/>
      <c r="T418" s="24"/>
      <c r="U418" s="24"/>
      <c r="V418" s="22" t="s">
        <v>95</v>
      </c>
      <c r="W418" s="24"/>
      <c r="X418" s="24"/>
      <c r="Y418" s="22"/>
      <c r="Z418" s="22"/>
      <c r="AA418" s="24"/>
      <c r="AB418" s="24"/>
      <c r="AC418" s="22"/>
      <c r="AD418" s="22"/>
      <c r="AE418" s="24"/>
      <c r="AF418" s="25"/>
      <c r="AG418" s="30"/>
      <c r="AH418" s="30"/>
      <c r="AI418" s="31"/>
      <c r="AJ418" s="31"/>
      <c r="AK418" s="32"/>
    </row>
    <row r="419">
      <c r="A419" s="21" t="s">
        <v>386</v>
      </c>
      <c r="B419" s="22" t="s">
        <v>1042</v>
      </c>
      <c r="C419" s="22" t="s">
        <v>287</v>
      </c>
      <c r="D419" s="26">
        <v>45994.0</v>
      </c>
      <c r="E419" s="22" t="s">
        <v>134</v>
      </c>
      <c r="F419" s="22" t="s">
        <v>311</v>
      </c>
      <c r="G419" s="22" t="s">
        <v>1261</v>
      </c>
      <c r="H419" s="22" t="s">
        <v>386</v>
      </c>
      <c r="I419" s="22">
        <v>1.0439870546243E13</v>
      </c>
      <c r="J419" s="22" t="s">
        <v>1044</v>
      </c>
      <c r="K419" s="24"/>
      <c r="L419" s="22" t="s">
        <v>390</v>
      </c>
      <c r="M419" s="22">
        <v>1.0</v>
      </c>
      <c r="N419" s="22" t="s">
        <v>391</v>
      </c>
      <c r="O419" s="22" t="s">
        <v>392</v>
      </c>
      <c r="P419" s="24"/>
      <c r="Q419" s="22" t="s">
        <v>90</v>
      </c>
      <c r="R419" s="22">
        <v>3.2701760504131E13</v>
      </c>
      <c r="S419" s="24"/>
      <c r="T419" s="24"/>
      <c r="U419" s="24"/>
      <c r="V419" s="22" t="s">
        <v>55</v>
      </c>
      <c r="W419" s="24"/>
      <c r="X419" s="24"/>
      <c r="Y419" s="22"/>
      <c r="Z419" s="22"/>
      <c r="AA419" s="24"/>
      <c r="AB419" s="24"/>
      <c r="AC419" s="22"/>
      <c r="AD419" s="22"/>
      <c r="AE419" s="24"/>
      <c r="AF419" s="25"/>
      <c r="AG419" s="30"/>
      <c r="AH419" s="30"/>
      <c r="AI419" s="31"/>
      <c r="AJ419" s="31"/>
      <c r="AK419" s="32"/>
    </row>
    <row r="420">
      <c r="A420" s="21" t="s">
        <v>879</v>
      </c>
      <c r="B420" s="22" t="s">
        <v>1262</v>
      </c>
      <c r="C420" s="22" t="s">
        <v>82</v>
      </c>
      <c r="D420" s="26">
        <v>45997.0</v>
      </c>
      <c r="E420" s="22" t="s">
        <v>219</v>
      </c>
      <c r="F420" s="22" t="s">
        <v>341</v>
      </c>
      <c r="G420" s="22" t="s">
        <v>1263</v>
      </c>
      <c r="H420" s="22" t="s">
        <v>879</v>
      </c>
      <c r="I420" s="22">
        <v>1.0438491472195E13</v>
      </c>
      <c r="J420" s="22" t="s">
        <v>1264</v>
      </c>
      <c r="K420" s="24"/>
      <c r="L420" s="22" t="s">
        <v>881</v>
      </c>
      <c r="M420" s="22">
        <v>1.0</v>
      </c>
      <c r="N420" s="22" t="s">
        <v>882</v>
      </c>
      <c r="O420" s="22" t="s">
        <v>883</v>
      </c>
      <c r="P420" s="24"/>
      <c r="Q420" s="22" t="s">
        <v>90</v>
      </c>
      <c r="R420" s="22">
        <v>3.2698852344131E13</v>
      </c>
      <c r="S420" s="24"/>
      <c r="T420" s="24"/>
      <c r="U420" s="24"/>
      <c r="V420" s="22" t="s">
        <v>127</v>
      </c>
      <c r="W420" s="24"/>
      <c r="X420" s="24"/>
      <c r="Y420" s="22"/>
      <c r="Z420" s="22"/>
      <c r="AA420" s="24"/>
      <c r="AB420" s="24"/>
      <c r="AC420" s="22"/>
      <c r="AD420" s="22"/>
      <c r="AE420" s="24"/>
      <c r="AF420" s="25"/>
      <c r="AG420" s="30"/>
      <c r="AH420" s="30"/>
      <c r="AI420" s="31"/>
      <c r="AJ420" s="31"/>
      <c r="AK420" s="32"/>
    </row>
    <row r="421">
      <c r="A421" s="21" t="s">
        <v>1265</v>
      </c>
      <c r="B421" s="22" t="s">
        <v>1262</v>
      </c>
      <c r="C421" s="22" t="s">
        <v>82</v>
      </c>
      <c r="D421" s="26">
        <v>45997.0</v>
      </c>
      <c r="E421" s="22" t="s">
        <v>219</v>
      </c>
      <c r="F421" s="22" t="s">
        <v>341</v>
      </c>
      <c r="G421" s="22" t="s">
        <v>1263</v>
      </c>
      <c r="H421" s="22" t="s">
        <v>1265</v>
      </c>
      <c r="I421" s="22">
        <v>1.0438491472195E13</v>
      </c>
      <c r="J421" s="22" t="s">
        <v>1264</v>
      </c>
      <c r="K421" s="24"/>
      <c r="L421" s="22" t="s">
        <v>1266</v>
      </c>
      <c r="M421" s="22">
        <v>1.0</v>
      </c>
      <c r="N421" s="22" t="s">
        <v>1267</v>
      </c>
      <c r="O421" s="22" t="s">
        <v>1268</v>
      </c>
      <c r="P421" s="24"/>
      <c r="Q421" s="22" t="s">
        <v>90</v>
      </c>
      <c r="R421" s="22">
        <v>3.2739603513667E13</v>
      </c>
      <c r="S421" s="24"/>
      <c r="T421" s="24"/>
      <c r="U421" s="24"/>
      <c r="V421" s="22" t="s">
        <v>127</v>
      </c>
      <c r="W421" s="24"/>
      <c r="X421" s="24"/>
      <c r="Y421" s="22"/>
      <c r="Z421" s="22"/>
      <c r="AA421" s="24"/>
      <c r="AB421" s="24"/>
      <c r="AC421" s="22"/>
      <c r="AD421" s="22"/>
      <c r="AE421" s="24"/>
      <c r="AF421" s="25"/>
      <c r="AG421" s="30"/>
      <c r="AH421" s="30"/>
      <c r="AI421" s="31"/>
      <c r="AJ421" s="31"/>
      <c r="AK421" s="32"/>
    </row>
    <row r="422">
      <c r="A422" s="21" t="s">
        <v>1269</v>
      </c>
      <c r="B422" s="22" t="s">
        <v>355</v>
      </c>
      <c r="C422" s="22" t="s">
        <v>273</v>
      </c>
      <c r="D422" s="23">
        <v>45991.0</v>
      </c>
      <c r="E422" s="22" t="s">
        <v>149</v>
      </c>
      <c r="F422" s="22" t="s">
        <v>356</v>
      </c>
      <c r="G422" s="22" t="s">
        <v>1270</v>
      </c>
      <c r="H422" s="22" t="s">
        <v>1269</v>
      </c>
      <c r="I422" s="22">
        <v>1.0439171047747E13</v>
      </c>
      <c r="J422" s="22" t="s">
        <v>562</v>
      </c>
      <c r="K422" s="24"/>
      <c r="L422" s="22" t="s">
        <v>1271</v>
      </c>
      <c r="M422" s="22">
        <v>1.0</v>
      </c>
      <c r="N422" s="22" t="s">
        <v>1272</v>
      </c>
      <c r="O422" s="22" t="s">
        <v>1273</v>
      </c>
      <c r="P422" s="24"/>
      <c r="Q422" s="22" t="s">
        <v>90</v>
      </c>
      <c r="R422" s="22">
        <v>3.2700342829379E13</v>
      </c>
      <c r="S422" s="24"/>
      <c r="T422" s="24"/>
      <c r="U422" s="24"/>
      <c r="V422" s="22" t="s">
        <v>105</v>
      </c>
      <c r="W422" s="24"/>
      <c r="X422" s="24"/>
      <c r="Y422" s="22"/>
      <c r="Z422" s="22"/>
      <c r="AA422" s="24"/>
      <c r="AB422" s="24"/>
      <c r="AC422" s="22"/>
      <c r="AD422" s="22"/>
      <c r="AE422" s="24"/>
      <c r="AF422" s="25"/>
      <c r="AG422" s="30"/>
      <c r="AH422" s="30"/>
      <c r="AI422" s="31"/>
      <c r="AJ422" s="31"/>
      <c r="AK422" s="32"/>
    </row>
    <row r="423">
      <c r="A423" s="21" t="s">
        <v>1274</v>
      </c>
      <c r="B423" s="22" t="s">
        <v>450</v>
      </c>
      <c r="C423" s="22" t="s">
        <v>82</v>
      </c>
      <c r="D423" s="26">
        <v>45997.0</v>
      </c>
      <c r="E423" s="22" t="s">
        <v>134</v>
      </c>
      <c r="F423" s="22" t="s">
        <v>451</v>
      </c>
      <c r="G423" s="22" t="s">
        <v>1275</v>
      </c>
      <c r="H423" s="22" t="s">
        <v>1274</v>
      </c>
      <c r="I423" s="22">
        <v>1.0439099482435E13</v>
      </c>
      <c r="J423" s="22" t="s">
        <v>453</v>
      </c>
      <c r="K423" s="24"/>
      <c r="L423" s="22" t="s">
        <v>1276</v>
      </c>
      <c r="M423" s="22">
        <v>1.0</v>
      </c>
      <c r="N423" s="22" t="s">
        <v>1277</v>
      </c>
      <c r="O423" s="22" t="s">
        <v>1278</v>
      </c>
      <c r="P423" s="24"/>
      <c r="Q423" s="22" t="s">
        <v>90</v>
      </c>
      <c r="R423" s="22">
        <v>3.2700183347523E13</v>
      </c>
      <c r="S423" s="24"/>
      <c r="T423" s="24"/>
      <c r="U423" s="24"/>
      <c r="V423" s="22" t="s">
        <v>127</v>
      </c>
      <c r="W423" s="24"/>
      <c r="X423" s="24"/>
      <c r="Y423" s="22"/>
      <c r="Z423" s="22"/>
      <c r="AA423" s="24"/>
      <c r="AB423" s="24"/>
      <c r="AC423" s="22"/>
      <c r="AD423" s="22"/>
      <c r="AE423" s="24"/>
      <c r="AF423" s="25"/>
      <c r="AG423" s="30"/>
      <c r="AH423" s="30"/>
      <c r="AI423" s="31"/>
      <c r="AJ423" s="31"/>
      <c r="AK423" s="32"/>
    </row>
    <row r="424">
      <c r="A424" s="21" t="s">
        <v>367</v>
      </c>
      <c r="B424" s="22" t="s">
        <v>424</v>
      </c>
      <c r="C424" s="22" t="s">
        <v>273</v>
      </c>
      <c r="D424" s="26">
        <v>45998.0</v>
      </c>
      <c r="E424" s="22" t="s">
        <v>134</v>
      </c>
      <c r="F424" s="22" t="s">
        <v>369</v>
      </c>
      <c r="G424" s="22" t="s">
        <v>1279</v>
      </c>
      <c r="H424" s="22" t="s">
        <v>367</v>
      </c>
      <c r="I424" s="22">
        <v>1.0439875395907E13</v>
      </c>
      <c r="J424" s="22" t="s">
        <v>426</v>
      </c>
      <c r="K424" s="24"/>
      <c r="L424" s="22" t="s">
        <v>372</v>
      </c>
      <c r="M424" s="22">
        <v>1.0</v>
      </c>
      <c r="N424" s="22" t="s">
        <v>373</v>
      </c>
      <c r="O424" s="22" t="s">
        <v>374</v>
      </c>
      <c r="P424" s="24"/>
      <c r="Q424" s="22" t="s">
        <v>90</v>
      </c>
      <c r="R424" s="22">
        <v>3.2701771710787E13</v>
      </c>
      <c r="S424" s="24"/>
      <c r="T424" s="24"/>
      <c r="U424" s="24"/>
      <c r="V424" s="22" t="s">
        <v>55</v>
      </c>
      <c r="W424" s="24"/>
      <c r="X424" s="24"/>
      <c r="Y424" s="22"/>
      <c r="Z424" s="22"/>
      <c r="AA424" s="24"/>
      <c r="AB424" s="24"/>
      <c r="AC424" s="22"/>
      <c r="AD424" s="22"/>
      <c r="AE424" s="24"/>
      <c r="AF424" s="25"/>
      <c r="AG424" s="30"/>
      <c r="AH424" s="30"/>
      <c r="AI424" s="31"/>
      <c r="AJ424" s="31"/>
      <c r="AK424" s="32"/>
    </row>
    <row r="425">
      <c r="A425" s="21" t="s">
        <v>979</v>
      </c>
      <c r="B425" s="22" t="s">
        <v>1280</v>
      </c>
      <c r="C425" s="22" t="s">
        <v>82</v>
      </c>
      <c r="D425" s="26">
        <v>45997.0</v>
      </c>
      <c r="E425" s="22" t="s">
        <v>149</v>
      </c>
      <c r="F425" s="22" t="s">
        <v>605</v>
      </c>
      <c r="G425" s="22" t="s">
        <v>1281</v>
      </c>
      <c r="H425" s="22" t="s">
        <v>979</v>
      </c>
      <c r="I425" s="22">
        <v>1.0439876018499E13</v>
      </c>
      <c r="J425" s="22" t="s">
        <v>1282</v>
      </c>
      <c r="K425" s="24"/>
      <c r="L425" s="22" t="s">
        <v>984</v>
      </c>
      <c r="M425" s="22">
        <v>1.0</v>
      </c>
      <c r="N425" s="22" t="s">
        <v>609</v>
      </c>
      <c r="O425" s="22" t="s">
        <v>610</v>
      </c>
      <c r="P425" s="24"/>
      <c r="Q425" s="22" t="s">
        <v>90</v>
      </c>
      <c r="R425" s="22">
        <v>3.2701772824899E13</v>
      </c>
      <c r="S425" s="24"/>
      <c r="T425" s="24"/>
      <c r="U425" s="24"/>
      <c r="V425" s="22" t="s">
        <v>55</v>
      </c>
      <c r="W425" s="24"/>
      <c r="X425" s="24"/>
      <c r="Y425" s="22"/>
      <c r="Z425" s="22"/>
      <c r="AA425" s="24"/>
      <c r="AB425" s="24"/>
      <c r="AC425" s="22"/>
      <c r="AD425" s="22"/>
      <c r="AE425" s="24"/>
      <c r="AF425" s="25"/>
      <c r="AG425" s="30"/>
      <c r="AH425" s="30"/>
      <c r="AI425" s="31"/>
      <c r="AJ425" s="31"/>
      <c r="AK425" s="32"/>
    </row>
    <row r="426">
      <c r="A426" s="21" t="s">
        <v>124</v>
      </c>
      <c r="B426" s="22" t="s">
        <v>1283</v>
      </c>
      <c r="C426" s="22" t="s">
        <v>1284</v>
      </c>
      <c r="D426" s="26">
        <v>45993.0</v>
      </c>
      <c r="E426" s="22" t="s">
        <v>149</v>
      </c>
      <c r="F426" s="22" t="s">
        <v>83</v>
      </c>
      <c r="G426" s="22" t="s">
        <v>1285</v>
      </c>
      <c r="H426" s="22" t="s">
        <v>124</v>
      </c>
      <c r="I426" s="22">
        <v>1.0439918551363E13</v>
      </c>
      <c r="J426" s="22" t="s">
        <v>1286</v>
      </c>
      <c r="K426" s="24"/>
      <c r="L426" s="22" t="s">
        <v>126</v>
      </c>
      <c r="M426" s="22">
        <v>1.0</v>
      </c>
      <c r="N426" s="22" t="s">
        <v>103</v>
      </c>
      <c r="O426" s="22" t="s">
        <v>104</v>
      </c>
      <c r="P426" s="24"/>
      <c r="Q426" s="22" t="s">
        <v>90</v>
      </c>
      <c r="R426" s="22">
        <v>3.2701878468931E13</v>
      </c>
      <c r="S426" s="24"/>
      <c r="T426" s="24"/>
      <c r="U426" s="24"/>
      <c r="V426" s="22" t="s">
        <v>127</v>
      </c>
      <c r="W426" s="24"/>
      <c r="X426" s="24"/>
      <c r="Y426" s="22"/>
      <c r="Z426" s="22"/>
      <c r="AA426" s="24"/>
      <c r="AB426" s="24"/>
      <c r="AC426" s="22"/>
      <c r="AD426" s="22"/>
      <c r="AE426" s="24"/>
      <c r="AF426" s="25"/>
      <c r="AG426" s="30"/>
      <c r="AH426" s="30"/>
      <c r="AI426" s="31"/>
      <c r="AJ426" s="31"/>
      <c r="AK426" s="32"/>
    </row>
    <row r="427">
      <c r="A427" s="21" t="s">
        <v>611</v>
      </c>
      <c r="B427" s="22" t="s">
        <v>424</v>
      </c>
      <c r="C427" s="22" t="s">
        <v>273</v>
      </c>
      <c r="D427" s="26">
        <v>45998.0</v>
      </c>
      <c r="E427" s="22" t="s">
        <v>134</v>
      </c>
      <c r="F427" s="22" t="s">
        <v>369</v>
      </c>
      <c r="G427" s="22" t="s">
        <v>1287</v>
      </c>
      <c r="H427" s="22" t="s">
        <v>611</v>
      </c>
      <c r="I427" s="22">
        <v>1.0439966884163E13</v>
      </c>
      <c r="J427" s="22" t="s">
        <v>426</v>
      </c>
      <c r="K427" s="24"/>
      <c r="L427" s="22" t="s">
        <v>613</v>
      </c>
      <c r="M427" s="22">
        <v>2.0</v>
      </c>
      <c r="N427" s="22" t="s">
        <v>600</v>
      </c>
      <c r="O427" s="22" t="s">
        <v>601</v>
      </c>
      <c r="P427" s="24"/>
      <c r="Q427" s="22" t="s">
        <v>90</v>
      </c>
      <c r="R427" s="22">
        <v>3.2701995352387E13</v>
      </c>
      <c r="S427" s="24"/>
      <c r="T427" s="24"/>
      <c r="U427" s="24"/>
      <c r="V427" s="22" t="s">
        <v>105</v>
      </c>
      <c r="W427" s="24"/>
      <c r="X427" s="24"/>
      <c r="Y427" s="22"/>
      <c r="Z427" s="22"/>
      <c r="AA427" s="24"/>
      <c r="AB427" s="24"/>
      <c r="AC427" s="22"/>
      <c r="AD427" s="22"/>
      <c r="AE427" s="24"/>
      <c r="AF427" s="25"/>
      <c r="AG427" s="30"/>
      <c r="AH427" s="30"/>
      <c r="AI427" s="31"/>
      <c r="AJ427" s="31"/>
      <c r="AK427" s="32"/>
    </row>
    <row r="428">
      <c r="A428" s="21" t="s">
        <v>1274</v>
      </c>
      <c r="B428" s="22" t="s">
        <v>450</v>
      </c>
      <c r="C428" s="22" t="s">
        <v>82</v>
      </c>
      <c r="D428" s="26">
        <v>45997.0</v>
      </c>
      <c r="E428" s="22" t="s">
        <v>134</v>
      </c>
      <c r="F428" s="22" t="s">
        <v>451</v>
      </c>
      <c r="G428" s="22" t="s">
        <v>1288</v>
      </c>
      <c r="H428" s="22" t="s">
        <v>1274</v>
      </c>
      <c r="I428" s="22">
        <v>1.0440140587331E13</v>
      </c>
      <c r="J428" s="22" t="s">
        <v>453</v>
      </c>
      <c r="K428" s="24"/>
      <c r="L428" s="22" t="s">
        <v>1276</v>
      </c>
      <c r="M428" s="22">
        <v>1.0</v>
      </c>
      <c r="N428" s="22" t="s">
        <v>1277</v>
      </c>
      <c r="O428" s="22" t="s">
        <v>1278</v>
      </c>
      <c r="P428" s="24"/>
      <c r="Q428" s="22" t="s">
        <v>90</v>
      </c>
      <c r="R428" s="22">
        <v>3.2702392828227E13</v>
      </c>
      <c r="S428" s="24"/>
      <c r="T428" s="24"/>
      <c r="U428" s="24"/>
      <c r="V428" s="22" t="s">
        <v>127</v>
      </c>
      <c r="W428" s="24"/>
      <c r="X428" s="24"/>
      <c r="Y428" s="22"/>
      <c r="Z428" s="22"/>
      <c r="AA428" s="24"/>
      <c r="AB428" s="24"/>
      <c r="AC428" s="22"/>
      <c r="AD428" s="22"/>
      <c r="AE428" s="24"/>
      <c r="AF428" s="25"/>
      <c r="AG428" s="30"/>
      <c r="AH428" s="30"/>
      <c r="AI428" s="31"/>
      <c r="AJ428" s="31"/>
      <c r="AK428" s="32"/>
    </row>
    <row r="429">
      <c r="A429" s="21" t="s">
        <v>560</v>
      </c>
      <c r="B429" s="22" t="s">
        <v>355</v>
      </c>
      <c r="C429" s="22" t="s">
        <v>273</v>
      </c>
      <c r="D429" s="23">
        <v>45991.0</v>
      </c>
      <c r="E429" s="22" t="s">
        <v>149</v>
      </c>
      <c r="F429" s="22" t="s">
        <v>356</v>
      </c>
      <c r="G429" s="22" t="s">
        <v>1289</v>
      </c>
      <c r="H429" s="22" t="s">
        <v>560</v>
      </c>
      <c r="I429" s="22">
        <v>1.0440470266179E13</v>
      </c>
      <c r="J429" s="22" t="s">
        <v>562</v>
      </c>
      <c r="K429" s="24"/>
      <c r="L429" s="22" t="s">
        <v>563</v>
      </c>
      <c r="M429" s="22">
        <v>1.0</v>
      </c>
      <c r="N429" s="22" t="s">
        <v>360</v>
      </c>
      <c r="O429" s="22" t="s">
        <v>361</v>
      </c>
      <c r="P429" s="24"/>
      <c r="Q429" s="22" t="s">
        <v>90</v>
      </c>
      <c r="R429" s="22">
        <v>3.2703110250819E13</v>
      </c>
      <c r="S429" s="24"/>
      <c r="T429" s="24"/>
      <c r="U429" s="24"/>
      <c r="V429" s="22" t="s">
        <v>91</v>
      </c>
      <c r="W429" s="24"/>
      <c r="X429" s="24"/>
      <c r="Y429" s="22"/>
      <c r="Z429" s="24"/>
      <c r="AA429" s="24"/>
      <c r="AB429" s="24"/>
      <c r="AC429" s="22"/>
      <c r="AD429" s="22"/>
      <c r="AE429" s="24"/>
      <c r="AF429" s="25"/>
      <c r="AG429" s="30"/>
      <c r="AH429" s="30"/>
      <c r="AI429" s="31"/>
      <c r="AJ429" s="31"/>
      <c r="AK429" s="32"/>
    </row>
    <row r="430">
      <c r="A430" s="21" t="s">
        <v>938</v>
      </c>
      <c r="B430" s="22" t="s">
        <v>471</v>
      </c>
      <c r="C430" s="22" t="s">
        <v>82</v>
      </c>
      <c r="D430" s="26">
        <v>45997.0</v>
      </c>
      <c r="E430" s="22" t="s">
        <v>134</v>
      </c>
      <c r="F430" s="22" t="s">
        <v>472</v>
      </c>
      <c r="G430" s="22" t="s">
        <v>1290</v>
      </c>
      <c r="H430" s="22" t="s">
        <v>938</v>
      </c>
      <c r="I430" s="22">
        <v>1.0440510177603E13</v>
      </c>
      <c r="J430" s="22" t="s">
        <v>851</v>
      </c>
      <c r="K430" s="24"/>
      <c r="L430" s="22" t="s">
        <v>940</v>
      </c>
      <c r="M430" s="22">
        <v>1.0</v>
      </c>
      <c r="N430" s="22" t="s">
        <v>476</v>
      </c>
      <c r="O430" s="22" t="s">
        <v>477</v>
      </c>
      <c r="P430" s="24"/>
      <c r="Q430" s="22" t="s">
        <v>90</v>
      </c>
      <c r="R430" s="22">
        <v>3.2703196102979E13</v>
      </c>
      <c r="S430" s="24"/>
      <c r="T430" s="24"/>
      <c r="U430" s="24"/>
      <c r="V430" s="22" t="s">
        <v>54</v>
      </c>
      <c r="W430" s="24"/>
      <c r="X430" s="24"/>
      <c r="Y430" s="22"/>
      <c r="Z430" s="22"/>
      <c r="AA430" s="24"/>
      <c r="AB430" s="24"/>
      <c r="AC430" s="22"/>
      <c r="AD430" s="22"/>
      <c r="AE430" s="24"/>
      <c r="AF430" s="25"/>
      <c r="AG430" s="30"/>
      <c r="AH430" s="30"/>
      <c r="AI430" s="31"/>
      <c r="AJ430" s="31"/>
      <c r="AK430" s="32"/>
    </row>
    <row r="431">
      <c r="A431" s="21" t="s">
        <v>602</v>
      </c>
      <c r="B431" s="22" t="s">
        <v>1280</v>
      </c>
      <c r="C431" s="22" t="s">
        <v>82</v>
      </c>
      <c r="D431" s="26">
        <v>45997.0</v>
      </c>
      <c r="E431" s="22" t="s">
        <v>149</v>
      </c>
      <c r="F431" s="22" t="s">
        <v>605</v>
      </c>
      <c r="G431" s="22" t="s">
        <v>1291</v>
      </c>
      <c r="H431" s="22" t="s">
        <v>602</v>
      </c>
      <c r="I431" s="22">
        <v>1.0440333295939E13</v>
      </c>
      <c r="J431" s="22" t="s">
        <v>1282</v>
      </c>
      <c r="K431" s="24"/>
      <c r="L431" s="22" t="s">
        <v>608</v>
      </c>
      <c r="M431" s="22">
        <v>1.0</v>
      </c>
      <c r="N431" s="22" t="s">
        <v>609</v>
      </c>
      <c r="O431" s="22" t="s">
        <v>610</v>
      </c>
      <c r="P431" s="24"/>
      <c r="Q431" s="22" t="s">
        <v>90</v>
      </c>
      <c r="R431" s="22">
        <v>3.2702816682307E13</v>
      </c>
      <c r="S431" s="24"/>
      <c r="T431" s="24"/>
      <c r="U431" s="24"/>
      <c r="V431" s="22" t="s">
        <v>54</v>
      </c>
      <c r="W431" s="24"/>
      <c r="X431" s="24"/>
      <c r="Y431" s="22"/>
      <c r="Z431" s="22"/>
      <c r="AA431" s="24"/>
      <c r="AB431" s="24"/>
      <c r="AC431" s="22"/>
      <c r="AD431" s="22"/>
      <c r="AE431" s="24"/>
      <c r="AF431" s="25"/>
      <c r="AG431" s="30"/>
      <c r="AH431" s="30"/>
      <c r="AI431" s="31"/>
      <c r="AJ431" s="31"/>
      <c r="AK431" s="32"/>
    </row>
    <row r="432">
      <c r="A432" s="21" t="s">
        <v>709</v>
      </c>
      <c r="B432" s="22" t="s">
        <v>1000</v>
      </c>
      <c r="C432" s="22" t="s">
        <v>273</v>
      </c>
      <c r="D432" s="26">
        <v>45998.0</v>
      </c>
      <c r="E432" s="22" t="s">
        <v>134</v>
      </c>
      <c r="F432" s="22" t="s">
        <v>311</v>
      </c>
      <c r="G432" s="22" t="s">
        <v>1292</v>
      </c>
      <c r="H432" s="22" t="s">
        <v>709</v>
      </c>
      <c r="I432" s="22">
        <v>1.0440601928003E13</v>
      </c>
      <c r="J432" s="22" t="s">
        <v>1002</v>
      </c>
      <c r="K432" s="24"/>
      <c r="L432" s="22" t="s">
        <v>713</v>
      </c>
      <c r="M432" s="22">
        <v>1.0</v>
      </c>
      <c r="N432" s="22" t="s">
        <v>391</v>
      </c>
      <c r="O432" s="22" t="s">
        <v>392</v>
      </c>
      <c r="P432" s="24"/>
      <c r="Q432" s="22" t="s">
        <v>90</v>
      </c>
      <c r="R432" s="22">
        <v>3.2703394939203E13</v>
      </c>
      <c r="S432" s="24"/>
      <c r="T432" s="24"/>
      <c r="U432" s="24"/>
      <c r="V432" s="22" t="s">
        <v>91</v>
      </c>
      <c r="W432" s="24"/>
      <c r="X432" s="24"/>
      <c r="Y432" s="22"/>
      <c r="Z432" s="22"/>
      <c r="AA432" s="24"/>
      <c r="AB432" s="24"/>
      <c r="AC432" s="22"/>
      <c r="AD432" s="22"/>
      <c r="AE432" s="24"/>
      <c r="AF432" s="25"/>
      <c r="AG432" s="30"/>
      <c r="AH432" s="30"/>
      <c r="AI432" s="31"/>
      <c r="AJ432" s="31"/>
      <c r="AK432" s="32"/>
    </row>
    <row r="433">
      <c r="A433" s="21" t="s">
        <v>166</v>
      </c>
      <c r="B433" s="22" t="s">
        <v>773</v>
      </c>
      <c r="C433" s="22" t="s">
        <v>273</v>
      </c>
      <c r="D433" s="23">
        <v>45991.0</v>
      </c>
      <c r="E433" s="22" t="s">
        <v>211</v>
      </c>
      <c r="F433" s="22" t="s">
        <v>111</v>
      </c>
      <c r="G433" s="22" t="s">
        <v>1293</v>
      </c>
      <c r="H433" s="22" t="s">
        <v>166</v>
      </c>
      <c r="I433" s="22">
        <v>1.0440633254211E13</v>
      </c>
      <c r="J433" s="22" t="s">
        <v>775</v>
      </c>
      <c r="K433" s="24"/>
      <c r="L433" s="22" t="s">
        <v>171</v>
      </c>
      <c r="M433" s="22">
        <v>1.0</v>
      </c>
      <c r="N433" s="22" t="s">
        <v>115</v>
      </c>
      <c r="O433" s="22" t="s">
        <v>116</v>
      </c>
      <c r="P433" s="24"/>
      <c r="Q433" s="22" t="s">
        <v>90</v>
      </c>
      <c r="R433" s="22">
        <v>3.2703461228867E13</v>
      </c>
      <c r="S433" s="24"/>
      <c r="T433" s="24"/>
      <c r="U433" s="24"/>
      <c r="V433" s="22" t="s">
        <v>55</v>
      </c>
      <c r="W433" s="24"/>
      <c r="X433" s="24"/>
      <c r="Y433" s="22"/>
      <c r="Z433" s="22"/>
      <c r="AA433" s="24"/>
      <c r="AB433" s="24"/>
      <c r="AC433" s="22"/>
      <c r="AD433" s="22"/>
      <c r="AE433" s="24"/>
      <c r="AF433" s="25"/>
      <c r="AG433" s="30"/>
      <c r="AH433" s="30"/>
      <c r="AI433" s="31"/>
      <c r="AJ433" s="31"/>
      <c r="AK433" s="32"/>
    </row>
    <row r="434">
      <c r="A434" s="21" t="s">
        <v>96</v>
      </c>
      <c r="B434" s="22" t="s">
        <v>1294</v>
      </c>
      <c r="C434" s="22" t="s">
        <v>82</v>
      </c>
      <c r="D434" s="26">
        <v>45997.0</v>
      </c>
      <c r="E434" s="22" t="s">
        <v>145</v>
      </c>
      <c r="F434" s="22" t="s">
        <v>83</v>
      </c>
      <c r="G434" s="22" t="s">
        <v>1295</v>
      </c>
      <c r="H434" s="22" t="s">
        <v>96</v>
      </c>
      <c r="I434" s="22">
        <v>1.0440749416771E13</v>
      </c>
      <c r="J434" s="22" t="s">
        <v>1296</v>
      </c>
      <c r="K434" s="24"/>
      <c r="L434" s="22" t="s">
        <v>98</v>
      </c>
      <c r="M434" s="22">
        <v>1.0</v>
      </c>
      <c r="N434" s="22" t="s">
        <v>87</v>
      </c>
      <c r="O434" s="22" t="s">
        <v>88</v>
      </c>
      <c r="P434" s="24"/>
      <c r="Q434" s="22" t="s">
        <v>90</v>
      </c>
      <c r="R434" s="22">
        <v>3.2703704367427E13</v>
      </c>
      <c r="S434" s="24"/>
      <c r="T434" s="24"/>
      <c r="U434" s="24"/>
      <c r="V434" s="22" t="s">
        <v>55</v>
      </c>
      <c r="W434" s="24"/>
      <c r="X434" s="24"/>
      <c r="Y434" s="22"/>
      <c r="Z434" s="22"/>
      <c r="AA434" s="24"/>
      <c r="AB434" s="24"/>
      <c r="AC434" s="22"/>
      <c r="AD434" s="22"/>
      <c r="AE434" s="24"/>
      <c r="AF434" s="25"/>
      <c r="AG434" s="30"/>
      <c r="AH434" s="30"/>
      <c r="AI434" s="31"/>
      <c r="AJ434" s="31"/>
      <c r="AK434" s="32"/>
    </row>
    <row r="435">
      <c r="A435" s="21" t="s">
        <v>1297</v>
      </c>
      <c r="B435" s="22" t="s">
        <v>1298</v>
      </c>
      <c r="C435" s="22" t="s">
        <v>82</v>
      </c>
      <c r="D435" s="26">
        <v>45997.0</v>
      </c>
      <c r="E435" s="22" t="s">
        <v>1299</v>
      </c>
      <c r="F435" s="22" t="s">
        <v>111</v>
      </c>
      <c r="G435" s="22" t="s">
        <v>1300</v>
      </c>
      <c r="H435" s="22" t="s">
        <v>1297</v>
      </c>
      <c r="I435" s="22">
        <v>1.0440780775747E13</v>
      </c>
      <c r="J435" s="22" t="s">
        <v>1301</v>
      </c>
      <c r="K435" s="24"/>
      <c r="L435" s="22" t="s">
        <v>1302</v>
      </c>
      <c r="M435" s="22">
        <v>1.0</v>
      </c>
      <c r="N435" s="22" t="s">
        <v>164</v>
      </c>
      <c r="O435" s="22" t="s">
        <v>165</v>
      </c>
      <c r="P435" s="24"/>
      <c r="Q435" s="22" t="s">
        <v>90</v>
      </c>
      <c r="R435" s="22">
        <v>3.2703775736131E13</v>
      </c>
      <c r="S435" s="24"/>
      <c r="T435" s="24"/>
      <c r="U435" s="24"/>
      <c r="V435" s="22" t="s">
        <v>175</v>
      </c>
      <c r="W435" s="24"/>
      <c r="X435" s="24"/>
      <c r="Y435" s="22"/>
      <c r="Z435" s="22"/>
      <c r="AA435" s="24"/>
      <c r="AB435" s="24"/>
      <c r="AC435" s="22"/>
      <c r="AD435" s="22"/>
      <c r="AE435" s="24"/>
      <c r="AF435" s="25"/>
      <c r="AG435" s="30"/>
      <c r="AH435" s="30"/>
      <c r="AI435" s="31"/>
      <c r="AJ435" s="31"/>
      <c r="AK435" s="32"/>
    </row>
    <row r="436">
      <c r="A436" s="21" t="s">
        <v>584</v>
      </c>
      <c r="B436" s="22" t="s">
        <v>653</v>
      </c>
      <c r="C436" s="22" t="s">
        <v>82</v>
      </c>
      <c r="D436" s="26">
        <v>45997.0</v>
      </c>
      <c r="E436" s="22" t="s">
        <v>138</v>
      </c>
      <c r="F436" s="22" t="s">
        <v>377</v>
      </c>
      <c r="G436" s="22" t="s">
        <v>1303</v>
      </c>
      <c r="H436" s="22" t="s">
        <v>584</v>
      </c>
      <c r="I436" s="22">
        <v>1.0440851325251E13</v>
      </c>
      <c r="J436" s="22" t="s">
        <v>655</v>
      </c>
      <c r="K436" s="24"/>
      <c r="L436" s="22" t="s">
        <v>586</v>
      </c>
      <c r="M436" s="22">
        <v>1.0</v>
      </c>
      <c r="N436" s="22" t="s">
        <v>413</v>
      </c>
      <c r="O436" s="22" t="s">
        <v>414</v>
      </c>
      <c r="P436" s="24"/>
      <c r="Q436" s="22" t="s">
        <v>90</v>
      </c>
      <c r="R436" s="22">
        <v>3.2703926927683E13</v>
      </c>
      <c r="S436" s="24"/>
      <c r="T436" s="24"/>
      <c r="U436" s="24"/>
      <c r="V436" s="22" t="s">
        <v>105</v>
      </c>
      <c r="W436" s="24"/>
      <c r="X436" s="24"/>
      <c r="Y436" s="22"/>
      <c r="Z436" s="22"/>
      <c r="AA436" s="24"/>
      <c r="AB436" s="24"/>
      <c r="AC436" s="22"/>
      <c r="AD436" s="22"/>
      <c r="AE436" s="24"/>
      <c r="AF436" s="25"/>
      <c r="AG436" s="30"/>
      <c r="AH436" s="30"/>
      <c r="AI436" s="31"/>
      <c r="AJ436" s="31"/>
      <c r="AK436" s="32"/>
    </row>
    <row r="437">
      <c r="A437" s="21" t="s">
        <v>973</v>
      </c>
      <c r="B437" s="22" t="s">
        <v>574</v>
      </c>
      <c r="C437" s="22" t="s">
        <v>273</v>
      </c>
      <c r="D437" s="26">
        <v>45998.0</v>
      </c>
      <c r="E437" s="22" t="s">
        <v>187</v>
      </c>
      <c r="F437" s="22" t="s">
        <v>440</v>
      </c>
      <c r="G437" s="22" t="s">
        <v>1304</v>
      </c>
      <c r="H437" s="22" t="s">
        <v>973</v>
      </c>
      <c r="I437" s="22">
        <v>1.0440937800003E13</v>
      </c>
      <c r="J437" s="22" t="s">
        <v>576</v>
      </c>
      <c r="K437" s="24"/>
      <c r="L437" s="22" t="s">
        <v>978</v>
      </c>
      <c r="M437" s="22">
        <v>1.0</v>
      </c>
      <c r="N437" s="22" t="s">
        <v>781</v>
      </c>
      <c r="O437" s="22" t="s">
        <v>782</v>
      </c>
      <c r="P437" s="24"/>
      <c r="Q437" s="22" t="s">
        <v>90</v>
      </c>
      <c r="R437" s="22">
        <v>3.2704115212611E13</v>
      </c>
      <c r="S437" s="24"/>
      <c r="T437" s="24"/>
      <c r="U437" s="24"/>
      <c r="V437" s="22" t="s">
        <v>105</v>
      </c>
      <c r="W437" s="24"/>
      <c r="X437" s="24"/>
      <c r="Y437" s="22"/>
      <c r="Z437" s="22"/>
      <c r="AA437" s="24"/>
      <c r="AB437" s="24"/>
      <c r="AC437" s="22"/>
      <c r="AD437" s="22"/>
      <c r="AE437" s="24"/>
      <c r="AF437" s="25"/>
      <c r="AG437" s="30"/>
      <c r="AH437" s="30"/>
      <c r="AI437" s="31"/>
      <c r="AJ437" s="31"/>
      <c r="AK437" s="32"/>
    </row>
    <row r="438">
      <c r="A438" s="21" t="s">
        <v>560</v>
      </c>
      <c r="B438" s="22" t="s">
        <v>1305</v>
      </c>
      <c r="C438" s="22" t="s">
        <v>273</v>
      </c>
      <c r="D438" s="23">
        <v>45991.0</v>
      </c>
      <c r="E438" s="22" t="s">
        <v>196</v>
      </c>
      <c r="F438" s="22" t="s">
        <v>356</v>
      </c>
      <c r="G438" s="22" t="s">
        <v>1306</v>
      </c>
      <c r="H438" s="22" t="s">
        <v>560</v>
      </c>
      <c r="I438" s="22">
        <v>1.0440940093763E13</v>
      </c>
      <c r="J438" s="22" t="s">
        <v>1307</v>
      </c>
      <c r="K438" s="24"/>
      <c r="L438" s="22" t="s">
        <v>563</v>
      </c>
      <c r="M438" s="22">
        <v>1.0</v>
      </c>
      <c r="N438" s="22" t="s">
        <v>360</v>
      </c>
      <c r="O438" s="22" t="s">
        <v>361</v>
      </c>
      <c r="P438" s="24"/>
      <c r="Q438" s="22" t="s">
        <v>90</v>
      </c>
      <c r="R438" s="22">
        <v>3.2704120389955E13</v>
      </c>
      <c r="S438" s="24"/>
      <c r="T438" s="24"/>
      <c r="U438" s="24"/>
      <c r="V438" s="22" t="s">
        <v>91</v>
      </c>
      <c r="W438" s="24"/>
      <c r="X438" s="24"/>
      <c r="Y438" s="22"/>
      <c r="Z438" s="22"/>
      <c r="AA438" s="24"/>
      <c r="AB438" s="24"/>
      <c r="AC438" s="22"/>
      <c r="AD438" s="22"/>
      <c r="AE438" s="24"/>
      <c r="AF438" s="25"/>
      <c r="AG438" s="30"/>
      <c r="AH438" s="30"/>
      <c r="AI438" s="31"/>
      <c r="AJ438" s="31"/>
      <c r="AK438" s="32"/>
    </row>
    <row r="439">
      <c r="A439" s="21" t="s">
        <v>1217</v>
      </c>
      <c r="B439" s="22" t="s">
        <v>797</v>
      </c>
      <c r="C439" s="22" t="s">
        <v>287</v>
      </c>
      <c r="D439" s="26">
        <v>45994.0</v>
      </c>
      <c r="E439" s="22" t="s">
        <v>252</v>
      </c>
      <c r="F439" s="22" t="s">
        <v>605</v>
      </c>
      <c r="G439" s="22" t="s">
        <v>1308</v>
      </c>
      <c r="H439" s="22" t="s">
        <v>1217</v>
      </c>
      <c r="I439" s="22">
        <v>1.0440949006659E13</v>
      </c>
      <c r="J439" s="22" t="s">
        <v>799</v>
      </c>
      <c r="K439" s="24"/>
      <c r="L439" s="22" t="s">
        <v>1219</v>
      </c>
      <c r="M439" s="22">
        <v>1.0</v>
      </c>
      <c r="N439" s="22" t="s">
        <v>609</v>
      </c>
      <c r="O439" s="22" t="s">
        <v>610</v>
      </c>
      <c r="P439" s="24"/>
      <c r="Q439" s="22" t="s">
        <v>90</v>
      </c>
      <c r="R439" s="22">
        <v>3.2704140509507E13</v>
      </c>
      <c r="S439" s="24"/>
      <c r="T439" s="24"/>
      <c r="U439" s="24"/>
      <c r="V439" s="22" t="s">
        <v>91</v>
      </c>
      <c r="W439" s="24"/>
      <c r="X439" s="24"/>
      <c r="Y439" s="22"/>
      <c r="Z439" s="22"/>
      <c r="AA439" s="24"/>
      <c r="AB439" s="24"/>
      <c r="AC439" s="22"/>
      <c r="AD439" s="22"/>
      <c r="AE439" s="24"/>
      <c r="AF439" s="25"/>
      <c r="AG439" s="30"/>
      <c r="AH439" s="30"/>
      <c r="AI439" s="31"/>
      <c r="AJ439" s="31"/>
      <c r="AK439" s="32"/>
    </row>
    <row r="440">
      <c r="A440" s="21" t="s">
        <v>80</v>
      </c>
      <c r="B440" s="22" t="s">
        <v>1309</v>
      </c>
      <c r="C440" s="22" t="s">
        <v>273</v>
      </c>
      <c r="D440" s="26">
        <v>45998.0</v>
      </c>
      <c r="E440" s="22" t="s">
        <v>134</v>
      </c>
      <c r="F440" s="22" t="s">
        <v>83</v>
      </c>
      <c r="G440" s="22" t="s">
        <v>1310</v>
      </c>
      <c r="H440" s="22" t="s">
        <v>80</v>
      </c>
      <c r="I440" s="22">
        <v>1.0440957002051E13</v>
      </c>
      <c r="J440" s="22" t="s">
        <v>1311</v>
      </c>
      <c r="K440" s="24"/>
      <c r="L440" s="22" t="s">
        <v>86</v>
      </c>
      <c r="M440" s="22">
        <v>1.0</v>
      </c>
      <c r="N440" s="22" t="s">
        <v>87</v>
      </c>
      <c r="O440" s="22" t="s">
        <v>88</v>
      </c>
      <c r="P440" s="24"/>
      <c r="Q440" s="22" t="s">
        <v>90</v>
      </c>
      <c r="R440" s="22">
        <v>3.2704157286723E13</v>
      </c>
      <c r="S440" s="24"/>
      <c r="T440" s="24"/>
      <c r="U440" s="24"/>
      <c r="V440" s="22" t="s">
        <v>91</v>
      </c>
      <c r="W440" s="24"/>
      <c r="X440" s="24"/>
      <c r="Y440" s="22"/>
      <c r="Z440" s="22"/>
      <c r="AA440" s="24"/>
      <c r="AB440" s="24"/>
      <c r="AC440" s="22"/>
      <c r="AD440" s="22"/>
      <c r="AE440" s="24"/>
      <c r="AF440" s="25"/>
      <c r="AG440" s="30"/>
      <c r="AH440" s="30"/>
      <c r="AI440" s="31"/>
      <c r="AJ440" s="31"/>
      <c r="AK440" s="32"/>
    </row>
    <row r="441">
      <c r="A441" s="21" t="s">
        <v>584</v>
      </c>
      <c r="B441" s="22" t="s">
        <v>416</v>
      </c>
      <c r="C441" s="22" t="s">
        <v>82</v>
      </c>
      <c r="D441" s="26">
        <v>45997.0</v>
      </c>
      <c r="E441" s="22" t="s">
        <v>134</v>
      </c>
      <c r="F441" s="22" t="s">
        <v>377</v>
      </c>
      <c r="G441" s="22" t="s">
        <v>1312</v>
      </c>
      <c r="H441" s="22" t="s">
        <v>584</v>
      </c>
      <c r="I441" s="22">
        <v>1.0440329298243E13</v>
      </c>
      <c r="J441" s="22" t="s">
        <v>1017</v>
      </c>
      <c r="K441" s="24"/>
      <c r="L441" s="22" t="s">
        <v>586</v>
      </c>
      <c r="M441" s="22">
        <v>1.0</v>
      </c>
      <c r="N441" s="22" t="s">
        <v>413</v>
      </c>
      <c r="O441" s="22" t="s">
        <v>414</v>
      </c>
      <c r="P441" s="24"/>
      <c r="Q441" s="22" t="s">
        <v>90</v>
      </c>
      <c r="R441" s="22">
        <v>3.2702807998787E13</v>
      </c>
      <c r="S441" s="24"/>
      <c r="T441" s="24"/>
      <c r="U441" s="24"/>
      <c r="V441" s="22" t="s">
        <v>105</v>
      </c>
      <c r="W441" s="24"/>
      <c r="X441" s="24"/>
      <c r="Y441" s="22"/>
      <c r="Z441" s="22"/>
      <c r="AA441" s="24"/>
      <c r="AB441" s="24"/>
      <c r="AC441" s="22"/>
      <c r="AD441" s="22"/>
      <c r="AE441" s="24"/>
      <c r="AF441" s="25"/>
      <c r="AG441" s="30"/>
      <c r="AH441" s="30"/>
      <c r="AI441" s="31"/>
      <c r="AJ441" s="31"/>
      <c r="AK441" s="32"/>
    </row>
    <row r="442">
      <c r="A442" s="21" t="s">
        <v>124</v>
      </c>
      <c r="B442" s="22" t="s">
        <v>1313</v>
      </c>
      <c r="C442" s="22" t="s">
        <v>287</v>
      </c>
      <c r="D442" s="26">
        <v>45994.0</v>
      </c>
      <c r="E442" s="22" t="s">
        <v>196</v>
      </c>
      <c r="F442" s="22" t="s">
        <v>83</v>
      </c>
      <c r="G442" s="22" t="s">
        <v>1314</v>
      </c>
      <c r="H442" s="22" t="s">
        <v>124</v>
      </c>
      <c r="I442" s="22">
        <v>1.0441051308355E13</v>
      </c>
      <c r="J442" s="22" t="s">
        <v>1315</v>
      </c>
      <c r="K442" s="24"/>
      <c r="L442" s="22" t="s">
        <v>126</v>
      </c>
      <c r="M442" s="22">
        <v>1.0</v>
      </c>
      <c r="N442" s="22" t="s">
        <v>103</v>
      </c>
      <c r="O442" s="22" t="s">
        <v>104</v>
      </c>
      <c r="P442" s="24"/>
      <c r="Q442" s="22" t="s">
        <v>90</v>
      </c>
      <c r="R442" s="22">
        <v>3.2704361660739E13</v>
      </c>
      <c r="S442" s="24"/>
      <c r="T442" s="24"/>
      <c r="U442" s="24"/>
      <c r="V442" s="22" t="s">
        <v>127</v>
      </c>
      <c r="W442" s="24"/>
      <c r="X442" s="24"/>
      <c r="Y442" s="22"/>
      <c r="Z442" s="22"/>
      <c r="AA442" s="24"/>
      <c r="AB442" s="24"/>
      <c r="AC442" s="22"/>
      <c r="AD442" s="22"/>
      <c r="AE442" s="24"/>
      <c r="AF442" s="25"/>
      <c r="AG442" s="30"/>
      <c r="AH442" s="30"/>
      <c r="AI442" s="31"/>
      <c r="AJ442" s="31"/>
      <c r="AK442" s="32"/>
    </row>
    <row r="443">
      <c r="A443" s="21" t="s">
        <v>1316</v>
      </c>
      <c r="B443" s="22" t="s">
        <v>1039</v>
      </c>
      <c r="C443" s="22" t="s">
        <v>273</v>
      </c>
      <c r="D443" s="23">
        <v>45991.0</v>
      </c>
      <c r="E443" s="22" t="s">
        <v>248</v>
      </c>
      <c r="F443" s="22" t="s">
        <v>329</v>
      </c>
      <c r="G443" s="22" t="s">
        <v>1317</v>
      </c>
      <c r="H443" s="22" t="s">
        <v>1316</v>
      </c>
      <c r="I443" s="22">
        <v>1.0441052291395E13</v>
      </c>
      <c r="J443" s="22" t="s">
        <v>1041</v>
      </c>
      <c r="K443" s="24"/>
      <c r="L443" s="22" t="s">
        <v>1318</v>
      </c>
      <c r="M443" s="22">
        <v>1.0</v>
      </c>
      <c r="N443" s="22" t="s">
        <v>907</v>
      </c>
      <c r="O443" s="22" t="s">
        <v>908</v>
      </c>
      <c r="P443" s="24"/>
      <c r="Q443" s="22" t="s">
        <v>90</v>
      </c>
      <c r="R443" s="22">
        <v>3.2704363299139E13</v>
      </c>
      <c r="S443" s="24"/>
      <c r="T443" s="24"/>
      <c r="U443" s="24"/>
      <c r="V443" s="22" t="s">
        <v>175</v>
      </c>
      <c r="W443" s="24"/>
      <c r="X443" s="24"/>
      <c r="Y443" s="22"/>
      <c r="Z443" s="22"/>
      <c r="AA443" s="24"/>
      <c r="AB443" s="24"/>
      <c r="AC443" s="22"/>
      <c r="AD443" s="22"/>
      <c r="AE443" s="24"/>
      <c r="AF443" s="25"/>
      <c r="AG443" s="30"/>
      <c r="AH443" s="30"/>
      <c r="AI443" s="31"/>
      <c r="AJ443" s="31"/>
      <c r="AK443" s="32"/>
    </row>
    <row r="444">
      <c r="A444" s="21" t="s">
        <v>484</v>
      </c>
      <c r="B444" s="22" t="s">
        <v>310</v>
      </c>
      <c r="C444" s="22" t="s">
        <v>82</v>
      </c>
      <c r="D444" s="26">
        <v>45997.0</v>
      </c>
      <c r="E444" s="22" t="s">
        <v>134</v>
      </c>
      <c r="F444" s="22" t="s">
        <v>311</v>
      </c>
      <c r="G444" s="22" t="s">
        <v>1319</v>
      </c>
      <c r="H444" s="22" t="s">
        <v>484</v>
      </c>
      <c r="I444" s="22">
        <v>1.0441060942147E13</v>
      </c>
      <c r="J444" s="22" t="s">
        <v>544</v>
      </c>
      <c r="K444" s="24"/>
      <c r="L444" s="22" t="s">
        <v>487</v>
      </c>
      <c r="M444" s="22">
        <v>1.0</v>
      </c>
      <c r="N444" s="22" t="s">
        <v>315</v>
      </c>
      <c r="O444" s="22" t="s">
        <v>316</v>
      </c>
      <c r="P444" s="24"/>
      <c r="Q444" s="22" t="s">
        <v>90</v>
      </c>
      <c r="R444" s="22">
        <v>3.2704383680835E13</v>
      </c>
      <c r="S444" s="24"/>
      <c r="T444" s="24"/>
      <c r="U444" s="24"/>
      <c r="V444" s="22" t="s">
        <v>127</v>
      </c>
      <c r="W444" s="24"/>
      <c r="X444" s="24"/>
      <c r="Y444" s="22"/>
      <c r="Z444" s="22"/>
      <c r="AA444" s="24"/>
      <c r="AB444" s="24"/>
      <c r="AC444" s="22"/>
      <c r="AD444" s="22"/>
      <c r="AE444" s="24"/>
      <c r="AF444" s="25"/>
      <c r="AG444" s="30"/>
      <c r="AH444" s="30"/>
      <c r="AI444" s="31"/>
      <c r="AJ444" s="31"/>
      <c r="AK444" s="32"/>
    </row>
    <row r="445">
      <c r="A445" s="21" t="s">
        <v>584</v>
      </c>
      <c r="B445" s="22" t="s">
        <v>416</v>
      </c>
      <c r="C445" s="22" t="s">
        <v>82</v>
      </c>
      <c r="D445" s="26">
        <v>45997.0</v>
      </c>
      <c r="E445" s="22" t="s">
        <v>134</v>
      </c>
      <c r="F445" s="22" t="s">
        <v>377</v>
      </c>
      <c r="G445" s="22" t="s">
        <v>1320</v>
      </c>
      <c r="H445" s="22" t="s">
        <v>584</v>
      </c>
      <c r="I445" s="22">
        <v>1.0441090728259E13</v>
      </c>
      <c r="J445" s="22" t="s">
        <v>1017</v>
      </c>
      <c r="K445" s="24"/>
      <c r="L445" s="22" t="s">
        <v>586</v>
      </c>
      <c r="M445" s="22">
        <v>1.0</v>
      </c>
      <c r="N445" s="22" t="s">
        <v>413</v>
      </c>
      <c r="O445" s="22" t="s">
        <v>414</v>
      </c>
      <c r="P445" s="24"/>
      <c r="Q445" s="22" t="s">
        <v>90</v>
      </c>
      <c r="R445" s="22">
        <v>3.2704449904963E13</v>
      </c>
      <c r="S445" s="24"/>
      <c r="T445" s="24"/>
      <c r="U445" s="24"/>
      <c r="V445" s="22" t="s">
        <v>105</v>
      </c>
      <c r="W445" s="24"/>
      <c r="X445" s="24"/>
      <c r="Y445" s="22"/>
      <c r="Z445" s="22"/>
      <c r="AA445" s="24"/>
      <c r="AB445" s="24"/>
      <c r="AC445" s="22"/>
      <c r="AD445" s="22"/>
      <c r="AE445" s="24"/>
      <c r="AF445" s="25"/>
      <c r="AG445" s="30"/>
      <c r="AH445" s="30"/>
      <c r="AI445" s="31"/>
      <c r="AJ445" s="31"/>
      <c r="AK445" s="32"/>
    </row>
    <row r="446">
      <c r="A446" s="21" t="s">
        <v>276</v>
      </c>
      <c r="B446" s="22" t="s">
        <v>420</v>
      </c>
      <c r="C446" s="22" t="s">
        <v>82</v>
      </c>
      <c r="D446" s="26">
        <v>45997.0</v>
      </c>
      <c r="E446" s="22" t="s">
        <v>153</v>
      </c>
      <c r="F446" s="22" t="s">
        <v>278</v>
      </c>
      <c r="G446" s="22" t="s">
        <v>1321</v>
      </c>
      <c r="H446" s="22" t="s">
        <v>276</v>
      </c>
      <c r="I446" s="22">
        <v>1.0441117106499E13</v>
      </c>
      <c r="J446" s="22" t="s">
        <v>422</v>
      </c>
      <c r="K446" s="24"/>
      <c r="L446" s="22" t="s">
        <v>281</v>
      </c>
      <c r="M446" s="22">
        <v>1.0</v>
      </c>
      <c r="N446" s="22" t="s">
        <v>282</v>
      </c>
      <c r="O446" s="22" t="s">
        <v>283</v>
      </c>
      <c r="P446" s="24"/>
      <c r="Q446" s="22" t="s">
        <v>90</v>
      </c>
      <c r="R446" s="22">
        <v>3.2704509411651E13</v>
      </c>
      <c r="S446" s="24"/>
      <c r="T446" s="24"/>
      <c r="U446" s="24"/>
      <c r="V446" s="22" t="s">
        <v>55</v>
      </c>
      <c r="W446" s="24"/>
      <c r="X446" s="24"/>
      <c r="Y446" s="22"/>
      <c r="Z446" s="22"/>
      <c r="AA446" s="24"/>
      <c r="AB446" s="24"/>
      <c r="AC446" s="22"/>
      <c r="AD446" s="22"/>
      <c r="AE446" s="24"/>
      <c r="AF446" s="25"/>
      <c r="AG446" s="30"/>
      <c r="AH446" s="30"/>
      <c r="AI446" s="31"/>
      <c r="AJ446" s="31"/>
      <c r="AK446" s="32"/>
    </row>
    <row r="447">
      <c r="A447" s="21" t="s">
        <v>584</v>
      </c>
      <c r="B447" s="22" t="s">
        <v>1322</v>
      </c>
      <c r="C447" s="22" t="s">
        <v>82</v>
      </c>
      <c r="D447" s="23">
        <v>46004.0</v>
      </c>
      <c r="E447" s="22" t="s">
        <v>149</v>
      </c>
      <c r="F447" s="22" t="s">
        <v>377</v>
      </c>
      <c r="G447" s="22" t="s">
        <v>1323</v>
      </c>
      <c r="H447" s="22" t="s">
        <v>584</v>
      </c>
      <c r="I447" s="22">
        <v>1.0441124643139E13</v>
      </c>
      <c r="J447" s="22" t="s">
        <v>1324</v>
      </c>
      <c r="K447" s="24"/>
      <c r="L447" s="22" t="s">
        <v>586</v>
      </c>
      <c r="M447" s="22">
        <v>1.0</v>
      </c>
      <c r="N447" s="22" t="s">
        <v>413</v>
      </c>
      <c r="O447" s="22" t="s">
        <v>414</v>
      </c>
      <c r="P447" s="24"/>
      <c r="Q447" s="22" t="s">
        <v>90</v>
      </c>
      <c r="R447" s="22">
        <v>3.2704526942531E13</v>
      </c>
      <c r="S447" s="24"/>
      <c r="T447" s="24"/>
      <c r="U447" s="24"/>
      <c r="V447" s="22" t="s">
        <v>105</v>
      </c>
      <c r="W447" s="24"/>
      <c r="X447" s="24"/>
      <c r="Y447" s="22"/>
      <c r="Z447" s="22"/>
      <c r="AA447" s="24"/>
      <c r="AB447" s="24"/>
      <c r="AC447" s="22"/>
      <c r="AD447" s="22"/>
      <c r="AE447" s="24"/>
      <c r="AF447" s="25"/>
      <c r="AG447" s="30"/>
      <c r="AH447" s="30"/>
      <c r="AI447" s="31"/>
      <c r="AJ447" s="31"/>
      <c r="AK447" s="32"/>
    </row>
    <row r="448">
      <c r="A448" s="21" t="s">
        <v>640</v>
      </c>
      <c r="B448" s="22" t="s">
        <v>355</v>
      </c>
      <c r="C448" s="22" t="s">
        <v>273</v>
      </c>
      <c r="D448" s="23">
        <v>45991.0</v>
      </c>
      <c r="E448" s="22" t="s">
        <v>149</v>
      </c>
      <c r="F448" s="22" t="s">
        <v>356</v>
      </c>
      <c r="G448" s="22" t="s">
        <v>1325</v>
      </c>
      <c r="H448" s="22" t="s">
        <v>640</v>
      </c>
      <c r="I448" s="22">
        <v>1.0441135522115E13</v>
      </c>
      <c r="J448" s="22" t="s">
        <v>562</v>
      </c>
      <c r="K448" s="24"/>
      <c r="L448" s="22" t="s">
        <v>642</v>
      </c>
      <c r="M448" s="22">
        <v>1.0</v>
      </c>
      <c r="N448" s="22" t="s">
        <v>360</v>
      </c>
      <c r="O448" s="22" t="s">
        <v>361</v>
      </c>
      <c r="P448" s="24"/>
      <c r="Q448" s="22" t="s">
        <v>90</v>
      </c>
      <c r="R448" s="22">
        <v>3.2704556892483E13</v>
      </c>
      <c r="S448" s="24"/>
      <c r="T448" s="24"/>
      <c r="U448" s="24"/>
      <c r="V448" s="22" t="s">
        <v>95</v>
      </c>
      <c r="W448" s="24"/>
      <c r="X448" s="24"/>
      <c r="Y448" s="22"/>
      <c r="Z448" s="22"/>
      <c r="AA448" s="24"/>
      <c r="AB448" s="24"/>
      <c r="AC448" s="22"/>
      <c r="AD448" s="22"/>
      <c r="AE448" s="24"/>
      <c r="AF448" s="25"/>
      <c r="AG448" s="30"/>
      <c r="AH448" s="30"/>
      <c r="AI448" s="31"/>
      <c r="AJ448" s="31"/>
      <c r="AK448" s="32"/>
    </row>
    <row r="449">
      <c r="A449" s="21" t="s">
        <v>166</v>
      </c>
      <c r="B449" s="22" t="s">
        <v>393</v>
      </c>
      <c r="C449" s="22" t="s">
        <v>82</v>
      </c>
      <c r="D449" s="26">
        <v>45997.0</v>
      </c>
      <c r="E449" s="22" t="s">
        <v>187</v>
      </c>
      <c r="F449" s="22" t="s">
        <v>111</v>
      </c>
      <c r="G449" s="22" t="s">
        <v>1326</v>
      </c>
      <c r="H449" s="22" t="s">
        <v>166</v>
      </c>
      <c r="I449" s="22">
        <v>1.0441135718723E13</v>
      </c>
      <c r="J449" s="22" t="s">
        <v>395</v>
      </c>
      <c r="K449" s="24"/>
      <c r="L449" s="22" t="s">
        <v>171</v>
      </c>
      <c r="M449" s="22">
        <v>1.0</v>
      </c>
      <c r="N449" s="22" t="s">
        <v>115</v>
      </c>
      <c r="O449" s="22" t="s">
        <v>116</v>
      </c>
      <c r="P449" s="24"/>
      <c r="Q449" s="22" t="s">
        <v>90</v>
      </c>
      <c r="R449" s="22">
        <v>3.2704557285699E13</v>
      </c>
      <c r="S449" s="24"/>
      <c r="T449" s="24"/>
      <c r="U449" s="24"/>
      <c r="V449" s="22" t="s">
        <v>55</v>
      </c>
      <c r="W449" s="24"/>
      <c r="X449" s="24"/>
      <c r="Y449" s="22"/>
      <c r="Z449" s="22"/>
      <c r="AA449" s="24"/>
      <c r="AB449" s="24"/>
      <c r="AC449" s="22"/>
      <c r="AD449" s="22"/>
      <c r="AE449" s="24"/>
      <c r="AF449" s="25"/>
      <c r="AG449" s="30"/>
      <c r="AH449" s="30"/>
      <c r="AI449" s="31"/>
      <c r="AJ449" s="31"/>
      <c r="AK449" s="32"/>
    </row>
    <row r="450">
      <c r="A450" s="21" t="s">
        <v>979</v>
      </c>
      <c r="B450" s="22" t="s">
        <v>797</v>
      </c>
      <c r="C450" s="22" t="s">
        <v>287</v>
      </c>
      <c r="D450" s="26">
        <v>45994.0</v>
      </c>
      <c r="E450" s="22" t="s">
        <v>252</v>
      </c>
      <c r="F450" s="22" t="s">
        <v>605</v>
      </c>
      <c r="G450" s="22" t="s">
        <v>1327</v>
      </c>
      <c r="H450" s="22" t="s">
        <v>979</v>
      </c>
      <c r="I450" s="22">
        <v>1.0441177727299E13</v>
      </c>
      <c r="J450" s="22" t="s">
        <v>799</v>
      </c>
      <c r="K450" s="24"/>
      <c r="L450" s="22" t="s">
        <v>984</v>
      </c>
      <c r="M450" s="22">
        <v>1.0</v>
      </c>
      <c r="N450" s="22" t="s">
        <v>609</v>
      </c>
      <c r="O450" s="22" t="s">
        <v>610</v>
      </c>
      <c r="P450" s="24"/>
      <c r="Q450" s="22" t="s">
        <v>90</v>
      </c>
      <c r="R450" s="22">
        <v>3.2704657523011E13</v>
      </c>
      <c r="S450" s="24"/>
      <c r="T450" s="24"/>
      <c r="U450" s="24"/>
      <c r="V450" s="22" t="s">
        <v>55</v>
      </c>
      <c r="W450" s="24"/>
      <c r="X450" s="24"/>
      <c r="Y450" s="22"/>
      <c r="Z450" s="22"/>
      <c r="AA450" s="24"/>
      <c r="AB450" s="24"/>
      <c r="AC450" s="22"/>
      <c r="AD450" s="22"/>
      <c r="AE450" s="24"/>
      <c r="AF450" s="25"/>
      <c r="AG450" s="30"/>
      <c r="AH450" s="30"/>
      <c r="AI450" s="31"/>
      <c r="AJ450" s="31"/>
      <c r="AK450" s="32"/>
    </row>
    <row r="451">
      <c r="A451" s="21" t="s">
        <v>166</v>
      </c>
      <c r="B451" s="22" t="s">
        <v>1328</v>
      </c>
      <c r="C451" s="22" t="s">
        <v>82</v>
      </c>
      <c r="D451" s="26">
        <v>45997.0</v>
      </c>
      <c r="E451" s="22" t="s">
        <v>1329</v>
      </c>
      <c r="F451" s="22" t="s">
        <v>111</v>
      </c>
      <c r="G451" s="22" t="s">
        <v>1330</v>
      </c>
      <c r="H451" s="22" t="s">
        <v>166</v>
      </c>
      <c r="I451" s="22">
        <v>1.0440527839555E13</v>
      </c>
      <c r="J451" s="22" t="s">
        <v>1331</v>
      </c>
      <c r="K451" s="24"/>
      <c r="L451" s="22" t="s">
        <v>171</v>
      </c>
      <c r="M451" s="22">
        <v>1.0</v>
      </c>
      <c r="N451" s="22" t="s">
        <v>115</v>
      </c>
      <c r="O451" s="22" t="s">
        <v>116</v>
      </c>
      <c r="P451" s="24"/>
      <c r="Q451" s="22" t="s">
        <v>90</v>
      </c>
      <c r="R451" s="22">
        <v>3.2703233786179E13</v>
      </c>
      <c r="S451" s="24"/>
      <c r="T451" s="24"/>
      <c r="U451" s="24"/>
      <c r="V451" s="22" t="s">
        <v>55</v>
      </c>
      <c r="W451" s="24"/>
      <c r="X451" s="24"/>
      <c r="Y451" s="22"/>
      <c r="Z451" s="22"/>
      <c r="AA451" s="24"/>
      <c r="AB451" s="24"/>
      <c r="AC451" s="22"/>
      <c r="AD451" s="22"/>
      <c r="AE451" s="24"/>
      <c r="AF451" s="25"/>
      <c r="AG451" s="30"/>
      <c r="AH451" s="30"/>
      <c r="AI451" s="31"/>
      <c r="AJ451" s="31"/>
      <c r="AK451" s="32"/>
    </row>
    <row r="452">
      <c r="A452" s="21" t="s">
        <v>1192</v>
      </c>
      <c r="B452" s="22" t="s">
        <v>1332</v>
      </c>
      <c r="C452" s="22" t="s">
        <v>82</v>
      </c>
      <c r="D452" s="26">
        <v>45997.0</v>
      </c>
      <c r="E452" s="22" t="s">
        <v>1117</v>
      </c>
      <c r="F452" s="22" t="s">
        <v>717</v>
      </c>
      <c r="G452" s="22" t="s">
        <v>1333</v>
      </c>
      <c r="H452" s="22" t="s">
        <v>1192</v>
      </c>
      <c r="I452" s="22">
        <v>1.0441196241219E13</v>
      </c>
      <c r="J452" s="22" t="s">
        <v>1334</v>
      </c>
      <c r="K452" s="24"/>
      <c r="L452" s="22" t="s">
        <v>1196</v>
      </c>
      <c r="M452" s="22">
        <v>1.0</v>
      </c>
      <c r="N452" s="22" t="s">
        <v>1083</v>
      </c>
      <c r="O452" s="22" t="s">
        <v>1084</v>
      </c>
      <c r="P452" s="24"/>
      <c r="Q452" s="22" t="s">
        <v>90</v>
      </c>
      <c r="R452" s="22">
        <v>3.2704698941763E13</v>
      </c>
      <c r="S452" s="24"/>
      <c r="T452" s="24"/>
      <c r="U452" s="24"/>
      <c r="V452" s="22" t="s">
        <v>127</v>
      </c>
      <c r="W452" s="24"/>
      <c r="X452" s="24"/>
      <c r="Y452" s="22"/>
      <c r="Z452" s="22"/>
      <c r="AA452" s="24"/>
      <c r="AB452" s="24"/>
      <c r="AC452" s="22"/>
      <c r="AD452" s="22"/>
      <c r="AE452" s="24"/>
      <c r="AF452" s="25"/>
      <c r="AG452" s="30"/>
      <c r="AH452" s="30"/>
      <c r="AI452" s="31"/>
      <c r="AJ452" s="31"/>
      <c r="AK452" s="32"/>
    </row>
    <row r="453">
      <c r="A453" s="21" t="s">
        <v>1224</v>
      </c>
      <c r="B453" s="22" t="s">
        <v>1335</v>
      </c>
      <c r="C453" s="22" t="s">
        <v>202</v>
      </c>
      <c r="D453" s="26">
        <v>45996.0</v>
      </c>
      <c r="E453" s="22" t="s">
        <v>196</v>
      </c>
      <c r="F453" s="22" t="s">
        <v>717</v>
      </c>
      <c r="G453" s="22" t="s">
        <v>1336</v>
      </c>
      <c r="H453" s="22" t="s">
        <v>1224</v>
      </c>
      <c r="I453" s="22">
        <v>1.0441239134531E13</v>
      </c>
      <c r="J453" s="22" t="s">
        <v>1337</v>
      </c>
      <c r="K453" s="24"/>
      <c r="L453" s="22" t="s">
        <v>1228</v>
      </c>
      <c r="M453" s="22">
        <v>1.0</v>
      </c>
      <c r="N453" s="22" t="s">
        <v>721</v>
      </c>
      <c r="O453" s="22" t="s">
        <v>722</v>
      </c>
      <c r="P453" s="24"/>
      <c r="Q453" s="22" t="s">
        <v>90</v>
      </c>
      <c r="R453" s="22">
        <v>3.2704804127043E13</v>
      </c>
      <c r="S453" s="24"/>
      <c r="T453" s="24"/>
      <c r="U453" s="24"/>
      <c r="V453" s="22" t="s">
        <v>91</v>
      </c>
      <c r="W453" s="24"/>
      <c r="X453" s="24"/>
      <c r="Y453" s="22"/>
      <c r="Z453" s="22"/>
      <c r="AA453" s="24"/>
      <c r="AB453" s="24"/>
      <c r="AC453" s="22"/>
      <c r="AD453" s="22"/>
      <c r="AE453" s="24"/>
      <c r="AF453" s="25"/>
      <c r="AG453" s="30"/>
      <c r="AH453" s="30"/>
      <c r="AI453" s="31"/>
      <c r="AJ453" s="31"/>
      <c r="AK453" s="32"/>
    </row>
    <row r="454">
      <c r="A454" s="21" t="s">
        <v>96</v>
      </c>
      <c r="B454" s="22" t="s">
        <v>1338</v>
      </c>
      <c r="C454" s="22" t="s">
        <v>273</v>
      </c>
      <c r="D454" s="23">
        <v>45991.0</v>
      </c>
      <c r="E454" s="22" t="s">
        <v>266</v>
      </c>
      <c r="F454" s="22" t="s">
        <v>83</v>
      </c>
      <c r="G454" s="22" t="s">
        <v>1339</v>
      </c>
      <c r="H454" s="22" t="s">
        <v>96</v>
      </c>
      <c r="I454" s="22">
        <v>1.0441410969923E13</v>
      </c>
      <c r="J454" s="22" t="s">
        <v>1340</v>
      </c>
      <c r="K454" s="24"/>
      <c r="L454" s="22" t="s">
        <v>98</v>
      </c>
      <c r="M454" s="22">
        <v>1.0</v>
      </c>
      <c r="N454" s="22" t="s">
        <v>87</v>
      </c>
      <c r="O454" s="22" t="s">
        <v>88</v>
      </c>
      <c r="P454" s="24"/>
      <c r="Q454" s="22" t="s">
        <v>90</v>
      </c>
      <c r="R454" s="22">
        <v>3.2705168212291E13</v>
      </c>
      <c r="S454" s="24"/>
      <c r="T454" s="24"/>
      <c r="U454" s="24"/>
      <c r="V454" s="22" t="s">
        <v>55</v>
      </c>
      <c r="W454" s="24"/>
      <c r="X454" s="24"/>
      <c r="Y454" s="22"/>
      <c r="Z454" s="22"/>
      <c r="AA454" s="24"/>
      <c r="AB454" s="24"/>
      <c r="AC454" s="22"/>
      <c r="AD454" s="22"/>
      <c r="AE454" s="24"/>
      <c r="AF454" s="25"/>
      <c r="AG454" s="30"/>
      <c r="AH454" s="30"/>
      <c r="AI454" s="31"/>
      <c r="AJ454" s="31"/>
      <c r="AK454" s="32"/>
    </row>
    <row r="455">
      <c r="A455" s="21" t="s">
        <v>495</v>
      </c>
      <c r="B455" s="22" t="s">
        <v>1039</v>
      </c>
      <c r="C455" s="22" t="s">
        <v>273</v>
      </c>
      <c r="D455" s="23">
        <v>45991.0</v>
      </c>
      <c r="E455" s="22" t="s">
        <v>248</v>
      </c>
      <c r="F455" s="22" t="s">
        <v>329</v>
      </c>
      <c r="G455" s="22" t="s">
        <v>1341</v>
      </c>
      <c r="H455" s="22" t="s">
        <v>495</v>
      </c>
      <c r="I455" s="22">
        <v>1.0441449996611E13</v>
      </c>
      <c r="J455" s="22" t="s">
        <v>1041</v>
      </c>
      <c r="K455" s="24"/>
      <c r="L455" s="22" t="s">
        <v>500</v>
      </c>
      <c r="M455" s="22">
        <v>1.0</v>
      </c>
      <c r="N455" s="22" t="s">
        <v>333</v>
      </c>
      <c r="O455" s="22" t="s">
        <v>334</v>
      </c>
      <c r="P455" s="24"/>
      <c r="Q455" s="22" t="s">
        <v>90</v>
      </c>
      <c r="R455" s="22">
        <v>3.2705251672387E13</v>
      </c>
      <c r="S455" s="24"/>
      <c r="T455" s="24"/>
      <c r="U455" s="24"/>
      <c r="V455" s="22" t="s">
        <v>54</v>
      </c>
      <c r="W455" s="24"/>
      <c r="X455" s="24"/>
      <c r="Y455" s="22"/>
      <c r="Z455" s="22"/>
      <c r="AA455" s="24"/>
      <c r="AB455" s="24"/>
      <c r="AC455" s="22"/>
      <c r="AD455" s="22"/>
      <c r="AE455" s="24"/>
      <c r="AF455" s="25"/>
      <c r="AG455" s="30"/>
      <c r="AH455" s="30"/>
      <c r="AI455" s="31"/>
      <c r="AJ455" s="31"/>
      <c r="AK455" s="32"/>
    </row>
    <row r="456">
      <c r="A456" s="21" t="s">
        <v>96</v>
      </c>
      <c r="B456" s="22" t="s">
        <v>148</v>
      </c>
      <c r="C456" s="22" t="s">
        <v>82</v>
      </c>
      <c r="D456" s="23">
        <v>45990.0</v>
      </c>
      <c r="E456" s="22" t="s">
        <v>149</v>
      </c>
      <c r="F456" s="22" t="s">
        <v>83</v>
      </c>
      <c r="G456" s="22" t="s">
        <v>1342</v>
      </c>
      <c r="H456" s="22" t="s">
        <v>96</v>
      </c>
      <c r="I456" s="22">
        <v>1.0441463562563E13</v>
      </c>
      <c r="J456" s="22" t="s">
        <v>151</v>
      </c>
      <c r="K456" s="24"/>
      <c r="L456" s="22" t="s">
        <v>98</v>
      </c>
      <c r="M456" s="22">
        <v>1.0</v>
      </c>
      <c r="N456" s="22" t="s">
        <v>87</v>
      </c>
      <c r="O456" s="22" t="s">
        <v>88</v>
      </c>
      <c r="P456" s="24"/>
      <c r="Q456" s="22" t="s">
        <v>90</v>
      </c>
      <c r="R456" s="22">
        <v>3.2705280573763E13</v>
      </c>
      <c r="S456" s="24"/>
      <c r="T456" s="24"/>
      <c r="U456" s="24"/>
      <c r="V456" s="22" t="s">
        <v>55</v>
      </c>
      <c r="W456" s="24"/>
      <c r="X456" s="24"/>
      <c r="Y456" s="22"/>
      <c r="Z456" s="22"/>
      <c r="AA456" s="24"/>
      <c r="AB456" s="24"/>
      <c r="AC456" s="22"/>
      <c r="AD456" s="24"/>
      <c r="AE456" s="24"/>
      <c r="AF456" s="25"/>
      <c r="AG456" s="30"/>
      <c r="AH456" s="30"/>
      <c r="AI456" s="31"/>
      <c r="AJ456" s="31"/>
      <c r="AK456" s="32"/>
    </row>
    <row r="457">
      <c r="A457" s="21" t="s">
        <v>664</v>
      </c>
      <c r="B457" s="22" t="s">
        <v>1343</v>
      </c>
      <c r="C457" s="22" t="s">
        <v>273</v>
      </c>
      <c r="D457" s="26">
        <v>45998.0</v>
      </c>
      <c r="E457" s="22" t="s">
        <v>266</v>
      </c>
      <c r="F457" s="22" t="s">
        <v>472</v>
      </c>
      <c r="G457" s="22" t="s">
        <v>1344</v>
      </c>
      <c r="H457" s="22" t="s">
        <v>664</v>
      </c>
      <c r="I457" s="22">
        <v>1.0441694019907E13</v>
      </c>
      <c r="J457" s="22" t="s">
        <v>1345</v>
      </c>
      <c r="K457" s="24"/>
      <c r="L457" s="22" t="s">
        <v>668</v>
      </c>
      <c r="M457" s="22">
        <v>1.0</v>
      </c>
      <c r="N457" s="22" t="s">
        <v>534</v>
      </c>
      <c r="O457" s="22" t="s">
        <v>535</v>
      </c>
      <c r="P457" s="24"/>
      <c r="Q457" s="22" t="s">
        <v>90</v>
      </c>
      <c r="R457" s="22">
        <v>3.2705769832771E13</v>
      </c>
      <c r="S457" s="24"/>
      <c r="T457" s="24"/>
      <c r="U457" s="24"/>
      <c r="V457" s="22" t="s">
        <v>175</v>
      </c>
      <c r="W457" s="24"/>
      <c r="X457" s="24"/>
      <c r="Y457" s="22"/>
      <c r="Z457" s="22"/>
      <c r="AA457" s="24"/>
      <c r="AB457" s="24"/>
      <c r="AC457" s="22"/>
      <c r="AD457" s="22"/>
      <c r="AE457" s="24"/>
      <c r="AF457" s="25"/>
      <c r="AG457" s="30"/>
      <c r="AH457" s="30"/>
      <c r="AI457" s="31"/>
      <c r="AJ457" s="31"/>
      <c r="AK457" s="32"/>
    </row>
    <row r="458">
      <c r="A458" s="21" t="s">
        <v>309</v>
      </c>
      <c r="B458" s="22" t="s">
        <v>929</v>
      </c>
      <c r="C458" s="22" t="s">
        <v>287</v>
      </c>
      <c r="D458" s="23">
        <v>46001.0</v>
      </c>
      <c r="E458" s="22" t="s">
        <v>134</v>
      </c>
      <c r="F458" s="22" t="s">
        <v>311</v>
      </c>
      <c r="G458" s="22" t="s">
        <v>1346</v>
      </c>
      <c r="H458" s="22" t="s">
        <v>309</v>
      </c>
      <c r="I458" s="22">
        <v>1.0441869492547E13</v>
      </c>
      <c r="J458" s="22" t="s">
        <v>931</v>
      </c>
      <c r="K458" s="24"/>
      <c r="L458" s="22" t="s">
        <v>314</v>
      </c>
      <c r="M458" s="22">
        <v>1.0</v>
      </c>
      <c r="N458" s="22" t="s">
        <v>315</v>
      </c>
      <c r="O458" s="22" t="s">
        <v>316</v>
      </c>
      <c r="P458" s="24"/>
      <c r="Q458" s="22" t="s">
        <v>90</v>
      </c>
      <c r="R458" s="22">
        <v>3.2706107736387E13</v>
      </c>
      <c r="S458" s="24"/>
      <c r="T458" s="24"/>
      <c r="U458" s="24"/>
      <c r="V458" s="22" t="s">
        <v>105</v>
      </c>
      <c r="W458" s="24"/>
      <c r="X458" s="24"/>
      <c r="Y458" s="22"/>
      <c r="Z458" s="22"/>
      <c r="AA458" s="24"/>
      <c r="AB458" s="24"/>
      <c r="AC458" s="22"/>
      <c r="AD458" s="22"/>
      <c r="AE458" s="24"/>
      <c r="AF458" s="25"/>
      <c r="AG458" s="30"/>
      <c r="AH458" s="30"/>
      <c r="AI458" s="31"/>
      <c r="AJ458" s="31"/>
      <c r="AK458" s="32"/>
    </row>
    <row r="459">
      <c r="A459" s="21" t="s">
        <v>924</v>
      </c>
      <c r="B459" s="22" t="s">
        <v>1205</v>
      </c>
      <c r="C459" s="22" t="s">
        <v>273</v>
      </c>
      <c r="D459" s="26">
        <v>45998.0</v>
      </c>
      <c r="E459" s="22" t="s">
        <v>149</v>
      </c>
      <c r="F459" s="22" t="s">
        <v>623</v>
      </c>
      <c r="G459" s="22" t="s">
        <v>1347</v>
      </c>
      <c r="H459" s="22" t="s">
        <v>924</v>
      </c>
      <c r="I459" s="22">
        <v>1.0442316841283E13</v>
      </c>
      <c r="J459" s="22" t="s">
        <v>1207</v>
      </c>
      <c r="K459" s="24"/>
      <c r="L459" s="22" t="s">
        <v>926</v>
      </c>
      <c r="M459" s="22">
        <v>1.0</v>
      </c>
      <c r="N459" s="22" t="s">
        <v>627</v>
      </c>
      <c r="O459" s="22" t="s">
        <v>628</v>
      </c>
      <c r="P459" s="24"/>
      <c r="Q459" s="22" t="s">
        <v>90</v>
      </c>
      <c r="R459" s="22">
        <v>3.2706835513667E13</v>
      </c>
      <c r="S459" s="24"/>
      <c r="T459" s="24"/>
      <c r="U459" s="24"/>
      <c r="V459" s="22" t="s">
        <v>55</v>
      </c>
      <c r="W459" s="24"/>
      <c r="X459" s="24"/>
      <c r="Y459" s="22"/>
      <c r="Z459" s="22"/>
      <c r="AA459" s="24"/>
      <c r="AB459" s="24"/>
      <c r="AC459" s="22"/>
      <c r="AD459" s="22"/>
      <c r="AE459" s="24"/>
      <c r="AF459" s="25"/>
      <c r="AG459" s="30"/>
      <c r="AH459" s="30"/>
      <c r="AI459" s="31"/>
      <c r="AJ459" s="31"/>
      <c r="AK459" s="32"/>
    </row>
    <row r="460">
      <c r="A460" s="21" t="s">
        <v>80</v>
      </c>
      <c r="B460" s="22" t="s">
        <v>1348</v>
      </c>
      <c r="C460" s="22" t="s">
        <v>287</v>
      </c>
      <c r="D460" s="26">
        <v>45994.0</v>
      </c>
      <c r="E460" s="22" t="s">
        <v>153</v>
      </c>
      <c r="F460" s="22" t="s">
        <v>83</v>
      </c>
      <c r="G460" s="22" t="s">
        <v>1349</v>
      </c>
      <c r="H460" s="22" t="s">
        <v>80</v>
      </c>
      <c r="I460" s="22">
        <v>1.0442337911107E13</v>
      </c>
      <c r="J460" s="22" t="s">
        <v>1350</v>
      </c>
      <c r="K460" s="24"/>
      <c r="L460" s="22" t="s">
        <v>86</v>
      </c>
      <c r="M460" s="22">
        <v>1.0</v>
      </c>
      <c r="N460" s="22" t="s">
        <v>87</v>
      </c>
      <c r="O460" s="22" t="s">
        <v>88</v>
      </c>
      <c r="P460" s="24"/>
      <c r="Q460" s="22" t="s">
        <v>90</v>
      </c>
      <c r="R460" s="22">
        <v>3.2706879390019E13</v>
      </c>
      <c r="S460" s="24"/>
      <c r="T460" s="24"/>
      <c r="U460" s="24"/>
      <c r="V460" s="22" t="s">
        <v>91</v>
      </c>
      <c r="W460" s="24"/>
      <c r="X460" s="24"/>
      <c r="Y460" s="22"/>
      <c r="Z460" s="22"/>
      <c r="AA460" s="24"/>
      <c r="AB460" s="24"/>
      <c r="AC460" s="22"/>
      <c r="AD460" s="24"/>
      <c r="AE460" s="24"/>
      <c r="AF460" s="25"/>
      <c r="AG460" s="30"/>
      <c r="AH460" s="30"/>
      <c r="AI460" s="31"/>
      <c r="AJ460" s="31"/>
      <c r="AK460" s="32"/>
    </row>
    <row r="461">
      <c r="A461" s="21" t="s">
        <v>538</v>
      </c>
      <c r="B461" s="22" t="s">
        <v>587</v>
      </c>
      <c r="C461" s="22" t="s">
        <v>273</v>
      </c>
      <c r="D461" s="26">
        <v>45998.0</v>
      </c>
      <c r="E461" s="22" t="s">
        <v>153</v>
      </c>
      <c r="F461" s="22" t="s">
        <v>369</v>
      </c>
      <c r="G461" s="22" t="s">
        <v>1351</v>
      </c>
      <c r="H461" s="22" t="s">
        <v>538</v>
      </c>
      <c r="I461" s="22">
        <v>1.0440284700995E13</v>
      </c>
      <c r="J461" s="22" t="s">
        <v>589</v>
      </c>
      <c r="K461" s="24"/>
      <c r="L461" s="22" t="s">
        <v>542</v>
      </c>
      <c r="M461" s="22">
        <v>1.0</v>
      </c>
      <c r="N461" s="22" t="s">
        <v>373</v>
      </c>
      <c r="O461" s="22" t="s">
        <v>374</v>
      </c>
      <c r="P461" s="24"/>
      <c r="Q461" s="22" t="s">
        <v>90</v>
      </c>
      <c r="R461" s="22">
        <v>3.2702709989699E13</v>
      </c>
      <c r="S461" s="24"/>
      <c r="T461" s="24"/>
      <c r="U461" s="24"/>
      <c r="V461" s="22" t="s">
        <v>91</v>
      </c>
      <c r="W461" s="24"/>
      <c r="X461" s="24"/>
      <c r="Y461" s="22"/>
      <c r="Z461" s="22"/>
      <c r="AA461" s="24"/>
      <c r="AB461" s="24"/>
      <c r="AC461" s="22"/>
      <c r="AD461" s="22"/>
      <c r="AE461" s="24"/>
      <c r="AF461" s="25"/>
      <c r="AG461" s="30"/>
      <c r="AH461" s="30"/>
      <c r="AI461" s="31"/>
      <c r="AJ461" s="31"/>
      <c r="AK461" s="32"/>
    </row>
    <row r="462">
      <c r="A462" s="21" t="s">
        <v>172</v>
      </c>
      <c r="B462" s="22" t="s">
        <v>1352</v>
      </c>
      <c r="C462" s="22" t="s">
        <v>82</v>
      </c>
      <c r="D462" s="26">
        <v>45997.0</v>
      </c>
      <c r="E462" s="22" t="s">
        <v>153</v>
      </c>
      <c r="F462" s="22" t="s">
        <v>83</v>
      </c>
      <c r="G462" s="22" t="s">
        <v>1353</v>
      </c>
      <c r="H462" s="22" t="s">
        <v>172</v>
      </c>
      <c r="I462" s="22">
        <v>1.0442435428675E13</v>
      </c>
      <c r="J462" s="22" t="s">
        <v>1354</v>
      </c>
      <c r="K462" s="24"/>
      <c r="L462" s="22" t="s">
        <v>174</v>
      </c>
      <c r="M462" s="22">
        <v>1.0</v>
      </c>
      <c r="N462" s="22" t="s">
        <v>103</v>
      </c>
      <c r="O462" s="22" t="s">
        <v>104</v>
      </c>
      <c r="P462" s="24"/>
      <c r="Q462" s="22" t="s">
        <v>90</v>
      </c>
      <c r="R462" s="22">
        <v>3.2707083108675E13</v>
      </c>
      <c r="S462" s="24"/>
      <c r="T462" s="24"/>
      <c r="U462" s="24"/>
      <c r="V462" s="22" t="s">
        <v>175</v>
      </c>
      <c r="W462" s="24"/>
      <c r="X462" s="24"/>
      <c r="Y462" s="22"/>
      <c r="Z462" s="22"/>
      <c r="AA462" s="24"/>
      <c r="AB462" s="24"/>
      <c r="AC462" s="22"/>
      <c r="AD462" s="22"/>
      <c r="AE462" s="24"/>
      <c r="AF462" s="25"/>
      <c r="AG462" s="30"/>
      <c r="AH462" s="30"/>
      <c r="AI462" s="31"/>
      <c r="AJ462" s="31"/>
      <c r="AK462" s="32"/>
    </row>
    <row r="463">
      <c r="A463" s="21" t="s">
        <v>620</v>
      </c>
      <c r="B463" s="22" t="s">
        <v>763</v>
      </c>
      <c r="C463" s="22" t="s">
        <v>82</v>
      </c>
      <c r="D463" s="26">
        <v>45997.0</v>
      </c>
      <c r="E463" s="22" t="s">
        <v>149</v>
      </c>
      <c r="F463" s="22" t="s">
        <v>623</v>
      </c>
      <c r="G463" s="22" t="s">
        <v>1355</v>
      </c>
      <c r="H463" s="22" t="s">
        <v>620</v>
      </c>
      <c r="I463" s="22">
        <v>1.0442467541315E13</v>
      </c>
      <c r="J463" s="22" t="s">
        <v>765</v>
      </c>
      <c r="K463" s="24"/>
      <c r="L463" s="22" t="s">
        <v>626</v>
      </c>
      <c r="M463" s="22">
        <v>1.0</v>
      </c>
      <c r="N463" s="22" t="s">
        <v>627</v>
      </c>
      <c r="O463" s="22" t="s">
        <v>628</v>
      </c>
      <c r="P463" s="24"/>
      <c r="Q463" s="22" t="s">
        <v>90</v>
      </c>
      <c r="R463" s="22">
        <v>3.2707151495491E13</v>
      </c>
      <c r="S463" s="24"/>
      <c r="T463" s="24"/>
      <c r="U463" s="24"/>
      <c r="V463" s="27" t="s">
        <v>54</v>
      </c>
      <c r="W463" s="24"/>
      <c r="X463" s="24"/>
      <c r="Y463" s="22"/>
      <c r="Z463" s="22"/>
      <c r="AA463" s="24"/>
      <c r="AB463" s="24"/>
      <c r="AC463" s="22"/>
      <c r="AD463" s="22"/>
      <c r="AE463" s="24"/>
      <c r="AF463" s="25"/>
      <c r="AG463" s="30"/>
      <c r="AH463" s="30"/>
      <c r="AI463" s="31"/>
      <c r="AJ463" s="31"/>
      <c r="AK463" s="32"/>
    </row>
    <row r="464">
      <c r="A464" s="21" t="s">
        <v>327</v>
      </c>
      <c r="B464" s="22" t="s">
        <v>1356</v>
      </c>
      <c r="C464" s="22" t="s">
        <v>273</v>
      </c>
      <c r="D464" s="23">
        <v>45991.0</v>
      </c>
      <c r="E464" s="22" t="s">
        <v>153</v>
      </c>
      <c r="F464" s="22" t="s">
        <v>329</v>
      </c>
      <c r="G464" s="22" t="s">
        <v>1357</v>
      </c>
      <c r="H464" s="22" t="s">
        <v>327</v>
      </c>
      <c r="I464" s="22">
        <v>1.0442519281987E13</v>
      </c>
      <c r="J464" s="22" t="s">
        <v>1358</v>
      </c>
      <c r="K464" s="24"/>
      <c r="L464" s="22" t="s">
        <v>332</v>
      </c>
      <c r="M464" s="22">
        <v>1.0</v>
      </c>
      <c r="N464" s="22" t="s">
        <v>333</v>
      </c>
      <c r="O464" s="22" t="s">
        <v>334</v>
      </c>
      <c r="P464" s="24"/>
      <c r="Q464" s="22" t="s">
        <v>90</v>
      </c>
      <c r="R464" s="22">
        <v>3.2707260285251E13</v>
      </c>
      <c r="S464" s="24"/>
      <c r="T464" s="24"/>
      <c r="U464" s="24"/>
      <c r="V464" s="22" t="s">
        <v>55</v>
      </c>
      <c r="W464" s="24"/>
      <c r="X464" s="24"/>
      <c r="Y464" s="22"/>
      <c r="Z464" s="22"/>
      <c r="AA464" s="24"/>
      <c r="AB464" s="24"/>
      <c r="AC464" s="22"/>
      <c r="AD464" s="22"/>
      <c r="AE464" s="24"/>
      <c r="AF464" s="25"/>
      <c r="AG464" s="30"/>
      <c r="AH464" s="30"/>
      <c r="AI464" s="31"/>
      <c r="AJ464" s="31"/>
      <c r="AK464" s="32"/>
    </row>
    <row r="465">
      <c r="A465" s="21" t="s">
        <v>1359</v>
      </c>
      <c r="B465" s="22" t="s">
        <v>1360</v>
      </c>
      <c r="C465" s="22" t="s">
        <v>287</v>
      </c>
      <c r="D465" s="26">
        <v>45994.0</v>
      </c>
      <c r="E465" s="22" t="s">
        <v>497</v>
      </c>
      <c r="F465" s="22" t="s">
        <v>605</v>
      </c>
      <c r="G465" s="22" t="s">
        <v>1361</v>
      </c>
      <c r="H465" s="22" t="s">
        <v>1359</v>
      </c>
      <c r="I465" s="22">
        <v>1.0442595860803E13</v>
      </c>
      <c r="J465" s="22" t="s">
        <v>1362</v>
      </c>
      <c r="K465" s="24"/>
      <c r="L465" s="22" t="s">
        <v>1363</v>
      </c>
      <c r="M465" s="22">
        <v>1.0</v>
      </c>
      <c r="N465" s="22" t="s">
        <v>795</v>
      </c>
      <c r="O465" s="22" t="s">
        <v>796</v>
      </c>
      <c r="P465" s="24"/>
      <c r="Q465" s="22" t="s">
        <v>90</v>
      </c>
      <c r="R465" s="22">
        <v>3.2707431039299E13</v>
      </c>
      <c r="S465" s="24"/>
      <c r="T465" s="24"/>
      <c r="U465" s="24"/>
      <c r="V465" s="22" t="s">
        <v>175</v>
      </c>
      <c r="W465" s="24"/>
      <c r="X465" s="24"/>
      <c r="Y465" s="22"/>
      <c r="Z465" s="22"/>
      <c r="AA465" s="24"/>
      <c r="AB465" s="24"/>
      <c r="AC465" s="22"/>
      <c r="AD465" s="22"/>
      <c r="AE465" s="24"/>
      <c r="AF465" s="25"/>
      <c r="AG465" s="30"/>
      <c r="AH465" s="30"/>
      <c r="AI465" s="31"/>
      <c r="AJ465" s="31"/>
      <c r="AK465" s="32"/>
    </row>
    <row r="466">
      <c r="A466" s="21" t="s">
        <v>611</v>
      </c>
      <c r="B466" s="22" t="s">
        <v>1364</v>
      </c>
      <c r="C466" s="22" t="s">
        <v>273</v>
      </c>
      <c r="D466" s="26">
        <v>45998.0</v>
      </c>
      <c r="E466" s="22" t="s">
        <v>138</v>
      </c>
      <c r="F466" s="22" t="s">
        <v>369</v>
      </c>
      <c r="G466" s="22" t="s">
        <v>1365</v>
      </c>
      <c r="H466" s="22" t="s">
        <v>611</v>
      </c>
      <c r="I466" s="22">
        <v>1.0442597794115E13</v>
      </c>
      <c r="J466" s="22" t="s">
        <v>1366</v>
      </c>
      <c r="K466" s="24"/>
      <c r="L466" s="22" t="s">
        <v>613</v>
      </c>
      <c r="M466" s="22">
        <v>1.0</v>
      </c>
      <c r="N466" s="22" t="s">
        <v>600</v>
      </c>
      <c r="O466" s="22" t="s">
        <v>601</v>
      </c>
      <c r="P466" s="24"/>
      <c r="Q466" s="22" t="s">
        <v>90</v>
      </c>
      <c r="R466" s="22">
        <v>3.2707435233603E13</v>
      </c>
      <c r="S466" s="24"/>
      <c r="T466" s="24"/>
      <c r="U466" s="24"/>
      <c r="V466" s="27" t="s">
        <v>105</v>
      </c>
      <c r="W466" s="24"/>
      <c r="X466" s="24"/>
      <c r="Y466" s="22"/>
      <c r="Z466" s="22"/>
      <c r="AA466" s="24"/>
      <c r="AB466" s="24"/>
      <c r="AC466" s="22"/>
      <c r="AD466" s="22"/>
      <c r="AE466" s="24"/>
      <c r="AF466" s="25"/>
      <c r="AG466" s="30"/>
      <c r="AH466" s="30"/>
      <c r="AI466" s="31"/>
      <c r="AJ466" s="31"/>
      <c r="AK466" s="32"/>
    </row>
    <row r="467">
      <c r="A467" s="21" t="s">
        <v>732</v>
      </c>
      <c r="B467" s="22" t="s">
        <v>1367</v>
      </c>
      <c r="C467" s="22" t="s">
        <v>82</v>
      </c>
      <c r="D467" s="26">
        <v>45997.0</v>
      </c>
      <c r="E467" s="22" t="s">
        <v>841</v>
      </c>
      <c r="F467" s="22" t="s">
        <v>634</v>
      </c>
      <c r="G467" s="22" t="s">
        <v>1368</v>
      </c>
      <c r="H467" s="22" t="s">
        <v>732</v>
      </c>
      <c r="I467" s="22">
        <v>1.0442605953347E13</v>
      </c>
      <c r="J467" s="22" t="s">
        <v>1369</v>
      </c>
      <c r="K467" s="24"/>
      <c r="L467" s="22" t="s">
        <v>737</v>
      </c>
      <c r="M467" s="22">
        <v>1.0</v>
      </c>
      <c r="N467" s="22" t="s">
        <v>738</v>
      </c>
      <c r="O467" s="22" t="s">
        <v>739</v>
      </c>
      <c r="P467" s="24"/>
      <c r="Q467" s="22" t="s">
        <v>90</v>
      </c>
      <c r="R467" s="22">
        <v>3.2707455385923E13</v>
      </c>
      <c r="S467" s="24"/>
      <c r="T467" s="24"/>
      <c r="U467" s="24"/>
      <c r="V467" s="22" t="s">
        <v>105</v>
      </c>
      <c r="W467" s="24"/>
      <c r="X467" s="24"/>
      <c r="Y467" s="22"/>
      <c r="Z467" s="22"/>
      <c r="AA467" s="24"/>
      <c r="AB467" s="24"/>
      <c r="AC467" s="22"/>
      <c r="AD467" s="22"/>
      <c r="AE467" s="24"/>
      <c r="AF467" s="25"/>
      <c r="AG467" s="30"/>
      <c r="AH467" s="30"/>
      <c r="AI467" s="31"/>
      <c r="AJ467" s="31"/>
      <c r="AK467" s="32"/>
    </row>
    <row r="468">
      <c r="A468" s="21" t="s">
        <v>1370</v>
      </c>
      <c r="B468" s="22" t="s">
        <v>1187</v>
      </c>
      <c r="C468" s="22" t="s">
        <v>273</v>
      </c>
      <c r="D468" s="23">
        <v>45991.0</v>
      </c>
      <c r="E468" s="22" t="s">
        <v>134</v>
      </c>
      <c r="F468" s="22" t="s">
        <v>329</v>
      </c>
      <c r="G468" s="22" t="s">
        <v>1371</v>
      </c>
      <c r="H468" s="22" t="s">
        <v>1370</v>
      </c>
      <c r="I468" s="22">
        <v>1.0442623779139E13</v>
      </c>
      <c r="J468" s="22" t="s">
        <v>1189</v>
      </c>
      <c r="K468" s="24"/>
      <c r="L468" s="22" t="s">
        <v>1372</v>
      </c>
      <c r="M468" s="22">
        <v>1.0</v>
      </c>
      <c r="N468" s="22" t="s">
        <v>333</v>
      </c>
      <c r="O468" s="22" t="s">
        <v>334</v>
      </c>
      <c r="P468" s="24"/>
      <c r="Q468" s="22" t="s">
        <v>90</v>
      </c>
      <c r="R468" s="22">
        <v>3.2707492741443E13</v>
      </c>
      <c r="S468" s="24"/>
      <c r="T468" s="24"/>
      <c r="U468" s="24"/>
      <c r="V468" s="22" t="s">
        <v>91</v>
      </c>
      <c r="W468" s="24"/>
      <c r="X468" s="24"/>
      <c r="Y468" s="22"/>
      <c r="Z468" s="22"/>
      <c r="AA468" s="24"/>
      <c r="AB468" s="24"/>
      <c r="AC468" s="22"/>
      <c r="AD468" s="22"/>
      <c r="AE468" s="24"/>
      <c r="AF468" s="25"/>
      <c r="AG468" s="30"/>
      <c r="AH468" s="30"/>
      <c r="AI468" s="31"/>
      <c r="AJ468" s="31"/>
      <c r="AK468" s="32"/>
    </row>
    <row r="469">
      <c r="A469" s="21" t="s">
        <v>172</v>
      </c>
      <c r="B469" s="22" t="s">
        <v>1373</v>
      </c>
      <c r="C469" s="22" t="s">
        <v>273</v>
      </c>
      <c r="D469" s="23">
        <v>45991.0</v>
      </c>
      <c r="E469" s="22" t="s">
        <v>149</v>
      </c>
      <c r="F469" s="22" t="s">
        <v>83</v>
      </c>
      <c r="G469" s="22" t="s">
        <v>1374</v>
      </c>
      <c r="H469" s="22" t="s">
        <v>172</v>
      </c>
      <c r="I469" s="22">
        <v>1.0442656416067E13</v>
      </c>
      <c r="J469" s="22" t="s">
        <v>1375</v>
      </c>
      <c r="K469" s="24"/>
      <c r="L469" s="22" t="s">
        <v>174</v>
      </c>
      <c r="M469" s="22">
        <v>1.0</v>
      </c>
      <c r="N469" s="22" t="s">
        <v>103</v>
      </c>
      <c r="O469" s="22" t="s">
        <v>104</v>
      </c>
      <c r="P469" s="24"/>
      <c r="Q469" s="22" t="s">
        <v>90</v>
      </c>
      <c r="R469" s="22">
        <v>3.2707566993731E13</v>
      </c>
      <c r="S469" s="24"/>
      <c r="T469" s="24"/>
      <c r="U469" s="24"/>
      <c r="V469" s="22" t="s">
        <v>175</v>
      </c>
      <c r="W469" s="24"/>
      <c r="X469" s="24"/>
      <c r="Y469" s="22"/>
      <c r="Z469" s="22"/>
      <c r="AA469" s="24"/>
      <c r="AB469" s="24"/>
      <c r="AC469" s="22"/>
      <c r="AD469" s="22"/>
      <c r="AE469" s="24"/>
      <c r="AF469" s="25"/>
      <c r="AG469" s="30"/>
      <c r="AH469" s="30"/>
      <c r="AI469" s="31"/>
      <c r="AJ469" s="31"/>
      <c r="AK469" s="32"/>
    </row>
    <row r="470">
      <c r="A470" s="21" t="s">
        <v>1376</v>
      </c>
      <c r="B470" s="22" t="s">
        <v>450</v>
      </c>
      <c r="C470" s="22" t="s">
        <v>82</v>
      </c>
      <c r="D470" s="26">
        <v>45997.0</v>
      </c>
      <c r="E470" s="22" t="s">
        <v>134</v>
      </c>
      <c r="F470" s="22" t="s">
        <v>451</v>
      </c>
      <c r="G470" s="22" t="s">
        <v>1377</v>
      </c>
      <c r="H470" s="22" t="s">
        <v>1376</v>
      </c>
      <c r="I470" s="22">
        <v>1.0442669654339E13</v>
      </c>
      <c r="J470" s="22" t="s">
        <v>453</v>
      </c>
      <c r="K470" s="24"/>
      <c r="L470" s="22" t="s">
        <v>1378</v>
      </c>
      <c r="M470" s="22">
        <v>1.0</v>
      </c>
      <c r="N470" s="22" t="s">
        <v>455</v>
      </c>
      <c r="O470" s="22" t="s">
        <v>456</v>
      </c>
      <c r="P470" s="24"/>
      <c r="Q470" s="22" t="s">
        <v>90</v>
      </c>
      <c r="R470" s="22">
        <v>3.2707593765187E13</v>
      </c>
      <c r="S470" s="24"/>
      <c r="T470" s="24"/>
      <c r="U470" s="24"/>
      <c r="V470" s="22" t="s">
        <v>95</v>
      </c>
      <c r="W470" s="24"/>
      <c r="X470" s="24"/>
      <c r="Y470" s="22"/>
      <c r="Z470" s="22"/>
      <c r="AA470" s="24"/>
      <c r="AB470" s="24"/>
      <c r="AC470" s="22"/>
      <c r="AD470" s="22"/>
      <c r="AE470" s="24"/>
      <c r="AF470" s="25"/>
      <c r="AG470" s="30"/>
      <c r="AH470" s="30"/>
      <c r="AI470" s="31"/>
      <c r="AJ470" s="31"/>
      <c r="AK470" s="32"/>
    </row>
    <row r="471">
      <c r="A471" s="21" t="s">
        <v>449</v>
      </c>
      <c r="B471" s="22" t="s">
        <v>450</v>
      </c>
      <c r="C471" s="22" t="s">
        <v>82</v>
      </c>
      <c r="D471" s="26">
        <v>45997.0</v>
      </c>
      <c r="E471" s="22" t="s">
        <v>134</v>
      </c>
      <c r="F471" s="22" t="s">
        <v>451</v>
      </c>
      <c r="G471" s="22" t="s">
        <v>1377</v>
      </c>
      <c r="H471" s="22" t="s">
        <v>449</v>
      </c>
      <c r="I471" s="22">
        <v>1.0442669654339E13</v>
      </c>
      <c r="J471" s="22" t="s">
        <v>453</v>
      </c>
      <c r="K471" s="24"/>
      <c r="L471" s="22" t="s">
        <v>454</v>
      </c>
      <c r="M471" s="22">
        <v>1.0</v>
      </c>
      <c r="N471" s="22" t="s">
        <v>455</v>
      </c>
      <c r="O471" s="22" t="s">
        <v>456</v>
      </c>
      <c r="P471" s="24"/>
      <c r="Q471" s="22" t="s">
        <v>90</v>
      </c>
      <c r="R471" s="22">
        <v>3.2707593797955E13</v>
      </c>
      <c r="S471" s="24"/>
      <c r="T471" s="24"/>
      <c r="U471" s="24"/>
      <c r="V471" s="22" t="s">
        <v>54</v>
      </c>
      <c r="W471" s="24"/>
      <c r="X471" s="24"/>
      <c r="Y471" s="22"/>
      <c r="Z471" s="22"/>
      <c r="AA471" s="24"/>
      <c r="AB471" s="24"/>
      <c r="AC471" s="22"/>
      <c r="AD471" s="22"/>
      <c r="AE471" s="24"/>
      <c r="AF471" s="25"/>
      <c r="AG471" s="30"/>
      <c r="AH471" s="30"/>
      <c r="AI471" s="31"/>
      <c r="AJ471" s="31"/>
      <c r="AK471" s="32"/>
    </row>
    <row r="472">
      <c r="A472" s="21" t="s">
        <v>595</v>
      </c>
      <c r="B472" s="22" t="s">
        <v>673</v>
      </c>
      <c r="C472" s="22" t="s">
        <v>273</v>
      </c>
      <c r="D472" s="26">
        <v>45998.0</v>
      </c>
      <c r="E472" s="22" t="s">
        <v>248</v>
      </c>
      <c r="F472" s="22" t="s">
        <v>369</v>
      </c>
      <c r="G472" s="22" t="s">
        <v>1379</v>
      </c>
      <c r="H472" s="22" t="s">
        <v>595</v>
      </c>
      <c r="I472" s="22">
        <v>1.0442728276291E13</v>
      </c>
      <c r="J472" s="22" t="s">
        <v>675</v>
      </c>
      <c r="K472" s="24"/>
      <c r="L472" s="22" t="s">
        <v>599</v>
      </c>
      <c r="M472" s="22">
        <v>1.0</v>
      </c>
      <c r="N472" s="22" t="s">
        <v>600</v>
      </c>
      <c r="O472" s="22" t="s">
        <v>601</v>
      </c>
      <c r="P472" s="24"/>
      <c r="Q472" s="22" t="s">
        <v>90</v>
      </c>
      <c r="R472" s="22">
        <v>3.2707718938947E13</v>
      </c>
      <c r="S472" s="24"/>
      <c r="T472" s="24"/>
      <c r="U472" s="24"/>
      <c r="V472" s="22" t="s">
        <v>127</v>
      </c>
      <c r="W472" s="24"/>
      <c r="X472" s="24"/>
      <c r="Y472" s="22"/>
      <c r="Z472" s="22"/>
      <c r="AA472" s="24"/>
      <c r="AB472" s="24"/>
      <c r="AC472" s="22"/>
      <c r="AD472" s="22"/>
      <c r="AE472" s="24"/>
      <c r="AF472" s="25"/>
      <c r="AG472" s="30"/>
      <c r="AH472" s="30"/>
      <c r="AI472" s="31"/>
      <c r="AJ472" s="31"/>
      <c r="AK472" s="32"/>
    </row>
    <row r="473">
      <c r="A473" s="21" t="s">
        <v>740</v>
      </c>
      <c r="B473" s="22" t="s">
        <v>434</v>
      </c>
      <c r="C473" s="22" t="s">
        <v>273</v>
      </c>
      <c r="D473" s="26">
        <v>45998.0</v>
      </c>
      <c r="E473" s="22" t="s">
        <v>134</v>
      </c>
      <c r="F473" s="22" t="s">
        <v>303</v>
      </c>
      <c r="G473" s="22" t="s">
        <v>1380</v>
      </c>
      <c r="H473" s="22" t="s">
        <v>740</v>
      </c>
      <c r="I473" s="22">
        <v>1.0441184084291E13</v>
      </c>
      <c r="J473" s="22" t="s">
        <v>582</v>
      </c>
      <c r="K473" s="24"/>
      <c r="L473" s="22" t="s">
        <v>744</v>
      </c>
      <c r="M473" s="22">
        <v>1.0</v>
      </c>
      <c r="N473" s="22" t="s">
        <v>307</v>
      </c>
      <c r="O473" s="22" t="s">
        <v>308</v>
      </c>
      <c r="P473" s="24"/>
      <c r="Q473" s="22" t="s">
        <v>90</v>
      </c>
      <c r="R473" s="22">
        <v>3.2704671973699E13</v>
      </c>
      <c r="S473" s="24"/>
      <c r="T473" s="24"/>
      <c r="U473" s="24"/>
      <c r="V473" s="22" t="s">
        <v>91</v>
      </c>
      <c r="W473" s="24"/>
      <c r="X473" s="24"/>
      <c r="Y473" s="22"/>
      <c r="Z473" s="22"/>
      <c r="AA473" s="24"/>
      <c r="AB473" s="24"/>
      <c r="AC473" s="22"/>
      <c r="AD473" s="22"/>
      <c r="AE473" s="24"/>
      <c r="AF473" s="25"/>
      <c r="AG473" s="30"/>
      <c r="AH473" s="30"/>
      <c r="AI473" s="31"/>
      <c r="AJ473" s="31"/>
      <c r="AK473" s="32"/>
    </row>
    <row r="474">
      <c r="A474" s="21" t="s">
        <v>902</v>
      </c>
      <c r="B474" s="22" t="s">
        <v>1356</v>
      </c>
      <c r="C474" s="22" t="s">
        <v>273</v>
      </c>
      <c r="D474" s="23">
        <v>45991.0</v>
      </c>
      <c r="E474" s="22" t="s">
        <v>153</v>
      </c>
      <c r="F474" s="22" t="s">
        <v>329</v>
      </c>
      <c r="G474" s="22" t="s">
        <v>1381</v>
      </c>
      <c r="H474" s="22" t="s">
        <v>902</v>
      </c>
      <c r="I474" s="22">
        <v>1.0442751934787E13</v>
      </c>
      <c r="J474" s="22" t="s">
        <v>1358</v>
      </c>
      <c r="K474" s="24"/>
      <c r="L474" s="22" t="s">
        <v>906</v>
      </c>
      <c r="M474" s="22">
        <v>1.0</v>
      </c>
      <c r="N474" s="22" t="s">
        <v>907</v>
      </c>
      <c r="O474" s="22" t="s">
        <v>908</v>
      </c>
      <c r="P474" s="24"/>
      <c r="Q474" s="22" t="s">
        <v>90</v>
      </c>
      <c r="R474" s="22">
        <v>3.2707769958723E13</v>
      </c>
      <c r="S474" s="24"/>
      <c r="T474" s="24"/>
      <c r="U474" s="24"/>
      <c r="V474" s="22" t="s">
        <v>105</v>
      </c>
      <c r="W474" s="24"/>
      <c r="X474" s="24"/>
      <c r="Y474" s="22"/>
      <c r="Z474" s="22"/>
      <c r="AA474" s="24"/>
      <c r="AB474" s="24"/>
      <c r="AC474" s="30"/>
      <c r="AD474" s="30"/>
      <c r="AE474" s="33"/>
      <c r="AF474" s="31"/>
      <c r="AG474" s="30"/>
      <c r="AH474" s="30"/>
      <c r="AI474" s="31"/>
      <c r="AJ474" s="31"/>
      <c r="AK474" s="32"/>
    </row>
    <row r="475">
      <c r="A475" s="21" t="s">
        <v>375</v>
      </c>
      <c r="B475" s="22" t="s">
        <v>1382</v>
      </c>
      <c r="C475" s="22" t="s">
        <v>82</v>
      </c>
      <c r="D475" s="26">
        <v>45997.0</v>
      </c>
      <c r="E475" s="22" t="s">
        <v>248</v>
      </c>
      <c r="F475" s="22" t="s">
        <v>377</v>
      </c>
      <c r="G475" s="22" t="s">
        <v>1383</v>
      </c>
      <c r="H475" s="22" t="s">
        <v>375</v>
      </c>
      <c r="I475" s="22">
        <v>1.0442812031299E13</v>
      </c>
      <c r="J475" s="22" t="s">
        <v>1384</v>
      </c>
      <c r="K475" s="24"/>
      <c r="L475" s="22" t="s">
        <v>380</v>
      </c>
      <c r="M475" s="22">
        <v>1.0</v>
      </c>
      <c r="N475" s="22" t="s">
        <v>381</v>
      </c>
      <c r="O475" s="22" t="s">
        <v>382</v>
      </c>
      <c r="P475" s="24"/>
      <c r="Q475" s="22" t="s">
        <v>90</v>
      </c>
      <c r="R475" s="22">
        <v>3.2707896770883E13</v>
      </c>
      <c r="S475" s="24"/>
      <c r="T475" s="24"/>
      <c r="U475" s="24"/>
      <c r="V475" s="22" t="s">
        <v>55</v>
      </c>
      <c r="W475" s="24"/>
      <c r="X475" s="24"/>
      <c r="Y475" s="22"/>
      <c r="Z475" s="22"/>
      <c r="AA475" s="24"/>
      <c r="AB475" s="24"/>
      <c r="AC475" s="30"/>
      <c r="AD475" s="30"/>
      <c r="AE475" s="33"/>
      <c r="AF475" s="31"/>
      <c r="AG475" s="30"/>
      <c r="AH475" s="30"/>
      <c r="AI475" s="31"/>
      <c r="AJ475" s="31"/>
      <c r="AK475" s="32"/>
    </row>
    <row r="476">
      <c r="A476" s="21" t="s">
        <v>386</v>
      </c>
      <c r="B476" s="22" t="s">
        <v>1385</v>
      </c>
      <c r="C476" s="22" t="s">
        <v>336</v>
      </c>
      <c r="D476" s="23">
        <v>46002.0</v>
      </c>
      <c r="E476" s="22" t="s">
        <v>134</v>
      </c>
      <c r="F476" s="22" t="s">
        <v>311</v>
      </c>
      <c r="G476" s="22" t="s">
        <v>1386</v>
      </c>
      <c r="H476" s="22" t="s">
        <v>386</v>
      </c>
      <c r="I476" s="22">
        <v>1.0442975609155E13</v>
      </c>
      <c r="J476" s="22" t="s">
        <v>1387</v>
      </c>
      <c r="K476" s="24"/>
      <c r="L476" s="22" t="s">
        <v>390</v>
      </c>
      <c r="M476" s="22">
        <v>1.0</v>
      </c>
      <c r="N476" s="22" t="s">
        <v>391</v>
      </c>
      <c r="O476" s="22" t="s">
        <v>392</v>
      </c>
      <c r="P476" s="24"/>
      <c r="Q476" s="22" t="s">
        <v>90</v>
      </c>
      <c r="R476" s="22">
        <v>3.2708249551171E13</v>
      </c>
      <c r="S476" s="24"/>
      <c r="T476" s="24"/>
      <c r="U476" s="24"/>
      <c r="V476" s="22" t="s">
        <v>55</v>
      </c>
      <c r="W476" s="24"/>
      <c r="X476" s="24"/>
      <c r="Y476" s="22"/>
      <c r="Z476" s="22"/>
      <c r="AA476" s="24"/>
      <c r="AB476" s="24"/>
      <c r="AC476" s="30"/>
      <c r="AD476" s="30"/>
      <c r="AE476" s="33"/>
      <c r="AF476" s="31"/>
      <c r="AG476" s="30"/>
      <c r="AH476" s="30"/>
      <c r="AI476" s="31"/>
      <c r="AJ476" s="31"/>
      <c r="AK476" s="32"/>
    </row>
    <row r="477">
      <c r="A477" s="21" t="s">
        <v>80</v>
      </c>
      <c r="B477" s="22" t="s">
        <v>1388</v>
      </c>
      <c r="C477" s="22" t="s">
        <v>202</v>
      </c>
      <c r="D477" s="26">
        <v>45996.0</v>
      </c>
      <c r="E477" s="22" t="s">
        <v>480</v>
      </c>
      <c r="F477" s="22" t="s">
        <v>83</v>
      </c>
      <c r="G477" s="22" t="s">
        <v>1389</v>
      </c>
      <c r="H477" s="22" t="s">
        <v>80</v>
      </c>
      <c r="I477" s="22">
        <v>1.0443078107459E13</v>
      </c>
      <c r="J477" s="22" t="s">
        <v>1390</v>
      </c>
      <c r="K477" s="24"/>
      <c r="L477" s="22" t="s">
        <v>86</v>
      </c>
      <c r="M477" s="22">
        <v>1.0</v>
      </c>
      <c r="N477" s="22" t="s">
        <v>87</v>
      </c>
      <c r="O477" s="22" t="s">
        <v>88</v>
      </c>
      <c r="P477" s="24"/>
      <c r="Q477" s="22" t="s">
        <v>90</v>
      </c>
      <c r="R477" s="22">
        <v>3.2708477518147E13</v>
      </c>
      <c r="S477" s="24"/>
      <c r="T477" s="24"/>
      <c r="U477" s="24"/>
      <c r="V477" s="22" t="s">
        <v>91</v>
      </c>
      <c r="W477" s="24"/>
      <c r="X477" s="24"/>
      <c r="Y477" s="22"/>
      <c r="Z477" s="22"/>
      <c r="AA477" s="24"/>
      <c r="AB477" s="24"/>
      <c r="AC477" s="30"/>
      <c r="AD477" s="30"/>
      <c r="AE477" s="33"/>
      <c r="AF477" s="31"/>
      <c r="AG477" s="30"/>
      <c r="AH477" s="30"/>
      <c r="AI477" s="31"/>
      <c r="AJ477" s="31"/>
      <c r="AK477" s="32"/>
    </row>
    <row r="478">
      <c r="A478" s="21" t="s">
        <v>141</v>
      </c>
      <c r="B478" s="22" t="s">
        <v>1252</v>
      </c>
      <c r="C478" s="22" t="s">
        <v>82</v>
      </c>
      <c r="D478" s="26">
        <v>45997.0</v>
      </c>
      <c r="E478" s="22" t="s">
        <v>248</v>
      </c>
      <c r="F478" s="22" t="s">
        <v>83</v>
      </c>
      <c r="G478" s="22" t="s">
        <v>1391</v>
      </c>
      <c r="H478" s="22" t="s">
        <v>141</v>
      </c>
      <c r="I478" s="22">
        <v>1.0443087610179E13</v>
      </c>
      <c r="J478" s="22" t="s">
        <v>1254</v>
      </c>
      <c r="K478" s="24"/>
      <c r="L478" s="22" t="s">
        <v>143</v>
      </c>
      <c r="M478" s="22">
        <v>1.0</v>
      </c>
      <c r="N478" s="22" t="s">
        <v>87</v>
      </c>
      <c r="O478" s="22" t="s">
        <v>88</v>
      </c>
      <c r="P478" s="24"/>
      <c r="Q478" s="22" t="s">
        <v>90</v>
      </c>
      <c r="R478" s="22">
        <v>3.2708498063683E13</v>
      </c>
      <c r="S478" s="24"/>
      <c r="T478" s="24"/>
      <c r="U478" s="24"/>
      <c r="V478" s="22" t="s">
        <v>54</v>
      </c>
      <c r="W478" s="24"/>
      <c r="X478" s="24"/>
      <c r="Y478" s="22"/>
      <c r="Z478" s="22"/>
      <c r="AA478" s="24"/>
      <c r="AB478" s="24"/>
      <c r="AC478" s="30"/>
      <c r="AD478" s="30"/>
      <c r="AE478" s="33"/>
      <c r="AF478" s="31"/>
      <c r="AG478" s="30"/>
      <c r="AH478" s="30"/>
      <c r="AI478" s="31"/>
      <c r="AJ478" s="31"/>
      <c r="AK478" s="32"/>
    </row>
    <row r="479">
      <c r="A479" s="21" t="s">
        <v>470</v>
      </c>
      <c r="B479" s="22" t="s">
        <v>471</v>
      </c>
      <c r="C479" s="22" t="s">
        <v>82</v>
      </c>
      <c r="D479" s="26">
        <v>45997.0</v>
      </c>
      <c r="E479" s="22" t="s">
        <v>134</v>
      </c>
      <c r="F479" s="22" t="s">
        <v>472</v>
      </c>
      <c r="G479" s="22" t="s">
        <v>1392</v>
      </c>
      <c r="H479" s="22" t="s">
        <v>470</v>
      </c>
      <c r="I479" s="22">
        <v>1.0443105567043E13</v>
      </c>
      <c r="J479" s="22" t="s">
        <v>474</v>
      </c>
      <c r="K479" s="24"/>
      <c r="L479" s="22" t="s">
        <v>475</v>
      </c>
      <c r="M479" s="22">
        <v>1.0</v>
      </c>
      <c r="N479" s="22" t="s">
        <v>476</v>
      </c>
      <c r="O479" s="22" t="s">
        <v>477</v>
      </c>
      <c r="P479" s="24"/>
      <c r="Q479" s="22" t="s">
        <v>90</v>
      </c>
      <c r="R479" s="22">
        <v>3.2708536992067E13</v>
      </c>
      <c r="S479" s="24"/>
      <c r="T479" s="24"/>
      <c r="U479" s="24"/>
      <c r="V479" s="22" t="s">
        <v>91</v>
      </c>
      <c r="W479" s="24"/>
      <c r="X479" s="24"/>
      <c r="Y479" s="22"/>
      <c r="Z479" s="22"/>
      <c r="AA479" s="24"/>
      <c r="AB479" s="24"/>
      <c r="AC479" s="30"/>
      <c r="AD479" s="30"/>
      <c r="AE479" s="33"/>
      <c r="AF479" s="31"/>
      <c r="AG479" s="30"/>
      <c r="AH479" s="30"/>
      <c r="AI479" s="31"/>
      <c r="AJ479" s="31"/>
      <c r="AK479" s="32"/>
    </row>
    <row r="480">
      <c r="A480" s="21" t="s">
        <v>529</v>
      </c>
      <c r="B480" s="22" t="s">
        <v>530</v>
      </c>
      <c r="C480" s="22" t="s">
        <v>82</v>
      </c>
      <c r="D480" s="26">
        <v>45997.0</v>
      </c>
      <c r="E480" s="22" t="s">
        <v>149</v>
      </c>
      <c r="F480" s="22" t="s">
        <v>472</v>
      </c>
      <c r="G480" s="22" t="s">
        <v>1393</v>
      </c>
      <c r="H480" s="22" t="s">
        <v>529</v>
      </c>
      <c r="I480" s="22">
        <v>1.0443111858499E13</v>
      </c>
      <c r="J480" s="22" t="s">
        <v>537</v>
      </c>
      <c r="K480" s="24"/>
      <c r="L480" s="22" t="s">
        <v>533</v>
      </c>
      <c r="M480" s="22">
        <v>1.0</v>
      </c>
      <c r="N480" s="22" t="s">
        <v>534</v>
      </c>
      <c r="O480" s="22" t="s">
        <v>535</v>
      </c>
      <c r="P480" s="24"/>
      <c r="Q480" s="22" t="s">
        <v>90</v>
      </c>
      <c r="R480" s="22">
        <v>3.2708550492483E13</v>
      </c>
      <c r="S480" s="24"/>
      <c r="T480" s="24"/>
      <c r="U480" s="24"/>
      <c r="V480" s="22" t="s">
        <v>127</v>
      </c>
      <c r="W480" s="24"/>
      <c r="X480" s="24"/>
      <c r="Y480" s="22"/>
      <c r="Z480" s="22"/>
      <c r="AA480" s="24"/>
      <c r="AB480" s="24"/>
      <c r="AC480" s="30"/>
      <c r="AD480" s="30"/>
      <c r="AE480" s="33"/>
      <c r="AF480" s="31"/>
      <c r="AG480" s="30"/>
      <c r="AH480" s="30"/>
      <c r="AI480" s="31"/>
      <c r="AJ480" s="31"/>
      <c r="AK480" s="32"/>
    </row>
    <row r="481">
      <c r="A481" s="21" t="s">
        <v>367</v>
      </c>
      <c r="B481" s="22" t="s">
        <v>368</v>
      </c>
      <c r="C481" s="22" t="s">
        <v>273</v>
      </c>
      <c r="D481" s="26">
        <v>45998.0</v>
      </c>
      <c r="E481" s="22" t="s">
        <v>196</v>
      </c>
      <c r="F481" s="22" t="s">
        <v>369</v>
      </c>
      <c r="G481" s="22" t="s">
        <v>1394</v>
      </c>
      <c r="H481" s="22" t="s">
        <v>367</v>
      </c>
      <c r="I481" s="22">
        <v>1.0443217371459E13</v>
      </c>
      <c r="J481" s="22" t="s">
        <v>1395</v>
      </c>
      <c r="K481" s="24"/>
      <c r="L481" s="22" t="s">
        <v>372</v>
      </c>
      <c r="M481" s="22">
        <v>1.0</v>
      </c>
      <c r="N481" s="22" t="s">
        <v>373</v>
      </c>
      <c r="O481" s="22" t="s">
        <v>374</v>
      </c>
      <c r="P481" s="24"/>
      <c r="Q481" s="22" t="s">
        <v>90</v>
      </c>
      <c r="R481" s="22">
        <v>3.2708771807555E13</v>
      </c>
      <c r="S481" s="24"/>
      <c r="T481" s="24"/>
      <c r="U481" s="24"/>
      <c r="V481" s="22" t="s">
        <v>55</v>
      </c>
      <c r="W481" s="24"/>
      <c r="X481" s="24"/>
      <c r="Y481" s="22"/>
      <c r="Z481" s="22"/>
      <c r="AA481" s="24"/>
      <c r="AB481" s="24"/>
      <c r="AC481" s="30"/>
      <c r="AD481" s="30"/>
      <c r="AE481" s="33"/>
      <c r="AF481" s="31"/>
      <c r="AG481" s="30"/>
      <c r="AH481" s="30"/>
      <c r="AI481" s="31"/>
      <c r="AJ481" s="31"/>
      <c r="AK481" s="32"/>
    </row>
    <row r="482">
      <c r="A482" s="21" t="s">
        <v>80</v>
      </c>
      <c r="B482" s="22" t="s">
        <v>1396</v>
      </c>
      <c r="C482" s="22" t="s">
        <v>82</v>
      </c>
      <c r="D482" s="26">
        <v>45997.0</v>
      </c>
      <c r="E482" s="22" t="s">
        <v>181</v>
      </c>
      <c r="F482" s="22" t="s">
        <v>83</v>
      </c>
      <c r="G482" s="22" t="s">
        <v>1397</v>
      </c>
      <c r="H482" s="22" t="s">
        <v>80</v>
      </c>
      <c r="I482" s="22">
        <v>1.0442403873091E13</v>
      </c>
      <c r="J482" s="22" t="s">
        <v>1398</v>
      </c>
      <c r="K482" s="24"/>
      <c r="L482" s="22" t="s">
        <v>86</v>
      </c>
      <c r="M482" s="22">
        <v>1.0</v>
      </c>
      <c r="N482" s="22" t="s">
        <v>87</v>
      </c>
      <c r="O482" s="22" t="s">
        <v>88</v>
      </c>
      <c r="P482" s="24"/>
      <c r="Q482" s="22" t="s">
        <v>90</v>
      </c>
      <c r="R482" s="22">
        <v>3.2707016032579E13</v>
      </c>
      <c r="S482" s="24"/>
      <c r="T482" s="24"/>
      <c r="U482" s="24"/>
      <c r="V482" s="22" t="s">
        <v>91</v>
      </c>
      <c r="W482" s="24"/>
      <c r="X482" s="24"/>
      <c r="Y482" s="22"/>
      <c r="Z482" s="22"/>
      <c r="AA482" s="24"/>
      <c r="AB482" s="24"/>
      <c r="AC482" s="30"/>
      <c r="AD482" s="30"/>
      <c r="AE482" s="33"/>
      <c r="AF482" s="31"/>
      <c r="AG482" s="30"/>
      <c r="AH482" s="30"/>
      <c r="AI482" s="31"/>
      <c r="AJ482" s="31"/>
      <c r="AK482" s="32"/>
    </row>
    <row r="483">
      <c r="A483" s="21" t="s">
        <v>99</v>
      </c>
      <c r="B483" s="22" t="s">
        <v>1399</v>
      </c>
      <c r="C483" s="22" t="s">
        <v>82</v>
      </c>
      <c r="D483" s="26">
        <v>45997.0</v>
      </c>
      <c r="E483" s="22" t="s">
        <v>1400</v>
      </c>
      <c r="F483" s="22" t="s">
        <v>83</v>
      </c>
      <c r="G483" s="22" t="s">
        <v>1401</v>
      </c>
      <c r="H483" s="22" t="s">
        <v>99</v>
      </c>
      <c r="I483" s="22">
        <v>1.0443346248003E13</v>
      </c>
      <c r="J483" s="22" t="s">
        <v>1402</v>
      </c>
      <c r="K483" s="24"/>
      <c r="L483" s="22" t="s">
        <v>102</v>
      </c>
      <c r="M483" s="22">
        <v>1.0</v>
      </c>
      <c r="N483" s="22" t="s">
        <v>103</v>
      </c>
      <c r="O483" s="22" t="s">
        <v>104</v>
      </c>
      <c r="P483" s="24"/>
      <c r="Q483" s="22" t="s">
        <v>90</v>
      </c>
      <c r="R483" s="22">
        <v>3.2709047779651E13</v>
      </c>
      <c r="S483" s="24"/>
      <c r="T483" s="24"/>
      <c r="U483" s="24"/>
      <c r="V483" s="22" t="s">
        <v>105</v>
      </c>
      <c r="W483" s="24"/>
      <c r="X483" s="24"/>
      <c r="Y483" s="22"/>
      <c r="Z483" s="22"/>
      <c r="AA483" s="24"/>
      <c r="AB483" s="24"/>
      <c r="AC483" s="30"/>
      <c r="AD483" s="30"/>
      <c r="AE483" s="33"/>
      <c r="AF483" s="31"/>
      <c r="AG483" s="30"/>
      <c r="AH483" s="30"/>
      <c r="AI483" s="31"/>
      <c r="AJ483" s="31"/>
      <c r="AK483" s="32"/>
    </row>
    <row r="484">
      <c r="A484" s="21" t="s">
        <v>470</v>
      </c>
      <c r="B484" s="22" t="s">
        <v>1343</v>
      </c>
      <c r="C484" s="22" t="s">
        <v>273</v>
      </c>
      <c r="D484" s="26">
        <v>45998.0</v>
      </c>
      <c r="E484" s="22" t="s">
        <v>266</v>
      </c>
      <c r="F484" s="22" t="s">
        <v>472</v>
      </c>
      <c r="G484" s="22" t="s">
        <v>1403</v>
      </c>
      <c r="H484" s="22" t="s">
        <v>470</v>
      </c>
      <c r="I484" s="22">
        <v>1.0440968470851E13</v>
      </c>
      <c r="J484" s="22" t="s">
        <v>1345</v>
      </c>
      <c r="K484" s="24"/>
      <c r="L484" s="22" t="s">
        <v>475</v>
      </c>
      <c r="M484" s="22">
        <v>1.0</v>
      </c>
      <c r="N484" s="22" t="s">
        <v>476</v>
      </c>
      <c r="O484" s="22" t="s">
        <v>477</v>
      </c>
      <c r="P484" s="24"/>
      <c r="Q484" s="22" t="s">
        <v>90</v>
      </c>
      <c r="R484" s="22">
        <v>3.2704180388163E13</v>
      </c>
      <c r="S484" s="24"/>
      <c r="T484" s="24"/>
      <c r="U484" s="24"/>
      <c r="V484" s="22" t="s">
        <v>91</v>
      </c>
      <c r="W484" s="24"/>
      <c r="X484" s="24"/>
      <c r="Y484" s="22"/>
      <c r="Z484" s="22"/>
      <c r="AA484" s="24"/>
      <c r="AB484" s="24"/>
      <c r="AC484" s="30"/>
      <c r="AD484" s="30"/>
      <c r="AE484" s="33"/>
      <c r="AF484" s="31"/>
      <c r="AG484" s="30"/>
      <c r="AH484" s="30"/>
      <c r="AI484" s="31"/>
      <c r="AJ484" s="31"/>
      <c r="AK484" s="32"/>
    </row>
    <row r="485">
      <c r="A485" s="21" t="s">
        <v>80</v>
      </c>
      <c r="B485" s="22" t="s">
        <v>1404</v>
      </c>
      <c r="C485" s="22" t="s">
        <v>287</v>
      </c>
      <c r="D485" s="26">
        <v>45994.0</v>
      </c>
      <c r="E485" s="22" t="s">
        <v>248</v>
      </c>
      <c r="F485" s="22" t="s">
        <v>83</v>
      </c>
      <c r="G485" s="22" t="s">
        <v>1405</v>
      </c>
      <c r="H485" s="22" t="s">
        <v>80</v>
      </c>
      <c r="I485" s="22">
        <v>1.0443522834755E13</v>
      </c>
      <c r="J485" s="22" t="s">
        <v>1406</v>
      </c>
      <c r="K485" s="24"/>
      <c r="L485" s="22" t="s">
        <v>86</v>
      </c>
      <c r="M485" s="22">
        <v>1.0</v>
      </c>
      <c r="N485" s="22" t="s">
        <v>87</v>
      </c>
      <c r="O485" s="22" t="s">
        <v>88</v>
      </c>
      <c r="P485" s="24"/>
      <c r="Q485" s="22" t="s">
        <v>90</v>
      </c>
      <c r="R485" s="22">
        <v>3.2709416550723E13</v>
      </c>
      <c r="S485" s="24"/>
      <c r="T485" s="24"/>
      <c r="U485" s="24"/>
      <c r="V485" s="22" t="s">
        <v>91</v>
      </c>
      <c r="W485" s="24"/>
      <c r="X485" s="24"/>
      <c r="Y485" s="22"/>
      <c r="Z485" s="22"/>
      <c r="AA485" s="24"/>
      <c r="AB485" s="24"/>
      <c r="AC485" s="30"/>
      <c r="AD485" s="30"/>
      <c r="AE485" s="33"/>
      <c r="AF485" s="31"/>
      <c r="AG485" s="30"/>
      <c r="AH485" s="30"/>
      <c r="AI485" s="31"/>
      <c r="AJ485" s="31"/>
      <c r="AK485" s="32"/>
    </row>
    <row r="486">
      <c r="A486" s="21" t="s">
        <v>584</v>
      </c>
      <c r="B486" s="22" t="s">
        <v>653</v>
      </c>
      <c r="C486" s="22" t="s">
        <v>82</v>
      </c>
      <c r="D486" s="26">
        <v>45997.0</v>
      </c>
      <c r="E486" s="22" t="s">
        <v>138</v>
      </c>
      <c r="F486" s="22" t="s">
        <v>377</v>
      </c>
      <c r="G486" s="22" t="s">
        <v>1407</v>
      </c>
      <c r="H486" s="22" t="s">
        <v>584</v>
      </c>
      <c r="I486" s="22">
        <v>1.0443553341763E13</v>
      </c>
      <c r="J486" s="22" t="s">
        <v>655</v>
      </c>
      <c r="K486" s="24"/>
      <c r="L486" s="22" t="s">
        <v>586</v>
      </c>
      <c r="M486" s="22">
        <v>1.0</v>
      </c>
      <c r="N486" s="22" t="s">
        <v>413</v>
      </c>
      <c r="O486" s="22" t="s">
        <v>414</v>
      </c>
      <c r="P486" s="24"/>
      <c r="Q486" s="22" t="s">
        <v>90</v>
      </c>
      <c r="R486" s="22">
        <v>3.2709479498051E13</v>
      </c>
      <c r="S486" s="24"/>
      <c r="T486" s="24"/>
      <c r="U486" s="24"/>
      <c r="V486" s="22" t="s">
        <v>105</v>
      </c>
      <c r="W486" s="24"/>
      <c r="X486" s="24"/>
      <c r="Y486" s="22"/>
      <c r="Z486" s="22"/>
      <c r="AA486" s="24"/>
      <c r="AB486" s="24"/>
      <c r="AC486" s="30"/>
      <c r="AD486" s="30"/>
      <c r="AE486" s="33"/>
      <c r="AF486" s="31"/>
      <c r="AG486" s="30"/>
      <c r="AH486" s="30"/>
      <c r="AI486" s="31"/>
      <c r="AJ486" s="31"/>
      <c r="AK486" s="32"/>
    </row>
    <row r="487">
      <c r="A487" s="21" t="s">
        <v>96</v>
      </c>
      <c r="B487" s="22" t="s">
        <v>1408</v>
      </c>
      <c r="C487" s="22" t="s">
        <v>273</v>
      </c>
      <c r="D487" s="26">
        <v>45998.0</v>
      </c>
      <c r="E487" s="22" t="s">
        <v>153</v>
      </c>
      <c r="F487" s="22" t="s">
        <v>83</v>
      </c>
      <c r="G487" s="22" t="s">
        <v>1409</v>
      </c>
      <c r="H487" s="22" t="s">
        <v>96</v>
      </c>
      <c r="I487" s="22">
        <v>1.0443559665987E13</v>
      </c>
      <c r="J487" s="22" t="s">
        <v>1410</v>
      </c>
      <c r="K487" s="24"/>
      <c r="L487" s="22" t="s">
        <v>98</v>
      </c>
      <c r="M487" s="22">
        <v>1.0</v>
      </c>
      <c r="N487" s="22" t="s">
        <v>87</v>
      </c>
      <c r="O487" s="22" t="s">
        <v>88</v>
      </c>
      <c r="P487" s="24"/>
      <c r="Q487" s="22" t="s">
        <v>90</v>
      </c>
      <c r="R487" s="22">
        <v>3.2709493031235E13</v>
      </c>
      <c r="S487" s="24"/>
      <c r="T487" s="24"/>
      <c r="U487" s="24"/>
      <c r="V487" s="22" t="s">
        <v>55</v>
      </c>
      <c r="W487" s="24"/>
      <c r="X487" s="24"/>
      <c r="Y487" s="22"/>
      <c r="Z487" s="22"/>
      <c r="AA487" s="24"/>
      <c r="AB487" s="24"/>
      <c r="AC487" s="30"/>
      <c r="AD487" s="30"/>
      <c r="AE487" s="33"/>
      <c r="AF487" s="31"/>
      <c r="AG487" s="30"/>
      <c r="AH487" s="30"/>
      <c r="AI487" s="31"/>
      <c r="AJ487" s="31"/>
      <c r="AK487" s="32"/>
    </row>
    <row r="488">
      <c r="A488" s="21" t="s">
        <v>386</v>
      </c>
      <c r="B488" s="22" t="s">
        <v>310</v>
      </c>
      <c r="C488" s="22" t="s">
        <v>82</v>
      </c>
      <c r="D488" s="26">
        <v>45997.0</v>
      </c>
      <c r="E488" s="22" t="s">
        <v>134</v>
      </c>
      <c r="F488" s="22" t="s">
        <v>311</v>
      </c>
      <c r="G488" s="22" t="s">
        <v>1411</v>
      </c>
      <c r="H488" s="22" t="s">
        <v>386</v>
      </c>
      <c r="I488" s="22">
        <v>1.0443573100867E13</v>
      </c>
      <c r="J488" s="22" t="s">
        <v>544</v>
      </c>
      <c r="K488" s="24"/>
      <c r="L488" s="22" t="s">
        <v>390</v>
      </c>
      <c r="M488" s="22">
        <v>1.0</v>
      </c>
      <c r="N488" s="22" t="s">
        <v>391</v>
      </c>
      <c r="O488" s="22" t="s">
        <v>392</v>
      </c>
      <c r="P488" s="24"/>
      <c r="Q488" s="22" t="s">
        <v>90</v>
      </c>
      <c r="R488" s="22">
        <v>3.2709522751811E13</v>
      </c>
      <c r="S488" s="24"/>
      <c r="T488" s="24"/>
      <c r="U488" s="24"/>
      <c r="V488" s="22" t="s">
        <v>55</v>
      </c>
      <c r="W488" s="24"/>
      <c r="X488" s="24"/>
      <c r="Y488" s="22"/>
      <c r="Z488" s="22"/>
      <c r="AA488" s="24"/>
      <c r="AB488" s="24"/>
      <c r="AC488" s="30"/>
      <c r="AD488" s="30"/>
      <c r="AE488" s="33"/>
      <c r="AF488" s="31"/>
      <c r="AG488" s="30"/>
      <c r="AH488" s="30"/>
      <c r="AI488" s="31"/>
      <c r="AJ488" s="31"/>
      <c r="AK488" s="32"/>
    </row>
    <row r="489">
      <c r="A489" s="21" t="s">
        <v>938</v>
      </c>
      <c r="B489" s="22" t="s">
        <v>471</v>
      </c>
      <c r="C489" s="22" t="s">
        <v>82</v>
      </c>
      <c r="D489" s="26">
        <v>45997.0</v>
      </c>
      <c r="E489" s="22" t="s">
        <v>134</v>
      </c>
      <c r="F489" s="22" t="s">
        <v>472</v>
      </c>
      <c r="G489" s="22" t="s">
        <v>1412</v>
      </c>
      <c r="H489" s="22" t="s">
        <v>938</v>
      </c>
      <c r="I489" s="22">
        <v>1.0443670257987E13</v>
      </c>
      <c r="J489" s="22" t="s">
        <v>474</v>
      </c>
      <c r="K489" s="24"/>
      <c r="L489" s="22" t="s">
        <v>940</v>
      </c>
      <c r="M489" s="22">
        <v>1.0</v>
      </c>
      <c r="N489" s="22" t="s">
        <v>476</v>
      </c>
      <c r="O489" s="22" t="s">
        <v>477</v>
      </c>
      <c r="P489" s="24"/>
      <c r="Q489" s="22" t="s">
        <v>90</v>
      </c>
      <c r="R489" s="22">
        <v>3.2709734367555E13</v>
      </c>
      <c r="S489" s="24"/>
      <c r="T489" s="24"/>
      <c r="U489" s="24"/>
      <c r="V489" s="22" t="s">
        <v>54</v>
      </c>
      <c r="W489" s="24"/>
      <c r="X489" s="24"/>
      <c r="Y489" s="22"/>
      <c r="Z489" s="22"/>
      <c r="AA489" s="24"/>
      <c r="AB489" s="24"/>
      <c r="AC489" s="30"/>
      <c r="AD489" s="30"/>
      <c r="AE489" s="33"/>
      <c r="AF489" s="31"/>
      <c r="AG489" s="30"/>
      <c r="AH489" s="30"/>
      <c r="AI489" s="31"/>
      <c r="AJ489" s="31"/>
      <c r="AK489" s="32"/>
    </row>
    <row r="490">
      <c r="A490" s="21" t="s">
        <v>643</v>
      </c>
      <c r="B490" s="22" t="s">
        <v>1413</v>
      </c>
      <c r="C490" s="22" t="s">
        <v>273</v>
      </c>
      <c r="D490" s="23">
        <v>46005.0</v>
      </c>
      <c r="E490" s="22" t="s">
        <v>177</v>
      </c>
      <c r="F490" s="22" t="s">
        <v>634</v>
      </c>
      <c r="G490" s="22" t="s">
        <v>1414</v>
      </c>
      <c r="H490" s="22" t="s">
        <v>643</v>
      </c>
      <c r="I490" s="22">
        <v>1.0443671667011E13</v>
      </c>
      <c r="J490" s="22" t="s">
        <v>1415</v>
      </c>
      <c r="K490" s="24"/>
      <c r="L490" s="22" t="s">
        <v>647</v>
      </c>
      <c r="M490" s="22">
        <v>1.0</v>
      </c>
      <c r="N490" s="22" t="s">
        <v>638</v>
      </c>
      <c r="O490" s="22" t="s">
        <v>639</v>
      </c>
      <c r="P490" s="24"/>
      <c r="Q490" s="22" t="s">
        <v>90</v>
      </c>
      <c r="R490" s="22">
        <v>3.2709737578819E13</v>
      </c>
      <c r="S490" s="24"/>
      <c r="T490" s="24"/>
      <c r="U490" s="24"/>
      <c r="V490" s="22" t="s">
        <v>54</v>
      </c>
      <c r="W490" s="24"/>
      <c r="X490" s="24"/>
      <c r="Y490" s="22"/>
      <c r="Z490" s="22"/>
      <c r="AA490" s="24"/>
      <c r="AB490" s="24"/>
      <c r="AC490" s="30"/>
      <c r="AD490" s="30"/>
      <c r="AE490" s="33"/>
      <c r="AF490" s="31"/>
      <c r="AG490" s="30"/>
      <c r="AH490" s="30"/>
      <c r="AI490" s="31"/>
      <c r="AJ490" s="31"/>
      <c r="AK490" s="32"/>
    </row>
    <row r="491">
      <c r="A491" s="21" t="s">
        <v>99</v>
      </c>
      <c r="B491" s="22" t="s">
        <v>1416</v>
      </c>
      <c r="C491" s="22" t="s">
        <v>273</v>
      </c>
      <c r="D491" s="26">
        <v>45998.0</v>
      </c>
      <c r="E491" s="22" t="s">
        <v>138</v>
      </c>
      <c r="F491" s="22" t="s">
        <v>83</v>
      </c>
      <c r="G491" s="22" t="s">
        <v>1417</v>
      </c>
      <c r="H491" s="22" t="s">
        <v>99</v>
      </c>
      <c r="I491" s="22">
        <v>1.0443695980867E13</v>
      </c>
      <c r="J491" s="22" t="s">
        <v>1418</v>
      </c>
      <c r="K491" s="24"/>
      <c r="L491" s="22" t="s">
        <v>102</v>
      </c>
      <c r="M491" s="22">
        <v>1.0</v>
      </c>
      <c r="N491" s="22" t="s">
        <v>103</v>
      </c>
      <c r="O491" s="22" t="s">
        <v>104</v>
      </c>
      <c r="P491" s="24"/>
      <c r="Q491" s="22" t="s">
        <v>90</v>
      </c>
      <c r="R491" s="22">
        <v>3.2709792334147E13</v>
      </c>
      <c r="S491" s="24"/>
      <c r="T491" s="24"/>
      <c r="U491" s="24"/>
      <c r="V491" s="22" t="s">
        <v>105</v>
      </c>
      <c r="W491" s="24"/>
      <c r="X491" s="24"/>
      <c r="Y491" s="22"/>
      <c r="Z491" s="22"/>
      <c r="AA491" s="24"/>
      <c r="AB491" s="24"/>
      <c r="AC491" s="30"/>
      <c r="AD491" s="30"/>
      <c r="AE491" s="33"/>
      <c r="AF491" s="31"/>
      <c r="AG491" s="30"/>
      <c r="AH491" s="30"/>
      <c r="AI491" s="31"/>
      <c r="AJ491" s="31"/>
      <c r="AK491" s="32"/>
    </row>
    <row r="492">
      <c r="A492" s="21" t="s">
        <v>158</v>
      </c>
      <c r="B492" s="22" t="s">
        <v>773</v>
      </c>
      <c r="C492" s="22" t="s">
        <v>273</v>
      </c>
      <c r="D492" s="23">
        <v>45991.0</v>
      </c>
      <c r="E492" s="22" t="s">
        <v>211</v>
      </c>
      <c r="F492" s="22" t="s">
        <v>111</v>
      </c>
      <c r="G492" s="22" t="s">
        <v>1419</v>
      </c>
      <c r="H492" s="22" t="s">
        <v>158</v>
      </c>
      <c r="I492" s="22">
        <v>1.0443721769283E13</v>
      </c>
      <c r="J492" s="22" t="s">
        <v>775</v>
      </c>
      <c r="K492" s="24"/>
      <c r="L492" s="22" t="s">
        <v>163</v>
      </c>
      <c r="M492" s="22">
        <v>1.0</v>
      </c>
      <c r="N492" s="22" t="s">
        <v>164</v>
      </c>
      <c r="O492" s="22" t="s">
        <v>165</v>
      </c>
      <c r="P492" s="24"/>
      <c r="Q492" s="22" t="s">
        <v>90</v>
      </c>
      <c r="R492" s="22">
        <v>3.2709851283779E13</v>
      </c>
      <c r="S492" s="24"/>
      <c r="T492" s="24"/>
      <c r="U492" s="24"/>
      <c r="V492" s="22" t="s">
        <v>127</v>
      </c>
      <c r="W492" s="24"/>
      <c r="X492" s="24"/>
      <c r="Y492" s="22"/>
      <c r="Z492" s="22"/>
      <c r="AA492" s="24"/>
      <c r="AB492" s="24"/>
      <c r="AC492" s="30"/>
      <c r="AD492" s="30"/>
      <c r="AE492" s="33"/>
      <c r="AF492" s="31"/>
      <c r="AG492" s="30"/>
      <c r="AH492" s="30"/>
      <c r="AI492" s="31"/>
      <c r="AJ492" s="31"/>
      <c r="AK492" s="32"/>
    </row>
    <row r="493">
      <c r="A493" s="21" t="s">
        <v>92</v>
      </c>
      <c r="B493" s="22" t="s">
        <v>1352</v>
      </c>
      <c r="C493" s="22" t="s">
        <v>82</v>
      </c>
      <c r="D493" s="26">
        <v>45997.0</v>
      </c>
      <c r="E493" s="22" t="s">
        <v>153</v>
      </c>
      <c r="F493" s="22" t="s">
        <v>83</v>
      </c>
      <c r="G493" s="22" t="s">
        <v>1420</v>
      </c>
      <c r="H493" s="22" t="s">
        <v>92</v>
      </c>
      <c r="I493" s="22">
        <v>1.0443740283203E13</v>
      </c>
      <c r="J493" s="22" t="s">
        <v>1354</v>
      </c>
      <c r="K493" s="24"/>
      <c r="L493" s="22" t="s">
        <v>94</v>
      </c>
      <c r="M493" s="22">
        <v>1.0</v>
      </c>
      <c r="N493" s="22" t="s">
        <v>87</v>
      </c>
      <c r="O493" s="22" t="s">
        <v>88</v>
      </c>
      <c r="P493" s="24"/>
      <c r="Q493" s="22" t="s">
        <v>90</v>
      </c>
      <c r="R493" s="22">
        <v>3.2709894177091E13</v>
      </c>
      <c r="S493" s="24"/>
      <c r="T493" s="24"/>
      <c r="U493" s="24"/>
      <c r="V493" s="22" t="s">
        <v>95</v>
      </c>
      <c r="W493" s="24"/>
      <c r="X493" s="24"/>
      <c r="Y493" s="22"/>
      <c r="Z493" s="22"/>
      <c r="AA493" s="24"/>
      <c r="AB493" s="24"/>
      <c r="AC493" s="30"/>
      <c r="AD493" s="30"/>
      <c r="AE493" s="33"/>
      <c r="AF493" s="31"/>
      <c r="AG493" s="30"/>
      <c r="AH493" s="30"/>
      <c r="AI493" s="31"/>
      <c r="AJ493" s="31"/>
      <c r="AK493" s="32"/>
    </row>
    <row r="494">
      <c r="A494" s="21" t="s">
        <v>912</v>
      </c>
      <c r="B494" s="22" t="s">
        <v>512</v>
      </c>
      <c r="C494" s="22" t="s">
        <v>82</v>
      </c>
      <c r="D494" s="26">
        <v>45997.0</v>
      </c>
      <c r="E494" s="22" t="s">
        <v>153</v>
      </c>
      <c r="F494" s="22" t="s">
        <v>377</v>
      </c>
      <c r="G494" s="22" t="s">
        <v>1421</v>
      </c>
      <c r="H494" s="22" t="s">
        <v>912</v>
      </c>
      <c r="I494" s="22">
        <v>1.0442776183107E13</v>
      </c>
      <c r="J494" s="22" t="s">
        <v>514</v>
      </c>
      <c r="K494" s="24"/>
      <c r="L494" s="22" t="s">
        <v>914</v>
      </c>
      <c r="M494" s="22">
        <v>1.0</v>
      </c>
      <c r="N494" s="22" t="s">
        <v>381</v>
      </c>
      <c r="O494" s="22" t="s">
        <v>382</v>
      </c>
      <c r="P494" s="24"/>
      <c r="Q494" s="22" t="s">
        <v>90</v>
      </c>
      <c r="R494" s="22">
        <v>3.2707821109571E13</v>
      </c>
      <c r="S494" s="24"/>
      <c r="T494" s="24"/>
      <c r="U494" s="24"/>
      <c r="V494" s="22" t="s">
        <v>54</v>
      </c>
      <c r="W494" s="24"/>
      <c r="X494" s="24"/>
      <c r="Y494" s="22"/>
      <c r="Z494" s="22"/>
      <c r="AA494" s="24"/>
      <c r="AB494" s="24"/>
      <c r="AC494" s="30"/>
      <c r="AD494" s="30"/>
      <c r="AE494" s="33"/>
      <c r="AF494" s="31"/>
      <c r="AG494" s="30"/>
      <c r="AH494" s="30"/>
      <c r="AI494" s="31"/>
      <c r="AJ494" s="31"/>
      <c r="AK494" s="32"/>
    </row>
    <row r="495">
      <c r="A495" s="21" t="s">
        <v>1200</v>
      </c>
      <c r="B495" s="22" t="s">
        <v>1201</v>
      </c>
      <c r="C495" s="22" t="s">
        <v>273</v>
      </c>
      <c r="D495" s="26">
        <v>45998.0</v>
      </c>
      <c r="E495" s="22" t="s">
        <v>187</v>
      </c>
      <c r="F495" s="22" t="s">
        <v>278</v>
      </c>
      <c r="G495" s="22" t="s">
        <v>1422</v>
      </c>
      <c r="H495" s="22" t="s">
        <v>1200</v>
      </c>
      <c r="I495" s="22">
        <v>1.0443769971011E13</v>
      </c>
      <c r="J495" s="22" t="s">
        <v>568</v>
      </c>
      <c r="K495" s="24"/>
      <c r="L495" s="22" t="s">
        <v>1203</v>
      </c>
      <c r="M495" s="22">
        <v>1.0</v>
      </c>
      <c r="N495" s="22" t="s">
        <v>282</v>
      </c>
      <c r="O495" s="22" t="s">
        <v>283</v>
      </c>
      <c r="P495" s="24"/>
      <c r="Q495" s="22" t="s">
        <v>90</v>
      </c>
      <c r="R495" s="22">
        <v>3.2709961843011E13</v>
      </c>
      <c r="S495" s="24"/>
      <c r="T495" s="24"/>
      <c r="U495" s="24"/>
      <c r="V495" s="27" t="s">
        <v>91</v>
      </c>
      <c r="W495" s="24"/>
      <c r="X495" s="24"/>
      <c r="Y495" s="22"/>
      <c r="Z495" s="22"/>
      <c r="AA495" s="24"/>
      <c r="AB495" s="24"/>
      <c r="AC495" s="30"/>
      <c r="AD495" s="30"/>
      <c r="AE495" s="33"/>
      <c r="AF495" s="31"/>
      <c r="AG495" s="30"/>
      <c r="AH495" s="30"/>
      <c r="AI495" s="31"/>
      <c r="AJ495" s="31"/>
      <c r="AK495" s="32"/>
    </row>
    <row r="496">
      <c r="A496" s="21" t="s">
        <v>1423</v>
      </c>
      <c r="B496" s="22" t="s">
        <v>1424</v>
      </c>
      <c r="C496" s="22" t="s">
        <v>202</v>
      </c>
      <c r="D496" s="26">
        <v>45996.0</v>
      </c>
      <c r="E496" s="22" t="s">
        <v>192</v>
      </c>
      <c r="F496" s="22" t="s">
        <v>717</v>
      </c>
      <c r="G496" s="22" t="s">
        <v>1425</v>
      </c>
      <c r="H496" s="22" t="s">
        <v>1423</v>
      </c>
      <c r="I496" s="22">
        <v>1.0443788288323E13</v>
      </c>
      <c r="J496" s="22" t="s">
        <v>1426</v>
      </c>
      <c r="K496" s="24"/>
      <c r="L496" s="22" t="s">
        <v>1427</v>
      </c>
      <c r="M496" s="22">
        <v>1.0</v>
      </c>
      <c r="N496" s="22" t="s">
        <v>721</v>
      </c>
      <c r="O496" s="22" t="s">
        <v>722</v>
      </c>
      <c r="P496" s="24"/>
      <c r="Q496" s="22" t="s">
        <v>90</v>
      </c>
      <c r="R496" s="22">
        <v>3.2710004965699E13</v>
      </c>
      <c r="S496" s="24"/>
      <c r="T496" s="24"/>
      <c r="U496" s="24"/>
      <c r="V496" s="22" t="s">
        <v>95</v>
      </c>
      <c r="W496" s="24"/>
      <c r="X496" s="24"/>
      <c r="Y496" s="22"/>
      <c r="Z496" s="22"/>
      <c r="AA496" s="24"/>
      <c r="AB496" s="24"/>
      <c r="AC496" s="30"/>
      <c r="AD496" s="30"/>
      <c r="AE496" s="33"/>
      <c r="AF496" s="31"/>
      <c r="AG496" s="30"/>
      <c r="AH496" s="30"/>
      <c r="AI496" s="31"/>
      <c r="AJ496" s="31"/>
      <c r="AK496" s="32"/>
    </row>
    <row r="497">
      <c r="A497" s="21" t="s">
        <v>124</v>
      </c>
      <c r="B497" s="22" t="s">
        <v>1428</v>
      </c>
      <c r="C497" s="22" t="s">
        <v>273</v>
      </c>
      <c r="D497" s="26">
        <v>45998.0</v>
      </c>
      <c r="E497" s="22" t="s">
        <v>196</v>
      </c>
      <c r="F497" s="22" t="s">
        <v>83</v>
      </c>
      <c r="G497" s="22" t="s">
        <v>1429</v>
      </c>
      <c r="H497" s="22" t="s">
        <v>124</v>
      </c>
      <c r="I497" s="22">
        <v>1.0443813093699E13</v>
      </c>
      <c r="J497" s="22" t="s">
        <v>1430</v>
      </c>
      <c r="K497" s="24"/>
      <c r="L497" s="22" t="s">
        <v>126</v>
      </c>
      <c r="M497" s="22">
        <v>1.0</v>
      </c>
      <c r="N497" s="22" t="s">
        <v>103</v>
      </c>
      <c r="O497" s="22" t="s">
        <v>104</v>
      </c>
      <c r="P497" s="24"/>
      <c r="Q497" s="22" t="s">
        <v>90</v>
      </c>
      <c r="R497" s="22">
        <v>3.2710070075715E13</v>
      </c>
      <c r="S497" s="24"/>
      <c r="T497" s="24"/>
      <c r="U497" s="24"/>
      <c r="V497" s="22" t="s">
        <v>127</v>
      </c>
      <c r="W497" s="24"/>
      <c r="X497" s="24"/>
      <c r="Y497" s="22"/>
      <c r="Z497" s="22"/>
      <c r="AA497" s="24"/>
      <c r="AB497" s="24"/>
      <c r="AC497" s="30"/>
      <c r="AD497" s="30"/>
      <c r="AE497" s="33"/>
      <c r="AF497" s="31"/>
      <c r="AG497" s="30"/>
      <c r="AH497" s="30"/>
      <c r="AI497" s="31"/>
      <c r="AJ497" s="31"/>
      <c r="AK497" s="32"/>
    </row>
    <row r="498">
      <c r="A498" s="21" t="s">
        <v>300</v>
      </c>
      <c r="B498" s="22" t="s">
        <v>741</v>
      </c>
      <c r="C498" s="22" t="s">
        <v>82</v>
      </c>
      <c r="D498" s="26">
        <v>45997.0</v>
      </c>
      <c r="E498" s="22" t="s">
        <v>134</v>
      </c>
      <c r="F498" s="22" t="s">
        <v>303</v>
      </c>
      <c r="G498" s="22" t="s">
        <v>1431</v>
      </c>
      <c r="H498" s="22" t="s">
        <v>300</v>
      </c>
      <c r="I498" s="22">
        <v>1.0444183077187E13</v>
      </c>
      <c r="J498" s="22" t="s">
        <v>743</v>
      </c>
      <c r="K498" s="24"/>
      <c r="L498" s="22" t="s">
        <v>306</v>
      </c>
      <c r="M498" s="22">
        <v>1.0</v>
      </c>
      <c r="N498" s="22" t="s">
        <v>307</v>
      </c>
      <c r="O498" s="22" t="s">
        <v>308</v>
      </c>
      <c r="P498" s="24"/>
      <c r="Q498" s="22" t="s">
        <v>90</v>
      </c>
      <c r="R498" s="22">
        <v>3.2710876102979E13</v>
      </c>
      <c r="S498" s="24"/>
      <c r="T498" s="24"/>
      <c r="U498" s="24"/>
      <c r="V498" s="22" t="s">
        <v>55</v>
      </c>
      <c r="W498" s="24"/>
      <c r="X498" s="24"/>
      <c r="Y498" s="22"/>
      <c r="Z498" s="22"/>
      <c r="AA498" s="24"/>
      <c r="AB498" s="24"/>
      <c r="AC498" s="30"/>
      <c r="AD498" s="30"/>
      <c r="AE498" s="33"/>
      <c r="AF498" s="31"/>
      <c r="AG498" s="30"/>
      <c r="AH498" s="30"/>
      <c r="AI498" s="31"/>
      <c r="AJ498" s="31"/>
      <c r="AK498" s="32"/>
    </row>
    <row r="499">
      <c r="A499" s="21" t="s">
        <v>859</v>
      </c>
      <c r="B499" s="22" t="s">
        <v>1280</v>
      </c>
      <c r="C499" s="22" t="s">
        <v>82</v>
      </c>
      <c r="D499" s="26">
        <v>45997.0</v>
      </c>
      <c r="E499" s="22" t="s">
        <v>149</v>
      </c>
      <c r="F499" s="22" t="s">
        <v>605</v>
      </c>
      <c r="G499" s="22" t="s">
        <v>1432</v>
      </c>
      <c r="H499" s="22" t="s">
        <v>859</v>
      </c>
      <c r="I499" s="22">
        <v>1.0444201722179E13</v>
      </c>
      <c r="J499" s="22" t="s">
        <v>1282</v>
      </c>
      <c r="K499" s="24"/>
      <c r="L499" s="22" t="s">
        <v>861</v>
      </c>
      <c r="M499" s="22">
        <v>1.0</v>
      </c>
      <c r="N499" s="22" t="s">
        <v>609</v>
      </c>
      <c r="O499" s="22" t="s">
        <v>610</v>
      </c>
      <c r="P499" s="24"/>
      <c r="Q499" s="22" t="s">
        <v>90</v>
      </c>
      <c r="R499" s="22">
        <v>3.2710915981635E13</v>
      </c>
      <c r="S499" s="24"/>
      <c r="T499" s="24"/>
      <c r="U499" s="24"/>
      <c r="V499" s="27" t="s">
        <v>95</v>
      </c>
      <c r="W499" s="24"/>
      <c r="X499" s="24"/>
      <c r="Y499" s="22"/>
      <c r="Z499" s="22"/>
      <c r="AA499" s="24"/>
      <c r="AB499" s="24"/>
      <c r="AC499" s="30"/>
      <c r="AD499" s="30"/>
      <c r="AE499" s="33"/>
      <c r="AF499" s="31"/>
      <c r="AG499" s="30"/>
      <c r="AH499" s="30"/>
      <c r="AI499" s="31"/>
      <c r="AJ499" s="31"/>
      <c r="AK499" s="32"/>
    </row>
    <row r="500">
      <c r="A500" s="21" t="s">
        <v>1078</v>
      </c>
      <c r="B500" s="22" t="s">
        <v>1433</v>
      </c>
      <c r="C500" s="22" t="s">
        <v>82</v>
      </c>
      <c r="D500" s="26">
        <v>45997.0</v>
      </c>
      <c r="E500" s="22" t="s">
        <v>181</v>
      </c>
      <c r="F500" s="22" t="s">
        <v>717</v>
      </c>
      <c r="G500" s="22" t="s">
        <v>1434</v>
      </c>
      <c r="H500" s="22" t="s">
        <v>1078</v>
      </c>
      <c r="I500" s="22">
        <v>1.0444224397635E13</v>
      </c>
      <c r="J500" s="22" t="s">
        <v>1435</v>
      </c>
      <c r="K500" s="24"/>
      <c r="L500" s="22" t="s">
        <v>1082</v>
      </c>
      <c r="M500" s="22">
        <v>1.0</v>
      </c>
      <c r="N500" s="22" t="s">
        <v>1083</v>
      </c>
      <c r="O500" s="22" t="s">
        <v>1084</v>
      </c>
      <c r="P500" s="24"/>
      <c r="Q500" s="22" t="s">
        <v>90</v>
      </c>
      <c r="R500" s="22">
        <v>3.2710964052291E13</v>
      </c>
      <c r="S500" s="24"/>
      <c r="T500" s="24"/>
      <c r="U500" s="24"/>
      <c r="V500" s="22" t="s">
        <v>105</v>
      </c>
      <c r="W500" s="24"/>
      <c r="X500" s="24"/>
      <c r="Y500" s="22"/>
      <c r="Z500" s="22"/>
      <c r="AA500" s="24"/>
      <c r="AB500" s="24"/>
      <c r="AC500" s="30"/>
      <c r="AD500" s="30"/>
      <c r="AE500" s="33"/>
      <c r="AF500" s="31"/>
      <c r="AG500" s="30"/>
      <c r="AH500" s="30"/>
      <c r="AI500" s="31"/>
      <c r="AJ500" s="31"/>
      <c r="AK500" s="32"/>
    </row>
    <row r="501">
      <c r="A501" s="21" t="s">
        <v>1423</v>
      </c>
      <c r="B501" s="22" t="s">
        <v>1436</v>
      </c>
      <c r="C501" s="22" t="s">
        <v>294</v>
      </c>
      <c r="D501" s="26">
        <v>45992.0</v>
      </c>
      <c r="E501" s="22" t="s">
        <v>192</v>
      </c>
      <c r="F501" s="22" t="s">
        <v>717</v>
      </c>
      <c r="G501" s="22" t="s">
        <v>1437</v>
      </c>
      <c r="H501" s="22" t="s">
        <v>1423</v>
      </c>
      <c r="I501" s="22">
        <v>1.0444249956675E13</v>
      </c>
      <c r="J501" s="22" t="s">
        <v>1438</v>
      </c>
      <c r="K501" s="24"/>
      <c r="L501" s="22" t="s">
        <v>1427</v>
      </c>
      <c r="M501" s="22">
        <v>1.0</v>
      </c>
      <c r="N501" s="22" t="s">
        <v>721</v>
      </c>
      <c r="O501" s="22" t="s">
        <v>722</v>
      </c>
      <c r="P501" s="24"/>
      <c r="Q501" s="22" t="s">
        <v>90</v>
      </c>
      <c r="R501" s="22">
        <v>3.2711017169219E13</v>
      </c>
      <c r="S501" s="24"/>
      <c r="T501" s="24"/>
      <c r="U501" s="24"/>
      <c r="V501" s="27" t="s">
        <v>95</v>
      </c>
      <c r="W501" s="24"/>
      <c r="X501" s="24"/>
      <c r="Y501" s="22"/>
      <c r="Z501" s="22"/>
      <c r="AA501" s="24"/>
      <c r="AB501" s="24"/>
      <c r="AC501" s="30"/>
      <c r="AD501" s="30"/>
      <c r="AE501" s="33"/>
      <c r="AF501" s="31"/>
      <c r="AG501" s="30"/>
      <c r="AH501" s="30"/>
      <c r="AI501" s="31"/>
      <c r="AJ501" s="31"/>
      <c r="AK501" s="32"/>
    </row>
    <row r="502">
      <c r="A502" s="21" t="s">
        <v>979</v>
      </c>
      <c r="B502" s="22" t="s">
        <v>1280</v>
      </c>
      <c r="C502" s="22" t="s">
        <v>82</v>
      </c>
      <c r="D502" s="26">
        <v>45997.0</v>
      </c>
      <c r="E502" s="22" t="s">
        <v>149</v>
      </c>
      <c r="F502" s="22" t="s">
        <v>605</v>
      </c>
      <c r="G502" s="22" t="s">
        <v>1439</v>
      </c>
      <c r="H502" s="22" t="s">
        <v>979</v>
      </c>
      <c r="I502" s="22">
        <v>1.0444307530051E13</v>
      </c>
      <c r="J502" s="22" t="s">
        <v>1282</v>
      </c>
      <c r="K502" s="24"/>
      <c r="L502" s="22" t="s">
        <v>984</v>
      </c>
      <c r="M502" s="22">
        <v>1.0</v>
      </c>
      <c r="N502" s="22" t="s">
        <v>609</v>
      </c>
      <c r="O502" s="22" t="s">
        <v>610</v>
      </c>
      <c r="P502" s="24"/>
      <c r="Q502" s="22" t="s">
        <v>90</v>
      </c>
      <c r="R502" s="22">
        <v>3.2711144603971E13</v>
      </c>
      <c r="S502" s="24"/>
      <c r="T502" s="24"/>
      <c r="U502" s="24"/>
      <c r="V502" s="22" t="s">
        <v>55</v>
      </c>
      <c r="W502" s="24"/>
      <c r="X502" s="24"/>
      <c r="Y502" s="22"/>
      <c r="Z502" s="22"/>
      <c r="AA502" s="24"/>
      <c r="AB502" s="24"/>
      <c r="AC502" s="30"/>
      <c r="AD502" s="30"/>
      <c r="AE502" s="33"/>
      <c r="AF502" s="31"/>
      <c r="AG502" s="30"/>
      <c r="AH502" s="30"/>
      <c r="AI502" s="31"/>
      <c r="AJ502" s="31"/>
      <c r="AK502" s="32"/>
    </row>
    <row r="503">
      <c r="A503" s="21" t="s">
        <v>1370</v>
      </c>
      <c r="B503" s="22" t="s">
        <v>1176</v>
      </c>
      <c r="C503" s="22" t="s">
        <v>273</v>
      </c>
      <c r="D503" s="23">
        <v>45991.0</v>
      </c>
      <c r="E503" s="22" t="s">
        <v>138</v>
      </c>
      <c r="F503" s="22" t="s">
        <v>329</v>
      </c>
      <c r="G503" s="22" t="s">
        <v>1440</v>
      </c>
      <c r="H503" s="22" t="s">
        <v>1370</v>
      </c>
      <c r="I503" s="22">
        <v>1.0444308087107E13</v>
      </c>
      <c r="J503" s="22" t="s">
        <v>1178</v>
      </c>
      <c r="K503" s="24"/>
      <c r="L503" s="22" t="s">
        <v>1372</v>
      </c>
      <c r="M503" s="22">
        <v>1.0</v>
      </c>
      <c r="N503" s="22" t="s">
        <v>333</v>
      </c>
      <c r="O503" s="22" t="s">
        <v>334</v>
      </c>
      <c r="P503" s="24"/>
      <c r="Q503" s="22" t="s">
        <v>90</v>
      </c>
      <c r="R503" s="22">
        <v>3.2711145619779E13</v>
      </c>
      <c r="S503" s="24"/>
      <c r="T503" s="24"/>
      <c r="U503" s="24"/>
      <c r="V503" s="22" t="s">
        <v>91</v>
      </c>
      <c r="W503" s="24"/>
      <c r="X503" s="24"/>
      <c r="Y503" s="22"/>
      <c r="Z503" s="22"/>
      <c r="AA503" s="24"/>
      <c r="AB503" s="24"/>
      <c r="AC503" s="30"/>
      <c r="AD503" s="30"/>
      <c r="AE503" s="33"/>
      <c r="AF503" s="31"/>
      <c r="AG503" s="30"/>
      <c r="AH503" s="30"/>
      <c r="AI503" s="31"/>
      <c r="AJ503" s="31"/>
      <c r="AK503" s="32"/>
    </row>
    <row r="504">
      <c r="A504" s="21" t="s">
        <v>386</v>
      </c>
      <c r="B504" s="22" t="s">
        <v>1441</v>
      </c>
      <c r="C504" s="22" t="s">
        <v>273</v>
      </c>
      <c r="D504" s="26">
        <v>45998.0</v>
      </c>
      <c r="E504" s="22" t="s">
        <v>1442</v>
      </c>
      <c r="F504" s="22" t="s">
        <v>311</v>
      </c>
      <c r="G504" s="22" t="s">
        <v>1443</v>
      </c>
      <c r="H504" s="22" t="s">
        <v>386</v>
      </c>
      <c r="I504" s="22">
        <v>1.0444456984899E13</v>
      </c>
      <c r="J504" s="22" t="s">
        <v>1444</v>
      </c>
      <c r="K504" s="24"/>
      <c r="L504" s="22" t="s">
        <v>390</v>
      </c>
      <c r="M504" s="22">
        <v>1.0</v>
      </c>
      <c r="N504" s="22" t="s">
        <v>391</v>
      </c>
      <c r="O504" s="22" t="s">
        <v>392</v>
      </c>
      <c r="P504" s="24"/>
      <c r="Q504" s="22" t="s">
        <v>90</v>
      </c>
      <c r="R504" s="22">
        <v>3.2711863042371E13</v>
      </c>
      <c r="S504" s="24"/>
      <c r="T504" s="24"/>
      <c r="U504" s="24"/>
      <c r="V504" s="22" t="s">
        <v>55</v>
      </c>
      <c r="W504" s="24"/>
      <c r="X504" s="24"/>
      <c r="Y504" s="22"/>
      <c r="Z504" s="22"/>
      <c r="AA504" s="24"/>
      <c r="AB504" s="24"/>
      <c r="AC504" s="30"/>
      <c r="AD504" s="30"/>
      <c r="AE504" s="33"/>
      <c r="AF504" s="31"/>
      <c r="AG504" s="30"/>
      <c r="AH504" s="30"/>
      <c r="AI504" s="31"/>
      <c r="AJ504" s="31"/>
      <c r="AK504" s="32"/>
    </row>
    <row r="505">
      <c r="A505" s="21" t="s">
        <v>592</v>
      </c>
      <c r="B505" s="22" t="s">
        <v>310</v>
      </c>
      <c r="C505" s="22" t="s">
        <v>82</v>
      </c>
      <c r="D505" s="26">
        <v>45997.0</v>
      </c>
      <c r="E505" s="22" t="s">
        <v>134</v>
      </c>
      <c r="F505" s="22" t="s">
        <v>311</v>
      </c>
      <c r="G505" s="22" t="s">
        <v>1445</v>
      </c>
      <c r="H505" s="22" t="s">
        <v>592</v>
      </c>
      <c r="I505" s="22">
        <v>1.0443459920195E13</v>
      </c>
      <c r="J505" s="22" t="s">
        <v>544</v>
      </c>
      <c r="K505" s="24"/>
      <c r="L505" s="22" t="s">
        <v>594</v>
      </c>
      <c r="M505" s="22">
        <v>1.0</v>
      </c>
      <c r="N505" s="22" t="s">
        <v>391</v>
      </c>
      <c r="O505" s="22" t="s">
        <v>392</v>
      </c>
      <c r="P505" s="24"/>
      <c r="Q505" s="22" t="s">
        <v>90</v>
      </c>
      <c r="R505" s="22">
        <v>3.2709288526147E13</v>
      </c>
      <c r="S505" s="24"/>
      <c r="T505" s="24"/>
      <c r="U505" s="24"/>
      <c r="V505" s="22" t="s">
        <v>54</v>
      </c>
      <c r="W505" s="24"/>
      <c r="X505" s="24"/>
      <c r="Y505" s="22"/>
      <c r="Z505" s="22"/>
      <c r="AA505" s="24"/>
      <c r="AB505" s="24"/>
      <c r="AC505" s="30"/>
      <c r="AD505" s="30"/>
      <c r="AE505" s="33"/>
      <c r="AF505" s="31"/>
      <c r="AG505" s="30"/>
      <c r="AH505" s="30"/>
      <c r="AI505" s="31"/>
      <c r="AJ505" s="31"/>
      <c r="AK505" s="32"/>
    </row>
    <row r="506">
      <c r="A506" s="21" t="s">
        <v>1446</v>
      </c>
      <c r="B506" s="22" t="s">
        <v>868</v>
      </c>
      <c r="C506" s="22" t="s">
        <v>273</v>
      </c>
      <c r="D506" s="26">
        <v>45998.0</v>
      </c>
      <c r="E506" s="22" t="s">
        <v>149</v>
      </c>
      <c r="F506" s="22" t="s">
        <v>869</v>
      </c>
      <c r="G506" s="22" t="s">
        <v>1447</v>
      </c>
      <c r="H506" s="22" t="s">
        <v>1446</v>
      </c>
      <c r="I506" s="22">
        <v>1.0444656050499E13</v>
      </c>
      <c r="J506" s="22" t="s">
        <v>871</v>
      </c>
      <c r="K506" s="24"/>
      <c r="L506" s="22" t="s">
        <v>1448</v>
      </c>
      <c r="M506" s="22">
        <v>1.0</v>
      </c>
      <c r="N506" s="22" t="s">
        <v>882</v>
      </c>
      <c r="O506" s="22" t="s">
        <v>883</v>
      </c>
      <c r="P506" s="24"/>
      <c r="Q506" s="22" t="s">
        <v>90</v>
      </c>
      <c r="R506" s="22">
        <v>3.2713019261251E13</v>
      </c>
      <c r="S506" s="24"/>
      <c r="T506" s="24"/>
      <c r="U506" s="24"/>
      <c r="V506" s="22" t="s">
        <v>132</v>
      </c>
      <c r="W506" s="24"/>
      <c r="X506" s="24"/>
      <c r="Y506" s="22"/>
      <c r="Z506" s="22"/>
      <c r="AA506" s="24"/>
      <c r="AB506" s="24"/>
      <c r="AC506" s="30"/>
      <c r="AD506" s="30"/>
      <c r="AE506" s="33"/>
      <c r="AF506" s="31"/>
      <c r="AG506" s="30"/>
      <c r="AH506" s="30"/>
      <c r="AI506" s="31"/>
      <c r="AJ506" s="31"/>
      <c r="AK506" s="32"/>
    </row>
    <row r="507">
      <c r="A507" s="28"/>
      <c r="B507" s="22" t="s">
        <v>868</v>
      </c>
      <c r="C507" s="22" t="s">
        <v>273</v>
      </c>
      <c r="D507" s="26">
        <v>45998.0</v>
      </c>
      <c r="E507" s="22" t="s">
        <v>149</v>
      </c>
      <c r="F507" s="22" t="s">
        <v>869</v>
      </c>
      <c r="G507" s="22" t="s">
        <v>1447</v>
      </c>
      <c r="H507" s="34"/>
      <c r="I507" s="22">
        <v>1.0444656050499E13</v>
      </c>
      <c r="J507" s="22" t="s">
        <v>871</v>
      </c>
      <c r="K507" s="24"/>
      <c r="L507" s="22" t="s">
        <v>1449</v>
      </c>
      <c r="M507" s="24"/>
      <c r="N507" s="24"/>
      <c r="O507" s="22" t="s">
        <v>768</v>
      </c>
      <c r="P507" s="24"/>
      <c r="Q507" s="22" t="s">
        <v>769</v>
      </c>
      <c r="R507" s="24"/>
      <c r="S507" s="24"/>
      <c r="T507" s="24"/>
      <c r="U507" s="24"/>
      <c r="V507" s="22"/>
      <c r="W507" s="24"/>
      <c r="X507" s="24"/>
      <c r="Y507" s="22"/>
      <c r="Z507" s="22"/>
      <c r="AA507" s="24"/>
      <c r="AB507" s="24"/>
      <c r="AC507" s="30"/>
      <c r="AD507" s="30"/>
      <c r="AE507" s="33"/>
      <c r="AF507" s="31"/>
      <c r="AG507" s="30"/>
      <c r="AH507" s="30"/>
      <c r="AI507" s="31"/>
      <c r="AJ507" s="31"/>
      <c r="AK507" s="32"/>
    </row>
    <row r="508">
      <c r="A508" s="21" t="s">
        <v>814</v>
      </c>
      <c r="B508" s="22" t="s">
        <v>697</v>
      </c>
      <c r="C508" s="22" t="s">
        <v>82</v>
      </c>
      <c r="D508" s="26">
        <v>45997.0</v>
      </c>
      <c r="E508" s="22" t="s">
        <v>439</v>
      </c>
      <c r="F508" s="22" t="s">
        <v>698</v>
      </c>
      <c r="G508" s="22" t="s">
        <v>1450</v>
      </c>
      <c r="H508" s="22" t="s">
        <v>814</v>
      </c>
      <c r="I508" s="22">
        <v>1.0445042450755E13</v>
      </c>
      <c r="J508" s="22" t="s">
        <v>700</v>
      </c>
      <c r="K508" s="24"/>
      <c r="L508" s="22" t="s">
        <v>818</v>
      </c>
      <c r="M508" s="22">
        <v>1.0</v>
      </c>
      <c r="N508" s="22" t="s">
        <v>819</v>
      </c>
      <c r="O508" s="22" t="s">
        <v>820</v>
      </c>
      <c r="P508" s="24"/>
      <c r="Q508" s="22" t="s">
        <v>90</v>
      </c>
      <c r="R508" s="22">
        <v>3.2715343626563E13</v>
      </c>
      <c r="S508" s="24"/>
      <c r="T508" s="24"/>
      <c r="U508" s="24"/>
      <c r="V508" s="22" t="s">
        <v>127</v>
      </c>
      <c r="W508" s="24"/>
      <c r="X508" s="24"/>
      <c r="Y508" s="22"/>
      <c r="Z508" s="22"/>
      <c r="AA508" s="24"/>
      <c r="AB508" s="24"/>
      <c r="AC508" s="30"/>
      <c r="AD508" s="30"/>
      <c r="AE508" s="33"/>
      <c r="AF508" s="31"/>
      <c r="AG508" s="30"/>
      <c r="AH508" s="30"/>
      <c r="AI508" s="31"/>
      <c r="AJ508" s="31"/>
      <c r="AK508" s="32"/>
    </row>
    <row r="509">
      <c r="A509" s="21" t="s">
        <v>1423</v>
      </c>
      <c r="B509" s="22" t="s">
        <v>1451</v>
      </c>
      <c r="C509" s="22" t="s">
        <v>273</v>
      </c>
      <c r="D509" s="26">
        <v>45998.0</v>
      </c>
      <c r="E509" s="22" t="s">
        <v>149</v>
      </c>
      <c r="F509" s="22" t="s">
        <v>717</v>
      </c>
      <c r="G509" s="22" t="s">
        <v>1452</v>
      </c>
      <c r="H509" s="22" t="s">
        <v>1423</v>
      </c>
      <c r="I509" s="22">
        <v>1.0445474693443E13</v>
      </c>
      <c r="J509" s="22" t="s">
        <v>1453</v>
      </c>
      <c r="K509" s="24"/>
      <c r="L509" s="22" t="s">
        <v>1427</v>
      </c>
      <c r="M509" s="22">
        <v>1.0</v>
      </c>
      <c r="N509" s="22" t="s">
        <v>721</v>
      </c>
      <c r="O509" s="22" t="s">
        <v>722</v>
      </c>
      <c r="P509" s="24"/>
      <c r="Q509" s="22" t="s">
        <v>90</v>
      </c>
      <c r="R509" s="22">
        <v>3.2717800341827E13</v>
      </c>
      <c r="S509" s="24"/>
      <c r="T509" s="24"/>
      <c r="U509" s="24"/>
      <c r="V509" s="22" t="s">
        <v>95</v>
      </c>
      <c r="W509" s="24"/>
      <c r="X509" s="24"/>
      <c r="Y509" s="22"/>
      <c r="Z509" s="22"/>
      <c r="AA509" s="24"/>
      <c r="AB509" s="24"/>
      <c r="AC509" s="30"/>
      <c r="AD509" s="30"/>
      <c r="AE509" s="33"/>
      <c r="AF509" s="31"/>
      <c r="AG509" s="30"/>
      <c r="AH509" s="30"/>
      <c r="AI509" s="31"/>
      <c r="AJ509" s="31"/>
      <c r="AK509" s="32"/>
    </row>
    <row r="510">
      <c r="A510" s="21" t="s">
        <v>709</v>
      </c>
      <c r="B510" s="22" t="s">
        <v>1130</v>
      </c>
      <c r="C510" s="22" t="s">
        <v>273</v>
      </c>
      <c r="D510" s="26">
        <v>45998.0</v>
      </c>
      <c r="E510" s="22" t="s">
        <v>1131</v>
      </c>
      <c r="F510" s="22" t="s">
        <v>311</v>
      </c>
      <c r="G510" s="22" t="s">
        <v>1454</v>
      </c>
      <c r="H510" s="22" t="s">
        <v>709</v>
      </c>
      <c r="I510" s="22">
        <v>1.0445491536195E13</v>
      </c>
      <c r="J510" s="22" t="s">
        <v>1133</v>
      </c>
      <c r="K510" s="24"/>
      <c r="L510" s="22" t="s">
        <v>713</v>
      </c>
      <c r="M510" s="22">
        <v>1.0</v>
      </c>
      <c r="N510" s="22" t="s">
        <v>391</v>
      </c>
      <c r="O510" s="22" t="s">
        <v>392</v>
      </c>
      <c r="P510" s="24"/>
      <c r="Q510" s="22" t="s">
        <v>90</v>
      </c>
      <c r="R510" s="22">
        <v>3.2717835370819E13</v>
      </c>
      <c r="S510" s="24"/>
      <c r="T510" s="24"/>
      <c r="U510" s="24"/>
      <c r="V510" s="22" t="s">
        <v>91</v>
      </c>
      <c r="W510" s="24"/>
      <c r="X510" s="24"/>
      <c r="Y510" s="22"/>
      <c r="Z510" s="22"/>
      <c r="AA510" s="24"/>
      <c r="AB510" s="24"/>
      <c r="AC510" s="30"/>
      <c r="AD510" s="30"/>
      <c r="AE510" s="33"/>
      <c r="AF510" s="31"/>
      <c r="AG510" s="30"/>
      <c r="AH510" s="30"/>
      <c r="AI510" s="31"/>
      <c r="AJ510" s="31"/>
      <c r="AK510" s="32"/>
    </row>
    <row r="511">
      <c r="A511" s="21" t="s">
        <v>1085</v>
      </c>
      <c r="B511" s="22" t="s">
        <v>1247</v>
      </c>
      <c r="C511" s="22" t="s">
        <v>82</v>
      </c>
      <c r="D511" s="26">
        <v>45997.0</v>
      </c>
      <c r="E511" s="22" t="s">
        <v>266</v>
      </c>
      <c r="F511" s="22" t="s">
        <v>623</v>
      </c>
      <c r="G511" s="22" t="s">
        <v>1455</v>
      </c>
      <c r="H511" s="22" t="s">
        <v>1085</v>
      </c>
      <c r="I511" s="22">
        <v>1.0445506511171E13</v>
      </c>
      <c r="J511" s="22" t="s">
        <v>1249</v>
      </c>
      <c r="K511" s="24"/>
      <c r="L511" s="22" t="s">
        <v>1087</v>
      </c>
      <c r="M511" s="22">
        <v>1.0</v>
      </c>
      <c r="N511" s="22" t="s">
        <v>1088</v>
      </c>
      <c r="O511" s="22" t="s">
        <v>1089</v>
      </c>
      <c r="P511" s="24"/>
      <c r="Q511" s="22" t="s">
        <v>90</v>
      </c>
      <c r="R511" s="22">
        <v>3.2717870137667E13</v>
      </c>
      <c r="S511" s="24"/>
      <c r="T511" s="24"/>
      <c r="U511" s="24"/>
      <c r="V511" s="22" t="s">
        <v>127</v>
      </c>
      <c r="W511" s="24"/>
      <c r="X511" s="24"/>
      <c r="Y511" s="22"/>
      <c r="Z511" s="22"/>
      <c r="AA511" s="24"/>
      <c r="AB511" s="24"/>
      <c r="AC511" s="30"/>
      <c r="AD511" s="30"/>
      <c r="AE511" s="33"/>
      <c r="AF511" s="31"/>
      <c r="AG511" s="30"/>
      <c r="AH511" s="30"/>
      <c r="AI511" s="31"/>
      <c r="AJ511" s="31"/>
      <c r="AK511" s="32"/>
    </row>
    <row r="512">
      <c r="A512" s="21" t="s">
        <v>367</v>
      </c>
      <c r="B512" s="22" t="s">
        <v>587</v>
      </c>
      <c r="C512" s="22" t="s">
        <v>273</v>
      </c>
      <c r="D512" s="26">
        <v>45998.0</v>
      </c>
      <c r="E512" s="22" t="s">
        <v>153</v>
      </c>
      <c r="F512" s="22" t="s">
        <v>369</v>
      </c>
      <c r="G512" s="22" t="s">
        <v>1456</v>
      </c>
      <c r="H512" s="22" t="s">
        <v>367</v>
      </c>
      <c r="I512" s="22">
        <v>1.0445579190595E13</v>
      </c>
      <c r="J512" s="22" t="s">
        <v>589</v>
      </c>
      <c r="K512" s="24"/>
      <c r="L512" s="22" t="s">
        <v>372</v>
      </c>
      <c r="M512" s="22">
        <v>1.0</v>
      </c>
      <c r="N512" s="22" t="s">
        <v>373</v>
      </c>
      <c r="O512" s="22" t="s">
        <v>374</v>
      </c>
      <c r="P512" s="24"/>
      <c r="Q512" s="22" t="s">
        <v>90</v>
      </c>
      <c r="R512" s="22">
        <v>3.2718033060163E13</v>
      </c>
      <c r="S512" s="24"/>
      <c r="T512" s="24"/>
      <c r="U512" s="24"/>
      <c r="V512" s="22" t="s">
        <v>55</v>
      </c>
      <c r="W512" s="24"/>
      <c r="X512" s="24"/>
      <c r="Y512" s="22"/>
      <c r="Z512" s="22"/>
      <c r="AA512" s="24"/>
      <c r="AB512" s="24"/>
      <c r="AC512" s="30"/>
      <c r="AD512" s="30"/>
      <c r="AE512" s="33"/>
      <c r="AF512" s="31"/>
      <c r="AG512" s="30"/>
      <c r="AH512" s="30"/>
      <c r="AI512" s="31"/>
      <c r="AJ512" s="31"/>
      <c r="AK512" s="32"/>
    </row>
    <row r="513">
      <c r="A513" s="21" t="s">
        <v>463</v>
      </c>
      <c r="B513" s="22" t="s">
        <v>1457</v>
      </c>
      <c r="C513" s="22" t="s">
        <v>273</v>
      </c>
      <c r="D513" s="26">
        <v>45998.0</v>
      </c>
      <c r="E513" s="22" t="s">
        <v>302</v>
      </c>
      <c r="F513" s="22" t="s">
        <v>303</v>
      </c>
      <c r="G513" s="22" t="s">
        <v>1458</v>
      </c>
      <c r="H513" s="22" t="s">
        <v>463</v>
      </c>
      <c r="I513" s="22">
        <v>1.0445598327107E13</v>
      </c>
      <c r="J513" s="22" t="s">
        <v>1459</v>
      </c>
      <c r="K513" s="24"/>
      <c r="L513" s="22" t="s">
        <v>467</v>
      </c>
      <c r="M513" s="22">
        <v>1.0</v>
      </c>
      <c r="N513" s="22" t="s">
        <v>468</v>
      </c>
      <c r="O513" s="22" t="s">
        <v>469</v>
      </c>
      <c r="P513" s="24"/>
      <c r="Q513" s="22" t="s">
        <v>90</v>
      </c>
      <c r="R513" s="22">
        <v>3.2718074380611E13</v>
      </c>
      <c r="S513" s="24"/>
      <c r="T513" s="24"/>
      <c r="U513" s="24"/>
      <c r="V513" s="22" t="s">
        <v>105</v>
      </c>
      <c r="W513" s="24"/>
      <c r="X513" s="24"/>
      <c r="Y513" s="22"/>
      <c r="Z513" s="22"/>
      <c r="AA513" s="24"/>
      <c r="AB513" s="24"/>
      <c r="AC513" s="30"/>
      <c r="AD513" s="30"/>
      <c r="AE513" s="33"/>
      <c r="AF513" s="31"/>
      <c r="AG513" s="30"/>
      <c r="AH513" s="30"/>
      <c r="AI513" s="31"/>
      <c r="AJ513" s="31"/>
      <c r="AK513" s="32"/>
    </row>
    <row r="514">
      <c r="A514" s="21" t="s">
        <v>386</v>
      </c>
      <c r="B514" s="22" t="s">
        <v>310</v>
      </c>
      <c r="C514" s="22" t="s">
        <v>82</v>
      </c>
      <c r="D514" s="26">
        <v>45997.0</v>
      </c>
      <c r="E514" s="22" t="s">
        <v>134</v>
      </c>
      <c r="F514" s="22" t="s">
        <v>311</v>
      </c>
      <c r="G514" s="22" t="s">
        <v>1460</v>
      </c>
      <c r="H514" s="22" t="s">
        <v>386</v>
      </c>
      <c r="I514" s="22">
        <v>1.0444588024131E13</v>
      </c>
      <c r="J514" s="22" t="s">
        <v>544</v>
      </c>
      <c r="K514" s="24"/>
      <c r="L514" s="22" t="s">
        <v>390</v>
      </c>
      <c r="M514" s="22">
        <v>1.0</v>
      </c>
      <c r="N514" s="22" t="s">
        <v>391</v>
      </c>
      <c r="O514" s="22" t="s">
        <v>392</v>
      </c>
      <c r="P514" s="24"/>
      <c r="Q514" s="22" t="s">
        <v>90</v>
      </c>
      <c r="R514" s="22">
        <v>3.2712675590467E13</v>
      </c>
      <c r="S514" s="24"/>
      <c r="T514" s="24"/>
      <c r="U514" s="24"/>
      <c r="V514" s="22" t="s">
        <v>55</v>
      </c>
      <c r="W514" s="24"/>
      <c r="X514" s="24"/>
      <c r="Y514" s="22"/>
      <c r="Z514" s="22"/>
      <c r="AA514" s="24"/>
      <c r="AB514" s="24"/>
      <c r="AC514" s="30"/>
      <c r="AD514" s="30"/>
      <c r="AE514" s="33"/>
      <c r="AF514" s="31"/>
      <c r="AG514" s="30"/>
      <c r="AH514" s="30"/>
      <c r="AI514" s="31"/>
      <c r="AJ514" s="31"/>
      <c r="AK514" s="32"/>
    </row>
    <row r="515">
      <c r="A515" s="21" t="s">
        <v>789</v>
      </c>
      <c r="B515" s="22" t="s">
        <v>1280</v>
      </c>
      <c r="C515" s="22" t="s">
        <v>82</v>
      </c>
      <c r="D515" s="26">
        <v>45997.0</v>
      </c>
      <c r="E515" s="22" t="s">
        <v>149</v>
      </c>
      <c r="F515" s="22" t="s">
        <v>605</v>
      </c>
      <c r="G515" s="22" t="s">
        <v>1461</v>
      </c>
      <c r="H515" s="22" t="s">
        <v>789</v>
      </c>
      <c r="I515" s="22">
        <v>1.0443742085443E13</v>
      </c>
      <c r="J515" s="22" t="s">
        <v>1282</v>
      </c>
      <c r="K515" s="24"/>
      <c r="L515" s="22" t="s">
        <v>794</v>
      </c>
      <c r="M515" s="22">
        <v>1.0</v>
      </c>
      <c r="N515" s="22" t="s">
        <v>795</v>
      </c>
      <c r="O515" s="22" t="s">
        <v>796</v>
      </c>
      <c r="P515" s="24"/>
      <c r="Q515" s="22" t="s">
        <v>90</v>
      </c>
      <c r="R515" s="22">
        <v>3.2709898993987E13</v>
      </c>
      <c r="S515" s="24"/>
      <c r="T515" s="24"/>
      <c r="U515" s="24"/>
      <c r="V515" s="22" t="s">
        <v>105</v>
      </c>
      <c r="W515" s="24"/>
      <c r="X515" s="24"/>
      <c r="Y515" s="22"/>
      <c r="Z515" s="22"/>
      <c r="AA515" s="24"/>
      <c r="AB515" s="24"/>
      <c r="AC515" s="30"/>
      <c r="AD515" s="30"/>
      <c r="AE515" s="33"/>
      <c r="AF515" s="31"/>
      <c r="AG515" s="30"/>
      <c r="AH515" s="30"/>
      <c r="AI515" s="31"/>
      <c r="AJ515" s="31"/>
      <c r="AK515" s="32"/>
    </row>
    <row r="516">
      <c r="A516" s="21" t="s">
        <v>166</v>
      </c>
      <c r="B516" s="22" t="s">
        <v>773</v>
      </c>
      <c r="C516" s="22" t="s">
        <v>273</v>
      </c>
      <c r="D516" s="23">
        <v>45991.0</v>
      </c>
      <c r="E516" s="22" t="s">
        <v>211</v>
      </c>
      <c r="F516" s="22" t="s">
        <v>111</v>
      </c>
      <c r="G516" s="22" t="s">
        <v>1462</v>
      </c>
      <c r="H516" s="22" t="s">
        <v>166</v>
      </c>
      <c r="I516" s="22">
        <v>1.0445803913539E13</v>
      </c>
      <c r="J516" s="22" t="s">
        <v>775</v>
      </c>
      <c r="K516" s="24"/>
      <c r="L516" s="22" t="s">
        <v>171</v>
      </c>
      <c r="M516" s="22">
        <v>1.0</v>
      </c>
      <c r="N516" s="22" t="s">
        <v>115</v>
      </c>
      <c r="O516" s="22" t="s">
        <v>116</v>
      </c>
      <c r="P516" s="24"/>
      <c r="Q516" s="22" t="s">
        <v>90</v>
      </c>
      <c r="R516" s="22">
        <v>3.2718525825347E13</v>
      </c>
      <c r="S516" s="24"/>
      <c r="T516" s="24"/>
      <c r="U516" s="24"/>
      <c r="V516" s="22" t="s">
        <v>55</v>
      </c>
      <c r="W516" s="24"/>
      <c r="X516" s="24"/>
      <c r="Y516" s="22"/>
      <c r="Z516" s="22"/>
      <c r="AA516" s="24"/>
      <c r="AB516" s="24"/>
      <c r="AC516" s="30"/>
      <c r="AD516" s="30"/>
      <c r="AE516" s="33"/>
      <c r="AF516" s="31"/>
      <c r="AG516" s="30"/>
      <c r="AH516" s="30"/>
      <c r="AI516" s="31"/>
      <c r="AJ516" s="31"/>
      <c r="AK516" s="32"/>
    </row>
    <row r="517">
      <c r="A517" s="21" t="s">
        <v>602</v>
      </c>
      <c r="B517" s="22" t="s">
        <v>1101</v>
      </c>
      <c r="C517" s="22" t="s">
        <v>287</v>
      </c>
      <c r="D517" s="26">
        <v>45994.0</v>
      </c>
      <c r="E517" s="22" t="s">
        <v>1102</v>
      </c>
      <c r="F517" s="22" t="s">
        <v>605</v>
      </c>
      <c r="G517" s="22" t="s">
        <v>1463</v>
      </c>
      <c r="H517" s="22" t="s">
        <v>602</v>
      </c>
      <c r="I517" s="22">
        <v>1.0445615137091E13</v>
      </c>
      <c r="J517" s="22" t="s">
        <v>1104</v>
      </c>
      <c r="K517" s="24"/>
      <c r="L517" s="22" t="s">
        <v>608</v>
      </c>
      <c r="M517" s="22">
        <v>1.0</v>
      </c>
      <c r="N517" s="22" t="s">
        <v>609</v>
      </c>
      <c r="O517" s="22" t="s">
        <v>610</v>
      </c>
      <c r="P517" s="24"/>
      <c r="Q517" s="22" t="s">
        <v>90</v>
      </c>
      <c r="R517" s="22">
        <v>3.2718108590403E13</v>
      </c>
      <c r="S517" s="24"/>
      <c r="T517" s="24"/>
      <c r="U517" s="24"/>
      <c r="V517" s="22" t="s">
        <v>54</v>
      </c>
      <c r="W517" s="24"/>
      <c r="X517" s="24"/>
      <c r="Y517" s="22"/>
      <c r="Z517" s="22"/>
      <c r="AA517" s="24"/>
      <c r="AB517" s="24"/>
      <c r="AC517" s="30"/>
      <c r="AD517" s="30"/>
      <c r="AE517" s="33"/>
      <c r="AF517" s="31"/>
      <c r="AG517" s="30"/>
      <c r="AH517" s="30"/>
      <c r="AI517" s="31"/>
      <c r="AJ517" s="31"/>
      <c r="AK517" s="32"/>
    </row>
    <row r="518">
      <c r="A518" s="21" t="s">
        <v>1464</v>
      </c>
      <c r="B518" s="22" t="s">
        <v>1465</v>
      </c>
      <c r="C518" s="22" t="s">
        <v>82</v>
      </c>
      <c r="D518" s="26">
        <v>45997.0</v>
      </c>
      <c r="E518" s="22" t="s">
        <v>230</v>
      </c>
      <c r="F518" s="22" t="s">
        <v>1466</v>
      </c>
      <c r="G518" s="22" t="s">
        <v>1467</v>
      </c>
      <c r="H518" s="22" t="s">
        <v>1464</v>
      </c>
      <c r="I518" s="22">
        <v>1.0443343036739E13</v>
      </c>
      <c r="J518" s="22" t="s">
        <v>1468</v>
      </c>
      <c r="K518" s="24"/>
      <c r="L518" s="22" t="s">
        <v>1469</v>
      </c>
      <c r="M518" s="22">
        <v>1.0</v>
      </c>
      <c r="N518" s="22" t="s">
        <v>1470</v>
      </c>
      <c r="O518" s="22" t="s">
        <v>1471</v>
      </c>
      <c r="P518" s="24"/>
      <c r="Q518" s="22" t="s">
        <v>90</v>
      </c>
      <c r="R518" s="22">
        <v>3.2709040210243E13</v>
      </c>
      <c r="S518" s="24"/>
      <c r="T518" s="24"/>
      <c r="U518" s="24"/>
      <c r="V518" s="22" t="s">
        <v>55</v>
      </c>
      <c r="W518" s="24"/>
      <c r="X518" s="24"/>
      <c r="Y518" s="22"/>
      <c r="Z518" s="22"/>
      <c r="AA518" s="24"/>
      <c r="AB518" s="24"/>
      <c r="AC518" s="30"/>
      <c r="AD518" s="30"/>
      <c r="AE518" s="33"/>
      <c r="AF518" s="31"/>
      <c r="AG518" s="30"/>
      <c r="AH518" s="30"/>
      <c r="AI518" s="31"/>
      <c r="AJ518" s="31"/>
      <c r="AK518" s="32"/>
    </row>
    <row r="519">
      <c r="A519" s="21" t="s">
        <v>1472</v>
      </c>
      <c r="B519" s="22" t="s">
        <v>1465</v>
      </c>
      <c r="C519" s="22" t="s">
        <v>82</v>
      </c>
      <c r="D519" s="26">
        <v>45997.0</v>
      </c>
      <c r="E519" s="22" t="s">
        <v>230</v>
      </c>
      <c r="F519" s="22" t="s">
        <v>1466</v>
      </c>
      <c r="G519" s="22" t="s">
        <v>1473</v>
      </c>
      <c r="H519" s="22" t="s">
        <v>1472</v>
      </c>
      <c r="I519" s="22">
        <v>1.0445734412611E13</v>
      </c>
      <c r="J519" s="22" t="s">
        <v>1468</v>
      </c>
      <c r="K519" s="24"/>
      <c r="L519" s="22" t="s">
        <v>1474</v>
      </c>
      <c r="M519" s="22">
        <v>1.0</v>
      </c>
      <c r="N519" s="22" t="s">
        <v>1470</v>
      </c>
      <c r="O519" s="22" t="s">
        <v>1471</v>
      </c>
      <c r="P519" s="24"/>
      <c r="Q519" s="22" t="s">
        <v>90</v>
      </c>
      <c r="R519" s="22">
        <v>3.2718370636099E13</v>
      </c>
      <c r="S519" s="24"/>
      <c r="T519" s="24"/>
      <c r="U519" s="24"/>
      <c r="V519" s="22" t="s">
        <v>54</v>
      </c>
      <c r="W519" s="24"/>
      <c r="X519" s="24"/>
      <c r="Y519" s="22"/>
      <c r="Z519" s="22"/>
      <c r="AA519" s="24"/>
      <c r="AB519" s="24"/>
      <c r="AC519" s="30"/>
      <c r="AD519" s="30"/>
      <c r="AE519" s="33"/>
      <c r="AF519" s="31"/>
      <c r="AG519" s="30"/>
      <c r="AH519" s="30"/>
      <c r="AI519" s="31"/>
      <c r="AJ519" s="31"/>
      <c r="AK519" s="32"/>
    </row>
    <row r="520">
      <c r="A520" s="21" t="s">
        <v>449</v>
      </c>
      <c r="B520" s="22" t="s">
        <v>450</v>
      </c>
      <c r="C520" s="22" t="s">
        <v>82</v>
      </c>
      <c r="D520" s="26">
        <v>45997.0</v>
      </c>
      <c r="E520" s="22" t="s">
        <v>134</v>
      </c>
      <c r="F520" s="22" t="s">
        <v>451</v>
      </c>
      <c r="G520" s="22" t="s">
        <v>1475</v>
      </c>
      <c r="H520" s="22" t="s">
        <v>449</v>
      </c>
      <c r="I520" s="22">
        <v>1.0446276428099E13</v>
      </c>
      <c r="J520" s="22" t="s">
        <v>453</v>
      </c>
      <c r="K520" s="24"/>
      <c r="L520" s="22" t="s">
        <v>454</v>
      </c>
      <c r="M520" s="22">
        <v>1.0</v>
      </c>
      <c r="N520" s="22" t="s">
        <v>455</v>
      </c>
      <c r="O520" s="22" t="s">
        <v>456</v>
      </c>
      <c r="P520" s="24"/>
      <c r="Q520" s="22" t="s">
        <v>90</v>
      </c>
      <c r="R520" s="22">
        <v>3.2719373369667E13</v>
      </c>
      <c r="S520" s="24"/>
      <c r="T520" s="24"/>
      <c r="U520" s="24"/>
      <c r="V520" s="22" t="s">
        <v>54</v>
      </c>
      <c r="W520" s="24"/>
      <c r="X520" s="24"/>
      <c r="Y520" s="22"/>
      <c r="Z520" s="22"/>
      <c r="AA520" s="24"/>
      <c r="AB520" s="24"/>
      <c r="AC520" s="30"/>
      <c r="AD520" s="30"/>
      <c r="AE520" s="33"/>
      <c r="AF520" s="31"/>
      <c r="AG520" s="30"/>
      <c r="AH520" s="30"/>
      <c r="AI520" s="31"/>
      <c r="AJ520" s="31"/>
      <c r="AK520" s="32"/>
    </row>
    <row r="521">
      <c r="A521" s="21" t="s">
        <v>885</v>
      </c>
      <c r="B521" s="22" t="s">
        <v>1280</v>
      </c>
      <c r="C521" s="22" t="s">
        <v>82</v>
      </c>
      <c r="D521" s="26">
        <v>45997.0</v>
      </c>
      <c r="E521" s="22" t="s">
        <v>149</v>
      </c>
      <c r="F521" s="22" t="s">
        <v>605</v>
      </c>
      <c r="G521" s="22" t="s">
        <v>1476</v>
      </c>
      <c r="H521" s="22" t="s">
        <v>885</v>
      </c>
      <c r="I521" s="22">
        <v>1.0446592966979E13</v>
      </c>
      <c r="J521" s="22" t="s">
        <v>1282</v>
      </c>
      <c r="K521" s="24"/>
      <c r="L521" s="22" t="s">
        <v>890</v>
      </c>
      <c r="M521" s="22">
        <v>1.0</v>
      </c>
      <c r="N521" s="22" t="s">
        <v>795</v>
      </c>
      <c r="O521" s="22" t="s">
        <v>796</v>
      </c>
      <c r="P521" s="24"/>
      <c r="Q521" s="22" t="s">
        <v>90</v>
      </c>
      <c r="R521" s="22">
        <v>3.2720059072835E13</v>
      </c>
      <c r="S521" s="24"/>
      <c r="T521" s="24"/>
      <c r="U521" s="24"/>
      <c r="V521" s="22" t="s">
        <v>127</v>
      </c>
      <c r="W521" s="24"/>
      <c r="X521" s="24"/>
      <c r="Y521" s="22"/>
      <c r="Z521" s="22"/>
      <c r="AA521" s="24"/>
      <c r="AB521" s="24"/>
      <c r="AC521" s="30"/>
      <c r="AD521" s="30"/>
      <c r="AE521" s="33"/>
      <c r="AF521" s="31"/>
      <c r="AG521" s="30"/>
      <c r="AH521" s="30"/>
      <c r="AI521" s="31"/>
      <c r="AJ521" s="31"/>
      <c r="AK521" s="32"/>
    </row>
    <row r="522">
      <c r="A522" s="21" t="s">
        <v>515</v>
      </c>
      <c r="B522" s="22" t="s">
        <v>471</v>
      </c>
      <c r="C522" s="22" t="s">
        <v>82</v>
      </c>
      <c r="D522" s="26">
        <v>45997.0</v>
      </c>
      <c r="E522" s="22" t="s">
        <v>134</v>
      </c>
      <c r="F522" s="22" t="s">
        <v>472</v>
      </c>
      <c r="G522" s="22" t="s">
        <v>1477</v>
      </c>
      <c r="H522" s="22" t="s">
        <v>515</v>
      </c>
      <c r="I522" s="22">
        <v>1.0446603190595E13</v>
      </c>
      <c r="J522" s="22" t="s">
        <v>474</v>
      </c>
      <c r="K522" s="24"/>
      <c r="L522" s="22" t="s">
        <v>519</v>
      </c>
      <c r="M522" s="22">
        <v>1.0</v>
      </c>
      <c r="N522" s="22" t="s">
        <v>476</v>
      </c>
      <c r="O522" s="22" t="s">
        <v>477</v>
      </c>
      <c r="P522" s="24"/>
      <c r="Q522" s="22" t="s">
        <v>90</v>
      </c>
      <c r="R522" s="22">
        <v>3.2720083157315E13</v>
      </c>
      <c r="S522" s="24"/>
      <c r="T522" s="24"/>
      <c r="U522" s="24"/>
      <c r="V522" s="22" t="s">
        <v>55</v>
      </c>
      <c r="W522" s="24"/>
      <c r="X522" s="24"/>
      <c r="Y522" s="22"/>
      <c r="Z522" s="22"/>
      <c r="AA522" s="24"/>
      <c r="AB522" s="24"/>
      <c r="AC522" s="30"/>
      <c r="AD522" s="30"/>
      <c r="AE522" s="33"/>
      <c r="AF522" s="31"/>
      <c r="AG522" s="30"/>
      <c r="AH522" s="30"/>
      <c r="AI522" s="31"/>
      <c r="AJ522" s="31"/>
      <c r="AK522" s="32"/>
    </row>
    <row r="523">
      <c r="A523" s="21" t="s">
        <v>664</v>
      </c>
      <c r="B523" s="22" t="s">
        <v>849</v>
      </c>
      <c r="C523" s="22" t="s">
        <v>82</v>
      </c>
      <c r="D523" s="23">
        <v>46004.0</v>
      </c>
      <c r="E523" s="22" t="s">
        <v>134</v>
      </c>
      <c r="F523" s="22" t="s">
        <v>472</v>
      </c>
      <c r="G523" s="22" t="s">
        <v>1478</v>
      </c>
      <c r="H523" s="22" t="s">
        <v>664</v>
      </c>
      <c r="I523" s="22">
        <v>1.0446616658243E13</v>
      </c>
      <c r="J523" s="22" t="s">
        <v>851</v>
      </c>
      <c r="K523" s="24"/>
      <c r="L523" s="22" t="s">
        <v>668</v>
      </c>
      <c r="M523" s="22">
        <v>1.0</v>
      </c>
      <c r="N523" s="22" t="s">
        <v>534</v>
      </c>
      <c r="O523" s="22" t="s">
        <v>535</v>
      </c>
      <c r="P523" s="24"/>
      <c r="Q523" s="22" t="s">
        <v>90</v>
      </c>
      <c r="R523" s="22">
        <v>3.2720114516291E13</v>
      </c>
      <c r="S523" s="24"/>
      <c r="T523" s="24"/>
      <c r="U523" s="24"/>
      <c r="V523" s="22" t="s">
        <v>175</v>
      </c>
      <c r="W523" s="24"/>
      <c r="X523" s="24"/>
      <c r="Y523" s="22"/>
      <c r="Z523" s="22"/>
      <c r="AA523" s="24"/>
      <c r="AB523" s="24"/>
      <c r="AC523" s="30"/>
      <c r="AD523" s="30"/>
      <c r="AE523" s="33"/>
      <c r="AF523" s="31"/>
      <c r="AG523" s="30"/>
      <c r="AH523" s="30"/>
      <c r="AI523" s="31"/>
      <c r="AJ523" s="31"/>
      <c r="AK523" s="32"/>
    </row>
    <row r="524">
      <c r="A524" s="21" t="s">
        <v>80</v>
      </c>
      <c r="B524" s="22" t="s">
        <v>1479</v>
      </c>
      <c r="C524" s="22" t="s">
        <v>82</v>
      </c>
      <c r="D524" s="26">
        <v>45997.0</v>
      </c>
      <c r="E524" s="22" t="s">
        <v>138</v>
      </c>
      <c r="F524" s="22" t="s">
        <v>83</v>
      </c>
      <c r="G524" s="22" t="s">
        <v>1480</v>
      </c>
      <c r="H524" s="22" t="s">
        <v>80</v>
      </c>
      <c r="I524" s="22">
        <v>1.0446635106627E13</v>
      </c>
      <c r="J524" s="22" t="s">
        <v>1481</v>
      </c>
      <c r="K524" s="24"/>
      <c r="L524" s="22" t="s">
        <v>86</v>
      </c>
      <c r="M524" s="22">
        <v>1.0</v>
      </c>
      <c r="N524" s="22" t="s">
        <v>87</v>
      </c>
      <c r="O524" s="22" t="s">
        <v>88</v>
      </c>
      <c r="P524" s="24"/>
      <c r="Q524" s="22" t="s">
        <v>90</v>
      </c>
      <c r="R524" s="22">
        <v>3.2720155312451E13</v>
      </c>
      <c r="S524" s="24"/>
      <c r="T524" s="24"/>
      <c r="U524" s="24"/>
      <c r="V524" s="22" t="s">
        <v>91</v>
      </c>
      <c r="W524" s="24"/>
      <c r="X524" s="24"/>
      <c r="Y524" s="22"/>
      <c r="Z524" s="22"/>
      <c r="AA524" s="24"/>
      <c r="AB524" s="24"/>
      <c r="AC524" s="30"/>
      <c r="AD524" s="30"/>
      <c r="AE524" s="33"/>
      <c r="AF524" s="31"/>
      <c r="AG524" s="30"/>
      <c r="AH524" s="30"/>
      <c r="AI524" s="31"/>
      <c r="AJ524" s="31"/>
      <c r="AK524" s="32"/>
    </row>
    <row r="525">
      <c r="A525" s="21" t="s">
        <v>386</v>
      </c>
      <c r="B525" s="22" t="s">
        <v>310</v>
      </c>
      <c r="C525" s="22" t="s">
        <v>82</v>
      </c>
      <c r="D525" s="26">
        <v>45997.0</v>
      </c>
      <c r="E525" s="22" t="s">
        <v>134</v>
      </c>
      <c r="F525" s="22" t="s">
        <v>311</v>
      </c>
      <c r="G525" s="22" t="s">
        <v>1482</v>
      </c>
      <c r="H525" s="22" t="s">
        <v>386</v>
      </c>
      <c r="I525" s="22">
        <v>1.0446676394307E13</v>
      </c>
      <c r="J525" s="22" t="s">
        <v>544</v>
      </c>
      <c r="K525" s="24"/>
      <c r="L525" s="22" t="s">
        <v>390</v>
      </c>
      <c r="M525" s="22">
        <v>1.0</v>
      </c>
      <c r="N525" s="22" t="s">
        <v>391</v>
      </c>
      <c r="O525" s="22" t="s">
        <v>392</v>
      </c>
      <c r="P525" s="24"/>
      <c r="Q525" s="22" t="s">
        <v>90</v>
      </c>
      <c r="R525" s="22">
        <v>3.2720253616451E13</v>
      </c>
      <c r="S525" s="24"/>
      <c r="T525" s="24"/>
      <c r="U525" s="24"/>
      <c r="V525" s="22" t="s">
        <v>55</v>
      </c>
      <c r="W525" s="24"/>
      <c r="X525" s="24"/>
      <c r="Y525" s="22"/>
      <c r="Z525" s="22"/>
      <c r="AA525" s="24"/>
      <c r="AB525" s="24"/>
      <c r="AC525" s="30"/>
      <c r="AD525" s="30"/>
      <c r="AE525" s="33"/>
      <c r="AF525" s="31"/>
      <c r="AG525" s="30"/>
      <c r="AH525" s="30"/>
      <c r="AI525" s="31"/>
      <c r="AJ525" s="31"/>
      <c r="AK525" s="32"/>
    </row>
    <row r="526">
      <c r="A526" s="21" t="s">
        <v>408</v>
      </c>
      <c r="B526" s="22" t="s">
        <v>512</v>
      </c>
      <c r="C526" s="22" t="s">
        <v>82</v>
      </c>
      <c r="D526" s="26">
        <v>45997.0</v>
      </c>
      <c r="E526" s="22" t="s">
        <v>153</v>
      </c>
      <c r="F526" s="22" t="s">
        <v>377</v>
      </c>
      <c r="G526" s="22" t="s">
        <v>1483</v>
      </c>
      <c r="H526" s="22" t="s">
        <v>408</v>
      </c>
      <c r="I526" s="22">
        <v>1.0446583005507E13</v>
      </c>
      <c r="J526" s="22" t="s">
        <v>514</v>
      </c>
      <c r="K526" s="24"/>
      <c r="L526" s="22" t="s">
        <v>412</v>
      </c>
      <c r="M526" s="22">
        <v>1.0</v>
      </c>
      <c r="N526" s="22" t="s">
        <v>413</v>
      </c>
      <c r="O526" s="22" t="s">
        <v>414</v>
      </c>
      <c r="P526" s="24"/>
      <c r="Q526" s="22" t="s">
        <v>90</v>
      </c>
      <c r="R526" s="22">
        <v>3.2720035316035E13</v>
      </c>
      <c r="S526" s="24"/>
      <c r="T526" s="24"/>
      <c r="U526" s="24"/>
      <c r="V526" s="22" t="s">
        <v>127</v>
      </c>
      <c r="W526" s="24"/>
      <c r="X526" s="24"/>
      <c r="Y526" s="22"/>
      <c r="Z526" s="22"/>
      <c r="AA526" s="24"/>
      <c r="AB526" s="24"/>
      <c r="AC526" s="30"/>
      <c r="AD526" s="30"/>
      <c r="AE526" s="33"/>
      <c r="AF526" s="31"/>
      <c r="AG526" s="30"/>
      <c r="AH526" s="30"/>
      <c r="AI526" s="31"/>
      <c r="AJ526" s="31"/>
      <c r="AK526" s="32"/>
    </row>
    <row r="527">
      <c r="A527" s="21" t="s">
        <v>80</v>
      </c>
      <c r="B527" s="22" t="s">
        <v>1352</v>
      </c>
      <c r="C527" s="22" t="s">
        <v>82</v>
      </c>
      <c r="D527" s="26">
        <v>45997.0</v>
      </c>
      <c r="E527" s="22" t="s">
        <v>153</v>
      </c>
      <c r="F527" s="22" t="s">
        <v>83</v>
      </c>
      <c r="G527" s="22" t="s">
        <v>1484</v>
      </c>
      <c r="H527" s="22" t="s">
        <v>80</v>
      </c>
      <c r="I527" s="22">
        <v>1.0446745829699E13</v>
      </c>
      <c r="J527" s="22" t="s">
        <v>1354</v>
      </c>
      <c r="K527" s="24"/>
      <c r="L527" s="22" t="s">
        <v>86</v>
      </c>
      <c r="M527" s="22">
        <v>1.0</v>
      </c>
      <c r="N527" s="22" t="s">
        <v>87</v>
      </c>
      <c r="O527" s="22" t="s">
        <v>88</v>
      </c>
      <c r="P527" s="24"/>
      <c r="Q527" s="22" t="s">
        <v>90</v>
      </c>
      <c r="R527" s="22">
        <v>3.2720416112963E13</v>
      </c>
      <c r="S527" s="24"/>
      <c r="T527" s="24"/>
      <c r="U527" s="24"/>
      <c r="V527" s="22" t="s">
        <v>91</v>
      </c>
      <c r="W527" s="24"/>
      <c r="X527" s="24"/>
      <c r="Y527" s="22"/>
      <c r="Z527" s="22"/>
      <c r="AA527" s="24"/>
      <c r="AB527" s="24"/>
      <c r="AC527" s="30"/>
      <c r="AD527" s="30"/>
      <c r="AE527" s="33"/>
      <c r="AF527" s="31"/>
      <c r="AG527" s="30"/>
      <c r="AH527" s="30"/>
      <c r="AI527" s="31"/>
      <c r="AJ527" s="31"/>
      <c r="AK527" s="32"/>
    </row>
    <row r="528">
      <c r="A528" s="21" t="s">
        <v>822</v>
      </c>
      <c r="B528" s="22" t="s">
        <v>876</v>
      </c>
      <c r="C528" s="22" t="s">
        <v>273</v>
      </c>
      <c r="D528" s="26">
        <v>45998.0</v>
      </c>
      <c r="E528" s="22" t="s">
        <v>177</v>
      </c>
      <c r="F528" s="22" t="s">
        <v>634</v>
      </c>
      <c r="G528" s="22" t="s">
        <v>1485</v>
      </c>
      <c r="H528" s="22" t="s">
        <v>822</v>
      </c>
      <c r="I528" s="22">
        <v>1.0446779810115E13</v>
      </c>
      <c r="J528" s="22" t="s">
        <v>878</v>
      </c>
      <c r="K528" s="24"/>
      <c r="L528" s="22" t="s">
        <v>826</v>
      </c>
      <c r="M528" s="22">
        <v>1.0</v>
      </c>
      <c r="N528" s="22" t="s">
        <v>638</v>
      </c>
      <c r="O528" s="22" t="s">
        <v>639</v>
      </c>
      <c r="P528" s="24"/>
      <c r="Q528" s="22" t="s">
        <v>90</v>
      </c>
      <c r="R528" s="22">
        <v>3.2720499704131E13</v>
      </c>
      <c r="S528" s="24"/>
      <c r="T528" s="24"/>
      <c r="U528" s="24"/>
      <c r="V528" s="22" t="s">
        <v>55</v>
      </c>
      <c r="W528" s="24"/>
      <c r="X528" s="24"/>
      <c r="Y528" s="22"/>
      <c r="Z528" s="22"/>
      <c r="AA528" s="24"/>
      <c r="AB528" s="24"/>
      <c r="AC528" s="30"/>
      <c r="AD528" s="30"/>
      <c r="AE528" s="33"/>
      <c r="AF528" s="31"/>
      <c r="AG528" s="30"/>
      <c r="AH528" s="30"/>
      <c r="AI528" s="31"/>
      <c r="AJ528" s="31"/>
      <c r="AK528" s="32"/>
    </row>
    <row r="529">
      <c r="A529" s="21" t="s">
        <v>92</v>
      </c>
      <c r="B529" s="22" t="s">
        <v>1486</v>
      </c>
      <c r="C529" s="22" t="s">
        <v>82</v>
      </c>
      <c r="D529" s="26">
        <v>45997.0</v>
      </c>
      <c r="E529" s="22" t="s">
        <v>134</v>
      </c>
      <c r="F529" s="22" t="s">
        <v>83</v>
      </c>
      <c r="G529" s="22" t="s">
        <v>1487</v>
      </c>
      <c r="H529" s="22" t="s">
        <v>92</v>
      </c>
      <c r="I529" s="22">
        <v>1.0446838858051E13</v>
      </c>
      <c r="J529" s="22" t="s">
        <v>1488</v>
      </c>
      <c r="K529" s="24"/>
      <c r="L529" s="22" t="s">
        <v>94</v>
      </c>
      <c r="M529" s="22">
        <v>1.0</v>
      </c>
      <c r="N529" s="22" t="s">
        <v>87</v>
      </c>
      <c r="O529" s="22" t="s">
        <v>88</v>
      </c>
      <c r="P529" s="24"/>
      <c r="Q529" s="22" t="s">
        <v>90</v>
      </c>
      <c r="R529" s="22">
        <v>3.2720637755715E13</v>
      </c>
      <c r="S529" s="24"/>
      <c r="T529" s="24"/>
      <c r="U529" s="24"/>
      <c r="V529" s="22" t="s">
        <v>95</v>
      </c>
      <c r="W529" s="24"/>
      <c r="X529" s="24"/>
      <c r="Y529" s="22"/>
      <c r="Z529" s="22"/>
      <c r="AA529" s="24"/>
      <c r="AB529" s="24"/>
      <c r="AC529" s="30"/>
      <c r="AD529" s="30"/>
      <c r="AE529" s="33"/>
      <c r="AF529" s="31"/>
      <c r="AG529" s="30"/>
      <c r="AH529" s="30"/>
      <c r="AI529" s="31"/>
      <c r="AJ529" s="31"/>
      <c r="AK529" s="32"/>
    </row>
    <row r="530">
      <c r="A530" s="21" t="s">
        <v>172</v>
      </c>
      <c r="B530" s="22" t="s">
        <v>1489</v>
      </c>
      <c r="C530" s="22" t="s">
        <v>82</v>
      </c>
      <c r="D530" s="26">
        <v>45997.0</v>
      </c>
      <c r="E530" s="22" t="s">
        <v>266</v>
      </c>
      <c r="F530" s="22" t="s">
        <v>83</v>
      </c>
      <c r="G530" s="22" t="s">
        <v>1490</v>
      </c>
      <c r="H530" s="22" t="s">
        <v>172</v>
      </c>
      <c r="I530" s="22">
        <v>1.0446860321091E13</v>
      </c>
      <c r="J530" s="22" t="s">
        <v>1491</v>
      </c>
      <c r="K530" s="24"/>
      <c r="L530" s="22" t="s">
        <v>174</v>
      </c>
      <c r="M530" s="22">
        <v>1.0</v>
      </c>
      <c r="N530" s="22" t="s">
        <v>103</v>
      </c>
      <c r="O530" s="22" t="s">
        <v>104</v>
      </c>
      <c r="P530" s="24"/>
      <c r="Q530" s="22" t="s">
        <v>90</v>
      </c>
      <c r="R530" s="22">
        <v>3.2720687857987E13</v>
      </c>
      <c r="S530" s="24"/>
      <c r="T530" s="24"/>
      <c r="U530" s="24"/>
      <c r="V530" s="22" t="s">
        <v>175</v>
      </c>
      <c r="W530" s="24"/>
      <c r="X530" s="24"/>
      <c r="Y530" s="22"/>
      <c r="Z530" s="22"/>
      <c r="AA530" s="24"/>
      <c r="AB530" s="24"/>
      <c r="AC530" s="30"/>
      <c r="AD530" s="30"/>
      <c r="AE530" s="33"/>
      <c r="AF530" s="31"/>
      <c r="AG530" s="30"/>
      <c r="AH530" s="30"/>
      <c r="AI530" s="31"/>
      <c r="AJ530" s="31"/>
      <c r="AK530" s="32"/>
    </row>
    <row r="531">
      <c r="A531" s="21" t="s">
        <v>367</v>
      </c>
      <c r="B531" s="22" t="s">
        <v>1034</v>
      </c>
      <c r="C531" s="22" t="s">
        <v>273</v>
      </c>
      <c r="D531" s="26">
        <v>45998.0</v>
      </c>
      <c r="E531" s="22" t="s">
        <v>145</v>
      </c>
      <c r="F531" s="22" t="s">
        <v>369</v>
      </c>
      <c r="G531" s="22" t="s">
        <v>1492</v>
      </c>
      <c r="H531" s="22" t="s">
        <v>367</v>
      </c>
      <c r="I531" s="22">
        <v>1.0446882308419E13</v>
      </c>
      <c r="J531" s="22" t="s">
        <v>1036</v>
      </c>
      <c r="K531" s="24"/>
      <c r="L531" s="22" t="s">
        <v>372</v>
      </c>
      <c r="M531" s="22">
        <v>1.0</v>
      </c>
      <c r="N531" s="22" t="s">
        <v>373</v>
      </c>
      <c r="O531" s="22" t="s">
        <v>374</v>
      </c>
      <c r="P531" s="24"/>
      <c r="Q531" s="22" t="s">
        <v>90</v>
      </c>
      <c r="R531" s="22">
        <v>3.2720741302595E13</v>
      </c>
      <c r="S531" s="24"/>
      <c r="T531" s="24"/>
      <c r="U531" s="24"/>
      <c r="V531" s="22" t="s">
        <v>55</v>
      </c>
      <c r="W531" s="24"/>
      <c r="X531" s="24"/>
      <c r="Y531" s="22"/>
      <c r="Z531" s="22"/>
      <c r="AA531" s="24"/>
      <c r="AB531" s="24"/>
      <c r="AC531" s="30"/>
      <c r="AD531" s="30"/>
      <c r="AE531" s="33"/>
      <c r="AF531" s="31"/>
      <c r="AG531" s="30"/>
      <c r="AH531" s="30"/>
      <c r="AI531" s="31"/>
      <c r="AJ531" s="31"/>
      <c r="AK531" s="32"/>
    </row>
    <row r="532">
      <c r="A532" s="21" t="s">
        <v>859</v>
      </c>
      <c r="B532" s="22" t="s">
        <v>797</v>
      </c>
      <c r="C532" s="22" t="s">
        <v>287</v>
      </c>
      <c r="D532" s="26">
        <v>45994.0</v>
      </c>
      <c r="E532" s="22" t="s">
        <v>252</v>
      </c>
      <c r="F532" s="22" t="s">
        <v>605</v>
      </c>
      <c r="G532" s="22" t="s">
        <v>1493</v>
      </c>
      <c r="H532" s="22" t="s">
        <v>859</v>
      </c>
      <c r="I532" s="22">
        <v>1.0447198290243E13</v>
      </c>
      <c r="J532" s="22" t="s">
        <v>799</v>
      </c>
      <c r="K532" s="24"/>
      <c r="L532" s="22" t="s">
        <v>861</v>
      </c>
      <c r="M532" s="22">
        <v>1.0</v>
      </c>
      <c r="N532" s="22" t="s">
        <v>609</v>
      </c>
      <c r="O532" s="22" t="s">
        <v>610</v>
      </c>
      <c r="P532" s="24"/>
      <c r="Q532" s="22" t="s">
        <v>90</v>
      </c>
      <c r="R532" s="22">
        <v>3.2721405870403E13</v>
      </c>
      <c r="S532" s="24"/>
      <c r="T532" s="24"/>
      <c r="U532" s="24"/>
      <c r="V532" s="22" t="s">
        <v>95</v>
      </c>
      <c r="W532" s="24"/>
      <c r="X532" s="24"/>
      <c r="Y532" s="22"/>
      <c r="Z532" s="22"/>
      <c r="AA532" s="24"/>
      <c r="AB532" s="24"/>
      <c r="AC532" s="30"/>
      <c r="AD532" s="30"/>
      <c r="AE532" s="33"/>
      <c r="AF532" s="31"/>
      <c r="AG532" s="30"/>
      <c r="AH532" s="30"/>
      <c r="AI532" s="31"/>
      <c r="AJ532" s="31"/>
      <c r="AK532" s="32"/>
    </row>
    <row r="533">
      <c r="A533" s="21" t="s">
        <v>696</v>
      </c>
      <c r="B533" s="22" t="s">
        <v>697</v>
      </c>
      <c r="C533" s="22" t="s">
        <v>82</v>
      </c>
      <c r="D533" s="26">
        <v>45997.0</v>
      </c>
      <c r="E533" s="22" t="s">
        <v>439</v>
      </c>
      <c r="F533" s="22" t="s">
        <v>698</v>
      </c>
      <c r="G533" s="22" t="s">
        <v>1494</v>
      </c>
      <c r="H533" s="22" t="s">
        <v>696</v>
      </c>
      <c r="I533" s="22">
        <v>1.0447426781507E13</v>
      </c>
      <c r="J533" s="22" t="s">
        <v>700</v>
      </c>
      <c r="K533" s="24"/>
      <c r="L533" s="22" t="s">
        <v>701</v>
      </c>
      <c r="M533" s="22">
        <v>1.0</v>
      </c>
      <c r="N533" s="22" t="s">
        <v>702</v>
      </c>
      <c r="O533" s="22" t="s">
        <v>703</v>
      </c>
      <c r="P533" s="24"/>
      <c r="Q533" s="22" t="s">
        <v>90</v>
      </c>
      <c r="R533" s="22">
        <v>3.2721916625219E13</v>
      </c>
      <c r="S533" s="24"/>
      <c r="T533" s="24"/>
      <c r="U533" s="24"/>
      <c r="V533" s="22" t="s">
        <v>55</v>
      </c>
      <c r="W533" s="24"/>
      <c r="X533" s="24"/>
      <c r="Y533" s="22"/>
      <c r="Z533" s="22"/>
      <c r="AA533" s="24"/>
      <c r="AB533" s="24"/>
      <c r="AC533" s="30"/>
      <c r="AD533" s="30"/>
      <c r="AE533" s="33"/>
      <c r="AF533" s="31"/>
      <c r="AG533" s="30"/>
      <c r="AH533" s="30"/>
      <c r="AI533" s="31"/>
      <c r="AJ533" s="31"/>
      <c r="AK533" s="32"/>
    </row>
    <row r="534">
      <c r="A534" s="21" t="s">
        <v>1105</v>
      </c>
      <c r="B534" s="22" t="s">
        <v>1176</v>
      </c>
      <c r="C534" s="22" t="s">
        <v>273</v>
      </c>
      <c r="D534" s="23">
        <v>45991.0</v>
      </c>
      <c r="E534" s="22" t="s">
        <v>138</v>
      </c>
      <c r="F534" s="22" t="s">
        <v>329</v>
      </c>
      <c r="G534" s="22" t="s">
        <v>1495</v>
      </c>
      <c r="H534" s="22" t="s">
        <v>1105</v>
      </c>
      <c r="I534" s="22">
        <v>1.0447564603715E13</v>
      </c>
      <c r="J534" s="22" t="s">
        <v>1178</v>
      </c>
      <c r="K534" s="24"/>
      <c r="L534" s="22" t="s">
        <v>1107</v>
      </c>
      <c r="M534" s="22">
        <v>1.0</v>
      </c>
      <c r="N534" s="22" t="s">
        <v>333</v>
      </c>
      <c r="O534" s="22" t="s">
        <v>334</v>
      </c>
      <c r="P534" s="24"/>
      <c r="Q534" s="22" t="s">
        <v>90</v>
      </c>
      <c r="R534" s="22">
        <v>3.2722215371075E13</v>
      </c>
      <c r="S534" s="24"/>
      <c r="T534" s="24"/>
      <c r="U534" s="24"/>
      <c r="V534" s="22" t="s">
        <v>95</v>
      </c>
      <c r="W534" s="24"/>
      <c r="X534" s="24"/>
      <c r="Y534" s="22"/>
      <c r="Z534" s="22"/>
      <c r="AA534" s="24"/>
      <c r="AB534" s="24"/>
      <c r="AC534" s="30"/>
      <c r="AD534" s="30"/>
      <c r="AE534" s="33"/>
      <c r="AF534" s="31"/>
      <c r="AG534" s="30"/>
      <c r="AH534" s="30"/>
      <c r="AI534" s="31"/>
      <c r="AJ534" s="31"/>
      <c r="AK534" s="32"/>
    </row>
    <row r="535">
      <c r="A535" s="21" t="s">
        <v>806</v>
      </c>
      <c r="B535" s="22" t="s">
        <v>578</v>
      </c>
      <c r="C535" s="22" t="s">
        <v>82</v>
      </c>
      <c r="D535" s="26">
        <v>45997.0</v>
      </c>
      <c r="E535" s="22" t="s">
        <v>187</v>
      </c>
      <c r="F535" s="22" t="s">
        <v>278</v>
      </c>
      <c r="G535" s="22" t="s">
        <v>1496</v>
      </c>
      <c r="H535" s="22" t="s">
        <v>806</v>
      </c>
      <c r="I535" s="22">
        <v>1.0447571452227E13</v>
      </c>
      <c r="J535" s="22" t="s">
        <v>568</v>
      </c>
      <c r="K535" s="24"/>
      <c r="L535" s="22" t="s">
        <v>809</v>
      </c>
      <c r="M535" s="22">
        <v>1.0</v>
      </c>
      <c r="N535" s="22" t="s">
        <v>282</v>
      </c>
      <c r="O535" s="22" t="s">
        <v>283</v>
      </c>
      <c r="P535" s="24"/>
      <c r="Q535" s="22" t="s">
        <v>90</v>
      </c>
      <c r="R535" s="22">
        <v>3.2722230346051E13</v>
      </c>
      <c r="S535" s="24"/>
      <c r="T535" s="24"/>
      <c r="U535" s="24"/>
      <c r="V535" s="22" t="s">
        <v>95</v>
      </c>
      <c r="W535" s="24"/>
      <c r="X535" s="24"/>
      <c r="Y535" s="22"/>
      <c r="Z535" s="22"/>
      <c r="AA535" s="24"/>
      <c r="AB535" s="24"/>
      <c r="AC535" s="30"/>
      <c r="AD535" s="30"/>
      <c r="AE535" s="33"/>
      <c r="AF535" s="31"/>
      <c r="AG535" s="30"/>
      <c r="AH535" s="30"/>
      <c r="AI535" s="31"/>
      <c r="AJ535" s="31"/>
      <c r="AK535" s="32"/>
    </row>
    <row r="536">
      <c r="A536" s="21" t="s">
        <v>538</v>
      </c>
      <c r="B536" s="22" t="s">
        <v>587</v>
      </c>
      <c r="C536" s="22" t="s">
        <v>273</v>
      </c>
      <c r="D536" s="26">
        <v>45998.0</v>
      </c>
      <c r="E536" s="22" t="s">
        <v>153</v>
      </c>
      <c r="F536" s="22" t="s">
        <v>369</v>
      </c>
      <c r="G536" s="22" t="s">
        <v>1497</v>
      </c>
      <c r="H536" s="22" t="s">
        <v>538</v>
      </c>
      <c r="I536" s="22">
        <v>1.0447594815811E13</v>
      </c>
      <c r="J536" s="22" t="s">
        <v>589</v>
      </c>
      <c r="K536" s="24"/>
      <c r="L536" s="22" t="s">
        <v>542</v>
      </c>
      <c r="M536" s="22">
        <v>1.0</v>
      </c>
      <c r="N536" s="22" t="s">
        <v>373</v>
      </c>
      <c r="O536" s="22" t="s">
        <v>374</v>
      </c>
      <c r="P536" s="24"/>
      <c r="Q536" s="22" t="s">
        <v>90</v>
      </c>
      <c r="R536" s="22">
        <v>3.2722278515011E13</v>
      </c>
      <c r="S536" s="24"/>
      <c r="T536" s="24"/>
      <c r="U536" s="24"/>
      <c r="V536" s="22" t="s">
        <v>91</v>
      </c>
      <c r="W536" s="24"/>
      <c r="X536" s="24"/>
      <c r="Y536" s="22"/>
      <c r="Z536" s="22"/>
      <c r="AA536" s="24"/>
      <c r="AB536" s="24"/>
      <c r="AC536" s="30"/>
      <c r="AD536" s="30"/>
      <c r="AE536" s="33"/>
      <c r="AF536" s="31"/>
      <c r="AG536" s="30"/>
      <c r="AH536" s="30"/>
      <c r="AI536" s="31"/>
      <c r="AJ536" s="31"/>
      <c r="AK536" s="32"/>
    </row>
    <row r="537">
      <c r="A537" s="21" t="s">
        <v>979</v>
      </c>
      <c r="B537" s="22" t="s">
        <v>1498</v>
      </c>
      <c r="C537" s="22" t="s">
        <v>82</v>
      </c>
      <c r="D537" s="26">
        <v>45997.0</v>
      </c>
      <c r="E537" s="22" t="s">
        <v>522</v>
      </c>
      <c r="F537" s="22" t="s">
        <v>605</v>
      </c>
      <c r="G537" s="22" t="s">
        <v>1499</v>
      </c>
      <c r="H537" s="22" t="s">
        <v>979</v>
      </c>
      <c r="I537" s="22">
        <v>1.0446579958083E13</v>
      </c>
      <c r="J537" s="22" t="s">
        <v>1500</v>
      </c>
      <c r="K537" s="24"/>
      <c r="L537" s="22" t="s">
        <v>984</v>
      </c>
      <c r="M537" s="22">
        <v>1.0</v>
      </c>
      <c r="N537" s="22" t="s">
        <v>609</v>
      </c>
      <c r="O537" s="22" t="s">
        <v>610</v>
      </c>
      <c r="P537" s="24"/>
      <c r="Q537" s="22" t="s">
        <v>90</v>
      </c>
      <c r="R537" s="22">
        <v>3.2720027910467E13</v>
      </c>
      <c r="S537" s="24"/>
      <c r="T537" s="24"/>
      <c r="U537" s="24"/>
      <c r="V537" s="22" t="s">
        <v>55</v>
      </c>
      <c r="W537" s="24"/>
      <c r="X537" s="24"/>
      <c r="Y537" s="22"/>
      <c r="Z537" s="22"/>
      <c r="AA537" s="24"/>
      <c r="AB537" s="24"/>
      <c r="AC537" s="30"/>
      <c r="AD537" s="30"/>
      <c r="AE537" s="33"/>
      <c r="AF537" s="31"/>
      <c r="AG537" s="30"/>
      <c r="AH537" s="30"/>
      <c r="AI537" s="31"/>
      <c r="AJ537" s="31"/>
      <c r="AK537" s="32"/>
    </row>
    <row r="538">
      <c r="A538" s="21" t="s">
        <v>1105</v>
      </c>
      <c r="B538" s="22" t="s">
        <v>1356</v>
      </c>
      <c r="C538" s="22" t="s">
        <v>273</v>
      </c>
      <c r="D538" s="23">
        <v>45991.0</v>
      </c>
      <c r="E538" s="22" t="s">
        <v>153</v>
      </c>
      <c r="F538" s="22" t="s">
        <v>329</v>
      </c>
      <c r="G538" s="22" t="s">
        <v>1501</v>
      </c>
      <c r="H538" s="22" t="s">
        <v>1105</v>
      </c>
      <c r="I538" s="22">
        <v>1.0447601008963E13</v>
      </c>
      <c r="J538" s="22" t="s">
        <v>1358</v>
      </c>
      <c r="K538" s="24"/>
      <c r="L538" s="22" t="s">
        <v>1107</v>
      </c>
      <c r="M538" s="22">
        <v>1.0</v>
      </c>
      <c r="N538" s="22" t="s">
        <v>333</v>
      </c>
      <c r="O538" s="22" t="s">
        <v>334</v>
      </c>
      <c r="P538" s="24"/>
      <c r="Q538" s="22" t="s">
        <v>90</v>
      </c>
      <c r="R538" s="22">
        <v>3.2722291884355E13</v>
      </c>
      <c r="S538" s="24"/>
      <c r="T538" s="24"/>
      <c r="U538" s="24"/>
      <c r="V538" s="22" t="s">
        <v>95</v>
      </c>
      <c r="W538" s="24"/>
      <c r="X538" s="24"/>
      <c r="Y538" s="22"/>
      <c r="Z538" s="22"/>
      <c r="AA538" s="24"/>
      <c r="AB538" s="24"/>
      <c r="AC538" s="30"/>
      <c r="AD538" s="30"/>
      <c r="AE538" s="33"/>
      <c r="AF538" s="31"/>
      <c r="AG538" s="30"/>
      <c r="AH538" s="30"/>
      <c r="AI538" s="31"/>
      <c r="AJ538" s="31"/>
      <c r="AK538" s="32"/>
    </row>
    <row r="539">
      <c r="A539" s="21" t="s">
        <v>276</v>
      </c>
      <c r="B539" s="22" t="s">
        <v>1502</v>
      </c>
      <c r="C539" s="22" t="s">
        <v>82</v>
      </c>
      <c r="D539" s="26">
        <v>45997.0</v>
      </c>
      <c r="E539" s="22" t="s">
        <v>134</v>
      </c>
      <c r="F539" s="22" t="s">
        <v>278</v>
      </c>
      <c r="G539" s="22" t="s">
        <v>1503</v>
      </c>
      <c r="H539" s="22" t="s">
        <v>276</v>
      </c>
      <c r="I539" s="22">
        <v>1.0447695118659E13</v>
      </c>
      <c r="J539" s="22" t="s">
        <v>1504</v>
      </c>
      <c r="K539" s="24"/>
      <c r="L539" s="22" t="s">
        <v>281</v>
      </c>
      <c r="M539" s="22">
        <v>1.0</v>
      </c>
      <c r="N539" s="22" t="s">
        <v>282</v>
      </c>
      <c r="O539" s="22" t="s">
        <v>283</v>
      </c>
      <c r="P539" s="24"/>
      <c r="Q539" s="22" t="s">
        <v>90</v>
      </c>
      <c r="R539" s="22">
        <v>3.2722493440323E13</v>
      </c>
      <c r="S539" s="24"/>
      <c r="T539" s="24"/>
      <c r="U539" s="24"/>
      <c r="V539" s="22" t="s">
        <v>55</v>
      </c>
      <c r="W539" s="24"/>
      <c r="X539" s="24"/>
      <c r="Y539" s="22"/>
      <c r="Z539" s="22"/>
      <c r="AA539" s="24"/>
      <c r="AB539" s="24"/>
      <c r="AC539" s="30"/>
      <c r="AD539" s="30"/>
      <c r="AE539" s="33"/>
      <c r="AF539" s="31"/>
      <c r="AG539" s="30"/>
      <c r="AH539" s="30"/>
      <c r="AI539" s="31"/>
      <c r="AJ539" s="31"/>
      <c r="AK539" s="32"/>
    </row>
    <row r="540">
      <c r="A540" s="21" t="s">
        <v>595</v>
      </c>
      <c r="B540" s="22" t="s">
        <v>424</v>
      </c>
      <c r="C540" s="22" t="s">
        <v>273</v>
      </c>
      <c r="D540" s="26">
        <v>45998.0</v>
      </c>
      <c r="E540" s="22" t="s">
        <v>134</v>
      </c>
      <c r="F540" s="22" t="s">
        <v>369</v>
      </c>
      <c r="G540" s="22" t="s">
        <v>1505</v>
      </c>
      <c r="H540" s="22" t="s">
        <v>595</v>
      </c>
      <c r="I540" s="22">
        <v>1.0447695544643E13</v>
      </c>
      <c r="J540" s="22" t="s">
        <v>426</v>
      </c>
      <c r="K540" s="24"/>
      <c r="L540" s="22" t="s">
        <v>599</v>
      </c>
      <c r="M540" s="22">
        <v>1.0</v>
      </c>
      <c r="N540" s="22" t="s">
        <v>600</v>
      </c>
      <c r="O540" s="22" t="s">
        <v>601</v>
      </c>
      <c r="P540" s="24"/>
      <c r="Q540" s="22" t="s">
        <v>90</v>
      </c>
      <c r="R540" s="22">
        <v>3.2722494325059E13</v>
      </c>
      <c r="S540" s="24"/>
      <c r="T540" s="24"/>
      <c r="U540" s="24"/>
      <c r="V540" s="22" t="s">
        <v>127</v>
      </c>
      <c r="W540" s="24"/>
      <c r="X540" s="24"/>
      <c r="Y540" s="22"/>
      <c r="Z540" s="22"/>
      <c r="AA540" s="24"/>
      <c r="AB540" s="24"/>
      <c r="AC540" s="30"/>
      <c r="AD540" s="30"/>
      <c r="AE540" s="33"/>
      <c r="AF540" s="31"/>
      <c r="AG540" s="30"/>
      <c r="AH540" s="30"/>
      <c r="AI540" s="31"/>
      <c r="AJ540" s="31"/>
      <c r="AK540" s="32"/>
    </row>
    <row r="541">
      <c r="A541" s="21" t="s">
        <v>732</v>
      </c>
      <c r="B541" s="22" t="s">
        <v>1506</v>
      </c>
      <c r="C541" s="22" t="s">
        <v>82</v>
      </c>
      <c r="D541" s="23">
        <v>46004.0</v>
      </c>
      <c r="E541" s="22" t="s">
        <v>177</v>
      </c>
      <c r="F541" s="22" t="s">
        <v>634</v>
      </c>
      <c r="G541" s="22" t="s">
        <v>1507</v>
      </c>
      <c r="H541" s="22" t="s">
        <v>732</v>
      </c>
      <c r="I541" s="22">
        <v>1.0447784509763E13</v>
      </c>
      <c r="J541" s="22" t="s">
        <v>1508</v>
      </c>
      <c r="K541" s="24"/>
      <c r="L541" s="22" t="s">
        <v>737</v>
      </c>
      <c r="M541" s="22">
        <v>1.0</v>
      </c>
      <c r="N541" s="22" t="s">
        <v>738</v>
      </c>
      <c r="O541" s="22" t="s">
        <v>739</v>
      </c>
      <c r="P541" s="24"/>
      <c r="Q541" s="22" t="s">
        <v>90</v>
      </c>
      <c r="R541" s="22">
        <v>3.2722696634691E13</v>
      </c>
      <c r="S541" s="24"/>
      <c r="T541" s="24"/>
      <c r="U541" s="24"/>
      <c r="V541" s="22" t="s">
        <v>105</v>
      </c>
      <c r="W541" s="24"/>
      <c r="X541" s="24"/>
      <c r="Y541" s="22"/>
      <c r="Z541" s="22"/>
      <c r="AA541" s="24"/>
      <c r="AB541" s="24"/>
      <c r="AC541" s="30"/>
      <c r="AD541" s="30"/>
      <c r="AE541" s="33"/>
      <c r="AF541" s="31"/>
      <c r="AG541" s="30"/>
      <c r="AH541" s="30"/>
      <c r="AI541" s="31"/>
      <c r="AJ541" s="31"/>
      <c r="AK541" s="32"/>
    </row>
    <row r="542">
      <c r="A542" s="21" t="s">
        <v>408</v>
      </c>
      <c r="B542" s="22" t="s">
        <v>512</v>
      </c>
      <c r="C542" s="22" t="s">
        <v>82</v>
      </c>
      <c r="D542" s="26">
        <v>45997.0</v>
      </c>
      <c r="E542" s="22" t="s">
        <v>153</v>
      </c>
      <c r="F542" s="22" t="s">
        <v>377</v>
      </c>
      <c r="G542" s="22" t="s">
        <v>1509</v>
      </c>
      <c r="H542" s="22" t="s">
        <v>408</v>
      </c>
      <c r="I542" s="22">
        <v>1.0447844868419E13</v>
      </c>
      <c r="J542" s="22" t="s">
        <v>514</v>
      </c>
      <c r="K542" s="24"/>
      <c r="L542" s="22" t="s">
        <v>412</v>
      </c>
      <c r="M542" s="22">
        <v>1.0</v>
      </c>
      <c r="N542" s="22" t="s">
        <v>413</v>
      </c>
      <c r="O542" s="22" t="s">
        <v>414</v>
      </c>
      <c r="P542" s="24"/>
      <c r="Q542" s="22" t="s">
        <v>90</v>
      </c>
      <c r="R542" s="22">
        <v>3.2722831507779E13</v>
      </c>
      <c r="S542" s="24"/>
      <c r="T542" s="24"/>
      <c r="U542" s="24"/>
      <c r="V542" s="22" t="s">
        <v>127</v>
      </c>
      <c r="W542" s="24"/>
      <c r="X542" s="24"/>
      <c r="Y542" s="22"/>
      <c r="Z542" s="22"/>
      <c r="AA542" s="24"/>
      <c r="AB542" s="24"/>
      <c r="AC542" s="30"/>
      <c r="AD542" s="30"/>
      <c r="AE542" s="33"/>
      <c r="AF542" s="31"/>
      <c r="AG542" s="30"/>
      <c r="AH542" s="30"/>
      <c r="AI542" s="31"/>
      <c r="AJ542" s="31"/>
      <c r="AK542" s="32"/>
    </row>
    <row r="543">
      <c r="A543" s="21" t="s">
        <v>1359</v>
      </c>
      <c r="B543" s="22" t="s">
        <v>1510</v>
      </c>
      <c r="C543" s="22" t="s">
        <v>82</v>
      </c>
      <c r="D543" s="26">
        <v>45997.0</v>
      </c>
      <c r="E543" s="22" t="s">
        <v>266</v>
      </c>
      <c r="F543" s="22" t="s">
        <v>605</v>
      </c>
      <c r="G543" s="22" t="s">
        <v>1511</v>
      </c>
      <c r="H543" s="22" t="s">
        <v>1359</v>
      </c>
      <c r="I543" s="22">
        <v>1.0447880520003E13</v>
      </c>
      <c r="J543" s="22" t="s">
        <v>1512</v>
      </c>
      <c r="K543" s="24"/>
      <c r="L543" s="22" t="s">
        <v>1363</v>
      </c>
      <c r="M543" s="22">
        <v>1.0</v>
      </c>
      <c r="N543" s="22" t="s">
        <v>795</v>
      </c>
      <c r="O543" s="22" t="s">
        <v>796</v>
      </c>
      <c r="P543" s="24"/>
      <c r="Q543" s="22" t="s">
        <v>90</v>
      </c>
      <c r="R543" s="22">
        <v>3.2722911756611E13</v>
      </c>
      <c r="S543" s="24"/>
      <c r="T543" s="24"/>
      <c r="U543" s="24"/>
      <c r="V543" s="22" t="s">
        <v>175</v>
      </c>
      <c r="W543" s="24"/>
      <c r="X543" s="24"/>
      <c r="Y543" s="22"/>
      <c r="Z543" s="22"/>
      <c r="AA543" s="24"/>
      <c r="AB543" s="24"/>
      <c r="AC543" s="30"/>
      <c r="AD543" s="30"/>
      <c r="AE543" s="33"/>
      <c r="AF543" s="31"/>
      <c r="AG543" s="30"/>
      <c r="AH543" s="30"/>
      <c r="AI543" s="31"/>
      <c r="AJ543" s="31"/>
      <c r="AK543" s="32"/>
    </row>
    <row r="544">
      <c r="A544" s="21" t="s">
        <v>99</v>
      </c>
      <c r="B544" s="22" t="s">
        <v>1513</v>
      </c>
      <c r="C544" s="22" t="s">
        <v>1284</v>
      </c>
      <c r="D544" s="26">
        <v>45993.0</v>
      </c>
      <c r="E544" s="22" t="s">
        <v>134</v>
      </c>
      <c r="F544" s="22" t="s">
        <v>83</v>
      </c>
      <c r="G544" s="22" t="s">
        <v>1514</v>
      </c>
      <c r="H544" s="22" t="s">
        <v>99</v>
      </c>
      <c r="I544" s="22">
        <v>1.0447998681411E13</v>
      </c>
      <c r="J544" s="22" t="s">
        <v>1515</v>
      </c>
      <c r="K544" s="24"/>
      <c r="L544" s="22" t="s">
        <v>102</v>
      </c>
      <c r="M544" s="22">
        <v>1.0</v>
      </c>
      <c r="N544" s="22" t="s">
        <v>103</v>
      </c>
      <c r="O544" s="22" t="s">
        <v>104</v>
      </c>
      <c r="P544" s="24"/>
      <c r="Q544" s="22" t="s">
        <v>90</v>
      </c>
      <c r="R544" s="22">
        <v>3.2723172819267E13</v>
      </c>
      <c r="S544" s="24"/>
      <c r="T544" s="24"/>
      <c r="U544" s="24"/>
      <c r="V544" s="22" t="s">
        <v>105</v>
      </c>
      <c r="W544" s="24"/>
      <c r="X544" s="24"/>
      <c r="Y544" s="22"/>
      <c r="Z544" s="22"/>
      <c r="AA544" s="24"/>
      <c r="AB544" s="24"/>
      <c r="AC544" s="30"/>
      <c r="AD544" s="30"/>
      <c r="AE544" s="33"/>
      <c r="AF544" s="31"/>
      <c r="AG544" s="30"/>
      <c r="AH544" s="30"/>
      <c r="AI544" s="31"/>
      <c r="AJ544" s="31"/>
      <c r="AK544" s="32"/>
    </row>
    <row r="545">
      <c r="A545" s="21" t="s">
        <v>458</v>
      </c>
      <c r="B545" s="22" t="s">
        <v>1516</v>
      </c>
      <c r="C545" s="22" t="s">
        <v>82</v>
      </c>
      <c r="D545" s="23">
        <v>46004.0</v>
      </c>
      <c r="E545" s="22" t="s">
        <v>211</v>
      </c>
      <c r="F545" s="22" t="s">
        <v>341</v>
      </c>
      <c r="G545" s="22" t="s">
        <v>1517</v>
      </c>
      <c r="H545" s="22" t="s">
        <v>458</v>
      </c>
      <c r="I545" s="22">
        <v>1.0448171467075E13</v>
      </c>
      <c r="J545" s="22" t="s">
        <v>1518</v>
      </c>
      <c r="K545" s="24"/>
      <c r="L545" s="22" t="s">
        <v>462</v>
      </c>
      <c r="M545" s="22">
        <v>1.0</v>
      </c>
      <c r="N545" s="22" t="s">
        <v>345</v>
      </c>
      <c r="O545" s="22" t="s">
        <v>346</v>
      </c>
      <c r="P545" s="24"/>
      <c r="Q545" s="22" t="s">
        <v>90</v>
      </c>
      <c r="R545" s="22">
        <v>3.2723552076099E13</v>
      </c>
      <c r="S545" s="24"/>
      <c r="T545" s="24"/>
      <c r="U545" s="24"/>
      <c r="V545" s="22" t="s">
        <v>91</v>
      </c>
      <c r="W545" s="24"/>
      <c r="X545" s="24"/>
      <c r="Y545" s="22"/>
      <c r="Z545" s="22"/>
      <c r="AA545" s="24"/>
      <c r="AB545" s="24"/>
      <c r="AC545" s="30"/>
      <c r="AD545" s="30"/>
      <c r="AE545" s="33"/>
      <c r="AF545" s="31"/>
      <c r="AG545" s="30"/>
      <c r="AH545" s="30"/>
      <c r="AI545" s="31"/>
      <c r="AJ545" s="31"/>
      <c r="AK545" s="32"/>
    </row>
    <row r="546">
      <c r="A546" s="21" t="s">
        <v>696</v>
      </c>
      <c r="B546" s="22" t="s">
        <v>815</v>
      </c>
      <c r="C546" s="22" t="s">
        <v>82</v>
      </c>
      <c r="D546" s="26">
        <v>45997.0</v>
      </c>
      <c r="E546" s="22" t="s">
        <v>187</v>
      </c>
      <c r="F546" s="22" t="s">
        <v>698</v>
      </c>
      <c r="G546" s="22" t="s">
        <v>1519</v>
      </c>
      <c r="H546" s="22" t="s">
        <v>696</v>
      </c>
      <c r="I546" s="22">
        <v>1.0448184049987E13</v>
      </c>
      <c r="J546" s="22" t="s">
        <v>817</v>
      </c>
      <c r="K546" s="24"/>
      <c r="L546" s="22" t="s">
        <v>701</v>
      </c>
      <c r="M546" s="22">
        <v>1.0</v>
      </c>
      <c r="N546" s="22" t="s">
        <v>702</v>
      </c>
      <c r="O546" s="22" t="s">
        <v>703</v>
      </c>
      <c r="P546" s="24"/>
      <c r="Q546" s="22" t="s">
        <v>90</v>
      </c>
      <c r="R546" s="22">
        <v>3.2723578454339E13</v>
      </c>
      <c r="S546" s="24"/>
      <c r="T546" s="24"/>
      <c r="U546" s="24"/>
      <c r="V546" s="22" t="s">
        <v>55</v>
      </c>
      <c r="W546" s="24"/>
      <c r="X546" s="24"/>
      <c r="Y546" s="22"/>
      <c r="Z546" s="22"/>
      <c r="AA546" s="24"/>
      <c r="AB546" s="24"/>
      <c r="AC546" s="30"/>
      <c r="AD546" s="30"/>
      <c r="AE546" s="33"/>
      <c r="AF546" s="31"/>
      <c r="AG546" s="30"/>
      <c r="AH546" s="30"/>
      <c r="AI546" s="31"/>
      <c r="AJ546" s="31"/>
      <c r="AK546" s="32"/>
    </row>
    <row r="547">
      <c r="A547" s="21" t="s">
        <v>740</v>
      </c>
      <c r="B547" s="22" t="s">
        <v>521</v>
      </c>
      <c r="C547" s="22" t="s">
        <v>273</v>
      </c>
      <c r="D547" s="26">
        <v>45998.0</v>
      </c>
      <c r="E547" s="22" t="s">
        <v>522</v>
      </c>
      <c r="F547" s="22" t="s">
        <v>303</v>
      </c>
      <c r="G547" s="22" t="s">
        <v>1520</v>
      </c>
      <c r="H547" s="22" t="s">
        <v>740</v>
      </c>
      <c r="I547" s="22">
        <v>1.0446570324291E13</v>
      </c>
      <c r="J547" s="22" t="s">
        <v>1521</v>
      </c>
      <c r="K547" s="24"/>
      <c r="L547" s="22" t="s">
        <v>744</v>
      </c>
      <c r="M547" s="22">
        <v>1.0</v>
      </c>
      <c r="N547" s="22" t="s">
        <v>307</v>
      </c>
      <c r="O547" s="22" t="s">
        <v>308</v>
      </c>
      <c r="P547" s="24"/>
      <c r="Q547" s="22" t="s">
        <v>90</v>
      </c>
      <c r="R547" s="22">
        <v>3.2720007168323E13</v>
      </c>
      <c r="S547" s="24"/>
      <c r="T547" s="24"/>
      <c r="U547" s="24"/>
      <c r="V547" s="22" t="s">
        <v>91</v>
      </c>
      <c r="W547" s="24"/>
      <c r="X547" s="24"/>
      <c r="Y547" s="22"/>
      <c r="Z547" s="22"/>
      <c r="AA547" s="24"/>
      <c r="AB547" s="24"/>
      <c r="AC547" s="30"/>
      <c r="AD547" s="30"/>
      <c r="AE547" s="33"/>
      <c r="AF547" s="31"/>
      <c r="AG547" s="30"/>
      <c r="AH547" s="30"/>
      <c r="AI547" s="31"/>
      <c r="AJ547" s="31"/>
      <c r="AK547" s="32"/>
    </row>
    <row r="548">
      <c r="A548" s="21" t="s">
        <v>463</v>
      </c>
      <c r="B548" s="22" t="s">
        <v>1522</v>
      </c>
      <c r="C548" s="22" t="s">
        <v>82</v>
      </c>
      <c r="D548" s="26">
        <v>45997.0</v>
      </c>
      <c r="E548" s="22" t="s">
        <v>522</v>
      </c>
      <c r="F548" s="22" t="s">
        <v>303</v>
      </c>
      <c r="G548" s="22" t="s">
        <v>1523</v>
      </c>
      <c r="H548" s="22" t="s">
        <v>463</v>
      </c>
      <c r="I548" s="22">
        <v>1.0446727840067E13</v>
      </c>
      <c r="J548" s="22" t="s">
        <v>1524</v>
      </c>
      <c r="K548" s="24"/>
      <c r="L548" s="22" t="s">
        <v>467</v>
      </c>
      <c r="M548" s="22">
        <v>1.0</v>
      </c>
      <c r="N548" s="22" t="s">
        <v>468</v>
      </c>
      <c r="O548" s="22" t="s">
        <v>469</v>
      </c>
      <c r="P548" s="24"/>
      <c r="Q548" s="22" t="s">
        <v>90</v>
      </c>
      <c r="R548" s="22">
        <v>3.2720373907779E13</v>
      </c>
      <c r="S548" s="24"/>
      <c r="T548" s="24"/>
      <c r="U548" s="24"/>
      <c r="V548" s="22" t="s">
        <v>105</v>
      </c>
      <c r="W548" s="24"/>
      <c r="X548" s="24"/>
      <c r="Y548" s="22"/>
      <c r="Z548" s="22"/>
      <c r="AA548" s="24"/>
      <c r="AB548" s="24"/>
      <c r="AC548" s="30"/>
      <c r="AD548" s="30"/>
      <c r="AE548" s="33"/>
      <c r="AF548" s="31"/>
      <c r="AG548" s="30"/>
      <c r="AH548" s="30"/>
      <c r="AI548" s="31"/>
      <c r="AJ548" s="31"/>
      <c r="AK548" s="32"/>
    </row>
    <row r="549">
      <c r="A549" s="21" t="s">
        <v>166</v>
      </c>
      <c r="B549" s="22" t="s">
        <v>1112</v>
      </c>
      <c r="C549" s="22" t="s">
        <v>82</v>
      </c>
      <c r="D549" s="26">
        <v>45997.0</v>
      </c>
      <c r="E549" s="22" t="s">
        <v>1113</v>
      </c>
      <c r="F549" s="22" t="s">
        <v>111</v>
      </c>
      <c r="G549" s="22" t="s">
        <v>1525</v>
      </c>
      <c r="H549" s="22" t="s">
        <v>166</v>
      </c>
      <c r="I549" s="22">
        <v>1.0448215769411E13</v>
      </c>
      <c r="J549" s="22" t="s">
        <v>1115</v>
      </c>
      <c r="K549" s="24"/>
      <c r="L549" s="22" t="s">
        <v>171</v>
      </c>
      <c r="M549" s="22">
        <v>2.0</v>
      </c>
      <c r="N549" s="22" t="s">
        <v>115</v>
      </c>
      <c r="O549" s="22" t="s">
        <v>116</v>
      </c>
      <c r="P549" s="24"/>
      <c r="Q549" s="22" t="s">
        <v>90</v>
      </c>
      <c r="R549" s="22">
        <v>3.2723648184643E13</v>
      </c>
      <c r="S549" s="24"/>
      <c r="T549" s="24"/>
      <c r="U549" s="24"/>
      <c r="V549" s="22" t="s">
        <v>55</v>
      </c>
      <c r="W549" s="24"/>
      <c r="X549" s="24"/>
      <c r="Y549" s="22"/>
      <c r="Z549" s="22"/>
      <c r="AA549" s="24"/>
      <c r="AB549" s="24"/>
      <c r="AC549" s="30"/>
      <c r="AD549" s="30"/>
      <c r="AE549" s="33"/>
      <c r="AF549" s="31"/>
      <c r="AG549" s="30"/>
      <c r="AH549" s="30"/>
      <c r="AI549" s="31"/>
      <c r="AJ549" s="31"/>
      <c r="AK549" s="32"/>
    </row>
    <row r="550">
      <c r="A550" s="21" t="s">
        <v>386</v>
      </c>
      <c r="B550" s="22" t="s">
        <v>1000</v>
      </c>
      <c r="C550" s="22" t="s">
        <v>273</v>
      </c>
      <c r="D550" s="26">
        <v>45998.0</v>
      </c>
      <c r="E550" s="22" t="s">
        <v>134</v>
      </c>
      <c r="F550" s="22" t="s">
        <v>311</v>
      </c>
      <c r="G550" s="22" t="s">
        <v>1526</v>
      </c>
      <c r="H550" s="22" t="s">
        <v>386</v>
      </c>
      <c r="I550" s="22">
        <v>1.0448249422147E13</v>
      </c>
      <c r="J550" s="22" t="s">
        <v>1002</v>
      </c>
      <c r="K550" s="24"/>
      <c r="L550" s="22" t="s">
        <v>390</v>
      </c>
      <c r="M550" s="22">
        <v>1.0</v>
      </c>
      <c r="N550" s="22" t="s">
        <v>391</v>
      </c>
      <c r="O550" s="22" t="s">
        <v>392</v>
      </c>
      <c r="P550" s="24"/>
      <c r="Q550" s="22" t="s">
        <v>90</v>
      </c>
      <c r="R550" s="22">
        <v>3.2723720667459E13</v>
      </c>
      <c r="S550" s="24"/>
      <c r="T550" s="24"/>
      <c r="U550" s="24"/>
      <c r="V550" s="22" t="s">
        <v>55</v>
      </c>
      <c r="W550" s="24"/>
      <c r="X550" s="24"/>
      <c r="Y550" s="22"/>
      <c r="Z550" s="22"/>
      <c r="AA550" s="24"/>
      <c r="AB550" s="24"/>
      <c r="AC550" s="30"/>
      <c r="AD550" s="30"/>
      <c r="AE550" s="33"/>
      <c r="AF550" s="31"/>
      <c r="AG550" s="30"/>
      <c r="AH550" s="30"/>
      <c r="AI550" s="31"/>
      <c r="AJ550" s="31"/>
      <c r="AK550" s="32"/>
    </row>
    <row r="551">
      <c r="A551" s="21" t="s">
        <v>1527</v>
      </c>
      <c r="B551" s="22" t="s">
        <v>1528</v>
      </c>
      <c r="C551" s="22" t="s">
        <v>82</v>
      </c>
      <c r="D551" s="26">
        <v>45997.0</v>
      </c>
      <c r="E551" s="22" t="s">
        <v>149</v>
      </c>
      <c r="F551" s="22" t="s">
        <v>451</v>
      </c>
      <c r="G551" s="22" t="s">
        <v>1529</v>
      </c>
      <c r="H551" s="22" t="s">
        <v>1527</v>
      </c>
      <c r="I551" s="22">
        <v>1.0448369221955E13</v>
      </c>
      <c r="J551" s="22" t="s">
        <v>1530</v>
      </c>
      <c r="K551" s="24"/>
      <c r="L551" s="22" t="s">
        <v>1531</v>
      </c>
      <c r="M551" s="22">
        <v>1.0</v>
      </c>
      <c r="N551" s="22" t="s">
        <v>1277</v>
      </c>
      <c r="O551" s="22" t="s">
        <v>1278</v>
      </c>
      <c r="P551" s="24"/>
      <c r="Q551" s="22" t="s">
        <v>90</v>
      </c>
      <c r="R551" s="22">
        <v>3.2723985891651E13</v>
      </c>
      <c r="S551" s="24"/>
      <c r="T551" s="24"/>
      <c r="U551" s="24"/>
      <c r="V551" s="22" t="s">
        <v>105</v>
      </c>
      <c r="W551" s="24"/>
      <c r="X551" s="24"/>
      <c r="Y551" s="22"/>
      <c r="Z551" s="22"/>
      <c r="AA551" s="24"/>
      <c r="AB551" s="24"/>
      <c r="AC551" s="30"/>
      <c r="AD551" s="30"/>
      <c r="AE551" s="33"/>
      <c r="AF551" s="31"/>
      <c r="AG551" s="30"/>
      <c r="AH551" s="30"/>
      <c r="AI551" s="31"/>
      <c r="AJ551" s="31"/>
      <c r="AK551" s="32"/>
    </row>
    <row r="552">
      <c r="A552" s="21" t="s">
        <v>950</v>
      </c>
      <c r="B552" s="22" t="s">
        <v>1532</v>
      </c>
      <c r="C552" s="22" t="s">
        <v>82</v>
      </c>
      <c r="D552" s="26">
        <v>45997.0</v>
      </c>
      <c r="E552" s="22" t="s">
        <v>211</v>
      </c>
      <c r="F552" s="22" t="s">
        <v>698</v>
      </c>
      <c r="G552" s="22" t="s">
        <v>1533</v>
      </c>
      <c r="H552" s="22" t="s">
        <v>950</v>
      </c>
      <c r="I552" s="22">
        <v>1.0448411099459E13</v>
      </c>
      <c r="J552" s="22" t="s">
        <v>1534</v>
      </c>
      <c r="K552" s="24"/>
      <c r="L552" s="22" t="s">
        <v>952</v>
      </c>
      <c r="M552" s="22">
        <v>1.0</v>
      </c>
      <c r="N552" s="22" t="s">
        <v>702</v>
      </c>
      <c r="O552" s="22" t="s">
        <v>703</v>
      </c>
      <c r="P552" s="24"/>
      <c r="Q552" s="22" t="s">
        <v>90</v>
      </c>
      <c r="R552" s="22">
        <v>3.2724078231875E13</v>
      </c>
      <c r="S552" s="24"/>
      <c r="T552" s="24"/>
      <c r="U552" s="24"/>
      <c r="V552" s="22" t="s">
        <v>54</v>
      </c>
      <c r="W552" s="24"/>
      <c r="X552" s="24"/>
      <c r="Y552" s="22"/>
      <c r="Z552" s="22"/>
      <c r="AA552" s="24"/>
      <c r="AB552" s="24"/>
      <c r="AC552" s="30"/>
      <c r="AD552" s="30"/>
      <c r="AE552" s="33"/>
      <c r="AF552" s="31"/>
      <c r="AG552" s="30"/>
      <c r="AH552" s="30"/>
      <c r="AI552" s="31"/>
      <c r="AJ552" s="31"/>
      <c r="AK552" s="32"/>
    </row>
    <row r="553">
      <c r="A553" s="21" t="s">
        <v>752</v>
      </c>
      <c r="B553" s="22" t="s">
        <v>770</v>
      </c>
      <c r="C553" s="22" t="s">
        <v>82</v>
      </c>
      <c r="D553" s="26">
        <v>45997.0</v>
      </c>
      <c r="E553" s="22" t="s">
        <v>181</v>
      </c>
      <c r="F553" s="22" t="s">
        <v>319</v>
      </c>
      <c r="G553" s="22" t="s">
        <v>1535</v>
      </c>
      <c r="H553" s="22" t="s">
        <v>752</v>
      </c>
      <c r="I553" s="22">
        <v>1.0448442523971E13</v>
      </c>
      <c r="J553" s="22" t="s">
        <v>772</v>
      </c>
      <c r="K553" s="24"/>
      <c r="L553" s="22" t="s">
        <v>754</v>
      </c>
      <c r="M553" s="22">
        <v>1.0</v>
      </c>
      <c r="N553" s="22" t="s">
        <v>404</v>
      </c>
      <c r="O553" s="22" t="s">
        <v>405</v>
      </c>
      <c r="P553" s="24"/>
      <c r="Q553" s="22" t="s">
        <v>90</v>
      </c>
      <c r="R553" s="22">
        <v>3.2724146946371E13</v>
      </c>
      <c r="S553" s="24"/>
      <c r="T553" s="24"/>
      <c r="U553" s="24"/>
      <c r="V553" s="22" t="s">
        <v>175</v>
      </c>
      <c r="W553" s="24"/>
      <c r="X553" s="24"/>
      <c r="Y553" s="22"/>
      <c r="Z553" s="22"/>
      <c r="AA553" s="24"/>
      <c r="AB553" s="24"/>
      <c r="AC553" s="30"/>
      <c r="AD553" s="30"/>
      <c r="AE553" s="33"/>
      <c r="AF553" s="31"/>
      <c r="AG553" s="30"/>
      <c r="AH553" s="30"/>
      <c r="AI553" s="31"/>
      <c r="AJ553" s="31"/>
      <c r="AK553" s="32"/>
    </row>
    <row r="554">
      <c r="A554" s="21" t="s">
        <v>912</v>
      </c>
      <c r="B554" s="22" t="s">
        <v>1322</v>
      </c>
      <c r="C554" s="22" t="s">
        <v>82</v>
      </c>
      <c r="D554" s="23">
        <v>46004.0</v>
      </c>
      <c r="E554" s="22" t="s">
        <v>149</v>
      </c>
      <c r="F554" s="22" t="s">
        <v>377</v>
      </c>
      <c r="G554" s="22" t="s">
        <v>1536</v>
      </c>
      <c r="H554" s="22" t="s">
        <v>912</v>
      </c>
      <c r="I554" s="22">
        <v>1.0448446062915E13</v>
      </c>
      <c r="J554" s="22" t="s">
        <v>1324</v>
      </c>
      <c r="K554" s="24"/>
      <c r="L554" s="22" t="s">
        <v>914</v>
      </c>
      <c r="M554" s="22">
        <v>1.0</v>
      </c>
      <c r="N554" s="22" t="s">
        <v>381</v>
      </c>
      <c r="O554" s="22" t="s">
        <v>382</v>
      </c>
      <c r="P554" s="24"/>
      <c r="Q554" s="22" t="s">
        <v>90</v>
      </c>
      <c r="R554" s="22">
        <v>3.2724155466051E13</v>
      </c>
      <c r="S554" s="24"/>
      <c r="T554" s="24"/>
      <c r="U554" s="24"/>
      <c r="V554" s="22" t="s">
        <v>54</v>
      </c>
      <c r="W554" s="24"/>
      <c r="X554" s="24"/>
      <c r="Y554" s="22"/>
      <c r="Z554" s="22"/>
      <c r="AA554" s="24"/>
      <c r="AB554" s="24"/>
      <c r="AC554" s="30"/>
      <c r="AD554" s="30"/>
      <c r="AE554" s="33"/>
      <c r="AF554" s="31"/>
      <c r="AG554" s="30"/>
      <c r="AH554" s="30"/>
      <c r="AI554" s="31"/>
      <c r="AJ554" s="31"/>
      <c r="AK554" s="32"/>
    </row>
    <row r="555">
      <c r="A555" s="21" t="s">
        <v>327</v>
      </c>
      <c r="B555" s="22" t="s">
        <v>1176</v>
      </c>
      <c r="C555" s="22" t="s">
        <v>273</v>
      </c>
      <c r="D555" s="23">
        <v>45991.0</v>
      </c>
      <c r="E555" s="22" t="s">
        <v>138</v>
      </c>
      <c r="F555" s="22" t="s">
        <v>329</v>
      </c>
      <c r="G555" s="22" t="s">
        <v>1537</v>
      </c>
      <c r="H555" s="22" t="s">
        <v>327</v>
      </c>
      <c r="I555" s="22">
        <v>1.0448447373635E13</v>
      </c>
      <c r="J555" s="22" t="s">
        <v>1178</v>
      </c>
      <c r="K555" s="24"/>
      <c r="L555" s="22" t="s">
        <v>332</v>
      </c>
      <c r="M555" s="22">
        <v>1.0</v>
      </c>
      <c r="N555" s="22" t="s">
        <v>333</v>
      </c>
      <c r="O555" s="22" t="s">
        <v>334</v>
      </c>
      <c r="P555" s="24"/>
      <c r="Q555" s="22" t="s">
        <v>90</v>
      </c>
      <c r="R555" s="22">
        <v>3.2724158021955E13</v>
      </c>
      <c r="S555" s="24"/>
      <c r="T555" s="24"/>
      <c r="U555" s="24"/>
      <c r="V555" s="22" t="s">
        <v>55</v>
      </c>
      <c r="W555" s="24"/>
      <c r="X555" s="24"/>
      <c r="Y555" s="22"/>
      <c r="Z555" s="22"/>
      <c r="AA555" s="24"/>
      <c r="AB555" s="24"/>
      <c r="AC555" s="30"/>
      <c r="AD555" s="30"/>
      <c r="AE555" s="33"/>
      <c r="AF555" s="31"/>
      <c r="AG555" s="30"/>
      <c r="AH555" s="30"/>
      <c r="AI555" s="31"/>
      <c r="AJ555" s="31"/>
      <c r="AK555" s="32"/>
    </row>
    <row r="556">
      <c r="A556" s="21" t="s">
        <v>592</v>
      </c>
      <c r="B556" s="22" t="s">
        <v>1538</v>
      </c>
      <c r="C556" s="22" t="s">
        <v>287</v>
      </c>
      <c r="D556" s="26">
        <v>45994.0</v>
      </c>
      <c r="E556" s="22" t="s">
        <v>192</v>
      </c>
      <c r="F556" s="22" t="s">
        <v>311</v>
      </c>
      <c r="G556" s="22" t="s">
        <v>1539</v>
      </c>
      <c r="H556" s="22" t="s">
        <v>592</v>
      </c>
      <c r="I556" s="22">
        <v>1.0448225894723E13</v>
      </c>
      <c r="J556" s="22" t="s">
        <v>1540</v>
      </c>
      <c r="K556" s="24"/>
      <c r="L556" s="22" t="s">
        <v>594</v>
      </c>
      <c r="M556" s="22">
        <v>1.0</v>
      </c>
      <c r="N556" s="22" t="s">
        <v>391</v>
      </c>
      <c r="O556" s="22" t="s">
        <v>392</v>
      </c>
      <c r="P556" s="24"/>
      <c r="Q556" s="22" t="s">
        <v>90</v>
      </c>
      <c r="R556" s="22">
        <v>3.2723669811523E13</v>
      </c>
      <c r="S556" s="24"/>
      <c r="T556" s="24"/>
      <c r="U556" s="24"/>
      <c r="V556" s="22" t="s">
        <v>54</v>
      </c>
      <c r="W556" s="24"/>
      <c r="X556" s="24"/>
      <c r="Y556" s="22"/>
      <c r="Z556" s="22"/>
      <c r="AA556" s="24"/>
      <c r="AB556" s="24"/>
      <c r="AC556" s="30"/>
      <c r="AD556" s="30"/>
      <c r="AE556" s="33"/>
      <c r="AF556" s="31"/>
      <c r="AG556" s="30"/>
      <c r="AH556" s="30"/>
      <c r="AI556" s="31"/>
      <c r="AJ556" s="31"/>
      <c r="AK556" s="32"/>
    </row>
    <row r="557">
      <c r="A557" s="21" t="s">
        <v>80</v>
      </c>
      <c r="B557" s="22" t="s">
        <v>1541</v>
      </c>
      <c r="C557" s="22" t="s">
        <v>273</v>
      </c>
      <c r="D557" s="26">
        <v>45998.0</v>
      </c>
      <c r="E557" s="22" t="s">
        <v>480</v>
      </c>
      <c r="F557" s="22" t="s">
        <v>83</v>
      </c>
      <c r="G557" s="22" t="s">
        <v>1542</v>
      </c>
      <c r="H557" s="22" t="s">
        <v>80</v>
      </c>
      <c r="I557" s="22">
        <v>1.0448529031491E13</v>
      </c>
      <c r="J557" s="22" t="s">
        <v>1543</v>
      </c>
      <c r="K557" s="24"/>
      <c r="L557" s="22" t="s">
        <v>86</v>
      </c>
      <c r="M557" s="22">
        <v>1.0</v>
      </c>
      <c r="N557" s="22" t="s">
        <v>87</v>
      </c>
      <c r="O557" s="22" t="s">
        <v>88</v>
      </c>
      <c r="P557" s="24"/>
      <c r="Q557" s="22" t="s">
        <v>90</v>
      </c>
      <c r="R557" s="22">
        <v>3.2724344930627E13</v>
      </c>
      <c r="S557" s="24"/>
      <c r="T557" s="24"/>
      <c r="U557" s="24"/>
      <c r="V557" s="22" t="s">
        <v>91</v>
      </c>
      <c r="W557" s="24"/>
      <c r="X557" s="24"/>
      <c r="Y557" s="22"/>
      <c r="Z557" s="22"/>
      <c r="AA557" s="24"/>
      <c r="AB557" s="24"/>
      <c r="AC557" s="30"/>
      <c r="AD557" s="30"/>
      <c r="AE557" s="33"/>
      <c r="AF557" s="31"/>
      <c r="AG557" s="30"/>
      <c r="AH557" s="30"/>
      <c r="AI557" s="31"/>
      <c r="AJ557" s="31"/>
      <c r="AK557" s="32"/>
    </row>
    <row r="558">
      <c r="A558" s="21" t="s">
        <v>569</v>
      </c>
      <c r="B558" s="22" t="s">
        <v>1544</v>
      </c>
      <c r="C558" s="22" t="s">
        <v>82</v>
      </c>
      <c r="D558" s="26">
        <v>45997.0</v>
      </c>
      <c r="E558" s="22" t="s">
        <v>266</v>
      </c>
      <c r="F558" s="22" t="s">
        <v>472</v>
      </c>
      <c r="G558" s="22" t="s">
        <v>1545</v>
      </c>
      <c r="H558" s="22" t="s">
        <v>569</v>
      </c>
      <c r="I558" s="22">
        <v>1.0448584245571E13</v>
      </c>
      <c r="J558" s="22" t="s">
        <v>1546</v>
      </c>
      <c r="K558" s="24"/>
      <c r="L558" s="22" t="s">
        <v>571</v>
      </c>
      <c r="M558" s="22">
        <v>1.0</v>
      </c>
      <c r="N558" s="22" t="s">
        <v>534</v>
      </c>
      <c r="O558" s="22" t="s">
        <v>535</v>
      </c>
      <c r="P558" s="24"/>
      <c r="Q558" s="22" t="s">
        <v>90</v>
      </c>
      <c r="R558" s="22">
        <v>3.2724469973315E13</v>
      </c>
      <c r="S558" s="24"/>
      <c r="T558" s="24"/>
      <c r="U558" s="24"/>
      <c r="V558" s="22" t="s">
        <v>105</v>
      </c>
      <c r="W558" s="24"/>
      <c r="X558" s="24"/>
      <c r="Y558" s="22"/>
      <c r="Z558" s="22"/>
      <c r="AA558" s="24"/>
      <c r="AB558" s="24"/>
      <c r="AC558" s="30"/>
      <c r="AD558" s="30"/>
      <c r="AE558" s="33"/>
      <c r="AF558" s="31"/>
      <c r="AG558" s="30"/>
      <c r="AH558" s="30"/>
      <c r="AI558" s="31"/>
      <c r="AJ558" s="31"/>
      <c r="AK558" s="32"/>
    </row>
    <row r="559">
      <c r="A559" s="21" t="s">
        <v>80</v>
      </c>
      <c r="B559" s="22" t="s">
        <v>1547</v>
      </c>
      <c r="C559" s="22" t="s">
        <v>273</v>
      </c>
      <c r="D559" s="26">
        <v>45998.0</v>
      </c>
      <c r="E559" s="22" t="s">
        <v>145</v>
      </c>
      <c r="F559" s="22" t="s">
        <v>83</v>
      </c>
      <c r="G559" s="22" t="s">
        <v>1548</v>
      </c>
      <c r="H559" s="22" t="s">
        <v>80</v>
      </c>
      <c r="I559" s="22">
        <v>1.0448609247555E13</v>
      </c>
      <c r="J559" s="22" t="s">
        <v>1549</v>
      </c>
      <c r="K559" s="24"/>
      <c r="L559" s="22" t="s">
        <v>86</v>
      </c>
      <c r="M559" s="22">
        <v>1.0</v>
      </c>
      <c r="N559" s="22" t="s">
        <v>87</v>
      </c>
      <c r="O559" s="22" t="s">
        <v>88</v>
      </c>
      <c r="P559" s="24"/>
      <c r="Q559" s="22" t="s">
        <v>90</v>
      </c>
      <c r="R559" s="22">
        <v>3.2724530397507E13</v>
      </c>
      <c r="S559" s="24"/>
      <c r="T559" s="24"/>
      <c r="U559" s="24"/>
      <c r="V559" s="22" t="s">
        <v>91</v>
      </c>
      <c r="W559" s="24"/>
      <c r="X559" s="24"/>
      <c r="Y559" s="22"/>
      <c r="Z559" s="22"/>
      <c r="AA559" s="24"/>
      <c r="AB559" s="24"/>
      <c r="AC559" s="30"/>
      <c r="AD559" s="30"/>
      <c r="AE559" s="33"/>
      <c r="AF559" s="31"/>
      <c r="AG559" s="30"/>
      <c r="AH559" s="30"/>
      <c r="AI559" s="31"/>
      <c r="AJ559" s="31"/>
      <c r="AK559" s="32"/>
    </row>
    <row r="560">
      <c r="A560" s="21" t="s">
        <v>885</v>
      </c>
      <c r="B560" s="22" t="s">
        <v>1280</v>
      </c>
      <c r="C560" s="22" t="s">
        <v>82</v>
      </c>
      <c r="D560" s="26">
        <v>45997.0</v>
      </c>
      <c r="E560" s="22" t="s">
        <v>149</v>
      </c>
      <c r="F560" s="22" t="s">
        <v>605</v>
      </c>
      <c r="G560" s="22" t="s">
        <v>1550</v>
      </c>
      <c r="H560" s="22" t="s">
        <v>885</v>
      </c>
      <c r="I560" s="22">
        <v>1.0448647225667E13</v>
      </c>
      <c r="J560" s="22" t="s">
        <v>1282</v>
      </c>
      <c r="K560" s="24"/>
      <c r="L560" s="22" t="s">
        <v>890</v>
      </c>
      <c r="M560" s="22">
        <v>1.0</v>
      </c>
      <c r="N560" s="22" t="s">
        <v>795</v>
      </c>
      <c r="O560" s="22" t="s">
        <v>796</v>
      </c>
      <c r="P560" s="24"/>
      <c r="Q560" s="22" t="s">
        <v>90</v>
      </c>
      <c r="R560" s="22">
        <v>3.2724618641731E13</v>
      </c>
      <c r="S560" s="24"/>
      <c r="T560" s="24"/>
      <c r="U560" s="24"/>
      <c r="V560" s="22" t="s">
        <v>127</v>
      </c>
      <c r="W560" s="24"/>
      <c r="X560" s="24"/>
      <c r="Y560" s="22"/>
      <c r="Z560" s="22"/>
      <c r="AA560" s="24"/>
      <c r="AB560" s="24"/>
      <c r="AC560" s="30"/>
      <c r="AD560" s="30"/>
      <c r="AE560" s="33"/>
      <c r="AF560" s="31"/>
      <c r="AG560" s="30"/>
      <c r="AH560" s="30"/>
      <c r="AI560" s="31"/>
      <c r="AJ560" s="31"/>
      <c r="AK560" s="32"/>
    </row>
    <row r="561">
      <c r="A561" s="21" t="s">
        <v>859</v>
      </c>
      <c r="B561" s="22" t="s">
        <v>1280</v>
      </c>
      <c r="C561" s="22" t="s">
        <v>82</v>
      </c>
      <c r="D561" s="26">
        <v>45997.0</v>
      </c>
      <c r="E561" s="22" t="s">
        <v>149</v>
      </c>
      <c r="F561" s="22" t="s">
        <v>605</v>
      </c>
      <c r="G561" s="22" t="s">
        <v>1551</v>
      </c>
      <c r="H561" s="22" t="s">
        <v>859</v>
      </c>
      <c r="I561" s="22">
        <v>1.0448650666307E13</v>
      </c>
      <c r="J561" s="22" t="s">
        <v>1282</v>
      </c>
      <c r="K561" s="24"/>
      <c r="L561" s="22" t="s">
        <v>861</v>
      </c>
      <c r="M561" s="22">
        <v>1.0</v>
      </c>
      <c r="N561" s="22" t="s">
        <v>609</v>
      </c>
      <c r="O561" s="22" t="s">
        <v>610</v>
      </c>
      <c r="P561" s="24"/>
      <c r="Q561" s="22" t="s">
        <v>90</v>
      </c>
      <c r="R561" s="22">
        <v>3.2724626866499E13</v>
      </c>
      <c r="S561" s="24"/>
      <c r="T561" s="24"/>
      <c r="U561" s="24"/>
      <c r="V561" s="22" t="s">
        <v>95</v>
      </c>
      <c r="W561" s="24"/>
      <c r="X561" s="24"/>
      <c r="Y561" s="22"/>
      <c r="Z561" s="22"/>
      <c r="AA561" s="24"/>
      <c r="AB561" s="24"/>
      <c r="AC561" s="30"/>
      <c r="AD561" s="30"/>
      <c r="AE561" s="33"/>
      <c r="AF561" s="31"/>
      <c r="AG561" s="30"/>
      <c r="AH561" s="30"/>
      <c r="AI561" s="31"/>
      <c r="AJ561" s="31"/>
      <c r="AK561" s="32"/>
    </row>
    <row r="562">
      <c r="A562" s="21" t="s">
        <v>185</v>
      </c>
      <c r="B562" s="22" t="s">
        <v>393</v>
      </c>
      <c r="C562" s="22" t="s">
        <v>82</v>
      </c>
      <c r="D562" s="26">
        <v>45997.0</v>
      </c>
      <c r="E562" s="22" t="s">
        <v>187</v>
      </c>
      <c r="F562" s="22" t="s">
        <v>111</v>
      </c>
      <c r="G562" s="22" t="s">
        <v>1552</v>
      </c>
      <c r="H562" s="22" t="s">
        <v>185</v>
      </c>
      <c r="I562" s="22">
        <v>1.0448666394947E13</v>
      </c>
      <c r="J562" s="22" t="s">
        <v>395</v>
      </c>
      <c r="K562" s="24"/>
      <c r="L562" s="22" t="s">
        <v>190</v>
      </c>
      <c r="M562" s="22">
        <v>1.0</v>
      </c>
      <c r="N562" s="22" t="s">
        <v>115</v>
      </c>
      <c r="O562" s="22" t="s">
        <v>116</v>
      </c>
      <c r="P562" s="24"/>
      <c r="Q562" s="22" t="s">
        <v>90</v>
      </c>
      <c r="R562" s="22">
        <v>3.2724665565507E13</v>
      </c>
      <c r="S562" s="24"/>
      <c r="T562" s="24"/>
      <c r="U562" s="24"/>
      <c r="V562" s="22" t="s">
        <v>95</v>
      </c>
      <c r="W562" s="24"/>
      <c r="X562" s="24"/>
      <c r="Y562" s="22"/>
      <c r="Z562" s="22"/>
      <c r="AA562" s="24"/>
      <c r="AB562" s="24"/>
      <c r="AC562" s="30"/>
      <c r="AD562" s="30"/>
      <c r="AE562" s="33"/>
      <c r="AF562" s="31"/>
      <c r="AG562" s="30"/>
      <c r="AH562" s="30"/>
      <c r="AI562" s="31"/>
      <c r="AJ562" s="31"/>
      <c r="AK562" s="32"/>
    </row>
    <row r="563">
      <c r="A563" s="21" t="s">
        <v>99</v>
      </c>
      <c r="B563" s="22" t="s">
        <v>1486</v>
      </c>
      <c r="C563" s="22" t="s">
        <v>82</v>
      </c>
      <c r="D563" s="26">
        <v>45997.0</v>
      </c>
      <c r="E563" s="22" t="s">
        <v>134</v>
      </c>
      <c r="F563" s="22" t="s">
        <v>83</v>
      </c>
      <c r="G563" s="22" t="s">
        <v>1553</v>
      </c>
      <c r="H563" s="22" t="s">
        <v>99</v>
      </c>
      <c r="I563" s="22">
        <v>1.0448687432003E13</v>
      </c>
      <c r="J563" s="22" t="s">
        <v>1488</v>
      </c>
      <c r="K563" s="24"/>
      <c r="L563" s="22" t="s">
        <v>102</v>
      </c>
      <c r="M563" s="22">
        <v>1.0</v>
      </c>
      <c r="N563" s="22" t="s">
        <v>103</v>
      </c>
      <c r="O563" s="22" t="s">
        <v>104</v>
      </c>
      <c r="P563" s="24"/>
      <c r="Q563" s="22" t="s">
        <v>90</v>
      </c>
      <c r="R563" s="22">
        <v>3.2724713177411E13</v>
      </c>
      <c r="S563" s="24"/>
      <c r="T563" s="24"/>
      <c r="U563" s="24"/>
      <c r="V563" s="22" t="s">
        <v>105</v>
      </c>
      <c r="W563" s="24"/>
      <c r="X563" s="24"/>
      <c r="Y563" s="22"/>
      <c r="Z563" s="22"/>
      <c r="AA563" s="24"/>
      <c r="AB563" s="24"/>
      <c r="AC563" s="30"/>
      <c r="AD563" s="30"/>
      <c r="AE563" s="33"/>
      <c r="AF563" s="31"/>
      <c r="AG563" s="30"/>
      <c r="AH563" s="30"/>
      <c r="AI563" s="31"/>
      <c r="AJ563" s="31"/>
      <c r="AK563" s="32"/>
    </row>
    <row r="564">
      <c r="A564" s="21" t="s">
        <v>1554</v>
      </c>
      <c r="B564" s="22" t="s">
        <v>1465</v>
      </c>
      <c r="C564" s="22" t="s">
        <v>82</v>
      </c>
      <c r="D564" s="26">
        <v>45997.0</v>
      </c>
      <c r="E564" s="22" t="s">
        <v>230</v>
      </c>
      <c r="F564" s="22" t="s">
        <v>1466</v>
      </c>
      <c r="G564" s="22" t="s">
        <v>1555</v>
      </c>
      <c r="H564" s="22" t="s">
        <v>1554</v>
      </c>
      <c r="I564" s="22">
        <v>1.0448743530819E13</v>
      </c>
      <c r="J564" s="22" t="s">
        <v>1468</v>
      </c>
      <c r="K564" s="24"/>
      <c r="L564" s="22" t="s">
        <v>1556</v>
      </c>
      <c r="M564" s="22">
        <v>1.0</v>
      </c>
      <c r="N564" s="22" t="s">
        <v>1470</v>
      </c>
      <c r="O564" s="22" t="s">
        <v>1471</v>
      </c>
      <c r="P564" s="24"/>
      <c r="Q564" s="22" t="s">
        <v>90</v>
      </c>
      <c r="R564" s="22">
        <v>3.2724848968003E13</v>
      </c>
      <c r="S564" s="24"/>
      <c r="T564" s="24"/>
      <c r="U564" s="24"/>
      <c r="V564" s="22" t="s">
        <v>91</v>
      </c>
      <c r="W564" s="24"/>
      <c r="X564" s="24"/>
      <c r="Y564" s="22"/>
      <c r="Z564" s="22"/>
      <c r="AA564" s="24"/>
      <c r="AB564" s="24"/>
      <c r="AC564" s="30"/>
      <c r="AD564" s="30"/>
      <c r="AE564" s="33"/>
      <c r="AF564" s="31"/>
      <c r="AG564" s="30"/>
      <c r="AH564" s="30"/>
      <c r="AI564" s="31"/>
      <c r="AJ564" s="31"/>
      <c r="AK564" s="32"/>
    </row>
    <row r="565">
      <c r="A565" s="21" t="s">
        <v>96</v>
      </c>
      <c r="B565" s="22" t="s">
        <v>1557</v>
      </c>
      <c r="C565" s="22" t="s">
        <v>1284</v>
      </c>
      <c r="D565" s="26">
        <v>45993.0</v>
      </c>
      <c r="E565" s="22" t="s">
        <v>235</v>
      </c>
      <c r="F565" s="22" t="s">
        <v>83</v>
      </c>
      <c r="G565" s="22" t="s">
        <v>1558</v>
      </c>
      <c r="H565" s="22" t="s">
        <v>96</v>
      </c>
      <c r="I565" s="22">
        <v>1.0448752935235E13</v>
      </c>
      <c r="J565" s="22" t="s">
        <v>1559</v>
      </c>
      <c r="K565" s="24"/>
      <c r="L565" s="22" t="s">
        <v>98</v>
      </c>
      <c r="M565" s="22">
        <v>1.0</v>
      </c>
      <c r="N565" s="22" t="s">
        <v>87</v>
      </c>
      <c r="O565" s="22" t="s">
        <v>88</v>
      </c>
      <c r="P565" s="24"/>
      <c r="Q565" s="22" t="s">
        <v>90</v>
      </c>
      <c r="R565" s="22">
        <v>3.2724870824259E13</v>
      </c>
      <c r="S565" s="24"/>
      <c r="T565" s="24"/>
      <c r="U565" s="24"/>
      <c r="V565" s="22" t="s">
        <v>55</v>
      </c>
      <c r="W565" s="24"/>
      <c r="X565" s="24"/>
      <c r="Y565" s="22"/>
      <c r="Z565" s="22"/>
      <c r="AA565" s="24"/>
      <c r="AB565" s="24"/>
      <c r="AC565" s="30"/>
      <c r="AD565" s="30"/>
      <c r="AE565" s="33"/>
      <c r="AF565" s="31"/>
      <c r="AG565" s="30"/>
      <c r="AH565" s="30"/>
      <c r="AI565" s="31"/>
      <c r="AJ565" s="31"/>
      <c r="AK565" s="32"/>
    </row>
    <row r="566">
      <c r="A566" s="21" t="s">
        <v>1560</v>
      </c>
      <c r="B566" s="22" t="s">
        <v>504</v>
      </c>
      <c r="C566" s="22" t="s">
        <v>82</v>
      </c>
      <c r="D566" s="26">
        <v>45997.0</v>
      </c>
      <c r="E566" s="22" t="s">
        <v>211</v>
      </c>
      <c r="F566" s="22" t="s">
        <v>341</v>
      </c>
      <c r="G566" s="22" t="s">
        <v>1561</v>
      </c>
      <c r="H566" s="22" t="s">
        <v>1560</v>
      </c>
      <c r="I566" s="22">
        <v>1.0448782262595E13</v>
      </c>
      <c r="J566" s="22" t="s">
        <v>506</v>
      </c>
      <c r="K566" s="24"/>
      <c r="L566" s="22" t="s">
        <v>1562</v>
      </c>
      <c r="M566" s="22">
        <v>1.0</v>
      </c>
      <c r="N566" s="22" t="s">
        <v>1267</v>
      </c>
      <c r="O566" s="22" t="s">
        <v>1268</v>
      </c>
      <c r="P566" s="24"/>
      <c r="Q566" s="22" t="s">
        <v>90</v>
      </c>
      <c r="R566" s="22">
        <v>3.2724938817859E13</v>
      </c>
      <c r="S566" s="24"/>
      <c r="T566" s="24"/>
      <c r="U566" s="24"/>
      <c r="V566" s="22" t="s">
        <v>175</v>
      </c>
      <c r="W566" s="24"/>
      <c r="X566" s="24"/>
      <c r="Y566" s="22"/>
      <c r="Z566" s="22"/>
      <c r="AA566" s="24"/>
      <c r="AB566" s="24"/>
      <c r="AC566" s="30"/>
      <c r="AD566" s="30"/>
      <c r="AE566" s="33"/>
      <c r="AF566" s="31"/>
      <c r="AG566" s="30"/>
      <c r="AH566" s="30"/>
      <c r="AI566" s="31"/>
      <c r="AJ566" s="31"/>
      <c r="AK566" s="32"/>
    </row>
    <row r="567">
      <c r="A567" s="21" t="s">
        <v>1175</v>
      </c>
      <c r="B567" s="22" t="s">
        <v>1176</v>
      </c>
      <c r="C567" s="22" t="s">
        <v>273</v>
      </c>
      <c r="D567" s="23">
        <v>45991.0</v>
      </c>
      <c r="E567" s="22" t="s">
        <v>138</v>
      </c>
      <c r="F567" s="22" t="s">
        <v>329</v>
      </c>
      <c r="G567" s="22" t="s">
        <v>1563</v>
      </c>
      <c r="H567" s="22" t="s">
        <v>1175</v>
      </c>
      <c r="I567" s="22">
        <v>1.0448800317763E13</v>
      </c>
      <c r="J567" s="22" t="s">
        <v>1178</v>
      </c>
      <c r="K567" s="24"/>
      <c r="L567" s="22" t="s">
        <v>1179</v>
      </c>
      <c r="M567" s="22">
        <v>1.0</v>
      </c>
      <c r="N567" s="22" t="s">
        <v>907</v>
      </c>
      <c r="O567" s="22" t="s">
        <v>908</v>
      </c>
      <c r="P567" s="24"/>
      <c r="Q567" s="22" t="s">
        <v>90</v>
      </c>
      <c r="R567" s="22">
        <v>3.2724982104387E13</v>
      </c>
      <c r="S567" s="24"/>
      <c r="T567" s="24"/>
      <c r="U567" s="24"/>
      <c r="V567" s="22" t="s">
        <v>127</v>
      </c>
      <c r="W567" s="24"/>
      <c r="X567" s="24"/>
      <c r="Y567" s="22"/>
      <c r="Z567" s="22"/>
      <c r="AA567" s="24"/>
      <c r="AB567" s="24"/>
      <c r="AC567" s="30"/>
      <c r="AD567" s="30"/>
      <c r="AE567" s="33"/>
      <c r="AF567" s="31"/>
      <c r="AG567" s="30"/>
      <c r="AH567" s="30"/>
      <c r="AI567" s="31"/>
      <c r="AJ567" s="31"/>
      <c r="AK567" s="32"/>
    </row>
    <row r="568">
      <c r="A568" s="21" t="s">
        <v>96</v>
      </c>
      <c r="B568" s="22" t="s">
        <v>1313</v>
      </c>
      <c r="C568" s="22" t="s">
        <v>287</v>
      </c>
      <c r="D568" s="26">
        <v>45994.0</v>
      </c>
      <c r="E568" s="22" t="s">
        <v>196</v>
      </c>
      <c r="F568" s="22" t="s">
        <v>83</v>
      </c>
      <c r="G568" s="22" t="s">
        <v>1564</v>
      </c>
      <c r="H568" s="22" t="s">
        <v>96</v>
      </c>
      <c r="I568" s="22">
        <v>1.0448211738947E13</v>
      </c>
      <c r="J568" s="22" t="s">
        <v>1315</v>
      </c>
      <c r="K568" s="24"/>
      <c r="L568" s="22" t="s">
        <v>98</v>
      </c>
      <c r="M568" s="22">
        <v>1.0</v>
      </c>
      <c r="N568" s="22" t="s">
        <v>87</v>
      </c>
      <c r="O568" s="22" t="s">
        <v>88</v>
      </c>
      <c r="P568" s="24"/>
      <c r="Q568" s="22" t="s">
        <v>90</v>
      </c>
      <c r="R568" s="22">
        <v>3.2723639173443E13</v>
      </c>
      <c r="S568" s="24"/>
      <c r="T568" s="24"/>
      <c r="U568" s="24"/>
      <c r="V568" s="22" t="s">
        <v>55</v>
      </c>
      <c r="W568" s="24"/>
      <c r="X568" s="24"/>
      <c r="Y568" s="22"/>
      <c r="Z568" s="22"/>
      <c r="AA568" s="24"/>
      <c r="AB568" s="24"/>
      <c r="AC568" s="30"/>
      <c r="AD568" s="30"/>
      <c r="AE568" s="33"/>
      <c r="AF568" s="31"/>
      <c r="AG568" s="30"/>
      <c r="AH568" s="30"/>
      <c r="AI568" s="31"/>
      <c r="AJ568" s="31"/>
      <c r="AK568" s="32"/>
    </row>
    <row r="569">
      <c r="A569" s="21" t="s">
        <v>573</v>
      </c>
      <c r="B569" s="22" t="s">
        <v>1565</v>
      </c>
      <c r="C569" s="22" t="s">
        <v>273</v>
      </c>
      <c r="D569" s="26">
        <v>45998.0</v>
      </c>
      <c r="E569" s="22" t="s">
        <v>734</v>
      </c>
      <c r="F569" s="22" t="s">
        <v>440</v>
      </c>
      <c r="G569" s="22" t="s">
        <v>1566</v>
      </c>
      <c r="H569" s="22" t="s">
        <v>573</v>
      </c>
      <c r="I569" s="22">
        <v>1.0448966680899E13</v>
      </c>
      <c r="J569" s="22" t="s">
        <v>1567</v>
      </c>
      <c r="K569" s="24"/>
      <c r="L569" s="22" t="s">
        <v>577</v>
      </c>
      <c r="M569" s="22">
        <v>1.0</v>
      </c>
      <c r="N569" s="22" t="s">
        <v>444</v>
      </c>
      <c r="O569" s="22" t="s">
        <v>445</v>
      </c>
      <c r="P569" s="24"/>
      <c r="Q569" s="22" t="s">
        <v>90</v>
      </c>
      <c r="R569" s="22">
        <v>3.2725328691523E13</v>
      </c>
      <c r="S569" s="24"/>
      <c r="T569" s="24"/>
      <c r="U569" s="24"/>
      <c r="V569" s="22" t="s">
        <v>55</v>
      </c>
      <c r="W569" s="24"/>
      <c r="X569" s="24"/>
      <c r="Y569" s="22"/>
      <c r="Z569" s="22"/>
      <c r="AA569" s="24"/>
      <c r="AB569" s="24"/>
      <c r="AC569" s="30"/>
      <c r="AD569" s="30"/>
      <c r="AE569" s="33"/>
      <c r="AF569" s="31"/>
      <c r="AG569" s="30"/>
      <c r="AH569" s="30"/>
      <c r="AI569" s="31"/>
      <c r="AJ569" s="31"/>
      <c r="AK569" s="32"/>
    </row>
    <row r="570">
      <c r="A570" s="21" t="s">
        <v>96</v>
      </c>
      <c r="B570" s="22" t="s">
        <v>1568</v>
      </c>
      <c r="C570" s="22" t="s">
        <v>273</v>
      </c>
      <c r="D570" s="23">
        <v>45991.0</v>
      </c>
      <c r="E570" s="22" t="s">
        <v>134</v>
      </c>
      <c r="F570" s="22" t="s">
        <v>83</v>
      </c>
      <c r="G570" s="22" t="s">
        <v>1569</v>
      </c>
      <c r="H570" s="22" t="s">
        <v>96</v>
      </c>
      <c r="I570" s="22">
        <v>1.0449032315203E13</v>
      </c>
      <c r="J570" s="22" t="s">
        <v>1570</v>
      </c>
      <c r="K570" s="24"/>
      <c r="L570" s="22" t="s">
        <v>98</v>
      </c>
      <c r="M570" s="22">
        <v>1.0</v>
      </c>
      <c r="N570" s="22" t="s">
        <v>87</v>
      </c>
      <c r="O570" s="22" t="s">
        <v>88</v>
      </c>
      <c r="P570" s="24"/>
      <c r="Q570" s="22" t="s">
        <v>90</v>
      </c>
      <c r="R570" s="22">
        <v>3.2725470970179E13</v>
      </c>
      <c r="S570" s="24"/>
      <c r="T570" s="24"/>
      <c r="U570" s="24"/>
      <c r="V570" s="27" t="s">
        <v>55</v>
      </c>
      <c r="W570" s="24"/>
      <c r="X570" s="24"/>
      <c r="Y570" s="22"/>
      <c r="Z570" s="22"/>
      <c r="AA570" s="24"/>
      <c r="AB570" s="24"/>
      <c r="AC570" s="30"/>
      <c r="AD570" s="30"/>
      <c r="AE570" s="33"/>
      <c r="AF570" s="31"/>
      <c r="AG570" s="30"/>
      <c r="AH570" s="30"/>
      <c r="AI570" s="31"/>
      <c r="AJ570" s="31"/>
      <c r="AK570" s="32"/>
    </row>
    <row r="571">
      <c r="A571" s="21" t="s">
        <v>80</v>
      </c>
      <c r="B571" s="22" t="s">
        <v>1571</v>
      </c>
      <c r="C571" s="22" t="s">
        <v>287</v>
      </c>
      <c r="D571" s="26">
        <v>45994.0</v>
      </c>
      <c r="E571" s="22" t="s">
        <v>1572</v>
      </c>
      <c r="F571" s="22" t="s">
        <v>83</v>
      </c>
      <c r="G571" s="22" t="s">
        <v>1573</v>
      </c>
      <c r="H571" s="22" t="s">
        <v>80</v>
      </c>
      <c r="I571" s="22">
        <v>1.0449081696579E13</v>
      </c>
      <c r="J571" s="22" t="s">
        <v>1574</v>
      </c>
      <c r="K571" s="24"/>
      <c r="L571" s="22" t="s">
        <v>86</v>
      </c>
      <c r="M571" s="22">
        <v>1.0</v>
      </c>
      <c r="N571" s="22" t="s">
        <v>87</v>
      </c>
      <c r="O571" s="22" t="s">
        <v>88</v>
      </c>
      <c r="P571" s="24"/>
      <c r="Q571" s="22" t="s">
        <v>90</v>
      </c>
      <c r="R571" s="22">
        <v>3.2725580022083E13</v>
      </c>
      <c r="S571" s="24"/>
      <c r="T571" s="24"/>
      <c r="U571" s="24"/>
      <c r="V571" s="22" t="s">
        <v>91</v>
      </c>
      <c r="W571" s="24"/>
      <c r="X571" s="24"/>
      <c r="Y571" s="22"/>
      <c r="Z571" s="22"/>
      <c r="AA571" s="24"/>
      <c r="AB571" s="24"/>
      <c r="AC571" s="30"/>
      <c r="AD571" s="30"/>
      <c r="AE571" s="33"/>
      <c r="AF571" s="31"/>
      <c r="AG571" s="30"/>
      <c r="AH571" s="30"/>
      <c r="AI571" s="31"/>
      <c r="AJ571" s="31"/>
      <c r="AK571" s="32"/>
    </row>
    <row r="572">
      <c r="A572" s="21" t="s">
        <v>367</v>
      </c>
      <c r="B572" s="22" t="s">
        <v>539</v>
      </c>
      <c r="C572" s="22" t="s">
        <v>273</v>
      </c>
      <c r="D572" s="26">
        <v>45998.0</v>
      </c>
      <c r="E572" s="22" t="s">
        <v>149</v>
      </c>
      <c r="F572" s="22" t="s">
        <v>369</v>
      </c>
      <c r="G572" s="22" t="s">
        <v>1575</v>
      </c>
      <c r="H572" s="22" t="s">
        <v>367</v>
      </c>
      <c r="I572" s="22">
        <v>1.0449100144963E13</v>
      </c>
      <c r="J572" s="22" t="s">
        <v>541</v>
      </c>
      <c r="K572" s="24"/>
      <c r="L572" s="22" t="s">
        <v>372</v>
      </c>
      <c r="M572" s="22">
        <v>1.0</v>
      </c>
      <c r="N572" s="22" t="s">
        <v>373</v>
      </c>
      <c r="O572" s="22" t="s">
        <v>374</v>
      </c>
      <c r="P572" s="24"/>
      <c r="Q572" s="22" t="s">
        <v>90</v>
      </c>
      <c r="R572" s="22">
        <v>3.2725622948163E13</v>
      </c>
      <c r="S572" s="24"/>
      <c r="T572" s="24"/>
      <c r="U572" s="24"/>
      <c r="V572" s="22" t="s">
        <v>55</v>
      </c>
      <c r="W572" s="24"/>
      <c r="X572" s="24"/>
      <c r="Y572" s="22"/>
      <c r="Z572" s="22"/>
      <c r="AA572" s="24"/>
      <c r="AB572" s="24"/>
      <c r="AC572" s="30"/>
      <c r="AD572" s="30"/>
      <c r="AE572" s="33"/>
      <c r="AF572" s="31"/>
      <c r="AG572" s="30"/>
      <c r="AH572" s="30"/>
      <c r="AI572" s="31"/>
      <c r="AJ572" s="31"/>
      <c r="AK572" s="32"/>
    </row>
    <row r="573">
      <c r="A573" s="21" t="s">
        <v>979</v>
      </c>
      <c r="B573" s="22" t="s">
        <v>1576</v>
      </c>
      <c r="C573" s="22" t="s">
        <v>82</v>
      </c>
      <c r="D573" s="26">
        <v>45997.0</v>
      </c>
      <c r="E573" s="22" t="s">
        <v>1117</v>
      </c>
      <c r="F573" s="22" t="s">
        <v>605</v>
      </c>
      <c r="G573" s="22" t="s">
        <v>1577</v>
      </c>
      <c r="H573" s="22" t="s">
        <v>979</v>
      </c>
      <c r="I573" s="22">
        <v>1.0449116496195E13</v>
      </c>
      <c r="J573" s="22" t="s">
        <v>1578</v>
      </c>
      <c r="K573" s="24"/>
      <c r="L573" s="22" t="s">
        <v>984</v>
      </c>
      <c r="M573" s="22">
        <v>1.0</v>
      </c>
      <c r="N573" s="22" t="s">
        <v>609</v>
      </c>
      <c r="O573" s="22" t="s">
        <v>610</v>
      </c>
      <c r="P573" s="24"/>
      <c r="Q573" s="22" t="s">
        <v>90</v>
      </c>
      <c r="R573" s="22">
        <v>3.2725659812163E13</v>
      </c>
      <c r="S573" s="24"/>
      <c r="T573" s="24"/>
      <c r="U573" s="24"/>
      <c r="V573" s="22" t="s">
        <v>55</v>
      </c>
      <c r="W573" s="24"/>
      <c r="X573" s="24"/>
      <c r="Y573" s="22"/>
      <c r="Z573" s="22"/>
      <c r="AA573" s="24"/>
      <c r="AB573" s="24"/>
      <c r="AC573" s="30"/>
      <c r="AD573" s="30"/>
      <c r="AE573" s="33"/>
      <c r="AF573" s="31"/>
      <c r="AG573" s="30"/>
      <c r="AH573" s="30"/>
      <c r="AI573" s="31"/>
      <c r="AJ573" s="31"/>
      <c r="AK573" s="32"/>
    </row>
    <row r="574">
      <c r="A574" s="21" t="s">
        <v>1217</v>
      </c>
      <c r="B574" s="22" t="s">
        <v>1280</v>
      </c>
      <c r="C574" s="22" t="s">
        <v>82</v>
      </c>
      <c r="D574" s="26">
        <v>45997.0</v>
      </c>
      <c r="E574" s="22" t="s">
        <v>149</v>
      </c>
      <c r="F574" s="22" t="s">
        <v>605</v>
      </c>
      <c r="G574" s="22" t="s">
        <v>1579</v>
      </c>
      <c r="H574" s="22" t="s">
        <v>1217</v>
      </c>
      <c r="I574" s="22">
        <v>1.0449124753731E13</v>
      </c>
      <c r="J574" s="22" t="s">
        <v>1282</v>
      </c>
      <c r="K574" s="24"/>
      <c r="L574" s="22" t="s">
        <v>1219</v>
      </c>
      <c r="M574" s="22">
        <v>1.0</v>
      </c>
      <c r="N574" s="22" t="s">
        <v>609</v>
      </c>
      <c r="O574" s="22" t="s">
        <v>610</v>
      </c>
      <c r="P574" s="24"/>
      <c r="Q574" s="22" t="s">
        <v>90</v>
      </c>
      <c r="R574" s="22">
        <v>3.2725676294467E13</v>
      </c>
      <c r="S574" s="24"/>
      <c r="T574" s="24"/>
      <c r="U574" s="24"/>
      <c r="V574" s="22" t="s">
        <v>91</v>
      </c>
      <c r="W574" s="24"/>
      <c r="X574" s="24"/>
      <c r="Y574" s="22"/>
      <c r="Z574" s="22"/>
      <c r="AA574" s="24"/>
      <c r="AB574" s="24"/>
      <c r="AC574" s="30"/>
      <c r="AD574" s="30"/>
      <c r="AE574" s="33"/>
      <c r="AF574" s="31"/>
      <c r="AG574" s="30"/>
      <c r="AH574" s="30"/>
      <c r="AI574" s="31"/>
      <c r="AJ574" s="31"/>
      <c r="AK574" s="32"/>
    </row>
    <row r="575">
      <c r="A575" s="21" t="s">
        <v>938</v>
      </c>
      <c r="B575" s="22" t="s">
        <v>471</v>
      </c>
      <c r="C575" s="22" t="s">
        <v>82</v>
      </c>
      <c r="D575" s="26">
        <v>45997.0</v>
      </c>
      <c r="E575" s="22" t="s">
        <v>134</v>
      </c>
      <c r="F575" s="22" t="s">
        <v>472</v>
      </c>
      <c r="G575" s="22" t="s">
        <v>1580</v>
      </c>
      <c r="H575" s="22" t="s">
        <v>938</v>
      </c>
      <c r="I575" s="22">
        <v>1.0449155817795E13</v>
      </c>
      <c r="J575" s="22" t="s">
        <v>474</v>
      </c>
      <c r="K575" s="24"/>
      <c r="L575" s="22" t="s">
        <v>940</v>
      </c>
      <c r="M575" s="22">
        <v>1.0</v>
      </c>
      <c r="N575" s="22" t="s">
        <v>476</v>
      </c>
      <c r="O575" s="22" t="s">
        <v>477</v>
      </c>
      <c r="P575" s="24"/>
      <c r="Q575" s="22" t="s">
        <v>90</v>
      </c>
      <c r="R575" s="22">
        <v>3.2725746712899E13</v>
      </c>
      <c r="S575" s="24"/>
      <c r="T575" s="24"/>
      <c r="U575" s="24"/>
      <c r="V575" s="22" t="s">
        <v>54</v>
      </c>
      <c r="W575" s="24"/>
      <c r="X575" s="24"/>
      <c r="Y575" s="22"/>
      <c r="Z575" s="22"/>
      <c r="AA575" s="24"/>
      <c r="AB575" s="24"/>
      <c r="AC575" s="30"/>
      <c r="AD575" s="30"/>
      <c r="AE575" s="33"/>
      <c r="AF575" s="31"/>
      <c r="AG575" s="30"/>
      <c r="AH575" s="30"/>
      <c r="AI575" s="31"/>
      <c r="AJ575" s="31"/>
      <c r="AK575" s="32"/>
    </row>
    <row r="576">
      <c r="A576" s="21" t="s">
        <v>124</v>
      </c>
      <c r="B576" s="22" t="s">
        <v>1581</v>
      </c>
      <c r="C576" s="22" t="s">
        <v>82</v>
      </c>
      <c r="D576" s="26">
        <v>45997.0</v>
      </c>
      <c r="E576" s="22" t="s">
        <v>235</v>
      </c>
      <c r="F576" s="22" t="s">
        <v>83</v>
      </c>
      <c r="G576" s="22" t="s">
        <v>1582</v>
      </c>
      <c r="H576" s="22" t="s">
        <v>124</v>
      </c>
      <c r="I576" s="22">
        <v>1.0449169121603E13</v>
      </c>
      <c r="J576" s="22" t="s">
        <v>1583</v>
      </c>
      <c r="K576" s="24"/>
      <c r="L576" s="22" t="s">
        <v>126</v>
      </c>
      <c r="M576" s="22">
        <v>1.0</v>
      </c>
      <c r="N576" s="22" t="s">
        <v>103</v>
      </c>
      <c r="O576" s="22" t="s">
        <v>104</v>
      </c>
      <c r="P576" s="24"/>
      <c r="Q576" s="22" t="s">
        <v>90</v>
      </c>
      <c r="R576" s="22">
        <v>3.2725773943107E13</v>
      </c>
      <c r="S576" s="24"/>
      <c r="T576" s="24"/>
      <c r="U576" s="24"/>
      <c r="V576" s="22" t="s">
        <v>127</v>
      </c>
      <c r="W576" s="24"/>
      <c r="X576" s="24"/>
      <c r="Y576" s="22"/>
      <c r="Z576" s="22"/>
      <c r="AA576" s="24"/>
      <c r="AB576" s="24"/>
      <c r="AC576" s="30"/>
      <c r="AD576" s="30"/>
      <c r="AE576" s="33"/>
      <c r="AF576" s="31"/>
      <c r="AG576" s="30"/>
      <c r="AH576" s="30"/>
      <c r="AI576" s="31"/>
      <c r="AJ576" s="31"/>
      <c r="AK576" s="32"/>
    </row>
    <row r="577">
      <c r="A577" s="21" t="s">
        <v>276</v>
      </c>
      <c r="B577" s="22" t="s">
        <v>578</v>
      </c>
      <c r="C577" s="22" t="s">
        <v>82</v>
      </c>
      <c r="D577" s="26">
        <v>45997.0</v>
      </c>
      <c r="E577" s="22" t="s">
        <v>187</v>
      </c>
      <c r="F577" s="22" t="s">
        <v>278</v>
      </c>
      <c r="G577" s="22" t="s">
        <v>1584</v>
      </c>
      <c r="H577" s="22" t="s">
        <v>276</v>
      </c>
      <c r="I577" s="22">
        <v>1.0449178919235E13</v>
      </c>
      <c r="J577" s="22" t="s">
        <v>568</v>
      </c>
      <c r="K577" s="24"/>
      <c r="L577" s="22" t="s">
        <v>281</v>
      </c>
      <c r="M577" s="22">
        <v>1.0</v>
      </c>
      <c r="N577" s="22" t="s">
        <v>282</v>
      </c>
      <c r="O577" s="22" t="s">
        <v>283</v>
      </c>
      <c r="P577" s="24"/>
      <c r="Q577" s="22" t="s">
        <v>90</v>
      </c>
      <c r="R577" s="22">
        <v>3.2725795438915E13</v>
      </c>
      <c r="S577" s="24"/>
      <c r="T577" s="24"/>
      <c r="U577" s="24"/>
      <c r="V577" s="22" t="s">
        <v>55</v>
      </c>
      <c r="W577" s="24"/>
      <c r="X577" s="24"/>
      <c r="Y577" s="22"/>
      <c r="Z577" s="22"/>
      <c r="AA577" s="24"/>
      <c r="AB577" s="24"/>
      <c r="AC577" s="30"/>
      <c r="AD577" s="30"/>
      <c r="AE577" s="33"/>
      <c r="AF577" s="31"/>
      <c r="AG577" s="30"/>
      <c r="AH577" s="30"/>
      <c r="AI577" s="31"/>
      <c r="AJ577" s="31"/>
      <c r="AK577" s="32"/>
    </row>
    <row r="578">
      <c r="A578" s="21" t="s">
        <v>99</v>
      </c>
      <c r="B578" s="22" t="s">
        <v>1408</v>
      </c>
      <c r="C578" s="22" t="s">
        <v>273</v>
      </c>
      <c r="D578" s="26">
        <v>45998.0</v>
      </c>
      <c r="E578" s="22" t="s">
        <v>153</v>
      </c>
      <c r="F578" s="22" t="s">
        <v>83</v>
      </c>
      <c r="G578" s="22" t="s">
        <v>1585</v>
      </c>
      <c r="H578" s="22" t="s">
        <v>99</v>
      </c>
      <c r="I578" s="22">
        <v>1.0447597076803E13</v>
      </c>
      <c r="J578" s="22" t="s">
        <v>1410</v>
      </c>
      <c r="K578" s="24"/>
      <c r="L578" s="22" t="s">
        <v>102</v>
      </c>
      <c r="M578" s="22">
        <v>1.0</v>
      </c>
      <c r="N578" s="22" t="s">
        <v>103</v>
      </c>
      <c r="O578" s="22" t="s">
        <v>104</v>
      </c>
      <c r="P578" s="24"/>
      <c r="Q578" s="22" t="s">
        <v>90</v>
      </c>
      <c r="R578" s="22">
        <v>3.2722282742083E13</v>
      </c>
      <c r="S578" s="24"/>
      <c r="T578" s="24"/>
      <c r="U578" s="24"/>
      <c r="V578" s="22" t="s">
        <v>105</v>
      </c>
      <c r="W578" s="24"/>
      <c r="X578" s="24"/>
      <c r="Y578" s="22"/>
      <c r="Z578" s="22"/>
      <c r="AA578" s="24"/>
      <c r="AB578" s="24"/>
      <c r="AC578" s="30"/>
      <c r="AD578" s="30"/>
      <c r="AE578" s="33"/>
      <c r="AF578" s="31"/>
      <c r="AG578" s="30"/>
      <c r="AH578" s="30"/>
      <c r="AI578" s="31"/>
      <c r="AJ578" s="31"/>
      <c r="AK578" s="32"/>
    </row>
    <row r="579">
      <c r="A579" s="21" t="s">
        <v>80</v>
      </c>
      <c r="B579" s="22" t="s">
        <v>1586</v>
      </c>
      <c r="C579" s="22" t="s">
        <v>273</v>
      </c>
      <c r="D579" s="23">
        <v>45991.0</v>
      </c>
      <c r="E579" s="22" t="s">
        <v>138</v>
      </c>
      <c r="F579" s="22" t="s">
        <v>83</v>
      </c>
      <c r="G579" s="22" t="s">
        <v>1587</v>
      </c>
      <c r="H579" s="22" t="s">
        <v>80</v>
      </c>
      <c r="I579" s="22">
        <v>1.0449196253507E13</v>
      </c>
      <c r="J579" s="22" t="s">
        <v>1588</v>
      </c>
      <c r="K579" s="24"/>
      <c r="L579" s="22" t="s">
        <v>86</v>
      </c>
      <c r="M579" s="22">
        <v>1.0</v>
      </c>
      <c r="N579" s="22" t="s">
        <v>87</v>
      </c>
      <c r="O579" s="22" t="s">
        <v>88</v>
      </c>
      <c r="P579" s="24"/>
      <c r="Q579" s="22" t="s">
        <v>90</v>
      </c>
      <c r="R579" s="22">
        <v>3.2725833056579E13</v>
      </c>
      <c r="S579" s="24"/>
      <c r="T579" s="24"/>
      <c r="U579" s="24"/>
      <c r="V579" s="22" t="s">
        <v>91</v>
      </c>
      <c r="W579" s="24"/>
      <c r="X579" s="24"/>
      <c r="Y579" s="22"/>
      <c r="Z579" s="22"/>
      <c r="AA579" s="24"/>
      <c r="AB579" s="24"/>
      <c r="AC579" s="30"/>
      <c r="AD579" s="30"/>
      <c r="AE579" s="33"/>
      <c r="AF579" s="31"/>
      <c r="AG579" s="30"/>
      <c r="AH579" s="30"/>
      <c r="AI579" s="31"/>
      <c r="AJ579" s="31"/>
      <c r="AK579" s="32"/>
    </row>
    <row r="580">
      <c r="A580" s="21" t="s">
        <v>96</v>
      </c>
      <c r="B580" s="22" t="s">
        <v>1589</v>
      </c>
      <c r="C580" s="22" t="s">
        <v>273</v>
      </c>
      <c r="D580" s="26">
        <v>45998.0</v>
      </c>
      <c r="E580" s="22" t="s">
        <v>248</v>
      </c>
      <c r="F580" s="22" t="s">
        <v>83</v>
      </c>
      <c r="G580" s="22" t="s">
        <v>1590</v>
      </c>
      <c r="H580" s="22" t="s">
        <v>96</v>
      </c>
      <c r="I580" s="22">
        <v>1.0449214636355E13</v>
      </c>
      <c r="J580" s="22" t="s">
        <v>1591</v>
      </c>
      <c r="K580" s="24"/>
      <c r="L580" s="22" t="s">
        <v>98</v>
      </c>
      <c r="M580" s="22">
        <v>1.0</v>
      </c>
      <c r="N580" s="22" t="s">
        <v>87</v>
      </c>
      <c r="O580" s="22" t="s">
        <v>88</v>
      </c>
      <c r="P580" s="24"/>
      <c r="Q580" s="22" t="s">
        <v>90</v>
      </c>
      <c r="R580" s="22">
        <v>3.2725872345411E13</v>
      </c>
      <c r="S580" s="24"/>
      <c r="T580" s="24"/>
      <c r="U580" s="24"/>
      <c r="V580" s="22" t="s">
        <v>55</v>
      </c>
      <c r="W580" s="24"/>
      <c r="X580" s="24"/>
      <c r="Y580" s="22"/>
      <c r="Z580" s="22"/>
      <c r="AA580" s="24"/>
      <c r="AB580" s="24"/>
      <c r="AC580" s="30"/>
      <c r="AD580" s="30"/>
      <c r="AE580" s="33"/>
      <c r="AF580" s="31"/>
      <c r="AG580" s="30"/>
      <c r="AH580" s="30"/>
      <c r="AI580" s="31"/>
      <c r="AJ580" s="31"/>
      <c r="AK580" s="32"/>
    </row>
    <row r="581">
      <c r="A581" s="21" t="s">
        <v>80</v>
      </c>
      <c r="B581" s="22" t="s">
        <v>1352</v>
      </c>
      <c r="C581" s="22" t="s">
        <v>82</v>
      </c>
      <c r="D581" s="26">
        <v>45997.0</v>
      </c>
      <c r="E581" s="22" t="s">
        <v>153</v>
      </c>
      <c r="F581" s="22" t="s">
        <v>83</v>
      </c>
      <c r="G581" s="22" t="s">
        <v>1592</v>
      </c>
      <c r="H581" s="22" t="s">
        <v>80</v>
      </c>
      <c r="I581" s="22">
        <v>1.0449182949699E13</v>
      </c>
      <c r="J581" s="22" t="s">
        <v>1354</v>
      </c>
      <c r="K581" s="24"/>
      <c r="L581" s="22" t="s">
        <v>86</v>
      </c>
      <c r="M581" s="22">
        <v>1.0</v>
      </c>
      <c r="N581" s="22" t="s">
        <v>87</v>
      </c>
      <c r="O581" s="22" t="s">
        <v>88</v>
      </c>
      <c r="P581" s="24"/>
      <c r="Q581" s="22" t="s">
        <v>90</v>
      </c>
      <c r="R581" s="22">
        <v>3.2725804384579E13</v>
      </c>
      <c r="S581" s="24"/>
      <c r="T581" s="24"/>
      <c r="U581" s="24"/>
      <c r="V581" s="22" t="s">
        <v>91</v>
      </c>
      <c r="W581" s="24"/>
      <c r="X581" s="24"/>
      <c r="Y581" s="22"/>
      <c r="Z581" s="22"/>
      <c r="AA581" s="24"/>
      <c r="AB581" s="24"/>
      <c r="AC581" s="30"/>
      <c r="AD581" s="30"/>
      <c r="AE581" s="33"/>
      <c r="AF581" s="31"/>
      <c r="AG581" s="30"/>
      <c r="AH581" s="30"/>
      <c r="AI581" s="31"/>
      <c r="AJ581" s="31"/>
      <c r="AK581" s="32"/>
    </row>
    <row r="582">
      <c r="A582" s="21" t="s">
        <v>515</v>
      </c>
      <c r="B582" s="22" t="s">
        <v>471</v>
      </c>
      <c r="C582" s="22" t="s">
        <v>82</v>
      </c>
      <c r="D582" s="26">
        <v>45997.0</v>
      </c>
      <c r="E582" s="22" t="s">
        <v>134</v>
      </c>
      <c r="F582" s="22" t="s">
        <v>472</v>
      </c>
      <c r="G582" s="22" t="s">
        <v>1593</v>
      </c>
      <c r="H582" s="22" t="s">
        <v>515</v>
      </c>
      <c r="I582" s="22">
        <v>1.0449340694851E13</v>
      </c>
      <c r="J582" s="22" t="s">
        <v>474</v>
      </c>
      <c r="K582" s="24"/>
      <c r="L582" s="22" t="s">
        <v>519</v>
      </c>
      <c r="M582" s="22">
        <v>1.0</v>
      </c>
      <c r="N582" s="22" t="s">
        <v>476</v>
      </c>
      <c r="O582" s="22" t="s">
        <v>477</v>
      </c>
      <c r="P582" s="24"/>
      <c r="Q582" s="22" t="s">
        <v>90</v>
      </c>
      <c r="R582" s="22">
        <v>3.2726152642883E13</v>
      </c>
      <c r="S582" s="24"/>
      <c r="T582" s="24"/>
      <c r="U582" s="24"/>
      <c r="V582" s="22" t="s">
        <v>55</v>
      </c>
      <c r="W582" s="24"/>
      <c r="X582" s="24"/>
      <c r="Y582" s="22"/>
      <c r="Z582" s="22"/>
      <c r="AA582" s="24"/>
      <c r="AB582" s="24"/>
      <c r="AC582" s="30"/>
      <c r="AD582" s="30"/>
      <c r="AE582" s="33"/>
      <c r="AF582" s="31"/>
      <c r="AG582" s="30"/>
      <c r="AH582" s="30"/>
      <c r="AI582" s="31"/>
      <c r="AJ582" s="31"/>
      <c r="AK582" s="32"/>
    </row>
    <row r="583">
      <c r="A583" s="21" t="s">
        <v>867</v>
      </c>
      <c r="B583" s="22" t="s">
        <v>1022</v>
      </c>
      <c r="C583" s="22" t="s">
        <v>273</v>
      </c>
      <c r="D583" s="26">
        <v>45998.0</v>
      </c>
      <c r="E583" s="22" t="s">
        <v>196</v>
      </c>
      <c r="F583" s="22" t="s">
        <v>869</v>
      </c>
      <c r="G583" s="22" t="s">
        <v>1594</v>
      </c>
      <c r="H583" s="22" t="s">
        <v>867</v>
      </c>
      <c r="I583" s="22">
        <v>1.0449347248451E13</v>
      </c>
      <c r="J583" s="22" t="s">
        <v>1024</v>
      </c>
      <c r="K583" s="24"/>
      <c r="L583" s="22" t="s">
        <v>872</v>
      </c>
      <c r="M583" s="22">
        <v>1.0</v>
      </c>
      <c r="N583" s="22" t="s">
        <v>873</v>
      </c>
      <c r="O583" s="22" t="s">
        <v>874</v>
      </c>
      <c r="P583" s="24"/>
      <c r="Q583" s="22" t="s">
        <v>90</v>
      </c>
      <c r="R583" s="22">
        <v>3.2726167781699E13</v>
      </c>
      <c r="S583" s="24"/>
      <c r="T583" s="24"/>
      <c r="U583" s="24"/>
      <c r="V583" s="22" t="s">
        <v>55</v>
      </c>
      <c r="W583" s="24"/>
      <c r="X583" s="24"/>
      <c r="Y583" s="22"/>
      <c r="Z583" s="22"/>
      <c r="AA583" s="24"/>
      <c r="AB583" s="24"/>
      <c r="AC583" s="30"/>
      <c r="AD583" s="30"/>
      <c r="AE583" s="33"/>
      <c r="AF583" s="31"/>
      <c r="AG583" s="30"/>
      <c r="AH583" s="30"/>
      <c r="AI583" s="31"/>
      <c r="AJ583" s="31"/>
      <c r="AK583" s="32"/>
    </row>
    <row r="584">
      <c r="A584" s="21" t="s">
        <v>96</v>
      </c>
      <c r="B584" s="22" t="s">
        <v>1595</v>
      </c>
      <c r="C584" s="22" t="s">
        <v>82</v>
      </c>
      <c r="D584" s="26">
        <v>45997.0</v>
      </c>
      <c r="E584" s="22" t="s">
        <v>149</v>
      </c>
      <c r="F584" s="22" t="s">
        <v>83</v>
      </c>
      <c r="G584" s="22" t="s">
        <v>1596</v>
      </c>
      <c r="H584" s="22" t="s">
        <v>96</v>
      </c>
      <c r="I584" s="22">
        <v>1.0449396826435E13</v>
      </c>
      <c r="J584" s="22" t="s">
        <v>1597</v>
      </c>
      <c r="K584" s="24"/>
      <c r="L584" s="22" t="s">
        <v>98</v>
      </c>
      <c r="M584" s="22">
        <v>1.0</v>
      </c>
      <c r="N584" s="22" t="s">
        <v>87</v>
      </c>
      <c r="O584" s="22" t="s">
        <v>88</v>
      </c>
      <c r="P584" s="24"/>
      <c r="Q584" s="22" t="s">
        <v>90</v>
      </c>
      <c r="R584" s="22">
        <v>3.2726281486659E13</v>
      </c>
      <c r="S584" s="24"/>
      <c r="T584" s="24"/>
      <c r="U584" s="24"/>
      <c r="V584" s="22" t="s">
        <v>55</v>
      </c>
      <c r="W584" s="24"/>
      <c r="X584" s="24"/>
      <c r="Y584" s="22"/>
      <c r="Z584" s="22"/>
      <c r="AA584" s="24"/>
      <c r="AB584" s="24"/>
      <c r="AC584" s="30"/>
      <c r="AD584" s="30"/>
      <c r="AE584" s="33"/>
      <c r="AF584" s="31"/>
      <c r="AG584" s="30"/>
      <c r="AH584" s="30"/>
      <c r="AI584" s="31"/>
      <c r="AJ584" s="31"/>
      <c r="AK584" s="32"/>
    </row>
    <row r="585">
      <c r="A585" s="21" t="s">
        <v>124</v>
      </c>
      <c r="B585" s="22" t="s">
        <v>1598</v>
      </c>
      <c r="C585" s="22" t="s">
        <v>82</v>
      </c>
      <c r="D585" s="26">
        <v>45997.0</v>
      </c>
      <c r="E585" s="22" t="s">
        <v>145</v>
      </c>
      <c r="F585" s="22" t="s">
        <v>83</v>
      </c>
      <c r="G585" s="22" t="s">
        <v>1599</v>
      </c>
      <c r="H585" s="22" t="s">
        <v>124</v>
      </c>
      <c r="I585" s="22">
        <v>1.0449424941379E13</v>
      </c>
      <c r="J585" s="22" t="s">
        <v>1296</v>
      </c>
      <c r="K585" s="24"/>
      <c r="L585" s="22" t="s">
        <v>126</v>
      </c>
      <c r="M585" s="22">
        <v>1.0</v>
      </c>
      <c r="N585" s="22" t="s">
        <v>103</v>
      </c>
      <c r="O585" s="22" t="s">
        <v>104</v>
      </c>
      <c r="P585" s="24"/>
      <c r="Q585" s="22" t="s">
        <v>90</v>
      </c>
      <c r="R585" s="22">
        <v>3.2726348300611E13</v>
      </c>
      <c r="S585" s="24"/>
      <c r="T585" s="24"/>
      <c r="U585" s="24"/>
      <c r="V585" s="22" t="s">
        <v>127</v>
      </c>
      <c r="W585" s="24"/>
      <c r="X585" s="24"/>
      <c r="Y585" s="22"/>
      <c r="Z585" s="22"/>
      <c r="AA585" s="24"/>
      <c r="AB585" s="24"/>
      <c r="AC585" s="30"/>
      <c r="AD585" s="30"/>
      <c r="AE585" s="33"/>
      <c r="AF585" s="31"/>
      <c r="AG585" s="30"/>
      <c r="AH585" s="30"/>
      <c r="AI585" s="31"/>
      <c r="AJ585" s="31"/>
      <c r="AK585" s="32"/>
    </row>
    <row r="586">
      <c r="A586" s="21" t="s">
        <v>664</v>
      </c>
      <c r="B586" s="22" t="s">
        <v>471</v>
      </c>
      <c r="C586" s="22" t="s">
        <v>82</v>
      </c>
      <c r="D586" s="26">
        <v>45997.0</v>
      </c>
      <c r="E586" s="22" t="s">
        <v>134</v>
      </c>
      <c r="F586" s="22" t="s">
        <v>472</v>
      </c>
      <c r="G586" s="22" t="s">
        <v>1600</v>
      </c>
      <c r="H586" s="22" t="s">
        <v>664</v>
      </c>
      <c r="I586" s="22">
        <v>1.0449427726659E13</v>
      </c>
      <c r="J586" s="22" t="s">
        <v>474</v>
      </c>
      <c r="K586" s="24"/>
      <c r="L586" s="22" t="s">
        <v>668</v>
      </c>
      <c r="M586" s="22">
        <v>1.0</v>
      </c>
      <c r="N586" s="22" t="s">
        <v>534</v>
      </c>
      <c r="O586" s="22" t="s">
        <v>535</v>
      </c>
      <c r="P586" s="24"/>
      <c r="Q586" s="22" t="s">
        <v>90</v>
      </c>
      <c r="R586" s="22">
        <v>3.2726356492611E13</v>
      </c>
      <c r="S586" s="24"/>
      <c r="T586" s="24"/>
      <c r="U586" s="24"/>
      <c r="V586" s="22" t="s">
        <v>175</v>
      </c>
      <c r="W586" s="24"/>
      <c r="X586" s="24"/>
      <c r="Y586" s="22"/>
      <c r="Z586" s="22"/>
      <c r="AA586" s="24"/>
      <c r="AB586" s="24"/>
      <c r="AC586" s="30"/>
      <c r="AD586" s="30"/>
      <c r="AE586" s="33"/>
      <c r="AF586" s="31"/>
      <c r="AG586" s="30"/>
      <c r="AH586" s="30"/>
      <c r="AI586" s="31"/>
      <c r="AJ586" s="31"/>
      <c r="AK586" s="32"/>
    </row>
    <row r="587">
      <c r="A587" s="21" t="s">
        <v>1601</v>
      </c>
      <c r="B587" s="22" t="s">
        <v>1602</v>
      </c>
      <c r="C587" s="22" t="s">
        <v>202</v>
      </c>
      <c r="D587" s="26">
        <v>45996.0</v>
      </c>
      <c r="E587" s="22" t="s">
        <v>149</v>
      </c>
      <c r="F587" s="22" t="s">
        <v>717</v>
      </c>
      <c r="G587" s="22" t="s">
        <v>1603</v>
      </c>
      <c r="H587" s="22" t="s">
        <v>1601</v>
      </c>
      <c r="I587" s="22">
        <v>1.0448998072643E13</v>
      </c>
      <c r="J587" s="22" t="s">
        <v>1604</v>
      </c>
      <c r="K587" s="24"/>
      <c r="L587" s="22" t="s">
        <v>1605</v>
      </c>
      <c r="M587" s="22">
        <v>1.0</v>
      </c>
      <c r="N587" s="22" t="s">
        <v>1083</v>
      </c>
      <c r="O587" s="22" t="s">
        <v>1084</v>
      </c>
      <c r="P587" s="24"/>
      <c r="Q587" s="22" t="s">
        <v>90</v>
      </c>
      <c r="R587" s="22">
        <v>3.2725395210563E13</v>
      </c>
      <c r="S587" s="24"/>
      <c r="T587" s="24"/>
      <c r="U587" s="24"/>
      <c r="V587" s="22" t="s">
        <v>175</v>
      </c>
      <c r="W587" s="24"/>
      <c r="X587" s="24"/>
      <c r="Y587" s="22"/>
      <c r="Z587" s="22"/>
      <c r="AA587" s="24"/>
      <c r="AB587" s="24"/>
      <c r="AC587" s="30"/>
      <c r="AD587" s="30"/>
      <c r="AE587" s="33"/>
      <c r="AF587" s="31"/>
      <c r="AG587" s="30"/>
      <c r="AH587" s="30"/>
      <c r="AI587" s="31"/>
      <c r="AJ587" s="31"/>
      <c r="AK587" s="32"/>
    </row>
    <row r="588">
      <c r="A588" s="21" t="s">
        <v>709</v>
      </c>
      <c r="B588" s="22" t="s">
        <v>1606</v>
      </c>
      <c r="C588" s="22" t="s">
        <v>202</v>
      </c>
      <c r="D588" s="23">
        <v>46003.0</v>
      </c>
      <c r="E588" s="22" t="s">
        <v>1117</v>
      </c>
      <c r="F588" s="22" t="s">
        <v>311</v>
      </c>
      <c r="G588" s="22" t="s">
        <v>1607</v>
      </c>
      <c r="H588" s="22" t="s">
        <v>709</v>
      </c>
      <c r="I588" s="22">
        <v>1.0448450093379E13</v>
      </c>
      <c r="J588" s="22" t="s">
        <v>1608</v>
      </c>
      <c r="K588" s="24"/>
      <c r="L588" s="22" t="s">
        <v>713</v>
      </c>
      <c r="M588" s="22">
        <v>1.0</v>
      </c>
      <c r="N588" s="22" t="s">
        <v>391</v>
      </c>
      <c r="O588" s="22" t="s">
        <v>392</v>
      </c>
      <c r="P588" s="24"/>
      <c r="Q588" s="22" t="s">
        <v>90</v>
      </c>
      <c r="R588" s="22">
        <v>3.2724163723587E13</v>
      </c>
      <c r="S588" s="24"/>
      <c r="T588" s="24"/>
      <c r="U588" s="24"/>
      <c r="V588" s="22" t="s">
        <v>91</v>
      </c>
      <c r="W588" s="24"/>
      <c r="X588" s="24"/>
      <c r="Y588" s="22"/>
      <c r="Z588" s="22"/>
      <c r="AA588" s="24"/>
      <c r="AB588" s="24"/>
      <c r="AC588" s="30"/>
      <c r="AD588" s="30"/>
      <c r="AE588" s="33"/>
      <c r="AF588" s="31"/>
      <c r="AG588" s="30"/>
      <c r="AH588" s="30"/>
      <c r="AI588" s="31"/>
      <c r="AJ588" s="31"/>
      <c r="AK588" s="32"/>
    </row>
    <row r="589">
      <c r="A589" s="21" t="s">
        <v>740</v>
      </c>
      <c r="B589" s="22" t="s">
        <v>1457</v>
      </c>
      <c r="C589" s="22" t="s">
        <v>273</v>
      </c>
      <c r="D589" s="26">
        <v>45998.0</v>
      </c>
      <c r="E589" s="22" t="s">
        <v>302</v>
      </c>
      <c r="F589" s="22" t="s">
        <v>303</v>
      </c>
      <c r="G589" s="22" t="s">
        <v>1609</v>
      </c>
      <c r="H589" s="22" t="s">
        <v>740</v>
      </c>
      <c r="I589" s="22">
        <v>1.0449587732803E13</v>
      </c>
      <c r="J589" s="22" t="s">
        <v>1459</v>
      </c>
      <c r="K589" s="24"/>
      <c r="L589" s="22" t="s">
        <v>744</v>
      </c>
      <c r="M589" s="22">
        <v>1.0</v>
      </c>
      <c r="N589" s="22" t="s">
        <v>307</v>
      </c>
      <c r="O589" s="22" t="s">
        <v>308</v>
      </c>
      <c r="P589" s="24"/>
      <c r="Q589" s="22" t="s">
        <v>90</v>
      </c>
      <c r="R589" s="22">
        <v>3.2726765306179E13</v>
      </c>
      <c r="S589" s="24"/>
      <c r="T589" s="24"/>
      <c r="U589" s="24"/>
      <c r="V589" s="22" t="s">
        <v>91</v>
      </c>
      <c r="W589" s="24"/>
      <c r="X589" s="24"/>
      <c r="Y589" s="30"/>
      <c r="Z589" s="30"/>
      <c r="AA589" s="33"/>
      <c r="AB589" s="33"/>
      <c r="AC589" s="30"/>
      <c r="AD589" s="30"/>
      <c r="AE589" s="33"/>
      <c r="AF589" s="31"/>
      <c r="AG589" s="30"/>
      <c r="AH589" s="30"/>
      <c r="AI589" s="31"/>
      <c r="AJ589" s="31"/>
      <c r="AK589" s="32"/>
    </row>
    <row r="590">
      <c r="A590" s="21" t="s">
        <v>495</v>
      </c>
      <c r="B590" s="22" t="s">
        <v>1356</v>
      </c>
      <c r="C590" s="22" t="s">
        <v>273</v>
      </c>
      <c r="D590" s="23">
        <v>45991.0</v>
      </c>
      <c r="E590" s="22" t="s">
        <v>153</v>
      </c>
      <c r="F590" s="22" t="s">
        <v>329</v>
      </c>
      <c r="G590" s="22" t="s">
        <v>1610</v>
      </c>
      <c r="H590" s="22" t="s">
        <v>495</v>
      </c>
      <c r="I590" s="22">
        <v>1.0449610309955E13</v>
      </c>
      <c r="J590" s="22" t="s">
        <v>1358</v>
      </c>
      <c r="K590" s="24"/>
      <c r="L590" s="22" t="s">
        <v>500</v>
      </c>
      <c r="M590" s="22">
        <v>1.0</v>
      </c>
      <c r="N590" s="22" t="s">
        <v>333</v>
      </c>
      <c r="O590" s="22" t="s">
        <v>334</v>
      </c>
      <c r="P590" s="24"/>
      <c r="Q590" s="22" t="s">
        <v>90</v>
      </c>
      <c r="R590" s="22">
        <v>3.2726819537219E13</v>
      </c>
      <c r="S590" s="24"/>
      <c r="T590" s="24"/>
      <c r="U590" s="24"/>
      <c r="V590" s="22" t="s">
        <v>54</v>
      </c>
      <c r="W590" s="24"/>
      <c r="X590" s="24"/>
      <c r="Y590" s="30"/>
      <c r="Z590" s="30"/>
      <c r="AA590" s="33"/>
      <c r="AB590" s="33"/>
      <c r="AC590" s="30"/>
      <c r="AD590" s="30"/>
      <c r="AE590" s="33"/>
      <c r="AF590" s="31"/>
      <c r="AG590" s="30"/>
      <c r="AH590" s="30"/>
      <c r="AI590" s="31"/>
      <c r="AJ590" s="31"/>
      <c r="AK590" s="32"/>
    </row>
    <row r="591">
      <c r="A591" s="21" t="s">
        <v>99</v>
      </c>
      <c r="B591" s="22" t="s">
        <v>1595</v>
      </c>
      <c r="C591" s="22" t="s">
        <v>82</v>
      </c>
      <c r="D591" s="26">
        <v>45997.0</v>
      </c>
      <c r="E591" s="22" t="s">
        <v>149</v>
      </c>
      <c r="F591" s="22" t="s">
        <v>83</v>
      </c>
      <c r="G591" s="22" t="s">
        <v>1611</v>
      </c>
      <c r="H591" s="22" t="s">
        <v>99</v>
      </c>
      <c r="I591" s="22">
        <v>1.0449614045507E13</v>
      </c>
      <c r="J591" s="22" t="s">
        <v>1597</v>
      </c>
      <c r="K591" s="24"/>
      <c r="L591" s="22" t="s">
        <v>102</v>
      </c>
      <c r="M591" s="22">
        <v>1.0</v>
      </c>
      <c r="N591" s="22" t="s">
        <v>103</v>
      </c>
      <c r="O591" s="22" t="s">
        <v>104</v>
      </c>
      <c r="P591" s="24"/>
      <c r="Q591" s="22" t="s">
        <v>90</v>
      </c>
      <c r="R591" s="22">
        <v>3.2726829105475E13</v>
      </c>
      <c r="S591" s="24"/>
      <c r="T591" s="24"/>
      <c r="U591" s="24"/>
      <c r="V591" s="22" t="s">
        <v>105</v>
      </c>
      <c r="W591" s="24"/>
      <c r="X591" s="24"/>
      <c r="Y591" s="30"/>
      <c r="Z591" s="30"/>
      <c r="AA591" s="33"/>
      <c r="AB591" s="33"/>
      <c r="AC591" s="30"/>
      <c r="AD591" s="30"/>
      <c r="AE591" s="33"/>
      <c r="AF591" s="31"/>
      <c r="AG591" s="30"/>
      <c r="AH591" s="30"/>
      <c r="AI591" s="31"/>
      <c r="AJ591" s="31"/>
      <c r="AK591" s="32"/>
    </row>
    <row r="592">
      <c r="A592" s="21" t="s">
        <v>584</v>
      </c>
      <c r="B592" s="22" t="s">
        <v>810</v>
      </c>
      <c r="C592" s="22" t="s">
        <v>82</v>
      </c>
      <c r="D592" s="23">
        <v>46004.0</v>
      </c>
      <c r="E592" s="22" t="s">
        <v>134</v>
      </c>
      <c r="F592" s="22" t="s">
        <v>377</v>
      </c>
      <c r="G592" s="22" t="s">
        <v>1612</v>
      </c>
      <c r="H592" s="22" t="s">
        <v>584</v>
      </c>
      <c r="I592" s="22">
        <v>1.0449620402499E13</v>
      </c>
      <c r="J592" s="22" t="s">
        <v>812</v>
      </c>
      <c r="K592" s="24"/>
      <c r="L592" s="22" t="s">
        <v>586</v>
      </c>
      <c r="M592" s="22">
        <v>1.0</v>
      </c>
      <c r="N592" s="22" t="s">
        <v>413</v>
      </c>
      <c r="O592" s="22" t="s">
        <v>414</v>
      </c>
      <c r="P592" s="24"/>
      <c r="Q592" s="22" t="s">
        <v>90</v>
      </c>
      <c r="R592" s="22">
        <v>3.2726844473667E13</v>
      </c>
      <c r="S592" s="24"/>
      <c r="T592" s="24"/>
      <c r="U592" s="24"/>
      <c r="V592" s="22" t="s">
        <v>105</v>
      </c>
      <c r="W592" s="24"/>
      <c r="X592" s="24"/>
      <c r="Y592" s="30"/>
      <c r="Z592" s="30"/>
      <c r="AA592" s="33"/>
      <c r="AB592" s="33"/>
      <c r="AC592" s="30"/>
      <c r="AD592" s="30"/>
      <c r="AE592" s="33"/>
      <c r="AF592" s="31"/>
      <c r="AG592" s="30"/>
      <c r="AH592" s="30"/>
      <c r="AI592" s="31"/>
      <c r="AJ592" s="31"/>
      <c r="AK592" s="32"/>
    </row>
    <row r="593">
      <c r="A593" s="21" t="s">
        <v>185</v>
      </c>
      <c r="B593" s="22" t="s">
        <v>773</v>
      </c>
      <c r="C593" s="22" t="s">
        <v>273</v>
      </c>
      <c r="D593" s="23">
        <v>45991.0</v>
      </c>
      <c r="E593" s="22" t="s">
        <v>211</v>
      </c>
      <c r="F593" s="22" t="s">
        <v>111</v>
      </c>
      <c r="G593" s="22" t="s">
        <v>1613</v>
      </c>
      <c r="H593" s="22" t="s">
        <v>185</v>
      </c>
      <c r="I593" s="22">
        <v>1.0449769496899E13</v>
      </c>
      <c r="J593" s="22" t="s">
        <v>775</v>
      </c>
      <c r="K593" s="24"/>
      <c r="L593" s="22" t="s">
        <v>190</v>
      </c>
      <c r="M593" s="22">
        <v>1.0</v>
      </c>
      <c r="N593" s="22" t="s">
        <v>115</v>
      </c>
      <c r="O593" s="22" t="s">
        <v>116</v>
      </c>
      <c r="P593" s="24"/>
      <c r="Q593" s="22" t="s">
        <v>90</v>
      </c>
      <c r="R593" s="22">
        <v>3.2727196500291E13</v>
      </c>
      <c r="S593" s="24"/>
      <c r="T593" s="24"/>
      <c r="U593" s="24"/>
      <c r="V593" s="22" t="s">
        <v>95</v>
      </c>
      <c r="W593" s="24"/>
      <c r="X593" s="24"/>
      <c r="Y593" s="30"/>
      <c r="Z593" s="30"/>
      <c r="AA593" s="33"/>
      <c r="AB593" s="33"/>
      <c r="AC593" s="30"/>
      <c r="AD593" s="30"/>
      <c r="AE593" s="33"/>
      <c r="AF593" s="31"/>
      <c r="AG593" s="30"/>
      <c r="AH593" s="30"/>
      <c r="AI593" s="31"/>
      <c r="AJ593" s="31"/>
      <c r="AK593" s="32"/>
    </row>
    <row r="594">
      <c r="A594" s="21" t="s">
        <v>408</v>
      </c>
      <c r="B594" s="22" t="s">
        <v>705</v>
      </c>
      <c r="C594" s="22" t="s">
        <v>82</v>
      </c>
      <c r="D594" s="26">
        <v>45997.0</v>
      </c>
      <c r="E594" s="22" t="s">
        <v>266</v>
      </c>
      <c r="F594" s="22" t="s">
        <v>377</v>
      </c>
      <c r="G594" s="22" t="s">
        <v>1614</v>
      </c>
      <c r="H594" s="22" t="s">
        <v>408</v>
      </c>
      <c r="I594" s="22">
        <v>1.0449845027139E13</v>
      </c>
      <c r="J594" s="22" t="s">
        <v>707</v>
      </c>
      <c r="K594" s="24"/>
      <c r="L594" s="22" t="s">
        <v>412</v>
      </c>
      <c r="M594" s="22">
        <v>1.0</v>
      </c>
      <c r="N594" s="22" t="s">
        <v>413</v>
      </c>
      <c r="O594" s="22" t="s">
        <v>414</v>
      </c>
      <c r="P594" s="24"/>
      <c r="Q594" s="22" t="s">
        <v>90</v>
      </c>
      <c r="R594" s="22">
        <v>3.2727371514179E13</v>
      </c>
      <c r="S594" s="24"/>
      <c r="T594" s="24"/>
      <c r="U594" s="24"/>
      <c r="V594" s="22" t="s">
        <v>127</v>
      </c>
      <c r="W594" s="24"/>
      <c r="X594" s="24"/>
      <c r="Y594" s="30"/>
      <c r="Z594" s="30"/>
      <c r="AA594" s="33"/>
      <c r="AB594" s="33"/>
      <c r="AC594" s="30"/>
      <c r="AD594" s="30"/>
      <c r="AE594" s="33"/>
      <c r="AF594" s="31"/>
      <c r="AG594" s="30"/>
      <c r="AH594" s="30"/>
      <c r="AI594" s="31"/>
      <c r="AJ594" s="31"/>
      <c r="AK594" s="32"/>
    </row>
    <row r="595">
      <c r="A595" s="21" t="s">
        <v>664</v>
      </c>
      <c r="B595" s="22" t="s">
        <v>516</v>
      </c>
      <c r="C595" s="22" t="s">
        <v>273</v>
      </c>
      <c r="D595" s="26">
        <v>45998.0</v>
      </c>
      <c r="E595" s="22" t="s">
        <v>134</v>
      </c>
      <c r="F595" s="22" t="s">
        <v>472</v>
      </c>
      <c r="G595" s="22" t="s">
        <v>1615</v>
      </c>
      <c r="H595" s="22" t="s">
        <v>664</v>
      </c>
      <c r="I595" s="22">
        <v>1.0449863934275E13</v>
      </c>
      <c r="J595" s="22" t="s">
        <v>518</v>
      </c>
      <c r="K595" s="24"/>
      <c r="L595" s="22" t="s">
        <v>668</v>
      </c>
      <c r="M595" s="22">
        <v>1.0</v>
      </c>
      <c r="N595" s="22" t="s">
        <v>534</v>
      </c>
      <c r="O595" s="22" t="s">
        <v>535</v>
      </c>
      <c r="P595" s="24"/>
      <c r="Q595" s="22" t="s">
        <v>90</v>
      </c>
      <c r="R595" s="22">
        <v>3.2727413457219E13</v>
      </c>
      <c r="S595" s="24"/>
      <c r="T595" s="24"/>
      <c r="U595" s="24"/>
      <c r="V595" s="22" t="s">
        <v>175</v>
      </c>
      <c r="W595" s="24"/>
      <c r="X595" s="24"/>
      <c r="Y595" s="30"/>
      <c r="Z595" s="30"/>
      <c r="AA595" s="33"/>
      <c r="AB595" s="33"/>
      <c r="AC595" s="30"/>
      <c r="AD595" s="30"/>
      <c r="AE595" s="33"/>
      <c r="AF595" s="31"/>
      <c r="AG595" s="30"/>
      <c r="AH595" s="30"/>
      <c r="AI595" s="31"/>
      <c r="AJ595" s="31"/>
      <c r="AK595" s="32"/>
    </row>
    <row r="596">
      <c r="A596" s="21" t="s">
        <v>80</v>
      </c>
      <c r="B596" s="22" t="s">
        <v>1486</v>
      </c>
      <c r="C596" s="22" t="s">
        <v>82</v>
      </c>
      <c r="D596" s="26">
        <v>45997.0</v>
      </c>
      <c r="E596" s="22" t="s">
        <v>134</v>
      </c>
      <c r="F596" s="22" t="s">
        <v>83</v>
      </c>
      <c r="G596" s="22" t="s">
        <v>1616</v>
      </c>
      <c r="H596" s="22" t="s">
        <v>80</v>
      </c>
      <c r="I596" s="22">
        <v>1.0449874321731E13</v>
      </c>
      <c r="J596" s="22" t="s">
        <v>1488</v>
      </c>
      <c r="K596" s="24"/>
      <c r="L596" s="22" t="s">
        <v>86</v>
      </c>
      <c r="M596" s="22">
        <v>1.0</v>
      </c>
      <c r="N596" s="22" t="s">
        <v>87</v>
      </c>
      <c r="O596" s="22" t="s">
        <v>88</v>
      </c>
      <c r="P596" s="24"/>
      <c r="Q596" s="22" t="s">
        <v>90</v>
      </c>
      <c r="R596" s="22">
        <v>3.2727436755267E13</v>
      </c>
      <c r="S596" s="24"/>
      <c r="T596" s="24"/>
      <c r="U596" s="24"/>
      <c r="V596" s="22" t="s">
        <v>91</v>
      </c>
      <c r="W596" s="24"/>
      <c r="X596" s="24"/>
      <c r="Y596" s="30"/>
      <c r="Z596" s="30"/>
      <c r="AA596" s="33"/>
      <c r="AB596" s="33"/>
      <c r="AC596" s="30"/>
      <c r="AD596" s="30"/>
      <c r="AE596" s="33"/>
      <c r="AF596" s="31"/>
      <c r="AG596" s="30"/>
      <c r="AH596" s="30"/>
      <c r="AI596" s="31"/>
      <c r="AJ596" s="31"/>
      <c r="AK596" s="32"/>
    </row>
    <row r="597">
      <c r="A597" s="21" t="s">
        <v>1617</v>
      </c>
      <c r="B597" s="22" t="s">
        <v>1618</v>
      </c>
      <c r="C597" s="22" t="s">
        <v>82</v>
      </c>
      <c r="D597" s="26">
        <v>45997.0</v>
      </c>
      <c r="E597" s="22" t="s">
        <v>975</v>
      </c>
      <c r="F597" s="22" t="s">
        <v>1466</v>
      </c>
      <c r="G597" s="22" t="s">
        <v>1619</v>
      </c>
      <c r="H597" s="22" t="s">
        <v>1617</v>
      </c>
      <c r="I597" s="22">
        <v>1.0449952440643E13</v>
      </c>
      <c r="J597" s="22" t="s">
        <v>1620</v>
      </c>
      <c r="K597" s="24"/>
      <c r="L597" s="22" t="s">
        <v>1621</v>
      </c>
      <c r="M597" s="22">
        <v>1.0</v>
      </c>
      <c r="N597" s="22" t="s">
        <v>1470</v>
      </c>
      <c r="O597" s="22" t="s">
        <v>1471</v>
      </c>
      <c r="P597" s="24"/>
      <c r="Q597" s="22" t="s">
        <v>90</v>
      </c>
      <c r="R597" s="22">
        <v>3.2727613243715E13</v>
      </c>
      <c r="S597" s="24"/>
      <c r="T597" s="24"/>
      <c r="U597" s="24"/>
      <c r="V597" s="22" t="s">
        <v>95</v>
      </c>
      <c r="W597" s="24"/>
      <c r="X597" s="24"/>
      <c r="Y597" s="30"/>
      <c r="Z597" s="30"/>
      <c r="AA597" s="33"/>
      <c r="AB597" s="33"/>
      <c r="AC597" s="30"/>
      <c r="AD597" s="30"/>
      <c r="AE597" s="33"/>
      <c r="AF597" s="31"/>
      <c r="AG597" s="30"/>
      <c r="AH597" s="30"/>
      <c r="AI597" s="31"/>
      <c r="AJ597" s="31"/>
      <c r="AK597" s="32"/>
    </row>
    <row r="598">
      <c r="A598" s="21" t="s">
        <v>1622</v>
      </c>
      <c r="B598" s="22" t="s">
        <v>1623</v>
      </c>
      <c r="C598" s="22" t="s">
        <v>82</v>
      </c>
      <c r="D598" s="26">
        <v>45997.0</v>
      </c>
      <c r="E598" s="22" t="s">
        <v>1624</v>
      </c>
      <c r="F598" s="22" t="s">
        <v>1466</v>
      </c>
      <c r="G598" s="22" t="s">
        <v>1625</v>
      </c>
      <c r="H598" s="22" t="s">
        <v>1622</v>
      </c>
      <c r="I598" s="22">
        <v>1.0449471897923E13</v>
      </c>
      <c r="J598" s="22" t="s">
        <v>1626</v>
      </c>
      <c r="K598" s="24"/>
      <c r="L598" s="22" t="s">
        <v>1627</v>
      </c>
      <c r="M598" s="22">
        <v>1.0</v>
      </c>
      <c r="N598" s="22" t="s">
        <v>1628</v>
      </c>
      <c r="O598" s="22" t="s">
        <v>1629</v>
      </c>
      <c r="P598" s="24"/>
      <c r="Q598" s="22" t="s">
        <v>90</v>
      </c>
      <c r="R598" s="22">
        <v>3.2726470590787E13</v>
      </c>
      <c r="S598" s="24"/>
      <c r="T598" s="24"/>
      <c r="U598" s="24"/>
      <c r="V598" s="22" t="s">
        <v>175</v>
      </c>
      <c r="W598" s="24"/>
      <c r="X598" s="24"/>
      <c r="Y598" s="30"/>
      <c r="Z598" s="30"/>
      <c r="AA598" s="33"/>
      <c r="AB598" s="33"/>
      <c r="AC598" s="30"/>
      <c r="AD598" s="30"/>
      <c r="AE598" s="33"/>
      <c r="AF598" s="31"/>
      <c r="AG598" s="30"/>
      <c r="AH598" s="30"/>
      <c r="AI598" s="31"/>
      <c r="AJ598" s="31"/>
      <c r="AK598" s="32"/>
    </row>
    <row r="599">
      <c r="A599" s="21" t="s">
        <v>503</v>
      </c>
      <c r="B599" s="22" t="s">
        <v>1630</v>
      </c>
      <c r="C599" s="22" t="s">
        <v>82</v>
      </c>
      <c r="D599" s="26">
        <v>45997.0</v>
      </c>
      <c r="E599" s="22" t="s">
        <v>1631</v>
      </c>
      <c r="F599" s="22" t="s">
        <v>341</v>
      </c>
      <c r="G599" s="22" t="s">
        <v>1632</v>
      </c>
      <c r="H599" s="22" t="s">
        <v>503</v>
      </c>
      <c r="I599" s="22">
        <v>1.0450048418115E13</v>
      </c>
      <c r="J599" s="22" t="s">
        <v>1633</v>
      </c>
      <c r="K599" s="24"/>
      <c r="L599" s="22" t="s">
        <v>507</v>
      </c>
      <c r="M599" s="22">
        <v>1.0</v>
      </c>
      <c r="N599" s="22" t="s">
        <v>345</v>
      </c>
      <c r="O599" s="22" t="s">
        <v>346</v>
      </c>
      <c r="P599" s="24"/>
      <c r="Q599" s="22" t="s">
        <v>90</v>
      </c>
      <c r="R599" s="22">
        <v>3.2727828169027E13</v>
      </c>
      <c r="S599" s="24"/>
      <c r="T599" s="24"/>
      <c r="U599" s="24"/>
      <c r="V599" s="22" t="s">
        <v>54</v>
      </c>
      <c r="W599" s="24"/>
      <c r="X599" s="24"/>
      <c r="Y599" s="30"/>
      <c r="Z599" s="30"/>
      <c r="AA599" s="33"/>
      <c r="AB599" s="33"/>
      <c r="AC599" s="30"/>
      <c r="AD599" s="30"/>
      <c r="AE599" s="33"/>
      <c r="AF599" s="31"/>
      <c r="AG599" s="30"/>
      <c r="AH599" s="30"/>
      <c r="AI599" s="31"/>
      <c r="AJ599" s="31"/>
      <c r="AK599" s="32"/>
    </row>
    <row r="600">
      <c r="A600" s="21" t="s">
        <v>1634</v>
      </c>
      <c r="B600" s="22" t="s">
        <v>1635</v>
      </c>
      <c r="C600" s="22" t="s">
        <v>82</v>
      </c>
      <c r="D600" s="26">
        <v>45997.0</v>
      </c>
      <c r="E600" s="22" t="s">
        <v>1636</v>
      </c>
      <c r="F600" s="22" t="s">
        <v>1466</v>
      </c>
      <c r="G600" s="22" t="s">
        <v>1637</v>
      </c>
      <c r="H600" s="22" t="s">
        <v>1634</v>
      </c>
      <c r="I600" s="22">
        <v>1.0450044256579E13</v>
      </c>
      <c r="J600" s="22" t="s">
        <v>1638</v>
      </c>
      <c r="K600" s="24"/>
      <c r="L600" s="22" t="s">
        <v>1639</v>
      </c>
      <c r="M600" s="22">
        <v>1.0</v>
      </c>
      <c r="N600" s="22" t="s">
        <v>1628</v>
      </c>
      <c r="O600" s="22" t="s">
        <v>1629</v>
      </c>
      <c r="P600" s="24"/>
      <c r="Q600" s="22" t="s">
        <v>90</v>
      </c>
      <c r="R600" s="22">
        <v>3.2727819845955E13</v>
      </c>
      <c r="S600" s="24"/>
      <c r="T600" s="24"/>
      <c r="U600" s="24"/>
      <c r="V600" s="22" t="s">
        <v>105</v>
      </c>
      <c r="W600" s="24"/>
      <c r="X600" s="24"/>
      <c r="Y600" s="30"/>
      <c r="Z600" s="30"/>
      <c r="AA600" s="33"/>
      <c r="AB600" s="33"/>
      <c r="AC600" s="30"/>
      <c r="AD600" s="30"/>
      <c r="AE600" s="33"/>
      <c r="AF600" s="31"/>
      <c r="AG600" s="30"/>
      <c r="AH600" s="30"/>
      <c r="AI600" s="31"/>
      <c r="AJ600" s="31"/>
      <c r="AK600" s="32"/>
    </row>
    <row r="601">
      <c r="A601" s="21" t="s">
        <v>1640</v>
      </c>
      <c r="B601" s="22" t="s">
        <v>1465</v>
      </c>
      <c r="C601" s="22" t="s">
        <v>82</v>
      </c>
      <c r="D601" s="26">
        <v>45997.0</v>
      </c>
      <c r="E601" s="22" t="s">
        <v>230</v>
      </c>
      <c r="F601" s="22" t="s">
        <v>1466</v>
      </c>
      <c r="G601" s="22" t="s">
        <v>1641</v>
      </c>
      <c r="H601" s="22" t="s">
        <v>1640</v>
      </c>
      <c r="I601" s="22">
        <v>1.0449527439683E13</v>
      </c>
      <c r="J601" s="22" t="s">
        <v>1468</v>
      </c>
      <c r="K601" s="24"/>
      <c r="L601" s="22" t="s">
        <v>1642</v>
      </c>
      <c r="M601" s="22">
        <v>1.0</v>
      </c>
      <c r="N601" s="22" t="s">
        <v>1628</v>
      </c>
      <c r="O601" s="22" t="s">
        <v>1629</v>
      </c>
      <c r="P601" s="24"/>
      <c r="Q601" s="22" t="s">
        <v>90</v>
      </c>
      <c r="R601" s="22">
        <v>3.2726609002819E13</v>
      </c>
      <c r="S601" s="24"/>
      <c r="T601" s="24"/>
      <c r="U601" s="24"/>
      <c r="V601" s="22" t="s">
        <v>127</v>
      </c>
      <c r="W601" s="24"/>
      <c r="X601" s="24"/>
      <c r="Y601" s="30"/>
      <c r="Z601" s="30"/>
      <c r="AA601" s="33"/>
      <c r="AB601" s="33"/>
      <c r="AC601" s="30"/>
      <c r="AD601" s="30"/>
      <c r="AE601" s="33"/>
      <c r="AF601" s="31"/>
      <c r="AG601" s="30"/>
      <c r="AH601" s="30"/>
      <c r="AI601" s="31"/>
      <c r="AJ601" s="31"/>
      <c r="AK601" s="32"/>
    </row>
    <row r="602">
      <c r="A602" s="21" t="s">
        <v>1622</v>
      </c>
      <c r="B602" s="22" t="s">
        <v>1465</v>
      </c>
      <c r="C602" s="22" t="s">
        <v>82</v>
      </c>
      <c r="D602" s="26">
        <v>45997.0</v>
      </c>
      <c r="E602" s="22" t="s">
        <v>230</v>
      </c>
      <c r="F602" s="22" t="s">
        <v>1466</v>
      </c>
      <c r="G602" s="22" t="s">
        <v>1643</v>
      </c>
      <c r="H602" s="22" t="s">
        <v>1622</v>
      </c>
      <c r="I602" s="22">
        <v>1.0449230332227E13</v>
      </c>
      <c r="J602" s="22" t="s">
        <v>1468</v>
      </c>
      <c r="K602" s="24"/>
      <c r="L602" s="22" t="s">
        <v>1627</v>
      </c>
      <c r="M602" s="22">
        <v>1.0</v>
      </c>
      <c r="N602" s="22" t="s">
        <v>1628</v>
      </c>
      <c r="O602" s="22" t="s">
        <v>1629</v>
      </c>
      <c r="P602" s="24"/>
      <c r="Q602" s="22" t="s">
        <v>90</v>
      </c>
      <c r="R602" s="22">
        <v>3.2725909340483E13</v>
      </c>
      <c r="S602" s="24"/>
      <c r="T602" s="24"/>
      <c r="U602" s="24"/>
      <c r="V602" s="22" t="s">
        <v>175</v>
      </c>
      <c r="W602" s="24"/>
      <c r="X602" s="24"/>
      <c r="Y602" s="30"/>
      <c r="Z602" s="30"/>
      <c r="AA602" s="33"/>
      <c r="AB602" s="33"/>
      <c r="AC602" s="30"/>
      <c r="AD602" s="30"/>
      <c r="AE602" s="33"/>
      <c r="AF602" s="31"/>
      <c r="AG602" s="30"/>
      <c r="AH602" s="30"/>
      <c r="AI602" s="31"/>
      <c r="AJ602" s="31"/>
      <c r="AK602" s="32"/>
    </row>
    <row r="603">
      <c r="A603" s="21" t="s">
        <v>885</v>
      </c>
      <c r="B603" s="22" t="s">
        <v>1644</v>
      </c>
      <c r="C603" s="22" t="s">
        <v>82</v>
      </c>
      <c r="D603" s="26">
        <v>45997.0</v>
      </c>
      <c r="E603" s="22" t="s">
        <v>181</v>
      </c>
      <c r="F603" s="22" t="s">
        <v>605</v>
      </c>
      <c r="G603" s="22" t="s">
        <v>1645</v>
      </c>
      <c r="H603" s="22" t="s">
        <v>885</v>
      </c>
      <c r="I603" s="22">
        <v>1.0450131910979E13</v>
      </c>
      <c r="J603" s="22" t="s">
        <v>1646</v>
      </c>
      <c r="K603" s="24"/>
      <c r="L603" s="22" t="s">
        <v>890</v>
      </c>
      <c r="M603" s="22">
        <v>1.0</v>
      </c>
      <c r="N603" s="22" t="s">
        <v>795</v>
      </c>
      <c r="O603" s="22" t="s">
        <v>796</v>
      </c>
      <c r="P603" s="24"/>
      <c r="Q603" s="22" t="s">
        <v>90</v>
      </c>
      <c r="R603" s="22">
        <v>3.2728012161347E13</v>
      </c>
      <c r="S603" s="24"/>
      <c r="T603" s="24"/>
      <c r="U603" s="24"/>
      <c r="V603" s="22" t="s">
        <v>127</v>
      </c>
      <c r="W603" s="24"/>
      <c r="X603" s="24"/>
      <c r="Y603" s="30"/>
      <c r="Z603" s="30"/>
      <c r="AA603" s="33"/>
      <c r="AB603" s="33"/>
      <c r="AC603" s="30"/>
      <c r="AD603" s="30"/>
      <c r="AE603" s="33"/>
      <c r="AF603" s="31"/>
      <c r="AG603" s="30"/>
      <c r="AH603" s="30"/>
      <c r="AI603" s="31"/>
      <c r="AJ603" s="31"/>
      <c r="AK603" s="32"/>
    </row>
    <row r="604">
      <c r="A604" s="21" t="s">
        <v>415</v>
      </c>
      <c r="B604" s="22" t="s">
        <v>512</v>
      </c>
      <c r="C604" s="22" t="s">
        <v>82</v>
      </c>
      <c r="D604" s="26">
        <v>45997.0</v>
      </c>
      <c r="E604" s="22" t="s">
        <v>153</v>
      </c>
      <c r="F604" s="22" t="s">
        <v>377</v>
      </c>
      <c r="G604" s="22" t="s">
        <v>1647</v>
      </c>
      <c r="H604" s="22" t="s">
        <v>415</v>
      </c>
      <c r="I604" s="22">
        <v>1.0450157666627E13</v>
      </c>
      <c r="J604" s="22" t="s">
        <v>514</v>
      </c>
      <c r="K604" s="24"/>
      <c r="L604" s="22" t="s">
        <v>419</v>
      </c>
      <c r="M604" s="22">
        <v>1.0</v>
      </c>
      <c r="N604" s="22" t="s">
        <v>381</v>
      </c>
      <c r="O604" s="22" t="s">
        <v>382</v>
      </c>
      <c r="P604" s="24"/>
      <c r="Q604" s="22" t="s">
        <v>90</v>
      </c>
      <c r="R604" s="22">
        <v>3.2728065245507E13</v>
      </c>
      <c r="S604" s="24"/>
      <c r="T604" s="24"/>
      <c r="U604" s="24"/>
      <c r="V604" s="22" t="s">
        <v>91</v>
      </c>
      <c r="W604" s="24"/>
      <c r="X604" s="24"/>
      <c r="Y604" s="30"/>
      <c r="Z604" s="30"/>
      <c r="AA604" s="33"/>
      <c r="AB604" s="33"/>
      <c r="AC604" s="30"/>
      <c r="AD604" s="30"/>
      <c r="AE604" s="33"/>
      <c r="AF604" s="31"/>
      <c r="AG604" s="30"/>
      <c r="AH604" s="30"/>
      <c r="AI604" s="31"/>
      <c r="AJ604" s="31"/>
      <c r="AK604" s="32"/>
    </row>
    <row r="605">
      <c r="A605" s="21" t="s">
        <v>714</v>
      </c>
      <c r="B605" s="22" t="s">
        <v>1648</v>
      </c>
      <c r="C605" s="22" t="s">
        <v>202</v>
      </c>
      <c r="D605" s="26">
        <v>45996.0</v>
      </c>
      <c r="E605" s="22" t="s">
        <v>153</v>
      </c>
      <c r="F605" s="22" t="s">
        <v>717</v>
      </c>
      <c r="G605" s="22" t="s">
        <v>1649</v>
      </c>
      <c r="H605" s="22" t="s">
        <v>714</v>
      </c>
      <c r="I605" s="22">
        <v>1.0450177884483E13</v>
      </c>
      <c r="J605" s="22" t="s">
        <v>1650</v>
      </c>
      <c r="K605" s="24"/>
      <c r="L605" s="22" t="s">
        <v>720</v>
      </c>
      <c r="M605" s="22">
        <v>1.0</v>
      </c>
      <c r="N605" s="22" t="s">
        <v>721</v>
      </c>
      <c r="O605" s="22" t="s">
        <v>722</v>
      </c>
      <c r="P605" s="24"/>
      <c r="Q605" s="22" t="s">
        <v>90</v>
      </c>
      <c r="R605" s="22">
        <v>3.2728109187395E13</v>
      </c>
      <c r="S605" s="24"/>
      <c r="T605" s="24"/>
      <c r="U605" s="24"/>
      <c r="V605" s="22" t="s">
        <v>55</v>
      </c>
      <c r="W605" s="24"/>
      <c r="X605" s="24"/>
      <c r="Y605" s="30"/>
      <c r="Z605" s="30"/>
      <c r="AA605" s="33"/>
      <c r="AB605" s="33"/>
      <c r="AC605" s="30"/>
      <c r="AD605" s="30"/>
      <c r="AE605" s="33"/>
      <c r="AF605" s="31"/>
      <c r="AG605" s="30"/>
      <c r="AH605" s="30"/>
      <c r="AI605" s="31"/>
      <c r="AJ605" s="31"/>
      <c r="AK605" s="32"/>
    </row>
    <row r="606">
      <c r="A606" s="21" t="s">
        <v>973</v>
      </c>
      <c r="B606" s="22" t="s">
        <v>1651</v>
      </c>
      <c r="C606" s="22" t="s">
        <v>273</v>
      </c>
      <c r="D606" s="26">
        <v>45998.0</v>
      </c>
      <c r="E606" s="22" t="s">
        <v>1624</v>
      </c>
      <c r="F606" s="22" t="s">
        <v>440</v>
      </c>
      <c r="G606" s="22" t="s">
        <v>1652</v>
      </c>
      <c r="H606" s="22" t="s">
        <v>973</v>
      </c>
      <c r="I606" s="22">
        <v>1.0450249646403E13</v>
      </c>
      <c r="J606" s="22" t="s">
        <v>1653</v>
      </c>
      <c r="K606" s="24"/>
      <c r="L606" s="22" t="s">
        <v>978</v>
      </c>
      <c r="M606" s="22">
        <v>1.0</v>
      </c>
      <c r="N606" s="22" t="s">
        <v>781</v>
      </c>
      <c r="O606" s="22" t="s">
        <v>782</v>
      </c>
      <c r="P606" s="24"/>
      <c r="Q606" s="22" t="s">
        <v>90</v>
      </c>
      <c r="R606" s="22">
        <v>3.2728287347011E13</v>
      </c>
      <c r="S606" s="24"/>
      <c r="T606" s="24"/>
      <c r="U606" s="24"/>
      <c r="V606" s="22" t="s">
        <v>105</v>
      </c>
      <c r="W606" s="24"/>
      <c r="X606" s="24"/>
      <c r="Y606" s="30"/>
      <c r="Z606" s="30"/>
      <c r="AA606" s="33"/>
      <c r="AB606" s="33"/>
      <c r="AC606" s="30"/>
      <c r="AD606" s="30"/>
      <c r="AE606" s="33"/>
      <c r="AF606" s="31"/>
      <c r="AG606" s="30"/>
      <c r="AH606" s="30"/>
      <c r="AI606" s="31"/>
      <c r="AJ606" s="31"/>
      <c r="AK606" s="32"/>
    </row>
    <row r="607">
      <c r="A607" s="21" t="s">
        <v>515</v>
      </c>
      <c r="B607" s="22" t="s">
        <v>516</v>
      </c>
      <c r="C607" s="22" t="s">
        <v>273</v>
      </c>
      <c r="D607" s="26">
        <v>45998.0</v>
      </c>
      <c r="E607" s="22" t="s">
        <v>134</v>
      </c>
      <c r="F607" s="22" t="s">
        <v>472</v>
      </c>
      <c r="G607" s="22" t="s">
        <v>1654</v>
      </c>
      <c r="H607" s="22" t="s">
        <v>515</v>
      </c>
      <c r="I607" s="22">
        <v>1.0450252202307E13</v>
      </c>
      <c r="J607" s="22" t="s">
        <v>518</v>
      </c>
      <c r="K607" s="24"/>
      <c r="L607" s="22" t="s">
        <v>519</v>
      </c>
      <c r="M607" s="22">
        <v>1.0</v>
      </c>
      <c r="N607" s="22" t="s">
        <v>476</v>
      </c>
      <c r="O607" s="22" t="s">
        <v>477</v>
      </c>
      <c r="P607" s="24"/>
      <c r="Q607" s="22" t="s">
        <v>90</v>
      </c>
      <c r="R607" s="22">
        <v>3.2728294064451E13</v>
      </c>
      <c r="S607" s="24"/>
      <c r="T607" s="24"/>
      <c r="U607" s="24"/>
      <c r="V607" s="22" t="s">
        <v>55</v>
      </c>
      <c r="W607" s="24"/>
      <c r="X607" s="24"/>
      <c r="Y607" s="30"/>
      <c r="Z607" s="30"/>
      <c r="AA607" s="33"/>
      <c r="AB607" s="33"/>
      <c r="AC607" s="30"/>
      <c r="AD607" s="30"/>
      <c r="AE607" s="33"/>
      <c r="AF607" s="31"/>
      <c r="AG607" s="30"/>
      <c r="AH607" s="30"/>
      <c r="AI607" s="31"/>
      <c r="AJ607" s="31"/>
      <c r="AK607" s="32"/>
    </row>
    <row r="608">
      <c r="A608" s="21" t="s">
        <v>108</v>
      </c>
      <c r="B608" s="22" t="s">
        <v>1655</v>
      </c>
      <c r="C608" s="22" t="s">
        <v>82</v>
      </c>
      <c r="D608" s="26">
        <v>45997.0</v>
      </c>
      <c r="E608" s="22" t="s">
        <v>211</v>
      </c>
      <c r="F608" s="22" t="s">
        <v>111</v>
      </c>
      <c r="G608" s="22" t="s">
        <v>1656</v>
      </c>
      <c r="H608" s="22" t="s">
        <v>108</v>
      </c>
      <c r="I608" s="22">
        <v>1.0450276286787E13</v>
      </c>
      <c r="J608" s="22" t="s">
        <v>1657</v>
      </c>
      <c r="K608" s="24"/>
      <c r="L608" s="22" t="s">
        <v>114</v>
      </c>
      <c r="M608" s="22">
        <v>1.0</v>
      </c>
      <c r="N608" s="22" t="s">
        <v>115</v>
      </c>
      <c r="O608" s="22" t="s">
        <v>116</v>
      </c>
      <c r="P608" s="24"/>
      <c r="Q608" s="22" t="s">
        <v>90</v>
      </c>
      <c r="R608" s="22">
        <v>3.2728348426563E13</v>
      </c>
      <c r="S608" s="24"/>
      <c r="T608" s="24"/>
      <c r="U608" s="24"/>
      <c r="V608" s="22" t="s">
        <v>54</v>
      </c>
      <c r="W608" s="24"/>
      <c r="X608" s="24"/>
      <c r="Y608" s="30"/>
      <c r="Z608" s="30"/>
      <c r="AA608" s="33"/>
      <c r="AB608" s="33"/>
      <c r="AC608" s="30"/>
      <c r="AD608" s="30"/>
      <c r="AE608" s="33"/>
      <c r="AF608" s="31"/>
      <c r="AG608" s="30"/>
      <c r="AH608" s="30"/>
      <c r="AI608" s="31"/>
      <c r="AJ608" s="31"/>
      <c r="AK608" s="32"/>
    </row>
    <row r="609">
      <c r="A609" s="21" t="s">
        <v>1640</v>
      </c>
      <c r="B609" s="22" t="s">
        <v>1618</v>
      </c>
      <c r="C609" s="22" t="s">
        <v>82</v>
      </c>
      <c r="D609" s="26">
        <v>45997.0</v>
      </c>
      <c r="E609" s="22" t="s">
        <v>975</v>
      </c>
      <c r="F609" s="22" t="s">
        <v>1466</v>
      </c>
      <c r="G609" s="22" t="s">
        <v>1658</v>
      </c>
      <c r="H609" s="22" t="s">
        <v>1640</v>
      </c>
      <c r="I609" s="22">
        <v>1.0450397790531E13</v>
      </c>
      <c r="J609" s="22" t="s">
        <v>1620</v>
      </c>
      <c r="K609" s="24"/>
      <c r="L609" s="22" t="s">
        <v>1642</v>
      </c>
      <c r="M609" s="22">
        <v>1.0</v>
      </c>
      <c r="N609" s="22" t="s">
        <v>1628</v>
      </c>
      <c r="O609" s="22" t="s">
        <v>1629</v>
      </c>
      <c r="P609" s="24"/>
      <c r="Q609" s="22" t="s">
        <v>90</v>
      </c>
      <c r="R609" s="22">
        <v>3.2728615584067E13</v>
      </c>
      <c r="S609" s="24"/>
      <c r="T609" s="24"/>
      <c r="U609" s="24"/>
      <c r="V609" s="22" t="s">
        <v>127</v>
      </c>
      <c r="W609" s="24"/>
      <c r="X609" s="24"/>
      <c r="Y609" s="30"/>
      <c r="Z609" s="30"/>
      <c r="AA609" s="33"/>
      <c r="AB609" s="33"/>
      <c r="AC609" s="30"/>
      <c r="AD609" s="30"/>
      <c r="AE609" s="33"/>
      <c r="AF609" s="31"/>
      <c r="AG609" s="30"/>
      <c r="AH609" s="30"/>
      <c r="AI609" s="31"/>
      <c r="AJ609" s="31"/>
      <c r="AK609" s="32"/>
    </row>
    <row r="610">
      <c r="A610" s="21" t="s">
        <v>1180</v>
      </c>
      <c r="B610" s="22" t="s">
        <v>1205</v>
      </c>
      <c r="C610" s="22" t="s">
        <v>273</v>
      </c>
      <c r="D610" s="26">
        <v>45998.0</v>
      </c>
      <c r="E610" s="22" t="s">
        <v>149</v>
      </c>
      <c r="F610" s="22" t="s">
        <v>623</v>
      </c>
      <c r="G610" s="22" t="s">
        <v>1659</v>
      </c>
      <c r="H610" s="22" t="s">
        <v>1180</v>
      </c>
      <c r="I610" s="22">
        <v>1.0450436292931E13</v>
      </c>
      <c r="J610" s="22" t="s">
        <v>1207</v>
      </c>
      <c r="K610" s="24"/>
      <c r="L610" s="22" t="s">
        <v>1182</v>
      </c>
      <c r="M610" s="22">
        <v>1.0</v>
      </c>
      <c r="N610" s="22" t="s">
        <v>1088</v>
      </c>
      <c r="O610" s="22" t="s">
        <v>1089</v>
      </c>
      <c r="P610" s="24"/>
      <c r="Q610" s="22" t="s">
        <v>90</v>
      </c>
      <c r="R610" s="22">
        <v>3.2728699765059E13</v>
      </c>
      <c r="S610" s="24"/>
      <c r="T610" s="24"/>
      <c r="U610" s="24"/>
      <c r="V610" s="22" t="s">
        <v>105</v>
      </c>
      <c r="W610" s="24"/>
      <c r="X610" s="24"/>
      <c r="Y610" s="30"/>
      <c r="Z610" s="30"/>
      <c r="AA610" s="33"/>
      <c r="AB610" s="33"/>
      <c r="AC610" s="30"/>
      <c r="AD610" s="30"/>
      <c r="AE610" s="33"/>
      <c r="AF610" s="31"/>
      <c r="AG610" s="30"/>
      <c r="AH610" s="30"/>
      <c r="AI610" s="31"/>
      <c r="AJ610" s="31"/>
      <c r="AK610" s="32"/>
    </row>
    <row r="611">
      <c r="A611" s="21" t="s">
        <v>470</v>
      </c>
      <c r="B611" s="22" t="s">
        <v>943</v>
      </c>
      <c r="C611" s="22" t="s">
        <v>82</v>
      </c>
      <c r="D611" s="26">
        <v>45997.0</v>
      </c>
      <c r="E611" s="22" t="s">
        <v>145</v>
      </c>
      <c r="F611" s="22" t="s">
        <v>472</v>
      </c>
      <c r="G611" s="22" t="s">
        <v>1660</v>
      </c>
      <c r="H611" s="22" t="s">
        <v>470</v>
      </c>
      <c r="I611" s="22">
        <v>1.0450488918339E13</v>
      </c>
      <c r="J611" s="22" t="s">
        <v>945</v>
      </c>
      <c r="K611" s="24"/>
      <c r="L611" s="22" t="s">
        <v>475</v>
      </c>
      <c r="M611" s="22">
        <v>1.0</v>
      </c>
      <c r="N611" s="22" t="s">
        <v>476</v>
      </c>
      <c r="O611" s="22" t="s">
        <v>477</v>
      </c>
      <c r="P611" s="24"/>
      <c r="Q611" s="22" t="s">
        <v>90</v>
      </c>
      <c r="R611" s="22">
        <v>3.2728818155843E13</v>
      </c>
      <c r="S611" s="24"/>
      <c r="T611" s="24"/>
      <c r="U611" s="24"/>
      <c r="V611" s="22" t="s">
        <v>91</v>
      </c>
      <c r="W611" s="24"/>
      <c r="X611" s="24"/>
      <c r="Y611" s="30"/>
      <c r="Z611" s="30"/>
      <c r="AA611" s="33"/>
      <c r="AB611" s="33"/>
      <c r="AC611" s="30"/>
      <c r="AD611" s="30"/>
      <c r="AE611" s="33"/>
      <c r="AF611" s="31"/>
      <c r="AG611" s="30"/>
      <c r="AH611" s="30"/>
      <c r="AI611" s="31"/>
      <c r="AJ611" s="31"/>
      <c r="AK611" s="32"/>
    </row>
    <row r="612">
      <c r="A612" s="21" t="s">
        <v>92</v>
      </c>
      <c r="B612" s="22" t="s">
        <v>1373</v>
      </c>
      <c r="C612" s="22" t="s">
        <v>273</v>
      </c>
      <c r="D612" s="23">
        <v>45991.0</v>
      </c>
      <c r="E612" s="22" t="s">
        <v>149</v>
      </c>
      <c r="F612" s="22" t="s">
        <v>83</v>
      </c>
      <c r="G612" s="22" t="s">
        <v>1661</v>
      </c>
      <c r="H612" s="22" t="s">
        <v>92</v>
      </c>
      <c r="I612" s="22">
        <v>1.0450638930243E13</v>
      </c>
      <c r="J612" s="22" t="s">
        <v>1375</v>
      </c>
      <c r="K612" s="24"/>
      <c r="L612" s="22" t="s">
        <v>94</v>
      </c>
      <c r="M612" s="22">
        <v>1.0</v>
      </c>
      <c r="N612" s="22" t="s">
        <v>87</v>
      </c>
      <c r="O612" s="22" t="s">
        <v>88</v>
      </c>
      <c r="P612" s="24"/>
      <c r="Q612" s="22" t="s">
        <v>90</v>
      </c>
      <c r="R612" s="22">
        <v>3.2729179357507E13</v>
      </c>
      <c r="S612" s="24"/>
      <c r="T612" s="24"/>
      <c r="U612" s="24"/>
      <c r="V612" s="22" t="s">
        <v>95</v>
      </c>
      <c r="W612" s="24"/>
      <c r="X612" s="24"/>
      <c r="Y612" s="30"/>
      <c r="Z612" s="30"/>
      <c r="AA612" s="33"/>
      <c r="AB612" s="33"/>
      <c r="AC612" s="30"/>
      <c r="AD612" s="30"/>
      <c r="AE612" s="33"/>
      <c r="AF612" s="31"/>
      <c r="AG612" s="30"/>
      <c r="AH612" s="30"/>
      <c r="AI612" s="31"/>
      <c r="AJ612" s="31"/>
      <c r="AK612" s="32"/>
    </row>
    <row r="613">
      <c r="A613" s="21" t="s">
        <v>92</v>
      </c>
      <c r="B613" s="22" t="s">
        <v>1662</v>
      </c>
      <c r="C613" s="22" t="s">
        <v>82</v>
      </c>
      <c r="D613" s="26">
        <v>45997.0</v>
      </c>
      <c r="E613" s="22" t="s">
        <v>224</v>
      </c>
      <c r="F613" s="22" t="s">
        <v>83</v>
      </c>
      <c r="G613" s="22" t="s">
        <v>1663</v>
      </c>
      <c r="H613" s="22" t="s">
        <v>92</v>
      </c>
      <c r="I613" s="22">
        <v>1.0450688475459E13</v>
      </c>
      <c r="J613" s="22" t="s">
        <v>1664</v>
      </c>
      <c r="K613" s="24"/>
      <c r="L613" s="22" t="s">
        <v>94</v>
      </c>
      <c r="M613" s="22">
        <v>1.0</v>
      </c>
      <c r="N613" s="22" t="s">
        <v>87</v>
      </c>
      <c r="O613" s="22" t="s">
        <v>88</v>
      </c>
      <c r="P613" s="24"/>
      <c r="Q613" s="22" t="s">
        <v>90</v>
      </c>
      <c r="R613" s="22">
        <v>3.2729305776451E13</v>
      </c>
      <c r="S613" s="24"/>
      <c r="T613" s="24"/>
      <c r="U613" s="24"/>
      <c r="V613" s="22" t="s">
        <v>95</v>
      </c>
      <c r="W613" s="24"/>
      <c r="X613" s="24"/>
      <c r="Y613" s="30"/>
      <c r="Z613" s="30"/>
      <c r="AA613" s="33"/>
      <c r="AB613" s="33"/>
      <c r="AC613" s="30"/>
      <c r="AD613" s="30"/>
      <c r="AE613" s="33"/>
      <c r="AF613" s="31"/>
      <c r="AG613" s="30"/>
      <c r="AH613" s="30"/>
      <c r="AI613" s="31"/>
      <c r="AJ613" s="31"/>
      <c r="AK613" s="32"/>
    </row>
    <row r="614">
      <c r="A614" s="21" t="s">
        <v>550</v>
      </c>
      <c r="B614" s="22" t="s">
        <v>416</v>
      </c>
      <c r="C614" s="22" t="s">
        <v>82</v>
      </c>
      <c r="D614" s="26">
        <v>45997.0</v>
      </c>
      <c r="E614" s="22" t="s">
        <v>134</v>
      </c>
      <c r="F614" s="22" t="s">
        <v>377</v>
      </c>
      <c r="G614" s="22" t="s">
        <v>1665</v>
      </c>
      <c r="H614" s="22" t="s">
        <v>550</v>
      </c>
      <c r="I614" s="22">
        <v>1.0450384683331E13</v>
      </c>
      <c r="J614" s="22" t="s">
        <v>1017</v>
      </c>
      <c r="K614" s="24"/>
      <c r="L614" s="22" t="s">
        <v>552</v>
      </c>
      <c r="M614" s="22">
        <v>1.0</v>
      </c>
      <c r="N614" s="22" t="s">
        <v>381</v>
      </c>
      <c r="O614" s="22" t="s">
        <v>382</v>
      </c>
      <c r="P614" s="24"/>
      <c r="Q614" s="22" t="s">
        <v>90</v>
      </c>
      <c r="R614" s="22">
        <v>3.2728586027331E13</v>
      </c>
      <c r="S614" s="24"/>
      <c r="T614" s="24"/>
      <c r="U614" s="24"/>
      <c r="V614" s="22" t="s">
        <v>95</v>
      </c>
      <c r="W614" s="24"/>
      <c r="X614" s="24"/>
      <c r="Y614" s="30"/>
      <c r="Z614" s="30"/>
      <c r="AA614" s="33"/>
      <c r="AB614" s="33"/>
      <c r="AC614" s="30"/>
      <c r="AD614" s="30"/>
      <c r="AE614" s="33"/>
      <c r="AF614" s="31"/>
      <c r="AG614" s="30"/>
      <c r="AH614" s="30"/>
      <c r="AI614" s="31"/>
      <c r="AJ614" s="31"/>
      <c r="AK614" s="32"/>
    </row>
    <row r="615">
      <c r="A615" s="21" t="s">
        <v>96</v>
      </c>
      <c r="B615" s="22" t="s">
        <v>1666</v>
      </c>
      <c r="C615" s="22" t="s">
        <v>273</v>
      </c>
      <c r="D615" s="26">
        <v>45998.0</v>
      </c>
      <c r="E615" s="22" t="s">
        <v>149</v>
      </c>
      <c r="F615" s="22" t="s">
        <v>83</v>
      </c>
      <c r="G615" s="22" t="s">
        <v>1667</v>
      </c>
      <c r="H615" s="22" t="s">
        <v>96</v>
      </c>
      <c r="I615" s="22">
        <v>1.0450691948867E13</v>
      </c>
      <c r="J615" s="22" t="s">
        <v>1668</v>
      </c>
      <c r="K615" s="24"/>
      <c r="L615" s="22" t="s">
        <v>98</v>
      </c>
      <c r="M615" s="22">
        <v>1.0</v>
      </c>
      <c r="N615" s="22" t="s">
        <v>87</v>
      </c>
      <c r="O615" s="22" t="s">
        <v>88</v>
      </c>
      <c r="P615" s="24"/>
      <c r="Q615" s="22" t="s">
        <v>90</v>
      </c>
      <c r="R615" s="22">
        <v>3.2729314427203E13</v>
      </c>
      <c r="S615" s="24"/>
      <c r="T615" s="24"/>
      <c r="U615" s="24"/>
      <c r="V615" s="22" t="s">
        <v>55</v>
      </c>
      <c r="W615" s="24"/>
      <c r="X615" s="24"/>
      <c r="Y615" s="30"/>
      <c r="Z615" s="30"/>
      <c r="AA615" s="33"/>
      <c r="AB615" s="33"/>
      <c r="AC615" s="30"/>
      <c r="AD615" s="30"/>
      <c r="AE615" s="33"/>
      <c r="AF615" s="31"/>
      <c r="AG615" s="30"/>
      <c r="AH615" s="30"/>
      <c r="AI615" s="31"/>
      <c r="AJ615" s="31"/>
      <c r="AK615" s="32"/>
    </row>
    <row r="616">
      <c r="A616" s="21" t="s">
        <v>141</v>
      </c>
      <c r="B616" s="22" t="s">
        <v>1666</v>
      </c>
      <c r="C616" s="22" t="s">
        <v>273</v>
      </c>
      <c r="D616" s="26">
        <v>45998.0</v>
      </c>
      <c r="E616" s="22" t="s">
        <v>149</v>
      </c>
      <c r="F616" s="22" t="s">
        <v>83</v>
      </c>
      <c r="G616" s="22" t="s">
        <v>1669</v>
      </c>
      <c r="H616" s="22" t="s">
        <v>141</v>
      </c>
      <c r="I616" s="22">
        <v>1.0450733072707E13</v>
      </c>
      <c r="J616" s="22" t="s">
        <v>1668</v>
      </c>
      <c r="K616" s="24"/>
      <c r="L616" s="22" t="s">
        <v>143</v>
      </c>
      <c r="M616" s="22">
        <v>1.0</v>
      </c>
      <c r="N616" s="22" t="s">
        <v>87</v>
      </c>
      <c r="O616" s="22" t="s">
        <v>88</v>
      </c>
      <c r="P616" s="24"/>
      <c r="Q616" s="22" t="s">
        <v>90</v>
      </c>
      <c r="R616" s="22">
        <v>3.2729421906243E13</v>
      </c>
      <c r="S616" s="24"/>
      <c r="T616" s="24"/>
      <c r="U616" s="24"/>
      <c r="V616" s="22" t="s">
        <v>54</v>
      </c>
      <c r="W616" s="24"/>
      <c r="X616" s="24"/>
      <c r="Y616" s="30"/>
      <c r="Z616" s="30"/>
      <c r="AA616" s="33"/>
      <c r="AB616" s="33"/>
      <c r="AC616" s="30"/>
      <c r="AD616" s="30"/>
      <c r="AE616" s="33"/>
      <c r="AF616" s="31"/>
      <c r="AG616" s="30"/>
      <c r="AH616" s="30"/>
      <c r="AI616" s="31"/>
      <c r="AJ616" s="31"/>
      <c r="AK616" s="32"/>
    </row>
    <row r="617">
      <c r="A617" s="21" t="s">
        <v>602</v>
      </c>
      <c r="B617" s="22" t="s">
        <v>1280</v>
      </c>
      <c r="C617" s="22" t="s">
        <v>82</v>
      </c>
      <c r="D617" s="26">
        <v>45997.0</v>
      </c>
      <c r="E617" s="22" t="s">
        <v>149</v>
      </c>
      <c r="F617" s="22" t="s">
        <v>605</v>
      </c>
      <c r="G617" s="22" t="s">
        <v>1670</v>
      </c>
      <c r="H617" s="22" t="s">
        <v>602</v>
      </c>
      <c r="I617" s="22">
        <v>1.0450939380035E13</v>
      </c>
      <c r="J617" s="22" t="s">
        <v>1282</v>
      </c>
      <c r="K617" s="24"/>
      <c r="L617" s="22" t="s">
        <v>608</v>
      </c>
      <c r="M617" s="22">
        <v>1.0</v>
      </c>
      <c r="N617" s="22" t="s">
        <v>609</v>
      </c>
      <c r="O617" s="22" t="s">
        <v>610</v>
      </c>
      <c r="P617" s="24"/>
      <c r="Q617" s="22" t="s">
        <v>90</v>
      </c>
      <c r="R617" s="22">
        <v>3.2729859162435E13</v>
      </c>
      <c r="S617" s="24"/>
      <c r="T617" s="24"/>
      <c r="U617" s="24"/>
      <c r="V617" s="22" t="s">
        <v>54</v>
      </c>
      <c r="W617" s="24"/>
      <c r="X617" s="24"/>
      <c r="Y617" s="30"/>
      <c r="Z617" s="30"/>
      <c r="AA617" s="33"/>
      <c r="AB617" s="33"/>
      <c r="AC617" s="30"/>
      <c r="AD617" s="30"/>
      <c r="AE617" s="33"/>
      <c r="AF617" s="31"/>
      <c r="AG617" s="30"/>
      <c r="AH617" s="30"/>
      <c r="AI617" s="31"/>
      <c r="AJ617" s="31"/>
      <c r="AK617" s="32"/>
    </row>
    <row r="618">
      <c r="A618" s="21" t="s">
        <v>1265</v>
      </c>
      <c r="B618" s="22" t="s">
        <v>1671</v>
      </c>
      <c r="C618" s="22" t="s">
        <v>82</v>
      </c>
      <c r="D618" s="23">
        <v>46004.0</v>
      </c>
      <c r="E618" s="22" t="s">
        <v>219</v>
      </c>
      <c r="F618" s="22" t="s">
        <v>341</v>
      </c>
      <c r="G618" s="22" t="s">
        <v>1672</v>
      </c>
      <c r="H618" s="22" t="s">
        <v>1265</v>
      </c>
      <c r="I618" s="22">
        <v>1.0450979553603E13</v>
      </c>
      <c r="J618" s="22" t="s">
        <v>1673</v>
      </c>
      <c r="K618" s="24"/>
      <c r="L618" s="22" t="s">
        <v>1266</v>
      </c>
      <c r="M618" s="22">
        <v>1.0</v>
      </c>
      <c r="N618" s="22" t="s">
        <v>1267</v>
      </c>
      <c r="O618" s="22" t="s">
        <v>1268</v>
      </c>
      <c r="P618" s="24"/>
      <c r="Q618" s="22" t="s">
        <v>90</v>
      </c>
      <c r="R618" s="22">
        <v>3.2729943441731E13</v>
      </c>
      <c r="S618" s="24"/>
      <c r="T618" s="24"/>
      <c r="U618" s="24"/>
      <c r="V618" s="22" t="s">
        <v>127</v>
      </c>
      <c r="W618" s="24"/>
      <c r="X618" s="24"/>
      <c r="Y618" s="30"/>
      <c r="Z618" s="30"/>
      <c r="AA618" s="33"/>
      <c r="AB618" s="33"/>
      <c r="AC618" s="30"/>
      <c r="AD618" s="30"/>
      <c r="AE618" s="33"/>
      <c r="AF618" s="31"/>
      <c r="AG618" s="30"/>
      <c r="AH618" s="30"/>
      <c r="AI618" s="31"/>
      <c r="AJ618" s="31"/>
      <c r="AK618" s="32"/>
    </row>
    <row r="619">
      <c r="A619" s="21" t="s">
        <v>1674</v>
      </c>
      <c r="B619" s="22" t="s">
        <v>1675</v>
      </c>
      <c r="C619" s="22" t="s">
        <v>273</v>
      </c>
      <c r="D619" s="26">
        <v>45998.0</v>
      </c>
      <c r="E619" s="22" t="s">
        <v>211</v>
      </c>
      <c r="F619" s="22" t="s">
        <v>440</v>
      </c>
      <c r="G619" s="22" t="s">
        <v>1676</v>
      </c>
      <c r="H619" s="22" t="s">
        <v>1674</v>
      </c>
      <c r="I619" s="22">
        <v>1.0450988237123E13</v>
      </c>
      <c r="J619" s="22" t="s">
        <v>1677</v>
      </c>
      <c r="K619" s="24"/>
      <c r="L619" s="22" t="s">
        <v>1678</v>
      </c>
      <c r="M619" s="22">
        <v>1.0</v>
      </c>
      <c r="N619" s="22" t="s">
        <v>444</v>
      </c>
      <c r="O619" s="22" t="s">
        <v>445</v>
      </c>
      <c r="P619" s="24"/>
      <c r="Q619" s="22" t="s">
        <v>90</v>
      </c>
      <c r="R619" s="22">
        <v>3.2729960513859E13</v>
      </c>
      <c r="S619" s="24"/>
      <c r="T619" s="24"/>
      <c r="U619" s="24"/>
      <c r="V619" s="22" t="s">
        <v>95</v>
      </c>
      <c r="W619" s="24"/>
      <c r="X619" s="24"/>
      <c r="Y619" s="30"/>
      <c r="Z619" s="30"/>
      <c r="AA619" s="33"/>
      <c r="AB619" s="33"/>
      <c r="AC619" s="30"/>
      <c r="AD619" s="30"/>
      <c r="AE619" s="33"/>
      <c r="AF619" s="31"/>
      <c r="AG619" s="30"/>
      <c r="AH619" s="30"/>
      <c r="AI619" s="31"/>
      <c r="AJ619" s="31"/>
      <c r="AK619" s="32"/>
    </row>
    <row r="620">
      <c r="A620" s="21" t="s">
        <v>458</v>
      </c>
      <c r="B620" s="22" t="s">
        <v>504</v>
      </c>
      <c r="C620" s="22" t="s">
        <v>82</v>
      </c>
      <c r="D620" s="26">
        <v>45997.0</v>
      </c>
      <c r="E620" s="22" t="s">
        <v>211</v>
      </c>
      <c r="F620" s="22" t="s">
        <v>341</v>
      </c>
      <c r="G620" s="22" t="s">
        <v>1679</v>
      </c>
      <c r="H620" s="22" t="s">
        <v>458</v>
      </c>
      <c r="I620" s="22">
        <v>1.0450988368195E13</v>
      </c>
      <c r="J620" s="22" t="s">
        <v>506</v>
      </c>
      <c r="K620" s="24"/>
      <c r="L620" s="22" t="s">
        <v>462</v>
      </c>
      <c r="M620" s="22">
        <v>1.0</v>
      </c>
      <c r="N620" s="22" t="s">
        <v>345</v>
      </c>
      <c r="O620" s="22" t="s">
        <v>346</v>
      </c>
      <c r="P620" s="24"/>
      <c r="Q620" s="22" t="s">
        <v>90</v>
      </c>
      <c r="R620" s="22">
        <v>3.2729960677699E13</v>
      </c>
      <c r="S620" s="24"/>
      <c r="T620" s="24"/>
      <c r="U620" s="24"/>
      <c r="V620" s="22" t="s">
        <v>91</v>
      </c>
      <c r="W620" s="24"/>
      <c r="X620" s="24"/>
      <c r="Y620" s="30"/>
      <c r="Z620" s="30"/>
      <c r="AA620" s="33"/>
      <c r="AB620" s="33"/>
      <c r="AC620" s="30"/>
      <c r="AD620" s="30"/>
      <c r="AE620" s="33"/>
      <c r="AF620" s="31"/>
      <c r="AG620" s="30"/>
      <c r="AH620" s="30"/>
      <c r="AI620" s="31"/>
      <c r="AJ620" s="31"/>
      <c r="AK620" s="32"/>
    </row>
    <row r="621">
      <c r="A621" s="21" t="s">
        <v>778</v>
      </c>
      <c r="B621" s="22" t="s">
        <v>574</v>
      </c>
      <c r="C621" s="22" t="s">
        <v>273</v>
      </c>
      <c r="D621" s="26">
        <v>45998.0</v>
      </c>
      <c r="E621" s="22" t="s">
        <v>187</v>
      </c>
      <c r="F621" s="22" t="s">
        <v>440</v>
      </c>
      <c r="G621" s="22" t="s">
        <v>1680</v>
      </c>
      <c r="H621" s="22" t="s">
        <v>778</v>
      </c>
      <c r="I621" s="22">
        <v>1.0451021824323E13</v>
      </c>
      <c r="J621" s="22" t="s">
        <v>576</v>
      </c>
      <c r="K621" s="24"/>
      <c r="L621" s="22" t="s">
        <v>780</v>
      </c>
      <c r="M621" s="22">
        <v>1.0</v>
      </c>
      <c r="N621" s="22" t="s">
        <v>781</v>
      </c>
      <c r="O621" s="22" t="s">
        <v>782</v>
      </c>
      <c r="P621" s="24"/>
      <c r="Q621" s="22" t="s">
        <v>90</v>
      </c>
      <c r="R621" s="22">
        <v>3.2730038665539E13</v>
      </c>
      <c r="S621" s="24"/>
      <c r="T621" s="24"/>
      <c r="U621" s="24"/>
      <c r="V621" s="22" t="s">
        <v>127</v>
      </c>
      <c r="W621" s="24"/>
      <c r="X621" s="24"/>
      <c r="Y621" s="30"/>
      <c r="Z621" s="30"/>
      <c r="AA621" s="33"/>
      <c r="AB621" s="33"/>
      <c r="AC621" s="30"/>
      <c r="AD621" s="30"/>
      <c r="AE621" s="33"/>
      <c r="AF621" s="31"/>
      <c r="AG621" s="30"/>
      <c r="AH621" s="30"/>
      <c r="AI621" s="31"/>
      <c r="AJ621" s="31"/>
      <c r="AK621" s="32"/>
    </row>
    <row r="622">
      <c r="A622" s="21" t="s">
        <v>569</v>
      </c>
      <c r="B622" s="22" t="s">
        <v>471</v>
      </c>
      <c r="C622" s="22" t="s">
        <v>82</v>
      </c>
      <c r="D622" s="26">
        <v>45997.0</v>
      </c>
      <c r="E622" s="22" t="s">
        <v>134</v>
      </c>
      <c r="F622" s="22" t="s">
        <v>472</v>
      </c>
      <c r="G622" s="22" t="s">
        <v>1681</v>
      </c>
      <c r="H622" s="22" t="s">
        <v>569</v>
      </c>
      <c r="I622" s="22">
        <v>1.0451028083011E13</v>
      </c>
      <c r="J622" s="22" t="s">
        <v>474</v>
      </c>
      <c r="K622" s="24"/>
      <c r="L622" s="22" t="s">
        <v>571</v>
      </c>
      <c r="M622" s="22">
        <v>1.0</v>
      </c>
      <c r="N622" s="22" t="s">
        <v>534</v>
      </c>
      <c r="O622" s="22" t="s">
        <v>535</v>
      </c>
      <c r="P622" s="24"/>
      <c r="Q622" s="22" t="s">
        <v>90</v>
      </c>
      <c r="R622" s="22">
        <v>3.2730052985155E13</v>
      </c>
      <c r="S622" s="24"/>
      <c r="T622" s="24"/>
      <c r="U622" s="24"/>
      <c r="V622" s="22" t="s">
        <v>105</v>
      </c>
      <c r="W622" s="24"/>
      <c r="X622" s="24"/>
      <c r="Y622" s="30"/>
      <c r="Z622" s="30"/>
      <c r="AA622" s="33"/>
      <c r="AB622" s="33"/>
      <c r="AC622" s="30"/>
      <c r="AD622" s="30"/>
      <c r="AE622" s="33"/>
      <c r="AF622" s="31"/>
      <c r="AG622" s="30"/>
      <c r="AH622" s="30"/>
      <c r="AI622" s="31"/>
      <c r="AJ622" s="31"/>
      <c r="AK622" s="32"/>
    </row>
    <row r="623">
      <c r="A623" s="21" t="s">
        <v>495</v>
      </c>
      <c r="B623" s="22" t="s">
        <v>1039</v>
      </c>
      <c r="C623" s="22" t="s">
        <v>273</v>
      </c>
      <c r="D623" s="23">
        <v>45991.0</v>
      </c>
      <c r="E623" s="22" t="s">
        <v>248</v>
      </c>
      <c r="F623" s="22" t="s">
        <v>329</v>
      </c>
      <c r="G623" s="22" t="s">
        <v>1682</v>
      </c>
      <c r="H623" s="22" t="s">
        <v>495</v>
      </c>
      <c r="I623" s="22">
        <v>1.0451120226627E13</v>
      </c>
      <c r="J623" s="22" t="s">
        <v>1041</v>
      </c>
      <c r="K623" s="24"/>
      <c r="L623" s="22" t="s">
        <v>500</v>
      </c>
      <c r="M623" s="22">
        <v>1.0</v>
      </c>
      <c r="N623" s="22" t="s">
        <v>333</v>
      </c>
      <c r="O623" s="22" t="s">
        <v>334</v>
      </c>
      <c r="P623" s="24"/>
      <c r="Q623" s="22" t="s">
        <v>90</v>
      </c>
      <c r="R623" s="22">
        <v>3.2730253656387E13</v>
      </c>
      <c r="S623" s="24"/>
      <c r="T623" s="24"/>
      <c r="U623" s="24"/>
      <c r="V623" s="22" t="s">
        <v>54</v>
      </c>
      <c r="W623" s="24"/>
      <c r="X623" s="24"/>
      <c r="Y623" s="30"/>
      <c r="Z623" s="30"/>
      <c r="AA623" s="33"/>
      <c r="AB623" s="33"/>
      <c r="AC623" s="30"/>
      <c r="AD623" s="30"/>
      <c r="AE623" s="33"/>
      <c r="AF623" s="31"/>
      <c r="AG623" s="30"/>
      <c r="AH623" s="30"/>
      <c r="AI623" s="31"/>
      <c r="AJ623" s="31"/>
      <c r="AK623" s="32"/>
    </row>
    <row r="624">
      <c r="A624" s="21" t="s">
        <v>449</v>
      </c>
      <c r="B624" s="22" t="s">
        <v>1683</v>
      </c>
      <c r="C624" s="22" t="s">
        <v>273</v>
      </c>
      <c r="D624" s="26">
        <v>45998.0</v>
      </c>
      <c r="E624" s="22" t="s">
        <v>522</v>
      </c>
      <c r="F624" s="22" t="s">
        <v>451</v>
      </c>
      <c r="G624" s="22" t="s">
        <v>1684</v>
      </c>
      <c r="H624" s="22" t="s">
        <v>449</v>
      </c>
      <c r="I624" s="22">
        <v>1.0451124846915E13</v>
      </c>
      <c r="J624" s="22" t="s">
        <v>1685</v>
      </c>
      <c r="K624" s="24"/>
      <c r="L624" s="22" t="s">
        <v>454</v>
      </c>
      <c r="M624" s="22">
        <v>1.0</v>
      </c>
      <c r="N624" s="22" t="s">
        <v>455</v>
      </c>
      <c r="O624" s="22" t="s">
        <v>456</v>
      </c>
      <c r="P624" s="24"/>
      <c r="Q624" s="22" t="s">
        <v>90</v>
      </c>
      <c r="R624" s="22">
        <v>3.2730263978307E13</v>
      </c>
      <c r="S624" s="24"/>
      <c r="T624" s="24"/>
      <c r="U624" s="24"/>
      <c r="V624" s="22" t="s">
        <v>54</v>
      </c>
      <c r="W624" s="24"/>
      <c r="X624" s="24"/>
      <c r="Y624" s="30"/>
      <c r="Z624" s="30"/>
      <c r="AA624" s="33"/>
      <c r="AB624" s="33"/>
      <c r="AC624" s="30"/>
      <c r="AD624" s="30"/>
      <c r="AE624" s="33"/>
      <c r="AF624" s="31"/>
      <c r="AG624" s="30"/>
      <c r="AH624" s="30"/>
      <c r="AI624" s="31"/>
      <c r="AJ624" s="31"/>
      <c r="AK624" s="32"/>
    </row>
    <row r="625">
      <c r="A625" s="21" t="s">
        <v>386</v>
      </c>
      <c r="B625" s="22" t="s">
        <v>1000</v>
      </c>
      <c r="C625" s="22" t="s">
        <v>273</v>
      </c>
      <c r="D625" s="26">
        <v>45998.0</v>
      </c>
      <c r="E625" s="22" t="s">
        <v>134</v>
      </c>
      <c r="F625" s="22" t="s">
        <v>311</v>
      </c>
      <c r="G625" s="22" t="s">
        <v>1686</v>
      </c>
      <c r="H625" s="22" t="s">
        <v>386</v>
      </c>
      <c r="I625" s="22">
        <v>1.0451132645699E13</v>
      </c>
      <c r="J625" s="22" t="s">
        <v>1002</v>
      </c>
      <c r="K625" s="24"/>
      <c r="L625" s="22" t="s">
        <v>390</v>
      </c>
      <c r="M625" s="22">
        <v>1.0</v>
      </c>
      <c r="N625" s="22" t="s">
        <v>391</v>
      </c>
      <c r="O625" s="22" t="s">
        <v>392</v>
      </c>
      <c r="P625" s="24"/>
      <c r="Q625" s="22" t="s">
        <v>90</v>
      </c>
      <c r="R625" s="22">
        <v>3.2730282426691E13</v>
      </c>
      <c r="S625" s="24"/>
      <c r="T625" s="24"/>
      <c r="U625" s="24"/>
      <c r="V625" s="22" t="s">
        <v>55</v>
      </c>
      <c r="W625" s="24"/>
      <c r="X625" s="24"/>
      <c r="Y625" s="30"/>
      <c r="Z625" s="30"/>
      <c r="AA625" s="33"/>
      <c r="AB625" s="33"/>
      <c r="AC625" s="30"/>
      <c r="AD625" s="30"/>
      <c r="AE625" s="33"/>
      <c r="AF625" s="31"/>
      <c r="AG625" s="30"/>
      <c r="AH625" s="30"/>
      <c r="AI625" s="31"/>
      <c r="AJ625" s="31"/>
      <c r="AK625" s="32"/>
    </row>
    <row r="626">
      <c r="A626" s="21" t="s">
        <v>602</v>
      </c>
      <c r="B626" s="22" t="s">
        <v>1687</v>
      </c>
      <c r="C626" s="22" t="s">
        <v>82</v>
      </c>
      <c r="D626" s="26">
        <v>45997.0</v>
      </c>
      <c r="E626" s="22" t="s">
        <v>302</v>
      </c>
      <c r="F626" s="22" t="s">
        <v>605</v>
      </c>
      <c r="G626" s="22" t="s">
        <v>1688</v>
      </c>
      <c r="H626" s="22" t="s">
        <v>602</v>
      </c>
      <c r="I626" s="22">
        <v>1.0451139985731E13</v>
      </c>
      <c r="J626" s="22" t="s">
        <v>1689</v>
      </c>
      <c r="K626" s="24"/>
      <c r="L626" s="22" t="s">
        <v>608</v>
      </c>
      <c r="M626" s="22">
        <v>1.0</v>
      </c>
      <c r="N626" s="22" t="s">
        <v>609</v>
      </c>
      <c r="O626" s="22" t="s">
        <v>610</v>
      </c>
      <c r="P626" s="24"/>
      <c r="Q626" s="22" t="s">
        <v>90</v>
      </c>
      <c r="R626" s="22">
        <v>3.2730297991491E13</v>
      </c>
      <c r="S626" s="24"/>
      <c r="T626" s="24"/>
      <c r="U626" s="24"/>
      <c r="V626" s="22" t="s">
        <v>54</v>
      </c>
      <c r="W626" s="24"/>
      <c r="X626" s="24"/>
      <c r="Y626" s="30"/>
      <c r="Z626" s="30"/>
      <c r="AA626" s="33"/>
      <c r="AB626" s="33"/>
      <c r="AC626" s="30"/>
      <c r="AD626" s="30"/>
      <c r="AE626" s="33"/>
      <c r="AF626" s="31"/>
      <c r="AG626" s="30"/>
      <c r="AH626" s="30"/>
      <c r="AI626" s="31"/>
      <c r="AJ626" s="31"/>
      <c r="AK626" s="32"/>
    </row>
    <row r="627">
      <c r="A627" s="21" t="s">
        <v>276</v>
      </c>
      <c r="B627" s="22" t="s">
        <v>1690</v>
      </c>
      <c r="C627" s="22" t="s">
        <v>82</v>
      </c>
      <c r="D627" s="26">
        <v>45997.0</v>
      </c>
      <c r="E627" s="22" t="s">
        <v>266</v>
      </c>
      <c r="F627" s="22" t="s">
        <v>278</v>
      </c>
      <c r="G627" s="22" t="s">
        <v>1691</v>
      </c>
      <c r="H627" s="22" t="s">
        <v>276</v>
      </c>
      <c r="I627" s="22">
        <v>1.0451141132611E13</v>
      </c>
      <c r="J627" s="22" t="s">
        <v>1692</v>
      </c>
      <c r="K627" s="24"/>
      <c r="L627" s="22" t="s">
        <v>281</v>
      </c>
      <c r="M627" s="22">
        <v>1.0</v>
      </c>
      <c r="N627" s="22" t="s">
        <v>282</v>
      </c>
      <c r="O627" s="22" t="s">
        <v>283</v>
      </c>
      <c r="P627" s="24"/>
      <c r="Q627" s="22" t="s">
        <v>90</v>
      </c>
      <c r="R627" s="22">
        <v>3.2730301104451E13</v>
      </c>
      <c r="S627" s="24"/>
      <c r="T627" s="24"/>
      <c r="U627" s="24"/>
      <c r="V627" s="22" t="s">
        <v>55</v>
      </c>
      <c r="W627" s="24"/>
      <c r="X627" s="24"/>
      <c r="Y627" s="30"/>
      <c r="Z627" s="30"/>
      <c r="AA627" s="33"/>
      <c r="AB627" s="33"/>
      <c r="AC627" s="30"/>
      <c r="AD627" s="30"/>
      <c r="AE627" s="33"/>
      <c r="AF627" s="31"/>
      <c r="AG627" s="30"/>
      <c r="AH627" s="30"/>
      <c r="AI627" s="31"/>
      <c r="AJ627" s="31"/>
      <c r="AK627" s="32"/>
    </row>
    <row r="628">
      <c r="A628" s="21" t="s">
        <v>529</v>
      </c>
      <c r="B628" s="22" t="s">
        <v>530</v>
      </c>
      <c r="C628" s="22" t="s">
        <v>82</v>
      </c>
      <c r="D628" s="26">
        <v>45997.0</v>
      </c>
      <c r="E628" s="22" t="s">
        <v>149</v>
      </c>
      <c r="F628" s="22" t="s">
        <v>472</v>
      </c>
      <c r="G628" s="22" t="s">
        <v>1693</v>
      </c>
      <c r="H628" s="22" t="s">
        <v>529</v>
      </c>
      <c r="I628" s="22">
        <v>1.0451142869315E13</v>
      </c>
      <c r="J628" s="22" t="s">
        <v>537</v>
      </c>
      <c r="K628" s="24"/>
      <c r="L628" s="22" t="s">
        <v>533</v>
      </c>
      <c r="M628" s="22">
        <v>1.0</v>
      </c>
      <c r="N628" s="22" t="s">
        <v>534</v>
      </c>
      <c r="O628" s="22" t="s">
        <v>535</v>
      </c>
      <c r="P628" s="24"/>
      <c r="Q628" s="22" t="s">
        <v>90</v>
      </c>
      <c r="R628" s="22">
        <v>3.2730305397059E13</v>
      </c>
      <c r="S628" s="24"/>
      <c r="T628" s="24"/>
      <c r="U628" s="24"/>
      <c r="V628" s="22" t="s">
        <v>127</v>
      </c>
      <c r="W628" s="24"/>
      <c r="X628" s="24"/>
      <c r="Y628" s="30"/>
      <c r="Z628" s="30"/>
      <c r="AA628" s="33"/>
      <c r="AB628" s="33"/>
      <c r="AC628" s="30"/>
      <c r="AD628" s="30"/>
      <c r="AE628" s="33"/>
      <c r="AF628" s="31"/>
      <c r="AG628" s="30"/>
      <c r="AH628" s="30"/>
      <c r="AI628" s="31"/>
      <c r="AJ628" s="31"/>
      <c r="AK628" s="32"/>
    </row>
    <row r="629">
      <c r="A629" s="21" t="s">
        <v>595</v>
      </c>
      <c r="B629" s="22" t="s">
        <v>587</v>
      </c>
      <c r="C629" s="22" t="s">
        <v>273</v>
      </c>
      <c r="D629" s="26">
        <v>45998.0</v>
      </c>
      <c r="E629" s="22" t="s">
        <v>153</v>
      </c>
      <c r="F629" s="22" t="s">
        <v>369</v>
      </c>
      <c r="G629" s="22" t="s">
        <v>1694</v>
      </c>
      <c r="H629" s="22" t="s">
        <v>595</v>
      </c>
      <c r="I629" s="22">
        <v>1.0451143393603E13</v>
      </c>
      <c r="J629" s="22" t="s">
        <v>589</v>
      </c>
      <c r="K629" s="24"/>
      <c r="L629" s="22" t="s">
        <v>599</v>
      </c>
      <c r="M629" s="22">
        <v>1.0</v>
      </c>
      <c r="N629" s="22" t="s">
        <v>600</v>
      </c>
      <c r="O629" s="22" t="s">
        <v>601</v>
      </c>
      <c r="P629" s="24"/>
      <c r="Q629" s="22" t="s">
        <v>90</v>
      </c>
      <c r="R629" s="22">
        <v>3.2730306904387E13</v>
      </c>
      <c r="S629" s="24"/>
      <c r="T629" s="24"/>
      <c r="U629" s="24"/>
      <c r="V629" s="22" t="s">
        <v>127</v>
      </c>
      <c r="W629" s="24"/>
      <c r="X629" s="24"/>
      <c r="Y629" s="30"/>
      <c r="Z629" s="30"/>
      <c r="AA629" s="33"/>
      <c r="AB629" s="33"/>
      <c r="AC629" s="30"/>
      <c r="AD629" s="30"/>
      <c r="AE629" s="33"/>
      <c r="AF629" s="31"/>
      <c r="AG629" s="30"/>
      <c r="AH629" s="30"/>
      <c r="AI629" s="31"/>
      <c r="AJ629" s="31"/>
      <c r="AK629" s="32"/>
    </row>
    <row r="630">
      <c r="A630" s="21" t="s">
        <v>696</v>
      </c>
      <c r="B630" s="22" t="s">
        <v>815</v>
      </c>
      <c r="C630" s="22" t="s">
        <v>82</v>
      </c>
      <c r="D630" s="26">
        <v>45997.0</v>
      </c>
      <c r="E630" s="22" t="s">
        <v>187</v>
      </c>
      <c r="F630" s="22" t="s">
        <v>698</v>
      </c>
      <c r="G630" s="22" t="s">
        <v>1695</v>
      </c>
      <c r="H630" s="22" t="s">
        <v>696</v>
      </c>
      <c r="I630" s="22">
        <v>1.0451144081731E13</v>
      </c>
      <c r="J630" s="22" t="s">
        <v>817</v>
      </c>
      <c r="K630" s="24"/>
      <c r="L630" s="22" t="s">
        <v>701</v>
      </c>
      <c r="M630" s="22">
        <v>1.0</v>
      </c>
      <c r="N630" s="22" t="s">
        <v>702</v>
      </c>
      <c r="O630" s="22" t="s">
        <v>703</v>
      </c>
      <c r="P630" s="24"/>
      <c r="Q630" s="22" t="s">
        <v>90</v>
      </c>
      <c r="R630" s="22">
        <v>3.2730308608323E13</v>
      </c>
      <c r="S630" s="24"/>
      <c r="T630" s="24"/>
      <c r="U630" s="24"/>
      <c r="V630" s="22" t="s">
        <v>55</v>
      </c>
      <c r="W630" s="24"/>
      <c r="X630" s="24"/>
      <c r="Y630" s="30"/>
      <c r="Z630" s="30"/>
      <c r="AA630" s="33"/>
      <c r="AB630" s="33"/>
      <c r="AC630" s="30"/>
      <c r="AD630" s="30"/>
      <c r="AE630" s="33"/>
      <c r="AF630" s="31"/>
      <c r="AG630" s="30"/>
      <c r="AH630" s="30"/>
      <c r="AI630" s="31"/>
      <c r="AJ630" s="31"/>
      <c r="AK630" s="32"/>
    </row>
    <row r="631">
      <c r="A631" s="21" t="s">
        <v>837</v>
      </c>
      <c r="B631" s="22" t="s">
        <v>815</v>
      </c>
      <c r="C631" s="22" t="s">
        <v>82</v>
      </c>
      <c r="D631" s="26">
        <v>45997.0</v>
      </c>
      <c r="E631" s="22" t="s">
        <v>187</v>
      </c>
      <c r="F631" s="22" t="s">
        <v>698</v>
      </c>
      <c r="G631" s="22" t="s">
        <v>1696</v>
      </c>
      <c r="H631" s="22" t="s">
        <v>837</v>
      </c>
      <c r="I631" s="22">
        <v>1.0451073663299E13</v>
      </c>
      <c r="J631" s="22" t="s">
        <v>817</v>
      </c>
      <c r="K631" s="24"/>
      <c r="L631" s="22" t="s">
        <v>839</v>
      </c>
      <c r="M631" s="22">
        <v>1.0</v>
      </c>
      <c r="N631" s="22" t="s">
        <v>819</v>
      </c>
      <c r="O631" s="22" t="s">
        <v>820</v>
      </c>
      <c r="P631" s="24"/>
      <c r="Q631" s="22" t="s">
        <v>90</v>
      </c>
      <c r="R631" s="22">
        <v>3.2730149585219E13</v>
      </c>
      <c r="S631" s="24"/>
      <c r="T631" s="24"/>
      <c r="U631" s="24"/>
      <c r="V631" s="22" t="s">
        <v>105</v>
      </c>
      <c r="W631" s="24"/>
      <c r="X631" s="24"/>
      <c r="Y631" s="30"/>
      <c r="Z631" s="30"/>
      <c r="AA631" s="33"/>
      <c r="AB631" s="33"/>
      <c r="AC631" s="30"/>
      <c r="AD631" s="30"/>
      <c r="AE631" s="33"/>
      <c r="AF631" s="31"/>
      <c r="AG631" s="30"/>
      <c r="AH631" s="30"/>
      <c r="AI631" s="31"/>
      <c r="AJ631" s="31"/>
      <c r="AK631" s="32"/>
    </row>
    <row r="632">
      <c r="A632" s="21" t="s">
        <v>696</v>
      </c>
      <c r="B632" s="22" t="s">
        <v>815</v>
      </c>
      <c r="C632" s="22" t="s">
        <v>82</v>
      </c>
      <c r="D632" s="26">
        <v>45997.0</v>
      </c>
      <c r="E632" s="22" t="s">
        <v>187</v>
      </c>
      <c r="F632" s="22" t="s">
        <v>698</v>
      </c>
      <c r="G632" s="22" t="s">
        <v>1697</v>
      </c>
      <c r="H632" s="22" t="s">
        <v>696</v>
      </c>
      <c r="I632" s="22">
        <v>1.0451147325763E13</v>
      </c>
      <c r="J632" s="22" t="s">
        <v>817</v>
      </c>
      <c r="K632" s="24"/>
      <c r="L632" s="22" t="s">
        <v>701</v>
      </c>
      <c r="M632" s="22">
        <v>1.0</v>
      </c>
      <c r="N632" s="22" t="s">
        <v>702</v>
      </c>
      <c r="O632" s="22" t="s">
        <v>703</v>
      </c>
      <c r="P632" s="24"/>
      <c r="Q632" s="22" t="s">
        <v>90</v>
      </c>
      <c r="R632" s="22">
        <v>3.2730315292995E13</v>
      </c>
      <c r="S632" s="24"/>
      <c r="T632" s="24"/>
      <c r="U632" s="24"/>
      <c r="V632" s="22" t="s">
        <v>55</v>
      </c>
      <c r="W632" s="24"/>
      <c r="X632" s="24"/>
      <c r="Y632" s="30"/>
      <c r="Z632" s="30"/>
      <c r="AA632" s="33"/>
      <c r="AB632" s="33"/>
      <c r="AC632" s="30"/>
      <c r="AD632" s="30"/>
      <c r="AE632" s="33"/>
      <c r="AF632" s="31"/>
      <c r="AG632" s="30"/>
      <c r="AH632" s="30"/>
      <c r="AI632" s="31"/>
      <c r="AJ632" s="31"/>
      <c r="AK632" s="32"/>
    </row>
    <row r="633">
      <c r="A633" s="21" t="s">
        <v>1464</v>
      </c>
      <c r="B633" s="22" t="s">
        <v>1618</v>
      </c>
      <c r="C633" s="22" t="s">
        <v>82</v>
      </c>
      <c r="D633" s="26">
        <v>45997.0</v>
      </c>
      <c r="E633" s="22" t="s">
        <v>975</v>
      </c>
      <c r="F633" s="22" t="s">
        <v>1466</v>
      </c>
      <c r="G633" s="22" t="s">
        <v>1698</v>
      </c>
      <c r="H633" s="22" t="s">
        <v>1464</v>
      </c>
      <c r="I633" s="22">
        <v>1.0451148243267E13</v>
      </c>
      <c r="J633" s="22" t="s">
        <v>1620</v>
      </c>
      <c r="K633" s="24"/>
      <c r="L633" s="22" t="s">
        <v>1469</v>
      </c>
      <c r="M633" s="22">
        <v>1.0</v>
      </c>
      <c r="N633" s="22" t="s">
        <v>1470</v>
      </c>
      <c r="O633" s="22" t="s">
        <v>1471</v>
      </c>
      <c r="P633" s="24"/>
      <c r="Q633" s="22" t="s">
        <v>90</v>
      </c>
      <c r="R633" s="22">
        <v>3.2730317553987E13</v>
      </c>
      <c r="S633" s="24"/>
      <c r="T633" s="24"/>
      <c r="U633" s="24"/>
      <c r="V633" s="22" t="s">
        <v>55</v>
      </c>
      <c r="W633" s="24"/>
      <c r="X633" s="24"/>
      <c r="Y633" s="30"/>
      <c r="Z633" s="30"/>
      <c r="AA633" s="33"/>
      <c r="AB633" s="33"/>
      <c r="AC633" s="30"/>
      <c r="AD633" s="30"/>
      <c r="AE633" s="33"/>
      <c r="AF633" s="31"/>
      <c r="AG633" s="30"/>
      <c r="AH633" s="30"/>
      <c r="AI633" s="31"/>
      <c r="AJ633" s="31"/>
      <c r="AK633" s="32"/>
    </row>
    <row r="634">
      <c r="A634" s="21" t="s">
        <v>732</v>
      </c>
      <c r="B634" s="22" t="s">
        <v>1699</v>
      </c>
      <c r="C634" s="22" t="s">
        <v>273</v>
      </c>
      <c r="D634" s="26">
        <v>45998.0</v>
      </c>
      <c r="E634" s="22" t="s">
        <v>1624</v>
      </c>
      <c r="F634" s="22" t="s">
        <v>634</v>
      </c>
      <c r="G634" s="22" t="s">
        <v>1700</v>
      </c>
      <c r="H634" s="22" t="s">
        <v>732</v>
      </c>
      <c r="I634" s="22">
        <v>1.0451151651139E13</v>
      </c>
      <c r="J634" s="22" t="s">
        <v>1701</v>
      </c>
      <c r="K634" s="24"/>
      <c r="L634" s="22" t="s">
        <v>737</v>
      </c>
      <c r="M634" s="22">
        <v>1.0</v>
      </c>
      <c r="N634" s="22" t="s">
        <v>738</v>
      </c>
      <c r="O634" s="22" t="s">
        <v>739</v>
      </c>
      <c r="P634" s="24"/>
      <c r="Q634" s="22" t="s">
        <v>90</v>
      </c>
      <c r="R634" s="22">
        <v>3.2730325385539E13</v>
      </c>
      <c r="S634" s="24"/>
      <c r="T634" s="24"/>
      <c r="U634" s="24"/>
      <c r="V634" s="22" t="s">
        <v>105</v>
      </c>
      <c r="W634" s="24"/>
      <c r="X634" s="24"/>
      <c r="Y634" s="30"/>
      <c r="Z634" s="30"/>
      <c r="AA634" s="33"/>
      <c r="AB634" s="33"/>
      <c r="AC634" s="30"/>
      <c r="AD634" s="30"/>
      <c r="AE634" s="33"/>
      <c r="AF634" s="31"/>
      <c r="AG634" s="30"/>
      <c r="AH634" s="30"/>
      <c r="AI634" s="31"/>
      <c r="AJ634" s="31"/>
      <c r="AK634" s="32"/>
    </row>
    <row r="635">
      <c r="A635" s="21" t="s">
        <v>689</v>
      </c>
      <c r="B635" s="22" t="s">
        <v>512</v>
      </c>
      <c r="C635" s="22" t="s">
        <v>82</v>
      </c>
      <c r="D635" s="26">
        <v>45997.0</v>
      </c>
      <c r="E635" s="22" t="s">
        <v>153</v>
      </c>
      <c r="F635" s="22" t="s">
        <v>377</v>
      </c>
      <c r="G635" s="22" t="s">
        <v>1702</v>
      </c>
      <c r="H635" s="22" t="s">
        <v>689</v>
      </c>
      <c r="I635" s="22">
        <v>1.0451152372035E13</v>
      </c>
      <c r="J635" s="22" t="s">
        <v>514</v>
      </c>
      <c r="K635" s="24"/>
      <c r="L635" s="22" t="s">
        <v>691</v>
      </c>
      <c r="M635" s="22">
        <v>1.0</v>
      </c>
      <c r="N635" s="22" t="s">
        <v>413</v>
      </c>
      <c r="O635" s="22" t="s">
        <v>414</v>
      </c>
      <c r="P635" s="24"/>
      <c r="Q635" s="22" t="s">
        <v>90</v>
      </c>
      <c r="R635" s="22">
        <v>3.2730327187779E13</v>
      </c>
      <c r="S635" s="24"/>
      <c r="T635" s="24"/>
      <c r="U635" s="24"/>
      <c r="V635" s="22" t="s">
        <v>175</v>
      </c>
      <c r="W635" s="24"/>
      <c r="X635" s="24"/>
      <c r="Y635" s="30"/>
      <c r="Z635" s="30"/>
      <c r="AA635" s="33"/>
      <c r="AB635" s="33"/>
      <c r="AC635" s="30"/>
      <c r="AD635" s="30"/>
      <c r="AE635" s="33"/>
      <c r="AF635" s="31"/>
      <c r="AG635" s="30"/>
      <c r="AH635" s="30"/>
      <c r="AI635" s="31"/>
      <c r="AJ635" s="31"/>
      <c r="AK635" s="32"/>
    </row>
    <row r="636">
      <c r="A636" s="21" t="s">
        <v>1703</v>
      </c>
      <c r="B636" s="22" t="s">
        <v>420</v>
      </c>
      <c r="C636" s="22" t="s">
        <v>82</v>
      </c>
      <c r="D636" s="26">
        <v>45997.0</v>
      </c>
      <c r="E636" s="22" t="s">
        <v>153</v>
      </c>
      <c r="F636" s="22" t="s">
        <v>278</v>
      </c>
      <c r="G636" s="22" t="s">
        <v>1704</v>
      </c>
      <c r="H636" s="22" t="s">
        <v>1703</v>
      </c>
      <c r="I636" s="22">
        <v>1.0451155747139E13</v>
      </c>
      <c r="J636" s="22" t="s">
        <v>568</v>
      </c>
      <c r="K636" s="24"/>
      <c r="L636" s="22" t="s">
        <v>1705</v>
      </c>
      <c r="M636" s="22">
        <v>1.0</v>
      </c>
      <c r="N636" s="22" t="s">
        <v>351</v>
      </c>
      <c r="O636" s="22" t="s">
        <v>352</v>
      </c>
      <c r="P636" s="24"/>
      <c r="Q636" s="22" t="s">
        <v>90</v>
      </c>
      <c r="R636" s="22">
        <v>3.2730334560579E13</v>
      </c>
      <c r="S636" s="24"/>
      <c r="T636" s="24"/>
      <c r="U636" s="24"/>
      <c r="V636" s="22" t="s">
        <v>105</v>
      </c>
      <c r="W636" s="24"/>
      <c r="X636" s="24"/>
      <c r="Y636" s="30"/>
      <c r="Z636" s="30"/>
      <c r="AA636" s="33"/>
      <c r="AB636" s="33"/>
      <c r="AC636" s="30"/>
      <c r="AD636" s="30"/>
      <c r="AE636" s="33"/>
      <c r="AF636" s="31"/>
      <c r="AG636" s="30"/>
      <c r="AH636" s="30"/>
      <c r="AI636" s="31"/>
      <c r="AJ636" s="31"/>
      <c r="AK636" s="32"/>
    </row>
    <row r="637">
      <c r="A637" s="21" t="s">
        <v>580</v>
      </c>
      <c r="B637" s="22" t="s">
        <v>741</v>
      </c>
      <c r="C637" s="22" t="s">
        <v>82</v>
      </c>
      <c r="D637" s="26">
        <v>45997.0</v>
      </c>
      <c r="E637" s="22" t="s">
        <v>134</v>
      </c>
      <c r="F637" s="22" t="s">
        <v>303</v>
      </c>
      <c r="G637" s="22" t="s">
        <v>1706</v>
      </c>
      <c r="H637" s="22" t="s">
        <v>580</v>
      </c>
      <c r="I637" s="22">
        <v>1.0451156566339E13</v>
      </c>
      <c r="J637" s="22" t="s">
        <v>743</v>
      </c>
      <c r="K637" s="24"/>
      <c r="L637" s="22" t="s">
        <v>583</v>
      </c>
      <c r="M637" s="22">
        <v>1.0</v>
      </c>
      <c r="N637" s="22" t="s">
        <v>468</v>
      </c>
      <c r="O637" s="22" t="s">
        <v>469</v>
      </c>
      <c r="P637" s="24"/>
      <c r="Q637" s="22" t="s">
        <v>90</v>
      </c>
      <c r="R637" s="22">
        <v>3.2730335969603E13</v>
      </c>
      <c r="S637" s="24"/>
      <c r="T637" s="24"/>
      <c r="U637" s="24"/>
      <c r="V637" s="22" t="s">
        <v>175</v>
      </c>
      <c r="W637" s="24"/>
      <c r="X637" s="24"/>
      <c r="Y637" s="30"/>
      <c r="Z637" s="30"/>
      <c r="AA637" s="33"/>
      <c r="AB637" s="33"/>
      <c r="AC637" s="30"/>
      <c r="AD637" s="30"/>
      <c r="AE637" s="33"/>
      <c r="AF637" s="31"/>
      <c r="AG637" s="30"/>
      <c r="AH637" s="30"/>
      <c r="AI637" s="31"/>
      <c r="AJ637" s="31"/>
      <c r="AK637" s="32"/>
    </row>
    <row r="638">
      <c r="A638" s="21" t="s">
        <v>584</v>
      </c>
      <c r="B638" s="22" t="s">
        <v>512</v>
      </c>
      <c r="C638" s="22" t="s">
        <v>82</v>
      </c>
      <c r="D638" s="26">
        <v>45997.0</v>
      </c>
      <c r="E638" s="22" t="s">
        <v>153</v>
      </c>
      <c r="F638" s="22" t="s">
        <v>377</v>
      </c>
      <c r="G638" s="22" t="s">
        <v>1707</v>
      </c>
      <c r="H638" s="22" t="s">
        <v>584</v>
      </c>
      <c r="I638" s="22">
        <v>1.0451158368579E13</v>
      </c>
      <c r="J638" s="22" t="s">
        <v>514</v>
      </c>
      <c r="K638" s="24"/>
      <c r="L638" s="22" t="s">
        <v>586</v>
      </c>
      <c r="M638" s="22">
        <v>1.0</v>
      </c>
      <c r="N638" s="22" t="s">
        <v>413</v>
      </c>
      <c r="O638" s="22" t="s">
        <v>414</v>
      </c>
      <c r="P638" s="24"/>
      <c r="Q638" s="22" t="s">
        <v>90</v>
      </c>
      <c r="R638" s="22">
        <v>3.2730340655427E13</v>
      </c>
      <c r="S638" s="24"/>
      <c r="T638" s="24"/>
      <c r="U638" s="24"/>
      <c r="V638" s="22" t="s">
        <v>105</v>
      </c>
      <c r="W638" s="24"/>
      <c r="X638" s="24"/>
      <c r="Y638" s="30"/>
      <c r="Z638" s="30"/>
      <c r="AA638" s="33"/>
      <c r="AB638" s="33"/>
      <c r="AC638" s="30"/>
      <c r="AD638" s="30"/>
      <c r="AE638" s="33"/>
      <c r="AF638" s="31"/>
      <c r="AG638" s="30"/>
      <c r="AH638" s="30"/>
      <c r="AI638" s="31"/>
      <c r="AJ638" s="31"/>
      <c r="AK638" s="32"/>
    </row>
    <row r="639">
      <c r="A639" s="21" t="s">
        <v>515</v>
      </c>
      <c r="B639" s="22" t="s">
        <v>471</v>
      </c>
      <c r="C639" s="22" t="s">
        <v>82</v>
      </c>
      <c r="D639" s="26">
        <v>45997.0</v>
      </c>
      <c r="E639" s="22" t="s">
        <v>134</v>
      </c>
      <c r="F639" s="22" t="s">
        <v>472</v>
      </c>
      <c r="G639" s="22" t="s">
        <v>1708</v>
      </c>
      <c r="H639" s="22" t="s">
        <v>515</v>
      </c>
      <c r="I639" s="22">
        <v>1.0451163087171E13</v>
      </c>
      <c r="J639" s="22" t="s">
        <v>474</v>
      </c>
      <c r="K639" s="24"/>
      <c r="L639" s="22" t="s">
        <v>519</v>
      </c>
      <c r="M639" s="22">
        <v>1.0</v>
      </c>
      <c r="N639" s="22" t="s">
        <v>476</v>
      </c>
      <c r="O639" s="22" t="s">
        <v>477</v>
      </c>
      <c r="P639" s="24"/>
      <c r="Q639" s="22" t="s">
        <v>90</v>
      </c>
      <c r="R639" s="22">
        <v>3.2730350846275E13</v>
      </c>
      <c r="S639" s="24"/>
      <c r="T639" s="24"/>
      <c r="U639" s="24"/>
      <c r="V639" s="22" t="s">
        <v>55</v>
      </c>
      <c r="W639" s="24"/>
      <c r="X639" s="24"/>
      <c r="Y639" s="30"/>
      <c r="Z639" s="30"/>
      <c r="AA639" s="33"/>
      <c r="AB639" s="33"/>
      <c r="AC639" s="30"/>
      <c r="AD639" s="30"/>
      <c r="AE639" s="33"/>
      <c r="AF639" s="31"/>
      <c r="AG639" s="30"/>
      <c r="AH639" s="30"/>
      <c r="AI639" s="31"/>
      <c r="AJ639" s="31"/>
      <c r="AK639" s="32"/>
    </row>
    <row r="640">
      <c r="A640" s="21" t="s">
        <v>529</v>
      </c>
      <c r="B640" s="22" t="s">
        <v>1709</v>
      </c>
      <c r="C640" s="22" t="s">
        <v>273</v>
      </c>
      <c r="D640" s="26">
        <v>45998.0</v>
      </c>
      <c r="E640" s="22" t="s">
        <v>252</v>
      </c>
      <c r="F640" s="22" t="s">
        <v>472</v>
      </c>
      <c r="G640" s="22" t="s">
        <v>1710</v>
      </c>
      <c r="H640" s="22" t="s">
        <v>529</v>
      </c>
      <c r="I640" s="22">
        <v>1.0451167314243E13</v>
      </c>
      <c r="J640" s="22" t="s">
        <v>1711</v>
      </c>
      <c r="K640" s="24"/>
      <c r="L640" s="22" t="s">
        <v>533</v>
      </c>
      <c r="M640" s="22">
        <v>1.0</v>
      </c>
      <c r="N640" s="22" t="s">
        <v>534</v>
      </c>
      <c r="O640" s="22" t="s">
        <v>535</v>
      </c>
      <c r="P640" s="24"/>
      <c r="Q640" s="22" t="s">
        <v>90</v>
      </c>
      <c r="R640" s="22">
        <v>3.2730360021315E13</v>
      </c>
      <c r="S640" s="24"/>
      <c r="T640" s="24"/>
      <c r="U640" s="24"/>
      <c r="V640" s="22" t="s">
        <v>127</v>
      </c>
      <c r="W640" s="24"/>
      <c r="X640" s="24"/>
      <c r="Y640" s="30"/>
      <c r="Z640" s="30"/>
      <c r="AA640" s="33"/>
      <c r="AB640" s="33"/>
      <c r="AC640" s="30"/>
      <c r="AD640" s="30"/>
      <c r="AE640" s="33"/>
      <c r="AF640" s="31"/>
      <c r="AG640" s="30"/>
      <c r="AH640" s="30"/>
      <c r="AI640" s="31"/>
      <c r="AJ640" s="31"/>
      <c r="AK640" s="32"/>
    </row>
    <row r="641">
      <c r="A641" s="21" t="s">
        <v>1217</v>
      </c>
      <c r="B641" s="22" t="s">
        <v>748</v>
      </c>
      <c r="C641" s="22" t="s">
        <v>287</v>
      </c>
      <c r="D641" s="26">
        <v>45994.0</v>
      </c>
      <c r="E641" s="22" t="s">
        <v>749</v>
      </c>
      <c r="F641" s="22" t="s">
        <v>605</v>
      </c>
      <c r="G641" s="22" t="s">
        <v>1712</v>
      </c>
      <c r="H641" s="22" t="s">
        <v>1217</v>
      </c>
      <c r="I641" s="22">
        <v>1.0450381373763E13</v>
      </c>
      <c r="J641" s="22" t="s">
        <v>751</v>
      </c>
      <c r="K641" s="24"/>
      <c r="L641" s="22" t="s">
        <v>1219</v>
      </c>
      <c r="M641" s="22">
        <v>1.0</v>
      </c>
      <c r="N641" s="22" t="s">
        <v>609</v>
      </c>
      <c r="O641" s="22" t="s">
        <v>610</v>
      </c>
      <c r="P641" s="24"/>
      <c r="Q641" s="22" t="s">
        <v>90</v>
      </c>
      <c r="R641" s="22">
        <v>3.2728578916675E13</v>
      </c>
      <c r="S641" s="24"/>
      <c r="T641" s="24"/>
      <c r="U641" s="24"/>
      <c r="V641" s="22" t="s">
        <v>91</v>
      </c>
      <c r="W641" s="24"/>
      <c r="X641" s="24"/>
      <c r="Y641" s="30"/>
      <c r="Z641" s="30"/>
      <c r="AA641" s="33"/>
      <c r="AB641" s="33"/>
      <c r="AC641" s="30"/>
      <c r="AD641" s="30"/>
      <c r="AE641" s="33"/>
      <c r="AF641" s="31"/>
      <c r="AG641" s="30"/>
      <c r="AH641" s="30"/>
      <c r="AI641" s="31"/>
      <c r="AJ641" s="31"/>
      <c r="AK641" s="32"/>
    </row>
    <row r="642">
      <c r="A642" s="21" t="s">
        <v>664</v>
      </c>
      <c r="B642" s="22" t="s">
        <v>471</v>
      </c>
      <c r="C642" s="22" t="s">
        <v>82</v>
      </c>
      <c r="D642" s="26">
        <v>45997.0</v>
      </c>
      <c r="E642" s="22" t="s">
        <v>134</v>
      </c>
      <c r="F642" s="22" t="s">
        <v>472</v>
      </c>
      <c r="G642" s="22" t="s">
        <v>1713</v>
      </c>
      <c r="H642" s="22" t="s">
        <v>664</v>
      </c>
      <c r="I642" s="22">
        <v>1.0451168919875E13</v>
      </c>
      <c r="J642" s="22" t="s">
        <v>474</v>
      </c>
      <c r="K642" s="24"/>
      <c r="L642" s="22" t="s">
        <v>668</v>
      </c>
      <c r="M642" s="22">
        <v>1.0</v>
      </c>
      <c r="N642" s="22" t="s">
        <v>534</v>
      </c>
      <c r="O642" s="22" t="s">
        <v>535</v>
      </c>
      <c r="P642" s="24"/>
      <c r="Q642" s="22" t="s">
        <v>90</v>
      </c>
      <c r="R642" s="22">
        <v>3.2730364608835E13</v>
      </c>
      <c r="S642" s="24"/>
      <c r="T642" s="24"/>
      <c r="U642" s="24"/>
      <c r="V642" s="22" t="s">
        <v>175</v>
      </c>
      <c r="W642" s="24"/>
      <c r="X642" s="24"/>
      <c r="Y642" s="30"/>
      <c r="Z642" s="30"/>
      <c r="AA642" s="33"/>
      <c r="AB642" s="33"/>
      <c r="AC642" s="30"/>
      <c r="AD642" s="30"/>
      <c r="AE642" s="33"/>
      <c r="AF642" s="31"/>
      <c r="AG642" s="30"/>
      <c r="AH642" s="30"/>
      <c r="AI642" s="31"/>
      <c r="AJ642" s="31"/>
      <c r="AK642" s="32"/>
    </row>
    <row r="643">
      <c r="A643" s="21" t="s">
        <v>185</v>
      </c>
      <c r="B643" s="22" t="s">
        <v>1714</v>
      </c>
      <c r="C643" s="22" t="s">
        <v>82</v>
      </c>
      <c r="D643" s="26">
        <v>45997.0</v>
      </c>
      <c r="E643" s="22" t="s">
        <v>168</v>
      </c>
      <c r="F643" s="22" t="s">
        <v>111</v>
      </c>
      <c r="G643" s="22" t="s">
        <v>1715</v>
      </c>
      <c r="H643" s="22" t="s">
        <v>185</v>
      </c>
      <c r="I643" s="22">
        <v>1.0451169280323E13</v>
      </c>
      <c r="J643" s="22" t="s">
        <v>1716</v>
      </c>
      <c r="K643" s="24"/>
      <c r="L643" s="22" t="s">
        <v>190</v>
      </c>
      <c r="M643" s="22">
        <v>1.0</v>
      </c>
      <c r="N643" s="22" t="s">
        <v>115</v>
      </c>
      <c r="O643" s="22" t="s">
        <v>116</v>
      </c>
      <c r="P643" s="24"/>
      <c r="Q643" s="22" t="s">
        <v>90</v>
      </c>
      <c r="R643" s="22">
        <v>3.2730365100355E13</v>
      </c>
      <c r="S643" s="24"/>
      <c r="T643" s="24"/>
      <c r="U643" s="24"/>
      <c r="V643" s="22" t="s">
        <v>95</v>
      </c>
      <c r="W643" s="24"/>
      <c r="X643" s="24"/>
      <c r="Y643" s="30"/>
      <c r="Z643" s="30"/>
      <c r="AA643" s="33"/>
      <c r="AB643" s="33"/>
      <c r="AC643" s="30"/>
      <c r="AD643" s="30"/>
      <c r="AE643" s="33"/>
      <c r="AF643" s="31"/>
      <c r="AG643" s="30"/>
      <c r="AH643" s="30"/>
      <c r="AI643" s="31"/>
      <c r="AJ643" s="31"/>
      <c r="AK643" s="32"/>
    </row>
    <row r="644">
      <c r="A644" s="21" t="s">
        <v>696</v>
      </c>
      <c r="B644" s="22" t="s">
        <v>1717</v>
      </c>
      <c r="C644" s="22" t="s">
        <v>82</v>
      </c>
      <c r="D644" s="26">
        <v>45997.0</v>
      </c>
      <c r="E644" s="22" t="s">
        <v>970</v>
      </c>
      <c r="F644" s="22" t="s">
        <v>698</v>
      </c>
      <c r="G644" s="22" t="s">
        <v>1718</v>
      </c>
      <c r="H644" s="22" t="s">
        <v>696</v>
      </c>
      <c r="I644" s="22">
        <v>1.0451179766083E13</v>
      </c>
      <c r="J644" s="22" t="s">
        <v>1719</v>
      </c>
      <c r="K644" s="24"/>
      <c r="L644" s="22" t="s">
        <v>701</v>
      </c>
      <c r="M644" s="22">
        <v>1.0</v>
      </c>
      <c r="N644" s="22" t="s">
        <v>702</v>
      </c>
      <c r="O644" s="22" t="s">
        <v>703</v>
      </c>
      <c r="P644" s="24"/>
      <c r="Q644" s="22" t="s">
        <v>90</v>
      </c>
      <c r="R644" s="22">
        <v>3.2730391150915E13</v>
      </c>
      <c r="S644" s="24"/>
      <c r="T644" s="24"/>
      <c r="U644" s="24"/>
      <c r="V644" s="22" t="s">
        <v>55</v>
      </c>
      <c r="W644" s="24"/>
      <c r="X644" s="24"/>
      <c r="Y644" s="30"/>
      <c r="Z644" s="30"/>
      <c r="AA644" s="33"/>
      <c r="AB644" s="33"/>
      <c r="AC644" s="30"/>
      <c r="AD644" s="30"/>
      <c r="AE644" s="33"/>
      <c r="AF644" s="31"/>
      <c r="AG644" s="30"/>
      <c r="AH644" s="30"/>
      <c r="AI644" s="31"/>
      <c r="AJ644" s="31"/>
      <c r="AK644" s="32"/>
    </row>
    <row r="645">
      <c r="A645" s="21" t="s">
        <v>1423</v>
      </c>
      <c r="B645" s="22" t="s">
        <v>1648</v>
      </c>
      <c r="C645" s="22" t="s">
        <v>202</v>
      </c>
      <c r="D645" s="26">
        <v>45996.0</v>
      </c>
      <c r="E645" s="22" t="s">
        <v>153</v>
      </c>
      <c r="F645" s="22" t="s">
        <v>717</v>
      </c>
      <c r="G645" s="22" t="s">
        <v>1720</v>
      </c>
      <c r="H645" s="22" t="s">
        <v>1423</v>
      </c>
      <c r="I645" s="22">
        <v>1.0451180585283E13</v>
      </c>
      <c r="J645" s="22" t="s">
        <v>1650</v>
      </c>
      <c r="K645" s="24"/>
      <c r="L645" s="22" t="s">
        <v>1427</v>
      </c>
      <c r="M645" s="22">
        <v>1.0</v>
      </c>
      <c r="N645" s="22" t="s">
        <v>721</v>
      </c>
      <c r="O645" s="22" t="s">
        <v>722</v>
      </c>
      <c r="P645" s="24"/>
      <c r="Q645" s="22" t="s">
        <v>90</v>
      </c>
      <c r="R645" s="22">
        <v>3.2730392396099E13</v>
      </c>
      <c r="S645" s="24"/>
      <c r="T645" s="24"/>
      <c r="U645" s="24"/>
      <c r="V645" s="22" t="s">
        <v>95</v>
      </c>
      <c r="W645" s="24"/>
      <c r="X645" s="24"/>
      <c r="Y645" s="30"/>
      <c r="Z645" s="30"/>
      <c r="AA645" s="33"/>
      <c r="AB645" s="33"/>
      <c r="AC645" s="30"/>
      <c r="AD645" s="30"/>
      <c r="AE645" s="33"/>
      <c r="AF645" s="31"/>
      <c r="AG645" s="30"/>
      <c r="AH645" s="30"/>
      <c r="AI645" s="31"/>
      <c r="AJ645" s="31"/>
      <c r="AK645" s="32"/>
    </row>
    <row r="646">
      <c r="A646" s="21" t="s">
        <v>845</v>
      </c>
      <c r="B646" s="22" t="s">
        <v>450</v>
      </c>
      <c r="C646" s="22" t="s">
        <v>82</v>
      </c>
      <c r="D646" s="26">
        <v>45997.0</v>
      </c>
      <c r="E646" s="22" t="s">
        <v>134</v>
      </c>
      <c r="F646" s="22" t="s">
        <v>451</v>
      </c>
      <c r="G646" s="22" t="s">
        <v>1721</v>
      </c>
      <c r="H646" s="22" t="s">
        <v>845</v>
      </c>
      <c r="I646" s="22">
        <v>1.0451187958083E13</v>
      </c>
      <c r="J646" s="22" t="s">
        <v>453</v>
      </c>
      <c r="K646" s="24"/>
      <c r="L646" s="22" t="s">
        <v>847</v>
      </c>
      <c r="M646" s="22">
        <v>1.0</v>
      </c>
      <c r="N646" s="22" t="s">
        <v>455</v>
      </c>
      <c r="O646" s="22" t="s">
        <v>456</v>
      </c>
      <c r="P646" s="24"/>
      <c r="Q646" s="22" t="s">
        <v>90</v>
      </c>
      <c r="R646" s="22">
        <v>3.2730409042243E13</v>
      </c>
      <c r="S646" s="24"/>
      <c r="T646" s="24"/>
      <c r="U646" s="24"/>
      <c r="V646" s="22" t="s">
        <v>55</v>
      </c>
      <c r="W646" s="24"/>
      <c r="X646" s="24"/>
      <c r="Y646" s="30"/>
      <c r="Z646" s="30"/>
      <c r="AA646" s="33"/>
      <c r="AB646" s="33"/>
      <c r="AC646" s="30"/>
      <c r="AD646" s="30"/>
      <c r="AE646" s="33"/>
      <c r="AF646" s="31"/>
      <c r="AG646" s="30"/>
      <c r="AH646" s="30"/>
      <c r="AI646" s="31"/>
      <c r="AJ646" s="31"/>
      <c r="AK646" s="32"/>
    </row>
    <row r="647">
      <c r="A647" s="21" t="s">
        <v>560</v>
      </c>
      <c r="B647" s="22" t="s">
        <v>355</v>
      </c>
      <c r="C647" s="22" t="s">
        <v>273</v>
      </c>
      <c r="D647" s="23">
        <v>45991.0</v>
      </c>
      <c r="E647" s="22" t="s">
        <v>149</v>
      </c>
      <c r="F647" s="22" t="s">
        <v>356</v>
      </c>
      <c r="G647" s="22" t="s">
        <v>1722</v>
      </c>
      <c r="H647" s="22" t="s">
        <v>560</v>
      </c>
      <c r="I647" s="22">
        <v>1.0451200737603E13</v>
      </c>
      <c r="J647" s="22" t="s">
        <v>562</v>
      </c>
      <c r="K647" s="24"/>
      <c r="L647" s="22" t="s">
        <v>563</v>
      </c>
      <c r="M647" s="22">
        <v>1.0</v>
      </c>
      <c r="N647" s="22" t="s">
        <v>360</v>
      </c>
      <c r="O647" s="22" t="s">
        <v>361</v>
      </c>
      <c r="P647" s="24"/>
      <c r="Q647" s="22" t="s">
        <v>90</v>
      </c>
      <c r="R647" s="22">
        <v>3.2730436960579E13</v>
      </c>
      <c r="S647" s="24"/>
      <c r="T647" s="24"/>
      <c r="U647" s="24"/>
      <c r="V647" s="22" t="s">
        <v>91</v>
      </c>
      <c r="W647" s="24"/>
      <c r="X647" s="24"/>
      <c r="Y647" s="30"/>
      <c r="Z647" s="30"/>
      <c r="AA647" s="33"/>
      <c r="AB647" s="33"/>
      <c r="AC647" s="30"/>
      <c r="AD647" s="30"/>
      <c r="AE647" s="33"/>
      <c r="AF647" s="31"/>
      <c r="AG647" s="30"/>
      <c r="AH647" s="30"/>
      <c r="AI647" s="31"/>
      <c r="AJ647" s="31"/>
      <c r="AK647" s="32"/>
    </row>
    <row r="648">
      <c r="A648" s="21" t="s">
        <v>1617</v>
      </c>
      <c r="B648" s="22" t="s">
        <v>1618</v>
      </c>
      <c r="C648" s="22" t="s">
        <v>82</v>
      </c>
      <c r="D648" s="26">
        <v>45997.0</v>
      </c>
      <c r="E648" s="22" t="s">
        <v>975</v>
      </c>
      <c r="F648" s="22" t="s">
        <v>1466</v>
      </c>
      <c r="G648" s="22" t="s">
        <v>1723</v>
      </c>
      <c r="H648" s="22" t="s">
        <v>1617</v>
      </c>
      <c r="I648" s="22">
        <v>1.0451201196355E13</v>
      </c>
      <c r="J648" s="22" t="s">
        <v>1620</v>
      </c>
      <c r="K648" s="24"/>
      <c r="L648" s="22" t="s">
        <v>1621</v>
      </c>
      <c r="M648" s="22">
        <v>1.0</v>
      </c>
      <c r="N648" s="22" t="s">
        <v>1470</v>
      </c>
      <c r="O648" s="22" t="s">
        <v>1471</v>
      </c>
      <c r="P648" s="24"/>
      <c r="Q648" s="22" t="s">
        <v>90</v>
      </c>
      <c r="R648" s="22">
        <v>3.2730437878083E13</v>
      </c>
      <c r="S648" s="24"/>
      <c r="T648" s="24"/>
      <c r="U648" s="24"/>
      <c r="V648" s="22" t="s">
        <v>95</v>
      </c>
      <c r="W648" s="24"/>
      <c r="X648" s="24"/>
      <c r="Y648" s="30"/>
      <c r="Z648" s="30"/>
      <c r="AA648" s="33"/>
      <c r="AB648" s="33"/>
      <c r="AC648" s="30"/>
      <c r="AD648" s="30"/>
      <c r="AE648" s="33"/>
      <c r="AF648" s="31"/>
      <c r="AG648" s="30"/>
      <c r="AH648" s="30"/>
      <c r="AI648" s="31"/>
      <c r="AJ648" s="31"/>
      <c r="AK648" s="32"/>
    </row>
    <row r="649">
      <c r="A649" s="21" t="s">
        <v>1724</v>
      </c>
      <c r="B649" s="22" t="s">
        <v>1364</v>
      </c>
      <c r="C649" s="22" t="s">
        <v>273</v>
      </c>
      <c r="D649" s="26">
        <v>45998.0</v>
      </c>
      <c r="E649" s="22" t="s">
        <v>138</v>
      </c>
      <c r="F649" s="22" t="s">
        <v>369</v>
      </c>
      <c r="G649" s="22" t="s">
        <v>1725</v>
      </c>
      <c r="H649" s="22" t="s">
        <v>1724</v>
      </c>
      <c r="I649" s="22">
        <v>1.0451203719491E13</v>
      </c>
      <c r="J649" s="22" t="s">
        <v>1366</v>
      </c>
      <c r="K649" s="24"/>
      <c r="L649" s="22" t="s">
        <v>1726</v>
      </c>
      <c r="M649" s="22">
        <v>1.0</v>
      </c>
      <c r="N649" s="22" t="s">
        <v>600</v>
      </c>
      <c r="O649" s="22" t="s">
        <v>601</v>
      </c>
      <c r="P649" s="24"/>
      <c r="Q649" s="22" t="s">
        <v>90</v>
      </c>
      <c r="R649" s="22">
        <v>3.2730443874627E13</v>
      </c>
      <c r="S649" s="24"/>
      <c r="T649" s="24"/>
      <c r="U649" s="24"/>
      <c r="V649" s="22" t="s">
        <v>175</v>
      </c>
      <c r="W649" s="24"/>
      <c r="X649" s="24"/>
      <c r="Y649" s="30"/>
      <c r="Z649" s="30"/>
      <c r="AA649" s="33"/>
      <c r="AB649" s="33"/>
      <c r="AC649" s="30"/>
      <c r="AD649" s="30"/>
      <c r="AE649" s="33"/>
      <c r="AF649" s="31"/>
      <c r="AG649" s="30"/>
      <c r="AH649" s="30"/>
      <c r="AI649" s="31"/>
      <c r="AJ649" s="31"/>
      <c r="AK649" s="32"/>
    </row>
    <row r="650">
      <c r="A650" s="21" t="s">
        <v>503</v>
      </c>
      <c r="B650" s="22" t="s">
        <v>1516</v>
      </c>
      <c r="C650" s="22" t="s">
        <v>82</v>
      </c>
      <c r="D650" s="23">
        <v>46004.0</v>
      </c>
      <c r="E650" s="22" t="s">
        <v>211</v>
      </c>
      <c r="F650" s="22" t="s">
        <v>341</v>
      </c>
      <c r="G650" s="22" t="s">
        <v>1727</v>
      </c>
      <c r="H650" s="22" t="s">
        <v>503</v>
      </c>
      <c r="I650" s="22">
        <v>1.0451208962371E13</v>
      </c>
      <c r="J650" s="22" t="s">
        <v>1518</v>
      </c>
      <c r="K650" s="24"/>
      <c r="L650" s="22" t="s">
        <v>507</v>
      </c>
      <c r="M650" s="22">
        <v>1.0</v>
      </c>
      <c r="N650" s="22" t="s">
        <v>345</v>
      </c>
      <c r="O650" s="22" t="s">
        <v>346</v>
      </c>
      <c r="P650" s="24"/>
      <c r="Q650" s="22" t="s">
        <v>90</v>
      </c>
      <c r="R650" s="22">
        <v>3.2730453442883E13</v>
      </c>
      <c r="S650" s="24"/>
      <c r="T650" s="24"/>
      <c r="U650" s="24"/>
      <c r="V650" s="22" t="s">
        <v>54</v>
      </c>
      <c r="W650" s="24"/>
      <c r="X650" s="24"/>
      <c r="Y650" s="30"/>
      <c r="Z650" s="30"/>
      <c r="AA650" s="33"/>
      <c r="AB650" s="33"/>
      <c r="AC650" s="30"/>
      <c r="AD650" s="30"/>
      <c r="AE650" s="33"/>
      <c r="AF650" s="31"/>
      <c r="AG650" s="30"/>
      <c r="AH650" s="30"/>
      <c r="AI650" s="31"/>
      <c r="AJ650" s="31"/>
      <c r="AK650" s="32"/>
    </row>
    <row r="651">
      <c r="A651" s="21" t="s">
        <v>1048</v>
      </c>
      <c r="B651" s="22" t="s">
        <v>1651</v>
      </c>
      <c r="C651" s="22" t="s">
        <v>273</v>
      </c>
      <c r="D651" s="26">
        <v>45998.0</v>
      </c>
      <c r="E651" s="22" t="s">
        <v>1624</v>
      </c>
      <c r="F651" s="22" t="s">
        <v>440</v>
      </c>
      <c r="G651" s="22" t="s">
        <v>1728</v>
      </c>
      <c r="H651" s="22" t="s">
        <v>1048</v>
      </c>
      <c r="I651" s="22">
        <v>1.0451209748803E13</v>
      </c>
      <c r="J651" s="22" t="s">
        <v>1653</v>
      </c>
      <c r="K651" s="24"/>
      <c r="L651" s="22" t="s">
        <v>1052</v>
      </c>
      <c r="M651" s="22">
        <v>1.0</v>
      </c>
      <c r="N651" s="22" t="s">
        <v>444</v>
      </c>
      <c r="O651" s="22" t="s">
        <v>445</v>
      </c>
      <c r="P651" s="24"/>
      <c r="Q651" s="22" t="s">
        <v>90</v>
      </c>
      <c r="R651" s="22">
        <v>3.2730455048515E13</v>
      </c>
      <c r="S651" s="24"/>
      <c r="T651" s="24"/>
      <c r="U651" s="24"/>
      <c r="V651" s="22" t="s">
        <v>54</v>
      </c>
      <c r="W651" s="24"/>
      <c r="X651" s="24"/>
      <c r="Y651" s="30"/>
      <c r="Z651" s="30"/>
      <c r="AA651" s="33"/>
      <c r="AB651" s="33"/>
      <c r="AC651" s="30"/>
      <c r="AD651" s="30"/>
      <c r="AE651" s="33"/>
      <c r="AF651" s="31"/>
      <c r="AG651" s="30"/>
      <c r="AH651" s="30"/>
      <c r="AI651" s="31"/>
      <c r="AJ651" s="31"/>
      <c r="AK651" s="32"/>
    </row>
    <row r="652">
      <c r="A652" s="21" t="s">
        <v>96</v>
      </c>
      <c r="B652" s="22" t="s">
        <v>1729</v>
      </c>
      <c r="C652" s="22" t="s">
        <v>1284</v>
      </c>
      <c r="D652" s="26">
        <v>45993.0</v>
      </c>
      <c r="E652" s="22" t="s">
        <v>196</v>
      </c>
      <c r="F652" s="22" t="s">
        <v>83</v>
      </c>
      <c r="G652" s="22" t="s">
        <v>1730</v>
      </c>
      <c r="H652" s="22" t="s">
        <v>96</v>
      </c>
      <c r="I652" s="22">
        <v>1.0451209781571E13</v>
      </c>
      <c r="J652" s="22" t="s">
        <v>1731</v>
      </c>
      <c r="K652" s="24"/>
      <c r="L652" s="22" t="s">
        <v>98</v>
      </c>
      <c r="M652" s="22">
        <v>1.0</v>
      </c>
      <c r="N652" s="22" t="s">
        <v>87</v>
      </c>
      <c r="O652" s="22" t="s">
        <v>88</v>
      </c>
      <c r="P652" s="24"/>
      <c r="Q652" s="22" t="s">
        <v>90</v>
      </c>
      <c r="R652" s="22">
        <v>3.2730455114051E13</v>
      </c>
      <c r="S652" s="24"/>
      <c r="T652" s="24"/>
      <c r="U652" s="24"/>
      <c r="V652" s="22" t="s">
        <v>55</v>
      </c>
      <c r="W652" s="24"/>
      <c r="X652" s="24"/>
      <c r="Y652" s="30"/>
      <c r="Z652" s="30"/>
      <c r="AA652" s="33"/>
      <c r="AB652" s="33"/>
      <c r="AC652" s="30"/>
      <c r="AD652" s="30"/>
      <c r="AE652" s="33"/>
      <c r="AF652" s="31"/>
      <c r="AG652" s="30"/>
      <c r="AH652" s="30"/>
      <c r="AI652" s="31"/>
      <c r="AJ652" s="31"/>
      <c r="AK652" s="32"/>
    </row>
    <row r="653">
      <c r="A653" s="21" t="s">
        <v>317</v>
      </c>
      <c r="B653" s="22" t="s">
        <v>318</v>
      </c>
      <c r="C653" s="22" t="s">
        <v>82</v>
      </c>
      <c r="D653" s="26">
        <v>45997.0</v>
      </c>
      <c r="E653" s="22" t="s">
        <v>196</v>
      </c>
      <c r="F653" s="22" t="s">
        <v>319</v>
      </c>
      <c r="G653" s="22" t="s">
        <v>1732</v>
      </c>
      <c r="H653" s="22" t="s">
        <v>317</v>
      </c>
      <c r="I653" s="22">
        <v>1.0451227869507E13</v>
      </c>
      <c r="J653" s="22" t="s">
        <v>527</v>
      </c>
      <c r="K653" s="24"/>
      <c r="L653" s="22" t="s">
        <v>322</v>
      </c>
      <c r="M653" s="22">
        <v>1.0</v>
      </c>
      <c r="N653" s="22" t="s">
        <v>323</v>
      </c>
      <c r="O653" s="22" t="s">
        <v>324</v>
      </c>
      <c r="P653" s="24"/>
      <c r="Q653" s="22" t="s">
        <v>90</v>
      </c>
      <c r="R653" s="22">
        <v>3.2730497614147E13</v>
      </c>
      <c r="S653" s="24"/>
      <c r="T653" s="24"/>
      <c r="U653" s="24"/>
      <c r="V653" s="22" t="s">
        <v>55</v>
      </c>
      <c r="W653" s="24"/>
      <c r="X653" s="24"/>
      <c r="Y653" s="30"/>
      <c r="Z653" s="30"/>
      <c r="AA653" s="33"/>
      <c r="AB653" s="33"/>
      <c r="AC653" s="30"/>
      <c r="AD653" s="30"/>
      <c r="AE653" s="33"/>
      <c r="AF653" s="31"/>
      <c r="AG653" s="30"/>
      <c r="AH653" s="30"/>
      <c r="AI653" s="31"/>
      <c r="AJ653" s="31"/>
      <c r="AK653" s="32"/>
    </row>
    <row r="654">
      <c r="A654" s="21" t="s">
        <v>845</v>
      </c>
      <c r="B654" s="22" t="s">
        <v>1733</v>
      </c>
      <c r="C654" s="22" t="s">
        <v>273</v>
      </c>
      <c r="D654" s="26">
        <v>45998.0</v>
      </c>
      <c r="E654" s="22" t="s">
        <v>1442</v>
      </c>
      <c r="F654" s="22" t="s">
        <v>451</v>
      </c>
      <c r="G654" s="22" t="s">
        <v>1734</v>
      </c>
      <c r="H654" s="22" t="s">
        <v>845</v>
      </c>
      <c r="I654" s="22">
        <v>1.0451228328259E13</v>
      </c>
      <c r="J654" s="22" t="s">
        <v>1735</v>
      </c>
      <c r="K654" s="24"/>
      <c r="L654" s="22" t="s">
        <v>847</v>
      </c>
      <c r="M654" s="22">
        <v>1.0</v>
      </c>
      <c r="N654" s="22" t="s">
        <v>455</v>
      </c>
      <c r="O654" s="22" t="s">
        <v>456</v>
      </c>
      <c r="P654" s="24"/>
      <c r="Q654" s="22" t="s">
        <v>90</v>
      </c>
      <c r="R654" s="22">
        <v>3.2730498892099E13</v>
      </c>
      <c r="S654" s="24"/>
      <c r="T654" s="24"/>
      <c r="U654" s="24"/>
      <c r="V654" s="22" t="s">
        <v>55</v>
      </c>
      <c r="W654" s="24"/>
      <c r="X654" s="24"/>
      <c r="Y654" s="30"/>
      <c r="Z654" s="30"/>
      <c r="AA654" s="33"/>
      <c r="AB654" s="33"/>
      <c r="AC654" s="30"/>
      <c r="AD654" s="30"/>
      <c r="AE654" s="33"/>
      <c r="AF654" s="31"/>
      <c r="AG654" s="30"/>
      <c r="AH654" s="30"/>
      <c r="AI654" s="31"/>
      <c r="AJ654" s="31"/>
      <c r="AK654" s="32"/>
    </row>
    <row r="655">
      <c r="A655" s="21" t="s">
        <v>423</v>
      </c>
      <c r="B655" s="22" t="s">
        <v>587</v>
      </c>
      <c r="C655" s="22" t="s">
        <v>273</v>
      </c>
      <c r="D655" s="26">
        <v>45998.0</v>
      </c>
      <c r="E655" s="22" t="s">
        <v>153</v>
      </c>
      <c r="F655" s="22" t="s">
        <v>369</v>
      </c>
      <c r="G655" s="22" t="s">
        <v>1736</v>
      </c>
      <c r="H655" s="22" t="s">
        <v>423</v>
      </c>
      <c r="I655" s="22">
        <v>1.0451228492099E13</v>
      </c>
      <c r="J655" s="22" t="s">
        <v>589</v>
      </c>
      <c r="K655" s="24"/>
      <c r="L655" s="22" t="s">
        <v>427</v>
      </c>
      <c r="M655" s="22">
        <v>1.0</v>
      </c>
      <c r="N655" s="22" t="s">
        <v>373</v>
      </c>
      <c r="O655" s="22" t="s">
        <v>374</v>
      </c>
      <c r="P655" s="24"/>
      <c r="Q655" s="22" t="s">
        <v>90</v>
      </c>
      <c r="R655" s="22">
        <v>3.2730499383619E13</v>
      </c>
      <c r="S655" s="24"/>
      <c r="T655" s="24"/>
      <c r="U655" s="24"/>
      <c r="V655" s="22" t="s">
        <v>95</v>
      </c>
      <c r="W655" s="24"/>
      <c r="X655" s="24"/>
      <c r="Y655" s="30"/>
      <c r="Z655" s="30"/>
      <c r="AA655" s="33"/>
      <c r="AB655" s="33"/>
      <c r="AC655" s="30"/>
      <c r="AD655" s="30"/>
      <c r="AE655" s="33"/>
      <c r="AF655" s="31"/>
      <c r="AG655" s="30"/>
      <c r="AH655" s="30"/>
      <c r="AI655" s="31"/>
      <c r="AJ655" s="31"/>
      <c r="AK655" s="32"/>
    </row>
    <row r="656">
      <c r="A656" s="21" t="s">
        <v>458</v>
      </c>
      <c r="B656" s="22" t="s">
        <v>1516</v>
      </c>
      <c r="C656" s="22" t="s">
        <v>82</v>
      </c>
      <c r="D656" s="23">
        <v>46004.0</v>
      </c>
      <c r="E656" s="22" t="s">
        <v>211</v>
      </c>
      <c r="F656" s="22" t="s">
        <v>341</v>
      </c>
      <c r="G656" s="22" t="s">
        <v>1737</v>
      </c>
      <c r="H656" s="22" t="s">
        <v>458</v>
      </c>
      <c r="I656" s="22">
        <v>1.0451231998275E13</v>
      </c>
      <c r="J656" s="22" t="s">
        <v>1518</v>
      </c>
      <c r="K656" s="24"/>
      <c r="L656" s="22" t="s">
        <v>462</v>
      </c>
      <c r="M656" s="22">
        <v>1.0</v>
      </c>
      <c r="N656" s="22" t="s">
        <v>345</v>
      </c>
      <c r="O656" s="22" t="s">
        <v>346</v>
      </c>
      <c r="P656" s="24"/>
      <c r="Q656" s="22" t="s">
        <v>90</v>
      </c>
      <c r="R656" s="22">
        <v>3.2730508919107E13</v>
      </c>
      <c r="S656" s="24"/>
      <c r="T656" s="24"/>
      <c r="U656" s="24"/>
      <c r="V656" s="22" t="s">
        <v>91</v>
      </c>
      <c r="W656" s="24"/>
      <c r="X656" s="24"/>
      <c r="Y656" s="30"/>
      <c r="Z656" s="30"/>
      <c r="AA656" s="33"/>
      <c r="AB656" s="33"/>
      <c r="AC656" s="30"/>
      <c r="AD656" s="30"/>
      <c r="AE656" s="33"/>
      <c r="AF656" s="31"/>
      <c r="AG656" s="30"/>
      <c r="AH656" s="30"/>
      <c r="AI656" s="31"/>
      <c r="AJ656" s="31"/>
      <c r="AK656" s="32"/>
    </row>
    <row r="657">
      <c r="A657" s="21" t="s">
        <v>814</v>
      </c>
      <c r="B657" s="22" t="s">
        <v>815</v>
      </c>
      <c r="C657" s="22" t="s">
        <v>82</v>
      </c>
      <c r="D657" s="26">
        <v>45997.0</v>
      </c>
      <c r="E657" s="22" t="s">
        <v>187</v>
      </c>
      <c r="F657" s="22" t="s">
        <v>698</v>
      </c>
      <c r="G657" s="22" t="s">
        <v>1738</v>
      </c>
      <c r="H657" s="22" t="s">
        <v>814</v>
      </c>
      <c r="I657" s="22">
        <v>1.0451237404995E13</v>
      </c>
      <c r="J657" s="22" t="s">
        <v>817</v>
      </c>
      <c r="K657" s="24"/>
      <c r="L657" s="22" t="s">
        <v>818</v>
      </c>
      <c r="M657" s="22">
        <v>1.0</v>
      </c>
      <c r="N657" s="22" t="s">
        <v>819</v>
      </c>
      <c r="O657" s="22" t="s">
        <v>820</v>
      </c>
      <c r="P657" s="24"/>
      <c r="Q657" s="22" t="s">
        <v>90</v>
      </c>
      <c r="R657" s="22">
        <v>3.2730521567555E13</v>
      </c>
      <c r="S657" s="24"/>
      <c r="T657" s="24"/>
      <c r="U657" s="24"/>
      <c r="V657" s="22" t="s">
        <v>127</v>
      </c>
      <c r="W657" s="24"/>
      <c r="X657" s="24"/>
      <c r="Y657" s="30"/>
      <c r="Z657" s="30"/>
      <c r="AA657" s="33"/>
      <c r="AB657" s="33"/>
      <c r="AC657" s="30"/>
      <c r="AD657" s="30"/>
      <c r="AE657" s="33"/>
      <c r="AF657" s="31"/>
      <c r="AG657" s="30"/>
      <c r="AH657" s="30"/>
      <c r="AI657" s="31"/>
      <c r="AJ657" s="31"/>
      <c r="AK657" s="32"/>
    </row>
    <row r="658">
      <c r="A658" s="21" t="s">
        <v>584</v>
      </c>
      <c r="B658" s="22" t="s">
        <v>512</v>
      </c>
      <c r="C658" s="22" t="s">
        <v>82</v>
      </c>
      <c r="D658" s="26">
        <v>45997.0</v>
      </c>
      <c r="E658" s="22" t="s">
        <v>153</v>
      </c>
      <c r="F658" s="22" t="s">
        <v>377</v>
      </c>
      <c r="G658" s="22" t="s">
        <v>1739</v>
      </c>
      <c r="H658" s="22" t="s">
        <v>584</v>
      </c>
      <c r="I658" s="22">
        <v>1.0451238682947E13</v>
      </c>
      <c r="J658" s="22" t="s">
        <v>514</v>
      </c>
      <c r="K658" s="24"/>
      <c r="L658" s="22" t="s">
        <v>586</v>
      </c>
      <c r="M658" s="22">
        <v>1.0</v>
      </c>
      <c r="N658" s="22" t="s">
        <v>413</v>
      </c>
      <c r="O658" s="22" t="s">
        <v>414</v>
      </c>
      <c r="P658" s="24"/>
      <c r="Q658" s="22" t="s">
        <v>90</v>
      </c>
      <c r="R658" s="22">
        <v>3.2730524254531E13</v>
      </c>
      <c r="S658" s="24"/>
      <c r="T658" s="24"/>
      <c r="U658" s="24"/>
      <c r="V658" s="22" t="s">
        <v>105</v>
      </c>
      <c r="W658" s="24"/>
      <c r="X658" s="24"/>
      <c r="Y658" s="30"/>
      <c r="Z658" s="30"/>
      <c r="AA658" s="33"/>
      <c r="AB658" s="33"/>
      <c r="AC658" s="30"/>
      <c r="AD658" s="30"/>
      <c r="AE658" s="33"/>
      <c r="AF658" s="31"/>
      <c r="AG658" s="30"/>
      <c r="AH658" s="30"/>
      <c r="AI658" s="31"/>
      <c r="AJ658" s="31"/>
      <c r="AK658" s="32"/>
    </row>
    <row r="659">
      <c r="A659" s="21" t="s">
        <v>503</v>
      </c>
      <c r="B659" s="22" t="s">
        <v>1516</v>
      </c>
      <c r="C659" s="22" t="s">
        <v>82</v>
      </c>
      <c r="D659" s="23">
        <v>46004.0</v>
      </c>
      <c r="E659" s="22" t="s">
        <v>211</v>
      </c>
      <c r="F659" s="22" t="s">
        <v>341</v>
      </c>
      <c r="G659" s="22" t="s">
        <v>1740</v>
      </c>
      <c r="H659" s="22" t="s">
        <v>503</v>
      </c>
      <c r="I659" s="22">
        <v>1.0451238879555E13</v>
      </c>
      <c r="J659" s="22" t="s">
        <v>1518</v>
      </c>
      <c r="K659" s="24"/>
      <c r="L659" s="22" t="s">
        <v>507</v>
      </c>
      <c r="M659" s="22">
        <v>1.0</v>
      </c>
      <c r="N659" s="22" t="s">
        <v>345</v>
      </c>
      <c r="O659" s="22" t="s">
        <v>346</v>
      </c>
      <c r="P659" s="24"/>
      <c r="Q659" s="22" t="s">
        <v>90</v>
      </c>
      <c r="R659" s="22">
        <v>3.2730524647747E13</v>
      </c>
      <c r="S659" s="24"/>
      <c r="T659" s="24"/>
      <c r="U659" s="24"/>
      <c r="V659" s="22" t="s">
        <v>54</v>
      </c>
      <c r="W659" s="24"/>
      <c r="X659" s="24"/>
      <c r="Y659" s="30"/>
      <c r="Z659" s="30"/>
      <c r="AA659" s="33"/>
      <c r="AB659" s="33"/>
      <c r="AC659" s="30"/>
      <c r="AD659" s="30"/>
      <c r="AE659" s="33"/>
      <c r="AF659" s="31"/>
      <c r="AG659" s="30"/>
      <c r="AH659" s="30"/>
      <c r="AI659" s="31"/>
      <c r="AJ659" s="31"/>
      <c r="AK659" s="32"/>
    </row>
    <row r="660">
      <c r="A660" s="21" t="s">
        <v>470</v>
      </c>
      <c r="B660" s="22" t="s">
        <v>471</v>
      </c>
      <c r="C660" s="22" t="s">
        <v>82</v>
      </c>
      <c r="D660" s="26">
        <v>45997.0</v>
      </c>
      <c r="E660" s="22" t="s">
        <v>134</v>
      </c>
      <c r="F660" s="22" t="s">
        <v>472</v>
      </c>
      <c r="G660" s="22" t="s">
        <v>1741</v>
      </c>
      <c r="H660" s="22" t="s">
        <v>470</v>
      </c>
      <c r="I660" s="22">
        <v>1.0451145359683E13</v>
      </c>
      <c r="J660" s="22" t="s">
        <v>474</v>
      </c>
      <c r="K660" s="24"/>
      <c r="L660" s="22" t="s">
        <v>475</v>
      </c>
      <c r="M660" s="22">
        <v>1.0</v>
      </c>
      <c r="N660" s="22" t="s">
        <v>476</v>
      </c>
      <c r="O660" s="22" t="s">
        <v>477</v>
      </c>
      <c r="P660" s="24"/>
      <c r="Q660" s="22" t="s">
        <v>90</v>
      </c>
      <c r="R660" s="22">
        <v>3.2730311164227E13</v>
      </c>
      <c r="S660" s="24"/>
      <c r="T660" s="24"/>
      <c r="U660" s="24"/>
      <c r="V660" s="22" t="s">
        <v>91</v>
      </c>
      <c r="W660" s="24"/>
      <c r="X660" s="24"/>
      <c r="Y660" s="30"/>
      <c r="Z660" s="30"/>
      <c r="AA660" s="33"/>
      <c r="AB660" s="33"/>
      <c r="AC660" s="30"/>
      <c r="AD660" s="30"/>
      <c r="AE660" s="33"/>
      <c r="AF660" s="31"/>
      <c r="AG660" s="30"/>
      <c r="AH660" s="30"/>
      <c r="AI660" s="31"/>
      <c r="AJ660" s="31"/>
      <c r="AK660" s="32"/>
    </row>
    <row r="661">
      <c r="A661" s="21" t="s">
        <v>124</v>
      </c>
      <c r="B661" s="22" t="s">
        <v>1742</v>
      </c>
      <c r="C661" s="22" t="s">
        <v>273</v>
      </c>
      <c r="D661" s="26">
        <v>45998.0</v>
      </c>
      <c r="E661" s="22" t="s">
        <v>266</v>
      </c>
      <c r="F661" s="22" t="s">
        <v>83</v>
      </c>
      <c r="G661" s="22" t="s">
        <v>1743</v>
      </c>
      <c r="H661" s="22" t="s">
        <v>124</v>
      </c>
      <c r="I661" s="22">
        <v>1.0450375115075E13</v>
      </c>
      <c r="J661" s="22" t="s">
        <v>1744</v>
      </c>
      <c r="K661" s="24"/>
      <c r="L661" s="22" t="s">
        <v>126</v>
      </c>
      <c r="M661" s="22">
        <v>1.0</v>
      </c>
      <c r="N661" s="22" t="s">
        <v>103</v>
      </c>
      <c r="O661" s="22" t="s">
        <v>104</v>
      </c>
      <c r="P661" s="24"/>
      <c r="Q661" s="22" t="s">
        <v>90</v>
      </c>
      <c r="R661" s="22">
        <v>3.2728563712323E13</v>
      </c>
      <c r="S661" s="24"/>
      <c r="T661" s="24"/>
      <c r="U661" s="24"/>
      <c r="V661" s="22" t="s">
        <v>127</v>
      </c>
      <c r="W661" s="24"/>
      <c r="X661" s="24"/>
      <c r="Y661" s="30"/>
      <c r="Z661" s="30"/>
      <c r="AA661" s="33"/>
      <c r="AB661" s="33"/>
      <c r="AC661" s="30"/>
      <c r="AD661" s="30"/>
      <c r="AE661" s="33"/>
      <c r="AF661" s="31"/>
      <c r="AG661" s="30"/>
      <c r="AH661" s="30"/>
      <c r="AI661" s="31"/>
      <c r="AJ661" s="31"/>
      <c r="AK661" s="32"/>
    </row>
    <row r="662">
      <c r="A662" s="21" t="s">
        <v>141</v>
      </c>
      <c r="B662" s="22" t="s">
        <v>1309</v>
      </c>
      <c r="C662" s="22" t="s">
        <v>273</v>
      </c>
      <c r="D662" s="26">
        <v>45998.0</v>
      </c>
      <c r="E662" s="22" t="s">
        <v>134</v>
      </c>
      <c r="F662" s="22" t="s">
        <v>83</v>
      </c>
      <c r="G662" s="22" t="s">
        <v>1745</v>
      </c>
      <c r="H662" s="22" t="s">
        <v>141</v>
      </c>
      <c r="I662" s="22">
        <v>1.0451243401539E13</v>
      </c>
      <c r="J662" s="22" t="s">
        <v>1311</v>
      </c>
      <c r="K662" s="24"/>
      <c r="L662" s="22" t="s">
        <v>143</v>
      </c>
      <c r="M662" s="22">
        <v>1.0</v>
      </c>
      <c r="N662" s="22" t="s">
        <v>87</v>
      </c>
      <c r="O662" s="22" t="s">
        <v>88</v>
      </c>
      <c r="P662" s="24"/>
      <c r="Q662" s="22" t="s">
        <v>90</v>
      </c>
      <c r="R662" s="22">
        <v>3.2730535821635E13</v>
      </c>
      <c r="S662" s="24"/>
      <c r="T662" s="24"/>
      <c r="U662" s="24"/>
      <c r="V662" s="22" t="s">
        <v>54</v>
      </c>
      <c r="W662" s="24"/>
      <c r="X662" s="24"/>
      <c r="Y662" s="30"/>
      <c r="Z662" s="30"/>
      <c r="AA662" s="33"/>
      <c r="AB662" s="33"/>
      <c r="AC662" s="30"/>
      <c r="AD662" s="30"/>
      <c r="AE662" s="33"/>
      <c r="AF662" s="31"/>
      <c r="AG662" s="30"/>
      <c r="AH662" s="30"/>
      <c r="AI662" s="31"/>
      <c r="AJ662" s="31"/>
      <c r="AK662" s="32"/>
    </row>
    <row r="663">
      <c r="A663" s="21" t="s">
        <v>415</v>
      </c>
      <c r="B663" s="22" t="s">
        <v>512</v>
      </c>
      <c r="C663" s="22" t="s">
        <v>82</v>
      </c>
      <c r="D663" s="26">
        <v>45997.0</v>
      </c>
      <c r="E663" s="22" t="s">
        <v>153</v>
      </c>
      <c r="F663" s="22" t="s">
        <v>377</v>
      </c>
      <c r="G663" s="22" t="s">
        <v>1746</v>
      </c>
      <c r="H663" s="22" t="s">
        <v>415</v>
      </c>
      <c r="I663" s="22">
        <v>1.0451254051139E13</v>
      </c>
      <c r="J663" s="22" t="s">
        <v>514</v>
      </c>
      <c r="K663" s="24"/>
      <c r="L663" s="22" t="s">
        <v>419</v>
      </c>
      <c r="M663" s="22">
        <v>1.0</v>
      </c>
      <c r="N663" s="22" t="s">
        <v>381</v>
      </c>
      <c r="O663" s="22" t="s">
        <v>382</v>
      </c>
      <c r="P663" s="24"/>
      <c r="Q663" s="22" t="s">
        <v>90</v>
      </c>
      <c r="R663" s="22">
        <v>3.2730560102723E13</v>
      </c>
      <c r="S663" s="24"/>
      <c r="T663" s="24"/>
      <c r="U663" s="24"/>
      <c r="V663" s="22" t="s">
        <v>91</v>
      </c>
      <c r="W663" s="24"/>
      <c r="X663" s="24"/>
      <c r="Y663" s="30"/>
      <c r="Z663" s="30"/>
      <c r="AA663" s="33"/>
      <c r="AB663" s="33"/>
      <c r="AC663" s="30"/>
      <c r="AD663" s="30"/>
      <c r="AE663" s="33"/>
      <c r="AF663" s="31"/>
      <c r="AG663" s="30"/>
      <c r="AH663" s="30"/>
      <c r="AI663" s="31"/>
      <c r="AJ663" s="31"/>
      <c r="AK663" s="32"/>
    </row>
    <row r="664">
      <c r="A664" s="21" t="s">
        <v>950</v>
      </c>
      <c r="B664" s="22" t="s">
        <v>815</v>
      </c>
      <c r="C664" s="22" t="s">
        <v>82</v>
      </c>
      <c r="D664" s="26">
        <v>45997.0</v>
      </c>
      <c r="E664" s="22" t="s">
        <v>187</v>
      </c>
      <c r="F664" s="22" t="s">
        <v>698</v>
      </c>
      <c r="G664" s="22" t="s">
        <v>1747</v>
      </c>
      <c r="H664" s="22" t="s">
        <v>950</v>
      </c>
      <c r="I664" s="22">
        <v>1.0451261522243E13</v>
      </c>
      <c r="J664" s="22" t="s">
        <v>817</v>
      </c>
      <c r="K664" s="24"/>
      <c r="L664" s="22" t="s">
        <v>952</v>
      </c>
      <c r="M664" s="22">
        <v>1.0</v>
      </c>
      <c r="N664" s="22" t="s">
        <v>702</v>
      </c>
      <c r="O664" s="22" t="s">
        <v>703</v>
      </c>
      <c r="P664" s="24"/>
      <c r="Q664" s="22" t="s">
        <v>90</v>
      </c>
      <c r="R664" s="22">
        <v>3.2730578157891E13</v>
      </c>
      <c r="S664" s="24"/>
      <c r="T664" s="24"/>
      <c r="U664" s="24"/>
      <c r="V664" s="22" t="s">
        <v>54</v>
      </c>
      <c r="W664" s="24"/>
      <c r="X664" s="24"/>
      <c r="Y664" s="30"/>
      <c r="Z664" s="30"/>
      <c r="AA664" s="33"/>
      <c r="AB664" s="33"/>
      <c r="AC664" s="30"/>
      <c r="AD664" s="30"/>
      <c r="AE664" s="33"/>
      <c r="AF664" s="31"/>
      <c r="AG664" s="30"/>
      <c r="AH664" s="30"/>
      <c r="AI664" s="31"/>
      <c r="AJ664" s="31"/>
      <c r="AK664" s="32"/>
    </row>
    <row r="665">
      <c r="A665" s="21" t="s">
        <v>515</v>
      </c>
      <c r="B665" s="22" t="s">
        <v>1748</v>
      </c>
      <c r="C665" s="22" t="s">
        <v>82</v>
      </c>
      <c r="D665" s="26">
        <v>45997.0</v>
      </c>
      <c r="E665" s="22" t="s">
        <v>181</v>
      </c>
      <c r="F665" s="22" t="s">
        <v>472</v>
      </c>
      <c r="G665" s="22" t="s">
        <v>1749</v>
      </c>
      <c r="H665" s="22" t="s">
        <v>515</v>
      </c>
      <c r="I665" s="22">
        <v>1.0451265519939E13</v>
      </c>
      <c r="J665" s="22" t="s">
        <v>1750</v>
      </c>
      <c r="K665" s="24"/>
      <c r="L665" s="22" t="s">
        <v>519</v>
      </c>
      <c r="M665" s="22">
        <v>1.0</v>
      </c>
      <c r="N665" s="22" t="s">
        <v>476</v>
      </c>
      <c r="O665" s="22" t="s">
        <v>477</v>
      </c>
      <c r="P665" s="24"/>
      <c r="Q665" s="22" t="s">
        <v>90</v>
      </c>
      <c r="R665" s="22">
        <v>3.2730590052675E13</v>
      </c>
      <c r="S665" s="24"/>
      <c r="T665" s="24"/>
      <c r="U665" s="24"/>
      <c r="V665" s="22" t="s">
        <v>55</v>
      </c>
      <c r="W665" s="24"/>
      <c r="X665" s="24"/>
      <c r="Y665" s="30"/>
      <c r="Z665" s="30"/>
      <c r="AA665" s="33"/>
      <c r="AB665" s="33"/>
      <c r="AC665" s="30"/>
      <c r="AD665" s="30"/>
      <c r="AE665" s="33"/>
      <c r="AF665" s="31"/>
      <c r="AG665" s="30"/>
      <c r="AH665" s="30"/>
      <c r="AI665" s="31"/>
      <c r="AJ665" s="31"/>
      <c r="AK665" s="32"/>
    </row>
    <row r="666">
      <c r="A666" s="21" t="s">
        <v>732</v>
      </c>
      <c r="B666" s="22" t="s">
        <v>633</v>
      </c>
      <c r="C666" s="22" t="s">
        <v>82</v>
      </c>
      <c r="D666" s="26">
        <v>45997.0</v>
      </c>
      <c r="E666" s="22" t="s">
        <v>168</v>
      </c>
      <c r="F666" s="22" t="s">
        <v>634</v>
      </c>
      <c r="G666" s="22" t="s">
        <v>1751</v>
      </c>
      <c r="H666" s="22" t="s">
        <v>732</v>
      </c>
      <c r="I666" s="22">
        <v>1.0451294683459E13</v>
      </c>
      <c r="J666" s="22" t="s">
        <v>636</v>
      </c>
      <c r="K666" s="24"/>
      <c r="L666" s="22" t="s">
        <v>737</v>
      </c>
      <c r="M666" s="22">
        <v>1.0</v>
      </c>
      <c r="N666" s="22" t="s">
        <v>738</v>
      </c>
      <c r="O666" s="22" t="s">
        <v>739</v>
      </c>
      <c r="P666" s="24"/>
      <c r="Q666" s="22" t="s">
        <v>90</v>
      </c>
      <c r="R666" s="22">
        <v>3.2730658373955E13</v>
      </c>
      <c r="S666" s="24"/>
      <c r="T666" s="24"/>
      <c r="U666" s="24"/>
      <c r="V666" s="22" t="s">
        <v>105</v>
      </c>
      <c r="W666" s="24"/>
      <c r="X666" s="24"/>
      <c r="Y666" s="30"/>
      <c r="Z666" s="30"/>
      <c r="AA666" s="33"/>
      <c r="AB666" s="33"/>
      <c r="AC666" s="30"/>
      <c r="AD666" s="30"/>
      <c r="AE666" s="33"/>
      <c r="AF666" s="31"/>
      <c r="AG666" s="30"/>
      <c r="AH666" s="30"/>
      <c r="AI666" s="31"/>
      <c r="AJ666" s="31"/>
      <c r="AK666" s="32"/>
    </row>
    <row r="667">
      <c r="A667" s="21" t="s">
        <v>354</v>
      </c>
      <c r="B667" s="22" t="s">
        <v>1752</v>
      </c>
      <c r="C667" s="22" t="s">
        <v>273</v>
      </c>
      <c r="D667" s="23">
        <v>45991.0</v>
      </c>
      <c r="E667" s="22" t="s">
        <v>266</v>
      </c>
      <c r="F667" s="22" t="s">
        <v>356</v>
      </c>
      <c r="G667" s="22" t="s">
        <v>1753</v>
      </c>
      <c r="H667" s="22" t="s">
        <v>354</v>
      </c>
      <c r="I667" s="22">
        <v>1.0451297763651E13</v>
      </c>
      <c r="J667" s="22" t="s">
        <v>1754</v>
      </c>
      <c r="K667" s="24"/>
      <c r="L667" s="22" t="s">
        <v>359</v>
      </c>
      <c r="M667" s="22">
        <v>1.0</v>
      </c>
      <c r="N667" s="22" t="s">
        <v>360</v>
      </c>
      <c r="O667" s="22" t="s">
        <v>361</v>
      </c>
      <c r="P667" s="24"/>
      <c r="Q667" s="22" t="s">
        <v>90</v>
      </c>
      <c r="R667" s="22">
        <v>3.2730664829251E13</v>
      </c>
      <c r="S667" s="24"/>
      <c r="T667" s="24"/>
      <c r="U667" s="24"/>
      <c r="V667" s="22" t="s">
        <v>54</v>
      </c>
      <c r="W667" s="24"/>
      <c r="X667" s="24"/>
      <c r="Y667" s="30"/>
      <c r="Z667" s="30"/>
      <c r="AA667" s="33"/>
      <c r="AB667" s="33"/>
      <c r="AC667" s="30"/>
      <c r="AD667" s="30"/>
      <c r="AE667" s="33"/>
      <c r="AF667" s="31"/>
      <c r="AG667" s="30"/>
      <c r="AH667" s="30"/>
      <c r="AI667" s="31"/>
      <c r="AJ667" s="31"/>
      <c r="AK667" s="32"/>
    </row>
    <row r="668">
      <c r="A668" s="21" t="s">
        <v>584</v>
      </c>
      <c r="B668" s="22" t="s">
        <v>810</v>
      </c>
      <c r="C668" s="22" t="s">
        <v>82</v>
      </c>
      <c r="D668" s="23">
        <v>46004.0</v>
      </c>
      <c r="E668" s="22" t="s">
        <v>134</v>
      </c>
      <c r="F668" s="22" t="s">
        <v>377</v>
      </c>
      <c r="G668" s="22" t="s">
        <v>1755</v>
      </c>
      <c r="H668" s="22" t="s">
        <v>584</v>
      </c>
      <c r="I668" s="22">
        <v>1.0451302023491E13</v>
      </c>
      <c r="J668" s="22" t="s">
        <v>812</v>
      </c>
      <c r="K668" s="24"/>
      <c r="L668" s="22" t="s">
        <v>586</v>
      </c>
      <c r="M668" s="22">
        <v>1.0</v>
      </c>
      <c r="N668" s="22" t="s">
        <v>413</v>
      </c>
      <c r="O668" s="22" t="s">
        <v>414</v>
      </c>
      <c r="P668" s="24"/>
      <c r="Q668" s="22" t="s">
        <v>90</v>
      </c>
      <c r="R668" s="22">
        <v>3.2730675249475E13</v>
      </c>
      <c r="S668" s="24"/>
      <c r="T668" s="24"/>
      <c r="U668" s="24"/>
      <c r="V668" s="22" t="s">
        <v>105</v>
      </c>
      <c r="W668" s="24"/>
      <c r="X668" s="24"/>
      <c r="Y668" s="30"/>
      <c r="Z668" s="30"/>
      <c r="AA668" s="33"/>
      <c r="AB668" s="33"/>
      <c r="AC668" s="30"/>
      <c r="AD668" s="30"/>
      <c r="AE668" s="33"/>
      <c r="AF668" s="31"/>
      <c r="AG668" s="30"/>
      <c r="AH668" s="30"/>
      <c r="AI668" s="31"/>
      <c r="AJ668" s="31"/>
      <c r="AK668" s="32"/>
    </row>
    <row r="669">
      <c r="A669" s="21" t="s">
        <v>620</v>
      </c>
      <c r="B669" s="22" t="s">
        <v>1756</v>
      </c>
      <c r="C669" s="22" t="s">
        <v>273</v>
      </c>
      <c r="D669" s="26">
        <v>45998.0</v>
      </c>
      <c r="E669" s="22" t="s">
        <v>196</v>
      </c>
      <c r="F669" s="22" t="s">
        <v>623</v>
      </c>
      <c r="G669" s="22" t="s">
        <v>1757</v>
      </c>
      <c r="H669" s="22" t="s">
        <v>620</v>
      </c>
      <c r="I669" s="22">
        <v>1.0451243106627E13</v>
      </c>
      <c r="J669" s="22" t="s">
        <v>1758</v>
      </c>
      <c r="K669" s="24"/>
      <c r="L669" s="22" t="s">
        <v>626</v>
      </c>
      <c r="M669" s="22">
        <v>1.0</v>
      </c>
      <c r="N669" s="22" t="s">
        <v>627</v>
      </c>
      <c r="O669" s="22" t="s">
        <v>628</v>
      </c>
      <c r="P669" s="24"/>
      <c r="Q669" s="22" t="s">
        <v>90</v>
      </c>
      <c r="R669" s="22">
        <v>3.2730535002435E13</v>
      </c>
      <c r="S669" s="24"/>
      <c r="T669" s="24"/>
      <c r="U669" s="24"/>
      <c r="V669" s="22" t="s">
        <v>54</v>
      </c>
      <c r="W669" s="24"/>
      <c r="X669" s="24"/>
      <c r="Y669" s="30"/>
      <c r="Z669" s="30"/>
      <c r="AA669" s="33"/>
      <c r="AB669" s="33"/>
      <c r="AC669" s="30"/>
      <c r="AD669" s="30"/>
      <c r="AE669" s="33"/>
      <c r="AF669" s="31"/>
      <c r="AG669" s="30"/>
      <c r="AH669" s="30"/>
      <c r="AI669" s="31"/>
      <c r="AJ669" s="31"/>
      <c r="AK669" s="32"/>
    </row>
    <row r="670">
      <c r="A670" s="21" t="s">
        <v>478</v>
      </c>
      <c r="B670" s="22" t="s">
        <v>516</v>
      </c>
      <c r="C670" s="22" t="s">
        <v>273</v>
      </c>
      <c r="D670" s="26">
        <v>45998.0</v>
      </c>
      <c r="E670" s="22" t="s">
        <v>134</v>
      </c>
      <c r="F670" s="22" t="s">
        <v>472</v>
      </c>
      <c r="G670" s="22" t="s">
        <v>1759</v>
      </c>
      <c r="H670" s="22" t="s">
        <v>478</v>
      </c>
      <c r="I670" s="22">
        <v>1.0451243761987E13</v>
      </c>
      <c r="J670" s="22" t="s">
        <v>518</v>
      </c>
      <c r="K670" s="24"/>
      <c r="L670" s="22" t="s">
        <v>483</v>
      </c>
      <c r="M670" s="22">
        <v>1.0</v>
      </c>
      <c r="N670" s="22" t="s">
        <v>476</v>
      </c>
      <c r="O670" s="22" t="s">
        <v>477</v>
      </c>
      <c r="P670" s="24"/>
      <c r="Q670" s="22" t="s">
        <v>90</v>
      </c>
      <c r="R670" s="22">
        <v>3.2730536378691E13</v>
      </c>
      <c r="S670" s="24"/>
      <c r="T670" s="24"/>
      <c r="U670" s="24"/>
      <c r="V670" s="22" t="s">
        <v>95</v>
      </c>
      <c r="W670" s="24"/>
      <c r="X670" s="24"/>
      <c r="Y670" s="30"/>
      <c r="Z670" s="30"/>
      <c r="AA670" s="33"/>
      <c r="AB670" s="33"/>
      <c r="AC670" s="30"/>
      <c r="AD670" s="30"/>
      <c r="AE670" s="33"/>
      <c r="AF670" s="31"/>
      <c r="AG670" s="30"/>
      <c r="AH670" s="30"/>
      <c r="AI670" s="31"/>
      <c r="AJ670" s="31"/>
      <c r="AK670" s="32"/>
    </row>
    <row r="671">
      <c r="A671" s="21" t="s">
        <v>488</v>
      </c>
      <c r="B671" s="22" t="s">
        <v>1760</v>
      </c>
      <c r="C671" s="22" t="s">
        <v>273</v>
      </c>
      <c r="D671" s="26">
        <v>45998.0</v>
      </c>
      <c r="E671" s="22" t="s">
        <v>181</v>
      </c>
      <c r="F671" s="22" t="s">
        <v>311</v>
      </c>
      <c r="G671" s="22" t="s">
        <v>1761</v>
      </c>
      <c r="H671" s="22" t="s">
        <v>488</v>
      </c>
      <c r="I671" s="22">
        <v>1.0451319619907E13</v>
      </c>
      <c r="J671" s="22" t="s">
        <v>1762</v>
      </c>
      <c r="K671" s="24"/>
      <c r="L671" s="22" t="s">
        <v>492</v>
      </c>
      <c r="M671" s="22">
        <v>1.0</v>
      </c>
      <c r="N671" s="22" t="s">
        <v>391</v>
      </c>
      <c r="O671" s="22" t="s">
        <v>392</v>
      </c>
      <c r="P671" s="24"/>
      <c r="Q671" s="22" t="s">
        <v>90</v>
      </c>
      <c r="R671" s="22">
        <v>3.2730716569923E13</v>
      </c>
      <c r="S671" s="24"/>
      <c r="T671" s="24"/>
      <c r="U671" s="24"/>
      <c r="V671" s="22" t="s">
        <v>95</v>
      </c>
      <c r="W671" s="24"/>
      <c r="X671" s="24"/>
      <c r="Y671" s="30"/>
      <c r="Z671" s="30"/>
      <c r="AA671" s="33"/>
      <c r="AB671" s="33"/>
      <c r="AC671" s="30"/>
      <c r="AD671" s="30"/>
      <c r="AE671" s="33"/>
      <c r="AF671" s="31"/>
      <c r="AG671" s="30"/>
      <c r="AH671" s="30"/>
      <c r="AI671" s="31"/>
      <c r="AJ671" s="31"/>
      <c r="AK671" s="32"/>
    </row>
    <row r="672">
      <c r="A672" s="21" t="s">
        <v>1078</v>
      </c>
      <c r="B672" s="22" t="s">
        <v>1763</v>
      </c>
      <c r="C672" s="22" t="s">
        <v>82</v>
      </c>
      <c r="D672" s="26">
        <v>45997.0</v>
      </c>
      <c r="E672" s="22" t="s">
        <v>716</v>
      </c>
      <c r="F672" s="22" t="s">
        <v>717</v>
      </c>
      <c r="G672" s="22" t="s">
        <v>1764</v>
      </c>
      <c r="H672" s="22" t="s">
        <v>1078</v>
      </c>
      <c r="I672" s="22">
        <v>1.0451320799555E13</v>
      </c>
      <c r="J672" s="22" t="s">
        <v>1765</v>
      </c>
      <c r="K672" s="24"/>
      <c r="L672" s="22" t="s">
        <v>1082</v>
      </c>
      <c r="M672" s="22">
        <v>1.0</v>
      </c>
      <c r="N672" s="22" t="s">
        <v>1083</v>
      </c>
      <c r="O672" s="22" t="s">
        <v>1084</v>
      </c>
      <c r="P672" s="24"/>
      <c r="Q672" s="22" t="s">
        <v>90</v>
      </c>
      <c r="R672" s="22">
        <v>3.2730719650115E13</v>
      </c>
      <c r="S672" s="24"/>
      <c r="T672" s="24"/>
      <c r="U672" s="24"/>
      <c r="V672" s="22" t="s">
        <v>105</v>
      </c>
      <c r="W672" s="24"/>
      <c r="X672" s="24"/>
      <c r="Y672" s="30"/>
      <c r="Z672" s="30"/>
      <c r="AA672" s="33"/>
      <c r="AB672" s="33"/>
      <c r="AC672" s="30"/>
      <c r="AD672" s="30"/>
      <c r="AE672" s="33"/>
      <c r="AF672" s="31"/>
      <c r="AG672" s="30"/>
      <c r="AH672" s="30"/>
      <c r="AI672" s="31"/>
      <c r="AJ672" s="31"/>
      <c r="AK672" s="32"/>
    </row>
    <row r="673">
      <c r="A673" s="21" t="s">
        <v>973</v>
      </c>
      <c r="B673" s="22" t="s">
        <v>438</v>
      </c>
      <c r="C673" s="22" t="s">
        <v>273</v>
      </c>
      <c r="D673" s="26">
        <v>45998.0</v>
      </c>
      <c r="E673" s="22" t="s">
        <v>439</v>
      </c>
      <c r="F673" s="22" t="s">
        <v>440</v>
      </c>
      <c r="G673" s="22" t="s">
        <v>1766</v>
      </c>
      <c r="H673" s="22" t="s">
        <v>973</v>
      </c>
      <c r="I673" s="22">
        <v>1.0451347079491E13</v>
      </c>
      <c r="J673" s="22" t="s">
        <v>1767</v>
      </c>
      <c r="K673" s="24"/>
      <c r="L673" s="22" t="s">
        <v>978</v>
      </c>
      <c r="M673" s="22">
        <v>1.0</v>
      </c>
      <c r="N673" s="22" t="s">
        <v>781</v>
      </c>
      <c r="O673" s="22" t="s">
        <v>782</v>
      </c>
      <c r="P673" s="24"/>
      <c r="Q673" s="22" t="s">
        <v>90</v>
      </c>
      <c r="R673" s="22">
        <v>3.2730781942083E13</v>
      </c>
      <c r="S673" s="24"/>
      <c r="T673" s="24"/>
      <c r="U673" s="24"/>
      <c r="V673" s="22" t="s">
        <v>105</v>
      </c>
      <c r="W673" s="24"/>
      <c r="X673" s="24"/>
      <c r="Y673" s="30"/>
      <c r="Z673" s="30"/>
      <c r="AA673" s="33"/>
      <c r="AB673" s="33"/>
      <c r="AC673" s="30"/>
      <c r="AD673" s="30"/>
      <c r="AE673" s="33"/>
      <c r="AF673" s="31"/>
      <c r="AG673" s="30"/>
      <c r="AH673" s="30"/>
      <c r="AI673" s="31"/>
      <c r="AJ673" s="31"/>
      <c r="AK673" s="32"/>
    </row>
    <row r="674">
      <c r="A674" s="21" t="s">
        <v>560</v>
      </c>
      <c r="B674" s="22" t="s">
        <v>355</v>
      </c>
      <c r="C674" s="22" t="s">
        <v>273</v>
      </c>
      <c r="D674" s="23">
        <v>45991.0</v>
      </c>
      <c r="E674" s="22" t="s">
        <v>149</v>
      </c>
      <c r="F674" s="22" t="s">
        <v>356</v>
      </c>
      <c r="G674" s="22" t="s">
        <v>1768</v>
      </c>
      <c r="H674" s="22" t="s">
        <v>560</v>
      </c>
      <c r="I674" s="22">
        <v>1.0451356123459E13</v>
      </c>
      <c r="J674" s="22" t="s">
        <v>562</v>
      </c>
      <c r="K674" s="24"/>
      <c r="L674" s="22" t="s">
        <v>563</v>
      </c>
      <c r="M674" s="22">
        <v>1.0</v>
      </c>
      <c r="N674" s="22" t="s">
        <v>360</v>
      </c>
      <c r="O674" s="22" t="s">
        <v>361</v>
      </c>
      <c r="P674" s="24"/>
      <c r="Q674" s="22" t="s">
        <v>90</v>
      </c>
      <c r="R674" s="22">
        <v>3.2730801242435E13</v>
      </c>
      <c r="S674" s="24"/>
      <c r="T674" s="24"/>
      <c r="U674" s="24"/>
      <c r="V674" s="22" t="s">
        <v>91</v>
      </c>
      <c r="W674" s="24"/>
      <c r="X674" s="24"/>
      <c r="Y674" s="30"/>
      <c r="Z674" s="30"/>
      <c r="AA674" s="33"/>
      <c r="AB674" s="33"/>
      <c r="AC674" s="30"/>
      <c r="AD674" s="30"/>
      <c r="AE674" s="33"/>
      <c r="AF674" s="31"/>
      <c r="AG674" s="30"/>
      <c r="AH674" s="30"/>
      <c r="AI674" s="31"/>
      <c r="AJ674" s="31"/>
      <c r="AK674" s="32"/>
    </row>
    <row r="675">
      <c r="A675" s="21" t="s">
        <v>1640</v>
      </c>
      <c r="B675" s="22" t="s">
        <v>1618</v>
      </c>
      <c r="C675" s="22" t="s">
        <v>82</v>
      </c>
      <c r="D675" s="26">
        <v>45997.0</v>
      </c>
      <c r="E675" s="22" t="s">
        <v>975</v>
      </c>
      <c r="F675" s="22" t="s">
        <v>1466</v>
      </c>
      <c r="G675" s="22" t="s">
        <v>1769</v>
      </c>
      <c r="H675" s="22" t="s">
        <v>1640</v>
      </c>
      <c r="I675" s="22">
        <v>1.0451356975427E13</v>
      </c>
      <c r="J675" s="22" t="s">
        <v>1620</v>
      </c>
      <c r="K675" s="24"/>
      <c r="L675" s="22" t="s">
        <v>1642</v>
      </c>
      <c r="M675" s="22">
        <v>1.0</v>
      </c>
      <c r="N675" s="22" t="s">
        <v>1628</v>
      </c>
      <c r="O675" s="22" t="s">
        <v>1629</v>
      </c>
      <c r="P675" s="24"/>
      <c r="Q675" s="22" t="s">
        <v>90</v>
      </c>
      <c r="R675" s="22">
        <v>3.2730802749763E13</v>
      </c>
      <c r="S675" s="24"/>
      <c r="T675" s="24"/>
      <c r="U675" s="24"/>
      <c r="V675" s="22" t="s">
        <v>127</v>
      </c>
      <c r="W675" s="24"/>
      <c r="X675" s="24"/>
      <c r="Y675" s="30"/>
      <c r="Z675" s="30"/>
      <c r="AA675" s="33"/>
      <c r="AB675" s="33"/>
      <c r="AC675" s="30"/>
      <c r="AD675" s="30"/>
      <c r="AE675" s="33"/>
      <c r="AF675" s="31"/>
      <c r="AG675" s="30"/>
      <c r="AH675" s="30"/>
      <c r="AI675" s="31"/>
      <c r="AJ675" s="31"/>
      <c r="AK675" s="32"/>
    </row>
    <row r="676">
      <c r="A676" s="21" t="s">
        <v>423</v>
      </c>
      <c r="B676" s="22" t="s">
        <v>587</v>
      </c>
      <c r="C676" s="22" t="s">
        <v>273</v>
      </c>
      <c r="D676" s="26">
        <v>45998.0</v>
      </c>
      <c r="E676" s="22" t="s">
        <v>153</v>
      </c>
      <c r="F676" s="22" t="s">
        <v>369</v>
      </c>
      <c r="G676" s="22" t="s">
        <v>1770</v>
      </c>
      <c r="H676" s="22" t="s">
        <v>423</v>
      </c>
      <c r="I676" s="22">
        <v>1.0451362906435E13</v>
      </c>
      <c r="J676" s="22" t="s">
        <v>589</v>
      </c>
      <c r="K676" s="24"/>
      <c r="L676" s="22" t="s">
        <v>427</v>
      </c>
      <c r="M676" s="22">
        <v>1.0</v>
      </c>
      <c r="N676" s="22" t="s">
        <v>373</v>
      </c>
      <c r="O676" s="22" t="s">
        <v>374</v>
      </c>
      <c r="P676" s="24"/>
      <c r="Q676" s="22" t="s">
        <v>90</v>
      </c>
      <c r="R676" s="22">
        <v>3.2730815725891E13</v>
      </c>
      <c r="S676" s="24"/>
      <c r="T676" s="24"/>
      <c r="U676" s="24"/>
      <c r="V676" s="22" t="s">
        <v>95</v>
      </c>
      <c r="W676" s="24"/>
      <c r="X676" s="24"/>
      <c r="Y676" s="30"/>
      <c r="Z676" s="30"/>
      <c r="AA676" s="33"/>
      <c r="AB676" s="33"/>
      <c r="AC676" s="30"/>
      <c r="AD676" s="30"/>
      <c r="AE676" s="33"/>
      <c r="AF676" s="31"/>
      <c r="AG676" s="30"/>
      <c r="AH676" s="30"/>
      <c r="AI676" s="31"/>
      <c r="AJ676" s="31"/>
      <c r="AK676" s="32"/>
    </row>
    <row r="677">
      <c r="A677" s="21" t="s">
        <v>375</v>
      </c>
      <c r="B677" s="22" t="s">
        <v>1771</v>
      </c>
      <c r="C677" s="22" t="s">
        <v>82</v>
      </c>
      <c r="D677" s="23">
        <v>46004.0</v>
      </c>
      <c r="E677" s="22" t="s">
        <v>252</v>
      </c>
      <c r="F677" s="22" t="s">
        <v>377</v>
      </c>
      <c r="G677" s="22" t="s">
        <v>1772</v>
      </c>
      <c r="H677" s="22" t="s">
        <v>375</v>
      </c>
      <c r="I677" s="22">
        <v>1.0451374014787E13</v>
      </c>
      <c r="J677" s="22" t="s">
        <v>1773</v>
      </c>
      <c r="K677" s="24"/>
      <c r="L677" s="22" t="s">
        <v>380</v>
      </c>
      <c r="M677" s="22">
        <v>1.0</v>
      </c>
      <c r="N677" s="22" t="s">
        <v>381</v>
      </c>
      <c r="O677" s="22" t="s">
        <v>382</v>
      </c>
      <c r="P677" s="24"/>
      <c r="Q677" s="22" t="s">
        <v>90</v>
      </c>
      <c r="R677" s="22">
        <v>3.2730840334659E13</v>
      </c>
      <c r="S677" s="24"/>
      <c r="T677" s="24"/>
      <c r="U677" s="24"/>
      <c r="V677" s="22" t="s">
        <v>55</v>
      </c>
      <c r="W677" s="24"/>
      <c r="X677" s="24"/>
      <c r="Y677" s="30"/>
      <c r="Z677" s="30"/>
      <c r="AA677" s="33"/>
      <c r="AB677" s="33"/>
      <c r="AC677" s="30"/>
      <c r="AD677" s="30"/>
      <c r="AE677" s="33"/>
      <c r="AF677" s="31"/>
      <c r="AG677" s="30"/>
      <c r="AH677" s="30"/>
      <c r="AI677" s="31"/>
      <c r="AJ677" s="31"/>
      <c r="AK677" s="32"/>
    </row>
    <row r="678">
      <c r="A678" s="21" t="s">
        <v>1217</v>
      </c>
      <c r="B678" s="22" t="s">
        <v>1510</v>
      </c>
      <c r="C678" s="22" t="s">
        <v>82</v>
      </c>
      <c r="D678" s="26">
        <v>45997.0</v>
      </c>
      <c r="E678" s="22" t="s">
        <v>266</v>
      </c>
      <c r="F678" s="22" t="s">
        <v>605</v>
      </c>
      <c r="G678" s="22" t="s">
        <v>1774</v>
      </c>
      <c r="H678" s="22" t="s">
        <v>1217</v>
      </c>
      <c r="I678" s="22">
        <v>1.0451374080323E13</v>
      </c>
      <c r="J678" s="22" t="s">
        <v>1512</v>
      </c>
      <c r="K678" s="24"/>
      <c r="L678" s="22" t="s">
        <v>1219</v>
      </c>
      <c r="M678" s="22">
        <v>1.0</v>
      </c>
      <c r="N678" s="22" t="s">
        <v>609</v>
      </c>
      <c r="O678" s="22" t="s">
        <v>610</v>
      </c>
      <c r="P678" s="24"/>
      <c r="Q678" s="22" t="s">
        <v>90</v>
      </c>
      <c r="R678" s="22">
        <v>3.2730840367427E13</v>
      </c>
      <c r="S678" s="24"/>
      <c r="T678" s="24"/>
      <c r="U678" s="24"/>
      <c r="V678" s="22" t="s">
        <v>91</v>
      </c>
      <c r="W678" s="24"/>
      <c r="X678" s="24"/>
      <c r="Y678" s="30"/>
      <c r="Z678" s="30"/>
      <c r="AA678" s="33"/>
      <c r="AB678" s="33"/>
      <c r="AC678" s="30"/>
      <c r="AD678" s="30"/>
      <c r="AE678" s="33"/>
      <c r="AF678" s="31"/>
      <c r="AG678" s="30"/>
      <c r="AH678" s="30"/>
      <c r="AI678" s="31"/>
      <c r="AJ678" s="31"/>
      <c r="AK678" s="32"/>
    </row>
    <row r="679">
      <c r="A679" s="21" t="s">
        <v>386</v>
      </c>
      <c r="B679" s="22" t="s">
        <v>310</v>
      </c>
      <c r="C679" s="22" t="s">
        <v>82</v>
      </c>
      <c r="D679" s="26">
        <v>45997.0</v>
      </c>
      <c r="E679" s="22" t="s">
        <v>134</v>
      </c>
      <c r="F679" s="22" t="s">
        <v>311</v>
      </c>
      <c r="G679" s="22" t="s">
        <v>1775</v>
      </c>
      <c r="H679" s="22" t="s">
        <v>386</v>
      </c>
      <c r="I679" s="22">
        <v>1.0451168788803E13</v>
      </c>
      <c r="J679" s="22" t="s">
        <v>544</v>
      </c>
      <c r="K679" s="24"/>
      <c r="L679" s="22" t="s">
        <v>390</v>
      </c>
      <c r="M679" s="22">
        <v>1.0</v>
      </c>
      <c r="N679" s="22" t="s">
        <v>391</v>
      </c>
      <c r="O679" s="22" t="s">
        <v>392</v>
      </c>
      <c r="P679" s="24"/>
      <c r="Q679" s="22" t="s">
        <v>90</v>
      </c>
      <c r="R679" s="22">
        <v>3.2730363920707E13</v>
      </c>
      <c r="S679" s="24"/>
      <c r="T679" s="24"/>
      <c r="U679" s="24"/>
      <c r="V679" s="22" t="s">
        <v>55</v>
      </c>
      <c r="W679" s="24"/>
      <c r="X679" s="24"/>
      <c r="Y679" s="30"/>
      <c r="Z679" s="30"/>
      <c r="AA679" s="33"/>
      <c r="AB679" s="33"/>
      <c r="AC679" s="30"/>
      <c r="AD679" s="30"/>
      <c r="AE679" s="33"/>
      <c r="AF679" s="31"/>
      <c r="AG679" s="30"/>
      <c r="AH679" s="30"/>
      <c r="AI679" s="31"/>
      <c r="AJ679" s="31"/>
      <c r="AK679" s="32"/>
    </row>
    <row r="680">
      <c r="A680" s="21" t="s">
        <v>595</v>
      </c>
      <c r="B680" s="22" t="s">
        <v>587</v>
      </c>
      <c r="C680" s="22" t="s">
        <v>273</v>
      </c>
      <c r="D680" s="26">
        <v>45998.0</v>
      </c>
      <c r="E680" s="22" t="s">
        <v>153</v>
      </c>
      <c r="F680" s="22" t="s">
        <v>369</v>
      </c>
      <c r="G680" s="22" t="s">
        <v>1776</v>
      </c>
      <c r="H680" s="22" t="s">
        <v>595</v>
      </c>
      <c r="I680" s="22">
        <v>1.0451316244803E13</v>
      </c>
      <c r="J680" s="22" t="s">
        <v>589</v>
      </c>
      <c r="K680" s="24"/>
      <c r="L680" s="22" t="s">
        <v>599</v>
      </c>
      <c r="M680" s="22">
        <v>1.0</v>
      </c>
      <c r="N680" s="22" t="s">
        <v>600</v>
      </c>
      <c r="O680" s="22" t="s">
        <v>601</v>
      </c>
      <c r="P680" s="24"/>
      <c r="Q680" s="22" t="s">
        <v>90</v>
      </c>
      <c r="R680" s="22">
        <v>3.2730708541763E13</v>
      </c>
      <c r="S680" s="24"/>
      <c r="T680" s="24"/>
      <c r="U680" s="24"/>
      <c r="V680" s="22" t="s">
        <v>127</v>
      </c>
      <c r="W680" s="24"/>
      <c r="X680" s="24"/>
      <c r="Y680" s="30"/>
      <c r="Z680" s="30"/>
      <c r="AA680" s="33"/>
      <c r="AB680" s="33"/>
      <c r="AC680" s="30"/>
      <c r="AD680" s="30"/>
      <c r="AE680" s="33"/>
      <c r="AF680" s="31"/>
      <c r="AG680" s="30"/>
      <c r="AH680" s="30"/>
      <c r="AI680" s="31"/>
      <c r="AJ680" s="31"/>
      <c r="AK680" s="32"/>
    </row>
    <row r="681">
      <c r="A681" s="21" t="s">
        <v>375</v>
      </c>
      <c r="B681" s="22" t="s">
        <v>416</v>
      </c>
      <c r="C681" s="22" t="s">
        <v>82</v>
      </c>
      <c r="D681" s="26">
        <v>45997.0</v>
      </c>
      <c r="E681" s="22" t="s">
        <v>134</v>
      </c>
      <c r="F681" s="22" t="s">
        <v>377</v>
      </c>
      <c r="G681" s="22" t="s">
        <v>1777</v>
      </c>
      <c r="H681" s="22" t="s">
        <v>375</v>
      </c>
      <c r="I681" s="22">
        <v>1.0451380764995E13</v>
      </c>
      <c r="J681" s="22" t="s">
        <v>1017</v>
      </c>
      <c r="K681" s="24"/>
      <c r="L681" s="22" t="s">
        <v>380</v>
      </c>
      <c r="M681" s="22">
        <v>1.0</v>
      </c>
      <c r="N681" s="22" t="s">
        <v>381</v>
      </c>
      <c r="O681" s="22" t="s">
        <v>382</v>
      </c>
      <c r="P681" s="24"/>
      <c r="Q681" s="22" t="s">
        <v>90</v>
      </c>
      <c r="R681" s="22">
        <v>3.2730857865539E13</v>
      </c>
      <c r="S681" s="24"/>
      <c r="T681" s="24"/>
      <c r="U681" s="24"/>
      <c r="V681" s="22" t="s">
        <v>55</v>
      </c>
      <c r="W681" s="24"/>
      <c r="X681" s="24"/>
      <c r="Y681" s="30"/>
      <c r="Z681" s="30"/>
      <c r="AA681" s="33"/>
      <c r="AB681" s="33"/>
      <c r="AC681" s="30"/>
      <c r="AD681" s="30"/>
      <c r="AE681" s="33"/>
      <c r="AF681" s="31"/>
      <c r="AG681" s="30"/>
      <c r="AH681" s="30"/>
      <c r="AI681" s="31"/>
      <c r="AJ681" s="31"/>
      <c r="AK681" s="32"/>
    </row>
    <row r="682">
      <c r="A682" s="21" t="s">
        <v>814</v>
      </c>
      <c r="B682" s="22" t="s">
        <v>1532</v>
      </c>
      <c r="C682" s="22" t="s">
        <v>82</v>
      </c>
      <c r="D682" s="26">
        <v>45997.0</v>
      </c>
      <c r="E682" s="22" t="s">
        <v>211</v>
      </c>
      <c r="F682" s="22" t="s">
        <v>698</v>
      </c>
      <c r="G682" s="22" t="s">
        <v>1778</v>
      </c>
      <c r="H682" s="22" t="s">
        <v>814</v>
      </c>
      <c r="I682" s="22">
        <v>1.0451384664387E13</v>
      </c>
      <c r="J682" s="22" t="s">
        <v>1534</v>
      </c>
      <c r="K682" s="24"/>
      <c r="L682" s="22" t="s">
        <v>818</v>
      </c>
      <c r="M682" s="22">
        <v>1.0</v>
      </c>
      <c r="N682" s="22" t="s">
        <v>819</v>
      </c>
      <c r="O682" s="22" t="s">
        <v>820</v>
      </c>
      <c r="P682" s="24"/>
      <c r="Q682" s="22" t="s">
        <v>90</v>
      </c>
      <c r="R682" s="22">
        <v>3.2730867532099E13</v>
      </c>
      <c r="S682" s="24"/>
      <c r="T682" s="24"/>
      <c r="U682" s="24"/>
      <c r="V682" s="22" t="s">
        <v>127</v>
      </c>
      <c r="W682" s="24"/>
      <c r="X682" s="24"/>
      <c r="Y682" s="30"/>
      <c r="Z682" s="30"/>
      <c r="AA682" s="33"/>
      <c r="AB682" s="33"/>
      <c r="AC682" s="30"/>
      <c r="AD682" s="30"/>
      <c r="AE682" s="33"/>
      <c r="AF682" s="31"/>
      <c r="AG682" s="30"/>
      <c r="AH682" s="30"/>
      <c r="AI682" s="31"/>
      <c r="AJ682" s="31"/>
      <c r="AK682" s="32"/>
    </row>
    <row r="683">
      <c r="A683" s="21" t="s">
        <v>1779</v>
      </c>
      <c r="B683" s="22" t="s">
        <v>909</v>
      </c>
      <c r="C683" s="22" t="s">
        <v>82</v>
      </c>
      <c r="D683" s="23">
        <v>46004.0</v>
      </c>
      <c r="E683" s="22" t="s">
        <v>134</v>
      </c>
      <c r="F683" s="22" t="s">
        <v>203</v>
      </c>
      <c r="G683" s="22" t="s">
        <v>1780</v>
      </c>
      <c r="H683" s="22" t="s">
        <v>1779</v>
      </c>
      <c r="I683" s="22">
        <v>1.0451386270019E13</v>
      </c>
      <c r="J683" s="22" t="s">
        <v>911</v>
      </c>
      <c r="K683" s="24"/>
      <c r="L683" s="22" t="s">
        <v>1781</v>
      </c>
      <c r="M683" s="22">
        <v>1.0</v>
      </c>
      <c r="N683" s="22" t="s">
        <v>900</v>
      </c>
      <c r="O683" s="22" t="s">
        <v>901</v>
      </c>
      <c r="P683" s="24"/>
      <c r="Q683" s="22" t="s">
        <v>90</v>
      </c>
      <c r="R683" s="22">
        <v>3.2730870448451E13</v>
      </c>
      <c r="S683" s="24"/>
      <c r="T683" s="24"/>
      <c r="U683" s="24"/>
      <c r="V683" s="22" t="s">
        <v>127</v>
      </c>
      <c r="W683" s="24"/>
      <c r="X683" s="24"/>
      <c r="Y683" s="30"/>
      <c r="Z683" s="30"/>
      <c r="AA683" s="33"/>
      <c r="AB683" s="33"/>
      <c r="AC683" s="30"/>
      <c r="AD683" s="30"/>
      <c r="AE683" s="33"/>
      <c r="AF683" s="31"/>
      <c r="AG683" s="30"/>
      <c r="AH683" s="30"/>
      <c r="AI683" s="31"/>
      <c r="AJ683" s="31"/>
      <c r="AK683" s="32"/>
    </row>
    <row r="684">
      <c r="A684" s="21" t="s">
        <v>1359</v>
      </c>
      <c r="B684" s="22" t="s">
        <v>1510</v>
      </c>
      <c r="C684" s="22" t="s">
        <v>82</v>
      </c>
      <c r="D684" s="26">
        <v>45997.0</v>
      </c>
      <c r="E684" s="22" t="s">
        <v>266</v>
      </c>
      <c r="F684" s="22" t="s">
        <v>605</v>
      </c>
      <c r="G684" s="22" t="s">
        <v>1782</v>
      </c>
      <c r="H684" s="22" t="s">
        <v>1359</v>
      </c>
      <c r="I684" s="22">
        <v>1.0451388465475E13</v>
      </c>
      <c r="J684" s="22" t="s">
        <v>1512</v>
      </c>
      <c r="K684" s="24"/>
      <c r="L684" s="22" t="s">
        <v>1363</v>
      </c>
      <c r="M684" s="22">
        <v>1.0</v>
      </c>
      <c r="N684" s="22" t="s">
        <v>795</v>
      </c>
      <c r="O684" s="22" t="s">
        <v>796</v>
      </c>
      <c r="P684" s="24"/>
      <c r="Q684" s="22" t="s">
        <v>90</v>
      </c>
      <c r="R684" s="22">
        <v>3.2730875232579E13</v>
      </c>
      <c r="S684" s="24"/>
      <c r="T684" s="24"/>
      <c r="U684" s="24"/>
      <c r="V684" s="22" t="s">
        <v>175</v>
      </c>
      <c r="W684" s="24"/>
      <c r="X684" s="24"/>
      <c r="Y684" s="30"/>
      <c r="Z684" s="30"/>
      <c r="AA684" s="33"/>
      <c r="AB684" s="33"/>
      <c r="AC684" s="30"/>
      <c r="AD684" s="30"/>
      <c r="AE684" s="33"/>
      <c r="AF684" s="31"/>
      <c r="AG684" s="30"/>
      <c r="AH684" s="30"/>
      <c r="AI684" s="31"/>
      <c r="AJ684" s="31"/>
      <c r="AK684" s="32"/>
    </row>
    <row r="685">
      <c r="A685" s="21" t="s">
        <v>1783</v>
      </c>
      <c r="B685" s="22" t="s">
        <v>1784</v>
      </c>
      <c r="C685" s="22" t="s">
        <v>82</v>
      </c>
      <c r="D685" s="26">
        <v>45997.0</v>
      </c>
      <c r="E685" s="22" t="s">
        <v>219</v>
      </c>
      <c r="F685" s="22" t="s">
        <v>1466</v>
      </c>
      <c r="G685" s="22" t="s">
        <v>1785</v>
      </c>
      <c r="H685" s="22" t="s">
        <v>1783</v>
      </c>
      <c r="I685" s="22">
        <v>1.0451396395331E13</v>
      </c>
      <c r="J685" s="22" t="s">
        <v>1786</v>
      </c>
      <c r="K685" s="24"/>
      <c r="L685" s="22" t="s">
        <v>1787</v>
      </c>
      <c r="M685" s="22">
        <v>1.0</v>
      </c>
      <c r="N685" s="22" t="s">
        <v>1628</v>
      </c>
      <c r="O685" s="22" t="s">
        <v>1629</v>
      </c>
      <c r="P685" s="24"/>
      <c r="Q685" s="22" t="s">
        <v>90</v>
      </c>
      <c r="R685" s="22">
        <v>3.2730891911491E13</v>
      </c>
      <c r="S685" s="24"/>
      <c r="T685" s="24"/>
      <c r="U685" s="24"/>
      <c r="V685" s="22" t="s">
        <v>132</v>
      </c>
      <c r="W685" s="24"/>
      <c r="X685" s="24"/>
      <c r="Y685" s="30"/>
      <c r="Z685" s="30"/>
      <c r="AA685" s="33"/>
      <c r="AB685" s="33"/>
      <c r="AC685" s="30"/>
      <c r="AD685" s="30"/>
      <c r="AE685" s="33"/>
      <c r="AF685" s="31"/>
      <c r="AG685" s="30"/>
      <c r="AH685" s="30"/>
      <c r="AI685" s="31"/>
      <c r="AJ685" s="31"/>
      <c r="AK685" s="32"/>
    </row>
    <row r="686">
      <c r="A686" s="28"/>
      <c r="B686" s="22" t="s">
        <v>1784</v>
      </c>
      <c r="C686" s="22" t="s">
        <v>82</v>
      </c>
      <c r="D686" s="26">
        <v>45997.0</v>
      </c>
      <c r="E686" s="22" t="s">
        <v>219</v>
      </c>
      <c r="F686" s="22" t="s">
        <v>1466</v>
      </c>
      <c r="G686" s="22" t="s">
        <v>1785</v>
      </c>
      <c r="H686" s="29"/>
      <c r="I686" s="22">
        <v>1.0451396395331E13</v>
      </c>
      <c r="J686" s="22" t="s">
        <v>1786</v>
      </c>
      <c r="K686" s="24"/>
      <c r="L686" s="22" t="s">
        <v>1788</v>
      </c>
      <c r="M686" s="24"/>
      <c r="N686" s="24"/>
      <c r="O686" s="22" t="s">
        <v>768</v>
      </c>
      <c r="P686" s="24"/>
      <c r="Q686" s="22" t="s">
        <v>769</v>
      </c>
      <c r="R686" s="24"/>
      <c r="S686" s="24"/>
      <c r="T686" s="24"/>
      <c r="U686" s="24"/>
      <c r="V686" s="22"/>
      <c r="W686" s="24"/>
      <c r="X686" s="24"/>
      <c r="Y686" s="30"/>
      <c r="Z686" s="30"/>
      <c r="AA686" s="33"/>
      <c r="AB686" s="33"/>
      <c r="AC686" s="30"/>
      <c r="AD686" s="30"/>
      <c r="AE686" s="33"/>
      <c r="AF686" s="31"/>
      <c r="AG686" s="30"/>
      <c r="AH686" s="30"/>
      <c r="AI686" s="31"/>
      <c r="AJ686" s="31"/>
      <c r="AK686" s="32"/>
    </row>
    <row r="687">
      <c r="A687" s="21" t="s">
        <v>745</v>
      </c>
      <c r="B687" s="22" t="s">
        <v>1789</v>
      </c>
      <c r="C687" s="22" t="s">
        <v>202</v>
      </c>
      <c r="D687" s="26">
        <v>45996.0</v>
      </c>
      <c r="E687" s="22" t="s">
        <v>1117</v>
      </c>
      <c r="F687" s="22" t="s">
        <v>311</v>
      </c>
      <c r="G687" s="22" t="s">
        <v>1790</v>
      </c>
      <c r="H687" s="22" t="s">
        <v>745</v>
      </c>
      <c r="I687" s="22">
        <v>1.0451402948931E13</v>
      </c>
      <c r="J687" s="22" t="s">
        <v>1791</v>
      </c>
      <c r="K687" s="24"/>
      <c r="L687" s="22" t="s">
        <v>747</v>
      </c>
      <c r="M687" s="22">
        <v>1.0</v>
      </c>
      <c r="N687" s="22" t="s">
        <v>315</v>
      </c>
      <c r="O687" s="22" t="s">
        <v>316</v>
      </c>
      <c r="P687" s="24"/>
      <c r="Q687" s="22" t="s">
        <v>90</v>
      </c>
      <c r="R687" s="22">
        <v>3.2730905248067E13</v>
      </c>
      <c r="S687" s="24"/>
      <c r="T687" s="24"/>
      <c r="U687" s="24"/>
      <c r="V687" s="22" t="s">
        <v>175</v>
      </c>
      <c r="W687" s="24"/>
      <c r="X687" s="24"/>
      <c r="Y687" s="30"/>
      <c r="Z687" s="30"/>
      <c r="AA687" s="33"/>
      <c r="AB687" s="33"/>
      <c r="AC687" s="30"/>
      <c r="AD687" s="30"/>
      <c r="AE687" s="33"/>
      <c r="AF687" s="31"/>
      <c r="AG687" s="30"/>
      <c r="AH687" s="30"/>
      <c r="AI687" s="31"/>
      <c r="AJ687" s="31"/>
      <c r="AK687" s="32"/>
    </row>
    <row r="688">
      <c r="A688" s="21" t="s">
        <v>386</v>
      </c>
      <c r="B688" s="22" t="s">
        <v>1792</v>
      </c>
      <c r="C688" s="22" t="s">
        <v>336</v>
      </c>
      <c r="D688" s="26">
        <v>45995.0</v>
      </c>
      <c r="E688" s="22" t="s">
        <v>134</v>
      </c>
      <c r="F688" s="22" t="s">
        <v>311</v>
      </c>
      <c r="G688" s="22" t="s">
        <v>1793</v>
      </c>
      <c r="H688" s="22" t="s">
        <v>386</v>
      </c>
      <c r="I688" s="22">
        <v>1.0451374440771E13</v>
      </c>
      <c r="J688" s="22" t="s">
        <v>1794</v>
      </c>
      <c r="K688" s="24"/>
      <c r="L688" s="22" t="s">
        <v>390</v>
      </c>
      <c r="M688" s="22">
        <v>1.0</v>
      </c>
      <c r="N688" s="22" t="s">
        <v>391</v>
      </c>
      <c r="O688" s="22" t="s">
        <v>392</v>
      </c>
      <c r="P688" s="24"/>
      <c r="Q688" s="22" t="s">
        <v>90</v>
      </c>
      <c r="R688" s="22">
        <v>3.2730840891715E13</v>
      </c>
      <c r="S688" s="24"/>
      <c r="T688" s="24"/>
      <c r="U688" s="24"/>
      <c r="V688" s="22" t="s">
        <v>55</v>
      </c>
      <c r="W688" s="24"/>
      <c r="X688" s="24"/>
      <c r="Y688" s="30"/>
      <c r="Z688" s="30"/>
      <c r="AA688" s="33"/>
      <c r="AB688" s="33"/>
      <c r="AC688" s="30"/>
      <c r="AD688" s="30"/>
      <c r="AE688" s="33"/>
      <c r="AF688" s="31"/>
      <c r="AG688" s="30"/>
      <c r="AH688" s="30"/>
      <c r="AI688" s="31"/>
      <c r="AJ688" s="31"/>
      <c r="AK688" s="32"/>
    </row>
    <row r="689">
      <c r="A689" s="21" t="s">
        <v>339</v>
      </c>
      <c r="B689" s="22" t="s">
        <v>504</v>
      </c>
      <c r="C689" s="22" t="s">
        <v>82</v>
      </c>
      <c r="D689" s="26">
        <v>45997.0</v>
      </c>
      <c r="E689" s="22" t="s">
        <v>211</v>
      </c>
      <c r="F689" s="22" t="s">
        <v>341</v>
      </c>
      <c r="G689" s="22" t="s">
        <v>1795</v>
      </c>
      <c r="H689" s="22" t="s">
        <v>339</v>
      </c>
      <c r="I689" s="22">
        <v>1.0451304743235E13</v>
      </c>
      <c r="J689" s="22" t="s">
        <v>506</v>
      </c>
      <c r="K689" s="24"/>
      <c r="L689" s="22" t="s">
        <v>344</v>
      </c>
      <c r="M689" s="22">
        <v>1.0</v>
      </c>
      <c r="N689" s="22" t="s">
        <v>345</v>
      </c>
      <c r="O689" s="22" t="s">
        <v>346</v>
      </c>
      <c r="P689" s="24"/>
      <c r="Q689" s="22" t="s">
        <v>90</v>
      </c>
      <c r="R689" s="22">
        <v>3.2730682130755E13</v>
      </c>
      <c r="S689" s="24"/>
      <c r="T689" s="24"/>
      <c r="U689" s="24"/>
      <c r="V689" s="22" t="s">
        <v>55</v>
      </c>
      <c r="W689" s="24"/>
      <c r="X689" s="24"/>
      <c r="Y689" s="30"/>
      <c r="Z689" s="30"/>
      <c r="AA689" s="33"/>
      <c r="AB689" s="33"/>
      <c r="AC689" s="30"/>
      <c r="AD689" s="30"/>
      <c r="AE689" s="33"/>
      <c r="AF689" s="31"/>
      <c r="AG689" s="30"/>
      <c r="AH689" s="30"/>
      <c r="AI689" s="31"/>
      <c r="AJ689" s="31"/>
      <c r="AK689" s="32"/>
    </row>
    <row r="690">
      <c r="A690" s="21" t="s">
        <v>1242</v>
      </c>
      <c r="B690" s="22" t="s">
        <v>697</v>
      </c>
      <c r="C690" s="22" t="s">
        <v>82</v>
      </c>
      <c r="D690" s="26">
        <v>45997.0</v>
      </c>
      <c r="E690" s="22" t="s">
        <v>439</v>
      </c>
      <c r="F690" s="22" t="s">
        <v>698</v>
      </c>
      <c r="G690" s="22" t="s">
        <v>1796</v>
      </c>
      <c r="H690" s="22" t="s">
        <v>1242</v>
      </c>
      <c r="I690" s="22">
        <v>1.0451384336707E13</v>
      </c>
      <c r="J690" s="22" t="s">
        <v>700</v>
      </c>
      <c r="K690" s="24"/>
      <c r="L690" s="22" t="s">
        <v>1244</v>
      </c>
      <c r="M690" s="22">
        <v>1.0</v>
      </c>
      <c r="N690" s="22" t="s">
        <v>702</v>
      </c>
      <c r="O690" s="22" t="s">
        <v>703</v>
      </c>
      <c r="P690" s="24"/>
      <c r="Q690" s="22" t="s">
        <v>90</v>
      </c>
      <c r="R690" s="22">
        <v>3.2730866843971E13</v>
      </c>
      <c r="S690" s="24"/>
      <c r="T690" s="24"/>
      <c r="U690" s="24"/>
      <c r="V690" s="22" t="s">
        <v>95</v>
      </c>
      <c r="W690" s="24"/>
      <c r="X690" s="24"/>
      <c r="Y690" s="30"/>
      <c r="Z690" s="30"/>
      <c r="AA690" s="33"/>
      <c r="AB690" s="33"/>
      <c r="AC690" s="30"/>
      <c r="AD690" s="30"/>
      <c r="AE690" s="33"/>
      <c r="AF690" s="31"/>
      <c r="AG690" s="30"/>
      <c r="AH690" s="30"/>
      <c r="AI690" s="31"/>
      <c r="AJ690" s="31"/>
      <c r="AK690" s="32"/>
    </row>
    <row r="691">
      <c r="A691" s="21" t="s">
        <v>1217</v>
      </c>
      <c r="B691" s="22" t="s">
        <v>1280</v>
      </c>
      <c r="C691" s="22" t="s">
        <v>82</v>
      </c>
      <c r="D691" s="26">
        <v>45997.0</v>
      </c>
      <c r="E691" s="22" t="s">
        <v>149</v>
      </c>
      <c r="F691" s="22" t="s">
        <v>605</v>
      </c>
      <c r="G691" s="22" t="s">
        <v>1797</v>
      </c>
      <c r="H691" s="22" t="s">
        <v>1217</v>
      </c>
      <c r="I691" s="22">
        <v>1.0451419267395E13</v>
      </c>
      <c r="J691" s="22" t="s">
        <v>1282</v>
      </c>
      <c r="K691" s="24"/>
      <c r="L691" s="22" t="s">
        <v>1219</v>
      </c>
      <c r="M691" s="22">
        <v>1.0</v>
      </c>
      <c r="N691" s="22" t="s">
        <v>609</v>
      </c>
      <c r="O691" s="22" t="s">
        <v>610</v>
      </c>
      <c r="P691" s="24"/>
      <c r="Q691" s="22" t="s">
        <v>90</v>
      </c>
      <c r="R691" s="22">
        <v>3.2730943422787E13</v>
      </c>
      <c r="S691" s="24"/>
      <c r="T691" s="24"/>
      <c r="U691" s="24"/>
      <c r="V691" s="22" t="s">
        <v>91</v>
      </c>
      <c r="W691" s="24"/>
      <c r="X691" s="24"/>
      <c r="Y691" s="30"/>
      <c r="Z691" s="30"/>
      <c r="AA691" s="33"/>
      <c r="AB691" s="33"/>
      <c r="AC691" s="30"/>
      <c r="AD691" s="30"/>
      <c r="AE691" s="33"/>
      <c r="AF691" s="31"/>
      <c r="AG691" s="30"/>
      <c r="AH691" s="30"/>
      <c r="AI691" s="31"/>
      <c r="AJ691" s="31"/>
      <c r="AK691" s="32"/>
    </row>
    <row r="692">
      <c r="A692" s="21" t="s">
        <v>276</v>
      </c>
      <c r="B692" s="22" t="s">
        <v>1798</v>
      </c>
      <c r="C692" s="22" t="s">
        <v>82</v>
      </c>
      <c r="D692" s="26">
        <v>45997.0</v>
      </c>
      <c r="E692" s="22" t="s">
        <v>1624</v>
      </c>
      <c r="F692" s="22" t="s">
        <v>278</v>
      </c>
      <c r="G692" s="22" t="s">
        <v>1799</v>
      </c>
      <c r="H692" s="22" t="s">
        <v>276</v>
      </c>
      <c r="I692" s="22">
        <v>1.0451447972163E13</v>
      </c>
      <c r="J692" s="22" t="s">
        <v>1800</v>
      </c>
      <c r="K692" s="24"/>
      <c r="L692" s="22" t="s">
        <v>281</v>
      </c>
      <c r="M692" s="22">
        <v>1.0</v>
      </c>
      <c r="N692" s="22" t="s">
        <v>282</v>
      </c>
      <c r="O692" s="22" t="s">
        <v>283</v>
      </c>
      <c r="P692" s="24"/>
      <c r="Q692" s="22" t="s">
        <v>90</v>
      </c>
      <c r="R692" s="22">
        <v>3.2731006501187E13</v>
      </c>
      <c r="S692" s="24"/>
      <c r="T692" s="24"/>
      <c r="U692" s="24"/>
      <c r="V692" s="22" t="s">
        <v>55</v>
      </c>
      <c r="W692" s="24"/>
      <c r="X692" s="24"/>
      <c r="Y692" s="30"/>
      <c r="Z692" s="30"/>
      <c r="AA692" s="33"/>
      <c r="AB692" s="33"/>
      <c r="AC692" s="30"/>
      <c r="AD692" s="30"/>
      <c r="AE692" s="33"/>
      <c r="AF692" s="31"/>
      <c r="AG692" s="30"/>
      <c r="AH692" s="30"/>
      <c r="AI692" s="31"/>
      <c r="AJ692" s="31"/>
      <c r="AK692" s="32"/>
    </row>
    <row r="693">
      <c r="A693" s="21" t="s">
        <v>1554</v>
      </c>
      <c r="B693" s="22" t="s">
        <v>1801</v>
      </c>
      <c r="C693" s="22" t="s">
        <v>82</v>
      </c>
      <c r="D693" s="26">
        <v>45997.0</v>
      </c>
      <c r="E693" s="22" t="s">
        <v>177</v>
      </c>
      <c r="F693" s="22" t="s">
        <v>1466</v>
      </c>
      <c r="G693" s="22" t="s">
        <v>1802</v>
      </c>
      <c r="H693" s="22" t="s">
        <v>1554</v>
      </c>
      <c r="I693" s="22">
        <v>1.0451458163011E13</v>
      </c>
      <c r="J693" s="22" t="s">
        <v>1803</v>
      </c>
      <c r="K693" s="24"/>
      <c r="L693" s="22" t="s">
        <v>1556</v>
      </c>
      <c r="M693" s="22">
        <v>1.0</v>
      </c>
      <c r="N693" s="22" t="s">
        <v>1470</v>
      </c>
      <c r="O693" s="22" t="s">
        <v>1471</v>
      </c>
      <c r="P693" s="24"/>
      <c r="Q693" s="22" t="s">
        <v>90</v>
      </c>
      <c r="R693" s="22">
        <v>3.2731027472707E13</v>
      </c>
      <c r="S693" s="24"/>
      <c r="T693" s="24"/>
      <c r="U693" s="24"/>
      <c r="V693" s="22" t="s">
        <v>91</v>
      </c>
      <c r="W693" s="24"/>
      <c r="X693" s="24"/>
      <c r="Y693" s="30"/>
      <c r="Z693" s="30"/>
      <c r="AA693" s="33"/>
      <c r="AB693" s="33"/>
      <c r="AC693" s="30"/>
      <c r="AD693" s="30"/>
      <c r="AE693" s="33"/>
      <c r="AF693" s="31"/>
      <c r="AG693" s="30"/>
      <c r="AH693" s="30"/>
      <c r="AI693" s="31"/>
      <c r="AJ693" s="31"/>
      <c r="AK693" s="32"/>
    </row>
    <row r="694">
      <c r="A694" s="21" t="s">
        <v>209</v>
      </c>
      <c r="B694" s="22" t="s">
        <v>393</v>
      </c>
      <c r="C694" s="22" t="s">
        <v>82</v>
      </c>
      <c r="D694" s="26">
        <v>45997.0</v>
      </c>
      <c r="E694" s="22" t="s">
        <v>187</v>
      </c>
      <c r="F694" s="22" t="s">
        <v>111</v>
      </c>
      <c r="G694" s="22" t="s">
        <v>1804</v>
      </c>
      <c r="H694" s="22" t="s">
        <v>209</v>
      </c>
      <c r="I694" s="22">
        <v>1.0451478577475E13</v>
      </c>
      <c r="J694" s="22" t="s">
        <v>395</v>
      </c>
      <c r="K694" s="24"/>
      <c r="L694" s="22" t="s">
        <v>214</v>
      </c>
      <c r="M694" s="22">
        <v>1.0</v>
      </c>
      <c r="N694" s="22" t="s">
        <v>115</v>
      </c>
      <c r="O694" s="22" t="s">
        <v>116</v>
      </c>
      <c r="P694" s="24"/>
      <c r="Q694" s="22" t="s">
        <v>90</v>
      </c>
      <c r="R694" s="22">
        <v>3.2731074068803E13</v>
      </c>
      <c r="S694" s="24"/>
      <c r="T694" s="24"/>
      <c r="U694" s="24"/>
      <c r="V694" s="22" t="s">
        <v>91</v>
      </c>
      <c r="W694" s="24"/>
      <c r="X694" s="24"/>
      <c r="Y694" s="30"/>
      <c r="Z694" s="30"/>
      <c r="AA694" s="33"/>
      <c r="AB694" s="33"/>
      <c r="AC694" s="30"/>
      <c r="AD694" s="30"/>
      <c r="AE694" s="33"/>
      <c r="AF694" s="31"/>
      <c r="AG694" s="30"/>
      <c r="AH694" s="30"/>
      <c r="AI694" s="31"/>
      <c r="AJ694" s="31"/>
      <c r="AK694" s="32"/>
    </row>
    <row r="695">
      <c r="A695" s="28"/>
      <c r="B695" s="22" t="s">
        <v>393</v>
      </c>
      <c r="C695" s="22" t="s">
        <v>82</v>
      </c>
      <c r="D695" s="26">
        <v>45997.0</v>
      </c>
      <c r="E695" s="22" t="s">
        <v>187</v>
      </c>
      <c r="F695" s="22" t="s">
        <v>111</v>
      </c>
      <c r="G695" s="22" t="s">
        <v>1804</v>
      </c>
      <c r="H695" s="29"/>
      <c r="I695" s="22">
        <v>1.0451478577475E13</v>
      </c>
      <c r="J695" s="22" t="s">
        <v>395</v>
      </c>
      <c r="K695" s="24"/>
      <c r="L695" s="22" t="s">
        <v>1805</v>
      </c>
      <c r="M695" s="24"/>
      <c r="N695" s="24"/>
      <c r="O695" s="22" t="s">
        <v>1806</v>
      </c>
      <c r="P695" s="24"/>
      <c r="Q695" s="22" t="s">
        <v>769</v>
      </c>
      <c r="R695" s="24"/>
      <c r="S695" s="24"/>
      <c r="T695" s="24"/>
      <c r="U695" s="24"/>
      <c r="V695" s="22"/>
      <c r="W695" s="24"/>
      <c r="X695" s="24"/>
      <c r="Y695" s="30"/>
      <c r="Z695" s="30"/>
      <c r="AA695" s="33"/>
      <c r="AB695" s="33"/>
      <c r="AC695" s="30"/>
      <c r="AD695" s="30"/>
      <c r="AE695" s="33"/>
      <c r="AF695" s="31"/>
      <c r="AG695" s="30"/>
      <c r="AH695" s="30"/>
      <c r="AI695" s="31"/>
      <c r="AJ695" s="31"/>
      <c r="AK695" s="32"/>
    </row>
    <row r="696">
      <c r="A696" s="21" t="s">
        <v>99</v>
      </c>
      <c r="B696" s="22" t="s">
        <v>1571</v>
      </c>
      <c r="C696" s="22" t="s">
        <v>287</v>
      </c>
      <c r="D696" s="26">
        <v>45994.0</v>
      </c>
      <c r="E696" s="22" t="s">
        <v>1572</v>
      </c>
      <c r="F696" s="22" t="s">
        <v>83</v>
      </c>
      <c r="G696" s="22" t="s">
        <v>1807</v>
      </c>
      <c r="H696" s="22" t="s">
        <v>99</v>
      </c>
      <c r="I696" s="22">
        <v>1.0451479724355E13</v>
      </c>
      <c r="J696" s="22" t="s">
        <v>1574</v>
      </c>
      <c r="K696" s="24"/>
      <c r="L696" s="22" t="s">
        <v>102</v>
      </c>
      <c r="M696" s="22">
        <v>1.0</v>
      </c>
      <c r="N696" s="22" t="s">
        <v>103</v>
      </c>
      <c r="O696" s="22" t="s">
        <v>104</v>
      </c>
      <c r="P696" s="24"/>
      <c r="Q696" s="22" t="s">
        <v>90</v>
      </c>
      <c r="R696" s="22">
        <v>3.2731075903811E13</v>
      </c>
      <c r="S696" s="24"/>
      <c r="T696" s="24"/>
      <c r="U696" s="24"/>
      <c r="V696" s="22" t="s">
        <v>105</v>
      </c>
      <c r="W696" s="24"/>
      <c r="X696" s="24"/>
      <c r="Y696" s="30"/>
      <c r="Z696" s="30"/>
      <c r="AA696" s="33"/>
      <c r="AB696" s="33"/>
      <c r="AC696" s="30"/>
      <c r="AD696" s="30"/>
      <c r="AE696" s="33"/>
      <c r="AF696" s="31"/>
      <c r="AG696" s="30"/>
      <c r="AH696" s="30"/>
      <c r="AI696" s="31"/>
      <c r="AJ696" s="31"/>
      <c r="AK696" s="32"/>
    </row>
    <row r="697">
      <c r="A697" s="21" t="s">
        <v>209</v>
      </c>
      <c r="B697" s="22" t="s">
        <v>393</v>
      </c>
      <c r="C697" s="22" t="s">
        <v>82</v>
      </c>
      <c r="D697" s="26">
        <v>45997.0</v>
      </c>
      <c r="E697" s="22" t="s">
        <v>187</v>
      </c>
      <c r="F697" s="22" t="s">
        <v>111</v>
      </c>
      <c r="G697" s="22" t="s">
        <v>1808</v>
      </c>
      <c r="H697" s="22" t="s">
        <v>209</v>
      </c>
      <c r="I697" s="22">
        <v>1.0451488538947E13</v>
      </c>
      <c r="J697" s="22" t="s">
        <v>395</v>
      </c>
      <c r="K697" s="24"/>
      <c r="L697" s="22" t="s">
        <v>214</v>
      </c>
      <c r="M697" s="22">
        <v>1.0</v>
      </c>
      <c r="N697" s="22" t="s">
        <v>115</v>
      </c>
      <c r="O697" s="22" t="s">
        <v>116</v>
      </c>
      <c r="P697" s="24"/>
      <c r="Q697" s="22" t="s">
        <v>90</v>
      </c>
      <c r="R697" s="22">
        <v>3.2731096777027E13</v>
      </c>
      <c r="S697" s="24"/>
      <c r="T697" s="24"/>
      <c r="U697" s="24"/>
      <c r="V697" s="22" t="s">
        <v>91</v>
      </c>
      <c r="W697" s="24"/>
      <c r="X697" s="24"/>
      <c r="Y697" s="30"/>
      <c r="Z697" s="30"/>
      <c r="AA697" s="33"/>
      <c r="AB697" s="33"/>
      <c r="AC697" s="30"/>
      <c r="AD697" s="30"/>
      <c r="AE697" s="33"/>
      <c r="AF697" s="31"/>
      <c r="AG697" s="30"/>
      <c r="AH697" s="30"/>
      <c r="AI697" s="31"/>
      <c r="AJ697" s="31"/>
      <c r="AK697" s="32"/>
    </row>
    <row r="698">
      <c r="A698" s="21" t="s">
        <v>611</v>
      </c>
      <c r="B698" s="22" t="s">
        <v>596</v>
      </c>
      <c r="C698" s="22" t="s">
        <v>273</v>
      </c>
      <c r="D698" s="26">
        <v>45998.0</v>
      </c>
      <c r="E698" s="22" t="s">
        <v>266</v>
      </c>
      <c r="F698" s="22" t="s">
        <v>369</v>
      </c>
      <c r="G698" s="22" t="s">
        <v>1809</v>
      </c>
      <c r="H698" s="22" t="s">
        <v>611</v>
      </c>
      <c r="I698" s="22">
        <v>1.0451440369987E13</v>
      </c>
      <c r="J698" s="22" t="s">
        <v>598</v>
      </c>
      <c r="K698" s="24"/>
      <c r="L698" s="22" t="s">
        <v>613</v>
      </c>
      <c r="M698" s="22">
        <v>1.0</v>
      </c>
      <c r="N698" s="22" t="s">
        <v>600</v>
      </c>
      <c r="O698" s="22" t="s">
        <v>601</v>
      </c>
      <c r="P698" s="24"/>
      <c r="Q698" s="22" t="s">
        <v>90</v>
      </c>
      <c r="R698" s="22">
        <v>3.2730990707011E13</v>
      </c>
      <c r="S698" s="24"/>
      <c r="T698" s="24"/>
      <c r="U698" s="24"/>
      <c r="V698" s="22" t="s">
        <v>105</v>
      </c>
      <c r="W698" s="24"/>
      <c r="X698" s="24"/>
      <c r="Y698" s="30"/>
      <c r="Z698" s="30"/>
      <c r="AA698" s="33"/>
      <c r="AB698" s="33"/>
      <c r="AC698" s="30"/>
      <c r="AD698" s="30"/>
      <c r="AE698" s="33"/>
      <c r="AF698" s="31"/>
      <c r="AG698" s="30"/>
      <c r="AH698" s="30"/>
      <c r="AI698" s="31"/>
      <c r="AJ698" s="31"/>
      <c r="AK698" s="32"/>
    </row>
    <row r="699">
      <c r="A699" s="21" t="s">
        <v>689</v>
      </c>
      <c r="B699" s="22" t="s">
        <v>512</v>
      </c>
      <c r="C699" s="22" t="s">
        <v>82</v>
      </c>
      <c r="D699" s="26">
        <v>45997.0</v>
      </c>
      <c r="E699" s="22" t="s">
        <v>153</v>
      </c>
      <c r="F699" s="22" t="s">
        <v>377</v>
      </c>
      <c r="G699" s="22" t="s">
        <v>1810</v>
      </c>
      <c r="H699" s="22" t="s">
        <v>689</v>
      </c>
      <c r="I699" s="22">
        <v>1.0451489259843E13</v>
      </c>
      <c r="J699" s="22" t="s">
        <v>514</v>
      </c>
      <c r="K699" s="24"/>
      <c r="L699" s="22" t="s">
        <v>691</v>
      </c>
      <c r="M699" s="22">
        <v>1.0</v>
      </c>
      <c r="N699" s="22" t="s">
        <v>413</v>
      </c>
      <c r="O699" s="22" t="s">
        <v>414</v>
      </c>
      <c r="P699" s="24"/>
      <c r="Q699" s="22" t="s">
        <v>90</v>
      </c>
      <c r="R699" s="22">
        <v>3.2731098677571E13</v>
      </c>
      <c r="S699" s="24"/>
      <c r="T699" s="24"/>
      <c r="U699" s="24"/>
      <c r="V699" s="22" t="s">
        <v>175</v>
      </c>
      <c r="W699" s="24"/>
      <c r="X699" s="24"/>
      <c r="Y699" s="30"/>
      <c r="Z699" s="30"/>
      <c r="AA699" s="33"/>
      <c r="AB699" s="33"/>
      <c r="AC699" s="30"/>
      <c r="AD699" s="30"/>
      <c r="AE699" s="33"/>
      <c r="AF699" s="31"/>
      <c r="AG699" s="30"/>
      <c r="AH699" s="30"/>
      <c r="AI699" s="31"/>
      <c r="AJ699" s="31"/>
      <c r="AK699" s="32"/>
    </row>
    <row r="700">
      <c r="A700" s="21" t="s">
        <v>1180</v>
      </c>
      <c r="B700" s="22" t="s">
        <v>1811</v>
      </c>
      <c r="C700" s="22" t="s">
        <v>82</v>
      </c>
      <c r="D700" s="26">
        <v>45997.0</v>
      </c>
      <c r="E700" s="22" t="s">
        <v>1117</v>
      </c>
      <c r="F700" s="22" t="s">
        <v>623</v>
      </c>
      <c r="G700" s="22" t="s">
        <v>1812</v>
      </c>
      <c r="H700" s="22" t="s">
        <v>1180</v>
      </c>
      <c r="I700" s="22">
        <v>1.0451502039363E13</v>
      </c>
      <c r="J700" s="22" t="s">
        <v>1813</v>
      </c>
      <c r="K700" s="24"/>
      <c r="L700" s="22" t="s">
        <v>1182</v>
      </c>
      <c r="M700" s="22">
        <v>1.0</v>
      </c>
      <c r="N700" s="22" t="s">
        <v>1088</v>
      </c>
      <c r="O700" s="22" t="s">
        <v>1089</v>
      </c>
      <c r="P700" s="24"/>
      <c r="Q700" s="22" t="s">
        <v>90</v>
      </c>
      <c r="R700" s="22">
        <v>3.2731128168771E13</v>
      </c>
      <c r="S700" s="24"/>
      <c r="T700" s="24"/>
      <c r="U700" s="24"/>
      <c r="V700" s="22" t="s">
        <v>105</v>
      </c>
      <c r="W700" s="24"/>
      <c r="X700" s="24"/>
      <c r="Y700" s="30"/>
      <c r="Z700" s="30"/>
      <c r="AA700" s="33"/>
      <c r="AB700" s="33"/>
      <c r="AC700" s="30"/>
      <c r="AD700" s="30"/>
      <c r="AE700" s="33"/>
      <c r="AF700" s="31"/>
      <c r="AG700" s="30"/>
      <c r="AH700" s="30"/>
      <c r="AI700" s="31"/>
      <c r="AJ700" s="31"/>
      <c r="AK700" s="32"/>
    </row>
    <row r="701">
      <c r="A701" s="21" t="s">
        <v>692</v>
      </c>
      <c r="B701" s="22" t="s">
        <v>587</v>
      </c>
      <c r="C701" s="22" t="s">
        <v>273</v>
      </c>
      <c r="D701" s="26">
        <v>45998.0</v>
      </c>
      <c r="E701" s="22" t="s">
        <v>153</v>
      </c>
      <c r="F701" s="22" t="s">
        <v>369</v>
      </c>
      <c r="G701" s="22" t="s">
        <v>1814</v>
      </c>
      <c r="H701" s="22" t="s">
        <v>692</v>
      </c>
      <c r="I701" s="22">
        <v>1.0451512000835E13</v>
      </c>
      <c r="J701" s="22" t="s">
        <v>589</v>
      </c>
      <c r="K701" s="24"/>
      <c r="L701" s="22" t="s">
        <v>694</v>
      </c>
      <c r="M701" s="22">
        <v>1.0</v>
      </c>
      <c r="N701" s="22" t="s">
        <v>373</v>
      </c>
      <c r="O701" s="22" t="s">
        <v>374</v>
      </c>
      <c r="P701" s="24"/>
      <c r="Q701" s="22" t="s">
        <v>90</v>
      </c>
      <c r="R701" s="22">
        <v>3.2731151761731E13</v>
      </c>
      <c r="S701" s="24"/>
      <c r="T701" s="24"/>
      <c r="U701" s="24"/>
      <c r="V701" s="22" t="s">
        <v>54</v>
      </c>
      <c r="W701" s="24"/>
      <c r="X701" s="24"/>
      <c r="Y701" s="30"/>
      <c r="Z701" s="30"/>
      <c r="AA701" s="33"/>
      <c r="AB701" s="33"/>
      <c r="AC701" s="30"/>
      <c r="AD701" s="30"/>
      <c r="AE701" s="33"/>
      <c r="AF701" s="31"/>
      <c r="AG701" s="30"/>
      <c r="AH701" s="30"/>
      <c r="AI701" s="31"/>
      <c r="AJ701" s="31"/>
      <c r="AK701" s="32"/>
    </row>
    <row r="702">
      <c r="A702" s="21" t="s">
        <v>550</v>
      </c>
      <c r="B702" s="22" t="s">
        <v>512</v>
      </c>
      <c r="C702" s="22" t="s">
        <v>82</v>
      </c>
      <c r="D702" s="26">
        <v>45997.0</v>
      </c>
      <c r="E702" s="22" t="s">
        <v>153</v>
      </c>
      <c r="F702" s="22" t="s">
        <v>377</v>
      </c>
      <c r="G702" s="22" t="s">
        <v>1815</v>
      </c>
      <c r="H702" s="22" t="s">
        <v>550</v>
      </c>
      <c r="I702" s="22">
        <v>1.0451512426819E13</v>
      </c>
      <c r="J702" s="22" t="s">
        <v>514</v>
      </c>
      <c r="K702" s="24"/>
      <c r="L702" s="22" t="s">
        <v>552</v>
      </c>
      <c r="M702" s="22">
        <v>1.0</v>
      </c>
      <c r="N702" s="22" t="s">
        <v>381</v>
      </c>
      <c r="O702" s="22" t="s">
        <v>382</v>
      </c>
      <c r="P702" s="24"/>
      <c r="Q702" s="22" t="s">
        <v>90</v>
      </c>
      <c r="R702" s="22">
        <v>3.2731152449859E13</v>
      </c>
      <c r="S702" s="24"/>
      <c r="T702" s="24"/>
      <c r="U702" s="24"/>
      <c r="V702" s="22" t="s">
        <v>95</v>
      </c>
      <c r="W702" s="24"/>
      <c r="X702" s="24"/>
      <c r="Y702" s="30"/>
      <c r="Z702" s="30"/>
      <c r="AA702" s="33"/>
      <c r="AB702" s="33"/>
      <c r="AC702" s="30"/>
      <c r="AD702" s="30"/>
      <c r="AE702" s="33"/>
      <c r="AF702" s="31"/>
      <c r="AG702" s="30"/>
      <c r="AH702" s="30"/>
      <c r="AI702" s="31"/>
      <c r="AJ702" s="31"/>
      <c r="AK702" s="32"/>
    </row>
    <row r="703">
      <c r="A703" s="21" t="s">
        <v>950</v>
      </c>
      <c r="B703" s="22" t="s">
        <v>815</v>
      </c>
      <c r="C703" s="22" t="s">
        <v>82</v>
      </c>
      <c r="D703" s="26">
        <v>45997.0</v>
      </c>
      <c r="E703" s="22" t="s">
        <v>187</v>
      </c>
      <c r="F703" s="22" t="s">
        <v>698</v>
      </c>
      <c r="G703" s="22" t="s">
        <v>1816</v>
      </c>
      <c r="H703" s="22" t="s">
        <v>950</v>
      </c>
      <c r="I703" s="22">
        <v>1.0451517833539E13</v>
      </c>
      <c r="J703" s="22" t="s">
        <v>817</v>
      </c>
      <c r="K703" s="24"/>
      <c r="L703" s="22" t="s">
        <v>952</v>
      </c>
      <c r="M703" s="22">
        <v>1.0</v>
      </c>
      <c r="N703" s="22" t="s">
        <v>702</v>
      </c>
      <c r="O703" s="22" t="s">
        <v>703</v>
      </c>
      <c r="P703" s="24"/>
      <c r="Q703" s="22" t="s">
        <v>90</v>
      </c>
      <c r="R703" s="22">
        <v>3.2731165065539E13</v>
      </c>
      <c r="S703" s="24"/>
      <c r="T703" s="24"/>
      <c r="U703" s="24"/>
      <c r="V703" s="22" t="s">
        <v>54</v>
      </c>
      <c r="W703" s="24"/>
      <c r="X703" s="24"/>
      <c r="Y703" s="30"/>
      <c r="Z703" s="30"/>
      <c r="AA703" s="33"/>
      <c r="AB703" s="33"/>
      <c r="AC703" s="30"/>
      <c r="AD703" s="30"/>
      <c r="AE703" s="33"/>
      <c r="AF703" s="31"/>
      <c r="AG703" s="30"/>
      <c r="AH703" s="30"/>
      <c r="AI703" s="31"/>
      <c r="AJ703" s="31"/>
      <c r="AK703" s="32"/>
    </row>
    <row r="704">
      <c r="A704" s="21" t="s">
        <v>141</v>
      </c>
      <c r="B704" s="22" t="s">
        <v>1817</v>
      </c>
      <c r="C704" s="22" t="s">
        <v>202</v>
      </c>
      <c r="D704" s="26">
        <v>45996.0</v>
      </c>
      <c r="E704" s="22" t="s">
        <v>192</v>
      </c>
      <c r="F704" s="22" t="s">
        <v>83</v>
      </c>
      <c r="G704" s="22" t="s">
        <v>1818</v>
      </c>
      <c r="H704" s="22" t="s">
        <v>141</v>
      </c>
      <c r="I704" s="22">
        <v>1.0451530252611E13</v>
      </c>
      <c r="J704" s="22" t="s">
        <v>1819</v>
      </c>
      <c r="K704" s="24"/>
      <c r="L704" s="22" t="s">
        <v>143</v>
      </c>
      <c r="M704" s="22">
        <v>1.0</v>
      </c>
      <c r="N704" s="22" t="s">
        <v>87</v>
      </c>
      <c r="O704" s="22" t="s">
        <v>88</v>
      </c>
      <c r="P704" s="24"/>
      <c r="Q704" s="22" t="s">
        <v>90</v>
      </c>
      <c r="R704" s="22">
        <v>3.2731192295747E13</v>
      </c>
      <c r="S704" s="24"/>
      <c r="T704" s="24"/>
      <c r="U704" s="24"/>
      <c r="V704" s="22" t="s">
        <v>54</v>
      </c>
      <c r="W704" s="24"/>
      <c r="X704" s="24"/>
      <c r="Y704" s="30"/>
      <c r="Z704" s="30"/>
      <c r="AA704" s="33"/>
      <c r="AB704" s="33"/>
      <c r="AC704" s="30"/>
      <c r="AD704" s="30"/>
      <c r="AE704" s="33"/>
      <c r="AF704" s="31"/>
      <c r="AG704" s="30"/>
      <c r="AH704" s="30"/>
      <c r="AI704" s="31"/>
      <c r="AJ704" s="31"/>
      <c r="AK704" s="32"/>
    </row>
    <row r="705">
      <c r="A705" s="21" t="s">
        <v>415</v>
      </c>
      <c r="B705" s="22" t="s">
        <v>376</v>
      </c>
      <c r="C705" s="22" t="s">
        <v>82</v>
      </c>
      <c r="D705" s="26">
        <v>45997.0</v>
      </c>
      <c r="E705" s="22" t="s">
        <v>149</v>
      </c>
      <c r="F705" s="22" t="s">
        <v>377</v>
      </c>
      <c r="G705" s="22" t="s">
        <v>1820</v>
      </c>
      <c r="H705" s="22" t="s">
        <v>415</v>
      </c>
      <c r="I705" s="22">
        <v>1.0451577798979E13</v>
      </c>
      <c r="J705" s="22" t="s">
        <v>379</v>
      </c>
      <c r="K705" s="24"/>
      <c r="L705" s="22" t="s">
        <v>419</v>
      </c>
      <c r="M705" s="22">
        <v>1.0</v>
      </c>
      <c r="N705" s="22" t="s">
        <v>381</v>
      </c>
      <c r="O705" s="22" t="s">
        <v>382</v>
      </c>
      <c r="P705" s="24"/>
      <c r="Q705" s="22" t="s">
        <v>90</v>
      </c>
      <c r="R705" s="22">
        <v>3.2731298562371E13</v>
      </c>
      <c r="S705" s="24"/>
      <c r="T705" s="24"/>
      <c r="U705" s="24"/>
      <c r="V705" s="22" t="s">
        <v>91</v>
      </c>
      <c r="W705" s="24"/>
      <c r="X705" s="24"/>
      <c r="Y705" s="30"/>
      <c r="Z705" s="30"/>
      <c r="AA705" s="33"/>
      <c r="AB705" s="33"/>
      <c r="AC705" s="30"/>
      <c r="AD705" s="30"/>
      <c r="AE705" s="33"/>
      <c r="AF705" s="31"/>
      <c r="AG705" s="30"/>
      <c r="AH705" s="30"/>
      <c r="AI705" s="31"/>
      <c r="AJ705" s="31"/>
      <c r="AK705" s="32"/>
    </row>
    <row r="706">
      <c r="A706" s="21" t="s">
        <v>1640</v>
      </c>
      <c r="B706" s="22" t="s">
        <v>1821</v>
      </c>
      <c r="C706" s="22" t="s">
        <v>82</v>
      </c>
      <c r="D706" s="26">
        <v>45997.0</v>
      </c>
      <c r="E706" s="22" t="s">
        <v>1822</v>
      </c>
      <c r="F706" s="22" t="s">
        <v>1466</v>
      </c>
      <c r="G706" s="22" t="s">
        <v>1823</v>
      </c>
      <c r="H706" s="22" t="s">
        <v>1640</v>
      </c>
      <c r="I706" s="22">
        <v>1.0451580322115E13</v>
      </c>
      <c r="J706" s="22" t="s">
        <v>1824</v>
      </c>
      <c r="K706" s="24"/>
      <c r="L706" s="22" t="s">
        <v>1642</v>
      </c>
      <c r="M706" s="22">
        <v>1.0</v>
      </c>
      <c r="N706" s="22" t="s">
        <v>1628</v>
      </c>
      <c r="O706" s="22" t="s">
        <v>1629</v>
      </c>
      <c r="P706" s="24"/>
      <c r="Q706" s="22" t="s">
        <v>90</v>
      </c>
      <c r="R706" s="22">
        <v>3.2731304296771E13</v>
      </c>
      <c r="S706" s="24"/>
      <c r="T706" s="24"/>
      <c r="U706" s="24"/>
      <c r="V706" s="22" t="s">
        <v>127</v>
      </c>
      <c r="W706" s="24"/>
      <c r="X706" s="24"/>
      <c r="Y706" s="30"/>
      <c r="Z706" s="30"/>
      <c r="AA706" s="33"/>
      <c r="AB706" s="33"/>
      <c r="AC706" s="30"/>
      <c r="AD706" s="30"/>
      <c r="AE706" s="33"/>
      <c r="AF706" s="31"/>
      <c r="AG706" s="30"/>
      <c r="AH706" s="30"/>
      <c r="AI706" s="31"/>
      <c r="AJ706" s="31"/>
      <c r="AK706" s="32"/>
    </row>
    <row r="707">
      <c r="A707" s="21" t="s">
        <v>367</v>
      </c>
      <c r="B707" s="22" t="s">
        <v>1825</v>
      </c>
      <c r="C707" s="22" t="s">
        <v>273</v>
      </c>
      <c r="D707" s="26">
        <v>45998.0</v>
      </c>
      <c r="E707" s="22" t="s">
        <v>153</v>
      </c>
      <c r="F707" s="22" t="s">
        <v>369</v>
      </c>
      <c r="G707" s="22" t="s">
        <v>1826</v>
      </c>
      <c r="H707" s="22" t="s">
        <v>367</v>
      </c>
      <c r="I707" s="22">
        <v>1.0451585859907E13</v>
      </c>
      <c r="J707" s="22" t="s">
        <v>589</v>
      </c>
      <c r="K707" s="24"/>
      <c r="L707" s="22" t="s">
        <v>372</v>
      </c>
      <c r="M707" s="22">
        <v>1.0</v>
      </c>
      <c r="N707" s="22" t="s">
        <v>373</v>
      </c>
      <c r="O707" s="22" t="s">
        <v>374</v>
      </c>
      <c r="P707" s="24"/>
      <c r="Q707" s="22" t="s">
        <v>90</v>
      </c>
      <c r="R707" s="22">
        <v>3.2731318845763E13</v>
      </c>
      <c r="S707" s="24"/>
      <c r="T707" s="24"/>
      <c r="U707" s="24"/>
      <c r="V707" s="22" t="s">
        <v>55</v>
      </c>
      <c r="W707" s="24"/>
      <c r="X707" s="24"/>
      <c r="Y707" s="30"/>
      <c r="Z707" s="30"/>
      <c r="AA707" s="33"/>
      <c r="AB707" s="33"/>
      <c r="AC707" s="30"/>
      <c r="AD707" s="30"/>
      <c r="AE707" s="33"/>
      <c r="AF707" s="31"/>
      <c r="AG707" s="30"/>
      <c r="AH707" s="30"/>
      <c r="AI707" s="31"/>
      <c r="AJ707" s="31"/>
      <c r="AK707" s="32"/>
    </row>
    <row r="708">
      <c r="A708" s="21" t="s">
        <v>859</v>
      </c>
      <c r="B708" s="22" t="s">
        <v>1280</v>
      </c>
      <c r="C708" s="22" t="s">
        <v>82</v>
      </c>
      <c r="D708" s="26">
        <v>45997.0</v>
      </c>
      <c r="E708" s="22" t="s">
        <v>149</v>
      </c>
      <c r="F708" s="22" t="s">
        <v>605</v>
      </c>
      <c r="G708" s="22" t="s">
        <v>1827</v>
      </c>
      <c r="H708" s="22" t="s">
        <v>859</v>
      </c>
      <c r="I708" s="22">
        <v>1.0451588022595E13</v>
      </c>
      <c r="J708" s="22" t="s">
        <v>1282</v>
      </c>
      <c r="K708" s="24"/>
      <c r="L708" s="22" t="s">
        <v>861</v>
      </c>
      <c r="M708" s="22">
        <v>1.0</v>
      </c>
      <c r="N708" s="22" t="s">
        <v>609</v>
      </c>
      <c r="O708" s="22" t="s">
        <v>610</v>
      </c>
      <c r="P708" s="24"/>
      <c r="Q708" s="22" t="s">
        <v>90</v>
      </c>
      <c r="R708" s="22">
        <v>3.2731323760963E13</v>
      </c>
      <c r="S708" s="24"/>
      <c r="T708" s="24"/>
      <c r="U708" s="24"/>
      <c r="V708" s="22" t="s">
        <v>95</v>
      </c>
      <c r="W708" s="24"/>
      <c r="X708" s="24"/>
      <c r="Y708" s="30"/>
      <c r="Z708" s="30"/>
      <c r="AA708" s="33"/>
      <c r="AB708" s="33"/>
      <c r="AC708" s="30"/>
      <c r="AD708" s="30"/>
      <c r="AE708" s="33"/>
      <c r="AF708" s="31"/>
      <c r="AG708" s="30"/>
      <c r="AH708" s="30"/>
      <c r="AI708" s="31"/>
      <c r="AJ708" s="31"/>
      <c r="AK708" s="32"/>
    </row>
    <row r="709">
      <c r="A709" s="21" t="s">
        <v>1472</v>
      </c>
      <c r="B709" s="22" t="s">
        <v>1828</v>
      </c>
      <c r="C709" s="22" t="s">
        <v>82</v>
      </c>
      <c r="D709" s="26">
        <v>45997.0</v>
      </c>
      <c r="E709" s="22" t="s">
        <v>1822</v>
      </c>
      <c r="F709" s="22" t="s">
        <v>1466</v>
      </c>
      <c r="G709" s="22" t="s">
        <v>1829</v>
      </c>
      <c r="H709" s="22" t="s">
        <v>1472</v>
      </c>
      <c r="I709" s="22">
        <v>1.0451429163331E13</v>
      </c>
      <c r="J709" s="22" t="s">
        <v>1824</v>
      </c>
      <c r="K709" s="24"/>
      <c r="L709" s="22" t="s">
        <v>1474</v>
      </c>
      <c r="M709" s="22">
        <v>1.0</v>
      </c>
      <c r="N709" s="22" t="s">
        <v>1470</v>
      </c>
      <c r="O709" s="22" t="s">
        <v>1471</v>
      </c>
      <c r="P709" s="24"/>
      <c r="Q709" s="22" t="s">
        <v>90</v>
      </c>
      <c r="R709" s="22">
        <v>3.2730965770563E13</v>
      </c>
      <c r="S709" s="24"/>
      <c r="T709" s="24"/>
      <c r="U709" s="24"/>
      <c r="V709" s="22" t="s">
        <v>54</v>
      </c>
      <c r="W709" s="24"/>
      <c r="X709" s="24"/>
      <c r="Y709" s="30"/>
      <c r="Z709" s="30"/>
      <c r="AA709" s="33"/>
      <c r="AB709" s="33"/>
      <c r="AC709" s="30"/>
      <c r="AD709" s="30"/>
      <c r="AE709" s="33"/>
      <c r="AF709" s="31"/>
      <c r="AG709" s="30"/>
      <c r="AH709" s="30"/>
      <c r="AI709" s="31"/>
      <c r="AJ709" s="31"/>
      <c r="AK709" s="32"/>
    </row>
    <row r="710">
      <c r="A710" s="21" t="s">
        <v>814</v>
      </c>
      <c r="B710" s="22" t="s">
        <v>815</v>
      </c>
      <c r="C710" s="22" t="s">
        <v>82</v>
      </c>
      <c r="D710" s="26">
        <v>45997.0</v>
      </c>
      <c r="E710" s="22" t="s">
        <v>187</v>
      </c>
      <c r="F710" s="22" t="s">
        <v>698</v>
      </c>
      <c r="G710" s="22" t="s">
        <v>1830</v>
      </c>
      <c r="H710" s="22" t="s">
        <v>814</v>
      </c>
      <c r="I710" s="22">
        <v>1.0451592511811E13</v>
      </c>
      <c r="J710" s="22" t="s">
        <v>817</v>
      </c>
      <c r="K710" s="24"/>
      <c r="L710" s="22" t="s">
        <v>818</v>
      </c>
      <c r="M710" s="22">
        <v>1.0</v>
      </c>
      <c r="N710" s="22" t="s">
        <v>819</v>
      </c>
      <c r="O710" s="22" t="s">
        <v>820</v>
      </c>
      <c r="P710" s="24"/>
      <c r="Q710" s="22" t="s">
        <v>90</v>
      </c>
      <c r="R710" s="22">
        <v>3.2731333886275E13</v>
      </c>
      <c r="S710" s="24"/>
      <c r="T710" s="24"/>
      <c r="U710" s="24"/>
      <c r="V710" s="22" t="s">
        <v>127</v>
      </c>
      <c r="W710" s="24"/>
      <c r="X710" s="24"/>
      <c r="Y710" s="30"/>
      <c r="Z710" s="30"/>
      <c r="AA710" s="33"/>
      <c r="AB710" s="33"/>
      <c r="AC710" s="30"/>
      <c r="AD710" s="30"/>
      <c r="AE710" s="33"/>
      <c r="AF710" s="31"/>
      <c r="AG710" s="30"/>
      <c r="AH710" s="30"/>
      <c r="AI710" s="31"/>
      <c r="AJ710" s="31"/>
      <c r="AK710" s="32"/>
    </row>
    <row r="711">
      <c r="A711" s="21" t="s">
        <v>1246</v>
      </c>
      <c r="B711" s="22" t="s">
        <v>763</v>
      </c>
      <c r="C711" s="22" t="s">
        <v>82</v>
      </c>
      <c r="D711" s="26">
        <v>45997.0</v>
      </c>
      <c r="E711" s="22" t="s">
        <v>149</v>
      </c>
      <c r="F711" s="22" t="s">
        <v>623</v>
      </c>
      <c r="G711" s="22" t="s">
        <v>1831</v>
      </c>
      <c r="H711" s="22" t="s">
        <v>1246</v>
      </c>
      <c r="I711" s="22">
        <v>1.0451600015683E13</v>
      </c>
      <c r="J711" s="22" t="s">
        <v>765</v>
      </c>
      <c r="K711" s="24"/>
      <c r="L711" s="22" t="s">
        <v>1250</v>
      </c>
      <c r="M711" s="22">
        <v>1.0</v>
      </c>
      <c r="N711" s="22" t="s">
        <v>1088</v>
      </c>
      <c r="O711" s="22" t="s">
        <v>1089</v>
      </c>
      <c r="P711" s="24"/>
      <c r="Q711" s="22" t="s">
        <v>90</v>
      </c>
      <c r="R711" s="22">
        <v>3.2731349811523E13</v>
      </c>
      <c r="S711" s="24"/>
      <c r="T711" s="24"/>
      <c r="U711" s="24"/>
      <c r="V711" s="22" t="s">
        <v>175</v>
      </c>
      <c r="W711" s="24"/>
      <c r="X711" s="24"/>
      <c r="Y711" s="30"/>
      <c r="Z711" s="30"/>
      <c r="AA711" s="33"/>
      <c r="AB711" s="33"/>
      <c r="AC711" s="30"/>
      <c r="AD711" s="30"/>
      <c r="AE711" s="33"/>
      <c r="AF711" s="31"/>
      <c r="AG711" s="30"/>
      <c r="AH711" s="30"/>
      <c r="AI711" s="31"/>
      <c r="AJ711" s="31"/>
      <c r="AK711" s="32"/>
    </row>
    <row r="712">
      <c r="A712" s="21" t="s">
        <v>1832</v>
      </c>
      <c r="B712" s="22" t="s">
        <v>815</v>
      </c>
      <c r="C712" s="22" t="s">
        <v>82</v>
      </c>
      <c r="D712" s="26">
        <v>45997.0</v>
      </c>
      <c r="E712" s="22" t="s">
        <v>187</v>
      </c>
      <c r="F712" s="22" t="s">
        <v>698</v>
      </c>
      <c r="G712" s="22" t="s">
        <v>1833</v>
      </c>
      <c r="H712" s="22" t="s">
        <v>1832</v>
      </c>
      <c r="I712" s="22">
        <v>1.0451605324099E13</v>
      </c>
      <c r="J712" s="22" t="s">
        <v>817</v>
      </c>
      <c r="K712" s="24"/>
      <c r="L712" s="22" t="s">
        <v>1834</v>
      </c>
      <c r="M712" s="22">
        <v>1.0</v>
      </c>
      <c r="N712" s="22" t="s">
        <v>702</v>
      </c>
      <c r="O712" s="22" t="s">
        <v>703</v>
      </c>
      <c r="P712" s="24"/>
      <c r="Q712" s="22" t="s">
        <v>90</v>
      </c>
      <c r="R712" s="22">
        <v>3.2731361313091E13</v>
      </c>
      <c r="S712" s="24"/>
      <c r="T712" s="24"/>
      <c r="U712" s="24"/>
      <c r="V712" s="22" t="s">
        <v>91</v>
      </c>
      <c r="W712" s="24"/>
      <c r="X712" s="24"/>
      <c r="Y712" s="30"/>
      <c r="Z712" s="30"/>
      <c r="AA712" s="33"/>
      <c r="AB712" s="33"/>
      <c r="AC712" s="30"/>
      <c r="AD712" s="30"/>
      <c r="AE712" s="33"/>
      <c r="AF712" s="31"/>
      <c r="AG712" s="30"/>
      <c r="AH712" s="30"/>
      <c r="AI712" s="31"/>
      <c r="AJ712" s="31"/>
      <c r="AK712" s="32"/>
    </row>
    <row r="713">
      <c r="A713" s="21" t="s">
        <v>484</v>
      </c>
      <c r="B713" s="22" t="s">
        <v>1835</v>
      </c>
      <c r="C713" s="22" t="s">
        <v>287</v>
      </c>
      <c r="D713" s="26">
        <v>45994.0</v>
      </c>
      <c r="E713" s="22" t="s">
        <v>266</v>
      </c>
      <c r="F713" s="22" t="s">
        <v>311</v>
      </c>
      <c r="G713" s="22" t="s">
        <v>1836</v>
      </c>
      <c r="H713" s="22" t="s">
        <v>484</v>
      </c>
      <c r="I713" s="22">
        <v>1.0451608273219E13</v>
      </c>
      <c r="J713" s="22" t="s">
        <v>1837</v>
      </c>
      <c r="K713" s="24"/>
      <c r="L713" s="22" t="s">
        <v>487</v>
      </c>
      <c r="M713" s="22">
        <v>1.0</v>
      </c>
      <c r="N713" s="22" t="s">
        <v>315</v>
      </c>
      <c r="O713" s="22" t="s">
        <v>316</v>
      </c>
      <c r="P713" s="24"/>
      <c r="Q713" s="22" t="s">
        <v>90</v>
      </c>
      <c r="R713" s="22">
        <v>3.2731368325443E13</v>
      </c>
      <c r="S713" s="24"/>
      <c r="T713" s="24"/>
      <c r="U713" s="24"/>
      <c r="V713" s="22" t="s">
        <v>127</v>
      </c>
      <c r="W713" s="24"/>
      <c r="X713" s="24"/>
      <c r="Y713" s="30"/>
      <c r="Z713" s="30"/>
      <c r="AA713" s="33"/>
      <c r="AB713" s="33"/>
      <c r="AC713" s="30"/>
      <c r="AD713" s="30"/>
      <c r="AE713" s="33"/>
      <c r="AF713" s="31"/>
      <c r="AG713" s="30"/>
      <c r="AH713" s="30"/>
      <c r="AI713" s="31"/>
      <c r="AJ713" s="31"/>
      <c r="AK713" s="32"/>
    </row>
    <row r="714">
      <c r="A714" s="21" t="s">
        <v>367</v>
      </c>
      <c r="B714" s="22" t="s">
        <v>587</v>
      </c>
      <c r="C714" s="22" t="s">
        <v>273</v>
      </c>
      <c r="D714" s="26">
        <v>45998.0</v>
      </c>
      <c r="E714" s="22" t="s">
        <v>153</v>
      </c>
      <c r="F714" s="22" t="s">
        <v>369</v>
      </c>
      <c r="G714" s="22" t="s">
        <v>1838</v>
      </c>
      <c r="H714" s="22" t="s">
        <v>367</v>
      </c>
      <c r="I714" s="22">
        <v>1.0451634946371E13</v>
      </c>
      <c r="J714" s="22" t="s">
        <v>589</v>
      </c>
      <c r="K714" s="24"/>
      <c r="L714" s="22" t="s">
        <v>372</v>
      </c>
      <c r="M714" s="22">
        <v>1.0</v>
      </c>
      <c r="N714" s="22" t="s">
        <v>373</v>
      </c>
      <c r="O714" s="22" t="s">
        <v>374</v>
      </c>
      <c r="P714" s="24"/>
      <c r="Q714" s="22" t="s">
        <v>90</v>
      </c>
      <c r="R714" s="22">
        <v>3.2731426029891E13</v>
      </c>
      <c r="S714" s="24"/>
      <c r="T714" s="24"/>
      <c r="U714" s="24"/>
      <c r="V714" s="22" t="s">
        <v>55</v>
      </c>
      <c r="W714" s="24"/>
      <c r="X714" s="24"/>
      <c r="Y714" s="30"/>
      <c r="Z714" s="30"/>
      <c r="AA714" s="33"/>
      <c r="AB714" s="33"/>
      <c r="AC714" s="30"/>
      <c r="AD714" s="30"/>
      <c r="AE714" s="33"/>
      <c r="AF714" s="31"/>
      <c r="AG714" s="30"/>
      <c r="AH714" s="30"/>
      <c r="AI714" s="31"/>
      <c r="AJ714" s="31"/>
      <c r="AK714" s="32"/>
    </row>
    <row r="715">
      <c r="A715" s="21" t="s">
        <v>580</v>
      </c>
      <c r="B715" s="22" t="s">
        <v>1839</v>
      </c>
      <c r="C715" s="22" t="s">
        <v>273</v>
      </c>
      <c r="D715" s="26">
        <v>45998.0</v>
      </c>
      <c r="E715" s="22" t="s">
        <v>266</v>
      </c>
      <c r="F715" s="22" t="s">
        <v>303</v>
      </c>
      <c r="G715" s="22" t="s">
        <v>1840</v>
      </c>
      <c r="H715" s="22" t="s">
        <v>580</v>
      </c>
      <c r="I715" s="22">
        <v>1.0451636486467E13</v>
      </c>
      <c r="J715" s="22" t="s">
        <v>1841</v>
      </c>
      <c r="K715" s="24"/>
      <c r="L715" s="22" t="s">
        <v>583</v>
      </c>
      <c r="M715" s="22">
        <v>1.0</v>
      </c>
      <c r="N715" s="22" t="s">
        <v>468</v>
      </c>
      <c r="O715" s="22" t="s">
        <v>469</v>
      </c>
      <c r="P715" s="24"/>
      <c r="Q715" s="22" t="s">
        <v>90</v>
      </c>
      <c r="R715" s="22">
        <v>3.2731429208387E13</v>
      </c>
      <c r="S715" s="24"/>
      <c r="T715" s="24"/>
      <c r="U715" s="24"/>
      <c r="V715" s="22" t="s">
        <v>175</v>
      </c>
      <c r="W715" s="24"/>
      <c r="X715" s="24"/>
      <c r="Y715" s="30"/>
      <c r="Z715" s="30"/>
      <c r="AA715" s="33"/>
      <c r="AB715" s="33"/>
      <c r="AC715" s="30"/>
      <c r="AD715" s="30"/>
      <c r="AE715" s="33"/>
      <c r="AF715" s="31"/>
      <c r="AG715" s="30"/>
      <c r="AH715" s="30"/>
      <c r="AI715" s="31"/>
      <c r="AJ715" s="31"/>
      <c r="AK715" s="32"/>
    </row>
    <row r="716">
      <c r="A716" s="21" t="s">
        <v>386</v>
      </c>
      <c r="B716" s="22" t="s">
        <v>710</v>
      </c>
      <c r="C716" s="22" t="s">
        <v>82</v>
      </c>
      <c r="D716" s="26">
        <v>45997.0</v>
      </c>
      <c r="E716" s="22" t="s">
        <v>196</v>
      </c>
      <c r="F716" s="22" t="s">
        <v>311</v>
      </c>
      <c r="G716" s="22" t="s">
        <v>1842</v>
      </c>
      <c r="H716" s="22" t="s">
        <v>386</v>
      </c>
      <c r="I716" s="22">
        <v>1.0451637403971E13</v>
      </c>
      <c r="J716" s="22" t="s">
        <v>712</v>
      </c>
      <c r="K716" s="24"/>
      <c r="L716" s="22" t="s">
        <v>390</v>
      </c>
      <c r="M716" s="22">
        <v>1.0</v>
      </c>
      <c r="N716" s="22" t="s">
        <v>391</v>
      </c>
      <c r="O716" s="22" t="s">
        <v>392</v>
      </c>
      <c r="P716" s="24"/>
      <c r="Q716" s="22" t="s">
        <v>90</v>
      </c>
      <c r="R716" s="22">
        <v>3.2731430846787E13</v>
      </c>
      <c r="S716" s="24"/>
      <c r="T716" s="24"/>
      <c r="U716" s="24"/>
      <c r="V716" s="22" t="s">
        <v>55</v>
      </c>
      <c r="W716" s="24"/>
      <c r="X716" s="24"/>
      <c r="Y716" s="30"/>
      <c r="Z716" s="30"/>
      <c r="AA716" s="33"/>
      <c r="AB716" s="33"/>
      <c r="AC716" s="30"/>
      <c r="AD716" s="30"/>
      <c r="AE716" s="33"/>
      <c r="AF716" s="31"/>
      <c r="AG716" s="30"/>
      <c r="AH716" s="30"/>
      <c r="AI716" s="31"/>
      <c r="AJ716" s="31"/>
      <c r="AK716" s="32"/>
    </row>
    <row r="717">
      <c r="A717" s="21" t="s">
        <v>689</v>
      </c>
      <c r="B717" s="22" t="s">
        <v>1120</v>
      </c>
      <c r="C717" s="22" t="s">
        <v>82</v>
      </c>
      <c r="D717" s="23">
        <v>46004.0</v>
      </c>
      <c r="E717" s="22" t="s">
        <v>153</v>
      </c>
      <c r="F717" s="22" t="s">
        <v>377</v>
      </c>
      <c r="G717" s="22" t="s">
        <v>1843</v>
      </c>
      <c r="H717" s="22" t="s">
        <v>689</v>
      </c>
      <c r="I717" s="22">
        <v>1.0451640353091E13</v>
      </c>
      <c r="J717" s="22" t="s">
        <v>1122</v>
      </c>
      <c r="K717" s="24"/>
      <c r="L717" s="22" t="s">
        <v>691</v>
      </c>
      <c r="M717" s="22">
        <v>1.0</v>
      </c>
      <c r="N717" s="22" t="s">
        <v>413</v>
      </c>
      <c r="O717" s="22" t="s">
        <v>414</v>
      </c>
      <c r="P717" s="24"/>
      <c r="Q717" s="22" t="s">
        <v>90</v>
      </c>
      <c r="R717" s="22">
        <v>3.2731436908867E13</v>
      </c>
      <c r="S717" s="24"/>
      <c r="T717" s="24"/>
      <c r="U717" s="24"/>
      <c r="V717" s="22" t="s">
        <v>175</v>
      </c>
      <c r="W717" s="24"/>
      <c r="X717" s="24"/>
      <c r="Y717" s="30"/>
      <c r="Z717" s="30"/>
      <c r="AA717" s="33"/>
      <c r="AB717" s="33"/>
      <c r="AC717" s="30"/>
      <c r="AD717" s="30"/>
      <c r="AE717" s="33"/>
      <c r="AF717" s="31"/>
      <c r="AG717" s="30"/>
      <c r="AH717" s="30"/>
      <c r="AI717" s="31"/>
      <c r="AJ717" s="31"/>
      <c r="AK717" s="32"/>
    </row>
    <row r="718">
      <c r="A718" s="21" t="s">
        <v>692</v>
      </c>
      <c r="B718" s="22" t="s">
        <v>424</v>
      </c>
      <c r="C718" s="22" t="s">
        <v>273</v>
      </c>
      <c r="D718" s="26">
        <v>45998.0</v>
      </c>
      <c r="E718" s="22" t="s">
        <v>134</v>
      </c>
      <c r="F718" s="22" t="s">
        <v>369</v>
      </c>
      <c r="G718" s="22" t="s">
        <v>1844</v>
      </c>
      <c r="H718" s="22" t="s">
        <v>692</v>
      </c>
      <c r="I718" s="22">
        <v>1.0451647758659E13</v>
      </c>
      <c r="J718" s="22" t="s">
        <v>426</v>
      </c>
      <c r="K718" s="24"/>
      <c r="L718" s="22" t="s">
        <v>694</v>
      </c>
      <c r="M718" s="22">
        <v>1.0</v>
      </c>
      <c r="N718" s="22" t="s">
        <v>373</v>
      </c>
      <c r="O718" s="22" t="s">
        <v>374</v>
      </c>
      <c r="P718" s="24"/>
      <c r="Q718" s="22" t="s">
        <v>90</v>
      </c>
      <c r="R718" s="22">
        <v>3.2731452145987E13</v>
      </c>
      <c r="S718" s="24"/>
      <c r="T718" s="24"/>
      <c r="U718" s="24"/>
      <c r="V718" s="22" t="s">
        <v>54</v>
      </c>
      <c r="W718" s="24"/>
      <c r="X718" s="24"/>
      <c r="Y718" s="30"/>
      <c r="Z718" s="30"/>
      <c r="AA718" s="33"/>
      <c r="AB718" s="33"/>
      <c r="AC718" s="30"/>
      <c r="AD718" s="30"/>
      <c r="AE718" s="33"/>
      <c r="AF718" s="31"/>
      <c r="AG718" s="30"/>
      <c r="AH718" s="30"/>
      <c r="AI718" s="31"/>
      <c r="AJ718" s="31"/>
      <c r="AK718" s="32"/>
    </row>
    <row r="719">
      <c r="A719" s="21" t="s">
        <v>692</v>
      </c>
      <c r="B719" s="22" t="s">
        <v>587</v>
      </c>
      <c r="C719" s="22" t="s">
        <v>273</v>
      </c>
      <c r="D719" s="26">
        <v>45998.0</v>
      </c>
      <c r="E719" s="22" t="s">
        <v>153</v>
      </c>
      <c r="F719" s="22" t="s">
        <v>369</v>
      </c>
      <c r="G719" s="22" t="s">
        <v>1845</v>
      </c>
      <c r="H719" s="22" t="s">
        <v>692</v>
      </c>
      <c r="I719" s="22">
        <v>1.0451446104387E13</v>
      </c>
      <c r="J719" s="22" t="s">
        <v>589</v>
      </c>
      <c r="K719" s="24"/>
      <c r="L719" s="22" t="s">
        <v>694</v>
      </c>
      <c r="M719" s="22">
        <v>1.0</v>
      </c>
      <c r="N719" s="22" t="s">
        <v>373</v>
      </c>
      <c r="O719" s="22" t="s">
        <v>374</v>
      </c>
      <c r="P719" s="24"/>
      <c r="Q719" s="22" t="s">
        <v>90</v>
      </c>
      <c r="R719" s="22">
        <v>3.2731002667331E13</v>
      </c>
      <c r="S719" s="24"/>
      <c r="T719" s="24"/>
      <c r="U719" s="24"/>
      <c r="V719" s="22" t="s">
        <v>54</v>
      </c>
      <c r="W719" s="24"/>
      <c r="X719" s="24"/>
      <c r="Y719" s="30"/>
      <c r="Z719" s="30"/>
      <c r="AA719" s="33"/>
      <c r="AB719" s="33"/>
      <c r="AC719" s="30"/>
      <c r="AD719" s="30"/>
      <c r="AE719" s="33"/>
      <c r="AF719" s="31"/>
      <c r="AG719" s="30"/>
      <c r="AH719" s="30"/>
      <c r="AI719" s="31"/>
      <c r="AJ719" s="31"/>
      <c r="AK719" s="32"/>
    </row>
    <row r="720">
      <c r="A720" s="21" t="s">
        <v>386</v>
      </c>
      <c r="B720" s="22" t="s">
        <v>1000</v>
      </c>
      <c r="C720" s="22" t="s">
        <v>273</v>
      </c>
      <c r="D720" s="26">
        <v>45998.0</v>
      </c>
      <c r="E720" s="22" t="s">
        <v>134</v>
      </c>
      <c r="F720" s="22" t="s">
        <v>311</v>
      </c>
      <c r="G720" s="22" t="s">
        <v>1846</v>
      </c>
      <c r="H720" s="22" t="s">
        <v>386</v>
      </c>
      <c r="I720" s="22">
        <v>1.0451654869315E13</v>
      </c>
      <c r="J720" s="22" t="s">
        <v>1002</v>
      </c>
      <c r="K720" s="24"/>
      <c r="L720" s="22" t="s">
        <v>390</v>
      </c>
      <c r="M720" s="22">
        <v>1.0</v>
      </c>
      <c r="N720" s="22" t="s">
        <v>391</v>
      </c>
      <c r="O720" s="22" t="s">
        <v>392</v>
      </c>
      <c r="P720" s="24"/>
      <c r="Q720" s="22" t="s">
        <v>90</v>
      </c>
      <c r="R720" s="22">
        <v>3.2731467383107E13</v>
      </c>
      <c r="S720" s="24"/>
      <c r="T720" s="24"/>
      <c r="U720" s="24"/>
      <c r="V720" s="22" t="s">
        <v>55</v>
      </c>
      <c r="W720" s="24"/>
      <c r="X720" s="24"/>
      <c r="Y720" s="30"/>
      <c r="Z720" s="30"/>
      <c r="AA720" s="33"/>
      <c r="AB720" s="33"/>
      <c r="AC720" s="30"/>
      <c r="AD720" s="30"/>
      <c r="AE720" s="33"/>
      <c r="AF720" s="31"/>
      <c r="AG720" s="30"/>
      <c r="AH720" s="30"/>
      <c r="AI720" s="31"/>
      <c r="AJ720" s="31"/>
      <c r="AK720" s="32"/>
    </row>
    <row r="721">
      <c r="A721" s="21" t="s">
        <v>309</v>
      </c>
      <c r="B721" s="22" t="s">
        <v>1847</v>
      </c>
      <c r="C721" s="22" t="s">
        <v>82</v>
      </c>
      <c r="D721" s="26">
        <v>45997.0</v>
      </c>
      <c r="E721" s="22" t="s">
        <v>196</v>
      </c>
      <c r="F721" s="22" t="s">
        <v>311</v>
      </c>
      <c r="G721" s="22" t="s">
        <v>1848</v>
      </c>
      <c r="H721" s="22" t="s">
        <v>309</v>
      </c>
      <c r="I721" s="22">
        <v>1.0451658834243E13</v>
      </c>
      <c r="J721" s="22" t="s">
        <v>712</v>
      </c>
      <c r="K721" s="24"/>
      <c r="L721" s="22" t="s">
        <v>314</v>
      </c>
      <c r="M721" s="22">
        <v>1.0</v>
      </c>
      <c r="N721" s="22" t="s">
        <v>315</v>
      </c>
      <c r="O721" s="22" t="s">
        <v>316</v>
      </c>
      <c r="P721" s="24"/>
      <c r="Q721" s="22" t="s">
        <v>90</v>
      </c>
      <c r="R721" s="22">
        <v>3.2731477016899E13</v>
      </c>
      <c r="S721" s="24"/>
      <c r="T721" s="24"/>
      <c r="U721" s="24"/>
      <c r="V721" s="22" t="s">
        <v>105</v>
      </c>
      <c r="W721" s="24"/>
      <c r="X721" s="24"/>
      <c r="Y721" s="30"/>
      <c r="Z721" s="30"/>
      <c r="AA721" s="33"/>
      <c r="AB721" s="33"/>
      <c r="AC721" s="30"/>
      <c r="AD721" s="30"/>
      <c r="AE721" s="33"/>
      <c r="AF721" s="31"/>
      <c r="AG721" s="30"/>
      <c r="AH721" s="30"/>
      <c r="AI721" s="31"/>
      <c r="AJ721" s="31"/>
      <c r="AK721" s="32"/>
    </row>
    <row r="722">
      <c r="A722" s="21" t="s">
        <v>696</v>
      </c>
      <c r="B722" s="22" t="s">
        <v>1532</v>
      </c>
      <c r="C722" s="22" t="s">
        <v>82</v>
      </c>
      <c r="D722" s="26">
        <v>45997.0</v>
      </c>
      <c r="E722" s="22" t="s">
        <v>211</v>
      </c>
      <c r="F722" s="22" t="s">
        <v>698</v>
      </c>
      <c r="G722" s="22" t="s">
        <v>1849</v>
      </c>
      <c r="H722" s="22" t="s">
        <v>696</v>
      </c>
      <c r="I722" s="22">
        <v>1.0451662111043E13</v>
      </c>
      <c r="J722" s="22" t="s">
        <v>1534</v>
      </c>
      <c r="K722" s="24"/>
      <c r="L722" s="22" t="s">
        <v>701</v>
      </c>
      <c r="M722" s="22">
        <v>1.0</v>
      </c>
      <c r="N722" s="22" t="s">
        <v>702</v>
      </c>
      <c r="O722" s="22" t="s">
        <v>703</v>
      </c>
      <c r="P722" s="24"/>
      <c r="Q722" s="22" t="s">
        <v>90</v>
      </c>
      <c r="R722" s="22">
        <v>3.2731483767107E13</v>
      </c>
      <c r="S722" s="24"/>
      <c r="T722" s="24"/>
      <c r="U722" s="24"/>
      <c r="V722" s="22" t="s">
        <v>55</v>
      </c>
      <c r="W722" s="24"/>
      <c r="X722" s="24"/>
      <c r="Y722" s="30"/>
      <c r="Z722" s="30"/>
      <c r="AA722" s="33"/>
      <c r="AB722" s="33"/>
      <c r="AC722" s="30"/>
      <c r="AD722" s="30"/>
      <c r="AE722" s="33"/>
      <c r="AF722" s="31"/>
      <c r="AG722" s="30"/>
      <c r="AH722" s="30"/>
      <c r="AI722" s="31"/>
      <c r="AJ722" s="31"/>
      <c r="AK722" s="32"/>
    </row>
    <row r="723">
      <c r="A723" s="21" t="s">
        <v>789</v>
      </c>
      <c r="B723" s="22" t="s">
        <v>1280</v>
      </c>
      <c r="C723" s="22" t="s">
        <v>82</v>
      </c>
      <c r="D723" s="26">
        <v>45997.0</v>
      </c>
      <c r="E723" s="22" t="s">
        <v>149</v>
      </c>
      <c r="F723" s="22" t="s">
        <v>605</v>
      </c>
      <c r="G723" s="22" t="s">
        <v>1850</v>
      </c>
      <c r="H723" s="22" t="s">
        <v>789</v>
      </c>
      <c r="I723" s="22">
        <v>1.0451674530115E13</v>
      </c>
      <c r="J723" s="22" t="s">
        <v>1282</v>
      </c>
      <c r="K723" s="24"/>
      <c r="L723" s="22" t="s">
        <v>794</v>
      </c>
      <c r="M723" s="22">
        <v>1.0</v>
      </c>
      <c r="N723" s="22" t="s">
        <v>795</v>
      </c>
      <c r="O723" s="22" t="s">
        <v>796</v>
      </c>
      <c r="P723" s="24"/>
      <c r="Q723" s="22" t="s">
        <v>90</v>
      </c>
      <c r="R723" s="22">
        <v>3.2731512930627E13</v>
      </c>
      <c r="S723" s="24"/>
      <c r="T723" s="24"/>
      <c r="U723" s="24"/>
      <c r="V723" s="22" t="s">
        <v>105</v>
      </c>
      <c r="W723" s="24"/>
      <c r="X723" s="24"/>
      <c r="Y723" s="30"/>
      <c r="Z723" s="30"/>
      <c r="AA723" s="33"/>
      <c r="AB723" s="33"/>
      <c r="AC723" s="30"/>
      <c r="AD723" s="30"/>
      <c r="AE723" s="33"/>
      <c r="AF723" s="31"/>
      <c r="AG723" s="30"/>
      <c r="AH723" s="30"/>
      <c r="AI723" s="31"/>
      <c r="AJ723" s="31"/>
      <c r="AK723" s="32"/>
    </row>
    <row r="724">
      <c r="A724" s="21" t="s">
        <v>488</v>
      </c>
      <c r="B724" s="22" t="s">
        <v>1851</v>
      </c>
      <c r="C724" s="22" t="s">
        <v>273</v>
      </c>
      <c r="D724" s="26">
        <v>45998.0</v>
      </c>
      <c r="E724" s="22" t="s">
        <v>134</v>
      </c>
      <c r="F724" s="22" t="s">
        <v>311</v>
      </c>
      <c r="G724" s="22" t="s">
        <v>1852</v>
      </c>
      <c r="H724" s="22" t="s">
        <v>488</v>
      </c>
      <c r="I724" s="22">
        <v>1.0451681542467E13</v>
      </c>
      <c r="J724" s="22" t="s">
        <v>1002</v>
      </c>
      <c r="K724" s="24"/>
      <c r="L724" s="22" t="s">
        <v>492</v>
      </c>
      <c r="M724" s="22">
        <v>1.0</v>
      </c>
      <c r="N724" s="22" t="s">
        <v>391</v>
      </c>
      <c r="O724" s="22" t="s">
        <v>392</v>
      </c>
      <c r="P724" s="24"/>
      <c r="Q724" s="22" t="s">
        <v>90</v>
      </c>
      <c r="R724" s="22">
        <v>3.2731528036675E13</v>
      </c>
      <c r="S724" s="24"/>
      <c r="T724" s="24"/>
      <c r="U724" s="24"/>
      <c r="V724" s="22" t="s">
        <v>95</v>
      </c>
      <c r="W724" s="24"/>
      <c r="X724" s="24"/>
      <c r="Y724" s="30"/>
      <c r="Z724" s="30"/>
      <c r="AA724" s="33"/>
      <c r="AB724" s="33"/>
      <c r="AC724" s="30"/>
      <c r="AD724" s="30"/>
      <c r="AE724" s="33"/>
      <c r="AF724" s="31"/>
      <c r="AG724" s="30"/>
      <c r="AH724" s="30"/>
      <c r="AI724" s="31"/>
      <c r="AJ724" s="31"/>
      <c r="AK724" s="32"/>
    </row>
    <row r="725">
      <c r="A725" s="21" t="s">
        <v>1192</v>
      </c>
      <c r="B725" s="22" t="s">
        <v>1853</v>
      </c>
      <c r="C725" s="22" t="s">
        <v>273</v>
      </c>
      <c r="D725" s="26">
        <v>45998.0</v>
      </c>
      <c r="E725" s="22" t="s">
        <v>153</v>
      </c>
      <c r="F725" s="22" t="s">
        <v>717</v>
      </c>
      <c r="G725" s="22" t="s">
        <v>1854</v>
      </c>
      <c r="H725" s="22" t="s">
        <v>1192</v>
      </c>
      <c r="I725" s="22">
        <v>1.0451689603395E13</v>
      </c>
      <c r="J725" s="22" t="s">
        <v>1855</v>
      </c>
      <c r="K725" s="24"/>
      <c r="L725" s="22" t="s">
        <v>1196</v>
      </c>
      <c r="M725" s="22">
        <v>1.0</v>
      </c>
      <c r="N725" s="22" t="s">
        <v>1083</v>
      </c>
      <c r="O725" s="22" t="s">
        <v>1084</v>
      </c>
      <c r="P725" s="24"/>
      <c r="Q725" s="22" t="s">
        <v>90</v>
      </c>
      <c r="R725" s="22">
        <v>3.2731545370947E13</v>
      </c>
      <c r="S725" s="24"/>
      <c r="T725" s="24"/>
      <c r="U725" s="24"/>
      <c r="V725" s="22" t="s">
        <v>127</v>
      </c>
      <c r="W725" s="24"/>
      <c r="X725" s="24"/>
      <c r="Y725" s="30"/>
      <c r="Z725" s="30"/>
      <c r="AA725" s="33"/>
      <c r="AB725" s="33"/>
      <c r="AC725" s="30"/>
      <c r="AD725" s="30"/>
      <c r="AE725" s="33"/>
      <c r="AF725" s="31"/>
      <c r="AG725" s="30"/>
      <c r="AH725" s="30"/>
      <c r="AI725" s="31"/>
      <c r="AJ725" s="31"/>
      <c r="AK725" s="32"/>
    </row>
    <row r="726">
      <c r="A726" s="21" t="s">
        <v>415</v>
      </c>
      <c r="B726" s="22" t="s">
        <v>512</v>
      </c>
      <c r="C726" s="22" t="s">
        <v>82</v>
      </c>
      <c r="D726" s="26">
        <v>45997.0</v>
      </c>
      <c r="E726" s="22" t="s">
        <v>153</v>
      </c>
      <c r="F726" s="22" t="s">
        <v>377</v>
      </c>
      <c r="G726" s="22" t="s">
        <v>1856</v>
      </c>
      <c r="H726" s="22" t="s">
        <v>415</v>
      </c>
      <c r="I726" s="22">
        <v>1.0451709854019E13</v>
      </c>
      <c r="J726" s="22" t="s">
        <v>514</v>
      </c>
      <c r="K726" s="24"/>
      <c r="L726" s="22" t="s">
        <v>419</v>
      </c>
      <c r="M726" s="22">
        <v>1.0</v>
      </c>
      <c r="N726" s="22" t="s">
        <v>381</v>
      </c>
      <c r="O726" s="22" t="s">
        <v>382</v>
      </c>
      <c r="P726" s="24"/>
      <c r="Q726" s="22" t="s">
        <v>90</v>
      </c>
      <c r="R726" s="22">
        <v>3.2731590525251E13</v>
      </c>
      <c r="S726" s="24"/>
      <c r="T726" s="24"/>
      <c r="U726" s="24"/>
      <c r="V726" s="22" t="s">
        <v>91</v>
      </c>
      <c r="W726" s="24"/>
      <c r="X726" s="24"/>
      <c r="Y726" s="30"/>
      <c r="Z726" s="30"/>
      <c r="AA726" s="33"/>
      <c r="AB726" s="33"/>
      <c r="AC726" s="30"/>
      <c r="AD726" s="30"/>
      <c r="AE726" s="33"/>
      <c r="AF726" s="31"/>
      <c r="AG726" s="30"/>
      <c r="AH726" s="30"/>
      <c r="AI726" s="31"/>
      <c r="AJ726" s="31"/>
      <c r="AK726" s="32"/>
    </row>
    <row r="727">
      <c r="A727" s="21" t="s">
        <v>96</v>
      </c>
      <c r="B727" s="22" t="s">
        <v>1857</v>
      </c>
      <c r="C727" s="22" t="s">
        <v>202</v>
      </c>
      <c r="D727" s="26">
        <v>45996.0</v>
      </c>
      <c r="E727" s="22" t="s">
        <v>149</v>
      </c>
      <c r="F727" s="22" t="s">
        <v>83</v>
      </c>
      <c r="G727" s="22" t="s">
        <v>1858</v>
      </c>
      <c r="H727" s="22" t="s">
        <v>96</v>
      </c>
      <c r="I727" s="22">
        <v>1.0451750846787E13</v>
      </c>
      <c r="J727" s="22" t="s">
        <v>1859</v>
      </c>
      <c r="K727" s="24"/>
      <c r="L727" s="22" t="s">
        <v>98</v>
      </c>
      <c r="M727" s="22">
        <v>1.0</v>
      </c>
      <c r="N727" s="22" t="s">
        <v>87</v>
      </c>
      <c r="O727" s="22" t="s">
        <v>88</v>
      </c>
      <c r="P727" s="24"/>
      <c r="Q727" s="22" t="s">
        <v>90</v>
      </c>
      <c r="R727" s="22">
        <v>3.2731686338883E13</v>
      </c>
      <c r="S727" s="24"/>
      <c r="T727" s="24"/>
      <c r="U727" s="24"/>
      <c r="V727" s="22" t="s">
        <v>55</v>
      </c>
      <c r="W727" s="24"/>
      <c r="X727" s="24"/>
      <c r="Y727" s="30"/>
      <c r="Z727" s="30"/>
      <c r="AA727" s="33"/>
      <c r="AB727" s="33"/>
      <c r="AC727" s="30"/>
      <c r="AD727" s="30"/>
      <c r="AE727" s="33"/>
      <c r="AF727" s="31"/>
      <c r="AG727" s="30"/>
      <c r="AH727" s="30"/>
      <c r="AI727" s="31"/>
      <c r="AJ727" s="31"/>
      <c r="AK727" s="32"/>
    </row>
    <row r="728">
      <c r="A728" s="21" t="s">
        <v>478</v>
      </c>
      <c r="B728" s="22" t="s">
        <v>943</v>
      </c>
      <c r="C728" s="22" t="s">
        <v>82</v>
      </c>
      <c r="D728" s="26">
        <v>45997.0</v>
      </c>
      <c r="E728" s="22" t="s">
        <v>145</v>
      </c>
      <c r="F728" s="22" t="s">
        <v>472</v>
      </c>
      <c r="G728" s="22" t="s">
        <v>1860</v>
      </c>
      <c r="H728" s="22" t="s">
        <v>478</v>
      </c>
      <c r="I728" s="22">
        <v>1.0451795738947E13</v>
      </c>
      <c r="J728" s="22" t="s">
        <v>945</v>
      </c>
      <c r="K728" s="24"/>
      <c r="L728" s="22" t="s">
        <v>483</v>
      </c>
      <c r="M728" s="22">
        <v>1.0</v>
      </c>
      <c r="N728" s="22" t="s">
        <v>476</v>
      </c>
      <c r="O728" s="22" t="s">
        <v>477</v>
      </c>
      <c r="P728" s="24"/>
      <c r="Q728" s="22" t="s">
        <v>90</v>
      </c>
      <c r="R728" s="22">
        <v>3.2731784053059E13</v>
      </c>
      <c r="S728" s="24"/>
      <c r="T728" s="24"/>
      <c r="U728" s="24"/>
      <c r="V728" s="22" t="s">
        <v>95</v>
      </c>
      <c r="W728" s="24"/>
      <c r="X728" s="24"/>
      <c r="Y728" s="30"/>
      <c r="Z728" s="30"/>
      <c r="AA728" s="33"/>
      <c r="AB728" s="33"/>
      <c r="AC728" s="30"/>
      <c r="AD728" s="30"/>
      <c r="AE728" s="33"/>
      <c r="AF728" s="31"/>
      <c r="AG728" s="30"/>
      <c r="AH728" s="30"/>
      <c r="AI728" s="31"/>
      <c r="AJ728" s="31"/>
      <c r="AK728" s="32"/>
    </row>
    <row r="729">
      <c r="A729" s="21" t="s">
        <v>166</v>
      </c>
      <c r="B729" s="22" t="s">
        <v>393</v>
      </c>
      <c r="C729" s="22" t="s">
        <v>82</v>
      </c>
      <c r="D729" s="26">
        <v>45997.0</v>
      </c>
      <c r="E729" s="22" t="s">
        <v>187</v>
      </c>
      <c r="F729" s="22" t="s">
        <v>111</v>
      </c>
      <c r="G729" s="22" t="s">
        <v>1861</v>
      </c>
      <c r="H729" s="22" t="s">
        <v>166</v>
      </c>
      <c r="I729" s="22">
        <v>1.0451803668803E13</v>
      </c>
      <c r="J729" s="22" t="s">
        <v>395</v>
      </c>
      <c r="K729" s="24"/>
      <c r="L729" s="22" t="s">
        <v>171</v>
      </c>
      <c r="M729" s="22">
        <v>1.0</v>
      </c>
      <c r="N729" s="22" t="s">
        <v>115</v>
      </c>
      <c r="O729" s="22" t="s">
        <v>116</v>
      </c>
      <c r="P729" s="24"/>
      <c r="Q729" s="22" t="s">
        <v>90</v>
      </c>
      <c r="R729" s="22">
        <v>3.2731801911619E13</v>
      </c>
      <c r="S729" s="24"/>
      <c r="T729" s="24"/>
      <c r="U729" s="24"/>
      <c r="V729" s="22" t="s">
        <v>55</v>
      </c>
      <c r="W729" s="24"/>
      <c r="X729" s="24"/>
      <c r="Y729" s="30"/>
      <c r="Z729" s="30"/>
      <c r="AA729" s="33"/>
      <c r="AB729" s="33"/>
      <c r="AC729" s="30"/>
      <c r="AD729" s="30"/>
      <c r="AE729" s="33"/>
      <c r="AF729" s="31"/>
      <c r="AG729" s="30"/>
      <c r="AH729" s="30"/>
      <c r="AI729" s="31"/>
      <c r="AJ729" s="31"/>
      <c r="AK729" s="32"/>
    </row>
    <row r="730">
      <c r="A730" s="21" t="s">
        <v>545</v>
      </c>
      <c r="B730" s="22" t="s">
        <v>355</v>
      </c>
      <c r="C730" s="22" t="s">
        <v>273</v>
      </c>
      <c r="D730" s="23">
        <v>45991.0</v>
      </c>
      <c r="E730" s="22" t="s">
        <v>149</v>
      </c>
      <c r="F730" s="22" t="s">
        <v>356</v>
      </c>
      <c r="G730" s="22" t="s">
        <v>1862</v>
      </c>
      <c r="H730" s="22" t="s">
        <v>545</v>
      </c>
      <c r="I730" s="22">
        <v>1.0451812024643E13</v>
      </c>
      <c r="J730" s="22" t="s">
        <v>562</v>
      </c>
      <c r="K730" s="24"/>
      <c r="L730" s="22" t="s">
        <v>549</v>
      </c>
      <c r="M730" s="22">
        <v>1.0</v>
      </c>
      <c r="N730" s="22" t="s">
        <v>360</v>
      </c>
      <c r="O730" s="22" t="s">
        <v>361</v>
      </c>
      <c r="P730" s="24"/>
      <c r="Q730" s="22" t="s">
        <v>90</v>
      </c>
      <c r="R730" s="22">
        <v>3.2731819311427E13</v>
      </c>
      <c r="S730" s="24"/>
      <c r="T730" s="24"/>
      <c r="U730" s="24"/>
      <c r="V730" s="22" t="s">
        <v>55</v>
      </c>
      <c r="W730" s="24"/>
      <c r="X730" s="24"/>
      <c r="Y730" s="30"/>
      <c r="Z730" s="30"/>
      <c r="AA730" s="33"/>
      <c r="AB730" s="33"/>
      <c r="AC730" s="30"/>
      <c r="AD730" s="30"/>
      <c r="AE730" s="33"/>
      <c r="AF730" s="31"/>
      <c r="AG730" s="30"/>
      <c r="AH730" s="30"/>
      <c r="AI730" s="31"/>
      <c r="AJ730" s="31"/>
      <c r="AK730" s="32"/>
    </row>
    <row r="731">
      <c r="A731" s="21" t="s">
        <v>979</v>
      </c>
      <c r="B731" s="22" t="s">
        <v>1863</v>
      </c>
      <c r="C731" s="22" t="s">
        <v>82</v>
      </c>
      <c r="D731" s="26">
        <v>45997.0</v>
      </c>
      <c r="E731" s="22" t="s">
        <v>1131</v>
      </c>
      <c r="F731" s="22" t="s">
        <v>605</v>
      </c>
      <c r="G731" s="22" t="s">
        <v>1864</v>
      </c>
      <c r="H731" s="22" t="s">
        <v>979</v>
      </c>
      <c r="I731" s="22">
        <v>1.0451818381635E13</v>
      </c>
      <c r="J731" s="22" t="s">
        <v>1865</v>
      </c>
      <c r="K731" s="24"/>
      <c r="L731" s="22" t="s">
        <v>984</v>
      </c>
      <c r="M731" s="22">
        <v>1.0</v>
      </c>
      <c r="N731" s="22" t="s">
        <v>609</v>
      </c>
      <c r="O731" s="22" t="s">
        <v>610</v>
      </c>
      <c r="P731" s="24"/>
      <c r="Q731" s="22" t="s">
        <v>90</v>
      </c>
      <c r="R731" s="22">
        <v>3.2731833073987E13</v>
      </c>
      <c r="S731" s="24"/>
      <c r="T731" s="24"/>
      <c r="U731" s="24"/>
      <c r="V731" s="22" t="s">
        <v>55</v>
      </c>
      <c r="W731" s="24"/>
      <c r="X731" s="24"/>
      <c r="Y731" s="30"/>
      <c r="Z731" s="30"/>
      <c r="AA731" s="33"/>
      <c r="AB731" s="33"/>
      <c r="AC731" s="30"/>
      <c r="AD731" s="30"/>
      <c r="AE731" s="33"/>
      <c r="AF731" s="31"/>
      <c r="AG731" s="30"/>
      <c r="AH731" s="30"/>
      <c r="AI731" s="31"/>
      <c r="AJ731" s="31"/>
      <c r="AK731" s="32"/>
    </row>
    <row r="732">
      <c r="A732" s="21" t="s">
        <v>408</v>
      </c>
      <c r="B732" s="22" t="s">
        <v>512</v>
      </c>
      <c r="C732" s="22" t="s">
        <v>82</v>
      </c>
      <c r="D732" s="26">
        <v>45997.0</v>
      </c>
      <c r="E732" s="22" t="s">
        <v>153</v>
      </c>
      <c r="F732" s="22" t="s">
        <v>377</v>
      </c>
      <c r="G732" s="22" t="s">
        <v>1866</v>
      </c>
      <c r="H732" s="22" t="s">
        <v>408</v>
      </c>
      <c r="I732" s="22">
        <v>1.0451832897859E13</v>
      </c>
      <c r="J732" s="22" t="s">
        <v>514</v>
      </c>
      <c r="K732" s="24"/>
      <c r="L732" s="22" t="s">
        <v>412</v>
      </c>
      <c r="M732" s="22">
        <v>1.0</v>
      </c>
      <c r="N732" s="22" t="s">
        <v>413</v>
      </c>
      <c r="O732" s="22" t="s">
        <v>414</v>
      </c>
      <c r="P732" s="24"/>
      <c r="Q732" s="22" t="s">
        <v>90</v>
      </c>
      <c r="R732" s="22">
        <v>3.2731866431811E13</v>
      </c>
      <c r="S732" s="24"/>
      <c r="T732" s="24"/>
      <c r="U732" s="24"/>
      <c r="V732" s="22" t="s">
        <v>127</v>
      </c>
      <c r="W732" s="24"/>
      <c r="X732" s="24"/>
      <c r="Y732" s="30"/>
      <c r="Z732" s="30"/>
      <c r="AA732" s="33"/>
      <c r="AB732" s="33"/>
      <c r="AC732" s="30"/>
      <c r="AD732" s="30"/>
      <c r="AE732" s="33"/>
      <c r="AF732" s="31"/>
      <c r="AG732" s="30"/>
      <c r="AH732" s="30"/>
      <c r="AI732" s="31"/>
      <c r="AJ732" s="31"/>
      <c r="AK732" s="32"/>
    </row>
    <row r="733">
      <c r="A733" s="21" t="s">
        <v>595</v>
      </c>
      <c r="B733" s="22" t="s">
        <v>587</v>
      </c>
      <c r="C733" s="22" t="s">
        <v>273</v>
      </c>
      <c r="D733" s="26">
        <v>45998.0</v>
      </c>
      <c r="E733" s="22" t="s">
        <v>153</v>
      </c>
      <c r="F733" s="22" t="s">
        <v>369</v>
      </c>
      <c r="G733" s="22" t="s">
        <v>1867</v>
      </c>
      <c r="H733" s="22" t="s">
        <v>595</v>
      </c>
      <c r="I733" s="22">
        <v>1.0451853148483E13</v>
      </c>
      <c r="J733" s="22" t="s">
        <v>589</v>
      </c>
      <c r="K733" s="24"/>
      <c r="L733" s="22" t="s">
        <v>599</v>
      </c>
      <c r="M733" s="22">
        <v>1.0</v>
      </c>
      <c r="N733" s="22" t="s">
        <v>600</v>
      </c>
      <c r="O733" s="22" t="s">
        <v>601</v>
      </c>
      <c r="P733" s="24"/>
      <c r="Q733" s="22" t="s">
        <v>90</v>
      </c>
      <c r="R733" s="22">
        <v>3.2731910930755E13</v>
      </c>
      <c r="S733" s="24"/>
      <c r="T733" s="24"/>
      <c r="U733" s="24"/>
      <c r="V733" s="22" t="s">
        <v>127</v>
      </c>
      <c r="W733" s="24"/>
      <c r="X733" s="24"/>
      <c r="Y733" s="30"/>
      <c r="Z733" s="30"/>
      <c r="AA733" s="33"/>
      <c r="AB733" s="33"/>
      <c r="AC733" s="30"/>
      <c r="AD733" s="30"/>
      <c r="AE733" s="33"/>
      <c r="AF733" s="31"/>
      <c r="AG733" s="30"/>
      <c r="AH733" s="30"/>
      <c r="AI733" s="31"/>
      <c r="AJ733" s="31"/>
      <c r="AK733" s="32"/>
    </row>
    <row r="734">
      <c r="A734" s="21" t="s">
        <v>595</v>
      </c>
      <c r="B734" s="22" t="s">
        <v>596</v>
      </c>
      <c r="C734" s="22" t="s">
        <v>273</v>
      </c>
      <c r="D734" s="26">
        <v>45998.0</v>
      </c>
      <c r="E734" s="22" t="s">
        <v>266</v>
      </c>
      <c r="F734" s="22" t="s">
        <v>369</v>
      </c>
      <c r="G734" s="22" t="s">
        <v>1868</v>
      </c>
      <c r="H734" s="22" t="s">
        <v>595</v>
      </c>
      <c r="I734" s="22">
        <v>1.0451499548995E13</v>
      </c>
      <c r="J734" s="22" t="s">
        <v>598</v>
      </c>
      <c r="K734" s="24"/>
      <c r="L734" s="22" t="s">
        <v>599</v>
      </c>
      <c r="M734" s="22">
        <v>1.0</v>
      </c>
      <c r="N734" s="22" t="s">
        <v>600</v>
      </c>
      <c r="O734" s="22" t="s">
        <v>601</v>
      </c>
      <c r="P734" s="24"/>
      <c r="Q734" s="22" t="s">
        <v>90</v>
      </c>
      <c r="R734" s="22">
        <v>3.2731122893123E13</v>
      </c>
      <c r="S734" s="24"/>
      <c r="T734" s="24"/>
      <c r="U734" s="24"/>
      <c r="V734" s="22" t="s">
        <v>127</v>
      </c>
      <c r="W734" s="24"/>
      <c r="X734" s="24"/>
      <c r="Y734" s="30"/>
      <c r="Z734" s="30"/>
      <c r="AA734" s="33"/>
      <c r="AB734" s="33"/>
      <c r="AC734" s="30"/>
      <c r="AD734" s="30"/>
      <c r="AE734" s="33"/>
      <c r="AF734" s="31"/>
      <c r="AG734" s="30"/>
      <c r="AH734" s="30"/>
      <c r="AI734" s="31"/>
      <c r="AJ734" s="31"/>
      <c r="AK734" s="32"/>
    </row>
    <row r="735">
      <c r="A735" s="21" t="s">
        <v>1832</v>
      </c>
      <c r="B735" s="22" t="s">
        <v>1717</v>
      </c>
      <c r="C735" s="22" t="s">
        <v>82</v>
      </c>
      <c r="D735" s="26">
        <v>45997.0</v>
      </c>
      <c r="E735" s="22" t="s">
        <v>970</v>
      </c>
      <c r="F735" s="22" t="s">
        <v>698</v>
      </c>
      <c r="G735" s="22" t="s">
        <v>1869</v>
      </c>
      <c r="H735" s="22" t="s">
        <v>1832</v>
      </c>
      <c r="I735" s="22">
        <v>1.0451911180611E13</v>
      </c>
      <c r="J735" s="22" t="s">
        <v>1719</v>
      </c>
      <c r="K735" s="24"/>
      <c r="L735" s="22" t="s">
        <v>1834</v>
      </c>
      <c r="M735" s="22">
        <v>1.0</v>
      </c>
      <c r="N735" s="22" t="s">
        <v>702</v>
      </c>
      <c r="O735" s="22" t="s">
        <v>703</v>
      </c>
      <c r="P735" s="24"/>
      <c r="Q735" s="22" t="s">
        <v>90</v>
      </c>
      <c r="R735" s="22">
        <v>3.2732047671619E13</v>
      </c>
      <c r="S735" s="24"/>
      <c r="T735" s="24"/>
      <c r="U735" s="24"/>
      <c r="V735" s="22" t="s">
        <v>91</v>
      </c>
      <c r="W735" s="24"/>
      <c r="X735" s="24"/>
      <c r="Y735" s="30"/>
      <c r="Z735" s="30"/>
      <c r="AA735" s="33"/>
      <c r="AB735" s="33"/>
      <c r="AC735" s="30"/>
      <c r="AD735" s="30"/>
      <c r="AE735" s="33"/>
      <c r="AF735" s="31"/>
      <c r="AG735" s="30"/>
      <c r="AH735" s="30"/>
      <c r="AI735" s="31"/>
      <c r="AJ735" s="31"/>
      <c r="AK735" s="32"/>
    </row>
    <row r="736">
      <c r="A736" s="21" t="s">
        <v>822</v>
      </c>
      <c r="B736" s="22" t="s">
        <v>823</v>
      </c>
      <c r="C736" s="22" t="s">
        <v>82</v>
      </c>
      <c r="D736" s="26">
        <v>45997.0</v>
      </c>
      <c r="E736" s="22" t="s">
        <v>177</v>
      </c>
      <c r="F736" s="22" t="s">
        <v>634</v>
      </c>
      <c r="G736" s="22" t="s">
        <v>1870</v>
      </c>
      <c r="H736" s="22" t="s">
        <v>822</v>
      </c>
      <c r="I736" s="22">
        <v>1.0451913113923E13</v>
      </c>
      <c r="J736" s="22" t="s">
        <v>825</v>
      </c>
      <c r="K736" s="24"/>
      <c r="L736" s="22" t="s">
        <v>826</v>
      </c>
      <c r="M736" s="22">
        <v>1.0</v>
      </c>
      <c r="N736" s="22" t="s">
        <v>638</v>
      </c>
      <c r="O736" s="22" t="s">
        <v>639</v>
      </c>
      <c r="P736" s="24"/>
      <c r="Q736" s="22" t="s">
        <v>90</v>
      </c>
      <c r="R736" s="22">
        <v>3.2732051865923E13</v>
      </c>
      <c r="S736" s="24"/>
      <c r="T736" s="24"/>
      <c r="U736" s="24"/>
      <c r="V736" s="22" t="s">
        <v>55</v>
      </c>
      <c r="W736" s="24"/>
      <c r="X736" s="24"/>
      <c r="Y736" s="30"/>
      <c r="Z736" s="30"/>
      <c r="AA736" s="33"/>
      <c r="AB736" s="33"/>
      <c r="AC736" s="30"/>
      <c r="AD736" s="30"/>
      <c r="AE736" s="33"/>
      <c r="AF736" s="31"/>
      <c r="AG736" s="30"/>
      <c r="AH736" s="30"/>
      <c r="AI736" s="31"/>
      <c r="AJ736" s="31"/>
      <c r="AK736" s="32"/>
    </row>
    <row r="737">
      <c r="A737" s="21" t="s">
        <v>354</v>
      </c>
      <c r="B737" s="22" t="s">
        <v>1752</v>
      </c>
      <c r="C737" s="22" t="s">
        <v>273</v>
      </c>
      <c r="D737" s="23">
        <v>45991.0</v>
      </c>
      <c r="E737" s="22" t="s">
        <v>266</v>
      </c>
      <c r="F737" s="22" t="s">
        <v>356</v>
      </c>
      <c r="G737" s="22" t="s">
        <v>1871</v>
      </c>
      <c r="H737" s="22" t="s">
        <v>354</v>
      </c>
      <c r="I737" s="22">
        <v>1.0451934019907E13</v>
      </c>
      <c r="J737" s="22" t="s">
        <v>1754</v>
      </c>
      <c r="K737" s="24"/>
      <c r="L737" s="22" t="s">
        <v>359</v>
      </c>
      <c r="M737" s="22">
        <v>1.0</v>
      </c>
      <c r="N737" s="22" t="s">
        <v>360</v>
      </c>
      <c r="O737" s="22" t="s">
        <v>361</v>
      </c>
      <c r="P737" s="24"/>
      <c r="Q737" s="22" t="s">
        <v>90</v>
      </c>
      <c r="R737" s="22">
        <v>3.2732099641667E13</v>
      </c>
      <c r="S737" s="24"/>
      <c r="T737" s="24"/>
      <c r="U737" s="24"/>
      <c r="V737" s="22" t="s">
        <v>54</v>
      </c>
      <c r="W737" s="24"/>
      <c r="X737" s="24"/>
      <c r="Y737" s="30"/>
      <c r="Z737" s="30"/>
      <c r="AA737" s="33"/>
      <c r="AB737" s="33"/>
      <c r="AC737" s="30"/>
      <c r="AD737" s="30"/>
      <c r="AE737" s="33"/>
      <c r="AF737" s="31"/>
      <c r="AG737" s="30"/>
      <c r="AH737" s="30"/>
      <c r="AI737" s="31"/>
      <c r="AJ737" s="31"/>
      <c r="AK737" s="32"/>
    </row>
    <row r="738">
      <c r="A738" s="21" t="s">
        <v>401</v>
      </c>
      <c r="B738" s="22" t="s">
        <v>318</v>
      </c>
      <c r="C738" s="22" t="s">
        <v>82</v>
      </c>
      <c r="D738" s="26">
        <v>45997.0</v>
      </c>
      <c r="E738" s="22" t="s">
        <v>196</v>
      </c>
      <c r="F738" s="22" t="s">
        <v>319</v>
      </c>
      <c r="G738" s="22" t="s">
        <v>1872</v>
      </c>
      <c r="H738" s="22" t="s">
        <v>401</v>
      </c>
      <c r="I738" s="22">
        <v>1.0451944210755E13</v>
      </c>
      <c r="J738" s="22" t="s">
        <v>527</v>
      </c>
      <c r="K738" s="24"/>
      <c r="L738" s="22" t="s">
        <v>403</v>
      </c>
      <c r="M738" s="22">
        <v>1.0</v>
      </c>
      <c r="N738" s="22" t="s">
        <v>404</v>
      </c>
      <c r="O738" s="22" t="s">
        <v>405</v>
      </c>
      <c r="P738" s="24"/>
      <c r="Q738" s="22" t="s">
        <v>90</v>
      </c>
      <c r="R738" s="22">
        <v>3.2732125102403E13</v>
      </c>
      <c r="S738" s="24"/>
      <c r="T738" s="24"/>
      <c r="U738" s="24"/>
      <c r="V738" s="22" t="s">
        <v>127</v>
      </c>
      <c r="W738" s="24"/>
      <c r="X738" s="24"/>
      <c r="Y738" s="30"/>
      <c r="Z738" s="30"/>
      <c r="AA738" s="33"/>
      <c r="AB738" s="33"/>
      <c r="AC738" s="30"/>
      <c r="AD738" s="30"/>
      <c r="AE738" s="33"/>
      <c r="AF738" s="31"/>
      <c r="AG738" s="30"/>
      <c r="AH738" s="30"/>
      <c r="AI738" s="31"/>
      <c r="AJ738" s="31"/>
      <c r="AK738" s="32"/>
    </row>
    <row r="739">
      <c r="A739" s="21" t="s">
        <v>979</v>
      </c>
      <c r="B739" s="22" t="s">
        <v>1280</v>
      </c>
      <c r="C739" s="22" t="s">
        <v>82</v>
      </c>
      <c r="D739" s="26">
        <v>45997.0</v>
      </c>
      <c r="E739" s="22" t="s">
        <v>149</v>
      </c>
      <c r="F739" s="22" t="s">
        <v>605</v>
      </c>
      <c r="G739" s="22" t="s">
        <v>1873</v>
      </c>
      <c r="H739" s="22" t="s">
        <v>979</v>
      </c>
      <c r="I739" s="22">
        <v>1.0451953615171E13</v>
      </c>
      <c r="J739" s="22" t="s">
        <v>1282</v>
      </c>
      <c r="K739" s="24"/>
      <c r="L739" s="22" t="s">
        <v>984</v>
      </c>
      <c r="M739" s="22">
        <v>1.0</v>
      </c>
      <c r="N739" s="22" t="s">
        <v>609</v>
      </c>
      <c r="O739" s="22" t="s">
        <v>610</v>
      </c>
      <c r="P739" s="24"/>
      <c r="Q739" s="22" t="s">
        <v>90</v>
      </c>
      <c r="R739" s="22">
        <v>3.2732145746243E13</v>
      </c>
      <c r="S739" s="24"/>
      <c r="T739" s="24"/>
      <c r="U739" s="24"/>
      <c r="V739" s="22" t="s">
        <v>55</v>
      </c>
      <c r="W739" s="24"/>
      <c r="X739" s="24"/>
      <c r="Y739" s="30"/>
      <c r="Z739" s="30"/>
      <c r="AA739" s="33"/>
      <c r="AB739" s="33"/>
      <c r="AC739" s="30"/>
      <c r="AD739" s="30"/>
      <c r="AE739" s="33"/>
      <c r="AF739" s="31"/>
      <c r="AG739" s="30"/>
      <c r="AH739" s="30"/>
      <c r="AI739" s="31"/>
      <c r="AJ739" s="31"/>
      <c r="AK739" s="32"/>
    </row>
    <row r="740">
      <c r="A740" s="21" t="s">
        <v>300</v>
      </c>
      <c r="B740" s="22" t="s">
        <v>434</v>
      </c>
      <c r="C740" s="22" t="s">
        <v>273</v>
      </c>
      <c r="D740" s="26">
        <v>45998.0</v>
      </c>
      <c r="E740" s="22" t="s">
        <v>134</v>
      </c>
      <c r="F740" s="22" t="s">
        <v>303</v>
      </c>
      <c r="G740" s="22" t="s">
        <v>1874</v>
      </c>
      <c r="H740" s="22" t="s">
        <v>300</v>
      </c>
      <c r="I740" s="22">
        <v>1.0451958300995E13</v>
      </c>
      <c r="J740" s="22" t="s">
        <v>582</v>
      </c>
      <c r="K740" s="24"/>
      <c r="L740" s="22" t="s">
        <v>306</v>
      </c>
      <c r="M740" s="22">
        <v>1.0</v>
      </c>
      <c r="N740" s="22" t="s">
        <v>307</v>
      </c>
      <c r="O740" s="22" t="s">
        <v>308</v>
      </c>
      <c r="P740" s="24"/>
      <c r="Q740" s="22" t="s">
        <v>90</v>
      </c>
      <c r="R740" s="22">
        <v>3.2732157018435E13</v>
      </c>
      <c r="S740" s="24"/>
      <c r="T740" s="24"/>
      <c r="U740" s="24"/>
      <c r="V740" s="22" t="s">
        <v>55</v>
      </c>
      <c r="W740" s="24"/>
      <c r="X740" s="24"/>
      <c r="Y740" s="30"/>
      <c r="Z740" s="30"/>
      <c r="AA740" s="33"/>
      <c r="AB740" s="33"/>
      <c r="AC740" s="30"/>
      <c r="AD740" s="30"/>
      <c r="AE740" s="33"/>
      <c r="AF740" s="31"/>
      <c r="AG740" s="30"/>
      <c r="AH740" s="30"/>
      <c r="AI740" s="31"/>
      <c r="AJ740" s="31"/>
      <c r="AK740" s="32"/>
    </row>
    <row r="741">
      <c r="A741" s="21" t="s">
        <v>1316</v>
      </c>
      <c r="B741" s="22" t="s">
        <v>1356</v>
      </c>
      <c r="C741" s="22" t="s">
        <v>273</v>
      </c>
      <c r="D741" s="23">
        <v>45991.0</v>
      </c>
      <c r="E741" s="22" t="s">
        <v>153</v>
      </c>
      <c r="F741" s="22" t="s">
        <v>329</v>
      </c>
      <c r="G741" s="22" t="s">
        <v>1875</v>
      </c>
      <c r="H741" s="22" t="s">
        <v>1316</v>
      </c>
      <c r="I741" s="22">
        <v>1.0451962822979E13</v>
      </c>
      <c r="J741" s="22" t="s">
        <v>1358</v>
      </c>
      <c r="K741" s="24"/>
      <c r="L741" s="22" t="s">
        <v>1318</v>
      </c>
      <c r="M741" s="22">
        <v>1.0</v>
      </c>
      <c r="N741" s="22" t="s">
        <v>907</v>
      </c>
      <c r="O741" s="22" t="s">
        <v>908</v>
      </c>
      <c r="P741" s="24"/>
      <c r="Q741" s="22" t="s">
        <v>90</v>
      </c>
      <c r="R741" s="22">
        <v>3.2732166029635E13</v>
      </c>
      <c r="S741" s="24"/>
      <c r="T741" s="24"/>
      <c r="U741" s="24"/>
      <c r="V741" s="22" t="s">
        <v>175</v>
      </c>
      <c r="W741" s="24"/>
      <c r="X741" s="24"/>
      <c r="Y741" s="30"/>
      <c r="Z741" s="30"/>
      <c r="AA741" s="33"/>
      <c r="AB741" s="33"/>
      <c r="AC741" s="30"/>
      <c r="AD741" s="30"/>
      <c r="AE741" s="33"/>
      <c r="AF741" s="31"/>
      <c r="AG741" s="30"/>
      <c r="AH741" s="30"/>
      <c r="AI741" s="31"/>
      <c r="AJ741" s="31"/>
      <c r="AK741" s="32"/>
    </row>
    <row r="742">
      <c r="A742" s="21" t="s">
        <v>740</v>
      </c>
      <c r="B742" s="22" t="s">
        <v>434</v>
      </c>
      <c r="C742" s="22" t="s">
        <v>273</v>
      </c>
      <c r="D742" s="26">
        <v>45998.0</v>
      </c>
      <c r="E742" s="22" t="s">
        <v>134</v>
      </c>
      <c r="F742" s="22" t="s">
        <v>303</v>
      </c>
      <c r="G742" s="22" t="s">
        <v>1876</v>
      </c>
      <c r="H742" s="22" t="s">
        <v>740</v>
      </c>
      <c r="I742" s="22">
        <v>1.0452021281091E13</v>
      </c>
      <c r="J742" s="22" t="s">
        <v>582</v>
      </c>
      <c r="K742" s="24"/>
      <c r="L742" s="22" t="s">
        <v>744</v>
      </c>
      <c r="M742" s="22">
        <v>1.0</v>
      </c>
      <c r="N742" s="22" t="s">
        <v>307</v>
      </c>
      <c r="O742" s="22" t="s">
        <v>308</v>
      </c>
      <c r="P742" s="24"/>
      <c r="Q742" s="22" t="s">
        <v>90</v>
      </c>
      <c r="R742" s="22">
        <v>3.2732303393091E13</v>
      </c>
      <c r="S742" s="24"/>
      <c r="T742" s="24"/>
      <c r="U742" s="24"/>
      <c r="V742" s="22" t="s">
        <v>91</v>
      </c>
      <c r="W742" s="24"/>
      <c r="X742" s="24"/>
      <c r="Y742" s="30"/>
      <c r="Z742" s="30"/>
      <c r="AA742" s="33"/>
      <c r="AB742" s="33"/>
      <c r="AC742" s="30"/>
      <c r="AD742" s="30"/>
      <c r="AE742" s="33"/>
      <c r="AF742" s="31"/>
      <c r="AG742" s="30"/>
      <c r="AH742" s="30"/>
      <c r="AI742" s="31"/>
      <c r="AJ742" s="31"/>
      <c r="AK742" s="32"/>
    </row>
    <row r="743">
      <c r="A743" s="21" t="s">
        <v>837</v>
      </c>
      <c r="B743" s="22" t="s">
        <v>1019</v>
      </c>
      <c r="C743" s="22" t="s">
        <v>82</v>
      </c>
      <c r="D743" s="26">
        <v>45997.0</v>
      </c>
      <c r="E743" s="22" t="s">
        <v>975</v>
      </c>
      <c r="F743" s="22" t="s">
        <v>698</v>
      </c>
      <c r="G743" s="22" t="s">
        <v>1877</v>
      </c>
      <c r="H743" s="22" t="s">
        <v>837</v>
      </c>
      <c r="I743" s="22">
        <v>1.0451589923139E13</v>
      </c>
      <c r="J743" s="22" t="s">
        <v>1021</v>
      </c>
      <c r="K743" s="24"/>
      <c r="L743" s="22" t="s">
        <v>839</v>
      </c>
      <c r="M743" s="22">
        <v>1.0</v>
      </c>
      <c r="N743" s="22" t="s">
        <v>819</v>
      </c>
      <c r="O743" s="22" t="s">
        <v>820</v>
      </c>
      <c r="P743" s="24"/>
      <c r="Q743" s="22" t="s">
        <v>90</v>
      </c>
      <c r="R743" s="22">
        <v>3.2731328282947E13</v>
      </c>
      <c r="S743" s="24"/>
      <c r="T743" s="24"/>
      <c r="U743" s="24"/>
      <c r="V743" s="22" t="s">
        <v>105</v>
      </c>
      <c r="W743" s="24"/>
      <c r="X743" s="24"/>
      <c r="Y743" s="30"/>
      <c r="Z743" s="30"/>
      <c r="AA743" s="33"/>
      <c r="AB743" s="33"/>
      <c r="AC743" s="30"/>
      <c r="AD743" s="30"/>
      <c r="AE743" s="33"/>
      <c r="AF743" s="31"/>
      <c r="AG743" s="30"/>
      <c r="AH743" s="30"/>
      <c r="AI743" s="31"/>
      <c r="AJ743" s="31"/>
      <c r="AK743" s="32"/>
    </row>
    <row r="744">
      <c r="A744" s="21" t="s">
        <v>96</v>
      </c>
      <c r="B744" s="22" t="s">
        <v>1878</v>
      </c>
      <c r="C744" s="22" t="s">
        <v>336</v>
      </c>
      <c r="D744" s="26">
        <v>45995.0</v>
      </c>
      <c r="E744" s="22" t="s">
        <v>266</v>
      </c>
      <c r="F744" s="22" t="s">
        <v>83</v>
      </c>
      <c r="G744" s="22" t="s">
        <v>1879</v>
      </c>
      <c r="H744" s="22" t="s">
        <v>96</v>
      </c>
      <c r="I744" s="22">
        <v>1.0452035141955E13</v>
      </c>
      <c r="J744" s="22" t="s">
        <v>1880</v>
      </c>
      <c r="K744" s="24"/>
      <c r="L744" s="22" t="s">
        <v>98</v>
      </c>
      <c r="M744" s="22">
        <v>1.0</v>
      </c>
      <c r="N744" s="22" t="s">
        <v>87</v>
      </c>
      <c r="O744" s="22" t="s">
        <v>88</v>
      </c>
      <c r="P744" s="24"/>
      <c r="Q744" s="22" t="s">
        <v>90</v>
      </c>
      <c r="R744" s="22">
        <v>3.2732332294467E13</v>
      </c>
      <c r="S744" s="24"/>
      <c r="T744" s="24"/>
      <c r="U744" s="24"/>
      <c r="V744" s="22" t="s">
        <v>55</v>
      </c>
      <c r="W744" s="24"/>
      <c r="X744" s="24"/>
      <c r="Y744" s="30"/>
      <c r="Z744" s="30"/>
      <c r="AA744" s="33"/>
      <c r="AB744" s="33"/>
      <c r="AC744" s="30"/>
      <c r="AD744" s="30"/>
      <c r="AE744" s="33"/>
      <c r="AF744" s="31"/>
      <c r="AG744" s="30"/>
      <c r="AH744" s="30"/>
      <c r="AI744" s="31"/>
      <c r="AJ744" s="31"/>
      <c r="AK744" s="32"/>
    </row>
    <row r="745">
      <c r="A745" s="21" t="s">
        <v>1217</v>
      </c>
      <c r="B745" s="22" t="s">
        <v>1280</v>
      </c>
      <c r="C745" s="22" t="s">
        <v>82</v>
      </c>
      <c r="D745" s="26">
        <v>45997.0</v>
      </c>
      <c r="E745" s="22" t="s">
        <v>149</v>
      </c>
      <c r="F745" s="22" t="s">
        <v>605</v>
      </c>
      <c r="G745" s="22" t="s">
        <v>1881</v>
      </c>
      <c r="H745" s="22" t="s">
        <v>1217</v>
      </c>
      <c r="I745" s="22">
        <v>1.0452084064579E13</v>
      </c>
      <c r="J745" s="22" t="s">
        <v>1282</v>
      </c>
      <c r="K745" s="24"/>
      <c r="L745" s="22" t="s">
        <v>1219</v>
      </c>
      <c r="M745" s="22">
        <v>1.0</v>
      </c>
      <c r="N745" s="22" t="s">
        <v>609</v>
      </c>
      <c r="O745" s="22" t="s">
        <v>610</v>
      </c>
      <c r="P745" s="24"/>
      <c r="Q745" s="22" t="s">
        <v>90</v>
      </c>
      <c r="R745" s="22">
        <v>3.2732442034499E13</v>
      </c>
      <c r="S745" s="24"/>
      <c r="T745" s="24"/>
      <c r="U745" s="24"/>
      <c r="V745" s="22" t="s">
        <v>91</v>
      </c>
      <c r="W745" s="24"/>
      <c r="X745" s="24"/>
      <c r="Y745" s="30"/>
      <c r="Z745" s="30"/>
      <c r="AA745" s="33"/>
      <c r="AB745" s="33"/>
      <c r="AC745" s="30"/>
      <c r="AD745" s="30"/>
      <c r="AE745" s="33"/>
      <c r="AF745" s="31"/>
      <c r="AG745" s="30"/>
      <c r="AH745" s="30"/>
      <c r="AI745" s="31"/>
      <c r="AJ745" s="31"/>
      <c r="AK745" s="32"/>
    </row>
    <row r="746">
      <c r="A746" s="21" t="s">
        <v>885</v>
      </c>
      <c r="B746" s="22" t="s">
        <v>1882</v>
      </c>
      <c r="C746" s="22" t="s">
        <v>82</v>
      </c>
      <c r="D746" s="26">
        <v>45997.0</v>
      </c>
      <c r="E746" s="22" t="s">
        <v>1400</v>
      </c>
      <c r="F746" s="22" t="s">
        <v>605</v>
      </c>
      <c r="G746" s="22" t="s">
        <v>1883</v>
      </c>
      <c r="H746" s="22" t="s">
        <v>885</v>
      </c>
      <c r="I746" s="22">
        <v>1.0452088226115E13</v>
      </c>
      <c r="J746" s="22" t="s">
        <v>1884</v>
      </c>
      <c r="K746" s="24"/>
      <c r="L746" s="22" t="s">
        <v>890</v>
      </c>
      <c r="M746" s="22">
        <v>1.0</v>
      </c>
      <c r="N746" s="22" t="s">
        <v>795</v>
      </c>
      <c r="O746" s="22" t="s">
        <v>796</v>
      </c>
      <c r="P746" s="24"/>
      <c r="Q746" s="22" t="s">
        <v>90</v>
      </c>
      <c r="R746" s="22">
        <v>3.2732452684099E13</v>
      </c>
      <c r="S746" s="24"/>
      <c r="T746" s="24"/>
      <c r="U746" s="24"/>
      <c r="V746" s="22" t="s">
        <v>127</v>
      </c>
      <c r="W746" s="24"/>
      <c r="X746" s="24"/>
      <c r="Y746" s="30"/>
      <c r="Z746" s="30"/>
      <c r="AA746" s="33"/>
      <c r="AB746" s="33"/>
      <c r="AC746" s="30"/>
      <c r="AD746" s="30"/>
      <c r="AE746" s="33"/>
      <c r="AF746" s="31"/>
      <c r="AG746" s="30"/>
      <c r="AH746" s="30"/>
      <c r="AI746" s="31"/>
      <c r="AJ746" s="31"/>
      <c r="AK746" s="32"/>
    </row>
    <row r="747">
      <c r="A747" s="21" t="s">
        <v>569</v>
      </c>
      <c r="B747" s="22" t="s">
        <v>516</v>
      </c>
      <c r="C747" s="22" t="s">
        <v>273</v>
      </c>
      <c r="D747" s="26">
        <v>45998.0</v>
      </c>
      <c r="E747" s="22" t="s">
        <v>134</v>
      </c>
      <c r="F747" s="22" t="s">
        <v>472</v>
      </c>
      <c r="G747" s="22" t="s">
        <v>1885</v>
      </c>
      <c r="H747" s="22" t="s">
        <v>569</v>
      </c>
      <c r="I747" s="22">
        <v>1.0452098449731E13</v>
      </c>
      <c r="J747" s="22" t="s">
        <v>518</v>
      </c>
      <c r="K747" s="24"/>
      <c r="L747" s="22" t="s">
        <v>571</v>
      </c>
      <c r="M747" s="22">
        <v>1.0</v>
      </c>
      <c r="N747" s="22" t="s">
        <v>534</v>
      </c>
      <c r="O747" s="22" t="s">
        <v>535</v>
      </c>
      <c r="P747" s="24"/>
      <c r="Q747" s="22" t="s">
        <v>90</v>
      </c>
      <c r="R747" s="22">
        <v>3.2732474999107E13</v>
      </c>
      <c r="S747" s="24"/>
      <c r="T747" s="24"/>
      <c r="U747" s="24"/>
      <c r="V747" s="22" t="s">
        <v>105</v>
      </c>
      <c r="W747" s="24"/>
      <c r="X747" s="24"/>
      <c r="Y747" s="30"/>
      <c r="Z747" s="30"/>
      <c r="AA747" s="33"/>
      <c r="AB747" s="33"/>
      <c r="AC747" s="30"/>
      <c r="AD747" s="30"/>
      <c r="AE747" s="33"/>
      <c r="AF747" s="31"/>
      <c r="AG747" s="30"/>
      <c r="AH747" s="30"/>
      <c r="AI747" s="31"/>
      <c r="AJ747" s="31"/>
      <c r="AK747" s="32"/>
    </row>
    <row r="748">
      <c r="A748" s="21" t="s">
        <v>423</v>
      </c>
      <c r="B748" s="22" t="s">
        <v>587</v>
      </c>
      <c r="C748" s="22" t="s">
        <v>273</v>
      </c>
      <c r="D748" s="26">
        <v>45998.0</v>
      </c>
      <c r="E748" s="22" t="s">
        <v>153</v>
      </c>
      <c r="F748" s="22" t="s">
        <v>369</v>
      </c>
      <c r="G748" s="22" t="s">
        <v>1886</v>
      </c>
      <c r="H748" s="22" t="s">
        <v>423</v>
      </c>
      <c r="I748" s="22">
        <v>1.0452109001027E13</v>
      </c>
      <c r="J748" s="22" t="s">
        <v>589</v>
      </c>
      <c r="K748" s="24"/>
      <c r="L748" s="22" t="s">
        <v>427</v>
      </c>
      <c r="M748" s="22">
        <v>1.0</v>
      </c>
      <c r="N748" s="22" t="s">
        <v>373</v>
      </c>
      <c r="O748" s="22" t="s">
        <v>374</v>
      </c>
      <c r="P748" s="24"/>
      <c r="Q748" s="22" t="s">
        <v>90</v>
      </c>
      <c r="R748" s="22">
        <v>3.2732500787523E13</v>
      </c>
      <c r="S748" s="24"/>
      <c r="T748" s="24"/>
      <c r="U748" s="24"/>
      <c r="V748" s="22" t="s">
        <v>95</v>
      </c>
      <c r="W748" s="24"/>
      <c r="X748" s="24"/>
      <c r="Y748" s="30"/>
      <c r="Z748" s="30"/>
      <c r="AA748" s="33"/>
      <c r="AB748" s="33"/>
      <c r="AC748" s="30"/>
      <c r="AD748" s="30"/>
      <c r="AE748" s="33"/>
      <c r="AF748" s="31"/>
      <c r="AG748" s="30"/>
      <c r="AH748" s="30"/>
      <c r="AI748" s="31"/>
      <c r="AJ748" s="31"/>
      <c r="AK748" s="32"/>
    </row>
    <row r="749">
      <c r="A749" s="21" t="s">
        <v>362</v>
      </c>
      <c r="B749" s="22" t="s">
        <v>1798</v>
      </c>
      <c r="C749" s="22" t="s">
        <v>82</v>
      </c>
      <c r="D749" s="26">
        <v>45997.0</v>
      </c>
      <c r="E749" s="22" t="s">
        <v>1624</v>
      </c>
      <c r="F749" s="22" t="s">
        <v>278</v>
      </c>
      <c r="G749" s="22" t="s">
        <v>1887</v>
      </c>
      <c r="H749" s="22" t="s">
        <v>362</v>
      </c>
      <c r="I749" s="22">
        <v>1.0452112933187E13</v>
      </c>
      <c r="J749" s="22" t="s">
        <v>1800</v>
      </c>
      <c r="K749" s="24"/>
      <c r="L749" s="22" t="s">
        <v>366</v>
      </c>
      <c r="M749" s="22">
        <v>1.0</v>
      </c>
      <c r="N749" s="22" t="s">
        <v>282</v>
      </c>
      <c r="O749" s="22" t="s">
        <v>283</v>
      </c>
      <c r="P749" s="24"/>
      <c r="Q749" s="22" t="s">
        <v>90</v>
      </c>
      <c r="R749" s="22">
        <v>3.2732509176131E13</v>
      </c>
      <c r="S749" s="24"/>
      <c r="T749" s="24"/>
      <c r="U749" s="24"/>
      <c r="V749" s="22" t="s">
        <v>54</v>
      </c>
      <c r="W749" s="24"/>
      <c r="X749" s="24"/>
      <c r="Y749" s="30"/>
      <c r="Z749" s="30"/>
      <c r="AA749" s="33"/>
      <c r="AB749" s="33"/>
      <c r="AC749" s="30"/>
      <c r="AD749" s="30"/>
      <c r="AE749" s="33"/>
      <c r="AF749" s="31"/>
      <c r="AG749" s="30"/>
      <c r="AH749" s="30"/>
      <c r="AI749" s="31"/>
      <c r="AJ749" s="31"/>
      <c r="AK749" s="32"/>
    </row>
    <row r="750">
      <c r="A750" s="21" t="s">
        <v>375</v>
      </c>
      <c r="B750" s="22" t="s">
        <v>512</v>
      </c>
      <c r="C750" s="22" t="s">
        <v>82</v>
      </c>
      <c r="D750" s="26">
        <v>45997.0</v>
      </c>
      <c r="E750" s="22" t="s">
        <v>153</v>
      </c>
      <c r="F750" s="22" t="s">
        <v>377</v>
      </c>
      <c r="G750" s="22" t="s">
        <v>1888</v>
      </c>
      <c r="H750" s="22" t="s">
        <v>375</v>
      </c>
      <c r="I750" s="22">
        <v>1.0452118536515E13</v>
      </c>
      <c r="J750" s="22" t="s">
        <v>514</v>
      </c>
      <c r="K750" s="24"/>
      <c r="L750" s="22" t="s">
        <v>380</v>
      </c>
      <c r="M750" s="22">
        <v>1.0</v>
      </c>
      <c r="N750" s="22" t="s">
        <v>381</v>
      </c>
      <c r="O750" s="22" t="s">
        <v>382</v>
      </c>
      <c r="P750" s="24"/>
      <c r="Q750" s="22" t="s">
        <v>90</v>
      </c>
      <c r="R750" s="22">
        <v>3.2732520710467E13</v>
      </c>
      <c r="S750" s="24"/>
      <c r="T750" s="24"/>
      <c r="U750" s="24"/>
      <c r="V750" s="22" t="s">
        <v>55</v>
      </c>
      <c r="W750" s="24"/>
      <c r="X750" s="24"/>
      <c r="Y750" s="30"/>
      <c r="Z750" s="30"/>
      <c r="AA750" s="33"/>
      <c r="AB750" s="33"/>
      <c r="AC750" s="30"/>
      <c r="AD750" s="30"/>
      <c r="AE750" s="33"/>
      <c r="AF750" s="31"/>
      <c r="AG750" s="30"/>
      <c r="AH750" s="30"/>
      <c r="AI750" s="31"/>
      <c r="AJ750" s="31"/>
      <c r="AK750" s="32"/>
    </row>
    <row r="751">
      <c r="A751" s="21" t="s">
        <v>580</v>
      </c>
      <c r="B751" s="22" t="s">
        <v>741</v>
      </c>
      <c r="C751" s="22" t="s">
        <v>82</v>
      </c>
      <c r="D751" s="26">
        <v>45997.0</v>
      </c>
      <c r="E751" s="22" t="s">
        <v>134</v>
      </c>
      <c r="F751" s="22" t="s">
        <v>303</v>
      </c>
      <c r="G751" s="22" t="s">
        <v>1889</v>
      </c>
      <c r="H751" s="22" t="s">
        <v>580</v>
      </c>
      <c r="I751" s="22">
        <v>1.0452131742019E13</v>
      </c>
      <c r="J751" s="22" t="s">
        <v>743</v>
      </c>
      <c r="K751" s="24"/>
      <c r="L751" s="22" t="s">
        <v>583</v>
      </c>
      <c r="M751" s="22">
        <v>1.0</v>
      </c>
      <c r="N751" s="22" t="s">
        <v>468</v>
      </c>
      <c r="O751" s="22" t="s">
        <v>469</v>
      </c>
      <c r="P751" s="24"/>
      <c r="Q751" s="22" t="s">
        <v>90</v>
      </c>
      <c r="R751" s="22">
        <v>3.2732552036675E13</v>
      </c>
      <c r="S751" s="24"/>
      <c r="T751" s="24"/>
      <c r="U751" s="24"/>
      <c r="V751" s="22" t="s">
        <v>175</v>
      </c>
      <c r="W751" s="24"/>
      <c r="X751" s="24"/>
      <c r="Y751" s="30"/>
      <c r="Z751" s="30"/>
      <c r="AA751" s="33"/>
      <c r="AB751" s="33"/>
      <c r="AC751" s="30"/>
      <c r="AD751" s="30"/>
      <c r="AE751" s="33"/>
      <c r="AF751" s="31"/>
      <c r="AG751" s="30"/>
      <c r="AH751" s="30"/>
      <c r="AI751" s="31"/>
      <c r="AJ751" s="31"/>
      <c r="AK751" s="32"/>
    </row>
    <row r="752">
      <c r="A752" s="21" t="s">
        <v>124</v>
      </c>
      <c r="B752" s="22" t="s">
        <v>1890</v>
      </c>
      <c r="C752" s="22" t="s">
        <v>202</v>
      </c>
      <c r="D752" s="26">
        <v>45996.0</v>
      </c>
      <c r="E752" s="22" t="s">
        <v>981</v>
      </c>
      <c r="F752" s="22" t="s">
        <v>83</v>
      </c>
      <c r="G752" s="22" t="s">
        <v>1891</v>
      </c>
      <c r="H752" s="22" t="s">
        <v>124</v>
      </c>
      <c r="I752" s="22">
        <v>1.0452142752067E13</v>
      </c>
      <c r="J752" s="22" t="s">
        <v>1892</v>
      </c>
      <c r="K752" s="24"/>
      <c r="L752" s="22" t="s">
        <v>126</v>
      </c>
      <c r="M752" s="22">
        <v>1.0</v>
      </c>
      <c r="N752" s="22" t="s">
        <v>103</v>
      </c>
      <c r="O752" s="22" t="s">
        <v>104</v>
      </c>
      <c r="P752" s="24"/>
      <c r="Q752" s="22" t="s">
        <v>90</v>
      </c>
      <c r="R752" s="22">
        <v>3.2732576579907E13</v>
      </c>
      <c r="S752" s="24"/>
      <c r="T752" s="24"/>
      <c r="U752" s="24"/>
      <c r="V752" s="22" t="s">
        <v>127</v>
      </c>
      <c r="W752" s="24"/>
      <c r="X752" s="24"/>
      <c r="Y752" s="30"/>
      <c r="Z752" s="30"/>
      <c r="AA752" s="33"/>
      <c r="AB752" s="33"/>
      <c r="AC752" s="30"/>
      <c r="AD752" s="30"/>
      <c r="AE752" s="33"/>
      <c r="AF752" s="31"/>
      <c r="AG752" s="30"/>
      <c r="AH752" s="30"/>
      <c r="AI752" s="31"/>
      <c r="AJ752" s="31"/>
      <c r="AK752" s="32"/>
    </row>
    <row r="753">
      <c r="A753" s="21" t="s">
        <v>709</v>
      </c>
      <c r="B753" s="22" t="s">
        <v>1000</v>
      </c>
      <c r="C753" s="22" t="s">
        <v>273</v>
      </c>
      <c r="D753" s="26">
        <v>45998.0</v>
      </c>
      <c r="E753" s="22" t="s">
        <v>134</v>
      </c>
      <c r="F753" s="22" t="s">
        <v>311</v>
      </c>
      <c r="G753" s="22" t="s">
        <v>1893</v>
      </c>
      <c r="H753" s="22" t="s">
        <v>709</v>
      </c>
      <c r="I753" s="22">
        <v>1.0452153368899E13</v>
      </c>
      <c r="J753" s="22" t="s">
        <v>1002</v>
      </c>
      <c r="K753" s="24"/>
      <c r="L753" s="22" t="s">
        <v>713</v>
      </c>
      <c r="M753" s="22">
        <v>1.0</v>
      </c>
      <c r="N753" s="22" t="s">
        <v>391</v>
      </c>
      <c r="O753" s="22" t="s">
        <v>392</v>
      </c>
      <c r="P753" s="24"/>
      <c r="Q753" s="22" t="s">
        <v>90</v>
      </c>
      <c r="R753" s="22">
        <v>3.2732603253059E13</v>
      </c>
      <c r="S753" s="24"/>
      <c r="T753" s="24"/>
      <c r="U753" s="24"/>
      <c r="V753" s="22" t="s">
        <v>91</v>
      </c>
      <c r="W753" s="24"/>
      <c r="X753" s="24"/>
      <c r="Y753" s="30"/>
      <c r="Z753" s="30"/>
      <c r="AA753" s="33"/>
      <c r="AB753" s="33"/>
      <c r="AC753" s="30"/>
      <c r="AD753" s="30"/>
      <c r="AE753" s="33"/>
      <c r="AF753" s="31"/>
      <c r="AG753" s="30"/>
      <c r="AH753" s="30"/>
      <c r="AI753" s="31"/>
      <c r="AJ753" s="31"/>
      <c r="AK753" s="32"/>
    </row>
    <row r="754">
      <c r="A754" s="21" t="s">
        <v>386</v>
      </c>
      <c r="B754" s="22" t="s">
        <v>1894</v>
      </c>
      <c r="C754" s="22" t="s">
        <v>82</v>
      </c>
      <c r="D754" s="26">
        <v>45997.0</v>
      </c>
      <c r="E754" s="22" t="s">
        <v>1895</v>
      </c>
      <c r="F754" s="22" t="s">
        <v>311</v>
      </c>
      <c r="G754" s="22" t="s">
        <v>1896</v>
      </c>
      <c r="H754" s="22" t="s">
        <v>386</v>
      </c>
      <c r="I754" s="22">
        <v>1.0451891749187E13</v>
      </c>
      <c r="J754" s="22" t="s">
        <v>1897</v>
      </c>
      <c r="K754" s="24"/>
      <c r="L754" s="22" t="s">
        <v>390</v>
      </c>
      <c r="M754" s="22">
        <v>1.0</v>
      </c>
      <c r="N754" s="22" t="s">
        <v>391</v>
      </c>
      <c r="O754" s="22" t="s">
        <v>392</v>
      </c>
      <c r="P754" s="24"/>
      <c r="Q754" s="22" t="s">
        <v>90</v>
      </c>
      <c r="R754" s="22">
        <v>3.2732004811075E13</v>
      </c>
      <c r="S754" s="24"/>
      <c r="T754" s="24"/>
      <c r="U754" s="24"/>
      <c r="V754" s="22" t="s">
        <v>55</v>
      </c>
      <c r="W754" s="24"/>
      <c r="X754" s="24"/>
      <c r="Y754" s="30"/>
      <c r="Z754" s="30"/>
      <c r="AA754" s="33"/>
      <c r="AB754" s="33"/>
      <c r="AC754" s="30"/>
      <c r="AD754" s="30"/>
      <c r="AE754" s="33"/>
      <c r="AF754" s="31"/>
      <c r="AG754" s="30"/>
      <c r="AH754" s="30"/>
      <c r="AI754" s="31"/>
      <c r="AJ754" s="31"/>
      <c r="AK754" s="32"/>
    </row>
    <row r="755">
      <c r="A755" s="21" t="s">
        <v>80</v>
      </c>
      <c r="B755" s="22" t="s">
        <v>1348</v>
      </c>
      <c r="C755" s="22" t="s">
        <v>287</v>
      </c>
      <c r="D755" s="26">
        <v>45994.0</v>
      </c>
      <c r="E755" s="22" t="s">
        <v>153</v>
      </c>
      <c r="F755" s="22" t="s">
        <v>83</v>
      </c>
      <c r="G755" s="22" t="s">
        <v>1898</v>
      </c>
      <c r="H755" s="22" t="s">
        <v>80</v>
      </c>
      <c r="I755" s="22">
        <v>1.0452171391299E13</v>
      </c>
      <c r="J755" s="22" t="s">
        <v>1350</v>
      </c>
      <c r="K755" s="24"/>
      <c r="L755" s="22" t="s">
        <v>86</v>
      </c>
      <c r="M755" s="22">
        <v>1.0</v>
      </c>
      <c r="N755" s="22" t="s">
        <v>87</v>
      </c>
      <c r="O755" s="22" t="s">
        <v>88</v>
      </c>
      <c r="P755" s="24"/>
      <c r="Q755" s="22" t="s">
        <v>90</v>
      </c>
      <c r="R755" s="22">
        <v>3.2732645556547E13</v>
      </c>
      <c r="S755" s="24"/>
      <c r="T755" s="24"/>
      <c r="U755" s="24"/>
      <c r="V755" s="22" t="s">
        <v>91</v>
      </c>
      <c r="W755" s="24"/>
      <c r="X755" s="24"/>
      <c r="Y755" s="30"/>
      <c r="Z755" s="30"/>
      <c r="AA755" s="33"/>
      <c r="AB755" s="33"/>
      <c r="AC755" s="30"/>
      <c r="AD755" s="30"/>
      <c r="AE755" s="33"/>
      <c r="AF755" s="31"/>
      <c r="AG755" s="30"/>
      <c r="AH755" s="30"/>
      <c r="AI755" s="31"/>
      <c r="AJ755" s="31"/>
      <c r="AK755" s="32"/>
    </row>
    <row r="756">
      <c r="A756" s="21" t="s">
        <v>1899</v>
      </c>
      <c r="B756" s="22" t="s">
        <v>909</v>
      </c>
      <c r="C756" s="22" t="s">
        <v>82</v>
      </c>
      <c r="D756" s="23">
        <v>46004.0</v>
      </c>
      <c r="E756" s="22" t="s">
        <v>134</v>
      </c>
      <c r="F756" s="22" t="s">
        <v>203</v>
      </c>
      <c r="G756" s="22" t="s">
        <v>1900</v>
      </c>
      <c r="H756" s="22" t="s">
        <v>1899</v>
      </c>
      <c r="I756" s="22">
        <v>1.0452174668099E13</v>
      </c>
      <c r="J756" s="22" t="s">
        <v>911</v>
      </c>
      <c r="K756" s="24"/>
      <c r="L756" s="22" t="s">
        <v>1901</v>
      </c>
      <c r="M756" s="22">
        <v>1.0</v>
      </c>
      <c r="N756" s="22" t="s">
        <v>900</v>
      </c>
      <c r="O756" s="22" t="s">
        <v>901</v>
      </c>
      <c r="P756" s="24"/>
      <c r="Q756" s="22" t="s">
        <v>90</v>
      </c>
      <c r="R756" s="22">
        <v>3.2732653027651E13</v>
      </c>
      <c r="S756" s="24"/>
      <c r="T756" s="24"/>
      <c r="U756" s="24"/>
      <c r="V756" s="22" t="s">
        <v>105</v>
      </c>
      <c r="W756" s="24"/>
      <c r="X756" s="24"/>
      <c r="Y756" s="30"/>
      <c r="Z756" s="30"/>
      <c r="AA756" s="33"/>
      <c r="AB756" s="33"/>
      <c r="AC756" s="30"/>
      <c r="AD756" s="30"/>
      <c r="AE756" s="33"/>
      <c r="AF756" s="31"/>
      <c r="AG756" s="30"/>
      <c r="AH756" s="30"/>
      <c r="AI756" s="31"/>
      <c r="AJ756" s="31"/>
      <c r="AK756" s="32"/>
    </row>
    <row r="757">
      <c r="A757" s="21" t="s">
        <v>209</v>
      </c>
      <c r="B757" s="22" t="s">
        <v>393</v>
      </c>
      <c r="C757" s="22" t="s">
        <v>82</v>
      </c>
      <c r="D757" s="26">
        <v>45997.0</v>
      </c>
      <c r="E757" s="22" t="s">
        <v>187</v>
      </c>
      <c r="F757" s="22" t="s">
        <v>111</v>
      </c>
      <c r="G757" s="22" t="s">
        <v>1902</v>
      </c>
      <c r="H757" s="22" t="s">
        <v>209</v>
      </c>
      <c r="I757" s="22">
        <v>1.0452188496195E13</v>
      </c>
      <c r="J757" s="22" t="s">
        <v>395</v>
      </c>
      <c r="K757" s="24"/>
      <c r="L757" s="22" t="s">
        <v>214</v>
      </c>
      <c r="M757" s="22">
        <v>1.0</v>
      </c>
      <c r="N757" s="22" t="s">
        <v>115</v>
      </c>
      <c r="O757" s="22" t="s">
        <v>116</v>
      </c>
      <c r="P757" s="24"/>
      <c r="Q757" s="22" t="s">
        <v>90</v>
      </c>
      <c r="R757" s="22">
        <v>3.2732684026179E13</v>
      </c>
      <c r="S757" s="24"/>
      <c r="T757" s="24"/>
      <c r="U757" s="24"/>
      <c r="V757" s="22" t="s">
        <v>91</v>
      </c>
      <c r="W757" s="24"/>
      <c r="X757" s="24"/>
      <c r="Y757" s="30"/>
      <c r="Z757" s="30"/>
      <c r="AA757" s="33"/>
      <c r="AB757" s="33"/>
      <c r="AC757" s="30"/>
      <c r="AD757" s="30"/>
      <c r="AE757" s="33"/>
      <c r="AF757" s="31"/>
      <c r="AG757" s="30"/>
      <c r="AH757" s="30"/>
      <c r="AI757" s="31"/>
      <c r="AJ757" s="31"/>
      <c r="AK757" s="32"/>
    </row>
    <row r="758">
      <c r="A758" s="21" t="s">
        <v>837</v>
      </c>
      <c r="B758" s="22" t="s">
        <v>1903</v>
      </c>
      <c r="C758" s="22" t="s">
        <v>82</v>
      </c>
      <c r="D758" s="26">
        <v>45997.0</v>
      </c>
      <c r="E758" s="22" t="s">
        <v>734</v>
      </c>
      <c r="F758" s="22" t="s">
        <v>698</v>
      </c>
      <c r="G758" s="22" t="s">
        <v>1904</v>
      </c>
      <c r="H758" s="22" t="s">
        <v>837</v>
      </c>
      <c r="I758" s="22">
        <v>1.0452194754883E13</v>
      </c>
      <c r="J758" s="22" t="s">
        <v>1905</v>
      </c>
      <c r="K758" s="24"/>
      <c r="L758" s="22" t="s">
        <v>839</v>
      </c>
      <c r="M758" s="22">
        <v>1.0</v>
      </c>
      <c r="N758" s="22" t="s">
        <v>819</v>
      </c>
      <c r="O758" s="22" t="s">
        <v>820</v>
      </c>
      <c r="P758" s="24"/>
      <c r="Q758" s="22" t="s">
        <v>90</v>
      </c>
      <c r="R758" s="22">
        <v>3.2732698607939E13</v>
      </c>
      <c r="S758" s="24"/>
      <c r="T758" s="24"/>
      <c r="U758" s="24"/>
      <c r="V758" s="22" t="s">
        <v>105</v>
      </c>
      <c r="W758" s="24"/>
      <c r="X758" s="24"/>
      <c r="Y758" s="30"/>
      <c r="Z758" s="30"/>
      <c r="AA758" s="33"/>
      <c r="AB758" s="33"/>
      <c r="AC758" s="30"/>
      <c r="AD758" s="30"/>
      <c r="AE758" s="33"/>
      <c r="AF758" s="31"/>
      <c r="AG758" s="30"/>
      <c r="AH758" s="30"/>
      <c r="AI758" s="31"/>
      <c r="AJ758" s="31"/>
      <c r="AK758" s="32"/>
    </row>
    <row r="759">
      <c r="A759" s="21" t="s">
        <v>1554</v>
      </c>
      <c r="B759" s="22" t="s">
        <v>1828</v>
      </c>
      <c r="C759" s="22" t="s">
        <v>82</v>
      </c>
      <c r="D759" s="26">
        <v>45997.0</v>
      </c>
      <c r="E759" s="22" t="s">
        <v>1822</v>
      </c>
      <c r="F759" s="22" t="s">
        <v>1466</v>
      </c>
      <c r="G759" s="22" t="s">
        <v>1906</v>
      </c>
      <c r="H759" s="22" t="s">
        <v>1554</v>
      </c>
      <c r="I759" s="22">
        <v>1.0452209893699E13</v>
      </c>
      <c r="J759" s="22" t="s">
        <v>1824</v>
      </c>
      <c r="K759" s="24"/>
      <c r="L759" s="22" t="s">
        <v>1556</v>
      </c>
      <c r="M759" s="22">
        <v>1.0</v>
      </c>
      <c r="N759" s="22" t="s">
        <v>1470</v>
      </c>
      <c r="O759" s="22" t="s">
        <v>1471</v>
      </c>
      <c r="P759" s="24"/>
      <c r="Q759" s="22" t="s">
        <v>90</v>
      </c>
      <c r="R759" s="22">
        <v>3.2732733112643E13</v>
      </c>
      <c r="S759" s="24"/>
      <c r="T759" s="24"/>
      <c r="U759" s="24"/>
      <c r="V759" s="22" t="s">
        <v>91</v>
      </c>
      <c r="W759" s="24"/>
      <c r="X759" s="24"/>
      <c r="Y759" s="30"/>
      <c r="Z759" s="30"/>
      <c r="AA759" s="33"/>
      <c r="AB759" s="33"/>
      <c r="AC759" s="30"/>
      <c r="AD759" s="30"/>
      <c r="AE759" s="33"/>
      <c r="AF759" s="31"/>
      <c r="AG759" s="30"/>
      <c r="AH759" s="30"/>
      <c r="AI759" s="31"/>
      <c r="AJ759" s="31"/>
      <c r="AK759" s="32"/>
    </row>
    <row r="760">
      <c r="A760" s="21" t="s">
        <v>1180</v>
      </c>
      <c r="B760" s="22" t="s">
        <v>1907</v>
      </c>
      <c r="C760" s="22" t="s">
        <v>82</v>
      </c>
      <c r="D760" s="26">
        <v>45997.0</v>
      </c>
      <c r="E760" s="22" t="s">
        <v>181</v>
      </c>
      <c r="F760" s="22" t="s">
        <v>623</v>
      </c>
      <c r="G760" s="22" t="s">
        <v>1908</v>
      </c>
      <c r="H760" s="22" t="s">
        <v>1180</v>
      </c>
      <c r="I760" s="22">
        <v>1.0452210090307E13</v>
      </c>
      <c r="J760" s="22" t="s">
        <v>1909</v>
      </c>
      <c r="K760" s="24"/>
      <c r="L760" s="22" t="s">
        <v>1182</v>
      </c>
      <c r="M760" s="22">
        <v>1.0</v>
      </c>
      <c r="N760" s="22" t="s">
        <v>1088</v>
      </c>
      <c r="O760" s="22" t="s">
        <v>1089</v>
      </c>
      <c r="P760" s="24"/>
      <c r="Q760" s="22" t="s">
        <v>90</v>
      </c>
      <c r="R760" s="22">
        <v>3.2732733407555E13</v>
      </c>
      <c r="S760" s="24"/>
      <c r="T760" s="24"/>
      <c r="U760" s="24"/>
      <c r="V760" s="22" t="s">
        <v>105</v>
      </c>
      <c r="W760" s="24"/>
      <c r="X760" s="24"/>
      <c r="Y760" s="30"/>
      <c r="Z760" s="30"/>
      <c r="AA760" s="33"/>
      <c r="AB760" s="33"/>
      <c r="AC760" s="30"/>
      <c r="AD760" s="30"/>
      <c r="AE760" s="33"/>
      <c r="AF760" s="31"/>
      <c r="AG760" s="30"/>
      <c r="AH760" s="30"/>
      <c r="AI760" s="31"/>
      <c r="AJ760" s="31"/>
      <c r="AK760" s="32"/>
    </row>
    <row r="761">
      <c r="A761" s="21" t="s">
        <v>686</v>
      </c>
      <c r="B761" s="22" t="s">
        <v>450</v>
      </c>
      <c r="C761" s="22" t="s">
        <v>82</v>
      </c>
      <c r="D761" s="26">
        <v>45997.0</v>
      </c>
      <c r="E761" s="22" t="s">
        <v>134</v>
      </c>
      <c r="F761" s="22" t="s">
        <v>451</v>
      </c>
      <c r="G761" s="22" t="s">
        <v>1910</v>
      </c>
      <c r="H761" s="22" t="s">
        <v>686</v>
      </c>
      <c r="I761" s="22">
        <v>1.0452238696771E13</v>
      </c>
      <c r="J761" s="22" t="s">
        <v>453</v>
      </c>
      <c r="K761" s="24"/>
      <c r="L761" s="22" t="s">
        <v>688</v>
      </c>
      <c r="M761" s="22">
        <v>1.0</v>
      </c>
      <c r="N761" s="22" t="s">
        <v>455</v>
      </c>
      <c r="O761" s="22" t="s">
        <v>456</v>
      </c>
      <c r="P761" s="24"/>
      <c r="Q761" s="22" t="s">
        <v>90</v>
      </c>
      <c r="R761" s="22">
        <v>3.2732799009091E13</v>
      </c>
      <c r="S761" s="24"/>
      <c r="T761" s="24"/>
      <c r="U761" s="24"/>
      <c r="V761" s="22" t="s">
        <v>91</v>
      </c>
      <c r="W761" s="24"/>
      <c r="X761" s="24"/>
      <c r="Y761" s="30"/>
      <c r="Z761" s="30"/>
      <c r="AA761" s="33"/>
      <c r="AB761" s="33"/>
      <c r="AC761" s="30"/>
      <c r="AD761" s="30"/>
      <c r="AE761" s="33"/>
      <c r="AF761" s="31"/>
      <c r="AG761" s="30"/>
      <c r="AH761" s="30"/>
      <c r="AI761" s="31"/>
      <c r="AJ761" s="31"/>
      <c r="AK761" s="32"/>
    </row>
    <row r="762">
      <c r="A762" s="21" t="s">
        <v>1180</v>
      </c>
      <c r="B762" s="22" t="s">
        <v>763</v>
      </c>
      <c r="C762" s="22" t="s">
        <v>82</v>
      </c>
      <c r="D762" s="26">
        <v>45997.0</v>
      </c>
      <c r="E762" s="22" t="s">
        <v>149</v>
      </c>
      <c r="F762" s="22" t="s">
        <v>623</v>
      </c>
      <c r="G762" s="22" t="s">
        <v>1911</v>
      </c>
      <c r="H762" s="22" t="s">
        <v>1180</v>
      </c>
      <c r="I762" s="22">
        <v>1.0452255965507E13</v>
      </c>
      <c r="J762" s="22" t="s">
        <v>765</v>
      </c>
      <c r="K762" s="24"/>
      <c r="L762" s="22" t="s">
        <v>1182</v>
      </c>
      <c r="M762" s="22">
        <v>1.0</v>
      </c>
      <c r="N762" s="22" t="s">
        <v>1088</v>
      </c>
      <c r="O762" s="22" t="s">
        <v>1089</v>
      </c>
      <c r="P762" s="24"/>
      <c r="Q762" s="22" t="s">
        <v>90</v>
      </c>
      <c r="R762" s="22">
        <v>3.2732839739715E13</v>
      </c>
      <c r="S762" s="24"/>
      <c r="T762" s="24"/>
      <c r="U762" s="24"/>
      <c r="V762" s="22" t="s">
        <v>105</v>
      </c>
      <c r="W762" s="24"/>
      <c r="X762" s="24"/>
      <c r="Y762" s="30"/>
      <c r="Z762" s="30"/>
      <c r="AA762" s="33"/>
      <c r="AB762" s="33"/>
      <c r="AC762" s="30"/>
      <c r="AD762" s="30"/>
      <c r="AE762" s="33"/>
      <c r="AF762" s="31"/>
      <c r="AG762" s="30"/>
      <c r="AH762" s="30"/>
      <c r="AI762" s="31"/>
      <c r="AJ762" s="31"/>
      <c r="AK762" s="32"/>
    </row>
    <row r="763">
      <c r="A763" s="21" t="s">
        <v>141</v>
      </c>
      <c r="B763" s="22" t="s">
        <v>1912</v>
      </c>
      <c r="C763" s="22" t="s">
        <v>202</v>
      </c>
      <c r="D763" s="26">
        <v>45996.0</v>
      </c>
      <c r="E763" s="22" t="s">
        <v>153</v>
      </c>
      <c r="F763" s="22" t="s">
        <v>83</v>
      </c>
      <c r="G763" s="22" t="s">
        <v>1913</v>
      </c>
      <c r="H763" s="22" t="s">
        <v>141</v>
      </c>
      <c r="I763" s="22">
        <v>1.0452034748739E13</v>
      </c>
      <c r="J763" s="22" t="s">
        <v>1914</v>
      </c>
      <c r="K763" s="24"/>
      <c r="L763" s="22" t="s">
        <v>143</v>
      </c>
      <c r="M763" s="22">
        <v>1.0</v>
      </c>
      <c r="N763" s="22" t="s">
        <v>87</v>
      </c>
      <c r="O763" s="22" t="s">
        <v>88</v>
      </c>
      <c r="P763" s="24"/>
      <c r="Q763" s="22" t="s">
        <v>90</v>
      </c>
      <c r="R763" s="22">
        <v>3.2732331540803E13</v>
      </c>
      <c r="S763" s="24"/>
      <c r="T763" s="24"/>
      <c r="U763" s="24"/>
      <c r="V763" s="22" t="s">
        <v>54</v>
      </c>
      <c r="W763" s="24"/>
      <c r="X763" s="24"/>
      <c r="Y763" s="30"/>
      <c r="Z763" s="30"/>
      <c r="AA763" s="33"/>
      <c r="AB763" s="33"/>
      <c r="AC763" s="30"/>
      <c r="AD763" s="30"/>
      <c r="AE763" s="33"/>
      <c r="AF763" s="31"/>
      <c r="AG763" s="30"/>
      <c r="AH763" s="30"/>
      <c r="AI763" s="31"/>
      <c r="AJ763" s="31"/>
      <c r="AK763" s="32"/>
    </row>
    <row r="764">
      <c r="A764" s="21" t="s">
        <v>470</v>
      </c>
      <c r="B764" s="22" t="s">
        <v>471</v>
      </c>
      <c r="C764" s="22" t="s">
        <v>82</v>
      </c>
      <c r="D764" s="26">
        <v>45997.0</v>
      </c>
      <c r="E764" s="22" t="s">
        <v>134</v>
      </c>
      <c r="F764" s="22" t="s">
        <v>472</v>
      </c>
      <c r="G764" s="22" t="s">
        <v>1915</v>
      </c>
      <c r="H764" s="22" t="s">
        <v>470</v>
      </c>
      <c r="I764" s="22">
        <v>1.0452322713923E13</v>
      </c>
      <c r="J764" s="22" t="s">
        <v>474</v>
      </c>
      <c r="K764" s="24"/>
      <c r="L764" s="22" t="s">
        <v>475</v>
      </c>
      <c r="M764" s="22">
        <v>1.0</v>
      </c>
      <c r="N764" s="22" t="s">
        <v>476</v>
      </c>
      <c r="O764" s="22" t="s">
        <v>477</v>
      </c>
      <c r="P764" s="24"/>
      <c r="Q764" s="22" t="s">
        <v>90</v>
      </c>
      <c r="R764" s="22">
        <v>3.2732990865731E13</v>
      </c>
      <c r="S764" s="24"/>
      <c r="T764" s="24"/>
      <c r="U764" s="24"/>
      <c r="V764" s="22" t="s">
        <v>91</v>
      </c>
      <c r="W764" s="24"/>
      <c r="X764" s="24"/>
      <c r="Y764" s="30"/>
      <c r="Z764" s="30"/>
      <c r="AA764" s="33"/>
      <c r="AB764" s="33"/>
      <c r="AC764" s="30"/>
      <c r="AD764" s="30"/>
      <c r="AE764" s="33"/>
      <c r="AF764" s="31"/>
      <c r="AG764" s="30"/>
      <c r="AH764" s="30"/>
      <c r="AI764" s="31"/>
      <c r="AJ764" s="31"/>
      <c r="AK764" s="32"/>
    </row>
    <row r="765">
      <c r="A765" s="21" t="s">
        <v>478</v>
      </c>
      <c r="B765" s="22" t="s">
        <v>1916</v>
      </c>
      <c r="C765" s="22" t="s">
        <v>82</v>
      </c>
      <c r="D765" s="23">
        <v>46004.0</v>
      </c>
      <c r="E765" s="22" t="s">
        <v>149</v>
      </c>
      <c r="F765" s="22" t="s">
        <v>472</v>
      </c>
      <c r="G765" s="22" t="s">
        <v>1917</v>
      </c>
      <c r="H765" s="22" t="s">
        <v>478</v>
      </c>
      <c r="I765" s="22">
        <v>1.0452338049347E13</v>
      </c>
      <c r="J765" s="22" t="s">
        <v>1918</v>
      </c>
      <c r="K765" s="24"/>
      <c r="L765" s="22" t="s">
        <v>483</v>
      </c>
      <c r="M765" s="22">
        <v>1.0</v>
      </c>
      <c r="N765" s="22" t="s">
        <v>476</v>
      </c>
      <c r="O765" s="22" t="s">
        <v>477</v>
      </c>
      <c r="P765" s="24"/>
      <c r="Q765" s="22" t="s">
        <v>90</v>
      </c>
      <c r="R765" s="22">
        <v>3.2733027336515E13</v>
      </c>
      <c r="S765" s="24"/>
      <c r="T765" s="24"/>
      <c r="U765" s="24"/>
      <c r="V765" s="22" t="s">
        <v>95</v>
      </c>
      <c r="W765" s="24"/>
      <c r="X765" s="24"/>
      <c r="Y765" s="30"/>
      <c r="Z765" s="30"/>
      <c r="AA765" s="33"/>
      <c r="AB765" s="33"/>
      <c r="AC765" s="30"/>
      <c r="AD765" s="30"/>
      <c r="AE765" s="33"/>
      <c r="AF765" s="31"/>
      <c r="AG765" s="30"/>
      <c r="AH765" s="30"/>
      <c r="AI765" s="31"/>
      <c r="AJ765" s="31"/>
      <c r="AK765" s="32"/>
    </row>
    <row r="766">
      <c r="A766" s="21" t="s">
        <v>664</v>
      </c>
      <c r="B766" s="22" t="s">
        <v>471</v>
      </c>
      <c r="C766" s="22" t="s">
        <v>82</v>
      </c>
      <c r="D766" s="26">
        <v>45997.0</v>
      </c>
      <c r="E766" s="22" t="s">
        <v>134</v>
      </c>
      <c r="F766" s="22" t="s">
        <v>472</v>
      </c>
      <c r="G766" s="22" t="s">
        <v>1919</v>
      </c>
      <c r="H766" s="22" t="s">
        <v>664</v>
      </c>
      <c r="I766" s="22">
        <v>1.0452346405187E13</v>
      </c>
      <c r="J766" s="22" t="s">
        <v>474</v>
      </c>
      <c r="K766" s="24"/>
      <c r="L766" s="22" t="s">
        <v>668</v>
      </c>
      <c r="M766" s="22">
        <v>1.0</v>
      </c>
      <c r="N766" s="22" t="s">
        <v>534</v>
      </c>
      <c r="O766" s="22" t="s">
        <v>535</v>
      </c>
      <c r="P766" s="24"/>
      <c r="Q766" s="22" t="s">
        <v>90</v>
      </c>
      <c r="R766" s="22">
        <v>3.2733046210883E13</v>
      </c>
      <c r="S766" s="24"/>
      <c r="T766" s="24"/>
      <c r="U766" s="24"/>
      <c r="V766" s="22" t="s">
        <v>175</v>
      </c>
      <c r="W766" s="24"/>
      <c r="X766" s="24"/>
      <c r="Y766" s="30"/>
      <c r="Z766" s="30"/>
      <c r="AA766" s="33"/>
      <c r="AB766" s="33"/>
      <c r="AC766" s="30"/>
      <c r="AD766" s="30"/>
      <c r="AE766" s="33"/>
      <c r="AF766" s="31"/>
      <c r="AG766" s="30"/>
      <c r="AH766" s="30"/>
      <c r="AI766" s="31"/>
      <c r="AJ766" s="31"/>
      <c r="AK766" s="32"/>
    </row>
    <row r="767">
      <c r="A767" s="21" t="s">
        <v>885</v>
      </c>
      <c r="B767" s="22" t="s">
        <v>1280</v>
      </c>
      <c r="C767" s="22" t="s">
        <v>82</v>
      </c>
      <c r="D767" s="26">
        <v>45997.0</v>
      </c>
      <c r="E767" s="22" t="s">
        <v>149</v>
      </c>
      <c r="F767" s="22" t="s">
        <v>605</v>
      </c>
      <c r="G767" s="22" t="s">
        <v>1920</v>
      </c>
      <c r="H767" s="22" t="s">
        <v>885</v>
      </c>
      <c r="I767" s="22">
        <v>1.0452381794627E13</v>
      </c>
      <c r="J767" s="22" t="s">
        <v>1282</v>
      </c>
      <c r="K767" s="24"/>
      <c r="L767" s="22" t="s">
        <v>890</v>
      </c>
      <c r="M767" s="22">
        <v>1.0</v>
      </c>
      <c r="N767" s="22" t="s">
        <v>795</v>
      </c>
      <c r="O767" s="22" t="s">
        <v>796</v>
      </c>
      <c r="P767" s="24"/>
      <c r="Q767" s="22" t="s">
        <v>90</v>
      </c>
      <c r="R767" s="22">
        <v>3.2733135700291E13</v>
      </c>
      <c r="S767" s="24"/>
      <c r="T767" s="24"/>
      <c r="U767" s="24"/>
      <c r="V767" s="22" t="s">
        <v>127</v>
      </c>
      <c r="W767" s="24"/>
      <c r="X767" s="24"/>
      <c r="Y767" s="30"/>
      <c r="Z767" s="30"/>
      <c r="AA767" s="33"/>
      <c r="AB767" s="33"/>
      <c r="AC767" s="30"/>
      <c r="AD767" s="30"/>
      <c r="AE767" s="33"/>
      <c r="AF767" s="31"/>
      <c r="AG767" s="30"/>
      <c r="AH767" s="30"/>
      <c r="AI767" s="31"/>
      <c r="AJ767" s="31"/>
      <c r="AK767" s="32"/>
    </row>
    <row r="768">
      <c r="A768" s="21" t="s">
        <v>401</v>
      </c>
      <c r="B768" s="22" t="s">
        <v>318</v>
      </c>
      <c r="C768" s="22" t="s">
        <v>82</v>
      </c>
      <c r="D768" s="26">
        <v>45997.0</v>
      </c>
      <c r="E768" s="22" t="s">
        <v>196</v>
      </c>
      <c r="F768" s="22" t="s">
        <v>319</v>
      </c>
      <c r="G768" s="22" t="s">
        <v>1921</v>
      </c>
      <c r="H768" s="22" t="s">
        <v>401</v>
      </c>
      <c r="I768" s="22">
        <v>1.0452433994051E13</v>
      </c>
      <c r="J768" s="22" t="s">
        <v>527</v>
      </c>
      <c r="K768" s="24"/>
      <c r="L768" s="22" t="s">
        <v>403</v>
      </c>
      <c r="M768" s="22">
        <v>1.0</v>
      </c>
      <c r="N768" s="22" t="s">
        <v>404</v>
      </c>
      <c r="O768" s="22" t="s">
        <v>405</v>
      </c>
      <c r="P768" s="24"/>
      <c r="Q768" s="22" t="s">
        <v>90</v>
      </c>
      <c r="R768" s="22">
        <v>3.2733271654723E13</v>
      </c>
      <c r="S768" s="24"/>
      <c r="T768" s="24"/>
      <c r="U768" s="24"/>
      <c r="V768" s="22" t="s">
        <v>127</v>
      </c>
      <c r="W768" s="24"/>
      <c r="X768" s="24"/>
      <c r="Y768" s="30"/>
      <c r="Z768" s="30"/>
      <c r="AA768" s="33"/>
      <c r="AB768" s="33"/>
      <c r="AC768" s="30"/>
      <c r="AD768" s="30"/>
      <c r="AE768" s="33"/>
      <c r="AF768" s="31"/>
      <c r="AG768" s="30"/>
      <c r="AH768" s="30"/>
      <c r="AI768" s="31"/>
      <c r="AJ768" s="31"/>
      <c r="AK768" s="32"/>
    </row>
    <row r="769">
      <c r="A769" s="21" t="s">
        <v>470</v>
      </c>
      <c r="B769" s="22" t="s">
        <v>471</v>
      </c>
      <c r="C769" s="22" t="s">
        <v>82</v>
      </c>
      <c r="D769" s="26">
        <v>45997.0</v>
      </c>
      <c r="E769" s="22" t="s">
        <v>134</v>
      </c>
      <c r="F769" s="22" t="s">
        <v>472</v>
      </c>
      <c r="G769" s="22" t="s">
        <v>1922</v>
      </c>
      <c r="H769" s="22" t="s">
        <v>470</v>
      </c>
      <c r="I769" s="22">
        <v>1.0452165165379E13</v>
      </c>
      <c r="J769" s="22" t="s">
        <v>474</v>
      </c>
      <c r="K769" s="24"/>
      <c r="L769" s="22" t="s">
        <v>475</v>
      </c>
      <c r="M769" s="22">
        <v>1.0</v>
      </c>
      <c r="N769" s="22" t="s">
        <v>476</v>
      </c>
      <c r="O769" s="22" t="s">
        <v>477</v>
      </c>
      <c r="P769" s="24"/>
      <c r="Q769" s="22" t="s">
        <v>90</v>
      </c>
      <c r="R769" s="22">
        <v>3.2732628877635E13</v>
      </c>
      <c r="S769" s="24"/>
      <c r="T769" s="24"/>
      <c r="U769" s="24"/>
      <c r="V769" s="22" t="s">
        <v>91</v>
      </c>
      <c r="W769" s="24"/>
      <c r="X769" s="24"/>
      <c r="Y769" s="30"/>
      <c r="Z769" s="30"/>
      <c r="AA769" s="33"/>
      <c r="AB769" s="33"/>
      <c r="AC769" s="30"/>
      <c r="AD769" s="30"/>
      <c r="AE769" s="33"/>
      <c r="AF769" s="31"/>
      <c r="AG769" s="30"/>
      <c r="AH769" s="30"/>
      <c r="AI769" s="31"/>
      <c r="AJ769" s="31"/>
      <c r="AK769" s="32"/>
    </row>
    <row r="770">
      <c r="A770" s="21" t="s">
        <v>354</v>
      </c>
      <c r="B770" s="22" t="s">
        <v>1923</v>
      </c>
      <c r="C770" s="22" t="s">
        <v>273</v>
      </c>
      <c r="D770" s="23">
        <v>45991.0</v>
      </c>
      <c r="E770" s="22" t="s">
        <v>252</v>
      </c>
      <c r="F770" s="22" t="s">
        <v>356</v>
      </c>
      <c r="G770" s="22" t="s">
        <v>1924</v>
      </c>
      <c r="H770" s="22" t="s">
        <v>354</v>
      </c>
      <c r="I770" s="22">
        <v>1.0452302070083E13</v>
      </c>
      <c r="J770" s="22" t="s">
        <v>1925</v>
      </c>
      <c r="K770" s="24"/>
      <c r="L770" s="22" t="s">
        <v>359</v>
      </c>
      <c r="M770" s="22">
        <v>1.0</v>
      </c>
      <c r="N770" s="22" t="s">
        <v>360</v>
      </c>
      <c r="O770" s="22" t="s">
        <v>361</v>
      </c>
      <c r="P770" s="24"/>
      <c r="Q770" s="22" t="s">
        <v>90</v>
      </c>
      <c r="R770" s="22">
        <v>3.2732944138563E13</v>
      </c>
      <c r="S770" s="24"/>
      <c r="T770" s="24"/>
      <c r="U770" s="24"/>
      <c r="V770" s="22" t="s">
        <v>54</v>
      </c>
      <c r="W770" s="24"/>
      <c r="X770" s="24"/>
      <c r="Y770" s="30"/>
      <c r="Z770" s="30"/>
      <c r="AA770" s="33"/>
      <c r="AB770" s="33"/>
      <c r="AC770" s="30"/>
      <c r="AD770" s="30"/>
      <c r="AE770" s="33"/>
      <c r="AF770" s="31"/>
      <c r="AG770" s="30"/>
      <c r="AH770" s="30"/>
      <c r="AI770" s="31"/>
      <c r="AJ770" s="31"/>
      <c r="AK770" s="32"/>
    </row>
    <row r="771">
      <c r="A771" s="21" t="s">
        <v>538</v>
      </c>
      <c r="B771" s="22" t="s">
        <v>1364</v>
      </c>
      <c r="C771" s="22" t="s">
        <v>273</v>
      </c>
      <c r="D771" s="26">
        <v>45998.0</v>
      </c>
      <c r="E771" s="22" t="s">
        <v>138</v>
      </c>
      <c r="F771" s="22" t="s">
        <v>369</v>
      </c>
      <c r="G771" s="22" t="s">
        <v>1926</v>
      </c>
      <c r="H771" s="22" t="s">
        <v>538</v>
      </c>
      <c r="I771" s="22">
        <v>1.0451768934723E13</v>
      </c>
      <c r="J771" s="22" t="s">
        <v>1366</v>
      </c>
      <c r="K771" s="24"/>
      <c r="L771" s="22" t="s">
        <v>542</v>
      </c>
      <c r="M771" s="22">
        <v>1.0</v>
      </c>
      <c r="N771" s="22" t="s">
        <v>373</v>
      </c>
      <c r="O771" s="22" t="s">
        <v>374</v>
      </c>
      <c r="P771" s="24"/>
      <c r="Q771" s="22" t="s">
        <v>90</v>
      </c>
      <c r="R771" s="22">
        <v>3.2731725627715E13</v>
      </c>
      <c r="S771" s="24"/>
      <c r="T771" s="24"/>
      <c r="U771" s="24"/>
      <c r="V771" s="22" t="s">
        <v>91</v>
      </c>
      <c r="W771" s="33"/>
      <c r="X771" s="33"/>
      <c r="Y771" s="30"/>
      <c r="Z771" s="30"/>
      <c r="AA771" s="33"/>
      <c r="AB771" s="33"/>
      <c r="AC771" s="30"/>
      <c r="AD771" s="30"/>
      <c r="AE771" s="33"/>
      <c r="AF771" s="31"/>
      <c r="AG771" s="30"/>
      <c r="AH771" s="30"/>
      <c r="AI771" s="31"/>
      <c r="AJ771" s="31"/>
      <c r="AK771" s="32"/>
    </row>
    <row r="772">
      <c r="A772" s="21" t="s">
        <v>437</v>
      </c>
      <c r="B772" s="22" t="s">
        <v>574</v>
      </c>
      <c r="C772" s="22" t="s">
        <v>273</v>
      </c>
      <c r="D772" s="26">
        <v>45998.0</v>
      </c>
      <c r="E772" s="22" t="s">
        <v>187</v>
      </c>
      <c r="F772" s="22" t="s">
        <v>440</v>
      </c>
      <c r="G772" s="22" t="s">
        <v>1927</v>
      </c>
      <c r="H772" s="22" t="s">
        <v>437</v>
      </c>
      <c r="I772" s="22">
        <v>1.0452462076227E13</v>
      </c>
      <c r="J772" s="22" t="s">
        <v>576</v>
      </c>
      <c r="K772" s="24"/>
      <c r="L772" s="22" t="s">
        <v>443</v>
      </c>
      <c r="M772" s="22">
        <v>1.0</v>
      </c>
      <c r="N772" s="22" t="s">
        <v>444</v>
      </c>
      <c r="O772" s="22" t="s">
        <v>445</v>
      </c>
      <c r="P772" s="24"/>
      <c r="Q772" s="22" t="s">
        <v>90</v>
      </c>
      <c r="R772" s="22">
        <v>3.2733340664131E13</v>
      </c>
      <c r="S772" s="24"/>
      <c r="T772" s="24"/>
      <c r="U772" s="24"/>
      <c r="V772" s="22" t="s">
        <v>91</v>
      </c>
      <c r="W772" s="33"/>
      <c r="X772" s="33"/>
      <c r="Y772" s="30"/>
      <c r="Z772" s="30"/>
      <c r="AA772" s="33"/>
      <c r="AB772" s="33"/>
      <c r="AC772" s="30"/>
      <c r="AD772" s="30"/>
      <c r="AE772" s="33"/>
      <c r="AF772" s="31"/>
      <c r="AG772" s="30"/>
      <c r="AH772" s="30"/>
      <c r="AI772" s="31"/>
      <c r="AJ772" s="31"/>
      <c r="AK772" s="32"/>
    </row>
    <row r="773">
      <c r="A773" s="21" t="s">
        <v>375</v>
      </c>
      <c r="B773" s="22" t="s">
        <v>1120</v>
      </c>
      <c r="C773" s="22" t="s">
        <v>82</v>
      </c>
      <c r="D773" s="23">
        <v>46004.0</v>
      </c>
      <c r="E773" s="22" t="s">
        <v>153</v>
      </c>
      <c r="F773" s="22" t="s">
        <v>377</v>
      </c>
      <c r="G773" s="22" t="s">
        <v>1928</v>
      </c>
      <c r="H773" s="22" t="s">
        <v>375</v>
      </c>
      <c r="I773" s="22">
        <v>1.0452491796803E13</v>
      </c>
      <c r="J773" s="22" t="s">
        <v>1122</v>
      </c>
      <c r="K773" s="24"/>
      <c r="L773" s="22" t="s">
        <v>380</v>
      </c>
      <c r="M773" s="22">
        <v>1.0</v>
      </c>
      <c r="N773" s="22" t="s">
        <v>381</v>
      </c>
      <c r="O773" s="22" t="s">
        <v>382</v>
      </c>
      <c r="P773" s="24"/>
      <c r="Q773" s="22" t="s">
        <v>90</v>
      </c>
      <c r="R773" s="22">
        <v>3.2733409444163E13</v>
      </c>
      <c r="S773" s="24"/>
      <c r="T773" s="24"/>
      <c r="U773" s="24"/>
      <c r="V773" s="22" t="s">
        <v>55</v>
      </c>
      <c r="W773" s="33"/>
      <c r="X773" s="33"/>
      <c r="Y773" s="30"/>
      <c r="Z773" s="30"/>
      <c r="AA773" s="33"/>
      <c r="AB773" s="33"/>
      <c r="AC773" s="30"/>
      <c r="AD773" s="30"/>
      <c r="AE773" s="33"/>
      <c r="AF773" s="31"/>
      <c r="AG773" s="30"/>
      <c r="AH773" s="30"/>
      <c r="AI773" s="31"/>
      <c r="AJ773" s="31"/>
      <c r="AK773" s="32"/>
    </row>
    <row r="774">
      <c r="A774" s="21" t="s">
        <v>595</v>
      </c>
      <c r="B774" s="22" t="s">
        <v>587</v>
      </c>
      <c r="C774" s="22" t="s">
        <v>273</v>
      </c>
      <c r="D774" s="26">
        <v>45998.0</v>
      </c>
      <c r="E774" s="22" t="s">
        <v>153</v>
      </c>
      <c r="F774" s="22" t="s">
        <v>369</v>
      </c>
      <c r="G774" s="22" t="s">
        <v>1929</v>
      </c>
      <c r="H774" s="22" t="s">
        <v>595</v>
      </c>
      <c r="I774" s="22">
        <v>1.0452493369667E13</v>
      </c>
      <c r="J774" s="22" t="s">
        <v>589</v>
      </c>
      <c r="K774" s="24"/>
      <c r="L774" s="22" t="s">
        <v>599</v>
      </c>
      <c r="M774" s="22">
        <v>1.0</v>
      </c>
      <c r="N774" s="22" t="s">
        <v>600</v>
      </c>
      <c r="O774" s="22" t="s">
        <v>601</v>
      </c>
      <c r="P774" s="24"/>
      <c r="Q774" s="22" t="s">
        <v>90</v>
      </c>
      <c r="R774" s="22">
        <v>3.2733412458819E13</v>
      </c>
      <c r="S774" s="24"/>
      <c r="T774" s="24"/>
      <c r="U774" s="24"/>
      <c r="V774" s="22" t="s">
        <v>127</v>
      </c>
      <c r="W774" s="33"/>
      <c r="X774" s="33"/>
      <c r="Y774" s="30"/>
      <c r="Z774" s="30"/>
      <c r="AA774" s="33"/>
      <c r="AB774" s="33"/>
      <c r="AC774" s="30"/>
      <c r="AD774" s="30"/>
      <c r="AE774" s="33"/>
      <c r="AF774" s="31"/>
      <c r="AG774" s="30"/>
      <c r="AH774" s="30"/>
      <c r="AI774" s="31"/>
      <c r="AJ774" s="31"/>
      <c r="AK774" s="32"/>
    </row>
    <row r="775">
      <c r="A775" s="21" t="s">
        <v>92</v>
      </c>
      <c r="B775" s="22" t="s">
        <v>1489</v>
      </c>
      <c r="C775" s="22" t="s">
        <v>82</v>
      </c>
      <c r="D775" s="26">
        <v>45997.0</v>
      </c>
      <c r="E775" s="22" t="s">
        <v>266</v>
      </c>
      <c r="F775" s="22" t="s">
        <v>83</v>
      </c>
      <c r="G775" s="22" t="s">
        <v>1930</v>
      </c>
      <c r="H775" s="22" t="s">
        <v>92</v>
      </c>
      <c r="I775" s="22">
        <v>1.0452533379395E13</v>
      </c>
      <c r="J775" s="22" t="s">
        <v>1491</v>
      </c>
      <c r="K775" s="24"/>
      <c r="L775" s="22" t="s">
        <v>94</v>
      </c>
      <c r="M775" s="22">
        <v>1.0</v>
      </c>
      <c r="N775" s="22" t="s">
        <v>87</v>
      </c>
      <c r="O775" s="22" t="s">
        <v>88</v>
      </c>
      <c r="P775" s="24"/>
      <c r="Q775" s="22" t="s">
        <v>90</v>
      </c>
      <c r="R775" s="22">
        <v>3.2733505814851E13</v>
      </c>
      <c r="S775" s="24"/>
      <c r="T775" s="24"/>
      <c r="U775" s="24"/>
      <c r="V775" s="22" t="s">
        <v>95</v>
      </c>
      <c r="W775" s="33"/>
      <c r="X775" s="33"/>
      <c r="Y775" s="30"/>
      <c r="Z775" s="30"/>
      <c r="AA775" s="33"/>
      <c r="AB775" s="33"/>
      <c r="AC775" s="30"/>
      <c r="AD775" s="30"/>
      <c r="AE775" s="33"/>
      <c r="AF775" s="31"/>
      <c r="AG775" s="30"/>
      <c r="AH775" s="30"/>
      <c r="AI775" s="31"/>
      <c r="AJ775" s="31"/>
      <c r="AK775" s="32"/>
    </row>
    <row r="776">
      <c r="A776" s="21" t="s">
        <v>415</v>
      </c>
      <c r="B776" s="22" t="s">
        <v>800</v>
      </c>
      <c r="C776" s="22" t="s">
        <v>82</v>
      </c>
      <c r="D776" s="26">
        <v>45997.0</v>
      </c>
      <c r="E776" s="22" t="s">
        <v>145</v>
      </c>
      <c r="F776" s="22" t="s">
        <v>377</v>
      </c>
      <c r="G776" s="22" t="s">
        <v>1931</v>
      </c>
      <c r="H776" s="22" t="s">
        <v>415</v>
      </c>
      <c r="I776" s="22">
        <v>1.0452553564483E13</v>
      </c>
      <c r="J776" s="22" t="s">
        <v>802</v>
      </c>
      <c r="K776" s="24"/>
      <c r="L776" s="22" t="s">
        <v>419</v>
      </c>
      <c r="M776" s="22">
        <v>1.0</v>
      </c>
      <c r="N776" s="22" t="s">
        <v>381</v>
      </c>
      <c r="O776" s="22" t="s">
        <v>382</v>
      </c>
      <c r="P776" s="24"/>
      <c r="Q776" s="22" t="s">
        <v>90</v>
      </c>
      <c r="R776" s="22">
        <v>3.2733554442563E13</v>
      </c>
      <c r="S776" s="24"/>
      <c r="T776" s="24"/>
      <c r="U776" s="24"/>
      <c r="V776" s="22" t="s">
        <v>91</v>
      </c>
      <c r="W776" s="33"/>
      <c r="X776" s="33"/>
      <c r="Y776" s="30"/>
      <c r="Z776" s="30"/>
      <c r="AA776" s="33"/>
      <c r="AB776" s="33"/>
      <c r="AC776" s="30"/>
      <c r="AD776" s="30"/>
      <c r="AE776" s="33"/>
      <c r="AF776" s="31"/>
      <c r="AG776" s="30"/>
      <c r="AH776" s="30"/>
      <c r="AI776" s="31"/>
      <c r="AJ776" s="31"/>
      <c r="AK776" s="32"/>
    </row>
    <row r="777">
      <c r="A777" s="21" t="s">
        <v>478</v>
      </c>
      <c r="B777" s="22" t="s">
        <v>471</v>
      </c>
      <c r="C777" s="22" t="s">
        <v>82</v>
      </c>
      <c r="D777" s="26">
        <v>45997.0</v>
      </c>
      <c r="E777" s="22" t="s">
        <v>134</v>
      </c>
      <c r="F777" s="22" t="s">
        <v>472</v>
      </c>
      <c r="G777" s="22" t="s">
        <v>1932</v>
      </c>
      <c r="H777" s="22" t="s">
        <v>478</v>
      </c>
      <c r="I777" s="22">
        <v>1.0452571062595E13</v>
      </c>
      <c r="J777" s="22" t="s">
        <v>474</v>
      </c>
      <c r="K777" s="24"/>
      <c r="L777" s="22" t="s">
        <v>483</v>
      </c>
      <c r="M777" s="22">
        <v>1.0</v>
      </c>
      <c r="N777" s="22" t="s">
        <v>476</v>
      </c>
      <c r="O777" s="22" t="s">
        <v>477</v>
      </c>
      <c r="P777" s="24"/>
      <c r="Q777" s="22" t="s">
        <v>90</v>
      </c>
      <c r="R777" s="22">
        <v>3.2733597401411E13</v>
      </c>
      <c r="S777" s="24"/>
      <c r="T777" s="24"/>
      <c r="U777" s="24"/>
      <c r="V777" s="22" t="s">
        <v>95</v>
      </c>
      <c r="W777" s="33"/>
      <c r="X777" s="33"/>
      <c r="Y777" s="30"/>
      <c r="Z777" s="30"/>
      <c r="AA777" s="33"/>
      <c r="AB777" s="33"/>
      <c r="AC777" s="30"/>
      <c r="AD777" s="30"/>
      <c r="AE777" s="33"/>
      <c r="AF777" s="31"/>
      <c r="AG777" s="30"/>
      <c r="AH777" s="30"/>
      <c r="AI777" s="31"/>
      <c r="AJ777" s="31"/>
      <c r="AK777" s="32"/>
    </row>
    <row r="778">
      <c r="A778" s="21" t="s">
        <v>209</v>
      </c>
      <c r="B778" s="22" t="s">
        <v>393</v>
      </c>
      <c r="C778" s="22" t="s">
        <v>82</v>
      </c>
      <c r="D778" s="26">
        <v>45997.0</v>
      </c>
      <c r="E778" s="22" t="s">
        <v>187</v>
      </c>
      <c r="F778" s="22" t="s">
        <v>111</v>
      </c>
      <c r="G778" s="22" t="s">
        <v>1933</v>
      </c>
      <c r="H778" s="22" t="s">
        <v>209</v>
      </c>
      <c r="I778" s="22">
        <v>1.0452579418435E13</v>
      </c>
      <c r="J778" s="22" t="s">
        <v>395</v>
      </c>
      <c r="K778" s="24"/>
      <c r="L778" s="22" t="s">
        <v>214</v>
      </c>
      <c r="M778" s="22">
        <v>1.0</v>
      </c>
      <c r="N778" s="22" t="s">
        <v>115</v>
      </c>
      <c r="O778" s="22" t="s">
        <v>116</v>
      </c>
      <c r="P778" s="24"/>
      <c r="Q778" s="22" t="s">
        <v>90</v>
      </c>
      <c r="R778" s="22">
        <v>3.2733620404547E13</v>
      </c>
      <c r="S778" s="24"/>
      <c r="T778" s="24"/>
      <c r="U778" s="24"/>
      <c r="V778" s="22" t="s">
        <v>91</v>
      </c>
      <c r="W778" s="33"/>
      <c r="X778" s="33"/>
      <c r="Y778" s="30"/>
      <c r="Z778" s="30"/>
      <c r="AA778" s="33"/>
      <c r="AB778" s="33"/>
      <c r="AC778" s="30"/>
      <c r="AD778" s="30"/>
      <c r="AE778" s="33"/>
      <c r="AF778" s="31"/>
      <c r="AG778" s="30"/>
      <c r="AH778" s="30"/>
      <c r="AI778" s="31"/>
      <c r="AJ778" s="31"/>
      <c r="AK778" s="32"/>
    </row>
    <row r="779">
      <c r="A779" s="21" t="s">
        <v>515</v>
      </c>
      <c r="B779" s="22" t="s">
        <v>471</v>
      </c>
      <c r="C779" s="22" t="s">
        <v>82</v>
      </c>
      <c r="D779" s="26">
        <v>45997.0</v>
      </c>
      <c r="E779" s="22" t="s">
        <v>134</v>
      </c>
      <c r="F779" s="22" t="s">
        <v>472</v>
      </c>
      <c r="G779" s="22" t="s">
        <v>1934</v>
      </c>
      <c r="H779" s="22" t="s">
        <v>515</v>
      </c>
      <c r="I779" s="22">
        <v>1.0452592165187E13</v>
      </c>
      <c r="J779" s="22" t="s">
        <v>474</v>
      </c>
      <c r="K779" s="24"/>
      <c r="L779" s="22" t="s">
        <v>519</v>
      </c>
      <c r="M779" s="22">
        <v>1.0</v>
      </c>
      <c r="N779" s="22" t="s">
        <v>476</v>
      </c>
      <c r="O779" s="22" t="s">
        <v>477</v>
      </c>
      <c r="P779" s="24"/>
      <c r="Q779" s="22" t="s">
        <v>90</v>
      </c>
      <c r="R779" s="22">
        <v>3.2733652353347E13</v>
      </c>
      <c r="S779" s="24"/>
      <c r="T779" s="24"/>
      <c r="U779" s="24"/>
      <c r="V779" s="22" t="s">
        <v>55</v>
      </c>
      <c r="W779" s="33"/>
      <c r="X779" s="33"/>
      <c r="Y779" s="30"/>
      <c r="Z779" s="30"/>
      <c r="AA779" s="33"/>
      <c r="AB779" s="33"/>
      <c r="AC779" s="30"/>
      <c r="AD779" s="30"/>
      <c r="AE779" s="33"/>
      <c r="AF779" s="31"/>
      <c r="AG779" s="30"/>
      <c r="AH779" s="30"/>
      <c r="AI779" s="31"/>
      <c r="AJ779" s="31"/>
      <c r="AK779" s="32"/>
    </row>
    <row r="780">
      <c r="A780" s="21" t="s">
        <v>867</v>
      </c>
      <c r="B780" s="22" t="s">
        <v>868</v>
      </c>
      <c r="C780" s="22" t="s">
        <v>273</v>
      </c>
      <c r="D780" s="26">
        <v>45998.0</v>
      </c>
      <c r="E780" s="22" t="s">
        <v>149</v>
      </c>
      <c r="F780" s="22" t="s">
        <v>869</v>
      </c>
      <c r="G780" s="22" t="s">
        <v>1935</v>
      </c>
      <c r="H780" s="22" t="s">
        <v>867</v>
      </c>
      <c r="I780" s="22">
        <v>1.0452622246211E13</v>
      </c>
      <c r="J780" s="22" t="s">
        <v>871</v>
      </c>
      <c r="K780" s="24"/>
      <c r="L780" s="22" t="s">
        <v>872</v>
      </c>
      <c r="M780" s="22">
        <v>1.0</v>
      </c>
      <c r="N780" s="22" t="s">
        <v>873</v>
      </c>
      <c r="O780" s="22" t="s">
        <v>874</v>
      </c>
      <c r="P780" s="24"/>
      <c r="Q780" s="22" t="s">
        <v>90</v>
      </c>
      <c r="R780" s="22">
        <v>3.2733729227075E13</v>
      </c>
      <c r="S780" s="24"/>
      <c r="T780" s="24"/>
      <c r="U780" s="24"/>
      <c r="V780" s="22" t="s">
        <v>55</v>
      </c>
      <c r="W780" s="33"/>
      <c r="X780" s="33"/>
      <c r="Y780" s="30"/>
      <c r="Z780" s="30"/>
      <c r="AA780" s="33"/>
      <c r="AB780" s="33"/>
      <c r="AC780" s="30"/>
      <c r="AD780" s="30"/>
      <c r="AE780" s="33"/>
      <c r="AF780" s="31"/>
      <c r="AG780" s="30"/>
      <c r="AH780" s="30"/>
      <c r="AI780" s="31"/>
      <c r="AJ780" s="31"/>
      <c r="AK780" s="32"/>
    </row>
    <row r="781">
      <c r="A781" s="21" t="s">
        <v>99</v>
      </c>
      <c r="B781" s="22" t="s">
        <v>1513</v>
      </c>
      <c r="C781" s="22" t="s">
        <v>1284</v>
      </c>
      <c r="D781" s="26">
        <v>45993.0</v>
      </c>
      <c r="E781" s="22" t="s">
        <v>134</v>
      </c>
      <c r="F781" s="22" t="s">
        <v>83</v>
      </c>
      <c r="G781" s="22" t="s">
        <v>1936</v>
      </c>
      <c r="H781" s="22" t="s">
        <v>99</v>
      </c>
      <c r="I781" s="22">
        <v>1.0452626014531E13</v>
      </c>
      <c r="J781" s="22" t="s">
        <v>1515</v>
      </c>
      <c r="K781" s="24"/>
      <c r="L781" s="22" t="s">
        <v>102</v>
      </c>
      <c r="M781" s="22">
        <v>1.0</v>
      </c>
      <c r="N781" s="22" t="s">
        <v>103</v>
      </c>
      <c r="O781" s="22" t="s">
        <v>104</v>
      </c>
      <c r="P781" s="24"/>
      <c r="Q781" s="22" t="s">
        <v>90</v>
      </c>
      <c r="R781" s="22">
        <v>3.2733738565955E13</v>
      </c>
      <c r="S781" s="24"/>
      <c r="T781" s="24"/>
      <c r="U781" s="24"/>
      <c r="V781" s="22" t="s">
        <v>105</v>
      </c>
      <c r="W781" s="33"/>
      <c r="X781" s="33"/>
      <c r="Y781" s="30"/>
      <c r="Z781" s="30"/>
      <c r="AA781" s="33"/>
      <c r="AB781" s="33"/>
      <c r="AC781" s="30"/>
      <c r="AD781" s="30"/>
      <c r="AE781" s="33"/>
      <c r="AF781" s="31"/>
      <c r="AG781" s="30"/>
      <c r="AH781" s="30"/>
      <c r="AI781" s="31"/>
      <c r="AJ781" s="31"/>
      <c r="AK781" s="32"/>
    </row>
    <row r="782">
      <c r="A782" s="21" t="s">
        <v>166</v>
      </c>
      <c r="B782" s="22" t="s">
        <v>1937</v>
      </c>
      <c r="C782" s="22" t="s">
        <v>273</v>
      </c>
      <c r="D782" s="26">
        <v>45998.0</v>
      </c>
      <c r="E782" s="22" t="s">
        <v>1113</v>
      </c>
      <c r="F782" s="22" t="s">
        <v>111</v>
      </c>
      <c r="G782" s="22" t="s">
        <v>1938</v>
      </c>
      <c r="H782" s="22" t="s">
        <v>166</v>
      </c>
      <c r="I782" s="22">
        <v>1.0452633944387E13</v>
      </c>
      <c r="J782" s="22" t="s">
        <v>1939</v>
      </c>
      <c r="K782" s="24"/>
      <c r="L782" s="22" t="s">
        <v>171</v>
      </c>
      <c r="M782" s="22">
        <v>1.0</v>
      </c>
      <c r="N782" s="22" t="s">
        <v>115</v>
      </c>
      <c r="O782" s="22" t="s">
        <v>116</v>
      </c>
      <c r="P782" s="24"/>
      <c r="Q782" s="22" t="s">
        <v>90</v>
      </c>
      <c r="R782" s="22">
        <v>3.2733756358979E13</v>
      </c>
      <c r="S782" s="24"/>
      <c r="T782" s="24"/>
      <c r="U782" s="24"/>
      <c r="V782" s="22" t="s">
        <v>55</v>
      </c>
      <c r="W782" s="33"/>
      <c r="X782" s="33"/>
      <c r="Y782" s="30"/>
      <c r="Z782" s="30"/>
      <c r="AA782" s="33"/>
      <c r="AB782" s="33"/>
      <c r="AC782" s="30"/>
      <c r="AD782" s="30"/>
      <c r="AE782" s="33"/>
      <c r="AF782" s="31"/>
      <c r="AG782" s="30"/>
      <c r="AH782" s="30"/>
      <c r="AI782" s="31"/>
      <c r="AJ782" s="31"/>
      <c r="AK782" s="32"/>
    </row>
    <row r="783">
      <c r="A783" s="21" t="s">
        <v>158</v>
      </c>
      <c r="B783" s="22" t="s">
        <v>1937</v>
      </c>
      <c r="C783" s="22" t="s">
        <v>273</v>
      </c>
      <c r="D783" s="26">
        <v>45998.0</v>
      </c>
      <c r="E783" s="22" t="s">
        <v>1113</v>
      </c>
      <c r="F783" s="22" t="s">
        <v>111</v>
      </c>
      <c r="G783" s="22" t="s">
        <v>1940</v>
      </c>
      <c r="H783" s="22" t="s">
        <v>158</v>
      </c>
      <c r="I783" s="22">
        <v>1.0452644495683E13</v>
      </c>
      <c r="J783" s="22" t="s">
        <v>1939</v>
      </c>
      <c r="K783" s="24"/>
      <c r="L783" s="22" t="s">
        <v>163</v>
      </c>
      <c r="M783" s="22">
        <v>1.0</v>
      </c>
      <c r="N783" s="22" t="s">
        <v>164</v>
      </c>
      <c r="O783" s="22" t="s">
        <v>165</v>
      </c>
      <c r="P783" s="24"/>
      <c r="Q783" s="22" t="s">
        <v>90</v>
      </c>
      <c r="R783" s="22">
        <v>3.2733783523651E13</v>
      </c>
      <c r="S783" s="24"/>
      <c r="T783" s="24"/>
      <c r="U783" s="24"/>
      <c r="V783" s="22" t="s">
        <v>127</v>
      </c>
      <c r="W783" s="33"/>
      <c r="X783" s="33"/>
      <c r="Y783" s="30"/>
      <c r="Z783" s="30"/>
      <c r="AA783" s="33"/>
      <c r="AB783" s="33"/>
      <c r="AC783" s="30"/>
      <c r="AD783" s="30"/>
      <c r="AE783" s="33"/>
      <c r="AF783" s="31"/>
      <c r="AG783" s="30"/>
      <c r="AH783" s="30"/>
      <c r="AI783" s="31"/>
      <c r="AJ783" s="31"/>
      <c r="AK783" s="32"/>
    </row>
    <row r="784">
      <c r="A784" s="21" t="s">
        <v>408</v>
      </c>
      <c r="B784" s="22" t="s">
        <v>512</v>
      </c>
      <c r="C784" s="22" t="s">
        <v>82</v>
      </c>
      <c r="D784" s="26">
        <v>45997.0</v>
      </c>
      <c r="E784" s="22" t="s">
        <v>153</v>
      </c>
      <c r="F784" s="22" t="s">
        <v>377</v>
      </c>
      <c r="G784" s="22" t="s">
        <v>1941</v>
      </c>
      <c r="H784" s="22" t="s">
        <v>408</v>
      </c>
      <c r="I784" s="22">
        <v>1.0452646986051E13</v>
      </c>
      <c r="J784" s="22" t="s">
        <v>514</v>
      </c>
      <c r="K784" s="24"/>
      <c r="L784" s="22" t="s">
        <v>412</v>
      </c>
      <c r="M784" s="22">
        <v>1.0</v>
      </c>
      <c r="N784" s="22" t="s">
        <v>413</v>
      </c>
      <c r="O784" s="22" t="s">
        <v>414</v>
      </c>
      <c r="P784" s="24"/>
      <c r="Q784" s="22" t="s">
        <v>90</v>
      </c>
      <c r="R784" s="22">
        <v>3.2733790077251E13</v>
      </c>
      <c r="S784" s="24"/>
      <c r="T784" s="24"/>
      <c r="U784" s="24"/>
      <c r="V784" s="22" t="s">
        <v>127</v>
      </c>
      <c r="W784" s="33"/>
      <c r="X784" s="33"/>
      <c r="Y784" s="30"/>
      <c r="Z784" s="30"/>
      <c r="AA784" s="33"/>
      <c r="AB784" s="33"/>
      <c r="AC784" s="30"/>
      <c r="AD784" s="30"/>
      <c r="AE784" s="33"/>
      <c r="AF784" s="31"/>
      <c r="AG784" s="30"/>
      <c r="AH784" s="30"/>
      <c r="AI784" s="31"/>
      <c r="AJ784" s="31"/>
      <c r="AK784" s="32"/>
    </row>
    <row r="785">
      <c r="A785" s="21" t="s">
        <v>979</v>
      </c>
      <c r="B785" s="22" t="s">
        <v>1280</v>
      </c>
      <c r="C785" s="22" t="s">
        <v>82</v>
      </c>
      <c r="D785" s="26">
        <v>45997.0</v>
      </c>
      <c r="E785" s="22" t="s">
        <v>149</v>
      </c>
      <c r="F785" s="22" t="s">
        <v>605</v>
      </c>
      <c r="G785" s="22" t="s">
        <v>1942</v>
      </c>
      <c r="H785" s="22" t="s">
        <v>979</v>
      </c>
      <c r="I785" s="22">
        <v>1.0452665106755E13</v>
      </c>
      <c r="J785" s="22" t="s">
        <v>1282</v>
      </c>
      <c r="K785" s="24"/>
      <c r="L785" s="22" t="s">
        <v>984</v>
      </c>
      <c r="M785" s="22">
        <v>1.0</v>
      </c>
      <c r="N785" s="22" t="s">
        <v>609</v>
      </c>
      <c r="O785" s="22" t="s">
        <v>610</v>
      </c>
      <c r="P785" s="24"/>
      <c r="Q785" s="22" t="s">
        <v>90</v>
      </c>
      <c r="R785" s="22">
        <v>3.2733840507203E13</v>
      </c>
      <c r="S785" s="24"/>
      <c r="T785" s="24"/>
      <c r="U785" s="24"/>
      <c r="V785" s="22" t="s">
        <v>55</v>
      </c>
      <c r="W785" s="33"/>
      <c r="X785" s="33"/>
      <c r="Y785" s="30"/>
      <c r="Z785" s="30"/>
      <c r="AA785" s="33"/>
      <c r="AB785" s="33"/>
      <c r="AC785" s="30"/>
      <c r="AD785" s="30"/>
      <c r="AE785" s="33"/>
      <c r="AF785" s="31"/>
      <c r="AG785" s="30"/>
      <c r="AH785" s="30"/>
      <c r="AI785" s="31"/>
      <c r="AJ785" s="31"/>
      <c r="AK785" s="32"/>
    </row>
    <row r="786">
      <c r="A786" s="21" t="s">
        <v>569</v>
      </c>
      <c r="B786" s="22" t="s">
        <v>1943</v>
      </c>
      <c r="C786" s="22" t="s">
        <v>82</v>
      </c>
      <c r="D786" s="26">
        <v>45997.0</v>
      </c>
      <c r="E786" s="22" t="s">
        <v>145</v>
      </c>
      <c r="F786" s="22" t="s">
        <v>472</v>
      </c>
      <c r="G786" s="22" t="s">
        <v>1944</v>
      </c>
      <c r="H786" s="22" t="s">
        <v>569</v>
      </c>
      <c r="I786" s="22">
        <v>1.0452680671555E13</v>
      </c>
      <c r="J786" s="22" t="s">
        <v>945</v>
      </c>
      <c r="K786" s="24"/>
      <c r="L786" s="22" t="s">
        <v>571</v>
      </c>
      <c r="M786" s="22">
        <v>1.0</v>
      </c>
      <c r="N786" s="22" t="s">
        <v>534</v>
      </c>
      <c r="O786" s="22" t="s">
        <v>535</v>
      </c>
      <c r="P786" s="24"/>
      <c r="Q786" s="22" t="s">
        <v>90</v>
      </c>
      <c r="R786" s="22">
        <v>3.2733878550851E13</v>
      </c>
      <c r="S786" s="24"/>
      <c r="T786" s="24"/>
      <c r="U786" s="24"/>
      <c r="V786" s="22" t="s">
        <v>105</v>
      </c>
      <c r="W786" s="33"/>
      <c r="X786" s="33"/>
      <c r="Y786" s="30"/>
      <c r="Z786" s="30"/>
      <c r="AA786" s="33"/>
      <c r="AB786" s="33"/>
      <c r="AC786" s="30"/>
      <c r="AD786" s="30"/>
      <c r="AE786" s="33"/>
      <c r="AF786" s="31"/>
      <c r="AG786" s="30"/>
      <c r="AH786" s="30"/>
      <c r="AI786" s="31"/>
      <c r="AJ786" s="31"/>
      <c r="AK786" s="32"/>
    </row>
    <row r="787">
      <c r="A787" s="21" t="s">
        <v>1151</v>
      </c>
      <c r="B787" s="22" t="s">
        <v>741</v>
      </c>
      <c r="C787" s="22" t="s">
        <v>82</v>
      </c>
      <c r="D787" s="26">
        <v>45997.0</v>
      </c>
      <c r="E787" s="22" t="s">
        <v>134</v>
      </c>
      <c r="F787" s="22" t="s">
        <v>303</v>
      </c>
      <c r="G787" s="22" t="s">
        <v>1945</v>
      </c>
      <c r="H787" s="22" t="s">
        <v>1151</v>
      </c>
      <c r="I787" s="22">
        <v>1.0452700037443E13</v>
      </c>
      <c r="J787" s="22" t="s">
        <v>743</v>
      </c>
      <c r="K787" s="24"/>
      <c r="L787" s="22" t="s">
        <v>1155</v>
      </c>
      <c r="M787" s="22">
        <v>1.0</v>
      </c>
      <c r="N787" s="22" t="s">
        <v>307</v>
      </c>
      <c r="O787" s="22" t="s">
        <v>308</v>
      </c>
      <c r="P787" s="24"/>
      <c r="Q787" s="22" t="s">
        <v>90</v>
      </c>
      <c r="R787" s="22">
        <v>3.2733928849731E13</v>
      </c>
      <c r="S787" s="24"/>
      <c r="T787" s="24"/>
      <c r="U787" s="24"/>
      <c r="V787" s="22" t="s">
        <v>54</v>
      </c>
      <c r="W787" s="33"/>
      <c r="X787" s="33"/>
      <c r="Y787" s="30"/>
      <c r="Z787" s="30"/>
      <c r="AA787" s="33"/>
      <c r="AB787" s="33"/>
      <c r="AC787" s="30"/>
      <c r="AD787" s="30"/>
      <c r="AE787" s="33"/>
      <c r="AF787" s="31"/>
      <c r="AG787" s="30"/>
      <c r="AH787" s="30"/>
      <c r="AI787" s="31"/>
      <c r="AJ787" s="31"/>
      <c r="AK787" s="32"/>
    </row>
    <row r="788">
      <c r="A788" s="21" t="s">
        <v>822</v>
      </c>
      <c r="B788" s="22" t="s">
        <v>876</v>
      </c>
      <c r="C788" s="22" t="s">
        <v>273</v>
      </c>
      <c r="D788" s="26">
        <v>45998.0</v>
      </c>
      <c r="E788" s="22" t="s">
        <v>177</v>
      </c>
      <c r="F788" s="22" t="s">
        <v>634</v>
      </c>
      <c r="G788" s="22" t="s">
        <v>1946</v>
      </c>
      <c r="H788" s="22" t="s">
        <v>822</v>
      </c>
      <c r="I788" s="22">
        <v>1.0452703740227E13</v>
      </c>
      <c r="J788" s="22" t="s">
        <v>878</v>
      </c>
      <c r="K788" s="24"/>
      <c r="L788" s="22" t="s">
        <v>826</v>
      </c>
      <c r="M788" s="22">
        <v>1.0</v>
      </c>
      <c r="N788" s="22" t="s">
        <v>638</v>
      </c>
      <c r="O788" s="22" t="s">
        <v>639</v>
      </c>
      <c r="P788" s="24"/>
      <c r="Q788" s="22" t="s">
        <v>90</v>
      </c>
      <c r="R788" s="22">
        <v>3.2733938876739E13</v>
      </c>
      <c r="S788" s="24"/>
      <c r="T788" s="24"/>
      <c r="U788" s="24"/>
      <c r="V788" s="22" t="s">
        <v>55</v>
      </c>
      <c r="W788" s="33"/>
      <c r="X788" s="33"/>
      <c r="Y788" s="30"/>
      <c r="Z788" s="30"/>
      <c r="AA788" s="33"/>
      <c r="AB788" s="33"/>
      <c r="AC788" s="30"/>
      <c r="AD788" s="30"/>
      <c r="AE788" s="33"/>
      <c r="AF788" s="31"/>
      <c r="AG788" s="30"/>
      <c r="AH788" s="30"/>
      <c r="AI788" s="31"/>
      <c r="AJ788" s="31"/>
      <c r="AK788" s="32"/>
    </row>
    <row r="789">
      <c r="A789" s="21" t="s">
        <v>1175</v>
      </c>
      <c r="B789" s="22" t="s">
        <v>1187</v>
      </c>
      <c r="C789" s="22" t="s">
        <v>273</v>
      </c>
      <c r="D789" s="23">
        <v>45991.0</v>
      </c>
      <c r="E789" s="22" t="s">
        <v>134</v>
      </c>
      <c r="F789" s="22" t="s">
        <v>329</v>
      </c>
      <c r="G789" s="22" t="s">
        <v>1947</v>
      </c>
      <c r="H789" s="22" t="s">
        <v>1175</v>
      </c>
      <c r="I789" s="22">
        <v>1.0452716192067E13</v>
      </c>
      <c r="J789" s="22" t="s">
        <v>1189</v>
      </c>
      <c r="K789" s="24"/>
      <c r="L789" s="22" t="s">
        <v>1179</v>
      </c>
      <c r="M789" s="22">
        <v>1.0</v>
      </c>
      <c r="N789" s="22" t="s">
        <v>907</v>
      </c>
      <c r="O789" s="22" t="s">
        <v>908</v>
      </c>
      <c r="P789" s="24"/>
      <c r="Q789" s="22" t="s">
        <v>90</v>
      </c>
      <c r="R789" s="22">
        <v>3.2733970563395E13</v>
      </c>
      <c r="S789" s="24"/>
      <c r="T789" s="24"/>
      <c r="U789" s="24"/>
      <c r="V789" s="22" t="s">
        <v>127</v>
      </c>
      <c r="W789" s="33"/>
      <c r="X789" s="33"/>
      <c r="Y789" s="30"/>
      <c r="Z789" s="30"/>
      <c r="AA789" s="33"/>
      <c r="AB789" s="33"/>
      <c r="AC789" s="30"/>
      <c r="AD789" s="30"/>
      <c r="AE789" s="33"/>
      <c r="AF789" s="31"/>
      <c r="AG789" s="30"/>
      <c r="AH789" s="30"/>
      <c r="AI789" s="31"/>
      <c r="AJ789" s="31"/>
      <c r="AK789" s="32"/>
    </row>
    <row r="790">
      <c r="A790" s="21" t="s">
        <v>640</v>
      </c>
      <c r="B790" s="22" t="s">
        <v>1305</v>
      </c>
      <c r="C790" s="22" t="s">
        <v>273</v>
      </c>
      <c r="D790" s="23">
        <v>45991.0</v>
      </c>
      <c r="E790" s="22" t="s">
        <v>196</v>
      </c>
      <c r="F790" s="22" t="s">
        <v>356</v>
      </c>
      <c r="G790" s="22" t="s">
        <v>1948</v>
      </c>
      <c r="H790" s="22" t="s">
        <v>640</v>
      </c>
      <c r="I790" s="22">
        <v>1.0452716290371E13</v>
      </c>
      <c r="J790" s="22" t="s">
        <v>1307</v>
      </c>
      <c r="K790" s="24"/>
      <c r="L790" s="22" t="s">
        <v>642</v>
      </c>
      <c r="M790" s="22">
        <v>1.0</v>
      </c>
      <c r="N790" s="22" t="s">
        <v>360</v>
      </c>
      <c r="O790" s="22" t="s">
        <v>361</v>
      </c>
      <c r="P790" s="24"/>
      <c r="Q790" s="22" t="s">
        <v>90</v>
      </c>
      <c r="R790" s="22">
        <v>3.2733970661699E13</v>
      </c>
      <c r="S790" s="24"/>
      <c r="T790" s="24"/>
      <c r="U790" s="24"/>
      <c r="V790" s="22" t="s">
        <v>95</v>
      </c>
      <c r="W790" s="33"/>
      <c r="X790" s="33"/>
      <c r="Y790" s="30"/>
      <c r="Z790" s="30"/>
      <c r="AA790" s="33"/>
      <c r="AB790" s="33"/>
      <c r="AC790" s="30"/>
      <c r="AD790" s="30"/>
      <c r="AE790" s="33"/>
      <c r="AF790" s="31"/>
      <c r="AG790" s="30"/>
      <c r="AH790" s="30"/>
      <c r="AI790" s="31"/>
      <c r="AJ790" s="31"/>
      <c r="AK790" s="32"/>
    </row>
    <row r="791">
      <c r="A791" s="21" t="s">
        <v>367</v>
      </c>
      <c r="B791" s="22" t="s">
        <v>539</v>
      </c>
      <c r="C791" s="22" t="s">
        <v>273</v>
      </c>
      <c r="D791" s="26">
        <v>45998.0</v>
      </c>
      <c r="E791" s="22" t="s">
        <v>149</v>
      </c>
      <c r="F791" s="22" t="s">
        <v>369</v>
      </c>
      <c r="G791" s="22" t="s">
        <v>1949</v>
      </c>
      <c r="H791" s="22" t="s">
        <v>367</v>
      </c>
      <c r="I791" s="22">
        <v>1.0452724384067E13</v>
      </c>
      <c r="J791" s="22" t="s">
        <v>541</v>
      </c>
      <c r="K791" s="24"/>
      <c r="L791" s="22" t="s">
        <v>372</v>
      </c>
      <c r="M791" s="22">
        <v>1.0</v>
      </c>
      <c r="N791" s="22" t="s">
        <v>373</v>
      </c>
      <c r="O791" s="22" t="s">
        <v>374</v>
      </c>
      <c r="P791" s="24"/>
      <c r="Q791" s="22" t="s">
        <v>90</v>
      </c>
      <c r="R791" s="22">
        <v>3.2733994713411E13</v>
      </c>
      <c r="S791" s="24"/>
      <c r="T791" s="24"/>
      <c r="U791" s="24"/>
      <c r="V791" s="22" t="s">
        <v>55</v>
      </c>
      <c r="W791" s="33"/>
      <c r="X791" s="33"/>
      <c r="Y791" s="30"/>
      <c r="Z791" s="30"/>
      <c r="AA791" s="33"/>
      <c r="AB791" s="33"/>
      <c r="AC791" s="30"/>
      <c r="AD791" s="30"/>
      <c r="AE791" s="33"/>
      <c r="AF791" s="31"/>
      <c r="AG791" s="30"/>
      <c r="AH791" s="30"/>
      <c r="AI791" s="31"/>
      <c r="AJ791" s="31"/>
      <c r="AK791" s="32"/>
    </row>
    <row r="792">
      <c r="A792" s="21" t="s">
        <v>592</v>
      </c>
      <c r="B792" s="22" t="s">
        <v>1950</v>
      </c>
      <c r="C792" s="22" t="s">
        <v>202</v>
      </c>
      <c r="D792" s="26">
        <v>45996.0</v>
      </c>
      <c r="E792" s="22" t="s">
        <v>149</v>
      </c>
      <c r="F792" s="22" t="s">
        <v>311</v>
      </c>
      <c r="G792" s="22" t="s">
        <v>1951</v>
      </c>
      <c r="H792" s="22" t="s">
        <v>592</v>
      </c>
      <c r="I792" s="22">
        <v>1.0452737753411E13</v>
      </c>
      <c r="J792" s="22" t="s">
        <v>1952</v>
      </c>
      <c r="K792" s="24"/>
      <c r="L792" s="22" t="s">
        <v>594</v>
      </c>
      <c r="M792" s="22">
        <v>1.0</v>
      </c>
      <c r="N792" s="22" t="s">
        <v>391</v>
      </c>
      <c r="O792" s="22" t="s">
        <v>392</v>
      </c>
      <c r="P792" s="24"/>
      <c r="Q792" s="22" t="s">
        <v>90</v>
      </c>
      <c r="R792" s="22">
        <v>3.2734029021507E13</v>
      </c>
      <c r="S792" s="24"/>
      <c r="T792" s="24"/>
      <c r="U792" s="24"/>
      <c r="V792" s="22" t="s">
        <v>54</v>
      </c>
      <c r="W792" s="33"/>
      <c r="X792" s="33"/>
      <c r="Y792" s="30"/>
      <c r="Z792" s="30"/>
      <c r="AA792" s="33"/>
      <c r="AB792" s="33"/>
      <c r="AC792" s="30"/>
      <c r="AD792" s="30"/>
      <c r="AE792" s="33"/>
      <c r="AF792" s="31"/>
      <c r="AG792" s="30"/>
      <c r="AH792" s="30"/>
      <c r="AI792" s="31"/>
      <c r="AJ792" s="31"/>
      <c r="AK792" s="32"/>
    </row>
    <row r="793">
      <c r="A793" s="21" t="s">
        <v>1242</v>
      </c>
      <c r="B793" s="22" t="s">
        <v>815</v>
      </c>
      <c r="C793" s="22" t="s">
        <v>82</v>
      </c>
      <c r="D793" s="26">
        <v>45997.0</v>
      </c>
      <c r="E793" s="22" t="s">
        <v>187</v>
      </c>
      <c r="F793" s="22" t="s">
        <v>698</v>
      </c>
      <c r="G793" s="22" t="s">
        <v>1953</v>
      </c>
      <c r="H793" s="22" t="s">
        <v>1242</v>
      </c>
      <c r="I793" s="22">
        <v>1.0452748992835E13</v>
      </c>
      <c r="J793" s="22" t="s">
        <v>817</v>
      </c>
      <c r="K793" s="24"/>
      <c r="L793" s="22" t="s">
        <v>1244</v>
      </c>
      <c r="M793" s="22">
        <v>1.0</v>
      </c>
      <c r="N793" s="22" t="s">
        <v>702</v>
      </c>
      <c r="O793" s="22" t="s">
        <v>703</v>
      </c>
      <c r="P793" s="24"/>
      <c r="Q793" s="22" t="s">
        <v>90</v>
      </c>
      <c r="R793" s="22">
        <v>3.2734057824579E13</v>
      </c>
      <c r="S793" s="24"/>
      <c r="T793" s="24"/>
      <c r="U793" s="24"/>
      <c r="V793" s="22" t="s">
        <v>95</v>
      </c>
      <c r="W793" s="33"/>
      <c r="X793" s="33"/>
      <c r="Y793" s="30"/>
      <c r="Z793" s="30"/>
      <c r="AA793" s="33"/>
      <c r="AB793" s="33"/>
      <c r="AC793" s="30"/>
      <c r="AD793" s="30"/>
      <c r="AE793" s="33"/>
      <c r="AF793" s="31"/>
      <c r="AG793" s="30"/>
      <c r="AH793" s="30"/>
      <c r="AI793" s="31"/>
      <c r="AJ793" s="31"/>
      <c r="AK793" s="32"/>
    </row>
    <row r="794">
      <c r="A794" s="21" t="s">
        <v>1204</v>
      </c>
      <c r="B794" s="22" t="s">
        <v>763</v>
      </c>
      <c r="C794" s="22" t="s">
        <v>82</v>
      </c>
      <c r="D794" s="26">
        <v>45997.0</v>
      </c>
      <c r="E794" s="22" t="s">
        <v>149</v>
      </c>
      <c r="F794" s="22" t="s">
        <v>623</v>
      </c>
      <c r="G794" s="22" t="s">
        <v>1954</v>
      </c>
      <c r="H794" s="22" t="s">
        <v>1204</v>
      </c>
      <c r="I794" s="22">
        <v>1.0452757512515E13</v>
      </c>
      <c r="J794" s="22" t="s">
        <v>765</v>
      </c>
      <c r="K794" s="24"/>
      <c r="L794" s="22" t="s">
        <v>1208</v>
      </c>
      <c r="M794" s="22">
        <v>1.0</v>
      </c>
      <c r="N794" s="22" t="s">
        <v>627</v>
      </c>
      <c r="O794" s="22" t="s">
        <v>628</v>
      </c>
      <c r="P794" s="24"/>
      <c r="Q794" s="22" t="s">
        <v>90</v>
      </c>
      <c r="R794" s="22">
        <v>3.2734077092163E13</v>
      </c>
      <c r="S794" s="24"/>
      <c r="T794" s="24"/>
      <c r="U794" s="24"/>
      <c r="V794" s="22" t="s">
        <v>91</v>
      </c>
      <c r="W794" s="33"/>
      <c r="X794" s="33"/>
      <c r="Y794" s="30"/>
      <c r="Z794" s="30"/>
      <c r="AA794" s="33"/>
      <c r="AB794" s="33"/>
      <c r="AC794" s="30"/>
      <c r="AD794" s="30"/>
      <c r="AE794" s="33"/>
      <c r="AF794" s="31"/>
      <c r="AG794" s="30"/>
      <c r="AH794" s="30"/>
      <c r="AI794" s="31"/>
      <c r="AJ794" s="31"/>
      <c r="AK794" s="32"/>
    </row>
    <row r="795">
      <c r="A795" s="21" t="s">
        <v>602</v>
      </c>
      <c r="B795" s="22" t="s">
        <v>1280</v>
      </c>
      <c r="C795" s="22" t="s">
        <v>82</v>
      </c>
      <c r="D795" s="26">
        <v>45997.0</v>
      </c>
      <c r="E795" s="22" t="s">
        <v>149</v>
      </c>
      <c r="F795" s="22" t="s">
        <v>605</v>
      </c>
      <c r="G795" s="22" t="s">
        <v>1955</v>
      </c>
      <c r="H795" s="22" t="s">
        <v>602</v>
      </c>
      <c r="I795" s="22">
        <v>1.0452761215299E13</v>
      </c>
      <c r="J795" s="22" t="s">
        <v>1282</v>
      </c>
      <c r="K795" s="24"/>
      <c r="L795" s="22" t="s">
        <v>608</v>
      </c>
      <c r="M795" s="22">
        <v>1.0</v>
      </c>
      <c r="N795" s="22" t="s">
        <v>609</v>
      </c>
      <c r="O795" s="22" t="s">
        <v>610</v>
      </c>
      <c r="P795" s="24"/>
      <c r="Q795" s="22" t="s">
        <v>90</v>
      </c>
      <c r="R795" s="22">
        <v>3.2734087905603E13</v>
      </c>
      <c r="S795" s="24"/>
      <c r="T795" s="24"/>
      <c r="U795" s="24"/>
      <c r="V795" s="22" t="s">
        <v>54</v>
      </c>
      <c r="W795" s="33"/>
      <c r="X795" s="33"/>
      <c r="Y795" s="30"/>
      <c r="Z795" s="30"/>
      <c r="AA795" s="33"/>
      <c r="AB795" s="33"/>
      <c r="AC795" s="30"/>
      <c r="AD795" s="30"/>
      <c r="AE795" s="33"/>
      <c r="AF795" s="31"/>
      <c r="AG795" s="30"/>
      <c r="AH795" s="30"/>
      <c r="AI795" s="31"/>
      <c r="AJ795" s="31"/>
      <c r="AK795" s="32"/>
    </row>
    <row r="796">
      <c r="A796" s="21" t="s">
        <v>92</v>
      </c>
      <c r="B796" s="22" t="s">
        <v>1595</v>
      </c>
      <c r="C796" s="22" t="s">
        <v>82</v>
      </c>
      <c r="D796" s="26">
        <v>45997.0</v>
      </c>
      <c r="E796" s="22" t="s">
        <v>149</v>
      </c>
      <c r="F796" s="22" t="s">
        <v>83</v>
      </c>
      <c r="G796" s="22" t="s">
        <v>1956</v>
      </c>
      <c r="H796" s="22" t="s">
        <v>92</v>
      </c>
      <c r="I796" s="22">
        <v>1.0452786053443E13</v>
      </c>
      <c r="J796" s="22" t="s">
        <v>1597</v>
      </c>
      <c r="K796" s="24"/>
      <c r="L796" s="22" t="s">
        <v>94</v>
      </c>
      <c r="M796" s="22">
        <v>1.0</v>
      </c>
      <c r="N796" s="22" t="s">
        <v>87</v>
      </c>
      <c r="O796" s="22" t="s">
        <v>88</v>
      </c>
      <c r="P796" s="24"/>
      <c r="Q796" s="22" t="s">
        <v>90</v>
      </c>
      <c r="R796" s="22">
        <v>3.2734151835971E13</v>
      </c>
      <c r="S796" s="24"/>
      <c r="T796" s="24"/>
      <c r="U796" s="24"/>
      <c r="V796" s="22" t="s">
        <v>95</v>
      </c>
      <c r="W796" s="33"/>
      <c r="X796" s="33"/>
      <c r="Y796" s="30"/>
      <c r="Z796" s="30"/>
      <c r="AA796" s="33"/>
      <c r="AB796" s="33"/>
      <c r="AC796" s="30"/>
      <c r="AD796" s="30"/>
      <c r="AE796" s="33"/>
      <c r="AF796" s="31"/>
      <c r="AG796" s="30"/>
      <c r="AH796" s="30"/>
      <c r="AI796" s="31"/>
      <c r="AJ796" s="31"/>
      <c r="AK796" s="32"/>
    </row>
    <row r="797">
      <c r="A797" s="21" t="s">
        <v>1554</v>
      </c>
      <c r="B797" s="22" t="s">
        <v>1828</v>
      </c>
      <c r="C797" s="22" t="s">
        <v>82</v>
      </c>
      <c r="D797" s="26">
        <v>45997.0</v>
      </c>
      <c r="E797" s="22" t="s">
        <v>1822</v>
      </c>
      <c r="F797" s="22" t="s">
        <v>1466</v>
      </c>
      <c r="G797" s="22" t="s">
        <v>1957</v>
      </c>
      <c r="H797" s="22" t="s">
        <v>1554</v>
      </c>
      <c r="I797" s="22">
        <v>1.0452790706499E13</v>
      </c>
      <c r="J797" s="22" t="s">
        <v>1824</v>
      </c>
      <c r="K797" s="24"/>
      <c r="L797" s="22" t="s">
        <v>1556</v>
      </c>
      <c r="M797" s="22">
        <v>1.0</v>
      </c>
      <c r="N797" s="22" t="s">
        <v>1470</v>
      </c>
      <c r="O797" s="22" t="s">
        <v>1471</v>
      </c>
      <c r="P797" s="24"/>
      <c r="Q797" s="22" t="s">
        <v>90</v>
      </c>
      <c r="R797" s="22">
        <v>3.2734164156739E13</v>
      </c>
      <c r="S797" s="24"/>
      <c r="T797" s="24"/>
      <c r="U797" s="24"/>
      <c r="V797" s="22" t="s">
        <v>91</v>
      </c>
      <c r="W797" s="33"/>
      <c r="X797" s="33"/>
      <c r="Y797" s="30"/>
      <c r="Z797" s="30"/>
      <c r="AA797" s="33"/>
      <c r="AB797" s="33"/>
      <c r="AC797" s="30"/>
      <c r="AD797" s="30"/>
      <c r="AE797" s="33"/>
      <c r="AF797" s="31"/>
      <c r="AG797" s="30"/>
      <c r="AH797" s="30"/>
      <c r="AI797" s="31"/>
      <c r="AJ797" s="31"/>
      <c r="AK797" s="32"/>
    </row>
    <row r="798">
      <c r="A798" s="21" t="s">
        <v>692</v>
      </c>
      <c r="B798" s="22" t="s">
        <v>587</v>
      </c>
      <c r="C798" s="22" t="s">
        <v>273</v>
      </c>
      <c r="D798" s="26">
        <v>45998.0</v>
      </c>
      <c r="E798" s="22" t="s">
        <v>153</v>
      </c>
      <c r="F798" s="22" t="s">
        <v>369</v>
      </c>
      <c r="G798" s="22" t="s">
        <v>1958</v>
      </c>
      <c r="H798" s="22" t="s">
        <v>692</v>
      </c>
      <c r="I798" s="22">
        <v>1.0453039350083E13</v>
      </c>
      <c r="J798" s="22" t="s">
        <v>589</v>
      </c>
      <c r="K798" s="24"/>
      <c r="L798" s="22" t="s">
        <v>694</v>
      </c>
      <c r="M798" s="22">
        <v>1.0</v>
      </c>
      <c r="N798" s="22" t="s">
        <v>373</v>
      </c>
      <c r="O798" s="22" t="s">
        <v>374</v>
      </c>
      <c r="P798" s="24"/>
      <c r="Q798" s="22" t="s">
        <v>90</v>
      </c>
      <c r="R798" s="22">
        <v>3.2734718361923E13</v>
      </c>
      <c r="S798" s="24"/>
      <c r="T798" s="24"/>
      <c r="U798" s="24"/>
      <c r="V798" s="22" t="s">
        <v>54</v>
      </c>
      <c r="W798" s="33"/>
      <c r="X798" s="33"/>
      <c r="Y798" s="30"/>
      <c r="Z798" s="30"/>
      <c r="AA798" s="33"/>
      <c r="AB798" s="33"/>
      <c r="AC798" s="30"/>
      <c r="AD798" s="30"/>
      <c r="AE798" s="33"/>
      <c r="AF798" s="31"/>
      <c r="AG798" s="30"/>
      <c r="AH798" s="30"/>
      <c r="AI798" s="31"/>
      <c r="AJ798" s="31"/>
      <c r="AK798" s="32"/>
    </row>
    <row r="799">
      <c r="A799" s="21" t="s">
        <v>1048</v>
      </c>
      <c r="B799" s="22" t="s">
        <v>1675</v>
      </c>
      <c r="C799" s="22" t="s">
        <v>273</v>
      </c>
      <c r="D799" s="26">
        <v>45998.0</v>
      </c>
      <c r="E799" s="22" t="s">
        <v>211</v>
      </c>
      <c r="F799" s="22" t="s">
        <v>440</v>
      </c>
      <c r="G799" s="22" t="s">
        <v>1959</v>
      </c>
      <c r="H799" s="22" t="s">
        <v>1048</v>
      </c>
      <c r="I799" s="22">
        <v>1.0453047247171E13</v>
      </c>
      <c r="J799" s="22" t="s">
        <v>1677</v>
      </c>
      <c r="K799" s="24"/>
      <c r="L799" s="22" t="s">
        <v>1052</v>
      </c>
      <c r="M799" s="22">
        <v>1.0</v>
      </c>
      <c r="N799" s="22" t="s">
        <v>444</v>
      </c>
      <c r="O799" s="22" t="s">
        <v>445</v>
      </c>
      <c r="P799" s="24"/>
      <c r="Q799" s="22" t="s">
        <v>90</v>
      </c>
      <c r="R799" s="22">
        <v>3.2734735794499E13</v>
      </c>
      <c r="S799" s="24"/>
      <c r="T799" s="24"/>
      <c r="U799" s="24"/>
      <c r="V799" s="22" t="s">
        <v>54</v>
      </c>
      <c r="W799" s="33"/>
      <c r="X799" s="33"/>
      <c r="Y799" s="30"/>
      <c r="Z799" s="30"/>
      <c r="AA799" s="33"/>
      <c r="AB799" s="33"/>
      <c r="AC799" s="30"/>
      <c r="AD799" s="30"/>
      <c r="AE799" s="33"/>
      <c r="AF799" s="31"/>
      <c r="AG799" s="30"/>
      <c r="AH799" s="30"/>
      <c r="AI799" s="31"/>
      <c r="AJ799" s="31"/>
      <c r="AK799" s="32"/>
    </row>
    <row r="800">
      <c r="A800" s="21" t="s">
        <v>141</v>
      </c>
      <c r="B800" s="22" t="s">
        <v>1960</v>
      </c>
      <c r="C800" s="22" t="s">
        <v>202</v>
      </c>
      <c r="D800" s="26">
        <v>45996.0</v>
      </c>
      <c r="E800" s="22" t="s">
        <v>266</v>
      </c>
      <c r="F800" s="22" t="s">
        <v>83</v>
      </c>
      <c r="G800" s="22" t="s">
        <v>1961</v>
      </c>
      <c r="H800" s="22" t="s">
        <v>141</v>
      </c>
      <c r="I800" s="22">
        <v>1.0453124055363E13</v>
      </c>
      <c r="J800" s="22" t="s">
        <v>1962</v>
      </c>
      <c r="K800" s="24"/>
      <c r="L800" s="22" t="s">
        <v>143</v>
      </c>
      <c r="M800" s="22">
        <v>1.0</v>
      </c>
      <c r="N800" s="22" t="s">
        <v>87</v>
      </c>
      <c r="O800" s="22" t="s">
        <v>88</v>
      </c>
      <c r="P800" s="24"/>
      <c r="Q800" s="22" t="s">
        <v>90</v>
      </c>
      <c r="R800" s="22">
        <v>3.2734896783683E13</v>
      </c>
      <c r="S800" s="24"/>
      <c r="T800" s="24"/>
      <c r="U800" s="24"/>
      <c r="V800" s="22" t="s">
        <v>54</v>
      </c>
      <c r="W800" s="33"/>
      <c r="X800" s="33"/>
      <c r="Y800" s="30"/>
      <c r="Z800" s="30"/>
      <c r="AA800" s="33"/>
      <c r="AB800" s="33"/>
      <c r="AC800" s="30"/>
      <c r="AD800" s="30"/>
      <c r="AE800" s="33"/>
      <c r="AF800" s="31"/>
      <c r="AG800" s="30"/>
      <c r="AH800" s="30"/>
      <c r="AI800" s="31"/>
      <c r="AJ800" s="31"/>
      <c r="AK800" s="32"/>
    </row>
    <row r="801">
      <c r="A801" s="21" t="s">
        <v>789</v>
      </c>
      <c r="B801" s="22" t="s">
        <v>1280</v>
      </c>
      <c r="C801" s="22" t="s">
        <v>82</v>
      </c>
      <c r="D801" s="26">
        <v>45997.0</v>
      </c>
      <c r="E801" s="22" t="s">
        <v>149</v>
      </c>
      <c r="F801" s="22" t="s">
        <v>605</v>
      </c>
      <c r="G801" s="22" t="s">
        <v>1963</v>
      </c>
      <c r="H801" s="22" t="s">
        <v>789</v>
      </c>
      <c r="I801" s="22">
        <v>1.0453129199939E13</v>
      </c>
      <c r="J801" s="22" t="s">
        <v>1282</v>
      </c>
      <c r="K801" s="24"/>
      <c r="L801" s="22" t="s">
        <v>794</v>
      </c>
      <c r="M801" s="22">
        <v>1.0</v>
      </c>
      <c r="N801" s="22" t="s">
        <v>795</v>
      </c>
      <c r="O801" s="22" t="s">
        <v>796</v>
      </c>
      <c r="P801" s="24"/>
      <c r="Q801" s="22" t="s">
        <v>90</v>
      </c>
      <c r="R801" s="22">
        <v>3.2734907171139E13</v>
      </c>
      <c r="S801" s="24"/>
      <c r="T801" s="24"/>
      <c r="U801" s="24"/>
      <c r="V801" s="22" t="s">
        <v>105</v>
      </c>
      <c r="W801" s="33"/>
      <c r="X801" s="33"/>
      <c r="Y801" s="30"/>
      <c r="Z801" s="30"/>
      <c r="AA801" s="33"/>
      <c r="AB801" s="33"/>
      <c r="AC801" s="30"/>
      <c r="AD801" s="30"/>
      <c r="AE801" s="33"/>
      <c r="AF801" s="31"/>
      <c r="AG801" s="30"/>
      <c r="AH801" s="30"/>
      <c r="AI801" s="31"/>
      <c r="AJ801" s="31"/>
      <c r="AK801" s="32"/>
    </row>
    <row r="802">
      <c r="A802" s="21" t="s">
        <v>96</v>
      </c>
      <c r="B802" s="22" t="s">
        <v>1964</v>
      </c>
      <c r="C802" s="22" t="s">
        <v>273</v>
      </c>
      <c r="D802" s="23">
        <v>45991.0</v>
      </c>
      <c r="E802" s="22" t="s">
        <v>196</v>
      </c>
      <c r="F802" s="22" t="s">
        <v>83</v>
      </c>
      <c r="G802" s="22" t="s">
        <v>1965</v>
      </c>
      <c r="H802" s="22" t="s">
        <v>96</v>
      </c>
      <c r="I802" s="22">
        <v>1.0453131460931E13</v>
      </c>
      <c r="J802" s="22" t="s">
        <v>1966</v>
      </c>
      <c r="K802" s="24"/>
      <c r="L802" s="22" t="s">
        <v>98</v>
      </c>
      <c r="M802" s="22">
        <v>1.0</v>
      </c>
      <c r="N802" s="22" t="s">
        <v>87</v>
      </c>
      <c r="O802" s="22" t="s">
        <v>88</v>
      </c>
      <c r="P802" s="24"/>
      <c r="Q802" s="22" t="s">
        <v>90</v>
      </c>
      <c r="R802" s="22">
        <v>3.2734911922499E13</v>
      </c>
      <c r="S802" s="24"/>
      <c r="T802" s="24"/>
      <c r="U802" s="24"/>
      <c r="V802" s="22" t="s">
        <v>55</v>
      </c>
      <c r="W802" s="33"/>
      <c r="X802" s="33"/>
      <c r="Y802" s="30"/>
      <c r="Z802" s="30"/>
      <c r="AA802" s="33"/>
      <c r="AB802" s="33"/>
      <c r="AC802" s="30"/>
      <c r="AD802" s="30"/>
      <c r="AE802" s="33"/>
      <c r="AF802" s="31"/>
      <c r="AG802" s="30"/>
      <c r="AH802" s="30"/>
      <c r="AI802" s="31"/>
      <c r="AJ802" s="31"/>
      <c r="AK802" s="32"/>
    </row>
    <row r="803">
      <c r="A803" s="21" t="s">
        <v>550</v>
      </c>
      <c r="B803" s="22" t="s">
        <v>1120</v>
      </c>
      <c r="C803" s="22" t="s">
        <v>82</v>
      </c>
      <c r="D803" s="23">
        <v>46004.0</v>
      </c>
      <c r="E803" s="22" t="s">
        <v>153</v>
      </c>
      <c r="F803" s="22" t="s">
        <v>377</v>
      </c>
      <c r="G803" s="22" t="s">
        <v>1967</v>
      </c>
      <c r="H803" s="22" t="s">
        <v>550</v>
      </c>
      <c r="I803" s="22">
        <v>1.0453148959043E13</v>
      </c>
      <c r="J803" s="22" t="s">
        <v>1122</v>
      </c>
      <c r="K803" s="24"/>
      <c r="L803" s="22" t="s">
        <v>552</v>
      </c>
      <c r="M803" s="22">
        <v>1.0</v>
      </c>
      <c r="N803" s="22" t="s">
        <v>381</v>
      </c>
      <c r="O803" s="22" t="s">
        <v>382</v>
      </c>
      <c r="P803" s="24"/>
      <c r="Q803" s="22" t="s">
        <v>90</v>
      </c>
      <c r="R803" s="22">
        <v>3.2734951014723E13</v>
      </c>
      <c r="S803" s="24"/>
      <c r="T803" s="24"/>
      <c r="U803" s="24"/>
      <c r="V803" s="22" t="s">
        <v>95</v>
      </c>
      <c r="W803" s="33"/>
      <c r="X803" s="33"/>
      <c r="Y803" s="30"/>
      <c r="Z803" s="30"/>
      <c r="AA803" s="33"/>
      <c r="AB803" s="33"/>
      <c r="AC803" s="30"/>
      <c r="AD803" s="30"/>
      <c r="AE803" s="33"/>
      <c r="AF803" s="31"/>
      <c r="AG803" s="30"/>
      <c r="AH803" s="30"/>
      <c r="AI803" s="31"/>
      <c r="AJ803" s="31"/>
      <c r="AK803" s="32"/>
    </row>
    <row r="804">
      <c r="A804" s="21" t="s">
        <v>1180</v>
      </c>
      <c r="B804" s="22" t="s">
        <v>1205</v>
      </c>
      <c r="C804" s="22" t="s">
        <v>273</v>
      </c>
      <c r="D804" s="26">
        <v>45998.0</v>
      </c>
      <c r="E804" s="22" t="s">
        <v>149</v>
      </c>
      <c r="F804" s="22" t="s">
        <v>623</v>
      </c>
      <c r="G804" s="22" t="s">
        <v>1968</v>
      </c>
      <c r="H804" s="22" t="s">
        <v>1180</v>
      </c>
      <c r="I804" s="22">
        <v>1.0453157151043E13</v>
      </c>
      <c r="J804" s="22" t="s">
        <v>1207</v>
      </c>
      <c r="K804" s="24"/>
      <c r="L804" s="22" t="s">
        <v>1182</v>
      </c>
      <c r="M804" s="22">
        <v>1.0</v>
      </c>
      <c r="N804" s="22" t="s">
        <v>1088</v>
      </c>
      <c r="O804" s="22" t="s">
        <v>1089</v>
      </c>
      <c r="P804" s="24"/>
      <c r="Q804" s="22" t="s">
        <v>90</v>
      </c>
      <c r="R804" s="22">
        <v>3.2734969037123E13</v>
      </c>
      <c r="S804" s="24"/>
      <c r="T804" s="24"/>
      <c r="U804" s="24"/>
      <c r="V804" s="22" t="s">
        <v>105</v>
      </c>
      <c r="W804" s="33"/>
      <c r="X804" s="33"/>
      <c r="Y804" s="30"/>
      <c r="Z804" s="30"/>
      <c r="AA804" s="33"/>
      <c r="AB804" s="33"/>
      <c r="AC804" s="30"/>
      <c r="AD804" s="30"/>
      <c r="AE804" s="33"/>
      <c r="AF804" s="31"/>
      <c r="AG804" s="30"/>
      <c r="AH804" s="30"/>
      <c r="AI804" s="31"/>
      <c r="AJ804" s="31"/>
      <c r="AK804" s="32"/>
    </row>
    <row r="805">
      <c r="A805" s="21" t="s">
        <v>327</v>
      </c>
      <c r="B805" s="22" t="s">
        <v>1969</v>
      </c>
      <c r="C805" s="22" t="s">
        <v>273</v>
      </c>
      <c r="D805" s="23">
        <v>45991.0</v>
      </c>
      <c r="E805" s="22" t="s">
        <v>252</v>
      </c>
      <c r="F805" s="22" t="s">
        <v>329</v>
      </c>
      <c r="G805" s="22" t="s">
        <v>1970</v>
      </c>
      <c r="H805" s="22" t="s">
        <v>327</v>
      </c>
      <c r="I805" s="22">
        <v>1.0453157347651E13</v>
      </c>
      <c r="J805" s="22" t="s">
        <v>1971</v>
      </c>
      <c r="K805" s="24"/>
      <c r="L805" s="22" t="s">
        <v>332</v>
      </c>
      <c r="M805" s="22">
        <v>1.0</v>
      </c>
      <c r="N805" s="22" t="s">
        <v>333</v>
      </c>
      <c r="O805" s="22" t="s">
        <v>334</v>
      </c>
      <c r="P805" s="24"/>
      <c r="Q805" s="22" t="s">
        <v>90</v>
      </c>
      <c r="R805" s="22">
        <v>3.2734969692483E13</v>
      </c>
      <c r="S805" s="24"/>
      <c r="T805" s="24"/>
      <c r="U805" s="24"/>
      <c r="V805" s="22" t="s">
        <v>55</v>
      </c>
      <c r="W805" s="33"/>
      <c r="X805" s="33"/>
      <c r="Y805" s="30"/>
      <c r="Z805" s="30"/>
      <c r="AA805" s="33"/>
      <c r="AB805" s="33"/>
      <c r="AC805" s="30"/>
      <c r="AD805" s="30"/>
      <c r="AE805" s="33"/>
      <c r="AF805" s="31"/>
      <c r="AG805" s="30"/>
      <c r="AH805" s="30"/>
      <c r="AI805" s="31"/>
      <c r="AJ805" s="31"/>
      <c r="AK805" s="32"/>
    </row>
    <row r="806">
      <c r="A806" s="21" t="s">
        <v>408</v>
      </c>
      <c r="B806" s="22" t="s">
        <v>1120</v>
      </c>
      <c r="C806" s="22" t="s">
        <v>82</v>
      </c>
      <c r="D806" s="23">
        <v>46004.0</v>
      </c>
      <c r="E806" s="22" t="s">
        <v>153</v>
      </c>
      <c r="F806" s="22" t="s">
        <v>377</v>
      </c>
      <c r="G806" s="22" t="s">
        <v>1972</v>
      </c>
      <c r="H806" s="22" t="s">
        <v>408</v>
      </c>
      <c r="I806" s="22">
        <v>1.0453157904707E13</v>
      </c>
      <c r="J806" s="22" t="s">
        <v>1122</v>
      </c>
      <c r="K806" s="24"/>
      <c r="L806" s="22" t="s">
        <v>412</v>
      </c>
      <c r="M806" s="22">
        <v>1.0</v>
      </c>
      <c r="N806" s="22" t="s">
        <v>413</v>
      </c>
      <c r="O806" s="22" t="s">
        <v>414</v>
      </c>
      <c r="P806" s="24"/>
      <c r="Q806" s="22" t="s">
        <v>90</v>
      </c>
      <c r="R806" s="22">
        <v>3.2734970970435E13</v>
      </c>
      <c r="S806" s="24"/>
      <c r="T806" s="24"/>
      <c r="U806" s="24"/>
      <c r="V806" s="22" t="s">
        <v>127</v>
      </c>
      <c r="W806" s="33"/>
      <c r="X806" s="33"/>
      <c r="Y806" s="30"/>
      <c r="Z806" s="30"/>
      <c r="AA806" s="33"/>
      <c r="AB806" s="33"/>
      <c r="AC806" s="30"/>
      <c r="AD806" s="30"/>
      <c r="AE806" s="33"/>
      <c r="AF806" s="31"/>
      <c r="AG806" s="30"/>
      <c r="AH806" s="30"/>
      <c r="AI806" s="31"/>
      <c r="AJ806" s="31"/>
      <c r="AK806" s="32"/>
    </row>
    <row r="807">
      <c r="A807" s="21" t="s">
        <v>478</v>
      </c>
      <c r="B807" s="22" t="s">
        <v>1343</v>
      </c>
      <c r="C807" s="22" t="s">
        <v>273</v>
      </c>
      <c r="D807" s="26">
        <v>45998.0</v>
      </c>
      <c r="E807" s="22" t="s">
        <v>266</v>
      </c>
      <c r="F807" s="22" t="s">
        <v>472</v>
      </c>
      <c r="G807" s="22" t="s">
        <v>1973</v>
      </c>
      <c r="H807" s="22" t="s">
        <v>478</v>
      </c>
      <c r="I807" s="22">
        <v>1.0453163770179E13</v>
      </c>
      <c r="J807" s="22" t="s">
        <v>1345</v>
      </c>
      <c r="K807" s="24"/>
      <c r="L807" s="22" t="s">
        <v>483</v>
      </c>
      <c r="M807" s="22">
        <v>1.0</v>
      </c>
      <c r="N807" s="22" t="s">
        <v>476</v>
      </c>
      <c r="O807" s="22" t="s">
        <v>477</v>
      </c>
      <c r="P807" s="24"/>
      <c r="Q807" s="22" t="s">
        <v>90</v>
      </c>
      <c r="R807" s="22">
        <v>3.2734983225667E13</v>
      </c>
      <c r="S807" s="24"/>
      <c r="T807" s="24"/>
      <c r="U807" s="24"/>
      <c r="V807" s="22" t="s">
        <v>95</v>
      </c>
      <c r="W807" s="33"/>
      <c r="X807" s="33"/>
      <c r="Y807" s="30"/>
      <c r="Z807" s="30"/>
      <c r="AA807" s="33"/>
      <c r="AB807" s="33"/>
      <c r="AC807" s="30"/>
      <c r="AD807" s="30"/>
      <c r="AE807" s="33"/>
      <c r="AF807" s="31"/>
      <c r="AG807" s="30"/>
      <c r="AH807" s="30"/>
      <c r="AI807" s="31"/>
      <c r="AJ807" s="31"/>
      <c r="AK807" s="32"/>
    </row>
    <row r="808">
      <c r="A808" s="21" t="s">
        <v>885</v>
      </c>
      <c r="B808" s="22" t="s">
        <v>1510</v>
      </c>
      <c r="C808" s="22" t="s">
        <v>82</v>
      </c>
      <c r="D808" s="26">
        <v>45997.0</v>
      </c>
      <c r="E808" s="22" t="s">
        <v>266</v>
      </c>
      <c r="F808" s="22" t="s">
        <v>605</v>
      </c>
      <c r="G808" s="22" t="s">
        <v>1974</v>
      </c>
      <c r="H808" s="22" t="s">
        <v>885</v>
      </c>
      <c r="I808" s="22">
        <v>1.0453169537347E13</v>
      </c>
      <c r="J808" s="22" t="s">
        <v>1512</v>
      </c>
      <c r="K808" s="24"/>
      <c r="L808" s="22" t="s">
        <v>890</v>
      </c>
      <c r="M808" s="22">
        <v>1.0</v>
      </c>
      <c r="N808" s="22" t="s">
        <v>795</v>
      </c>
      <c r="O808" s="22" t="s">
        <v>796</v>
      </c>
      <c r="P808" s="24"/>
      <c r="Q808" s="22" t="s">
        <v>90</v>
      </c>
      <c r="R808" s="22">
        <v>3.2734995743043E13</v>
      </c>
      <c r="S808" s="24"/>
      <c r="T808" s="24"/>
      <c r="U808" s="24"/>
      <c r="V808" s="22" t="s">
        <v>127</v>
      </c>
      <c r="W808" s="33"/>
      <c r="X808" s="33"/>
      <c r="Y808" s="30"/>
      <c r="Z808" s="30"/>
      <c r="AA808" s="33"/>
      <c r="AB808" s="33"/>
      <c r="AC808" s="30"/>
      <c r="AD808" s="30"/>
      <c r="AE808" s="33"/>
      <c r="AF808" s="31"/>
      <c r="AG808" s="30"/>
      <c r="AH808" s="30"/>
      <c r="AI808" s="31"/>
      <c r="AJ808" s="31"/>
      <c r="AK808" s="32"/>
    </row>
    <row r="809">
      <c r="A809" s="21" t="s">
        <v>912</v>
      </c>
      <c r="B809" s="22" t="s">
        <v>512</v>
      </c>
      <c r="C809" s="22" t="s">
        <v>82</v>
      </c>
      <c r="D809" s="26">
        <v>45997.0</v>
      </c>
      <c r="E809" s="22" t="s">
        <v>153</v>
      </c>
      <c r="F809" s="22" t="s">
        <v>377</v>
      </c>
      <c r="G809" s="22" t="s">
        <v>1975</v>
      </c>
      <c r="H809" s="22" t="s">
        <v>912</v>
      </c>
      <c r="I809" s="22">
        <v>1.0453176451395E13</v>
      </c>
      <c r="J809" s="22" t="s">
        <v>514</v>
      </c>
      <c r="K809" s="24"/>
      <c r="L809" s="22" t="s">
        <v>914</v>
      </c>
      <c r="M809" s="22">
        <v>1.0</v>
      </c>
      <c r="N809" s="22" t="s">
        <v>381</v>
      </c>
      <c r="O809" s="22" t="s">
        <v>382</v>
      </c>
      <c r="P809" s="24"/>
      <c r="Q809" s="22" t="s">
        <v>90</v>
      </c>
      <c r="R809" s="22">
        <v>3.2735011373379E13</v>
      </c>
      <c r="S809" s="24"/>
      <c r="T809" s="24"/>
      <c r="U809" s="24"/>
      <c r="V809" s="22" t="s">
        <v>54</v>
      </c>
      <c r="W809" s="33"/>
      <c r="X809" s="33"/>
      <c r="Y809" s="30"/>
      <c r="Z809" s="30"/>
      <c r="AA809" s="33"/>
      <c r="AB809" s="33"/>
      <c r="AC809" s="30"/>
      <c r="AD809" s="30"/>
      <c r="AE809" s="33"/>
      <c r="AF809" s="31"/>
      <c r="AG809" s="30"/>
      <c r="AH809" s="30"/>
      <c r="AI809" s="31"/>
      <c r="AJ809" s="31"/>
      <c r="AK809" s="32"/>
    </row>
    <row r="810">
      <c r="A810" s="21" t="s">
        <v>367</v>
      </c>
      <c r="B810" s="22" t="s">
        <v>587</v>
      </c>
      <c r="C810" s="22" t="s">
        <v>273</v>
      </c>
      <c r="D810" s="26">
        <v>45998.0</v>
      </c>
      <c r="E810" s="22" t="s">
        <v>153</v>
      </c>
      <c r="F810" s="22" t="s">
        <v>369</v>
      </c>
      <c r="G810" s="22" t="s">
        <v>1976</v>
      </c>
      <c r="H810" s="22" t="s">
        <v>367</v>
      </c>
      <c r="I810" s="22">
        <v>1.0453199028547E13</v>
      </c>
      <c r="J810" s="22" t="s">
        <v>589</v>
      </c>
      <c r="K810" s="24"/>
      <c r="L810" s="22" t="s">
        <v>372</v>
      </c>
      <c r="M810" s="22">
        <v>1.0</v>
      </c>
      <c r="N810" s="22" t="s">
        <v>373</v>
      </c>
      <c r="O810" s="22" t="s">
        <v>374</v>
      </c>
      <c r="P810" s="24"/>
      <c r="Q810" s="22" t="s">
        <v>90</v>
      </c>
      <c r="R810" s="22">
        <v>3.2735062819139E13</v>
      </c>
      <c r="S810" s="24"/>
      <c r="T810" s="24"/>
      <c r="U810" s="24"/>
      <c r="V810" s="22" t="s">
        <v>55</v>
      </c>
      <c r="W810" s="33"/>
      <c r="X810" s="33"/>
      <c r="Y810" s="30"/>
      <c r="Z810" s="30"/>
      <c r="AA810" s="33"/>
      <c r="AB810" s="33"/>
      <c r="AC810" s="30"/>
      <c r="AD810" s="30"/>
      <c r="AE810" s="33"/>
      <c r="AF810" s="31"/>
      <c r="AG810" s="30"/>
      <c r="AH810" s="30"/>
      <c r="AI810" s="31"/>
      <c r="AJ810" s="31"/>
      <c r="AK810" s="32"/>
    </row>
    <row r="811">
      <c r="A811" s="21" t="s">
        <v>1359</v>
      </c>
      <c r="B811" s="22" t="s">
        <v>1977</v>
      </c>
      <c r="C811" s="22" t="s">
        <v>82</v>
      </c>
      <c r="D811" s="26">
        <v>45994.0</v>
      </c>
      <c r="E811" s="22" t="s">
        <v>149</v>
      </c>
      <c r="F811" s="22" t="s">
        <v>605</v>
      </c>
      <c r="G811" s="22" t="s">
        <v>1978</v>
      </c>
      <c r="H811" s="22" t="s">
        <v>1359</v>
      </c>
      <c r="I811" s="22">
        <v>1.0452476723523E13</v>
      </c>
      <c r="J811" s="22" t="s">
        <v>1282</v>
      </c>
      <c r="K811" s="24"/>
      <c r="L811" s="22" t="s">
        <v>1363</v>
      </c>
      <c r="M811" s="22">
        <v>1.0</v>
      </c>
      <c r="N811" s="22" t="s">
        <v>795</v>
      </c>
      <c r="O811" s="22" t="s">
        <v>796</v>
      </c>
      <c r="P811" s="24"/>
      <c r="Q811" s="22" t="s">
        <v>90</v>
      </c>
      <c r="R811" s="22">
        <v>3.2733375299907E13</v>
      </c>
      <c r="S811" s="24"/>
      <c r="T811" s="24"/>
      <c r="U811" s="24"/>
      <c r="V811" s="22" t="s">
        <v>175</v>
      </c>
      <c r="W811" s="33"/>
      <c r="X811" s="33"/>
      <c r="Y811" s="30"/>
      <c r="Z811" s="30"/>
      <c r="AA811" s="33"/>
      <c r="AB811" s="33"/>
      <c r="AC811" s="30"/>
      <c r="AD811" s="30"/>
      <c r="AE811" s="33"/>
      <c r="AF811" s="31"/>
      <c r="AG811" s="30"/>
      <c r="AH811" s="30"/>
      <c r="AI811" s="31"/>
      <c r="AJ811" s="31"/>
      <c r="AK811" s="32"/>
    </row>
    <row r="812">
      <c r="A812" s="21" t="s">
        <v>696</v>
      </c>
      <c r="B812" s="22" t="s">
        <v>815</v>
      </c>
      <c r="C812" s="22" t="s">
        <v>82</v>
      </c>
      <c r="D812" s="26">
        <v>45997.0</v>
      </c>
      <c r="E812" s="22" t="s">
        <v>187</v>
      </c>
      <c r="F812" s="22" t="s">
        <v>698</v>
      </c>
      <c r="G812" s="22" t="s">
        <v>1979</v>
      </c>
      <c r="H812" s="22" t="s">
        <v>696</v>
      </c>
      <c r="I812" s="22">
        <v>1.0452476985667E13</v>
      </c>
      <c r="J812" s="22" t="s">
        <v>817</v>
      </c>
      <c r="K812" s="24"/>
      <c r="L812" s="22" t="s">
        <v>701</v>
      </c>
      <c r="M812" s="22">
        <v>1.0</v>
      </c>
      <c r="N812" s="22" t="s">
        <v>702</v>
      </c>
      <c r="O812" s="22" t="s">
        <v>703</v>
      </c>
      <c r="P812" s="24"/>
      <c r="Q812" s="22" t="s">
        <v>90</v>
      </c>
      <c r="R812" s="22">
        <v>3.2733375922499E13</v>
      </c>
      <c r="S812" s="24"/>
      <c r="T812" s="24"/>
      <c r="U812" s="24"/>
      <c r="V812" s="22" t="s">
        <v>55</v>
      </c>
      <c r="W812" s="33"/>
      <c r="X812" s="33"/>
      <c r="Y812" s="30"/>
      <c r="Z812" s="30"/>
      <c r="AA812" s="33"/>
      <c r="AB812" s="33"/>
      <c r="AC812" s="30"/>
      <c r="AD812" s="30"/>
      <c r="AE812" s="33"/>
      <c r="AF812" s="31"/>
      <c r="AG812" s="30"/>
      <c r="AH812" s="30"/>
      <c r="AI812" s="31"/>
      <c r="AJ812" s="31"/>
      <c r="AK812" s="32"/>
    </row>
    <row r="813">
      <c r="A813" s="21" t="s">
        <v>1527</v>
      </c>
      <c r="B813" s="22" t="s">
        <v>1980</v>
      </c>
      <c r="C813" s="22" t="s">
        <v>82</v>
      </c>
      <c r="D813" s="26">
        <v>45997.0</v>
      </c>
      <c r="E813" s="22" t="s">
        <v>1981</v>
      </c>
      <c r="F813" s="22" t="s">
        <v>451</v>
      </c>
      <c r="G813" s="22" t="s">
        <v>1982</v>
      </c>
      <c r="H813" s="22" t="s">
        <v>1527</v>
      </c>
      <c r="I813" s="22">
        <v>1.0452458864963E13</v>
      </c>
      <c r="J813" s="22" t="s">
        <v>1530</v>
      </c>
      <c r="K813" s="24"/>
      <c r="L813" s="22" t="s">
        <v>1531</v>
      </c>
      <c r="M813" s="22">
        <v>1.0</v>
      </c>
      <c r="N813" s="22" t="s">
        <v>1277</v>
      </c>
      <c r="O813" s="22" t="s">
        <v>1278</v>
      </c>
      <c r="P813" s="24"/>
      <c r="Q813" s="22" t="s">
        <v>90</v>
      </c>
      <c r="R813" s="22">
        <v>3.2733333455171E13</v>
      </c>
      <c r="S813" s="24"/>
      <c r="T813" s="24"/>
      <c r="U813" s="24"/>
      <c r="V813" s="22" t="s">
        <v>105</v>
      </c>
      <c r="W813" s="33"/>
      <c r="X813" s="33"/>
      <c r="Y813" s="30"/>
      <c r="Z813" s="30"/>
      <c r="AA813" s="33"/>
      <c r="AB813" s="33"/>
      <c r="AC813" s="30"/>
      <c r="AD813" s="30"/>
      <c r="AE813" s="33"/>
      <c r="AF813" s="31"/>
      <c r="AG813" s="30"/>
      <c r="AH813" s="30"/>
      <c r="AI813" s="31"/>
      <c r="AJ813" s="31"/>
      <c r="AK813" s="32"/>
    </row>
    <row r="814">
      <c r="A814" s="21" t="s">
        <v>902</v>
      </c>
      <c r="B814" s="22" t="s">
        <v>1258</v>
      </c>
      <c r="C814" s="22" t="s">
        <v>273</v>
      </c>
      <c r="D814" s="23">
        <v>45991.0</v>
      </c>
      <c r="E814" s="22" t="s">
        <v>149</v>
      </c>
      <c r="F814" s="22" t="s">
        <v>329</v>
      </c>
      <c r="G814" s="22" t="s">
        <v>1983</v>
      </c>
      <c r="H814" s="22" t="s">
        <v>902</v>
      </c>
      <c r="I814" s="22">
        <v>1.0453232615747E13</v>
      </c>
      <c r="J814" s="22" t="s">
        <v>1260</v>
      </c>
      <c r="K814" s="24"/>
      <c r="L814" s="22" t="s">
        <v>906</v>
      </c>
      <c r="M814" s="22">
        <v>1.0</v>
      </c>
      <c r="N814" s="22" t="s">
        <v>907</v>
      </c>
      <c r="O814" s="22" t="s">
        <v>908</v>
      </c>
      <c r="P814" s="24"/>
      <c r="Q814" s="22" t="s">
        <v>90</v>
      </c>
      <c r="R814" s="22">
        <v>3.2735135727939E13</v>
      </c>
      <c r="S814" s="24"/>
      <c r="T814" s="24"/>
      <c r="U814" s="24"/>
      <c r="V814" s="22" t="s">
        <v>105</v>
      </c>
      <c r="W814" s="33"/>
      <c r="X814" s="33"/>
      <c r="Y814" s="30"/>
      <c r="Z814" s="30"/>
      <c r="AA814" s="33"/>
      <c r="AB814" s="33"/>
      <c r="AC814" s="30"/>
      <c r="AD814" s="30"/>
      <c r="AE814" s="33"/>
      <c r="AF814" s="31"/>
      <c r="AG814" s="30"/>
      <c r="AH814" s="30"/>
      <c r="AI814" s="31"/>
      <c r="AJ814" s="31"/>
      <c r="AK814" s="32"/>
    </row>
    <row r="815">
      <c r="A815" s="21" t="s">
        <v>276</v>
      </c>
      <c r="B815" s="22" t="s">
        <v>578</v>
      </c>
      <c r="C815" s="22" t="s">
        <v>82</v>
      </c>
      <c r="D815" s="26">
        <v>45997.0</v>
      </c>
      <c r="E815" s="22" t="s">
        <v>187</v>
      </c>
      <c r="F815" s="22" t="s">
        <v>278</v>
      </c>
      <c r="G815" s="22" t="s">
        <v>1984</v>
      </c>
      <c r="H815" s="22" t="s">
        <v>276</v>
      </c>
      <c r="I815" s="22">
        <v>1.0453300478275E13</v>
      </c>
      <c r="J815" s="22" t="s">
        <v>1985</v>
      </c>
      <c r="K815" s="24"/>
      <c r="L815" s="22" t="s">
        <v>281</v>
      </c>
      <c r="M815" s="22">
        <v>1.0</v>
      </c>
      <c r="N815" s="22" t="s">
        <v>282</v>
      </c>
      <c r="O815" s="22" t="s">
        <v>283</v>
      </c>
      <c r="P815" s="24"/>
      <c r="Q815" s="22" t="s">
        <v>90</v>
      </c>
      <c r="R815" s="22">
        <v>3.2735289639235E13</v>
      </c>
      <c r="S815" s="24"/>
      <c r="T815" s="24"/>
      <c r="U815" s="24"/>
      <c r="V815" s="22" t="s">
        <v>55</v>
      </c>
      <c r="W815" s="33"/>
      <c r="X815" s="33"/>
      <c r="Y815" s="30"/>
      <c r="Z815" s="30"/>
      <c r="AA815" s="33"/>
      <c r="AB815" s="33"/>
      <c r="AC815" s="30"/>
      <c r="AD815" s="30"/>
      <c r="AE815" s="33"/>
      <c r="AF815" s="31"/>
      <c r="AG815" s="30"/>
      <c r="AH815" s="30"/>
      <c r="AI815" s="31"/>
      <c r="AJ815" s="31"/>
      <c r="AK815" s="32"/>
    </row>
    <row r="816">
      <c r="A816" s="21" t="s">
        <v>643</v>
      </c>
      <c r="B816" s="22" t="s">
        <v>1986</v>
      </c>
      <c r="C816" s="22" t="s">
        <v>273</v>
      </c>
      <c r="D816" s="23">
        <v>46005.0</v>
      </c>
      <c r="E816" s="22" t="s">
        <v>168</v>
      </c>
      <c r="F816" s="22" t="s">
        <v>634</v>
      </c>
      <c r="G816" s="22" t="s">
        <v>1987</v>
      </c>
      <c r="H816" s="22" t="s">
        <v>643</v>
      </c>
      <c r="I816" s="22">
        <v>1.0453300805955E13</v>
      </c>
      <c r="J816" s="22" t="s">
        <v>1988</v>
      </c>
      <c r="K816" s="24"/>
      <c r="L816" s="22" t="s">
        <v>647</v>
      </c>
      <c r="M816" s="22">
        <v>1.0</v>
      </c>
      <c r="N816" s="22" t="s">
        <v>638</v>
      </c>
      <c r="O816" s="22" t="s">
        <v>639</v>
      </c>
      <c r="P816" s="24"/>
      <c r="Q816" s="22" t="s">
        <v>90</v>
      </c>
      <c r="R816" s="22">
        <v>3.2735290327363E13</v>
      </c>
      <c r="S816" s="24"/>
      <c r="T816" s="24"/>
      <c r="U816" s="24"/>
      <c r="V816" s="22" t="s">
        <v>54</v>
      </c>
      <c r="W816" s="33"/>
      <c r="X816" s="33"/>
      <c r="Y816" s="30"/>
      <c r="Z816" s="30"/>
      <c r="AA816" s="33"/>
      <c r="AB816" s="33"/>
      <c r="AC816" s="30"/>
      <c r="AD816" s="30"/>
      <c r="AE816" s="33"/>
      <c r="AF816" s="31"/>
      <c r="AG816" s="30"/>
      <c r="AH816" s="30"/>
      <c r="AI816" s="31"/>
      <c r="AJ816" s="31"/>
      <c r="AK816" s="32"/>
    </row>
    <row r="817">
      <c r="A817" s="21" t="s">
        <v>529</v>
      </c>
      <c r="B817" s="22" t="s">
        <v>471</v>
      </c>
      <c r="C817" s="22" t="s">
        <v>82</v>
      </c>
      <c r="D817" s="26">
        <v>45997.0</v>
      </c>
      <c r="E817" s="22" t="s">
        <v>134</v>
      </c>
      <c r="F817" s="22" t="s">
        <v>472</v>
      </c>
      <c r="G817" s="22" t="s">
        <v>1989</v>
      </c>
      <c r="H817" s="22" t="s">
        <v>529</v>
      </c>
      <c r="I817" s="22">
        <v>1.0453313847619E13</v>
      </c>
      <c r="J817" s="22" t="s">
        <v>474</v>
      </c>
      <c r="K817" s="24"/>
      <c r="L817" s="22" t="s">
        <v>533</v>
      </c>
      <c r="M817" s="22">
        <v>1.0</v>
      </c>
      <c r="N817" s="22" t="s">
        <v>534</v>
      </c>
      <c r="O817" s="22" t="s">
        <v>535</v>
      </c>
      <c r="P817" s="24"/>
      <c r="Q817" s="22" t="s">
        <v>90</v>
      </c>
      <c r="R817" s="22">
        <v>3.2735324700995E13</v>
      </c>
      <c r="S817" s="24"/>
      <c r="T817" s="24"/>
      <c r="U817" s="24"/>
      <c r="V817" s="22" t="s">
        <v>127</v>
      </c>
      <c r="W817" s="33"/>
      <c r="X817" s="33"/>
      <c r="Y817" s="30"/>
      <c r="Z817" s="30"/>
      <c r="AA817" s="33"/>
      <c r="AB817" s="33"/>
      <c r="AC817" s="30"/>
      <c r="AD817" s="30"/>
      <c r="AE817" s="33"/>
      <c r="AF817" s="31"/>
      <c r="AG817" s="30"/>
      <c r="AH817" s="30"/>
      <c r="AI817" s="31"/>
      <c r="AJ817" s="31"/>
      <c r="AK817" s="32"/>
    </row>
    <row r="818">
      <c r="A818" s="21" t="s">
        <v>538</v>
      </c>
      <c r="B818" s="22" t="s">
        <v>539</v>
      </c>
      <c r="C818" s="22" t="s">
        <v>273</v>
      </c>
      <c r="D818" s="26">
        <v>45998.0</v>
      </c>
      <c r="E818" s="22" t="s">
        <v>149</v>
      </c>
      <c r="F818" s="22" t="s">
        <v>369</v>
      </c>
      <c r="G818" s="22" t="s">
        <v>1990</v>
      </c>
      <c r="H818" s="22" t="s">
        <v>538</v>
      </c>
      <c r="I818" s="22">
        <v>1.0453327937859E13</v>
      </c>
      <c r="J818" s="22" t="s">
        <v>541</v>
      </c>
      <c r="K818" s="24"/>
      <c r="L818" s="22" t="s">
        <v>542</v>
      </c>
      <c r="M818" s="22">
        <v>1.0</v>
      </c>
      <c r="N818" s="22" t="s">
        <v>373</v>
      </c>
      <c r="O818" s="22" t="s">
        <v>374</v>
      </c>
      <c r="P818" s="24"/>
      <c r="Q818" s="22" t="s">
        <v>90</v>
      </c>
      <c r="R818" s="22">
        <v>3.2735353110851E13</v>
      </c>
      <c r="S818" s="24"/>
      <c r="T818" s="24"/>
      <c r="U818" s="24"/>
      <c r="V818" s="22" t="s">
        <v>91</v>
      </c>
      <c r="W818" s="33"/>
      <c r="X818" s="33"/>
      <c r="Y818" s="30"/>
      <c r="Z818" s="30"/>
      <c r="AA818" s="33"/>
      <c r="AB818" s="33"/>
      <c r="AC818" s="30"/>
      <c r="AD818" s="30"/>
      <c r="AE818" s="33"/>
      <c r="AF818" s="31"/>
      <c r="AG818" s="30"/>
      <c r="AH818" s="30"/>
      <c r="AI818" s="31"/>
      <c r="AJ818" s="31"/>
      <c r="AK818" s="32"/>
    </row>
    <row r="819">
      <c r="A819" s="21" t="s">
        <v>550</v>
      </c>
      <c r="B819" s="22" t="s">
        <v>705</v>
      </c>
      <c r="C819" s="22" t="s">
        <v>82</v>
      </c>
      <c r="D819" s="26">
        <v>45997.0</v>
      </c>
      <c r="E819" s="22" t="s">
        <v>266</v>
      </c>
      <c r="F819" s="22" t="s">
        <v>377</v>
      </c>
      <c r="G819" s="22" t="s">
        <v>1991</v>
      </c>
      <c r="H819" s="22" t="s">
        <v>550</v>
      </c>
      <c r="I819" s="22">
        <v>1.0453345337667E13</v>
      </c>
      <c r="J819" s="22" t="s">
        <v>707</v>
      </c>
      <c r="K819" s="24"/>
      <c r="L819" s="22" t="s">
        <v>552</v>
      </c>
      <c r="M819" s="22">
        <v>1.0</v>
      </c>
      <c r="N819" s="22" t="s">
        <v>381</v>
      </c>
      <c r="O819" s="22" t="s">
        <v>382</v>
      </c>
      <c r="P819" s="24"/>
      <c r="Q819" s="22" t="s">
        <v>90</v>
      </c>
      <c r="R819" s="22">
        <v>3.2735392563523E13</v>
      </c>
      <c r="S819" s="24"/>
      <c r="T819" s="24"/>
      <c r="U819" s="24"/>
      <c r="V819" s="22" t="s">
        <v>95</v>
      </c>
      <c r="W819" s="33"/>
      <c r="X819" s="33"/>
      <c r="Y819" s="30"/>
      <c r="Z819" s="30"/>
      <c r="AA819" s="33"/>
      <c r="AB819" s="33"/>
      <c r="AC819" s="30"/>
      <c r="AD819" s="30"/>
      <c r="AE819" s="33"/>
      <c r="AF819" s="31"/>
      <c r="AG819" s="30"/>
      <c r="AH819" s="30"/>
      <c r="AI819" s="31"/>
      <c r="AJ819" s="31"/>
      <c r="AK819" s="32"/>
    </row>
    <row r="820">
      <c r="A820" s="21" t="s">
        <v>924</v>
      </c>
      <c r="B820" s="22" t="s">
        <v>1992</v>
      </c>
      <c r="C820" s="22" t="s">
        <v>82</v>
      </c>
      <c r="D820" s="26">
        <v>45997.0</v>
      </c>
      <c r="E820" s="22" t="s">
        <v>1993</v>
      </c>
      <c r="F820" s="22" t="s">
        <v>623</v>
      </c>
      <c r="G820" s="22" t="s">
        <v>1994</v>
      </c>
      <c r="H820" s="22" t="s">
        <v>924</v>
      </c>
      <c r="I820" s="22">
        <v>1.0453362311491E13</v>
      </c>
      <c r="J820" s="22" t="s">
        <v>1995</v>
      </c>
      <c r="K820" s="24"/>
      <c r="L820" s="22" t="s">
        <v>926</v>
      </c>
      <c r="M820" s="22">
        <v>1.0</v>
      </c>
      <c r="N820" s="22" t="s">
        <v>627</v>
      </c>
      <c r="O820" s="22" t="s">
        <v>628</v>
      </c>
      <c r="P820" s="24"/>
      <c r="Q820" s="22" t="s">
        <v>90</v>
      </c>
      <c r="R820" s="22">
        <v>3.2735432212803E13</v>
      </c>
      <c r="S820" s="24"/>
      <c r="T820" s="24"/>
      <c r="U820" s="24"/>
      <c r="V820" s="22" t="s">
        <v>55</v>
      </c>
      <c r="W820" s="33"/>
      <c r="X820" s="33"/>
      <c r="Y820" s="30"/>
      <c r="Z820" s="30"/>
      <c r="AA820" s="33"/>
      <c r="AB820" s="33"/>
      <c r="AC820" s="30"/>
      <c r="AD820" s="30"/>
      <c r="AE820" s="33"/>
      <c r="AF820" s="31"/>
      <c r="AG820" s="30"/>
      <c r="AH820" s="30"/>
      <c r="AI820" s="31"/>
      <c r="AJ820" s="31"/>
      <c r="AK820" s="32"/>
    </row>
    <row r="821">
      <c r="A821" s="21" t="s">
        <v>573</v>
      </c>
      <c r="B821" s="22" t="s">
        <v>574</v>
      </c>
      <c r="C821" s="22" t="s">
        <v>273</v>
      </c>
      <c r="D821" s="26">
        <v>45998.0</v>
      </c>
      <c r="E821" s="22" t="s">
        <v>187</v>
      </c>
      <c r="F821" s="22" t="s">
        <v>440</v>
      </c>
      <c r="G821" s="22" t="s">
        <v>1996</v>
      </c>
      <c r="H821" s="22" t="s">
        <v>573</v>
      </c>
      <c r="I821" s="22">
        <v>1.0453369913667E13</v>
      </c>
      <c r="J821" s="22" t="s">
        <v>576</v>
      </c>
      <c r="K821" s="24"/>
      <c r="L821" s="22" t="s">
        <v>577</v>
      </c>
      <c r="M821" s="22">
        <v>1.0</v>
      </c>
      <c r="N821" s="22" t="s">
        <v>444</v>
      </c>
      <c r="O821" s="22" t="s">
        <v>445</v>
      </c>
      <c r="P821" s="24"/>
      <c r="Q821" s="22" t="s">
        <v>90</v>
      </c>
      <c r="R821" s="22">
        <v>3.2735448957251E13</v>
      </c>
      <c r="S821" s="24"/>
      <c r="T821" s="24"/>
      <c r="U821" s="24"/>
      <c r="V821" s="22" t="s">
        <v>55</v>
      </c>
      <c r="W821" s="33"/>
      <c r="X821" s="33"/>
      <c r="Y821" s="30"/>
      <c r="Z821" s="30"/>
      <c r="AA821" s="33"/>
      <c r="AB821" s="33"/>
      <c r="AC821" s="30"/>
      <c r="AD821" s="30"/>
      <c r="AE821" s="33"/>
      <c r="AF821" s="31"/>
      <c r="AG821" s="30"/>
      <c r="AH821" s="30"/>
      <c r="AI821" s="31"/>
      <c r="AJ821" s="31"/>
      <c r="AK821" s="32"/>
    </row>
    <row r="822">
      <c r="A822" s="21" t="s">
        <v>979</v>
      </c>
      <c r="B822" s="22" t="s">
        <v>1576</v>
      </c>
      <c r="C822" s="22" t="s">
        <v>82</v>
      </c>
      <c r="D822" s="26">
        <v>45997.0</v>
      </c>
      <c r="E822" s="22" t="s">
        <v>1117</v>
      </c>
      <c r="F822" s="22" t="s">
        <v>605</v>
      </c>
      <c r="G822" s="22" t="s">
        <v>1997</v>
      </c>
      <c r="H822" s="22" t="s">
        <v>979</v>
      </c>
      <c r="I822" s="22">
        <v>1.0453380497731E13</v>
      </c>
      <c r="J822" s="22" t="s">
        <v>1578</v>
      </c>
      <c r="K822" s="24"/>
      <c r="L822" s="22" t="s">
        <v>984</v>
      </c>
      <c r="M822" s="22">
        <v>1.0</v>
      </c>
      <c r="N822" s="22" t="s">
        <v>609</v>
      </c>
      <c r="O822" s="22" t="s">
        <v>610</v>
      </c>
      <c r="P822" s="24"/>
      <c r="Q822" s="22" t="s">
        <v>90</v>
      </c>
      <c r="R822" s="22">
        <v>3.2735473041731E13</v>
      </c>
      <c r="S822" s="24"/>
      <c r="T822" s="24"/>
      <c r="U822" s="24"/>
      <c r="V822" s="22" t="s">
        <v>55</v>
      </c>
      <c r="W822" s="33"/>
      <c r="X822" s="33"/>
      <c r="Y822" s="30"/>
      <c r="Z822" s="30"/>
      <c r="AA822" s="33"/>
      <c r="AB822" s="33"/>
      <c r="AC822" s="30"/>
      <c r="AD822" s="30"/>
      <c r="AE822" s="33"/>
      <c r="AF822" s="31"/>
      <c r="AG822" s="30"/>
      <c r="AH822" s="30"/>
      <c r="AI822" s="31"/>
      <c r="AJ822" s="31"/>
      <c r="AK822" s="32"/>
    </row>
    <row r="823">
      <c r="A823" s="21" t="s">
        <v>938</v>
      </c>
      <c r="B823" s="22" t="s">
        <v>471</v>
      </c>
      <c r="C823" s="22" t="s">
        <v>82</v>
      </c>
      <c r="D823" s="26">
        <v>45997.0</v>
      </c>
      <c r="E823" s="22" t="s">
        <v>134</v>
      </c>
      <c r="F823" s="22" t="s">
        <v>472</v>
      </c>
      <c r="G823" s="22" t="s">
        <v>1998</v>
      </c>
      <c r="H823" s="22" t="s">
        <v>938</v>
      </c>
      <c r="I823" s="22">
        <v>1.0453391737155E13</v>
      </c>
      <c r="J823" s="22" t="s">
        <v>474</v>
      </c>
      <c r="K823" s="24"/>
      <c r="L823" s="22" t="s">
        <v>940</v>
      </c>
      <c r="M823" s="22">
        <v>1.0</v>
      </c>
      <c r="N823" s="22" t="s">
        <v>476</v>
      </c>
      <c r="O823" s="22" t="s">
        <v>477</v>
      </c>
      <c r="P823" s="24"/>
      <c r="Q823" s="22" t="s">
        <v>90</v>
      </c>
      <c r="R823" s="22">
        <v>3.2735497716035E13</v>
      </c>
      <c r="S823" s="24"/>
      <c r="T823" s="24"/>
      <c r="U823" s="24"/>
      <c r="V823" s="22" t="s">
        <v>54</v>
      </c>
      <c r="W823" s="33"/>
      <c r="X823" s="33"/>
      <c r="Y823" s="30"/>
      <c r="Z823" s="30"/>
      <c r="AA823" s="33"/>
      <c r="AB823" s="33"/>
      <c r="AC823" s="30"/>
      <c r="AD823" s="30"/>
      <c r="AE823" s="33"/>
      <c r="AF823" s="31"/>
      <c r="AG823" s="30"/>
      <c r="AH823" s="30"/>
      <c r="AI823" s="31"/>
      <c r="AJ823" s="31"/>
      <c r="AK823" s="32"/>
    </row>
    <row r="824">
      <c r="A824" s="21" t="s">
        <v>979</v>
      </c>
      <c r="B824" s="22" t="s">
        <v>1576</v>
      </c>
      <c r="C824" s="22" t="s">
        <v>82</v>
      </c>
      <c r="D824" s="26">
        <v>45997.0</v>
      </c>
      <c r="E824" s="22" t="s">
        <v>1117</v>
      </c>
      <c r="F824" s="22" t="s">
        <v>605</v>
      </c>
      <c r="G824" s="22" t="s">
        <v>1999</v>
      </c>
      <c r="H824" s="22" t="s">
        <v>979</v>
      </c>
      <c r="I824" s="22">
        <v>1.0453397569859E13</v>
      </c>
      <c r="J824" s="22" t="s">
        <v>1578</v>
      </c>
      <c r="K824" s="24"/>
      <c r="L824" s="22" t="s">
        <v>984</v>
      </c>
      <c r="M824" s="22">
        <v>1.0</v>
      </c>
      <c r="N824" s="22" t="s">
        <v>609</v>
      </c>
      <c r="O824" s="22" t="s">
        <v>610</v>
      </c>
      <c r="P824" s="24"/>
      <c r="Q824" s="22" t="s">
        <v>90</v>
      </c>
      <c r="R824" s="22">
        <v>3.2735510593859E13</v>
      </c>
      <c r="S824" s="24"/>
      <c r="T824" s="24"/>
      <c r="U824" s="24"/>
      <c r="V824" s="22" t="s">
        <v>55</v>
      </c>
      <c r="W824" s="33"/>
      <c r="X824" s="33"/>
      <c r="Y824" s="30"/>
      <c r="Z824" s="30"/>
      <c r="AA824" s="33"/>
      <c r="AB824" s="33"/>
      <c r="AC824" s="30"/>
      <c r="AD824" s="30"/>
      <c r="AE824" s="33"/>
      <c r="AF824" s="31"/>
      <c r="AG824" s="30"/>
      <c r="AH824" s="30"/>
      <c r="AI824" s="31"/>
      <c r="AJ824" s="31"/>
      <c r="AK824" s="32"/>
    </row>
    <row r="825">
      <c r="A825" s="21" t="s">
        <v>96</v>
      </c>
      <c r="B825" s="22" t="s">
        <v>1479</v>
      </c>
      <c r="C825" s="22" t="s">
        <v>82</v>
      </c>
      <c r="D825" s="26">
        <v>45997.0</v>
      </c>
      <c r="E825" s="22" t="s">
        <v>138</v>
      </c>
      <c r="F825" s="22" t="s">
        <v>83</v>
      </c>
      <c r="G825" s="22" t="s">
        <v>2000</v>
      </c>
      <c r="H825" s="22" t="s">
        <v>96</v>
      </c>
      <c r="I825" s="22">
        <v>1.0453401993539E13</v>
      </c>
      <c r="J825" s="22" t="s">
        <v>1481</v>
      </c>
      <c r="K825" s="24"/>
      <c r="L825" s="22" t="s">
        <v>98</v>
      </c>
      <c r="M825" s="22">
        <v>1.0</v>
      </c>
      <c r="N825" s="22" t="s">
        <v>87</v>
      </c>
      <c r="O825" s="22" t="s">
        <v>88</v>
      </c>
      <c r="P825" s="24"/>
      <c r="Q825" s="22" t="s">
        <v>90</v>
      </c>
      <c r="R825" s="22">
        <v>3.2735521571139E13</v>
      </c>
      <c r="S825" s="24"/>
      <c r="T825" s="24"/>
      <c r="U825" s="24"/>
      <c r="V825" s="22" t="s">
        <v>55</v>
      </c>
      <c r="W825" s="33"/>
      <c r="X825" s="33"/>
      <c r="Y825" s="30"/>
      <c r="Z825" s="30"/>
      <c r="AA825" s="33"/>
      <c r="AB825" s="33"/>
      <c r="AC825" s="30"/>
      <c r="AD825" s="30"/>
      <c r="AE825" s="33"/>
      <c r="AF825" s="31"/>
      <c r="AG825" s="30"/>
      <c r="AH825" s="30"/>
      <c r="AI825" s="31"/>
      <c r="AJ825" s="31"/>
      <c r="AK825" s="32"/>
    </row>
    <row r="826">
      <c r="A826" s="21" t="s">
        <v>415</v>
      </c>
      <c r="B826" s="22" t="s">
        <v>512</v>
      </c>
      <c r="C826" s="22" t="s">
        <v>82</v>
      </c>
      <c r="D826" s="26">
        <v>45997.0</v>
      </c>
      <c r="E826" s="22" t="s">
        <v>153</v>
      </c>
      <c r="F826" s="22" t="s">
        <v>377</v>
      </c>
      <c r="G826" s="22" t="s">
        <v>2001</v>
      </c>
      <c r="H826" s="22" t="s">
        <v>415</v>
      </c>
      <c r="I826" s="22">
        <v>1.0453409169731E13</v>
      </c>
      <c r="J826" s="22" t="s">
        <v>514</v>
      </c>
      <c r="K826" s="24"/>
      <c r="L826" s="22" t="s">
        <v>419</v>
      </c>
      <c r="M826" s="22">
        <v>1.0</v>
      </c>
      <c r="N826" s="22" t="s">
        <v>381</v>
      </c>
      <c r="O826" s="22" t="s">
        <v>382</v>
      </c>
      <c r="P826" s="24"/>
      <c r="Q826" s="22" t="s">
        <v>90</v>
      </c>
      <c r="R826" s="22">
        <v>3.2735535661379E13</v>
      </c>
      <c r="S826" s="24"/>
      <c r="T826" s="24"/>
      <c r="U826" s="24"/>
      <c r="V826" s="22" t="s">
        <v>91</v>
      </c>
      <c r="W826" s="33"/>
      <c r="X826" s="33"/>
      <c r="Y826" s="30"/>
      <c r="Z826" s="30"/>
      <c r="AA826" s="33"/>
      <c r="AB826" s="33"/>
      <c r="AC826" s="30"/>
      <c r="AD826" s="30"/>
      <c r="AE826" s="33"/>
      <c r="AF826" s="31"/>
      <c r="AG826" s="30"/>
      <c r="AH826" s="30"/>
      <c r="AI826" s="31"/>
      <c r="AJ826" s="31"/>
      <c r="AK826" s="32"/>
    </row>
    <row r="827">
      <c r="A827" s="21" t="s">
        <v>515</v>
      </c>
      <c r="B827" s="22" t="s">
        <v>471</v>
      </c>
      <c r="C827" s="22" t="s">
        <v>82</v>
      </c>
      <c r="D827" s="26">
        <v>45997.0</v>
      </c>
      <c r="E827" s="22" t="s">
        <v>134</v>
      </c>
      <c r="F827" s="22" t="s">
        <v>472</v>
      </c>
      <c r="G827" s="22" t="s">
        <v>2002</v>
      </c>
      <c r="H827" s="22" t="s">
        <v>515</v>
      </c>
      <c r="I827" s="22">
        <v>1.0453412872515E13</v>
      </c>
      <c r="J827" s="22" t="s">
        <v>474</v>
      </c>
      <c r="K827" s="24"/>
      <c r="L827" s="22" t="s">
        <v>519</v>
      </c>
      <c r="M827" s="22">
        <v>1.0</v>
      </c>
      <c r="N827" s="22" t="s">
        <v>476</v>
      </c>
      <c r="O827" s="22" t="s">
        <v>477</v>
      </c>
      <c r="P827" s="24"/>
      <c r="Q827" s="22" t="s">
        <v>90</v>
      </c>
      <c r="R827" s="22">
        <v>3.2735544344899E13</v>
      </c>
      <c r="S827" s="24"/>
      <c r="T827" s="24"/>
      <c r="U827" s="24"/>
      <c r="V827" s="22" t="s">
        <v>55</v>
      </c>
      <c r="W827" s="33"/>
      <c r="X827" s="33"/>
      <c r="Y827" s="30"/>
      <c r="Z827" s="30"/>
      <c r="AA827" s="33"/>
      <c r="AB827" s="33"/>
      <c r="AC827" s="30"/>
      <c r="AD827" s="30"/>
      <c r="AE827" s="33"/>
      <c r="AF827" s="31"/>
      <c r="AG827" s="30"/>
      <c r="AH827" s="30"/>
      <c r="AI827" s="31"/>
      <c r="AJ827" s="31"/>
      <c r="AK827" s="32"/>
    </row>
    <row r="828">
      <c r="A828" s="21" t="s">
        <v>845</v>
      </c>
      <c r="B828" s="22" t="s">
        <v>2003</v>
      </c>
      <c r="C828" s="22" t="s">
        <v>82</v>
      </c>
      <c r="D828" s="26">
        <v>45997.0</v>
      </c>
      <c r="E828" s="22" t="s">
        <v>1895</v>
      </c>
      <c r="F828" s="22" t="s">
        <v>451</v>
      </c>
      <c r="G828" s="22" t="s">
        <v>2004</v>
      </c>
      <c r="H828" s="22" t="s">
        <v>845</v>
      </c>
      <c r="I828" s="22">
        <v>1.0453450162499E13</v>
      </c>
      <c r="J828" s="22" t="s">
        <v>2005</v>
      </c>
      <c r="K828" s="24"/>
      <c r="L828" s="22" t="s">
        <v>847</v>
      </c>
      <c r="M828" s="22">
        <v>1.0</v>
      </c>
      <c r="N828" s="22" t="s">
        <v>455</v>
      </c>
      <c r="O828" s="22" t="s">
        <v>456</v>
      </c>
      <c r="P828" s="24"/>
      <c r="Q828" s="22" t="s">
        <v>90</v>
      </c>
      <c r="R828" s="22">
        <v>3.2735630688579E13</v>
      </c>
      <c r="S828" s="24"/>
      <c r="T828" s="24"/>
      <c r="U828" s="24"/>
      <c r="V828" s="22" t="s">
        <v>55</v>
      </c>
      <c r="W828" s="33"/>
      <c r="X828" s="33"/>
      <c r="Y828" s="30"/>
      <c r="Z828" s="30"/>
      <c r="AA828" s="33"/>
      <c r="AB828" s="33"/>
      <c r="AC828" s="30"/>
      <c r="AD828" s="30"/>
      <c r="AE828" s="33"/>
      <c r="AF828" s="31"/>
      <c r="AG828" s="30"/>
      <c r="AH828" s="30"/>
      <c r="AI828" s="31"/>
      <c r="AJ828" s="31"/>
      <c r="AK828" s="32"/>
    </row>
    <row r="829">
      <c r="A829" s="21" t="s">
        <v>1204</v>
      </c>
      <c r="B829" s="22" t="s">
        <v>1247</v>
      </c>
      <c r="C829" s="22" t="s">
        <v>82</v>
      </c>
      <c r="D829" s="26">
        <v>45997.0</v>
      </c>
      <c r="E829" s="22" t="s">
        <v>266</v>
      </c>
      <c r="F829" s="22" t="s">
        <v>623</v>
      </c>
      <c r="G829" s="22" t="s">
        <v>2006</v>
      </c>
      <c r="H829" s="22" t="s">
        <v>1204</v>
      </c>
      <c r="I829" s="22">
        <v>1.0453458387267E13</v>
      </c>
      <c r="J829" s="22" t="s">
        <v>1249</v>
      </c>
      <c r="K829" s="24"/>
      <c r="L829" s="22" t="s">
        <v>1208</v>
      </c>
      <c r="M829" s="22">
        <v>1.0</v>
      </c>
      <c r="N829" s="22" t="s">
        <v>627</v>
      </c>
      <c r="O829" s="22" t="s">
        <v>628</v>
      </c>
      <c r="P829" s="24"/>
      <c r="Q829" s="22" t="s">
        <v>90</v>
      </c>
      <c r="R829" s="22">
        <v>3.2735651070275E13</v>
      </c>
      <c r="S829" s="24"/>
      <c r="T829" s="24"/>
      <c r="U829" s="24"/>
      <c r="V829" s="22" t="s">
        <v>91</v>
      </c>
      <c r="W829" s="33"/>
      <c r="X829" s="33"/>
      <c r="Y829" s="30"/>
      <c r="Z829" s="30"/>
      <c r="AA829" s="33"/>
      <c r="AB829" s="33"/>
      <c r="AC829" s="30"/>
      <c r="AD829" s="30"/>
      <c r="AE829" s="33"/>
      <c r="AF829" s="31"/>
      <c r="AG829" s="30"/>
      <c r="AH829" s="30"/>
      <c r="AI829" s="31"/>
      <c r="AJ829" s="31"/>
      <c r="AK829" s="32"/>
    </row>
    <row r="830">
      <c r="A830" s="21" t="s">
        <v>96</v>
      </c>
      <c r="B830" s="22" t="s">
        <v>2007</v>
      </c>
      <c r="C830" s="22" t="s">
        <v>273</v>
      </c>
      <c r="D830" s="23">
        <v>45991.0</v>
      </c>
      <c r="E830" s="22" t="s">
        <v>153</v>
      </c>
      <c r="F830" s="22" t="s">
        <v>83</v>
      </c>
      <c r="G830" s="22" t="s">
        <v>2008</v>
      </c>
      <c r="H830" s="22" t="s">
        <v>96</v>
      </c>
      <c r="I830" s="22">
        <v>1.0453477458243E13</v>
      </c>
      <c r="J830" s="22" t="s">
        <v>2009</v>
      </c>
      <c r="K830" s="24"/>
      <c r="L830" s="22" t="s">
        <v>98</v>
      </c>
      <c r="M830" s="22">
        <v>1.0</v>
      </c>
      <c r="N830" s="22" t="s">
        <v>87</v>
      </c>
      <c r="O830" s="22" t="s">
        <v>88</v>
      </c>
      <c r="P830" s="24"/>
      <c r="Q830" s="22" t="s">
        <v>90</v>
      </c>
      <c r="R830" s="22">
        <v>3.2735694684483E13</v>
      </c>
      <c r="S830" s="24"/>
      <c r="T830" s="24"/>
      <c r="U830" s="24"/>
      <c r="V830" s="22" t="s">
        <v>55</v>
      </c>
      <c r="W830" s="33"/>
      <c r="X830" s="33"/>
      <c r="Y830" s="30"/>
      <c r="Z830" s="30"/>
      <c r="AA830" s="33"/>
      <c r="AB830" s="33"/>
      <c r="AC830" s="30"/>
      <c r="AD830" s="30"/>
      <c r="AE830" s="33"/>
      <c r="AF830" s="31"/>
      <c r="AG830" s="30"/>
      <c r="AH830" s="30"/>
      <c r="AI830" s="31"/>
      <c r="AJ830" s="31"/>
      <c r="AK830" s="32"/>
    </row>
    <row r="831">
      <c r="A831" s="21" t="s">
        <v>96</v>
      </c>
      <c r="B831" s="22" t="s">
        <v>1486</v>
      </c>
      <c r="C831" s="22" t="s">
        <v>82</v>
      </c>
      <c r="D831" s="26">
        <v>45997.0</v>
      </c>
      <c r="E831" s="22" t="s">
        <v>134</v>
      </c>
      <c r="F831" s="22" t="s">
        <v>83</v>
      </c>
      <c r="G831" s="22" t="s">
        <v>2010</v>
      </c>
      <c r="H831" s="22" t="s">
        <v>96</v>
      </c>
      <c r="I831" s="22">
        <v>1.0453488009539E13</v>
      </c>
      <c r="J831" s="22" t="s">
        <v>1488</v>
      </c>
      <c r="K831" s="24"/>
      <c r="L831" s="22" t="s">
        <v>98</v>
      </c>
      <c r="M831" s="22">
        <v>1.0</v>
      </c>
      <c r="N831" s="22" t="s">
        <v>87</v>
      </c>
      <c r="O831" s="22" t="s">
        <v>88</v>
      </c>
      <c r="P831" s="24"/>
      <c r="Q831" s="22" t="s">
        <v>90</v>
      </c>
      <c r="R831" s="22">
        <v>3.2735716835651E13</v>
      </c>
      <c r="S831" s="24"/>
      <c r="T831" s="24"/>
      <c r="U831" s="24"/>
      <c r="V831" s="22" t="s">
        <v>55</v>
      </c>
      <c r="W831" s="33"/>
      <c r="X831" s="33"/>
      <c r="Y831" s="30"/>
      <c r="Z831" s="30"/>
      <c r="AA831" s="33"/>
      <c r="AB831" s="33"/>
      <c r="AC831" s="30"/>
      <c r="AD831" s="30"/>
      <c r="AE831" s="33"/>
      <c r="AF831" s="31"/>
      <c r="AG831" s="30"/>
      <c r="AH831" s="30"/>
      <c r="AI831" s="31"/>
      <c r="AJ831" s="31"/>
      <c r="AK831" s="32"/>
    </row>
    <row r="832">
      <c r="A832" s="21" t="s">
        <v>1640</v>
      </c>
      <c r="B832" s="22" t="s">
        <v>1828</v>
      </c>
      <c r="C832" s="22" t="s">
        <v>82</v>
      </c>
      <c r="D832" s="26">
        <v>45997.0</v>
      </c>
      <c r="E832" s="22" t="s">
        <v>1822</v>
      </c>
      <c r="F832" s="22" t="s">
        <v>1466</v>
      </c>
      <c r="G832" s="22" t="s">
        <v>2011</v>
      </c>
      <c r="H832" s="22" t="s">
        <v>1640</v>
      </c>
      <c r="I832" s="22">
        <v>1.0453501247811E13</v>
      </c>
      <c r="J832" s="22" t="s">
        <v>1824</v>
      </c>
      <c r="K832" s="24"/>
      <c r="L832" s="22" t="s">
        <v>1642</v>
      </c>
      <c r="M832" s="22">
        <v>1.0</v>
      </c>
      <c r="N832" s="22" t="s">
        <v>1628</v>
      </c>
      <c r="O832" s="22" t="s">
        <v>1629</v>
      </c>
      <c r="P832" s="24"/>
      <c r="Q832" s="22" t="s">
        <v>90</v>
      </c>
      <c r="R832" s="22">
        <v>3.2735745769795E13</v>
      </c>
      <c r="S832" s="24"/>
      <c r="T832" s="24"/>
      <c r="U832" s="24"/>
      <c r="V832" s="22" t="s">
        <v>127</v>
      </c>
      <c r="W832" s="33"/>
      <c r="X832" s="33"/>
      <c r="Y832" s="30"/>
      <c r="Z832" s="30"/>
      <c r="AA832" s="33"/>
      <c r="AB832" s="33"/>
      <c r="AC832" s="30"/>
      <c r="AD832" s="30"/>
      <c r="AE832" s="33"/>
      <c r="AF832" s="31"/>
      <c r="AG832" s="30"/>
      <c r="AH832" s="30"/>
      <c r="AI832" s="31"/>
      <c r="AJ832" s="31"/>
      <c r="AK832" s="32"/>
    </row>
    <row r="833">
      <c r="A833" s="21" t="s">
        <v>573</v>
      </c>
      <c r="B833" s="22" t="s">
        <v>574</v>
      </c>
      <c r="C833" s="22" t="s">
        <v>273</v>
      </c>
      <c r="D833" s="26">
        <v>45998.0</v>
      </c>
      <c r="E833" s="22" t="s">
        <v>187</v>
      </c>
      <c r="F833" s="22" t="s">
        <v>440</v>
      </c>
      <c r="G833" s="22" t="s">
        <v>2012</v>
      </c>
      <c r="H833" s="22" t="s">
        <v>573</v>
      </c>
      <c r="I833" s="22">
        <v>1.0453512159555E13</v>
      </c>
      <c r="J833" s="22" t="s">
        <v>576</v>
      </c>
      <c r="K833" s="24"/>
      <c r="L833" s="22" t="s">
        <v>577</v>
      </c>
      <c r="M833" s="22">
        <v>1.0</v>
      </c>
      <c r="N833" s="22" t="s">
        <v>444</v>
      </c>
      <c r="O833" s="22" t="s">
        <v>445</v>
      </c>
      <c r="P833" s="24"/>
      <c r="Q833" s="22" t="s">
        <v>90</v>
      </c>
      <c r="R833" s="22">
        <v>3.2735770050883E13</v>
      </c>
      <c r="S833" s="24"/>
      <c r="T833" s="24"/>
      <c r="U833" s="24"/>
      <c r="V833" s="22" t="s">
        <v>55</v>
      </c>
      <c r="W833" s="33"/>
      <c r="X833" s="33"/>
      <c r="Y833" s="30"/>
      <c r="Z833" s="30"/>
      <c r="AA833" s="33"/>
      <c r="AB833" s="33"/>
      <c r="AC833" s="30"/>
      <c r="AD833" s="30"/>
      <c r="AE833" s="33"/>
      <c r="AF833" s="31"/>
      <c r="AG833" s="30"/>
      <c r="AH833" s="30"/>
      <c r="AI833" s="31"/>
      <c r="AJ833" s="31"/>
      <c r="AK833" s="32"/>
    </row>
    <row r="834">
      <c r="A834" s="21" t="s">
        <v>924</v>
      </c>
      <c r="B834" s="22" t="s">
        <v>1247</v>
      </c>
      <c r="C834" s="22" t="s">
        <v>82</v>
      </c>
      <c r="D834" s="26">
        <v>45997.0</v>
      </c>
      <c r="E834" s="22" t="s">
        <v>266</v>
      </c>
      <c r="F834" s="22" t="s">
        <v>623</v>
      </c>
      <c r="G834" s="22" t="s">
        <v>2013</v>
      </c>
      <c r="H834" s="22" t="s">
        <v>924</v>
      </c>
      <c r="I834" s="22">
        <v>1.0453524578627E13</v>
      </c>
      <c r="J834" s="22" t="s">
        <v>1249</v>
      </c>
      <c r="K834" s="24"/>
      <c r="L834" s="22" t="s">
        <v>926</v>
      </c>
      <c r="M834" s="22">
        <v>1.0</v>
      </c>
      <c r="N834" s="22" t="s">
        <v>627</v>
      </c>
      <c r="O834" s="22" t="s">
        <v>628</v>
      </c>
      <c r="P834" s="24"/>
      <c r="Q834" s="22" t="s">
        <v>90</v>
      </c>
      <c r="R834" s="22">
        <v>3.2735798427971E13</v>
      </c>
      <c r="S834" s="24"/>
      <c r="T834" s="24"/>
      <c r="U834" s="24"/>
      <c r="V834" s="22" t="s">
        <v>55</v>
      </c>
      <c r="W834" s="33"/>
      <c r="X834" s="33"/>
      <c r="Y834" s="30"/>
      <c r="Z834" s="30"/>
      <c r="AA834" s="33"/>
      <c r="AB834" s="33"/>
      <c r="AC834" s="30"/>
      <c r="AD834" s="30"/>
      <c r="AE834" s="33"/>
      <c r="AF834" s="31"/>
      <c r="AG834" s="30"/>
      <c r="AH834" s="30"/>
      <c r="AI834" s="31"/>
      <c r="AJ834" s="31"/>
      <c r="AK834" s="32"/>
    </row>
    <row r="835">
      <c r="A835" s="21" t="s">
        <v>879</v>
      </c>
      <c r="B835" s="22" t="s">
        <v>868</v>
      </c>
      <c r="C835" s="22" t="s">
        <v>273</v>
      </c>
      <c r="D835" s="26">
        <v>45998.0</v>
      </c>
      <c r="E835" s="22" t="s">
        <v>149</v>
      </c>
      <c r="F835" s="22" t="s">
        <v>869</v>
      </c>
      <c r="G835" s="22" t="s">
        <v>2014</v>
      </c>
      <c r="H835" s="22" t="s">
        <v>879</v>
      </c>
      <c r="I835" s="22">
        <v>1.0453529592131E13</v>
      </c>
      <c r="J835" s="22" t="s">
        <v>871</v>
      </c>
      <c r="K835" s="24"/>
      <c r="L835" s="22" t="s">
        <v>881</v>
      </c>
      <c r="M835" s="22">
        <v>1.0</v>
      </c>
      <c r="N835" s="22" t="s">
        <v>882</v>
      </c>
      <c r="O835" s="22" t="s">
        <v>883</v>
      </c>
      <c r="P835" s="24"/>
      <c r="Q835" s="22" t="s">
        <v>90</v>
      </c>
      <c r="R835" s="22">
        <v>3.2735809438019E13</v>
      </c>
      <c r="S835" s="24"/>
      <c r="T835" s="24"/>
      <c r="U835" s="24"/>
      <c r="V835" s="22" t="s">
        <v>127</v>
      </c>
      <c r="W835" s="33"/>
      <c r="X835" s="33"/>
      <c r="Y835" s="30"/>
      <c r="Z835" s="30"/>
      <c r="AA835" s="33"/>
      <c r="AB835" s="33"/>
      <c r="AC835" s="30"/>
      <c r="AD835" s="30"/>
      <c r="AE835" s="33"/>
      <c r="AF835" s="31"/>
      <c r="AG835" s="30"/>
      <c r="AH835" s="30"/>
      <c r="AI835" s="31"/>
      <c r="AJ835" s="31"/>
      <c r="AK835" s="32"/>
    </row>
    <row r="836">
      <c r="A836" s="21" t="s">
        <v>696</v>
      </c>
      <c r="B836" s="22" t="s">
        <v>1532</v>
      </c>
      <c r="C836" s="22" t="s">
        <v>82</v>
      </c>
      <c r="D836" s="26">
        <v>45997.0</v>
      </c>
      <c r="E836" s="22" t="s">
        <v>211</v>
      </c>
      <c r="F836" s="22" t="s">
        <v>698</v>
      </c>
      <c r="G836" s="22" t="s">
        <v>2015</v>
      </c>
      <c r="H836" s="22" t="s">
        <v>696</v>
      </c>
      <c r="I836" s="22">
        <v>1.0453552562499E13</v>
      </c>
      <c r="J836" s="22" t="s">
        <v>1534</v>
      </c>
      <c r="K836" s="24"/>
      <c r="L836" s="22" t="s">
        <v>701</v>
      </c>
      <c r="M836" s="22">
        <v>1.0</v>
      </c>
      <c r="N836" s="22" t="s">
        <v>702</v>
      </c>
      <c r="O836" s="22" t="s">
        <v>703</v>
      </c>
      <c r="P836" s="24"/>
      <c r="Q836" s="22" t="s">
        <v>90</v>
      </c>
      <c r="R836" s="22">
        <v>3.2735860785475E13</v>
      </c>
      <c r="S836" s="24"/>
      <c r="T836" s="24"/>
      <c r="U836" s="24"/>
      <c r="V836" s="22" t="s">
        <v>55</v>
      </c>
      <c r="W836" s="33"/>
      <c r="X836" s="33"/>
      <c r="Y836" s="30"/>
      <c r="Z836" s="30"/>
      <c r="AA836" s="33"/>
      <c r="AB836" s="33"/>
      <c r="AC836" s="30"/>
      <c r="AD836" s="30"/>
      <c r="AE836" s="33"/>
      <c r="AF836" s="31"/>
      <c r="AG836" s="30"/>
      <c r="AH836" s="30"/>
      <c r="AI836" s="31"/>
      <c r="AJ836" s="31"/>
      <c r="AK836" s="32"/>
    </row>
    <row r="837">
      <c r="A837" s="21" t="s">
        <v>569</v>
      </c>
      <c r="B837" s="22" t="s">
        <v>516</v>
      </c>
      <c r="C837" s="22" t="s">
        <v>273</v>
      </c>
      <c r="D837" s="26">
        <v>45998.0</v>
      </c>
      <c r="E837" s="22" t="s">
        <v>134</v>
      </c>
      <c r="F837" s="22" t="s">
        <v>472</v>
      </c>
      <c r="G837" s="22" t="s">
        <v>2016</v>
      </c>
      <c r="H837" s="22" t="s">
        <v>569</v>
      </c>
      <c r="I837" s="22">
        <v>1.0453555740995E13</v>
      </c>
      <c r="J837" s="22" t="s">
        <v>518</v>
      </c>
      <c r="K837" s="24"/>
      <c r="L837" s="22" t="s">
        <v>571</v>
      </c>
      <c r="M837" s="22">
        <v>1.0</v>
      </c>
      <c r="N837" s="22" t="s">
        <v>534</v>
      </c>
      <c r="O837" s="22" t="s">
        <v>535</v>
      </c>
      <c r="P837" s="24"/>
      <c r="Q837" s="22" t="s">
        <v>90</v>
      </c>
      <c r="R837" s="22">
        <v>3.2735867765059E13</v>
      </c>
      <c r="S837" s="24"/>
      <c r="T837" s="24"/>
      <c r="U837" s="24"/>
      <c r="V837" s="22" t="s">
        <v>105</v>
      </c>
      <c r="W837" s="33"/>
      <c r="X837" s="33"/>
      <c r="Y837" s="30"/>
      <c r="Z837" s="30"/>
      <c r="AA837" s="33"/>
      <c r="AB837" s="33"/>
      <c r="AC837" s="30"/>
      <c r="AD837" s="30"/>
      <c r="AE837" s="33"/>
      <c r="AF837" s="31"/>
      <c r="AG837" s="30"/>
      <c r="AH837" s="30"/>
      <c r="AI837" s="31"/>
      <c r="AJ837" s="31"/>
      <c r="AK837" s="32"/>
    </row>
    <row r="838">
      <c r="A838" s="21" t="s">
        <v>209</v>
      </c>
      <c r="B838" s="22" t="s">
        <v>629</v>
      </c>
      <c r="C838" s="22" t="s">
        <v>82</v>
      </c>
      <c r="D838" s="26">
        <v>45997.0</v>
      </c>
      <c r="E838" s="22" t="s">
        <v>230</v>
      </c>
      <c r="F838" s="22" t="s">
        <v>111</v>
      </c>
      <c r="G838" s="22" t="s">
        <v>2017</v>
      </c>
      <c r="H838" s="22" t="s">
        <v>209</v>
      </c>
      <c r="I838" s="22">
        <v>1.0453559574851E13</v>
      </c>
      <c r="J838" s="22" t="s">
        <v>631</v>
      </c>
      <c r="K838" s="24"/>
      <c r="L838" s="22" t="s">
        <v>214</v>
      </c>
      <c r="M838" s="22">
        <v>1.0</v>
      </c>
      <c r="N838" s="22" t="s">
        <v>115</v>
      </c>
      <c r="O838" s="22" t="s">
        <v>116</v>
      </c>
      <c r="P838" s="24"/>
      <c r="Q838" s="22" t="s">
        <v>90</v>
      </c>
      <c r="R838" s="22">
        <v>3.2735874548035E13</v>
      </c>
      <c r="S838" s="24"/>
      <c r="T838" s="24"/>
      <c r="U838" s="24"/>
      <c r="V838" s="22" t="s">
        <v>91</v>
      </c>
      <c r="W838" s="33"/>
      <c r="X838" s="33"/>
      <c r="Y838" s="30"/>
      <c r="Z838" s="30"/>
      <c r="AA838" s="33"/>
      <c r="AB838" s="33"/>
      <c r="AC838" s="30"/>
      <c r="AD838" s="30"/>
      <c r="AE838" s="33"/>
      <c r="AF838" s="31"/>
      <c r="AG838" s="30"/>
      <c r="AH838" s="30"/>
      <c r="AI838" s="31"/>
      <c r="AJ838" s="31"/>
      <c r="AK838" s="32"/>
    </row>
    <row r="839">
      <c r="A839" s="21" t="s">
        <v>696</v>
      </c>
      <c r="B839" s="22" t="s">
        <v>815</v>
      </c>
      <c r="C839" s="22" t="s">
        <v>82</v>
      </c>
      <c r="D839" s="26">
        <v>45997.0</v>
      </c>
      <c r="E839" s="22" t="s">
        <v>187</v>
      </c>
      <c r="F839" s="22" t="s">
        <v>698</v>
      </c>
      <c r="G839" s="22" t="s">
        <v>2018</v>
      </c>
      <c r="H839" s="22" t="s">
        <v>696</v>
      </c>
      <c r="I839" s="22">
        <v>1.0453622882627E13</v>
      </c>
      <c r="J839" s="22" t="s">
        <v>817</v>
      </c>
      <c r="K839" s="24"/>
      <c r="L839" s="22" t="s">
        <v>701</v>
      </c>
      <c r="M839" s="22">
        <v>1.0</v>
      </c>
      <c r="N839" s="22" t="s">
        <v>702</v>
      </c>
      <c r="O839" s="22" t="s">
        <v>703</v>
      </c>
      <c r="P839" s="24"/>
      <c r="Q839" s="22" t="s">
        <v>90</v>
      </c>
      <c r="R839" s="22">
        <v>3.2736013812035E13</v>
      </c>
      <c r="S839" s="24"/>
      <c r="T839" s="24"/>
      <c r="U839" s="24"/>
      <c r="V839" s="22" t="s">
        <v>55</v>
      </c>
      <c r="W839" s="33"/>
      <c r="X839" s="33"/>
      <c r="Y839" s="30"/>
      <c r="Z839" s="30"/>
      <c r="AA839" s="33"/>
      <c r="AB839" s="33"/>
      <c r="AC839" s="30"/>
      <c r="AD839" s="30"/>
      <c r="AE839" s="33"/>
      <c r="AF839" s="31"/>
      <c r="AG839" s="30"/>
      <c r="AH839" s="30"/>
      <c r="AI839" s="31"/>
      <c r="AJ839" s="31"/>
      <c r="AK839" s="32"/>
    </row>
    <row r="840">
      <c r="A840" s="21" t="s">
        <v>950</v>
      </c>
      <c r="B840" s="22" t="s">
        <v>815</v>
      </c>
      <c r="C840" s="22" t="s">
        <v>82</v>
      </c>
      <c r="D840" s="26">
        <v>45997.0</v>
      </c>
      <c r="E840" s="22" t="s">
        <v>187</v>
      </c>
      <c r="F840" s="22" t="s">
        <v>698</v>
      </c>
      <c r="G840" s="22" t="s">
        <v>2018</v>
      </c>
      <c r="H840" s="22" t="s">
        <v>950</v>
      </c>
      <c r="I840" s="22">
        <v>1.0453622882627E13</v>
      </c>
      <c r="J840" s="22" t="s">
        <v>817</v>
      </c>
      <c r="K840" s="24"/>
      <c r="L840" s="22" t="s">
        <v>952</v>
      </c>
      <c r="M840" s="22">
        <v>1.0</v>
      </c>
      <c r="N840" s="22" t="s">
        <v>702</v>
      </c>
      <c r="O840" s="22" t="s">
        <v>703</v>
      </c>
      <c r="P840" s="24"/>
      <c r="Q840" s="22" t="s">
        <v>90</v>
      </c>
      <c r="R840" s="22">
        <v>3.2736013844803E13</v>
      </c>
      <c r="S840" s="24"/>
      <c r="T840" s="24"/>
      <c r="U840" s="24"/>
      <c r="V840" s="22" t="s">
        <v>54</v>
      </c>
      <c r="W840" s="33"/>
      <c r="X840" s="33"/>
      <c r="Y840" s="30"/>
      <c r="Z840" s="30"/>
      <c r="AA840" s="33"/>
      <c r="AB840" s="33"/>
      <c r="AC840" s="30"/>
      <c r="AD840" s="30"/>
      <c r="AE840" s="33"/>
      <c r="AF840" s="31"/>
      <c r="AG840" s="30"/>
      <c r="AH840" s="30"/>
      <c r="AI840" s="31"/>
      <c r="AJ840" s="31"/>
      <c r="AK840" s="32"/>
    </row>
    <row r="841">
      <c r="A841" s="21" t="s">
        <v>912</v>
      </c>
      <c r="B841" s="22" t="s">
        <v>1172</v>
      </c>
      <c r="C841" s="22" t="s">
        <v>82</v>
      </c>
      <c r="D841" s="23">
        <v>46004.0</v>
      </c>
      <c r="E841" s="22" t="s">
        <v>248</v>
      </c>
      <c r="F841" s="22" t="s">
        <v>377</v>
      </c>
      <c r="G841" s="22" t="s">
        <v>2019</v>
      </c>
      <c r="H841" s="22" t="s">
        <v>912</v>
      </c>
      <c r="I841" s="22">
        <v>1.0453644247363E13</v>
      </c>
      <c r="J841" s="22" t="s">
        <v>1174</v>
      </c>
      <c r="K841" s="24"/>
      <c r="L841" s="22" t="s">
        <v>914</v>
      </c>
      <c r="M841" s="22">
        <v>1.0</v>
      </c>
      <c r="N841" s="22" t="s">
        <v>381</v>
      </c>
      <c r="O841" s="22" t="s">
        <v>382</v>
      </c>
      <c r="P841" s="24"/>
      <c r="Q841" s="22" t="s">
        <v>90</v>
      </c>
      <c r="R841" s="22">
        <v>3.2736058245443E13</v>
      </c>
      <c r="S841" s="24"/>
      <c r="T841" s="24"/>
      <c r="U841" s="24"/>
      <c r="V841" s="22" t="s">
        <v>54</v>
      </c>
      <c r="W841" s="33"/>
      <c r="X841" s="33"/>
      <c r="Y841" s="30"/>
      <c r="Z841" s="30"/>
      <c r="AA841" s="33"/>
      <c r="AB841" s="33"/>
      <c r="AC841" s="30"/>
      <c r="AD841" s="30"/>
      <c r="AE841" s="33"/>
      <c r="AF841" s="31"/>
      <c r="AG841" s="30"/>
      <c r="AH841" s="30"/>
      <c r="AI841" s="31"/>
      <c r="AJ841" s="31"/>
      <c r="AK841" s="32"/>
    </row>
    <row r="842">
      <c r="A842" s="21" t="s">
        <v>778</v>
      </c>
      <c r="B842" s="22" t="s">
        <v>974</v>
      </c>
      <c r="C842" s="22" t="s">
        <v>273</v>
      </c>
      <c r="D842" s="26">
        <v>45998.0</v>
      </c>
      <c r="E842" s="22" t="s">
        <v>975</v>
      </c>
      <c r="F842" s="22" t="s">
        <v>440</v>
      </c>
      <c r="G842" s="22" t="s">
        <v>2020</v>
      </c>
      <c r="H842" s="22" t="s">
        <v>778</v>
      </c>
      <c r="I842" s="22">
        <v>1.0453658566979E13</v>
      </c>
      <c r="J842" s="22" t="s">
        <v>977</v>
      </c>
      <c r="K842" s="24"/>
      <c r="L842" s="22" t="s">
        <v>780</v>
      </c>
      <c r="M842" s="22">
        <v>1.0</v>
      </c>
      <c r="N842" s="22" t="s">
        <v>781</v>
      </c>
      <c r="O842" s="22" t="s">
        <v>782</v>
      </c>
      <c r="P842" s="24"/>
      <c r="Q842" s="22" t="s">
        <v>90</v>
      </c>
      <c r="R842" s="22">
        <v>3.2736090161475E13</v>
      </c>
      <c r="S842" s="24"/>
      <c r="T842" s="24"/>
      <c r="U842" s="24"/>
      <c r="V842" s="22" t="s">
        <v>127</v>
      </c>
      <c r="W842" s="33"/>
      <c r="X842" s="33"/>
      <c r="Y842" s="30"/>
      <c r="Z842" s="30"/>
      <c r="AA842" s="33"/>
      <c r="AB842" s="33"/>
      <c r="AC842" s="30"/>
      <c r="AD842" s="30"/>
      <c r="AE842" s="33"/>
      <c r="AF842" s="31"/>
      <c r="AG842" s="30"/>
      <c r="AH842" s="30"/>
      <c r="AI842" s="31"/>
      <c r="AJ842" s="31"/>
      <c r="AK842" s="32"/>
    </row>
    <row r="843">
      <c r="A843" s="21" t="s">
        <v>2021</v>
      </c>
      <c r="B843" s="22" t="s">
        <v>1576</v>
      </c>
      <c r="C843" s="22" t="s">
        <v>82</v>
      </c>
      <c r="D843" s="26">
        <v>45997.0</v>
      </c>
      <c r="E843" s="22" t="s">
        <v>1117</v>
      </c>
      <c r="F843" s="22" t="s">
        <v>605</v>
      </c>
      <c r="G843" s="22" t="s">
        <v>2022</v>
      </c>
      <c r="H843" s="22" t="s">
        <v>2021</v>
      </c>
      <c r="I843" s="22">
        <v>1.0453686419779E13</v>
      </c>
      <c r="J843" s="22" t="s">
        <v>1578</v>
      </c>
      <c r="K843" s="24"/>
      <c r="L843" s="22" t="s">
        <v>2023</v>
      </c>
      <c r="M843" s="22">
        <v>1.0</v>
      </c>
      <c r="N843" s="22" t="s">
        <v>795</v>
      </c>
      <c r="O843" s="22" t="s">
        <v>796</v>
      </c>
      <c r="P843" s="24"/>
      <c r="Q843" s="22" t="s">
        <v>90</v>
      </c>
      <c r="R843" s="22">
        <v>3.2736146489667E13</v>
      </c>
      <c r="S843" s="24"/>
      <c r="T843" s="24"/>
      <c r="U843" s="24"/>
      <c r="V843" s="22" t="s">
        <v>132</v>
      </c>
      <c r="W843" s="33"/>
      <c r="X843" s="33"/>
      <c r="Y843" s="30"/>
      <c r="Z843" s="30"/>
      <c r="AA843" s="33"/>
      <c r="AB843" s="33"/>
      <c r="AC843" s="30"/>
      <c r="AD843" s="30"/>
      <c r="AE843" s="33"/>
      <c r="AF843" s="31"/>
      <c r="AG843" s="30"/>
      <c r="AH843" s="30"/>
      <c r="AI843" s="31"/>
      <c r="AJ843" s="31"/>
      <c r="AK843" s="32"/>
    </row>
    <row r="844">
      <c r="A844" s="21" t="s">
        <v>309</v>
      </c>
      <c r="B844" s="22" t="s">
        <v>2024</v>
      </c>
      <c r="C844" s="22" t="s">
        <v>202</v>
      </c>
      <c r="D844" s="26">
        <v>45996.0</v>
      </c>
      <c r="E844" s="22" t="s">
        <v>134</v>
      </c>
      <c r="F844" s="22" t="s">
        <v>311</v>
      </c>
      <c r="G844" s="22" t="s">
        <v>2025</v>
      </c>
      <c r="H844" s="22" t="s">
        <v>309</v>
      </c>
      <c r="I844" s="22">
        <v>1.0453716074819E13</v>
      </c>
      <c r="J844" s="22" t="s">
        <v>2026</v>
      </c>
      <c r="K844" s="24"/>
      <c r="L844" s="22" t="s">
        <v>314</v>
      </c>
      <c r="M844" s="22">
        <v>1.0</v>
      </c>
      <c r="N844" s="22" t="s">
        <v>315</v>
      </c>
      <c r="O844" s="22" t="s">
        <v>316</v>
      </c>
      <c r="P844" s="24"/>
      <c r="Q844" s="22" t="s">
        <v>90</v>
      </c>
      <c r="R844" s="22">
        <v>3.2736211534147E13</v>
      </c>
      <c r="S844" s="24"/>
      <c r="T844" s="24"/>
      <c r="U844" s="24"/>
      <c r="V844" s="22" t="s">
        <v>105</v>
      </c>
      <c r="W844" s="33"/>
      <c r="X844" s="33"/>
      <c r="Y844" s="30"/>
      <c r="Z844" s="30"/>
      <c r="AA844" s="33"/>
      <c r="AB844" s="33"/>
      <c r="AC844" s="30"/>
      <c r="AD844" s="30"/>
      <c r="AE844" s="33"/>
      <c r="AF844" s="31"/>
      <c r="AG844" s="30"/>
      <c r="AH844" s="30"/>
      <c r="AI844" s="31"/>
      <c r="AJ844" s="31"/>
      <c r="AK844" s="32"/>
    </row>
    <row r="845">
      <c r="A845" s="21" t="s">
        <v>912</v>
      </c>
      <c r="B845" s="22" t="s">
        <v>376</v>
      </c>
      <c r="C845" s="22" t="s">
        <v>82</v>
      </c>
      <c r="D845" s="26">
        <v>45997.0</v>
      </c>
      <c r="E845" s="22" t="s">
        <v>149</v>
      </c>
      <c r="F845" s="22" t="s">
        <v>377</v>
      </c>
      <c r="G845" s="22" t="s">
        <v>2027</v>
      </c>
      <c r="H845" s="22" t="s">
        <v>912</v>
      </c>
      <c r="I845" s="22">
        <v>1.0453721350467E13</v>
      </c>
      <c r="J845" s="22" t="s">
        <v>379</v>
      </c>
      <c r="K845" s="24"/>
      <c r="L845" s="22" t="s">
        <v>914</v>
      </c>
      <c r="M845" s="22">
        <v>1.0</v>
      </c>
      <c r="N845" s="22" t="s">
        <v>381</v>
      </c>
      <c r="O845" s="22" t="s">
        <v>382</v>
      </c>
      <c r="P845" s="24"/>
      <c r="Q845" s="22" t="s">
        <v>90</v>
      </c>
      <c r="R845" s="22">
        <v>3.2736224215363E13</v>
      </c>
      <c r="S845" s="24"/>
      <c r="T845" s="24"/>
      <c r="U845" s="24"/>
      <c r="V845" s="22" t="s">
        <v>54</v>
      </c>
      <c r="W845" s="33"/>
      <c r="X845" s="33"/>
      <c r="Y845" s="30"/>
      <c r="Z845" s="30"/>
      <c r="AA845" s="33"/>
      <c r="AB845" s="33"/>
      <c r="AC845" s="30"/>
      <c r="AD845" s="30"/>
      <c r="AE845" s="33"/>
      <c r="AF845" s="31"/>
      <c r="AG845" s="30"/>
      <c r="AH845" s="30"/>
      <c r="AI845" s="31"/>
      <c r="AJ845" s="31"/>
      <c r="AK845" s="32"/>
    </row>
    <row r="846">
      <c r="A846" s="21" t="s">
        <v>415</v>
      </c>
      <c r="B846" s="22" t="s">
        <v>1382</v>
      </c>
      <c r="C846" s="22" t="s">
        <v>82</v>
      </c>
      <c r="D846" s="26">
        <v>45997.0</v>
      </c>
      <c r="E846" s="22" t="s">
        <v>248</v>
      </c>
      <c r="F846" s="22" t="s">
        <v>377</v>
      </c>
      <c r="G846" s="22" t="s">
        <v>2028</v>
      </c>
      <c r="H846" s="22" t="s">
        <v>415</v>
      </c>
      <c r="I846" s="22">
        <v>1.0453759623491E13</v>
      </c>
      <c r="J846" s="22" t="s">
        <v>1384</v>
      </c>
      <c r="K846" s="24"/>
      <c r="L846" s="22" t="s">
        <v>419</v>
      </c>
      <c r="M846" s="22">
        <v>1.0</v>
      </c>
      <c r="N846" s="22" t="s">
        <v>381</v>
      </c>
      <c r="O846" s="22" t="s">
        <v>382</v>
      </c>
      <c r="P846" s="24"/>
      <c r="Q846" s="22" t="s">
        <v>90</v>
      </c>
      <c r="R846" s="22">
        <v>3.2736309543235E13</v>
      </c>
      <c r="S846" s="24"/>
      <c r="T846" s="24"/>
      <c r="U846" s="24"/>
      <c r="V846" s="22" t="s">
        <v>91</v>
      </c>
      <c r="W846" s="33"/>
      <c r="X846" s="33"/>
      <c r="Y846" s="30"/>
      <c r="Z846" s="30"/>
      <c r="AA846" s="33"/>
      <c r="AB846" s="33"/>
      <c r="AC846" s="30"/>
      <c r="AD846" s="30"/>
      <c r="AE846" s="33"/>
      <c r="AF846" s="31"/>
      <c r="AG846" s="30"/>
      <c r="AH846" s="30"/>
      <c r="AI846" s="31"/>
      <c r="AJ846" s="31"/>
      <c r="AK846" s="32"/>
    </row>
    <row r="847">
      <c r="A847" s="21" t="s">
        <v>938</v>
      </c>
      <c r="B847" s="22" t="s">
        <v>2029</v>
      </c>
      <c r="C847" s="22" t="s">
        <v>273</v>
      </c>
      <c r="D847" s="26">
        <v>45998.0</v>
      </c>
      <c r="E847" s="22" t="s">
        <v>181</v>
      </c>
      <c r="F847" s="22" t="s">
        <v>472</v>
      </c>
      <c r="G847" s="22" t="s">
        <v>2030</v>
      </c>
      <c r="H847" s="22" t="s">
        <v>938</v>
      </c>
      <c r="I847" s="22">
        <v>1.0453768536387E13</v>
      </c>
      <c r="J847" s="22" t="s">
        <v>2031</v>
      </c>
      <c r="K847" s="24"/>
      <c r="L847" s="22" t="s">
        <v>940</v>
      </c>
      <c r="M847" s="22">
        <v>1.0</v>
      </c>
      <c r="N847" s="22" t="s">
        <v>476</v>
      </c>
      <c r="O847" s="22" t="s">
        <v>477</v>
      </c>
      <c r="P847" s="24"/>
      <c r="Q847" s="22" t="s">
        <v>90</v>
      </c>
      <c r="R847" s="22">
        <v>3.2736329171267E13</v>
      </c>
      <c r="S847" s="24"/>
      <c r="T847" s="24"/>
      <c r="U847" s="24"/>
      <c r="V847" s="22" t="s">
        <v>54</v>
      </c>
      <c r="W847" s="33"/>
      <c r="X847" s="33"/>
      <c r="Y847" s="30"/>
      <c r="Z847" s="30"/>
      <c r="AA847" s="33"/>
      <c r="AB847" s="33"/>
      <c r="AC847" s="30"/>
      <c r="AD847" s="30"/>
      <c r="AE847" s="33"/>
      <c r="AF847" s="31"/>
      <c r="AG847" s="30"/>
      <c r="AH847" s="30"/>
      <c r="AI847" s="31"/>
      <c r="AJ847" s="31"/>
      <c r="AK847" s="32"/>
    </row>
    <row r="848">
      <c r="A848" s="21" t="s">
        <v>96</v>
      </c>
      <c r="B848" s="22" t="s">
        <v>1348</v>
      </c>
      <c r="C848" s="22" t="s">
        <v>287</v>
      </c>
      <c r="D848" s="26">
        <v>45994.0</v>
      </c>
      <c r="E848" s="22" t="s">
        <v>153</v>
      </c>
      <c r="F848" s="22" t="s">
        <v>83</v>
      </c>
      <c r="G848" s="22" t="s">
        <v>2032</v>
      </c>
      <c r="H848" s="22" t="s">
        <v>96</v>
      </c>
      <c r="I848" s="22">
        <v>1.0453773812035E13</v>
      </c>
      <c r="J848" s="22" t="s">
        <v>1350</v>
      </c>
      <c r="K848" s="24"/>
      <c r="L848" s="22" t="s">
        <v>98</v>
      </c>
      <c r="M848" s="22">
        <v>1.0</v>
      </c>
      <c r="N848" s="22" t="s">
        <v>87</v>
      </c>
      <c r="O848" s="22" t="s">
        <v>88</v>
      </c>
      <c r="P848" s="24"/>
      <c r="Q848" s="22" t="s">
        <v>90</v>
      </c>
      <c r="R848" s="22">
        <v>3.2736341229891E13</v>
      </c>
      <c r="S848" s="24"/>
      <c r="T848" s="24"/>
      <c r="U848" s="24"/>
      <c r="V848" s="22" t="s">
        <v>55</v>
      </c>
      <c r="W848" s="33"/>
      <c r="X848" s="33"/>
      <c r="Y848" s="30"/>
      <c r="Z848" s="30"/>
      <c r="AA848" s="33"/>
      <c r="AB848" s="33"/>
      <c r="AC848" s="30"/>
      <c r="AD848" s="30"/>
      <c r="AE848" s="33"/>
      <c r="AF848" s="31"/>
      <c r="AG848" s="30"/>
      <c r="AH848" s="30"/>
      <c r="AI848" s="31"/>
      <c r="AJ848" s="31"/>
      <c r="AK848" s="32"/>
    </row>
    <row r="849">
      <c r="A849" s="21" t="s">
        <v>859</v>
      </c>
      <c r="B849" s="22" t="s">
        <v>2033</v>
      </c>
      <c r="C849" s="22" t="s">
        <v>82</v>
      </c>
      <c r="D849" s="26">
        <v>45997.0</v>
      </c>
      <c r="E849" s="22" t="s">
        <v>1073</v>
      </c>
      <c r="F849" s="22" t="s">
        <v>605</v>
      </c>
      <c r="G849" s="22" t="s">
        <v>2034</v>
      </c>
      <c r="H849" s="22" t="s">
        <v>859</v>
      </c>
      <c r="I849" s="22">
        <v>1.0453774762307E13</v>
      </c>
      <c r="J849" s="22" t="s">
        <v>2035</v>
      </c>
      <c r="K849" s="24"/>
      <c r="L849" s="22" t="s">
        <v>861</v>
      </c>
      <c r="M849" s="22">
        <v>1.0</v>
      </c>
      <c r="N849" s="22" t="s">
        <v>609</v>
      </c>
      <c r="O849" s="22" t="s">
        <v>610</v>
      </c>
      <c r="P849" s="24"/>
      <c r="Q849" s="22" t="s">
        <v>90</v>
      </c>
      <c r="R849" s="22">
        <v>3.2736343359811E13</v>
      </c>
      <c r="S849" s="24"/>
      <c r="T849" s="24"/>
      <c r="U849" s="24"/>
      <c r="V849" s="22" t="s">
        <v>95</v>
      </c>
      <c r="W849" s="33"/>
      <c r="X849" s="33"/>
      <c r="Y849" s="30"/>
      <c r="Z849" s="30"/>
      <c r="AA849" s="33"/>
      <c r="AB849" s="33"/>
      <c r="AC849" s="30"/>
      <c r="AD849" s="30"/>
      <c r="AE849" s="33"/>
      <c r="AF849" s="31"/>
      <c r="AG849" s="30"/>
      <c r="AH849" s="30"/>
      <c r="AI849" s="31"/>
      <c r="AJ849" s="31"/>
      <c r="AK849" s="32"/>
    </row>
    <row r="850">
      <c r="A850" s="21" t="s">
        <v>367</v>
      </c>
      <c r="B850" s="22" t="s">
        <v>587</v>
      </c>
      <c r="C850" s="22" t="s">
        <v>273</v>
      </c>
      <c r="D850" s="26">
        <v>45998.0</v>
      </c>
      <c r="E850" s="22" t="s">
        <v>153</v>
      </c>
      <c r="F850" s="22" t="s">
        <v>369</v>
      </c>
      <c r="G850" s="22" t="s">
        <v>2036</v>
      </c>
      <c r="H850" s="22" t="s">
        <v>367</v>
      </c>
      <c r="I850" s="22">
        <v>1.0453251719491E13</v>
      </c>
      <c r="J850" s="22" t="s">
        <v>589</v>
      </c>
      <c r="K850" s="24"/>
      <c r="L850" s="22" t="s">
        <v>372</v>
      </c>
      <c r="M850" s="22">
        <v>1.0</v>
      </c>
      <c r="N850" s="22" t="s">
        <v>373</v>
      </c>
      <c r="O850" s="22" t="s">
        <v>374</v>
      </c>
      <c r="P850" s="24"/>
      <c r="Q850" s="22" t="s">
        <v>90</v>
      </c>
      <c r="R850" s="22">
        <v>3.2735181340995E13</v>
      </c>
      <c r="S850" s="24"/>
      <c r="T850" s="24"/>
      <c r="U850" s="24"/>
      <c r="V850" s="22" t="s">
        <v>55</v>
      </c>
      <c r="W850" s="33"/>
      <c r="X850" s="33"/>
      <c r="Y850" s="30"/>
      <c r="Z850" s="30"/>
      <c r="AA850" s="33"/>
      <c r="AB850" s="33"/>
      <c r="AC850" s="30"/>
      <c r="AD850" s="30"/>
      <c r="AE850" s="33"/>
      <c r="AF850" s="31"/>
      <c r="AG850" s="30"/>
      <c r="AH850" s="30"/>
      <c r="AI850" s="31"/>
      <c r="AJ850" s="31"/>
      <c r="AK850" s="32"/>
    </row>
    <row r="851">
      <c r="A851" s="21" t="s">
        <v>2037</v>
      </c>
      <c r="B851" s="22" t="s">
        <v>868</v>
      </c>
      <c r="C851" s="22" t="s">
        <v>273</v>
      </c>
      <c r="D851" s="26">
        <v>45998.0</v>
      </c>
      <c r="E851" s="22" t="s">
        <v>149</v>
      </c>
      <c r="F851" s="22" t="s">
        <v>869</v>
      </c>
      <c r="G851" s="22" t="s">
        <v>2038</v>
      </c>
      <c r="H851" s="22" t="s">
        <v>2037</v>
      </c>
      <c r="I851" s="22">
        <v>1.0453277344067E13</v>
      </c>
      <c r="J851" s="22" t="s">
        <v>871</v>
      </c>
      <c r="K851" s="24"/>
      <c r="L851" s="22" t="s">
        <v>2039</v>
      </c>
      <c r="M851" s="22">
        <v>1.0</v>
      </c>
      <c r="N851" s="22" t="s">
        <v>882</v>
      </c>
      <c r="O851" s="22" t="s">
        <v>883</v>
      </c>
      <c r="P851" s="24"/>
      <c r="Q851" s="22" t="s">
        <v>90</v>
      </c>
      <c r="R851" s="22">
        <v>3.2735239700803E13</v>
      </c>
      <c r="S851" s="24"/>
      <c r="T851" s="24"/>
      <c r="U851" s="24"/>
      <c r="V851" s="22" t="s">
        <v>105</v>
      </c>
      <c r="W851" s="33"/>
      <c r="X851" s="33"/>
      <c r="Y851" s="30"/>
      <c r="Z851" s="30"/>
      <c r="AA851" s="33"/>
      <c r="AB851" s="33"/>
      <c r="AC851" s="30"/>
      <c r="AD851" s="30"/>
      <c r="AE851" s="33"/>
      <c r="AF851" s="31"/>
      <c r="AG851" s="30"/>
      <c r="AH851" s="30"/>
      <c r="AI851" s="31"/>
      <c r="AJ851" s="31"/>
      <c r="AK851" s="32"/>
    </row>
    <row r="852">
      <c r="A852" s="21" t="s">
        <v>686</v>
      </c>
      <c r="B852" s="22" t="s">
        <v>2040</v>
      </c>
      <c r="C852" s="22" t="s">
        <v>82</v>
      </c>
      <c r="D852" s="26">
        <v>45997.0</v>
      </c>
      <c r="E852" s="22" t="s">
        <v>1442</v>
      </c>
      <c r="F852" s="22" t="s">
        <v>451</v>
      </c>
      <c r="G852" s="22" t="s">
        <v>2041</v>
      </c>
      <c r="H852" s="22" t="s">
        <v>686</v>
      </c>
      <c r="I852" s="22">
        <v>1.0453294809411E13</v>
      </c>
      <c r="J852" s="22" t="s">
        <v>2042</v>
      </c>
      <c r="K852" s="24"/>
      <c r="L852" s="22" t="s">
        <v>688</v>
      </c>
      <c r="M852" s="22">
        <v>1.0</v>
      </c>
      <c r="N852" s="22" t="s">
        <v>455</v>
      </c>
      <c r="O852" s="22" t="s">
        <v>456</v>
      </c>
      <c r="P852" s="24"/>
      <c r="Q852" s="22" t="s">
        <v>90</v>
      </c>
      <c r="R852" s="22">
        <v>3.2735277777219E13</v>
      </c>
      <c r="S852" s="24"/>
      <c r="T852" s="24"/>
      <c r="U852" s="24"/>
      <c r="V852" s="22" t="s">
        <v>91</v>
      </c>
      <c r="W852" s="33"/>
      <c r="X852" s="33"/>
      <c r="Y852" s="30"/>
      <c r="Z852" s="30"/>
      <c r="AA852" s="33"/>
      <c r="AB852" s="33"/>
      <c r="AC852" s="30"/>
      <c r="AD852" s="30"/>
      <c r="AE852" s="33"/>
      <c r="AF852" s="31"/>
      <c r="AG852" s="30"/>
      <c r="AH852" s="30"/>
      <c r="AI852" s="31"/>
      <c r="AJ852" s="31"/>
      <c r="AK852" s="32"/>
    </row>
    <row r="853">
      <c r="A853" s="21" t="s">
        <v>209</v>
      </c>
      <c r="B853" s="22" t="s">
        <v>2043</v>
      </c>
      <c r="C853" s="22" t="s">
        <v>82</v>
      </c>
      <c r="D853" s="26">
        <v>45997.0</v>
      </c>
      <c r="E853" s="22" t="s">
        <v>119</v>
      </c>
      <c r="F853" s="22" t="s">
        <v>111</v>
      </c>
      <c r="G853" s="22" t="s">
        <v>2044</v>
      </c>
      <c r="H853" s="22" t="s">
        <v>209</v>
      </c>
      <c r="I853" s="22">
        <v>1.0453824504131E13</v>
      </c>
      <c r="J853" s="22" t="s">
        <v>2045</v>
      </c>
      <c r="K853" s="24"/>
      <c r="L853" s="22" t="s">
        <v>214</v>
      </c>
      <c r="M853" s="22">
        <v>1.0</v>
      </c>
      <c r="N853" s="22" t="s">
        <v>115</v>
      </c>
      <c r="O853" s="22" t="s">
        <v>116</v>
      </c>
      <c r="P853" s="24"/>
      <c r="Q853" s="22" t="s">
        <v>90</v>
      </c>
      <c r="R853" s="22">
        <v>3.2736447103299E13</v>
      </c>
      <c r="S853" s="24"/>
      <c r="T853" s="24"/>
      <c r="U853" s="24"/>
      <c r="V853" s="22" t="s">
        <v>91</v>
      </c>
      <c r="W853" s="33"/>
      <c r="X853" s="33"/>
      <c r="Y853" s="30"/>
      <c r="Z853" s="30"/>
      <c r="AA853" s="33"/>
      <c r="AB853" s="33"/>
      <c r="AC853" s="30"/>
      <c r="AD853" s="30"/>
      <c r="AE853" s="33"/>
      <c r="AF853" s="31"/>
      <c r="AG853" s="30"/>
      <c r="AH853" s="30"/>
      <c r="AI853" s="31"/>
      <c r="AJ853" s="31"/>
      <c r="AK853" s="32"/>
    </row>
    <row r="854">
      <c r="A854" s="21" t="s">
        <v>185</v>
      </c>
      <c r="B854" s="22" t="s">
        <v>2046</v>
      </c>
      <c r="C854" s="22" t="s">
        <v>273</v>
      </c>
      <c r="D854" s="23">
        <v>45991.0</v>
      </c>
      <c r="E854" s="22" t="s">
        <v>168</v>
      </c>
      <c r="F854" s="22" t="s">
        <v>111</v>
      </c>
      <c r="G854" s="22" t="s">
        <v>2047</v>
      </c>
      <c r="H854" s="22" t="s">
        <v>185</v>
      </c>
      <c r="I854" s="22">
        <v>1.0453883257155E13</v>
      </c>
      <c r="J854" s="22" t="s">
        <v>2048</v>
      </c>
      <c r="K854" s="24"/>
      <c r="L854" s="22" t="s">
        <v>190</v>
      </c>
      <c r="M854" s="22">
        <v>1.0</v>
      </c>
      <c r="N854" s="22" t="s">
        <v>115</v>
      </c>
      <c r="O854" s="22" t="s">
        <v>116</v>
      </c>
      <c r="P854" s="24"/>
      <c r="Q854" s="22" t="s">
        <v>90</v>
      </c>
      <c r="R854" s="22">
        <v>3.2736589218115E13</v>
      </c>
      <c r="S854" s="24"/>
      <c r="T854" s="24"/>
      <c r="U854" s="24"/>
      <c r="V854" s="22" t="s">
        <v>95</v>
      </c>
      <c r="W854" s="33"/>
      <c r="X854" s="33"/>
      <c r="Y854" s="30"/>
      <c r="Z854" s="30"/>
      <c r="AA854" s="33"/>
      <c r="AB854" s="33"/>
      <c r="AC854" s="30"/>
      <c r="AD854" s="30"/>
      <c r="AE854" s="33"/>
      <c r="AF854" s="31"/>
      <c r="AG854" s="30"/>
      <c r="AH854" s="30"/>
      <c r="AI854" s="31"/>
      <c r="AJ854" s="31"/>
      <c r="AK854" s="32"/>
    </row>
    <row r="855">
      <c r="A855" s="21" t="s">
        <v>408</v>
      </c>
      <c r="B855" s="22" t="s">
        <v>416</v>
      </c>
      <c r="C855" s="22" t="s">
        <v>82</v>
      </c>
      <c r="D855" s="26">
        <v>45997.0</v>
      </c>
      <c r="E855" s="22" t="s">
        <v>134</v>
      </c>
      <c r="F855" s="22" t="s">
        <v>377</v>
      </c>
      <c r="G855" s="22" t="s">
        <v>2049</v>
      </c>
      <c r="H855" s="22" t="s">
        <v>408</v>
      </c>
      <c r="I855" s="22">
        <v>1.0453888401731E13</v>
      </c>
      <c r="J855" s="22" t="s">
        <v>1017</v>
      </c>
      <c r="K855" s="24"/>
      <c r="L855" s="22" t="s">
        <v>412</v>
      </c>
      <c r="M855" s="22">
        <v>1.0</v>
      </c>
      <c r="N855" s="22" t="s">
        <v>413</v>
      </c>
      <c r="O855" s="22" t="s">
        <v>414</v>
      </c>
      <c r="P855" s="24"/>
      <c r="Q855" s="22" t="s">
        <v>90</v>
      </c>
      <c r="R855" s="22">
        <v>3.2736600719683E13</v>
      </c>
      <c r="S855" s="24"/>
      <c r="T855" s="24"/>
      <c r="U855" s="24"/>
      <c r="V855" s="22" t="s">
        <v>127</v>
      </c>
      <c r="W855" s="33"/>
      <c r="X855" s="33"/>
      <c r="Y855" s="30"/>
      <c r="Z855" s="30"/>
      <c r="AA855" s="33"/>
      <c r="AB855" s="33"/>
      <c r="AC855" s="30"/>
      <c r="AD855" s="30"/>
      <c r="AE855" s="33"/>
      <c r="AF855" s="31"/>
      <c r="AG855" s="30"/>
      <c r="AH855" s="30"/>
      <c r="AI855" s="31"/>
      <c r="AJ855" s="31"/>
      <c r="AK855" s="32"/>
    </row>
    <row r="856">
      <c r="A856" s="21" t="s">
        <v>1472</v>
      </c>
      <c r="B856" s="22" t="s">
        <v>1801</v>
      </c>
      <c r="C856" s="22" t="s">
        <v>82</v>
      </c>
      <c r="D856" s="26">
        <v>45997.0</v>
      </c>
      <c r="E856" s="22" t="s">
        <v>177</v>
      </c>
      <c r="F856" s="22" t="s">
        <v>1466</v>
      </c>
      <c r="G856" s="22" t="s">
        <v>2050</v>
      </c>
      <c r="H856" s="22" t="s">
        <v>1472</v>
      </c>
      <c r="I856" s="22">
        <v>1.0453937389891E13</v>
      </c>
      <c r="J856" s="22" t="s">
        <v>1803</v>
      </c>
      <c r="K856" s="24"/>
      <c r="L856" s="22" t="s">
        <v>1474</v>
      </c>
      <c r="M856" s="22">
        <v>1.0</v>
      </c>
      <c r="N856" s="22" t="s">
        <v>1470</v>
      </c>
      <c r="O856" s="22" t="s">
        <v>1471</v>
      </c>
      <c r="P856" s="24"/>
      <c r="Q856" s="22" t="s">
        <v>90</v>
      </c>
      <c r="R856" s="22">
        <v>3.2736702103875E13</v>
      </c>
      <c r="S856" s="24"/>
      <c r="T856" s="24"/>
      <c r="U856" s="24"/>
      <c r="V856" s="22" t="s">
        <v>54</v>
      </c>
      <c r="W856" s="33"/>
      <c r="X856" s="33"/>
      <c r="Y856" s="30"/>
      <c r="Z856" s="30"/>
      <c r="AA856" s="33"/>
      <c r="AB856" s="33"/>
      <c r="AC856" s="30"/>
      <c r="AD856" s="30"/>
      <c r="AE856" s="33"/>
      <c r="AF856" s="31"/>
      <c r="AG856" s="30"/>
      <c r="AH856" s="30"/>
      <c r="AI856" s="31"/>
      <c r="AJ856" s="31"/>
      <c r="AK856" s="32"/>
    </row>
    <row r="857">
      <c r="A857" s="21" t="s">
        <v>1617</v>
      </c>
      <c r="B857" s="22" t="s">
        <v>1801</v>
      </c>
      <c r="C857" s="22" t="s">
        <v>82</v>
      </c>
      <c r="D857" s="26">
        <v>45997.0</v>
      </c>
      <c r="E857" s="22" t="s">
        <v>177</v>
      </c>
      <c r="F857" s="22" t="s">
        <v>1466</v>
      </c>
      <c r="G857" s="22" t="s">
        <v>2050</v>
      </c>
      <c r="H857" s="22" t="s">
        <v>1617</v>
      </c>
      <c r="I857" s="22">
        <v>1.0453937389891E13</v>
      </c>
      <c r="J857" s="22" t="s">
        <v>1803</v>
      </c>
      <c r="K857" s="24"/>
      <c r="L857" s="22" t="s">
        <v>1621</v>
      </c>
      <c r="M857" s="22">
        <v>1.0</v>
      </c>
      <c r="N857" s="22" t="s">
        <v>1470</v>
      </c>
      <c r="O857" s="22" t="s">
        <v>1471</v>
      </c>
      <c r="P857" s="24"/>
      <c r="Q857" s="22" t="s">
        <v>90</v>
      </c>
      <c r="R857" s="22">
        <v>3.2740386439491E13</v>
      </c>
      <c r="S857" s="24"/>
      <c r="T857" s="24"/>
      <c r="U857" s="24"/>
      <c r="V857" s="22" t="s">
        <v>95</v>
      </c>
      <c r="W857" s="33"/>
      <c r="X857" s="33"/>
      <c r="Y857" s="30"/>
      <c r="Z857" s="30"/>
      <c r="AA857" s="33"/>
      <c r="AB857" s="33"/>
      <c r="AC857" s="30"/>
      <c r="AD857" s="30"/>
      <c r="AE857" s="33"/>
      <c r="AF857" s="31"/>
      <c r="AG857" s="30"/>
      <c r="AH857" s="30"/>
      <c r="AI857" s="31"/>
      <c r="AJ857" s="31"/>
      <c r="AK857" s="32"/>
    </row>
    <row r="858">
      <c r="A858" s="21" t="s">
        <v>573</v>
      </c>
      <c r="B858" s="22" t="s">
        <v>1049</v>
      </c>
      <c r="C858" s="22" t="s">
        <v>273</v>
      </c>
      <c r="D858" s="26">
        <v>45998.0</v>
      </c>
      <c r="E858" s="22" t="s">
        <v>177</v>
      </c>
      <c r="F858" s="22" t="s">
        <v>440</v>
      </c>
      <c r="G858" s="22" t="s">
        <v>2051</v>
      </c>
      <c r="H858" s="22" t="s">
        <v>573</v>
      </c>
      <c r="I858" s="22">
        <v>1.0453970813251E13</v>
      </c>
      <c r="J858" s="22" t="s">
        <v>1051</v>
      </c>
      <c r="K858" s="24"/>
      <c r="L858" s="22" t="s">
        <v>577</v>
      </c>
      <c r="M858" s="22">
        <v>1.0</v>
      </c>
      <c r="N858" s="22" t="s">
        <v>444</v>
      </c>
      <c r="O858" s="22" t="s">
        <v>445</v>
      </c>
      <c r="P858" s="24"/>
      <c r="Q858" s="22" t="s">
        <v>90</v>
      </c>
      <c r="R858" s="22">
        <v>3.2736769311043E13</v>
      </c>
      <c r="S858" s="24"/>
      <c r="T858" s="24"/>
      <c r="U858" s="24"/>
      <c r="V858" s="22" t="s">
        <v>55</v>
      </c>
      <c r="W858" s="33"/>
      <c r="X858" s="33"/>
      <c r="Y858" s="30"/>
      <c r="Z858" s="30"/>
      <c r="AA858" s="33"/>
      <c r="AB858" s="33"/>
      <c r="AC858" s="30"/>
      <c r="AD858" s="30"/>
      <c r="AE858" s="33"/>
      <c r="AF858" s="31"/>
      <c r="AG858" s="30"/>
      <c r="AH858" s="30"/>
      <c r="AI858" s="31"/>
      <c r="AJ858" s="31"/>
      <c r="AK858" s="32"/>
    </row>
    <row r="859">
      <c r="A859" s="21" t="s">
        <v>2052</v>
      </c>
      <c r="B859" s="22" t="s">
        <v>1187</v>
      </c>
      <c r="C859" s="22" t="s">
        <v>273</v>
      </c>
      <c r="D859" s="23">
        <v>45991.0</v>
      </c>
      <c r="E859" s="22" t="s">
        <v>134</v>
      </c>
      <c r="F859" s="22" t="s">
        <v>329</v>
      </c>
      <c r="G859" s="22" t="s">
        <v>2053</v>
      </c>
      <c r="H859" s="22" t="s">
        <v>2052</v>
      </c>
      <c r="I859" s="22">
        <v>1.0454123643203E13</v>
      </c>
      <c r="J859" s="22" t="s">
        <v>1189</v>
      </c>
      <c r="K859" s="24"/>
      <c r="L859" s="22" t="s">
        <v>2054</v>
      </c>
      <c r="M859" s="22">
        <v>1.0</v>
      </c>
      <c r="N859" s="22" t="s">
        <v>907</v>
      </c>
      <c r="O859" s="22" t="s">
        <v>908</v>
      </c>
      <c r="P859" s="24"/>
      <c r="Q859" s="22" t="s">
        <v>90</v>
      </c>
      <c r="R859" s="22">
        <v>3.2737062748483E13</v>
      </c>
      <c r="S859" s="24"/>
      <c r="T859" s="24"/>
      <c r="U859" s="24"/>
      <c r="V859" s="22" t="s">
        <v>132</v>
      </c>
      <c r="W859" s="33"/>
      <c r="X859" s="33"/>
      <c r="Y859" s="30"/>
      <c r="Z859" s="30"/>
      <c r="AA859" s="33"/>
      <c r="AB859" s="33"/>
      <c r="AC859" s="30"/>
      <c r="AD859" s="30"/>
      <c r="AE859" s="33"/>
      <c r="AF859" s="31"/>
      <c r="AG859" s="30"/>
      <c r="AH859" s="30"/>
      <c r="AI859" s="31"/>
      <c r="AJ859" s="31"/>
      <c r="AK859" s="32"/>
    </row>
    <row r="860">
      <c r="A860" s="21" t="s">
        <v>573</v>
      </c>
      <c r="B860" s="22" t="s">
        <v>438</v>
      </c>
      <c r="C860" s="22" t="s">
        <v>273</v>
      </c>
      <c r="D860" s="26">
        <v>45998.0</v>
      </c>
      <c r="E860" s="22" t="s">
        <v>439</v>
      </c>
      <c r="F860" s="22" t="s">
        <v>440</v>
      </c>
      <c r="G860" s="22" t="s">
        <v>2055</v>
      </c>
      <c r="H860" s="22" t="s">
        <v>573</v>
      </c>
      <c r="I860" s="22">
        <v>1.0454194880835E13</v>
      </c>
      <c r="J860" s="22" t="s">
        <v>1767</v>
      </c>
      <c r="K860" s="24"/>
      <c r="L860" s="22" t="s">
        <v>577</v>
      </c>
      <c r="M860" s="22">
        <v>1.0</v>
      </c>
      <c r="N860" s="22" t="s">
        <v>444</v>
      </c>
      <c r="O860" s="22" t="s">
        <v>445</v>
      </c>
      <c r="P860" s="24"/>
      <c r="Q860" s="22" t="s">
        <v>90</v>
      </c>
      <c r="R860" s="22">
        <v>3.2737204437315E13</v>
      </c>
      <c r="S860" s="24"/>
      <c r="T860" s="24"/>
      <c r="U860" s="24"/>
      <c r="V860" s="22" t="s">
        <v>55</v>
      </c>
      <c r="W860" s="33"/>
      <c r="X860" s="33"/>
      <c r="Y860" s="30"/>
      <c r="Z860" s="30"/>
      <c r="AA860" s="33"/>
      <c r="AB860" s="33"/>
      <c r="AC860" s="30"/>
      <c r="AD860" s="30"/>
      <c r="AE860" s="33"/>
      <c r="AF860" s="31"/>
      <c r="AG860" s="30"/>
      <c r="AH860" s="30"/>
      <c r="AI860" s="31"/>
      <c r="AJ860" s="31"/>
      <c r="AK860" s="32"/>
    </row>
    <row r="861">
      <c r="A861" s="21" t="s">
        <v>573</v>
      </c>
      <c r="B861" s="22" t="s">
        <v>438</v>
      </c>
      <c r="C861" s="22" t="s">
        <v>273</v>
      </c>
      <c r="D861" s="26">
        <v>45998.0</v>
      </c>
      <c r="E861" s="22" t="s">
        <v>439</v>
      </c>
      <c r="F861" s="22" t="s">
        <v>440</v>
      </c>
      <c r="G861" s="22" t="s">
        <v>2056</v>
      </c>
      <c r="H861" s="22" t="s">
        <v>573</v>
      </c>
      <c r="I861" s="22">
        <v>1.0454206185795E13</v>
      </c>
      <c r="J861" s="22" t="s">
        <v>1767</v>
      </c>
      <c r="K861" s="24"/>
      <c r="L861" s="22" t="s">
        <v>577</v>
      </c>
      <c r="M861" s="22">
        <v>1.0</v>
      </c>
      <c r="N861" s="22" t="s">
        <v>444</v>
      </c>
      <c r="O861" s="22" t="s">
        <v>445</v>
      </c>
      <c r="P861" s="24"/>
      <c r="Q861" s="22" t="s">
        <v>90</v>
      </c>
      <c r="R861" s="22">
        <v>3.2737225638211E13</v>
      </c>
      <c r="S861" s="24"/>
      <c r="T861" s="24"/>
      <c r="U861" s="24"/>
      <c r="V861" s="22" t="s">
        <v>55</v>
      </c>
      <c r="W861" s="33"/>
      <c r="X861" s="33"/>
      <c r="Y861" s="30"/>
      <c r="Z861" s="30"/>
      <c r="AA861" s="33"/>
      <c r="AB861" s="33"/>
      <c r="AC861" s="30"/>
      <c r="AD861" s="30"/>
      <c r="AE861" s="33"/>
      <c r="AF861" s="31"/>
      <c r="AG861" s="30"/>
      <c r="AH861" s="30"/>
      <c r="AI861" s="31"/>
      <c r="AJ861" s="31"/>
      <c r="AK861" s="32"/>
    </row>
    <row r="862">
      <c r="A862" s="21" t="s">
        <v>692</v>
      </c>
      <c r="B862" s="22" t="s">
        <v>539</v>
      </c>
      <c r="C862" s="22" t="s">
        <v>273</v>
      </c>
      <c r="D862" s="26">
        <v>45998.0</v>
      </c>
      <c r="E862" s="22" t="s">
        <v>149</v>
      </c>
      <c r="F862" s="22" t="s">
        <v>369</v>
      </c>
      <c r="G862" s="22" t="s">
        <v>2057</v>
      </c>
      <c r="H862" s="22" t="s">
        <v>692</v>
      </c>
      <c r="I862" s="22">
        <v>1.0454311731523E13</v>
      </c>
      <c r="J862" s="22" t="s">
        <v>541</v>
      </c>
      <c r="K862" s="24"/>
      <c r="L862" s="22" t="s">
        <v>694</v>
      </c>
      <c r="M862" s="22">
        <v>1.0</v>
      </c>
      <c r="N862" s="22" t="s">
        <v>373</v>
      </c>
      <c r="O862" s="22" t="s">
        <v>374</v>
      </c>
      <c r="P862" s="24"/>
      <c r="Q862" s="22" t="s">
        <v>90</v>
      </c>
      <c r="R862" s="22">
        <v>3.2737428341059E13</v>
      </c>
      <c r="S862" s="24"/>
      <c r="T862" s="24"/>
      <c r="U862" s="24"/>
      <c r="V862" s="22" t="s">
        <v>54</v>
      </c>
      <c r="W862" s="33"/>
      <c r="X862" s="33"/>
      <c r="Y862" s="30"/>
      <c r="Z862" s="30"/>
      <c r="AA862" s="33"/>
      <c r="AB862" s="33"/>
      <c r="AC862" s="30"/>
      <c r="AD862" s="30"/>
      <c r="AE862" s="33"/>
      <c r="AF862" s="31"/>
      <c r="AG862" s="30"/>
      <c r="AH862" s="30"/>
      <c r="AI862" s="31"/>
      <c r="AJ862" s="31"/>
      <c r="AK862" s="32"/>
    </row>
    <row r="863">
      <c r="A863" s="21" t="s">
        <v>2058</v>
      </c>
      <c r="B863" s="22" t="s">
        <v>2059</v>
      </c>
      <c r="C863" s="22" t="s">
        <v>82</v>
      </c>
      <c r="D863" s="23">
        <v>46004.0</v>
      </c>
      <c r="E863" s="22" t="s">
        <v>196</v>
      </c>
      <c r="F863" s="22" t="s">
        <v>203</v>
      </c>
      <c r="G863" s="22" t="s">
        <v>2060</v>
      </c>
      <c r="H863" s="22" t="s">
        <v>2058</v>
      </c>
      <c r="I863" s="22">
        <v>1.0454416687427E13</v>
      </c>
      <c r="J863" s="22" t="s">
        <v>2061</v>
      </c>
      <c r="K863" s="24"/>
      <c r="L863" s="22" t="s">
        <v>2062</v>
      </c>
      <c r="M863" s="22">
        <v>1.0</v>
      </c>
      <c r="N863" s="22" t="s">
        <v>207</v>
      </c>
      <c r="O863" s="22" t="s">
        <v>208</v>
      </c>
      <c r="P863" s="24"/>
      <c r="Q863" s="22" t="s">
        <v>90</v>
      </c>
      <c r="R863" s="22">
        <v>3.2737620590915E13</v>
      </c>
      <c r="S863" s="24"/>
      <c r="T863" s="24"/>
      <c r="U863" s="24"/>
      <c r="V863" s="22" t="s">
        <v>91</v>
      </c>
      <c r="W863" s="33"/>
      <c r="X863" s="33"/>
      <c r="Y863" s="30"/>
      <c r="Z863" s="30"/>
      <c r="AA863" s="33"/>
      <c r="AB863" s="33"/>
      <c r="AC863" s="30"/>
      <c r="AD863" s="30"/>
      <c r="AE863" s="33"/>
      <c r="AF863" s="31"/>
      <c r="AG863" s="30"/>
      <c r="AH863" s="30"/>
      <c r="AI863" s="31"/>
      <c r="AJ863" s="31"/>
      <c r="AK863" s="32"/>
    </row>
    <row r="864">
      <c r="A864" s="21" t="s">
        <v>580</v>
      </c>
      <c r="B864" s="22" t="s">
        <v>921</v>
      </c>
      <c r="C864" s="22" t="s">
        <v>82</v>
      </c>
      <c r="D864" s="26">
        <v>45997.0</v>
      </c>
      <c r="E864" s="22" t="s">
        <v>266</v>
      </c>
      <c r="F864" s="22" t="s">
        <v>303</v>
      </c>
      <c r="G864" s="22" t="s">
        <v>2063</v>
      </c>
      <c r="H864" s="22" t="s">
        <v>580</v>
      </c>
      <c r="I864" s="22">
        <v>1.0453824864579E13</v>
      </c>
      <c r="J864" s="22" t="s">
        <v>923</v>
      </c>
      <c r="K864" s="24"/>
      <c r="L864" s="22" t="s">
        <v>583</v>
      </c>
      <c r="M864" s="22">
        <v>1.0</v>
      </c>
      <c r="N864" s="22" t="s">
        <v>468</v>
      </c>
      <c r="O864" s="22" t="s">
        <v>469</v>
      </c>
      <c r="P864" s="24"/>
      <c r="Q864" s="22" t="s">
        <v>90</v>
      </c>
      <c r="R864" s="22">
        <v>3.2736447693123E13</v>
      </c>
      <c r="S864" s="24"/>
      <c r="T864" s="24"/>
      <c r="U864" s="24"/>
      <c r="V864" s="22" t="s">
        <v>175</v>
      </c>
      <c r="W864" s="33"/>
      <c r="X864" s="33"/>
      <c r="Y864" s="30"/>
      <c r="Z864" s="30"/>
      <c r="AA864" s="33"/>
      <c r="AB864" s="33"/>
      <c r="AC864" s="30"/>
      <c r="AD864" s="30"/>
      <c r="AE864" s="33"/>
      <c r="AF864" s="31"/>
      <c r="AG864" s="30"/>
      <c r="AH864" s="30"/>
      <c r="AI864" s="31"/>
      <c r="AJ864" s="31"/>
      <c r="AK864" s="32"/>
    </row>
    <row r="865">
      <c r="A865" s="21" t="s">
        <v>602</v>
      </c>
      <c r="B865" s="22" t="s">
        <v>1576</v>
      </c>
      <c r="C865" s="22" t="s">
        <v>82</v>
      </c>
      <c r="D865" s="26">
        <v>45997.0</v>
      </c>
      <c r="E865" s="22" t="s">
        <v>1117</v>
      </c>
      <c r="F865" s="22" t="s">
        <v>605</v>
      </c>
      <c r="G865" s="22" t="s">
        <v>2064</v>
      </c>
      <c r="H865" s="22" t="s">
        <v>602</v>
      </c>
      <c r="I865" s="22">
        <v>1.0453850521923E13</v>
      </c>
      <c r="J865" s="22" t="s">
        <v>1578</v>
      </c>
      <c r="K865" s="24"/>
      <c r="L865" s="22" t="s">
        <v>608</v>
      </c>
      <c r="M865" s="22">
        <v>1.0</v>
      </c>
      <c r="N865" s="22" t="s">
        <v>609</v>
      </c>
      <c r="O865" s="22" t="s">
        <v>610</v>
      </c>
      <c r="P865" s="24"/>
      <c r="Q865" s="22" t="s">
        <v>90</v>
      </c>
      <c r="R865" s="22">
        <v>3.2736504480067E13</v>
      </c>
      <c r="S865" s="24"/>
      <c r="T865" s="24"/>
      <c r="U865" s="24"/>
      <c r="V865" s="22" t="s">
        <v>54</v>
      </c>
      <c r="W865" s="33"/>
      <c r="X865" s="33"/>
      <c r="Y865" s="30"/>
      <c r="Z865" s="30"/>
      <c r="AA865" s="33"/>
      <c r="AB865" s="33"/>
      <c r="AC865" s="30"/>
      <c r="AD865" s="30"/>
      <c r="AE865" s="33"/>
      <c r="AF865" s="31"/>
      <c r="AG865" s="30"/>
      <c r="AH865" s="30"/>
      <c r="AI865" s="31"/>
      <c r="AJ865" s="31"/>
      <c r="AK865" s="32"/>
    </row>
    <row r="866">
      <c r="A866" s="21" t="s">
        <v>529</v>
      </c>
      <c r="B866" s="22" t="s">
        <v>516</v>
      </c>
      <c r="C866" s="22" t="s">
        <v>273</v>
      </c>
      <c r="D866" s="26">
        <v>45998.0</v>
      </c>
      <c r="E866" s="22" t="s">
        <v>134</v>
      </c>
      <c r="F866" s="22" t="s">
        <v>472</v>
      </c>
      <c r="G866" s="22" t="s">
        <v>2065</v>
      </c>
      <c r="H866" s="22" t="s">
        <v>529</v>
      </c>
      <c r="I866" s="22">
        <v>1.0453853634883E13</v>
      </c>
      <c r="J866" s="22" t="s">
        <v>518</v>
      </c>
      <c r="K866" s="24"/>
      <c r="L866" s="22" t="s">
        <v>533</v>
      </c>
      <c r="M866" s="22">
        <v>1.0</v>
      </c>
      <c r="N866" s="22" t="s">
        <v>534</v>
      </c>
      <c r="O866" s="22" t="s">
        <v>535</v>
      </c>
      <c r="P866" s="24"/>
      <c r="Q866" s="22" t="s">
        <v>90</v>
      </c>
      <c r="R866" s="22">
        <v>3.2736511361347E13</v>
      </c>
      <c r="S866" s="24"/>
      <c r="T866" s="24"/>
      <c r="U866" s="24"/>
      <c r="V866" s="22" t="s">
        <v>127</v>
      </c>
      <c r="W866" s="33"/>
      <c r="X866" s="33"/>
      <c r="Y866" s="30"/>
      <c r="Z866" s="30"/>
      <c r="AA866" s="33"/>
      <c r="AB866" s="33"/>
      <c r="AC866" s="30"/>
      <c r="AD866" s="30"/>
      <c r="AE866" s="33"/>
      <c r="AF866" s="31"/>
      <c r="AG866" s="30"/>
      <c r="AH866" s="30"/>
      <c r="AI866" s="31"/>
      <c r="AJ866" s="31"/>
      <c r="AK866" s="32"/>
    </row>
    <row r="867">
      <c r="A867" s="21" t="s">
        <v>550</v>
      </c>
      <c r="B867" s="22" t="s">
        <v>512</v>
      </c>
      <c r="C867" s="22" t="s">
        <v>82</v>
      </c>
      <c r="D867" s="26">
        <v>45997.0</v>
      </c>
      <c r="E867" s="22" t="s">
        <v>153</v>
      </c>
      <c r="F867" s="22" t="s">
        <v>377</v>
      </c>
      <c r="G867" s="22" t="s">
        <v>2066</v>
      </c>
      <c r="H867" s="22" t="s">
        <v>550</v>
      </c>
      <c r="I867" s="22">
        <v>1.0454438969667E13</v>
      </c>
      <c r="J867" s="22" t="s">
        <v>514</v>
      </c>
      <c r="K867" s="24"/>
      <c r="L867" s="22" t="s">
        <v>552</v>
      </c>
      <c r="M867" s="22">
        <v>1.0</v>
      </c>
      <c r="N867" s="22" t="s">
        <v>381</v>
      </c>
      <c r="O867" s="22" t="s">
        <v>382</v>
      </c>
      <c r="P867" s="24"/>
      <c r="Q867" s="22" t="s">
        <v>90</v>
      </c>
      <c r="R867" s="22">
        <v>3.2737660240195E13</v>
      </c>
      <c r="S867" s="24"/>
      <c r="T867" s="24"/>
      <c r="U867" s="24"/>
      <c r="V867" s="22" t="s">
        <v>95</v>
      </c>
      <c r="W867" s="33"/>
      <c r="X867" s="33"/>
      <c r="Y867" s="30"/>
      <c r="Z867" s="30"/>
      <c r="AA867" s="33"/>
      <c r="AB867" s="33"/>
      <c r="AC867" s="30"/>
      <c r="AD867" s="30"/>
      <c r="AE867" s="33"/>
      <c r="AF867" s="31"/>
      <c r="AG867" s="30"/>
      <c r="AH867" s="30"/>
      <c r="AI867" s="31"/>
      <c r="AJ867" s="31"/>
      <c r="AK867" s="32"/>
    </row>
    <row r="868">
      <c r="A868" s="21" t="s">
        <v>620</v>
      </c>
      <c r="B868" s="22" t="s">
        <v>1756</v>
      </c>
      <c r="C868" s="22" t="s">
        <v>273</v>
      </c>
      <c r="D868" s="26">
        <v>45998.0</v>
      </c>
      <c r="E868" s="22" t="s">
        <v>196</v>
      </c>
      <c r="F868" s="22" t="s">
        <v>623</v>
      </c>
      <c r="G868" s="22" t="s">
        <v>2067</v>
      </c>
      <c r="H868" s="22" t="s">
        <v>620</v>
      </c>
      <c r="I868" s="22">
        <v>1.0454592782659E13</v>
      </c>
      <c r="J868" s="22" t="s">
        <v>1758</v>
      </c>
      <c r="K868" s="24"/>
      <c r="L868" s="22" t="s">
        <v>626</v>
      </c>
      <c r="M868" s="22">
        <v>1.0</v>
      </c>
      <c r="N868" s="22" t="s">
        <v>627</v>
      </c>
      <c r="O868" s="22" t="s">
        <v>628</v>
      </c>
      <c r="P868" s="24"/>
      <c r="Q868" s="22" t="s">
        <v>90</v>
      </c>
      <c r="R868" s="22">
        <v>3.2737968652611E13</v>
      </c>
      <c r="S868" s="24"/>
      <c r="T868" s="24"/>
      <c r="U868" s="24"/>
      <c r="V868" s="22" t="s">
        <v>54</v>
      </c>
      <c r="W868" s="33"/>
      <c r="X868" s="33"/>
      <c r="Y868" s="30"/>
      <c r="Z868" s="30"/>
      <c r="AA868" s="33"/>
      <c r="AB868" s="33"/>
      <c r="AC868" s="30"/>
      <c r="AD868" s="30"/>
      <c r="AE868" s="33"/>
      <c r="AF868" s="31"/>
      <c r="AG868" s="30"/>
      <c r="AH868" s="30"/>
      <c r="AI868" s="31"/>
      <c r="AJ868" s="31"/>
      <c r="AK868" s="32"/>
    </row>
    <row r="869">
      <c r="A869" s="21" t="s">
        <v>789</v>
      </c>
      <c r="B869" s="22" t="s">
        <v>2068</v>
      </c>
      <c r="C869" s="22" t="s">
        <v>82</v>
      </c>
      <c r="D869" s="26">
        <v>45997.0</v>
      </c>
      <c r="E869" s="22" t="s">
        <v>196</v>
      </c>
      <c r="F869" s="22" t="s">
        <v>605</v>
      </c>
      <c r="G869" s="22" t="s">
        <v>2069</v>
      </c>
      <c r="H869" s="22" t="s">
        <v>789</v>
      </c>
      <c r="I869" s="22">
        <v>1.0454644195651E13</v>
      </c>
      <c r="J869" s="22" t="s">
        <v>2070</v>
      </c>
      <c r="K869" s="24"/>
      <c r="L869" s="22" t="s">
        <v>794</v>
      </c>
      <c r="M869" s="22">
        <v>1.0</v>
      </c>
      <c r="N869" s="22" t="s">
        <v>795</v>
      </c>
      <c r="O869" s="22" t="s">
        <v>796</v>
      </c>
      <c r="P869" s="24"/>
      <c r="Q869" s="22" t="s">
        <v>90</v>
      </c>
      <c r="R869" s="22">
        <v>3.2738083176771E13</v>
      </c>
      <c r="S869" s="24"/>
      <c r="T869" s="24"/>
      <c r="U869" s="24"/>
      <c r="V869" s="22" t="s">
        <v>105</v>
      </c>
      <c r="W869" s="33"/>
      <c r="X869" s="33"/>
      <c r="Y869" s="30"/>
      <c r="Z869" s="30"/>
      <c r="AA869" s="33"/>
      <c r="AB869" s="33"/>
      <c r="AC869" s="30"/>
      <c r="AD869" s="30"/>
      <c r="AE869" s="33"/>
      <c r="AF869" s="31"/>
      <c r="AG869" s="30"/>
      <c r="AH869" s="30"/>
      <c r="AI869" s="31"/>
      <c r="AJ869" s="31"/>
      <c r="AK869" s="32"/>
    </row>
    <row r="870">
      <c r="A870" s="21" t="s">
        <v>408</v>
      </c>
      <c r="B870" s="22" t="s">
        <v>416</v>
      </c>
      <c r="C870" s="22" t="s">
        <v>82</v>
      </c>
      <c r="D870" s="26">
        <v>45997.0</v>
      </c>
      <c r="E870" s="22" t="s">
        <v>134</v>
      </c>
      <c r="F870" s="22" t="s">
        <v>377</v>
      </c>
      <c r="G870" s="22" t="s">
        <v>2071</v>
      </c>
      <c r="H870" s="22" t="s">
        <v>408</v>
      </c>
      <c r="I870" s="22">
        <v>1.0454650421571E13</v>
      </c>
      <c r="J870" s="22" t="s">
        <v>1017</v>
      </c>
      <c r="K870" s="24"/>
      <c r="L870" s="22" t="s">
        <v>412</v>
      </c>
      <c r="M870" s="22">
        <v>1.0</v>
      </c>
      <c r="N870" s="22" t="s">
        <v>413</v>
      </c>
      <c r="O870" s="22" t="s">
        <v>414</v>
      </c>
      <c r="P870" s="24"/>
      <c r="Q870" s="22" t="s">
        <v>90</v>
      </c>
      <c r="R870" s="22">
        <v>3.2738097103171E13</v>
      </c>
      <c r="S870" s="24"/>
      <c r="T870" s="24"/>
      <c r="U870" s="24"/>
      <c r="V870" s="22" t="s">
        <v>127</v>
      </c>
      <c r="W870" s="33"/>
      <c r="X870" s="33"/>
      <c r="Y870" s="30"/>
      <c r="Z870" s="30"/>
      <c r="AA870" s="33"/>
      <c r="AB870" s="33"/>
      <c r="AC870" s="30"/>
      <c r="AD870" s="30"/>
      <c r="AE870" s="33"/>
      <c r="AF870" s="31"/>
      <c r="AG870" s="30"/>
      <c r="AH870" s="30"/>
      <c r="AI870" s="31"/>
      <c r="AJ870" s="31"/>
      <c r="AK870" s="32"/>
    </row>
    <row r="871">
      <c r="A871" s="21" t="s">
        <v>141</v>
      </c>
      <c r="B871" s="22" t="s">
        <v>1662</v>
      </c>
      <c r="C871" s="22" t="s">
        <v>82</v>
      </c>
      <c r="D871" s="26">
        <v>45997.0</v>
      </c>
      <c r="E871" s="22" t="s">
        <v>224</v>
      </c>
      <c r="F871" s="22" t="s">
        <v>83</v>
      </c>
      <c r="G871" s="22" t="s">
        <v>2072</v>
      </c>
      <c r="H871" s="22" t="s">
        <v>141</v>
      </c>
      <c r="I871" s="22">
        <v>1.0454653206851E13</v>
      </c>
      <c r="J871" s="22" t="s">
        <v>1664</v>
      </c>
      <c r="K871" s="24"/>
      <c r="L871" s="22" t="s">
        <v>143</v>
      </c>
      <c r="M871" s="22">
        <v>1.0</v>
      </c>
      <c r="N871" s="22" t="s">
        <v>87</v>
      </c>
      <c r="O871" s="22" t="s">
        <v>88</v>
      </c>
      <c r="P871" s="24"/>
      <c r="Q871" s="22" t="s">
        <v>90</v>
      </c>
      <c r="R871" s="22">
        <v>3.2738102739267E13</v>
      </c>
      <c r="S871" s="24"/>
      <c r="T871" s="24"/>
      <c r="U871" s="24"/>
      <c r="V871" s="22" t="s">
        <v>54</v>
      </c>
      <c r="W871" s="33"/>
      <c r="X871" s="33"/>
      <c r="Y871" s="30"/>
      <c r="Z871" s="30"/>
      <c r="AA871" s="33"/>
      <c r="AB871" s="33"/>
      <c r="AC871" s="30"/>
      <c r="AD871" s="30"/>
      <c r="AE871" s="33"/>
      <c r="AF871" s="31"/>
      <c r="AG871" s="30"/>
      <c r="AH871" s="30"/>
      <c r="AI871" s="31"/>
      <c r="AJ871" s="31"/>
      <c r="AK871" s="32"/>
    </row>
    <row r="872">
      <c r="A872" s="21" t="s">
        <v>96</v>
      </c>
      <c r="B872" s="22" t="s">
        <v>1309</v>
      </c>
      <c r="C872" s="22" t="s">
        <v>273</v>
      </c>
      <c r="D872" s="26">
        <v>45998.0</v>
      </c>
      <c r="E872" s="22" t="s">
        <v>134</v>
      </c>
      <c r="F872" s="22" t="s">
        <v>83</v>
      </c>
      <c r="G872" s="22" t="s">
        <v>2073</v>
      </c>
      <c r="H872" s="22" t="s">
        <v>96</v>
      </c>
      <c r="I872" s="22">
        <v>1.0454654091587E13</v>
      </c>
      <c r="J872" s="22" t="s">
        <v>1311</v>
      </c>
      <c r="K872" s="24"/>
      <c r="L872" s="22" t="s">
        <v>98</v>
      </c>
      <c r="M872" s="22">
        <v>1.0</v>
      </c>
      <c r="N872" s="22" t="s">
        <v>87</v>
      </c>
      <c r="O872" s="22" t="s">
        <v>88</v>
      </c>
      <c r="P872" s="24"/>
      <c r="Q872" s="22" t="s">
        <v>90</v>
      </c>
      <c r="R872" s="22">
        <v>3.2738104705347E13</v>
      </c>
      <c r="S872" s="24"/>
      <c r="T872" s="24"/>
      <c r="U872" s="24"/>
      <c r="V872" s="22" t="s">
        <v>55</v>
      </c>
      <c r="W872" s="33"/>
      <c r="X872" s="33"/>
      <c r="Y872" s="30"/>
      <c r="Z872" s="30"/>
      <c r="AA872" s="33"/>
      <c r="AB872" s="33"/>
      <c r="AC872" s="30"/>
      <c r="AD872" s="30"/>
      <c r="AE872" s="33"/>
      <c r="AF872" s="31"/>
      <c r="AG872" s="30"/>
      <c r="AH872" s="30"/>
      <c r="AI872" s="31"/>
      <c r="AJ872" s="31"/>
      <c r="AK872" s="32"/>
    </row>
    <row r="873">
      <c r="A873" s="21" t="s">
        <v>1634</v>
      </c>
      <c r="B873" s="22" t="s">
        <v>1801</v>
      </c>
      <c r="C873" s="22" t="s">
        <v>82</v>
      </c>
      <c r="D873" s="26">
        <v>45997.0</v>
      </c>
      <c r="E873" s="22" t="s">
        <v>177</v>
      </c>
      <c r="F873" s="22" t="s">
        <v>1466</v>
      </c>
      <c r="G873" s="22" t="s">
        <v>2074</v>
      </c>
      <c r="H873" s="22" t="s">
        <v>1634</v>
      </c>
      <c r="I873" s="22">
        <v>1.0454671327555E13</v>
      </c>
      <c r="J873" s="22" t="s">
        <v>1803</v>
      </c>
      <c r="K873" s="24"/>
      <c r="L873" s="22" t="s">
        <v>1639</v>
      </c>
      <c r="M873" s="22">
        <v>1.0</v>
      </c>
      <c r="N873" s="22" t="s">
        <v>1628</v>
      </c>
      <c r="O873" s="22" t="s">
        <v>1629</v>
      </c>
      <c r="P873" s="24"/>
      <c r="Q873" s="22" t="s">
        <v>90</v>
      </c>
      <c r="R873" s="22">
        <v>3.2738140651843E13</v>
      </c>
      <c r="S873" s="24"/>
      <c r="T873" s="24"/>
      <c r="U873" s="24"/>
      <c r="V873" s="22" t="s">
        <v>105</v>
      </c>
      <c r="W873" s="33"/>
      <c r="X873" s="33"/>
      <c r="Y873" s="30"/>
      <c r="Z873" s="30"/>
      <c r="AA873" s="33"/>
      <c r="AB873" s="33"/>
      <c r="AC873" s="30"/>
      <c r="AD873" s="30"/>
      <c r="AE873" s="33"/>
      <c r="AF873" s="31"/>
      <c r="AG873" s="30"/>
      <c r="AH873" s="30"/>
      <c r="AI873" s="31"/>
      <c r="AJ873" s="31"/>
      <c r="AK873" s="32"/>
    </row>
    <row r="874">
      <c r="A874" s="21" t="s">
        <v>1634</v>
      </c>
      <c r="B874" s="22" t="s">
        <v>1801</v>
      </c>
      <c r="C874" s="22" t="s">
        <v>82</v>
      </c>
      <c r="D874" s="26">
        <v>45997.0</v>
      </c>
      <c r="E874" s="22" t="s">
        <v>177</v>
      </c>
      <c r="F874" s="22" t="s">
        <v>1466</v>
      </c>
      <c r="G874" s="22" t="s">
        <v>2075</v>
      </c>
      <c r="H874" s="22" t="s">
        <v>1634</v>
      </c>
      <c r="I874" s="22">
        <v>1.0454719824195E13</v>
      </c>
      <c r="J874" s="22" t="s">
        <v>1803</v>
      </c>
      <c r="K874" s="24"/>
      <c r="L874" s="22" t="s">
        <v>1639</v>
      </c>
      <c r="M874" s="22">
        <v>1.0</v>
      </c>
      <c r="N874" s="22" t="s">
        <v>1628</v>
      </c>
      <c r="O874" s="22" t="s">
        <v>1629</v>
      </c>
      <c r="P874" s="24"/>
      <c r="Q874" s="22" t="s">
        <v>90</v>
      </c>
      <c r="R874" s="22">
        <v>3.2738252423491E13</v>
      </c>
      <c r="S874" s="24"/>
      <c r="T874" s="24"/>
      <c r="U874" s="24"/>
      <c r="V874" s="22" t="s">
        <v>105</v>
      </c>
      <c r="W874" s="33"/>
      <c r="X874" s="33"/>
      <c r="Y874" s="30"/>
      <c r="Z874" s="30"/>
      <c r="AA874" s="33"/>
      <c r="AB874" s="33"/>
      <c r="AC874" s="30"/>
      <c r="AD874" s="30"/>
      <c r="AE874" s="33"/>
      <c r="AF874" s="31"/>
      <c r="AG874" s="30"/>
      <c r="AH874" s="30"/>
      <c r="AI874" s="31"/>
      <c r="AJ874" s="31"/>
      <c r="AK874" s="32"/>
    </row>
    <row r="875">
      <c r="A875" s="21" t="s">
        <v>732</v>
      </c>
      <c r="B875" s="22" t="s">
        <v>644</v>
      </c>
      <c r="C875" s="22" t="s">
        <v>287</v>
      </c>
      <c r="D875" s="23">
        <v>46001.0</v>
      </c>
      <c r="E875" s="22" t="s">
        <v>219</v>
      </c>
      <c r="F875" s="22" t="s">
        <v>634</v>
      </c>
      <c r="G875" s="22" t="s">
        <v>2076</v>
      </c>
      <c r="H875" s="22" t="s">
        <v>732</v>
      </c>
      <c r="I875" s="22">
        <v>1.0454746366275E13</v>
      </c>
      <c r="J875" s="22" t="s">
        <v>646</v>
      </c>
      <c r="K875" s="24"/>
      <c r="L875" s="22" t="s">
        <v>737</v>
      </c>
      <c r="M875" s="22">
        <v>1.0</v>
      </c>
      <c r="N875" s="22" t="s">
        <v>738</v>
      </c>
      <c r="O875" s="22" t="s">
        <v>739</v>
      </c>
      <c r="P875" s="24"/>
      <c r="Q875" s="22" t="s">
        <v>90</v>
      </c>
      <c r="R875" s="22">
        <v>3.2738313634115E13</v>
      </c>
      <c r="S875" s="24"/>
      <c r="T875" s="24"/>
      <c r="U875" s="24"/>
      <c r="V875" s="22" t="s">
        <v>105</v>
      </c>
      <c r="W875" s="33"/>
      <c r="X875" s="33"/>
      <c r="Y875" s="30"/>
      <c r="Z875" s="30"/>
      <c r="AA875" s="33"/>
      <c r="AB875" s="33"/>
      <c r="AC875" s="30"/>
      <c r="AD875" s="30"/>
      <c r="AE875" s="33"/>
      <c r="AF875" s="31"/>
      <c r="AG875" s="30"/>
      <c r="AH875" s="30"/>
      <c r="AI875" s="31"/>
      <c r="AJ875" s="31"/>
      <c r="AK875" s="32"/>
    </row>
    <row r="876">
      <c r="A876" s="21" t="s">
        <v>80</v>
      </c>
      <c r="B876" s="22" t="s">
        <v>1817</v>
      </c>
      <c r="C876" s="22" t="s">
        <v>202</v>
      </c>
      <c r="D876" s="26">
        <v>45996.0</v>
      </c>
      <c r="E876" s="22" t="s">
        <v>192</v>
      </c>
      <c r="F876" s="22" t="s">
        <v>83</v>
      </c>
      <c r="G876" s="22" t="s">
        <v>2077</v>
      </c>
      <c r="H876" s="22" t="s">
        <v>80</v>
      </c>
      <c r="I876" s="22">
        <v>1.0454781722947E13</v>
      </c>
      <c r="J876" s="22" t="s">
        <v>1819</v>
      </c>
      <c r="K876" s="24"/>
      <c r="L876" s="22" t="s">
        <v>86</v>
      </c>
      <c r="M876" s="22">
        <v>1.0</v>
      </c>
      <c r="N876" s="22" t="s">
        <v>87</v>
      </c>
      <c r="O876" s="22" t="s">
        <v>88</v>
      </c>
      <c r="P876" s="24"/>
      <c r="Q876" s="22" t="s">
        <v>90</v>
      </c>
      <c r="R876" s="22">
        <v>3.2738393030979E13</v>
      </c>
      <c r="S876" s="24"/>
      <c r="T876" s="24"/>
      <c r="U876" s="24"/>
      <c r="V876" s="22" t="s">
        <v>91</v>
      </c>
      <c r="W876" s="33"/>
      <c r="X876" s="33"/>
      <c r="Y876" s="30"/>
      <c r="Z876" s="30"/>
      <c r="AA876" s="33"/>
      <c r="AB876" s="33"/>
      <c r="AC876" s="30"/>
      <c r="AD876" s="30"/>
      <c r="AE876" s="33"/>
      <c r="AF876" s="31"/>
      <c r="AG876" s="30"/>
      <c r="AH876" s="30"/>
      <c r="AI876" s="31"/>
      <c r="AJ876" s="31"/>
      <c r="AK876" s="32"/>
    </row>
    <row r="877">
      <c r="A877" s="21" t="s">
        <v>550</v>
      </c>
      <c r="B877" s="22" t="s">
        <v>416</v>
      </c>
      <c r="C877" s="22" t="s">
        <v>82</v>
      </c>
      <c r="D877" s="26">
        <v>45997.0</v>
      </c>
      <c r="E877" s="22" t="s">
        <v>134</v>
      </c>
      <c r="F877" s="22" t="s">
        <v>377</v>
      </c>
      <c r="G877" s="22" t="s">
        <v>2078</v>
      </c>
      <c r="H877" s="22" t="s">
        <v>550</v>
      </c>
      <c r="I877" s="22">
        <v>1.0454800662851E13</v>
      </c>
      <c r="J877" s="22" t="s">
        <v>1017</v>
      </c>
      <c r="K877" s="24"/>
      <c r="L877" s="22" t="s">
        <v>552</v>
      </c>
      <c r="M877" s="22">
        <v>1.0</v>
      </c>
      <c r="N877" s="22" t="s">
        <v>381</v>
      </c>
      <c r="O877" s="22" t="s">
        <v>382</v>
      </c>
      <c r="P877" s="24"/>
      <c r="Q877" s="22" t="s">
        <v>90</v>
      </c>
      <c r="R877" s="22">
        <v>3.2738434056515E13</v>
      </c>
      <c r="S877" s="24"/>
      <c r="T877" s="24"/>
      <c r="U877" s="24"/>
      <c r="V877" s="22" t="s">
        <v>95</v>
      </c>
      <c r="W877" s="33"/>
      <c r="X877" s="33"/>
      <c r="Y877" s="30"/>
      <c r="Z877" s="30"/>
      <c r="AA877" s="33"/>
      <c r="AB877" s="33"/>
      <c r="AC877" s="30"/>
      <c r="AD877" s="30"/>
      <c r="AE877" s="33"/>
      <c r="AF877" s="31"/>
      <c r="AG877" s="30"/>
      <c r="AH877" s="30"/>
      <c r="AI877" s="31"/>
      <c r="AJ877" s="31"/>
      <c r="AK877" s="32"/>
    </row>
    <row r="878">
      <c r="A878" s="28"/>
      <c r="B878" s="22" t="s">
        <v>416</v>
      </c>
      <c r="C878" s="22" t="s">
        <v>82</v>
      </c>
      <c r="D878" s="26">
        <v>45997.0</v>
      </c>
      <c r="E878" s="22" t="s">
        <v>134</v>
      </c>
      <c r="F878" s="22" t="s">
        <v>377</v>
      </c>
      <c r="G878" s="22" t="s">
        <v>2078</v>
      </c>
      <c r="H878" s="29"/>
      <c r="I878" s="22">
        <v>1.0454800662851E13</v>
      </c>
      <c r="J878" s="22" t="s">
        <v>1017</v>
      </c>
      <c r="K878" s="24"/>
      <c r="L878" s="22" t="s">
        <v>767</v>
      </c>
      <c r="M878" s="24"/>
      <c r="N878" s="24"/>
      <c r="O878" s="22" t="s">
        <v>768</v>
      </c>
      <c r="P878" s="24"/>
      <c r="Q878" s="22" t="s">
        <v>769</v>
      </c>
      <c r="R878" s="24"/>
      <c r="S878" s="24"/>
      <c r="T878" s="24"/>
      <c r="U878" s="24"/>
      <c r="V878" s="24"/>
      <c r="W878" s="33"/>
      <c r="X878" s="33"/>
      <c r="Y878" s="30"/>
      <c r="Z878" s="30"/>
      <c r="AA878" s="33"/>
      <c r="AB878" s="33"/>
      <c r="AC878" s="30"/>
      <c r="AD878" s="30"/>
      <c r="AE878" s="33"/>
      <c r="AF878" s="31"/>
      <c r="AG878" s="30"/>
      <c r="AH878" s="30"/>
      <c r="AI878" s="31"/>
      <c r="AJ878" s="31"/>
      <c r="AK878" s="32"/>
    </row>
    <row r="879">
      <c r="A879" s="21" t="s">
        <v>141</v>
      </c>
      <c r="B879" s="22" t="s">
        <v>1662</v>
      </c>
      <c r="C879" s="22" t="s">
        <v>82</v>
      </c>
      <c r="D879" s="26">
        <v>45997.0</v>
      </c>
      <c r="E879" s="22" t="s">
        <v>224</v>
      </c>
      <c r="F879" s="22" t="s">
        <v>83</v>
      </c>
      <c r="G879" s="22" t="s">
        <v>2079</v>
      </c>
      <c r="H879" s="22" t="s">
        <v>141</v>
      </c>
      <c r="I879" s="22">
        <v>1.0454806724931E13</v>
      </c>
      <c r="J879" s="22" t="s">
        <v>1664</v>
      </c>
      <c r="K879" s="24"/>
      <c r="L879" s="22" t="s">
        <v>143</v>
      </c>
      <c r="M879" s="22">
        <v>1.0</v>
      </c>
      <c r="N879" s="22" t="s">
        <v>87</v>
      </c>
      <c r="O879" s="22" t="s">
        <v>88</v>
      </c>
      <c r="P879" s="24"/>
      <c r="Q879" s="22" t="s">
        <v>90</v>
      </c>
      <c r="R879" s="22">
        <v>3.2738448933187E13</v>
      </c>
      <c r="S879" s="24"/>
      <c r="T879" s="24"/>
      <c r="U879" s="24"/>
      <c r="V879" s="22" t="s">
        <v>54</v>
      </c>
      <c r="W879" s="33"/>
      <c r="X879" s="33"/>
      <c r="Y879" s="30"/>
      <c r="Z879" s="30"/>
      <c r="AA879" s="33"/>
      <c r="AB879" s="33"/>
      <c r="AC879" s="30"/>
      <c r="AD879" s="30"/>
      <c r="AE879" s="33"/>
      <c r="AF879" s="31"/>
      <c r="AG879" s="30"/>
      <c r="AH879" s="30"/>
      <c r="AI879" s="31"/>
      <c r="AJ879" s="31"/>
      <c r="AK879" s="32"/>
    </row>
    <row r="880">
      <c r="A880" s="21" t="s">
        <v>415</v>
      </c>
      <c r="B880" s="22" t="s">
        <v>512</v>
      </c>
      <c r="C880" s="22" t="s">
        <v>82</v>
      </c>
      <c r="D880" s="26">
        <v>45997.0</v>
      </c>
      <c r="E880" s="22" t="s">
        <v>153</v>
      </c>
      <c r="F880" s="22" t="s">
        <v>377</v>
      </c>
      <c r="G880" s="22" t="s">
        <v>2080</v>
      </c>
      <c r="H880" s="22" t="s">
        <v>415</v>
      </c>
      <c r="I880" s="22">
        <v>1.0454827401539E13</v>
      </c>
      <c r="J880" s="22" t="s">
        <v>514</v>
      </c>
      <c r="K880" s="24"/>
      <c r="L880" s="22" t="s">
        <v>419</v>
      </c>
      <c r="M880" s="22">
        <v>1.0</v>
      </c>
      <c r="N880" s="22" t="s">
        <v>381</v>
      </c>
      <c r="O880" s="22" t="s">
        <v>382</v>
      </c>
      <c r="P880" s="24"/>
      <c r="Q880" s="22" t="s">
        <v>90</v>
      </c>
      <c r="R880" s="22">
        <v>3.2738496119107E13</v>
      </c>
      <c r="S880" s="24"/>
      <c r="T880" s="24"/>
      <c r="U880" s="24"/>
      <c r="V880" s="22" t="s">
        <v>91</v>
      </c>
      <c r="W880" s="33"/>
      <c r="X880" s="33"/>
      <c r="Y880" s="30"/>
      <c r="Z880" s="30"/>
      <c r="AA880" s="33"/>
      <c r="AB880" s="33"/>
      <c r="AC880" s="30"/>
      <c r="AD880" s="30"/>
      <c r="AE880" s="33"/>
      <c r="AF880" s="31"/>
      <c r="AG880" s="30"/>
      <c r="AH880" s="30"/>
      <c r="AI880" s="31"/>
      <c r="AJ880" s="31"/>
      <c r="AK880" s="32"/>
    </row>
    <row r="881">
      <c r="A881" s="21" t="s">
        <v>692</v>
      </c>
      <c r="B881" s="22" t="s">
        <v>424</v>
      </c>
      <c r="C881" s="22" t="s">
        <v>273</v>
      </c>
      <c r="D881" s="26">
        <v>45998.0</v>
      </c>
      <c r="E881" s="22" t="s">
        <v>134</v>
      </c>
      <c r="F881" s="22" t="s">
        <v>369</v>
      </c>
      <c r="G881" s="22" t="s">
        <v>2081</v>
      </c>
      <c r="H881" s="22" t="s">
        <v>692</v>
      </c>
      <c r="I881" s="22">
        <v>1.0454842868035E13</v>
      </c>
      <c r="J881" s="22" t="s">
        <v>426</v>
      </c>
      <c r="K881" s="24"/>
      <c r="L881" s="22" t="s">
        <v>694</v>
      </c>
      <c r="M881" s="22">
        <v>1.0</v>
      </c>
      <c r="N881" s="22" t="s">
        <v>373</v>
      </c>
      <c r="O881" s="22" t="s">
        <v>374</v>
      </c>
      <c r="P881" s="24"/>
      <c r="Q881" s="22" t="s">
        <v>90</v>
      </c>
      <c r="R881" s="22">
        <v>3.2738533474627E13</v>
      </c>
      <c r="S881" s="24"/>
      <c r="T881" s="24"/>
      <c r="U881" s="24"/>
      <c r="V881" s="22" t="s">
        <v>54</v>
      </c>
      <c r="W881" s="33"/>
      <c r="X881" s="33"/>
      <c r="Y881" s="30"/>
      <c r="Z881" s="30"/>
      <c r="AA881" s="33"/>
      <c r="AB881" s="33"/>
      <c r="AC881" s="30"/>
      <c r="AD881" s="30"/>
      <c r="AE881" s="33"/>
      <c r="AF881" s="31"/>
      <c r="AG881" s="30"/>
      <c r="AH881" s="30"/>
      <c r="AI881" s="31"/>
      <c r="AJ881" s="31"/>
      <c r="AK881" s="32"/>
    </row>
    <row r="882">
      <c r="A882" s="21" t="s">
        <v>515</v>
      </c>
      <c r="B882" s="22" t="s">
        <v>530</v>
      </c>
      <c r="C882" s="22" t="s">
        <v>82</v>
      </c>
      <c r="D882" s="26">
        <v>45997.0</v>
      </c>
      <c r="E882" s="22" t="s">
        <v>149</v>
      </c>
      <c r="F882" s="22" t="s">
        <v>472</v>
      </c>
      <c r="G882" s="22" t="s">
        <v>2082</v>
      </c>
      <c r="H882" s="22" t="s">
        <v>515</v>
      </c>
      <c r="I882" s="22">
        <v>1.0454852927811E13</v>
      </c>
      <c r="J882" s="22" t="s">
        <v>537</v>
      </c>
      <c r="K882" s="24"/>
      <c r="L882" s="22" t="s">
        <v>519</v>
      </c>
      <c r="M882" s="22">
        <v>1.0</v>
      </c>
      <c r="N882" s="22" t="s">
        <v>476</v>
      </c>
      <c r="O882" s="22" t="s">
        <v>477</v>
      </c>
      <c r="P882" s="24"/>
      <c r="Q882" s="22" t="s">
        <v>90</v>
      </c>
      <c r="R882" s="22">
        <v>3.2738559328579E13</v>
      </c>
      <c r="S882" s="24"/>
      <c r="T882" s="24"/>
      <c r="U882" s="24"/>
      <c r="V882" s="22" t="s">
        <v>55</v>
      </c>
      <c r="W882" s="33"/>
      <c r="X882" s="33"/>
      <c r="Y882" s="30"/>
      <c r="Z882" s="30"/>
      <c r="AA882" s="33"/>
      <c r="AB882" s="33"/>
      <c r="AC882" s="30"/>
      <c r="AD882" s="30"/>
      <c r="AE882" s="33"/>
      <c r="AF882" s="31"/>
      <c r="AG882" s="30"/>
      <c r="AH882" s="30"/>
      <c r="AI882" s="31"/>
      <c r="AJ882" s="31"/>
      <c r="AK882" s="32"/>
    </row>
    <row r="883">
      <c r="A883" s="21" t="s">
        <v>912</v>
      </c>
      <c r="B883" s="22" t="s">
        <v>416</v>
      </c>
      <c r="C883" s="22" t="s">
        <v>82</v>
      </c>
      <c r="D883" s="26">
        <v>45997.0</v>
      </c>
      <c r="E883" s="22" t="s">
        <v>134</v>
      </c>
      <c r="F883" s="22" t="s">
        <v>377</v>
      </c>
      <c r="G883" s="22" t="s">
        <v>2083</v>
      </c>
      <c r="H883" s="22" t="s">
        <v>912</v>
      </c>
      <c r="I883" s="22">
        <v>1.0454927573315E13</v>
      </c>
      <c r="J883" s="22" t="s">
        <v>1017</v>
      </c>
      <c r="K883" s="24"/>
      <c r="L883" s="22" t="s">
        <v>914</v>
      </c>
      <c r="M883" s="22">
        <v>1.0</v>
      </c>
      <c r="N883" s="22" t="s">
        <v>381</v>
      </c>
      <c r="O883" s="22" t="s">
        <v>382</v>
      </c>
      <c r="P883" s="24"/>
      <c r="Q883" s="22" t="s">
        <v>90</v>
      </c>
      <c r="R883" s="22">
        <v>3.2738737946947E13</v>
      </c>
      <c r="S883" s="24"/>
      <c r="T883" s="24"/>
      <c r="U883" s="24"/>
      <c r="V883" s="22" t="s">
        <v>54</v>
      </c>
      <c r="W883" s="33"/>
      <c r="X883" s="33"/>
      <c r="Y883" s="30"/>
      <c r="Z883" s="30"/>
      <c r="AA883" s="33"/>
      <c r="AB883" s="33"/>
      <c r="AC883" s="30"/>
      <c r="AD883" s="30"/>
      <c r="AE883" s="33"/>
      <c r="AF883" s="31"/>
      <c r="AG883" s="30"/>
      <c r="AH883" s="30"/>
      <c r="AI883" s="31"/>
      <c r="AJ883" s="31"/>
      <c r="AK883" s="32"/>
    </row>
    <row r="884">
      <c r="A884" s="21" t="s">
        <v>99</v>
      </c>
      <c r="B884" s="22" t="s">
        <v>2084</v>
      </c>
      <c r="C884" s="22" t="s">
        <v>202</v>
      </c>
      <c r="D884" s="26">
        <v>45996.0</v>
      </c>
      <c r="E884" s="22" t="s">
        <v>224</v>
      </c>
      <c r="F884" s="22" t="s">
        <v>83</v>
      </c>
      <c r="G884" s="22" t="s">
        <v>2085</v>
      </c>
      <c r="H884" s="22" t="s">
        <v>99</v>
      </c>
      <c r="I884" s="22">
        <v>1.0454932848963E13</v>
      </c>
      <c r="J884" s="22" t="s">
        <v>2086</v>
      </c>
      <c r="K884" s="24"/>
      <c r="L884" s="22" t="s">
        <v>102</v>
      </c>
      <c r="M884" s="22">
        <v>1.0</v>
      </c>
      <c r="N884" s="22" t="s">
        <v>103</v>
      </c>
      <c r="O884" s="22" t="s">
        <v>104</v>
      </c>
      <c r="P884" s="24"/>
      <c r="Q884" s="22" t="s">
        <v>90</v>
      </c>
      <c r="R884" s="22">
        <v>3.2738750431555E13</v>
      </c>
      <c r="S884" s="24"/>
      <c r="T884" s="24"/>
      <c r="U884" s="24"/>
      <c r="V884" s="22" t="s">
        <v>105</v>
      </c>
      <c r="W884" s="33"/>
      <c r="X884" s="33"/>
      <c r="Y884" s="30"/>
      <c r="Z884" s="30"/>
      <c r="AA884" s="33"/>
      <c r="AB884" s="33"/>
      <c r="AC884" s="30"/>
      <c r="AD884" s="30"/>
      <c r="AE884" s="33"/>
      <c r="AF884" s="31"/>
      <c r="AG884" s="30"/>
      <c r="AH884" s="30"/>
      <c r="AI884" s="31"/>
      <c r="AJ884" s="31"/>
      <c r="AK884" s="32"/>
    </row>
    <row r="885">
      <c r="A885" s="21" t="s">
        <v>339</v>
      </c>
      <c r="B885" s="22" t="s">
        <v>2087</v>
      </c>
      <c r="C885" s="22" t="s">
        <v>82</v>
      </c>
      <c r="D885" s="26">
        <v>45997.0</v>
      </c>
      <c r="E885" s="22" t="s">
        <v>734</v>
      </c>
      <c r="F885" s="22" t="s">
        <v>341</v>
      </c>
      <c r="G885" s="22" t="s">
        <v>2088</v>
      </c>
      <c r="H885" s="22" t="s">
        <v>339</v>
      </c>
      <c r="I885" s="22">
        <v>1.0454968795459E13</v>
      </c>
      <c r="J885" s="22" t="s">
        <v>2089</v>
      </c>
      <c r="K885" s="24"/>
      <c r="L885" s="22" t="s">
        <v>344</v>
      </c>
      <c r="M885" s="22">
        <v>1.0</v>
      </c>
      <c r="N885" s="22" t="s">
        <v>345</v>
      </c>
      <c r="O885" s="22" t="s">
        <v>346</v>
      </c>
      <c r="P885" s="24"/>
      <c r="Q885" s="22" t="s">
        <v>90</v>
      </c>
      <c r="R885" s="22">
        <v>3.2738835005763E13</v>
      </c>
      <c r="S885" s="24"/>
      <c r="T885" s="24"/>
      <c r="U885" s="24"/>
      <c r="V885" s="22" t="s">
        <v>55</v>
      </c>
      <c r="W885" s="33"/>
      <c r="X885" s="33"/>
      <c r="Y885" s="30"/>
      <c r="Z885" s="30"/>
      <c r="AA885" s="33"/>
      <c r="AB885" s="33"/>
      <c r="AC885" s="30"/>
      <c r="AD885" s="30"/>
      <c r="AE885" s="33"/>
      <c r="AF885" s="31"/>
      <c r="AG885" s="30"/>
      <c r="AH885" s="30"/>
      <c r="AI885" s="31"/>
      <c r="AJ885" s="31"/>
      <c r="AK885" s="32"/>
    </row>
    <row r="886">
      <c r="A886" s="21" t="s">
        <v>740</v>
      </c>
      <c r="B886" s="22" t="s">
        <v>741</v>
      </c>
      <c r="C886" s="22" t="s">
        <v>82</v>
      </c>
      <c r="D886" s="26">
        <v>45997.0</v>
      </c>
      <c r="E886" s="22" t="s">
        <v>134</v>
      </c>
      <c r="F886" s="22" t="s">
        <v>303</v>
      </c>
      <c r="G886" s="22" t="s">
        <v>2090</v>
      </c>
      <c r="H886" s="22" t="s">
        <v>740</v>
      </c>
      <c r="I886" s="22">
        <v>1.0454970433859E13</v>
      </c>
      <c r="J886" s="22" t="s">
        <v>743</v>
      </c>
      <c r="K886" s="24"/>
      <c r="L886" s="22" t="s">
        <v>744</v>
      </c>
      <c r="M886" s="22">
        <v>1.0</v>
      </c>
      <c r="N886" s="22" t="s">
        <v>307</v>
      </c>
      <c r="O886" s="22" t="s">
        <v>308</v>
      </c>
      <c r="P886" s="24"/>
      <c r="Q886" s="22" t="s">
        <v>90</v>
      </c>
      <c r="R886" s="22">
        <v>3.2738839298371E13</v>
      </c>
      <c r="S886" s="24"/>
      <c r="T886" s="24"/>
      <c r="U886" s="24"/>
      <c r="V886" s="22" t="s">
        <v>91</v>
      </c>
      <c r="W886" s="33"/>
      <c r="X886" s="33"/>
      <c r="Y886" s="30"/>
      <c r="Z886" s="30"/>
      <c r="AA886" s="33"/>
      <c r="AB886" s="33"/>
      <c r="AC886" s="30"/>
      <c r="AD886" s="30"/>
      <c r="AE886" s="33"/>
      <c r="AF886" s="31"/>
      <c r="AG886" s="30"/>
      <c r="AH886" s="30"/>
      <c r="AI886" s="31"/>
      <c r="AJ886" s="31"/>
      <c r="AK886" s="32"/>
    </row>
    <row r="887">
      <c r="A887" s="28"/>
      <c r="B887" s="22" t="s">
        <v>741</v>
      </c>
      <c r="C887" s="22" t="s">
        <v>82</v>
      </c>
      <c r="D887" s="26">
        <v>45997.0</v>
      </c>
      <c r="E887" s="22" t="s">
        <v>134</v>
      </c>
      <c r="F887" s="22" t="s">
        <v>303</v>
      </c>
      <c r="G887" s="22" t="s">
        <v>2090</v>
      </c>
      <c r="H887" s="29"/>
      <c r="I887" s="22">
        <v>1.0454970433859E13</v>
      </c>
      <c r="J887" s="22" t="s">
        <v>743</v>
      </c>
      <c r="K887" s="24"/>
      <c r="L887" s="22" t="s">
        <v>2091</v>
      </c>
      <c r="M887" s="24"/>
      <c r="N887" s="24"/>
      <c r="O887" s="22" t="s">
        <v>768</v>
      </c>
      <c r="P887" s="24"/>
      <c r="Q887" s="22" t="s">
        <v>769</v>
      </c>
      <c r="R887" s="24"/>
      <c r="S887" s="24"/>
      <c r="T887" s="24"/>
      <c r="U887" s="24"/>
      <c r="V887" s="22"/>
      <c r="W887" s="33"/>
      <c r="X887" s="33"/>
      <c r="Y887" s="30"/>
      <c r="Z887" s="30"/>
      <c r="AA887" s="33"/>
      <c r="AB887" s="33"/>
      <c r="AC887" s="30"/>
      <c r="AD887" s="30"/>
      <c r="AE887" s="33"/>
      <c r="AF887" s="31"/>
      <c r="AG887" s="30"/>
      <c r="AH887" s="30"/>
      <c r="AI887" s="31"/>
      <c r="AJ887" s="31"/>
      <c r="AK887" s="32"/>
    </row>
    <row r="888">
      <c r="A888" s="21" t="s">
        <v>778</v>
      </c>
      <c r="B888" s="22" t="s">
        <v>974</v>
      </c>
      <c r="C888" s="22" t="s">
        <v>273</v>
      </c>
      <c r="D888" s="26">
        <v>45998.0</v>
      </c>
      <c r="E888" s="22" t="s">
        <v>975</v>
      </c>
      <c r="F888" s="22" t="s">
        <v>440</v>
      </c>
      <c r="G888" s="22" t="s">
        <v>2092</v>
      </c>
      <c r="H888" s="22" t="s">
        <v>778</v>
      </c>
      <c r="I888" s="22">
        <v>1.0454981443907E13</v>
      </c>
      <c r="J888" s="22" t="s">
        <v>977</v>
      </c>
      <c r="K888" s="24"/>
      <c r="L888" s="22" t="s">
        <v>780</v>
      </c>
      <c r="M888" s="22">
        <v>1.0</v>
      </c>
      <c r="N888" s="22" t="s">
        <v>781</v>
      </c>
      <c r="O888" s="22" t="s">
        <v>782</v>
      </c>
      <c r="P888" s="24"/>
      <c r="Q888" s="22" t="s">
        <v>90</v>
      </c>
      <c r="R888" s="22">
        <v>3.2738867052867E13</v>
      </c>
      <c r="S888" s="24"/>
      <c r="T888" s="24"/>
      <c r="U888" s="24"/>
      <c r="V888" s="22" t="s">
        <v>127</v>
      </c>
      <c r="W888" s="33"/>
      <c r="X888" s="33"/>
      <c r="Y888" s="30"/>
      <c r="Z888" s="30"/>
      <c r="AA888" s="33"/>
      <c r="AB888" s="33"/>
      <c r="AC888" s="30"/>
      <c r="AD888" s="30"/>
      <c r="AE888" s="33"/>
      <c r="AF888" s="31"/>
      <c r="AG888" s="30"/>
      <c r="AH888" s="30"/>
      <c r="AI888" s="31"/>
      <c r="AJ888" s="31"/>
      <c r="AK888" s="32"/>
    </row>
    <row r="889">
      <c r="A889" s="21" t="s">
        <v>1423</v>
      </c>
      <c r="B889" s="22" t="s">
        <v>2093</v>
      </c>
      <c r="C889" s="22" t="s">
        <v>287</v>
      </c>
      <c r="D889" s="26">
        <v>45994.0</v>
      </c>
      <c r="E889" s="22" t="s">
        <v>153</v>
      </c>
      <c r="F889" s="22" t="s">
        <v>717</v>
      </c>
      <c r="G889" s="22" t="s">
        <v>2094</v>
      </c>
      <c r="H889" s="22" t="s">
        <v>1423</v>
      </c>
      <c r="I889" s="22">
        <v>1.0455017554243E13</v>
      </c>
      <c r="J889" s="22" t="s">
        <v>2095</v>
      </c>
      <c r="K889" s="24"/>
      <c r="L889" s="22" t="s">
        <v>1427</v>
      </c>
      <c r="M889" s="22">
        <v>1.0</v>
      </c>
      <c r="N889" s="22" t="s">
        <v>721</v>
      </c>
      <c r="O889" s="22" t="s">
        <v>722</v>
      </c>
      <c r="P889" s="24"/>
      <c r="Q889" s="22" t="s">
        <v>90</v>
      </c>
      <c r="R889" s="22">
        <v>3.2738953888067E13</v>
      </c>
      <c r="S889" s="24"/>
      <c r="T889" s="24"/>
      <c r="U889" s="24"/>
      <c r="V889" s="22" t="s">
        <v>95</v>
      </c>
      <c r="W889" s="33"/>
      <c r="X889" s="33"/>
      <c r="Y889" s="30"/>
      <c r="Z889" s="30"/>
      <c r="AA889" s="33"/>
      <c r="AB889" s="33"/>
      <c r="AC889" s="30"/>
      <c r="AD889" s="30"/>
      <c r="AE889" s="33"/>
      <c r="AF889" s="31"/>
      <c r="AG889" s="30"/>
      <c r="AH889" s="30"/>
      <c r="AI889" s="31"/>
      <c r="AJ889" s="31"/>
      <c r="AK889" s="32"/>
    </row>
    <row r="890">
      <c r="A890" s="21" t="s">
        <v>724</v>
      </c>
      <c r="B890" s="22" t="s">
        <v>318</v>
      </c>
      <c r="C890" s="22" t="s">
        <v>82</v>
      </c>
      <c r="D890" s="26">
        <v>45997.0</v>
      </c>
      <c r="E890" s="22" t="s">
        <v>196</v>
      </c>
      <c r="F890" s="22" t="s">
        <v>319</v>
      </c>
      <c r="G890" s="22" t="s">
        <v>2096</v>
      </c>
      <c r="H890" s="22" t="s">
        <v>724</v>
      </c>
      <c r="I890" s="22">
        <v>1.0455034233155E13</v>
      </c>
      <c r="J890" s="22" t="s">
        <v>527</v>
      </c>
      <c r="K890" s="24"/>
      <c r="L890" s="22" t="s">
        <v>726</v>
      </c>
      <c r="M890" s="22">
        <v>1.0</v>
      </c>
      <c r="N890" s="22" t="s">
        <v>323</v>
      </c>
      <c r="O890" s="22" t="s">
        <v>324</v>
      </c>
      <c r="P890" s="24"/>
      <c r="Q890" s="22" t="s">
        <v>90</v>
      </c>
      <c r="R890" s="22">
        <v>3.2738994880835E13</v>
      </c>
      <c r="S890" s="24"/>
      <c r="T890" s="24"/>
      <c r="U890" s="24"/>
      <c r="V890" s="22" t="s">
        <v>95</v>
      </c>
      <c r="W890" s="33"/>
      <c r="X890" s="33"/>
      <c r="Y890" s="30"/>
      <c r="Z890" s="30"/>
      <c r="AA890" s="33"/>
      <c r="AB890" s="33"/>
      <c r="AC890" s="30"/>
      <c r="AD890" s="30"/>
      <c r="AE890" s="33"/>
      <c r="AF890" s="31"/>
      <c r="AG890" s="30"/>
      <c r="AH890" s="30"/>
      <c r="AI890" s="31"/>
      <c r="AJ890" s="31"/>
      <c r="AK890" s="32"/>
    </row>
    <row r="891">
      <c r="A891" s="21" t="s">
        <v>2097</v>
      </c>
      <c r="B891" s="22" t="s">
        <v>2098</v>
      </c>
      <c r="C891" s="22" t="s">
        <v>273</v>
      </c>
      <c r="D891" s="26">
        <v>45998.0</v>
      </c>
      <c r="E891" s="22" t="s">
        <v>266</v>
      </c>
      <c r="F891" s="22" t="s">
        <v>869</v>
      </c>
      <c r="G891" s="22" t="s">
        <v>2099</v>
      </c>
      <c r="H891" s="22" t="s">
        <v>2097</v>
      </c>
      <c r="I891" s="22">
        <v>1.0455106650435E13</v>
      </c>
      <c r="J891" s="22" t="s">
        <v>2100</v>
      </c>
      <c r="K891" s="24"/>
      <c r="L891" s="22" t="s">
        <v>2101</v>
      </c>
      <c r="M891" s="22">
        <v>1.0</v>
      </c>
      <c r="N891" s="22" t="s">
        <v>873</v>
      </c>
      <c r="O891" s="22" t="s">
        <v>874</v>
      </c>
      <c r="P891" s="24"/>
      <c r="Q891" s="22" t="s">
        <v>90</v>
      </c>
      <c r="R891" s="22">
        <v>3.2739170124099E13</v>
      </c>
      <c r="S891" s="24"/>
      <c r="T891" s="24"/>
      <c r="U891" s="24"/>
      <c r="V891" s="22" t="s">
        <v>91</v>
      </c>
      <c r="W891" s="33"/>
      <c r="X891" s="33"/>
      <c r="Y891" s="30"/>
      <c r="Z891" s="30"/>
      <c r="AA891" s="33"/>
      <c r="AB891" s="33"/>
      <c r="AC891" s="30"/>
      <c r="AD891" s="30"/>
      <c r="AE891" s="33"/>
      <c r="AF891" s="31"/>
      <c r="AG891" s="30"/>
      <c r="AH891" s="30"/>
      <c r="AI891" s="31"/>
      <c r="AJ891" s="31"/>
      <c r="AK891" s="32"/>
    </row>
    <row r="892">
      <c r="A892" s="21" t="s">
        <v>643</v>
      </c>
      <c r="B892" s="22" t="s">
        <v>969</v>
      </c>
      <c r="C892" s="22" t="s">
        <v>82</v>
      </c>
      <c r="D892" s="26">
        <v>45997.0</v>
      </c>
      <c r="E892" s="22" t="s">
        <v>970</v>
      </c>
      <c r="F892" s="22" t="s">
        <v>634</v>
      </c>
      <c r="G892" s="22" t="s">
        <v>2102</v>
      </c>
      <c r="H892" s="22" t="s">
        <v>643</v>
      </c>
      <c r="I892" s="22">
        <v>1.0455156687171E13</v>
      </c>
      <c r="J892" s="22" t="s">
        <v>972</v>
      </c>
      <c r="K892" s="24"/>
      <c r="L892" s="22" t="s">
        <v>647</v>
      </c>
      <c r="M892" s="22">
        <v>1.0</v>
      </c>
      <c r="N892" s="22" t="s">
        <v>638</v>
      </c>
      <c r="O892" s="22" t="s">
        <v>639</v>
      </c>
      <c r="P892" s="24"/>
      <c r="Q892" s="22" t="s">
        <v>90</v>
      </c>
      <c r="R892" s="22">
        <v>3.2739277144387E13</v>
      </c>
      <c r="S892" s="24"/>
      <c r="T892" s="24"/>
      <c r="U892" s="24"/>
      <c r="V892" s="27" t="s">
        <v>54</v>
      </c>
      <c r="W892" s="33"/>
      <c r="X892" s="33"/>
      <c r="Y892" s="30"/>
      <c r="Z892" s="30"/>
      <c r="AA892" s="33"/>
      <c r="AB892" s="33"/>
      <c r="AC892" s="30"/>
      <c r="AD892" s="30"/>
      <c r="AE892" s="33"/>
      <c r="AF892" s="31"/>
      <c r="AG892" s="30"/>
      <c r="AH892" s="30"/>
      <c r="AI892" s="31"/>
      <c r="AJ892" s="31"/>
      <c r="AK892" s="32"/>
    </row>
    <row r="893">
      <c r="A893" s="21" t="s">
        <v>950</v>
      </c>
      <c r="B893" s="22" t="s">
        <v>1019</v>
      </c>
      <c r="C893" s="22" t="s">
        <v>82</v>
      </c>
      <c r="D893" s="26">
        <v>45997.0</v>
      </c>
      <c r="E893" s="22" t="s">
        <v>975</v>
      </c>
      <c r="F893" s="22" t="s">
        <v>698</v>
      </c>
      <c r="G893" s="22" t="s">
        <v>2103</v>
      </c>
      <c r="H893" s="22" t="s">
        <v>950</v>
      </c>
      <c r="I893" s="22">
        <v>1.0455226876227E13</v>
      </c>
      <c r="J893" s="22" t="s">
        <v>1021</v>
      </c>
      <c r="K893" s="24"/>
      <c r="L893" s="22" t="s">
        <v>952</v>
      </c>
      <c r="M893" s="22">
        <v>1.0</v>
      </c>
      <c r="N893" s="22" t="s">
        <v>702</v>
      </c>
      <c r="O893" s="22" t="s">
        <v>703</v>
      </c>
      <c r="P893" s="24"/>
      <c r="Q893" s="22" t="s">
        <v>90</v>
      </c>
      <c r="R893" s="22">
        <v>3.2739391340867E13</v>
      </c>
      <c r="S893" s="24"/>
      <c r="T893" s="24"/>
      <c r="U893" s="24"/>
      <c r="V893" s="22" t="s">
        <v>54</v>
      </c>
      <c r="W893" s="33"/>
      <c r="X893" s="33"/>
      <c r="Y893" s="30"/>
      <c r="Z893" s="30"/>
      <c r="AA893" s="33"/>
      <c r="AB893" s="33"/>
      <c r="AC893" s="30"/>
      <c r="AD893" s="30"/>
      <c r="AE893" s="33"/>
      <c r="AF893" s="31"/>
      <c r="AG893" s="30"/>
      <c r="AH893" s="30"/>
      <c r="AI893" s="31"/>
      <c r="AJ893" s="31"/>
      <c r="AK893" s="32"/>
    </row>
    <row r="894">
      <c r="A894" s="21" t="s">
        <v>423</v>
      </c>
      <c r="B894" s="22" t="s">
        <v>368</v>
      </c>
      <c r="C894" s="22" t="s">
        <v>273</v>
      </c>
      <c r="D894" s="26">
        <v>45998.0</v>
      </c>
      <c r="E894" s="22" t="s">
        <v>196</v>
      </c>
      <c r="F894" s="22" t="s">
        <v>369</v>
      </c>
      <c r="G894" s="22" t="s">
        <v>2104</v>
      </c>
      <c r="H894" s="22" t="s">
        <v>423</v>
      </c>
      <c r="I894" s="22">
        <v>1.0455297163587E13</v>
      </c>
      <c r="J894" s="22" t="s">
        <v>1395</v>
      </c>
      <c r="K894" s="24"/>
      <c r="L894" s="22" t="s">
        <v>427</v>
      </c>
      <c r="M894" s="22">
        <v>1.0</v>
      </c>
      <c r="N894" s="22" t="s">
        <v>373</v>
      </c>
      <c r="O894" s="22" t="s">
        <v>374</v>
      </c>
      <c r="P894" s="24"/>
      <c r="Q894" s="22" t="s">
        <v>90</v>
      </c>
      <c r="R894" s="22">
        <v>3.2739534405955E13</v>
      </c>
      <c r="S894" s="24"/>
      <c r="T894" s="24"/>
      <c r="U894" s="24"/>
      <c r="V894" s="22" t="s">
        <v>95</v>
      </c>
      <c r="W894" s="33"/>
      <c r="X894" s="33"/>
      <c r="Y894" s="30"/>
      <c r="Z894" s="30"/>
      <c r="AA894" s="33"/>
      <c r="AB894" s="33"/>
      <c r="AC894" s="30"/>
      <c r="AD894" s="30"/>
      <c r="AE894" s="33"/>
      <c r="AF894" s="31"/>
      <c r="AG894" s="30"/>
      <c r="AH894" s="30"/>
      <c r="AI894" s="31"/>
      <c r="AJ894" s="31"/>
      <c r="AK894" s="32"/>
    </row>
    <row r="895">
      <c r="A895" s="21" t="s">
        <v>1217</v>
      </c>
      <c r="B895" s="22" t="s">
        <v>2105</v>
      </c>
      <c r="C895" s="22" t="s">
        <v>82</v>
      </c>
      <c r="D895" s="26">
        <v>45997.0</v>
      </c>
      <c r="E895" s="22" t="s">
        <v>192</v>
      </c>
      <c r="F895" s="22" t="s">
        <v>605</v>
      </c>
      <c r="G895" s="22" t="s">
        <v>2106</v>
      </c>
      <c r="H895" s="22" t="s">
        <v>1217</v>
      </c>
      <c r="I895" s="22">
        <v>1.0455313219907E13</v>
      </c>
      <c r="J895" s="22" t="s">
        <v>2107</v>
      </c>
      <c r="K895" s="24"/>
      <c r="L895" s="22" t="s">
        <v>1219</v>
      </c>
      <c r="M895" s="22">
        <v>1.0</v>
      </c>
      <c r="N895" s="22" t="s">
        <v>609</v>
      </c>
      <c r="O895" s="22" t="s">
        <v>610</v>
      </c>
      <c r="P895" s="24"/>
      <c r="Q895" s="22" t="s">
        <v>90</v>
      </c>
      <c r="R895" s="22">
        <v>3.2739567960387E13</v>
      </c>
      <c r="S895" s="24"/>
      <c r="T895" s="24"/>
      <c r="U895" s="24"/>
      <c r="V895" s="22" t="s">
        <v>91</v>
      </c>
      <c r="W895" s="33"/>
      <c r="X895" s="33"/>
      <c r="Y895" s="30"/>
      <c r="Z895" s="30"/>
      <c r="AA895" s="33"/>
      <c r="AB895" s="33"/>
      <c r="AC895" s="30"/>
      <c r="AD895" s="30"/>
      <c r="AE895" s="33"/>
      <c r="AF895" s="31"/>
      <c r="AG895" s="30"/>
      <c r="AH895" s="30"/>
      <c r="AI895" s="31"/>
      <c r="AJ895" s="31"/>
      <c r="AK895" s="32"/>
    </row>
    <row r="896">
      <c r="A896" s="21" t="s">
        <v>478</v>
      </c>
      <c r="B896" s="22" t="s">
        <v>471</v>
      </c>
      <c r="C896" s="22" t="s">
        <v>82</v>
      </c>
      <c r="D896" s="26">
        <v>45997.0</v>
      </c>
      <c r="E896" s="22" t="s">
        <v>134</v>
      </c>
      <c r="F896" s="22" t="s">
        <v>472</v>
      </c>
      <c r="G896" s="22" t="s">
        <v>2108</v>
      </c>
      <c r="H896" s="22" t="s">
        <v>478</v>
      </c>
      <c r="I896" s="22">
        <v>1.0455322853699E13</v>
      </c>
      <c r="J896" s="22" t="s">
        <v>474</v>
      </c>
      <c r="K896" s="24"/>
      <c r="L896" s="22" t="s">
        <v>483</v>
      </c>
      <c r="M896" s="22">
        <v>1.0</v>
      </c>
      <c r="N896" s="22" t="s">
        <v>476</v>
      </c>
      <c r="O896" s="22" t="s">
        <v>477</v>
      </c>
      <c r="P896" s="24"/>
      <c r="Q896" s="22" t="s">
        <v>90</v>
      </c>
      <c r="R896" s="22">
        <v>3.2739586703683E13</v>
      </c>
      <c r="S896" s="24"/>
      <c r="T896" s="24"/>
      <c r="U896" s="24"/>
      <c r="V896" s="22" t="s">
        <v>95</v>
      </c>
      <c r="W896" s="33"/>
      <c r="X896" s="33"/>
      <c r="Y896" s="30"/>
      <c r="Z896" s="30"/>
      <c r="AA896" s="33"/>
      <c r="AB896" s="33"/>
      <c r="AC896" s="30"/>
      <c r="AD896" s="30"/>
      <c r="AE896" s="33"/>
      <c r="AF896" s="31"/>
      <c r="AG896" s="30"/>
      <c r="AH896" s="30"/>
      <c r="AI896" s="31"/>
      <c r="AJ896" s="31"/>
      <c r="AK896" s="32"/>
    </row>
    <row r="897">
      <c r="A897" s="21" t="s">
        <v>1464</v>
      </c>
      <c r="B897" s="22" t="s">
        <v>1801</v>
      </c>
      <c r="C897" s="22" t="s">
        <v>82</v>
      </c>
      <c r="D897" s="26">
        <v>45997.0</v>
      </c>
      <c r="E897" s="22" t="s">
        <v>177</v>
      </c>
      <c r="F897" s="22" t="s">
        <v>1466</v>
      </c>
      <c r="G897" s="22" t="s">
        <v>2109</v>
      </c>
      <c r="H897" s="22" t="s">
        <v>1464</v>
      </c>
      <c r="I897" s="22">
        <v>1.0455330128195E13</v>
      </c>
      <c r="J897" s="22" t="s">
        <v>1803</v>
      </c>
      <c r="K897" s="24"/>
      <c r="L897" s="22" t="s">
        <v>1469</v>
      </c>
      <c r="M897" s="22">
        <v>1.0</v>
      </c>
      <c r="N897" s="22" t="s">
        <v>1470</v>
      </c>
      <c r="O897" s="22" t="s">
        <v>1471</v>
      </c>
      <c r="P897" s="24"/>
      <c r="Q897" s="22" t="s">
        <v>90</v>
      </c>
      <c r="R897" s="22">
        <v>3.2739602760003E13</v>
      </c>
      <c r="S897" s="24"/>
      <c r="T897" s="24"/>
      <c r="U897" s="24"/>
      <c r="V897" s="22" t="s">
        <v>55</v>
      </c>
      <c r="W897" s="33"/>
      <c r="X897" s="33"/>
      <c r="Y897" s="30"/>
      <c r="Z897" s="30"/>
      <c r="AA897" s="33"/>
      <c r="AB897" s="33"/>
      <c r="AC897" s="30"/>
      <c r="AD897" s="30"/>
      <c r="AE897" s="33"/>
      <c r="AF897" s="31"/>
      <c r="AG897" s="30"/>
      <c r="AH897" s="30"/>
      <c r="AI897" s="31"/>
      <c r="AJ897" s="31"/>
      <c r="AK897" s="32"/>
    </row>
    <row r="898">
      <c r="A898" s="21" t="s">
        <v>714</v>
      </c>
      <c r="B898" s="22" t="s">
        <v>1648</v>
      </c>
      <c r="C898" s="22" t="s">
        <v>202</v>
      </c>
      <c r="D898" s="26">
        <v>45996.0</v>
      </c>
      <c r="E898" s="22" t="s">
        <v>153</v>
      </c>
      <c r="F898" s="22" t="s">
        <v>717</v>
      </c>
      <c r="G898" s="22" t="s">
        <v>2110</v>
      </c>
      <c r="H898" s="22" t="s">
        <v>714</v>
      </c>
      <c r="I898" s="22">
        <v>1.0455332979011E13</v>
      </c>
      <c r="J898" s="22" t="s">
        <v>1650</v>
      </c>
      <c r="K898" s="24"/>
      <c r="L898" s="22" t="s">
        <v>720</v>
      </c>
      <c r="M898" s="22">
        <v>1.0</v>
      </c>
      <c r="N898" s="22" t="s">
        <v>721</v>
      </c>
      <c r="O898" s="22" t="s">
        <v>722</v>
      </c>
      <c r="P898" s="24"/>
      <c r="Q898" s="22" t="s">
        <v>90</v>
      </c>
      <c r="R898" s="22">
        <v>3.2739609149763E13</v>
      </c>
      <c r="S898" s="24"/>
      <c r="T898" s="24"/>
      <c r="U898" s="24"/>
      <c r="V898" s="22" t="s">
        <v>55</v>
      </c>
      <c r="W898" s="33"/>
      <c r="X898" s="33"/>
      <c r="Y898" s="30"/>
      <c r="Z898" s="30"/>
      <c r="AA898" s="33"/>
      <c r="AB898" s="33"/>
      <c r="AC898" s="30"/>
      <c r="AD898" s="30"/>
      <c r="AE898" s="33"/>
      <c r="AF898" s="31"/>
      <c r="AG898" s="30"/>
      <c r="AH898" s="30"/>
      <c r="AI898" s="31"/>
      <c r="AJ898" s="31"/>
      <c r="AK898" s="32"/>
    </row>
    <row r="899">
      <c r="A899" s="21" t="s">
        <v>1048</v>
      </c>
      <c r="B899" s="22" t="s">
        <v>1049</v>
      </c>
      <c r="C899" s="22" t="s">
        <v>273</v>
      </c>
      <c r="D899" s="26">
        <v>45998.0</v>
      </c>
      <c r="E899" s="22" t="s">
        <v>177</v>
      </c>
      <c r="F899" s="22" t="s">
        <v>440</v>
      </c>
      <c r="G899" s="22" t="s">
        <v>2111</v>
      </c>
      <c r="H899" s="22" t="s">
        <v>1048</v>
      </c>
      <c r="I899" s="22">
        <v>1.0455342285123E13</v>
      </c>
      <c r="J899" s="22" t="s">
        <v>1051</v>
      </c>
      <c r="K899" s="24"/>
      <c r="L899" s="22" t="s">
        <v>1052</v>
      </c>
      <c r="M899" s="22">
        <v>1.0</v>
      </c>
      <c r="N899" s="22" t="s">
        <v>444</v>
      </c>
      <c r="O899" s="22" t="s">
        <v>445</v>
      </c>
      <c r="P899" s="24"/>
      <c r="Q899" s="22" t="s">
        <v>90</v>
      </c>
      <c r="R899" s="22">
        <v>3.2739628876099E13</v>
      </c>
      <c r="S899" s="24"/>
      <c r="T899" s="24"/>
      <c r="U899" s="24"/>
      <c r="V899" s="22" t="s">
        <v>54</v>
      </c>
      <c r="W899" s="33"/>
      <c r="X899" s="33"/>
      <c r="Y899" s="30"/>
      <c r="Z899" s="30"/>
      <c r="AA899" s="33"/>
      <c r="AB899" s="33"/>
      <c r="AC899" s="30"/>
      <c r="AD899" s="30"/>
      <c r="AE899" s="33"/>
      <c r="AF899" s="31"/>
      <c r="AG899" s="30"/>
      <c r="AH899" s="30"/>
      <c r="AI899" s="31"/>
      <c r="AJ899" s="31"/>
      <c r="AK899" s="32"/>
    </row>
    <row r="900">
      <c r="A900" s="21" t="s">
        <v>973</v>
      </c>
      <c r="B900" s="22" t="s">
        <v>574</v>
      </c>
      <c r="C900" s="22" t="s">
        <v>273</v>
      </c>
      <c r="D900" s="26">
        <v>45998.0</v>
      </c>
      <c r="E900" s="22" t="s">
        <v>187</v>
      </c>
      <c r="F900" s="22" t="s">
        <v>440</v>
      </c>
      <c r="G900" s="22" t="s">
        <v>2112</v>
      </c>
      <c r="H900" s="22" t="s">
        <v>973</v>
      </c>
      <c r="I900" s="22">
        <v>1.0455390454083E13</v>
      </c>
      <c r="J900" s="22" t="s">
        <v>576</v>
      </c>
      <c r="K900" s="24"/>
      <c r="L900" s="22" t="s">
        <v>978</v>
      </c>
      <c r="M900" s="22">
        <v>2.0</v>
      </c>
      <c r="N900" s="22" t="s">
        <v>781</v>
      </c>
      <c r="O900" s="22" t="s">
        <v>782</v>
      </c>
      <c r="P900" s="24"/>
      <c r="Q900" s="22" t="s">
        <v>90</v>
      </c>
      <c r="R900" s="22">
        <v>3.2739731669315E13</v>
      </c>
      <c r="S900" s="24"/>
      <c r="T900" s="24"/>
      <c r="U900" s="24"/>
      <c r="V900" s="22" t="s">
        <v>105</v>
      </c>
      <c r="W900" s="33"/>
      <c r="X900" s="33"/>
      <c r="Y900" s="30"/>
      <c r="Z900" s="30"/>
      <c r="AA900" s="33"/>
      <c r="AB900" s="33"/>
      <c r="AC900" s="30"/>
      <c r="AD900" s="30"/>
      <c r="AE900" s="33"/>
      <c r="AF900" s="31"/>
      <c r="AG900" s="30"/>
      <c r="AH900" s="30"/>
      <c r="AI900" s="31"/>
      <c r="AJ900" s="31"/>
      <c r="AK900" s="32"/>
    </row>
    <row r="901">
      <c r="A901" s="21" t="s">
        <v>602</v>
      </c>
      <c r="B901" s="22" t="s">
        <v>1576</v>
      </c>
      <c r="C901" s="22" t="s">
        <v>82</v>
      </c>
      <c r="D901" s="26">
        <v>45997.0</v>
      </c>
      <c r="E901" s="22" t="s">
        <v>1117</v>
      </c>
      <c r="F901" s="22" t="s">
        <v>605</v>
      </c>
      <c r="G901" s="22" t="s">
        <v>2113</v>
      </c>
      <c r="H901" s="22" t="s">
        <v>602</v>
      </c>
      <c r="I901" s="22">
        <v>1.0455453925699E13</v>
      </c>
      <c r="J901" s="22" t="s">
        <v>1578</v>
      </c>
      <c r="K901" s="24"/>
      <c r="L901" s="22" t="s">
        <v>608</v>
      </c>
      <c r="M901" s="22">
        <v>1.0</v>
      </c>
      <c r="N901" s="22" t="s">
        <v>609</v>
      </c>
      <c r="O901" s="22" t="s">
        <v>610</v>
      </c>
      <c r="P901" s="24"/>
      <c r="Q901" s="22" t="s">
        <v>90</v>
      </c>
      <c r="R901" s="22">
        <v>3.2739861594435E13</v>
      </c>
      <c r="S901" s="24"/>
      <c r="T901" s="24"/>
      <c r="U901" s="24"/>
      <c r="V901" s="22" t="s">
        <v>54</v>
      </c>
      <c r="W901" s="33"/>
      <c r="X901" s="33"/>
      <c r="Y901" s="30"/>
      <c r="Z901" s="30"/>
      <c r="AA901" s="33"/>
      <c r="AB901" s="33"/>
      <c r="AC901" s="30"/>
      <c r="AD901" s="30"/>
      <c r="AE901" s="33"/>
      <c r="AF901" s="31"/>
      <c r="AG901" s="30"/>
      <c r="AH901" s="30"/>
      <c r="AI901" s="31"/>
      <c r="AJ901" s="31"/>
      <c r="AK901" s="32"/>
    </row>
    <row r="902">
      <c r="A902" s="21" t="s">
        <v>778</v>
      </c>
      <c r="B902" s="22" t="s">
        <v>2114</v>
      </c>
      <c r="C902" s="22" t="s">
        <v>273</v>
      </c>
      <c r="D902" s="26">
        <v>45998.0</v>
      </c>
      <c r="E902" s="22" t="s">
        <v>2115</v>
      </c>
      <c r="F902" s="22" t="s">
        <v>440</v>
      </c>
      <c r="G902" s="22" t="s">
        <v>2116</v>
      </c>
      <c r="H902" s="22" t="s">
        <v>778</v>
      </c>
      <c r="I902" s="22">
        <v>1.0455467458883E13</v>
      </c>
      <c r="J902" s="22" t="s">
        <v>1677</v>
      </c>
      <c r="K902" s="24"/>
      <c r="L902" s="22" t="s">
        <v>780</v>
      </c>
      <c r="M902" s="22">
        <v>1.0</v>
      </c>
      <c r="N902" s="22" t="s">
        <v>781</v>
      </c>
      <c r="O902" s="22" t="s">
        <v>782</v>
      </c>
      <c r="P902" s="24"/>
      <c r="Q902" s="22" t="s">
        <v>90</v>
      </c>
      <c r="R902" s="22">
        <v>3.2739893477699E13</v>
      </c>
      <c r="S902" s="24"/>
      <c r="T902" s="24"/>
      <c r="U902" s="24"/>
      <c r="V902" s="22" t="s">
        <v>127</v>
      </c>
      <c r="W902" s="33"/>
      <c r="X902" s="33"/>
      <c r="Y902" s="30"/>
      <c r="Z902" s="30"/>
      <c r="AA902" s="33"/>
      <c r="AB902" s="33"/>
      <c r="AC902" s="30"/>
      <c r="AD902" s="30"/>
      <c r="AE902" s="33"/>
      <c r="AF902" s="31"/>
      <c r="AG902" s="30"/>
      <c r="AH902" s="30"/>
      <c r="AI902" s="31"/>
      <c r="AJ902" s="31"/>
      <c r="AK902" s="32"/>
    </row>
    <row r="903">
      <c r="A903" s="21" t="s">
        <v>172</v>
      </c>
      <c r="B903" s="22" t="s">
        <v>1742</v>
      </c>
      <c r="C903" s="22" t="s">
        <v>273</v>
      </c>
      <c r="D903" s="26">
        <v>45998.0</v>
      </c>
      <c r="E903" s="22" t="s">
        <v>266</v>
      </c>
      <c r="F903" s="22" t="s">
        <v>83</v>
      </c>
      <c r="G903" s="22" t="s">
        <v>2117</v>
      </c>
      <c r="H903" s="22" t="s">
        <v>172</v>
      </c>
      <c r="I903" s="22">
        <v>1.0454522921283E13</v>
      </c>
      <c r="J903" s="22" t="s">
        <v>1744</v>
      </c>
      <c r="K903" s="24"/>
      <c r="L903" s="22" t="s">
        <v>174</v>
      </c>
      <c r="M903" s="22">
        <v>1.0</v>
      </c>
      <c r="N903" s="22" t="s">
        <v>103</v>
      </c>
      <c r="O903" s="22" t="s">
        <v>104</v>
      </c>
      <c r="P903" s="24"/>
      <c r="Q903" s="22" t="s">
        <v>90</v>
      </c>
      <c r="R903" s="22">
        <v>3.2737819558211E13</v>
      </c>
      <c r="S903" s="24"/>
      <c r="T903" s="24"/>
      <c r="U903" s="24"/>
      <c r="V903" s="22" t="s">
        <v>175</v>
      </c>
      <c r="W903" s="33"/>
      <c r="X903" s="33"/>
      <c r="Y903" s="30"/>
      <c r="Z903" s="30"/>
      <c r="AA903" s="33"/>
      <c r="AB903" s="33"/>
      <c r="AC903" s="30"/>
      <c r="AD903" s="30"/>
      <c r="AE903" s="33"/>
      <c r="AF903" s="31"/>
      <c r="AG903" s="30"/>
      <c r="AH903" s="30"/>
      <c r="AI903" s="31"/>
      <c r="AJ903" s="31"/>
      <c r="AK903" s="32"/>
    </row>
    <row r="904">
      <c r="A904" s="21" t="s">
        <v>1048</v>
      </c>
      <c r="B904" s="22" t="s">
        <v>1651</v>
      </c>
      <c r="C904" s="22" t="s">
        <v>273</v>
      </c>
      <c r="D904" s="26">
        <v>45998.0</v>
      </c>
      <c r="E904" s="22" t="s">
        <v>1624</v>
      </c>
      <c r="F904" s="22" t="s">
        <v>440</v>
      </c>
      <c r="G904" s="22" t="s">
        <v>2118</v>
      </c>
      <c r="H904" s="22" t="s">
        <v>1048</v>
      </c>
      <c r="I904" s="22">
        <v>1.0454541140291E13</v>
      </c>
      <c r="J904" s="22" t="s">
        <v>1653</v>
      </c>
      <c r="K904" s="24"/>
      <c r="L904" s="22" t="s">
        <v>1052</v>
      </c>
      <c r="M904" s="22">
        <v>1.0</v>
      </c>
      <c r="N904" s="22" t="s">
        <v>444</v>
      </c>
      <c r="O904" s="22" t="s">
        <v>445</v>
      </c>
      <c r="P904" s="24"/>
      <c r="Q904" s="22" t="s">
        <v>90</v>
      </c>
      <c r="R904" s="22">
        <v>3.2737858322755E13</v>
      </c>
      <c r="S904" s="24"/>
      <c r="T904" s="24"/>
      <c r="U904" s="24"/>
      <c r="V904" s="22" t="s">
        <v>54</v>
      </c>
      <c r="W904" s="33"/>
      <c r="X904" s="33"/>
      <c r="Y904" s="30"/>
      <c r="Z904" s="30"/>
      <c r="AA904" s="33"/>
      <c r="AB904" s="33"/>
      <c r="AC904" s="30"/>
      <c r="AD904" s="30"/>
      <c r="AE904" s="33"/>
      <c r="AF904" s="31"/>
      <c r="AG904" s="30"/>
      <c r="AH904" s="30"/>
      <c r="AI904" s="31"/>
      <c r="AJ904" s="31"/>
      <c r="AK904" s="32"/>
    </row>
    <row r="905">
      <c r="A905" s="21" t="s">
        <v>595</v>
      </c>
      <c r="B905" s="22" t="s">
        <v>368</v>
      </c>
      <c r="C905" s="22" t="s">
        <v>273</v>
      </c>
      <c r="D905" s="26">
        <v>45998.0</v>
      </c>
      <c r="E905" s="22" t="s">
        <v>196</v>
      </c>
      <c r="F905" s="22" t="s">
        <v>369</v>
      </c>
      <c r="G905" s="22" t="s">
        <v>2119</v>
      </c>
      <c r="H905" s="22" t="s">
        <v>595</v>
      </c>
      <c r="I905" s="22">
        <v>1.0454565880131E13</v>
      </c>
      <c r="J905" s="22" t="s">
        <v>1395</v>
      </c>
      <c r="K905" s="24"/>
      <c r="L905" s="22" t="s">
        <v>599</v>
      </c>
      <c r="M905" s="22">
        <v>1.0</v>
      </c>
      <c r="N905" s="22" t="s">
        <v>600</v>
      </c>
      <c r="O905" s="22" t="s">
        <v>601</v>
      </c>
      <c r="P905" s="24"/>
      <c r="Q905" s="22" t="s">
        <v>90</v>
      </c>
      <c r="R905" s="22">
        <v>3.2737909866819E13</v>
      </c>
      <c r="S905" s="24"/>
      <c r="T905" s="24"/>
      <c r="U905" s="24"/>
      <c r="V905" s="22" t="s">
        <v>127</v>
      </c>
      <c r="W905" s="33"/>
      <c r="X905" s="33"/>
      <c r="Y905" s="30"/>
      <c r="Z905" s="30"/>
      <c r="AA905" s="33"/>
      <c r="AB905" s="33"/>
      <c r="AC905" s="30"/>
      <c r="AD905" s="30"/>
      <c r="AE905" s="33"/>
      <c r="AF905" s="31"/>
      <c r="AG905" s="30"/>
      <c r="AH905" s="30"/>
      <c r="AI905" s="31"/>
      <c r="AJ905" s="31"/>
      <c r="AK905" s="32"/>
    </row>
    <row r="906">
      <c r="A906" s="21" t="s">
        <v>386</v>
      </c>
      <c r="B906" s="22" t="s">
        <v>1130</v>
      </c>
      <c r="C906" s="22" t="s">
        <v>273</v>
      </c>
      <c r="D906" s="26">
        <v>45998.0</v>
      </c>
      <c r="E906" s="22" t="s">
        <v>1131</v>
      </c>
      <c r="F906" s="22" t="s">
        <v>311</v>
      </c>
      <c r="G906" s="22" t="s">
        <v>2120</v>
      </c>
      <c r="H906" s="22" t="s">
        <v>386</v>
      </c>
      <c r="I906" s="22">
        <v>1.0455494754627E13</v>
      </c>
      <c r="J906" s="22" t="s">
        <v>1133</v>
      </c>
      <c r="K906" s="24"/>
      <c r="L906" s="22" t="s">
        <v>390</v>
      </c>
      <c r="M906" s="22">
        <v>1.0</v>
      </c>
      <c r="N906" s="22" t="s">
        <v>391</v>
      </c>
      <c r="O906" s="22" t="s">
        <v>392</v>
      </c>
      <c r="P906" s="24"/>
      <c r="Q906" s="22" t="s">
        <v>90</v>
      </c>
      <c r="R906" s="22">
        <v>3.2739951509827E13</v>
      </c>
      <c r="S906" s="24"/>
      <c r="T906" s="24"/>
      <c r="U906" s="24"/>
      <c r="V906" s="22" t="s">
        <v>55</v>
      </c>
      <c r="W906" s="33"/>
      <c r="X906" s="33"/>
      <c r="Y906" s="30"/>
      <c r="Z906" s="30"/>
      <c r="AA906" s="33"/>
      <c r="AB906" s="33"/>
      <c r="AC906" s="30"/>
      <c r="AD906" s="30"/>
      <c r="AE906" s="33"/>
      <c r="AF906" s="31"/>
      <c r="AG906" s="30"/>
      <c r="AH906" s="30"/>
      <c r="AI906" s="31"/>
      <c r="AJ906" s="31"/>
      <c r="AK906" s="32"/>
    </row>
    <row r="907">
      <c r="A907" s="21" t="s">
        <v>449</v>
      </c>
      <c r="B907" s="22" t="s">
        <v>450</v>
      </c>
      <c r="C907" s="22" t="s">
        <v>82</v>
      </c>
      <c r="D907" s="26">
        <v>45997.0</v>
      </c>
      <c r="E907" s="22" t="s">
        <v>134</v>
      </c>
      <c r="F907" s="22" t="s">
        <v>451</v>
      </c>
      <c r="G907" s="22" t="s">
        <v>2121</v>
      </c>
      <c r="H907" s="22" t="s">
        <v>449</v>
      </c>
      <c r="I907" s="22">
        <v>1.0455522246979E13</v>
      </c>
      <c r="J907" s="22" t="s">
        <v>453</v>
      </c>
      <c r="K907" s="24"/>
      <c r="L907" s="22" t="s">
        <v>454</v>
      </c>
      <c r="M907" s="22">
        <v>1.0</v>
      </c>
      <c r="N907" s="22" t="s">
        <v>455</v>
      </c>
      <c r="O907" s="22" t="s">
        <v>456</v>
      </c>
      <c r="P907" s="24"/>
      <c r="Q907" s="22" t="s">
        <v>90</v>
      </c>
      <c r="R907" s="22">
        <v>3.2740018323779E13</v>
      </c>
      <c r="S907" s="24"/>
      <c r="T907" s="24"/>
      <c r="U907" s="24"/>
      <c r="V907" s="22" t="s">
        <v>54</v>
      </c>
      <c r="W907" s="33"/>
      <c r="X907" s="33"/>
      <c r="Y907" s="30"/>
      <c r="Z907" s="30"/>
      <c r="AA907" s="33"/>
      <c r="AB907" s="33"/>
      <c r="AC907" s="30"/>
      <c r="AD907" s="30"/>
      <c r="AE907" s="33"/>
      <c r="AF907" s="31"/>
      <c r="AG907" s="30"/>
      <c r="AH907" s="30"/>
      <c r="AI907" s="31"/>
      <c r="AJ907" s="31"/>
      <c r="AK907" s="32"/>
    </row>
    <row r="908">
      <c r="A908" s="21" t="s">
        <v>529</v>
      </c>
      <c r="B908" s="22" t="s">
        <v>471</v>
      </c>
      <c r="C908" s="22" t="s">
        <v>82</v>
      </c>
      <c r="D908" s="26">
        <v>45997.0</v>
      </c>
      <c r="E908" s="22" t="s">
        <v>134</v>
      </c>
      <c r="F908" s="22" t="s">
        <v>472</v>
      </c>
      <c r="G908" s="22" t="s">
        <v>2122</v>
      </c>
      <c r="H908" s="22" t="s">
        <v>529</v>
      </c>
      <c r="I908" s="22">
        <v>1.0455637098819E13</v>
      </c>
      <c r="J908" s="22" t="s">
        <v>474</v>
      </c>
      <c r="K908" s="24"/>
      <c r="L908" s="22" t="s">
        <v>533</v>
      </c>
      <c r="M908" s="22">
        <v>1.0</v>
      </c>
      <c r="N908" s="22" t="s">
        <v>534</v>
      </c>
      <c r="O908" s="22" t="s">
        <v>535</v>
      </c>
      <c r="P908" s="24"/>
      <c r="Q908" s="22" t="s">
        <v>90</v>
      </c>
      <c r="R908" s="22">
        <v>3.2740271817027E13</v>
      </c>
      <c r="S908" s="24"/>
      <c r="T908" s="24"/>
      <c r="U908" s="24"/>
      <c r="V908" s="22" t="s">
        <v>127</v>
      </c>
      <c r="W908" s="33"/>
      <c r="X908" s="33"/>
      <c r="Y908" s="30"/>
      <c r="Z908" s="30"/>
      <c r="AA908" s="33"/>
      <c r="AB908" s="33"/>
      <c r="AC908" s="30"/>
      <c r="AD908" s="30"/>
      <c r="AE908" s="33"/>
      <c r="AF908" s="31"/>
      <c r="AG908" s="30"/>
      <c r="AH908" s="30"/>
      <c r="AI908" s="31"/>
      <c r="AJ908" s="31"/>
      <c r="AK908" s="32"/>
    </row>
    <row r="909">
      <c r="A909" s="21" t="s">
        <v>327</v>
      </c>
      <c r="B909" s="22" t="s">
        <v>1356</v>
      </c>
      <c r="C909" s="22" t="s">
        <v>273</v>
      </c>
      <c r="D909" s="23">
        <v>45991.0</v>
      </c>
      <c r="E909" s="22" t="s">
        <v>153</v>
      </c>
      <c r="F909" s="22" t="s">
        <v>329</v>
      </c>
      <c r="G909" s="22" t="s">
        <v>2123</v>
      </c>
      <c r="H909" s="22" t="s">
        <v>327</v>
      </c>
      <c r="I909" s="22">
        <v>1.0455717445955E13</v>
      </c>
      <c r="J909" s="22" t="s">
        <v>1358</v>
      </c>
      <c r="K909" s="24"/>
      <c r="L909" s="22" t="s">
        <v>332</v>
      </c>
      <c r="M909" s="22">
        <v>1.0</v>
      </c>
      <c r="N909" s="22" t="s">
        <v>333</v>
      </c>
      <c r="O909" s="22" t="s">
        <v>334</v>
      </c>
      <c r="P909" s="24"/>
      <c r="Q909" s="22" t="s">
        <v>90</v>
      </c>
      <c r="R909" s="22">
        <v>3.2740450861379E13</v>
      </c>
      <c r="S909" s="24"/>
      <c r="T909" s="24"/>
      <c r="U909" s="24"/>
      <c r="V909" s="22" t="s">
        <v>55</v>
      </c>
      <c r="W909" s="33"/>
      <c r="X909" s="33"/>
      <c r="Y909" s="30"/>
      <c r="Z909" s="30"/>
      <c r="AA909" s="33"/>
      <c r="AB909" s="33"/>
      <c r="AC909" s="30"/>
      <c r="AD909" s="30"/>
      <c r="AE909" s="33"/>
      <c r="AF909" s="31"/>
      <c r="AG909" s="30"/>
      <c r="AH909" s="30"/>
      <c r="AI909" s="31"/>
      <c r="AJ909" s="31"/>
      <c r="AK909" s="32"/>
    </row>
    <row r="910">
      <c r="A910" s="21" t="s">
        <v>300</v>
      </c>
      <c r="B910" s="22" t="s">
        <v>2124</v>
      </c>
      <c r="C910" s="22" t="s">
        <v>273</v>
      </c>
      <c r="D910" s="26">
        <v>45998.0</v>
      </c>
      <c r="E910" s="22" t="s">
        <v>1895</v>
      </c>
      <c r="F910" s="22" t="s">
        <v>303</v>
      </c>
      <c r="G910" s="22" t="s">
        <v>2125</v>
      </c>
      <c r="H910" s="22" t="s">
        <v>300</v>
      </c>
      <c r="I910" s="22">
        <v>1.0455752278339E13</v>
      </c>
      <c r="J910" s="22" t="s">
        <v>2126</v>
      </c>
      <c r="K910" s="24"/>
      <c r="L910" s="22" t="s">
        <v>306</v>
      </c>
      <c r="M910" s="22">
        <v>1.0</v>
      </c>
      <c r="N910" s="22" t="s">
        <v>307</v>
      </c>
      <c r="O910" s="22" t="s">
        <v>308</v>
      </c>
      <c r="P910" s="24"/>
      <c r="Q910" s="22" t="s">
        <v>90</v>
      </c>
      <c r="R910" s="22">
        <v>3.2740526653763E13</v>
      </c>
      <c r="S910" s="24"/>
      <c r="T910" s="24"/>
      <c r="U910" s="24"/>
      <c r="V910" s="22" t="s">
        <v>55</v>
      </c>
      <c r="W910" s="33"/>
      <c r="X910" s="33"/>
      <c r="Y910" s="30"/>
      <c r="Z910" s="30"/>
      <c r="AA910" s="33"/>
      <c r="AB910" s="33"/>
      <c r="AC910" s="30"/>
      <c r="AD910" s="30"/>
      <c r="AE910" s="33"/>
      <c r="AF910" s="31"/>
      <c r="AG910" s="30"/>
      <c r="AH910" s="30"/>
      <c r="AI910" s="31"/>
      <c r="AJ910" s="31"/>
      <c r="AK910" s="32"/>
    </row>
    <row r="911">
      <c r="A911" s="21" t="s">
        <v>375</v>
      </c>
      <c r="B911" s="22" t="s">
        <v>1120</v>
      </c>
      <c r="C911" s="22" t="s">
        <v>82</v>
      </c>
      <c r="D911" s="23">
        <v>46004.0</v>
      </c>
      <c r="E911" s="22" t="s">
        <v>153</v>
      </c>
      <c r="F911" s="22" t="s">
        <v>377</v>
      </c>
      <c r="G911" s="22" t="s">
        <v>2127</v>
      </c>
      <c r="H911" s="22" t="s">
        <v>375</v>
      </c>
      <c r="I911" s="22">
        <v>1.0455910121795E13</v>
      </c>
      <c r="J911" s="22" t="s">
        <v>1122</v>
      </c>
      <c r="K911" s="24"/>
      <c r="L911" s="22" t="s">
        <v>380</v>
      </c>
      <c r="M911" s="22">
        <v>1.0</v>
      </c>
      <c r="N911" s="22" t="s">
        <v>381</v>
      </c>
      <c r="O911" s="22" t="s">
        <v>382</v>
      </c>
      <c r="P911" s="24"/>
      <c r="Q911" s="22" t="s">
        <v>90</v>
      </c>
      <c r="R911" s="22">
        <v>3.2740868227395E13</v>
      </c>
      <c r="S911" s="24"/>
      <c r="T911" s="24"/>
      <c r="U911" s="24"/>
      <c r="V911" s="22" t="s">
        <v>55</v>
      </c>
      <c r="W911" s="33"/>
      <c r="X911" s="33"/>
      <c r="Y911" s="30"/>
      <c r="Z911" s="30"/>
      <c r="AA911" s="33"/>
      <c r="AB911" s="33"/>
      <c r="AC911" s="30"/>
      <c r="AD911" s="30"/>
      <c r="AE911" s="33"/>
      <c r="AF911" s="31"/>
      <c r="AG911" s="30"/>
      <c r="AH911" s="30"/>
      <c r="AI911" s="31"/>
      <c r="AJ911" s="31"/>
      <c r="AK911" s="32"/>
    </row>
    <row r="912">
      <c r="A912" s="21" t="s">
        <v>550</v>
      </c>
      <c r="B912" s="22" t="s">
        <v>2128</v>
      </c>
      <c r="C912" s="22" t="s">
        <v>82</v>
      </c>
      <c r="D912" s="26">
        <v>45997.0</v>
      </c>
      <c r="E912" s="22" t="s">
        <v>153</v>
      </c>
      <c r="F912" s="22" t="s">
        <v>377</v>
      </c>
      <c r="G912" s="22" t="s">
        <v>2129</v>
      </c>
      <c r="H912" s="22" t="s">
        <v>550</v>
      </c>
      <c r="I912" s="22">
        <v>1.0456066851139E13</v>
      </c>
      <c r="J912" s="22" t="s">
        <v>514</v>
      </c>
      <c r="K912" s="24"/>
      <c r="L912" s="22" t="s">
        <v>552</v>
      </c>
      <c r="M912" s="22">
        <v>1.0</v>
      </c>
      <c r="N912" s="22" t="s">
        <v>381</v>
      </c>
      <c r="O912" s="22" t="s">
        <v>382</v>
      </c>
      <c r="P912" s="24"/>
      <c r="Q912" s="22" t="s">
        <v>90</v>
      </c>
      <c r="R912" s="22">
        <v>3.2741214290243E13</v>
      </c>
      <c r="S912" s="24"/>
      <c r="T912" s="24"/>
      <c r="U912" s="24"/>
      <c r="V912" s="22" t="s">
        <v>95</v>
      </c>
      <c r="W912" s="33"/>
      <c r="X912" s="33"/>
      <c r="Y912" s="30"/>
      <c r="Z912" s="30"/>
      <c r="AA912" s="33"/>
      <c r="AB912" s="33"/>
      <c r="AC912" s="30"/>
      <c r="AD912" s="30"/>
      <c r="AE912" s="33"/>
      <c r="AF912" s="31"/>
      <c r="AG912" s="30"/>
      <c r="AH912" s="30"/>
      <c r="AI912" s="31"/>
      <c r="AJ912" s="31"/>
      <c r="AK912" s="32"/>
    </row>
    <row r="913">
      <c r="A913" s="21" t="s">
        <v>679</v>
      </c>
      <c r="B913" s="22" t="s">
        <v>1655</v>
      </c>
      <c r="C913" s="22" t="s">
        <v>82</v>
      </c>
      <c r="D913" s="26">
        <v>45997.0</v>
      </c>
      <c r="E913" s="22" t="s">
        <v>211</v>
      </c>
      <c r="F913" s="22" t="s">
        <v>111</v>
      </c>
      <c r="G913" s="22" t="s">
        <v>2130</v>
      </c>
      <c r="H913" s="22" t="s">
        <v>679</v>
      </c>
      <c r="I913" s="22">
        <v>1.0456106926403E13</v>
      </c>
      <c r="J913" s="22" t="s">
        <v>1657</v>
      </c>
      <c r="K913" s="24"/>
      <c r="L913" s="22" t="s">
        <v>683</v>
      </c>
      <c r="M913" s="22">
        <v>1.0</v>
      </c>
      <c r="N913" s="22" t="s">
        <v>164</v>
      </c>
      <c r="O913" s="22" t="s">
        <v>165</v>
      </c>
      <c r="P913" s="24"/>
      <c r="Q913" s="22" t="s">
        <v>90</v>
      </c>
      <c r="R913" s="22">
        <v>3.2741296767299E13</v>
      </c>
      <c r="S913" s="24"/>
      <c r="T913" s="24"/>
      <c r="U913" s="24"/>
      <c r="V913" s="22" t="s">
        <v>105</v>
      </c>
      <c r="W913" s="33"/>
      <c r="X913" s="33"/>
      <c r="Y913" s="30"/>
      <c r="Z913" s="30"/>
      <c r="AA913" s="33"/>
      <c r="AB913" s="33"/>
      <c r="AC913" s="30"/>
      <c r="AD913" s="30"/>
      <c r="AE913" s="33"/>
      <c r="AF913" s="31"/>
      <c r="AG913" s="30"/>
      <c r="AH913" s="30"/>
      <c r="AI913" s="31"/>
      <c r="AJ913" s="31"/>
      <c r="AK913" s="32"/>
    </row>
    <row r="914">
      <c r="A914" s="21" t="s">
        <v>408</v>
      </c>
      <c r="B914" s="22" t="s">
        <v>376</v>
      </c>
      <c r="C914" s="22" t="s">
        <v>82</v>
      </c>
      <c r="D914" s="26">
        <v>45997.0</v>
      </c>
      <c r="E914" s="22" t="s">
        <v>149</v>
      </c>
      <c r="F914" s="22" t="s">
        <v>377</v>
      </c>
      <c r="G914" s="22" t="s">
        <v>2131</v>
      </c>
      <c r="H914" s="22" t="s">
        <v>408</v>
      </c>
      <c r="I914" s="22">
        <v>1.0456130814275E13</v>
      </c>
      <c r="J914" s="22" t="s">
        <v>379</v>
      </c>
      <c r="K914" s="24"/>
      <c r="L914" s="22" t="s">
        <v>412</v>
      </c>
      <c r="M914" s="22">
        <v>1.0</v>
      </c>
      <c r="N914" s="22" t="s">
        <v>413</v>
      </c>
      <c r="O914" s="22" t="s">
        <v>414</v>
      </c>
      <c r="P914" s="24"/>
      <c r="Q914" s="22" t="s">
        <v>90</v>
      </c>
      <c r="R914" s="22">
        <v>3.2741348835651E13</v>
      </c>
      <c r="S914" s="24"/>
      <c r="T914" s="24"/>
      <c r="U914" s="24"/>
      <c r="V914" s="22" t="s">
        <v>127</v>
      </c>
      <c r="W914" s="33"/>
      <c r="X914" s="33"/>
      <c r="Y914" s="30"/>
      <c r="Z914" s="30"/>
      <c r="AA914" s="33"/>
      <c r="AB914" s="33"/>
      <c r="AC914" s="30"/>
      <c r="AD914" s="30"/>
      <c r="AE914" s="33"/>
      <c r="AF914" s="31"/>
      <c r="AG914" s="30"/>
      <c r="AH914" s="30"/>
      <c r="AI914" s="31"/>
      <c r="AJ914" s="31"/>
      <c r="AK914" s="32"/>
    </row>
    <row r="915">
      <c r="A915" s="21" t="s">
        <v>124</v>
      </c>
      <c r="B915" s="22" t="s">
        <v>1595</v>
      </c>
      <c r="C915" s="22" t="s">
        <v>82</v>
      </c>
      <c r="D915" s="26">
        <v>45997.0</v>
      </c>
      <c r="E915" s="22" t="s">
        <v>149</v>
      </c>
      <c r="F915" s="22" t="s">
        <v>83</v>
      </c>
      <c r="G915" s="22" t="s">
        <v>2132</v>
      </c>
      <c r="H915" s="22" t="s">
        <v>124</v>
      </c>
      <c r="I915" s="22">
        <v>1.0456148705603E13</v>
      </c>
      <c r="J915" s="22" t="s">
        <v>1597</v>
      </c>
      <c r="K915" s="24"/>
      <c r="L915" s="22" t="s">
        <v>126</v>
      </c>
      <c r="M915" s="22">
        <v>1.0</v>
      </c>
      <c r="N915" s="22" t="s">
        <v>103</v>
      </c>
      <c r="O915" s="22" t="s">
        <v>104</v>
      </c>
      <c r="P915" s="24"/>
      <c r="Q915" s="22" t="s">
        <v>90</v>
      </c>
      <c r="R915" s="22">
        <v>3.2741386879299E13</v>
      </c>
      <c r="S915" s="24"/>
      <c r="T915" s="24"/>
      <c r="U915" s="24"/>
      <c r="V915" s="22" t="s">
        <v>127</v>
      </c>
      <c r="W915" s="33"/>
      <c r="X915" s="33"/>
      <c r="Y915" s="30"/>
      <c r="Z915" s="30"/>
      <c r="AA915" s="33"/>
      <c r="AB915" s="33"/>
      <c r="AC915" s="30"/>
      <c r="AD915" s="30"/>
      <c r="AE915" s="33"/>
      <c r="AF915" s="31"/>
      <c r="AG915" s="30"/>
      <c r="AH915" s="30"/>
      <c r="AI915" s="31"/>
      <c r="AJ915" s="31"/>
      <c r="AK915" s="32"/>
    </row>
    <row r="916">
      <c r="A916" s="21" t="s">
        <v>2133</v>
      </c>
      <c r="B916" s="22" t="s">
        <v>2134</v>
      </c>
      <c r="C916" s="22" t="s">
        <v>82</v>
      </c>
      <c r="D916" s="26">
        <v>45997.0</v>
      </c>
      <c r="E916" s="22" t="s">
        <v>522</v>
      </c>
      <c r="F916" s="22" t="s">
        <v>451</v>
      </c>
      <c r="G916" s="22" t="s">
        <v>2135</v>
      </c>
      <c r="H916" s="22" t="s">
        <v>2133</v>
      </c>
      <c r="I916" s="22">
        <v>1.0456158175555E13</v>
      </c>
      <c r="J916" s="22" t="s">
        <v>2136</v>
      </c>
      <c r="K916" s="24"/>
      <c r="L916" s="22" t="s">
        <v>2137</v>
      </c>
      <c r="M916" s="22">
        <v>1.0</v>
      </c>
      <c r="N916" s="22" t="s">
        <v>1277</v>
      </c>
      <c r="O916" s="22" t="s">
        <v>1278</v>
      </c>
      <c r="P916" s="24"/>
      <c r="Q916" s="22" t="s">
        <v>90</v>
      </c>
      <c r="R916" s="22">
        <v>3.2741407195459E13</v>
      </c>
      <c r="S916" s="24"/>
      <c r="T916" s="24"/>
      <c r="U916" s="24"/>
      <c r="V916" s="22" t="s">
        <v>175</v>
      </c>
      <c r="W916" s="33"/>
      <c r="X916" s="33"/>
      <c r="Y916" s="30"/>
      <c r="Z916" s="30"/>
      <c r="AA916" s="33"/>
      <c r="AB916" s="33"/>
      <c r="AC916" s="30"/>
      <c r="AD916" s="30"/>
      <c r="AE916" s="33"/>
      <c r="AF916" s="31"/>
      <c r="AG916" s="30"/>
      <c r="AH916" s="30"/>
      <c r="AI916" s="31"/>
      <c r="AJ916" s="31"/>
      <c r="AK916" s="32"/>
    </row>
    <row r="917">
      <c r="A917" s="21" t="s">
        <v>96</v>
      </c>
      <c r="B917" s="22" t="s">
        <v>755</v>
      </c>
      <c r="C917" s="22" t="s">
        <v>202</v>
      </c>
      <c r="D917" s="26">
        <v>45996.0</v>
      </c>
      <c r="E917" s="22" t="s">
        <v>153</v>
      </c>
      <c r="F917" s="22" t="s">
        <v>83</v>
      </c>
      <c r="G917" s="22" t="s">
        <v>2138</v>
      </c>
      <c r="H917" s="22" t="s">
        <v>96</v>
      </c>
      <c r="I917" s="22">
        <v>1.0456225644867E13</v>
      </c>
      <c r="J917" s="22" t="s">
        <v>757</v>
      </c>
      <c r="K917" s="24"/>
      <c r="L917" s="22" t="s">
        <v>98</v>
      </c>
      <c r="M917" s="22">
        <v>1.0</v>
      </c>
      <c r="N917" s="22" t="s">
        <v>87</v>
      </c>
      <c r="O917" s="22" t="s">
        <v>88</v>
      </c>
      <c r="P917" s="24"/>
      <c r="Q917" s="22" t="s">
        <v>90</v>
      </c>
      <c r="R917" s="22">
        <v>3.2741545214275E13</v>
      </c>
      <c r="S917" s="24"/>
      <c r="T917" s="24"/>
      <c r="U917" s="24"/>
      <c r="V917" s="22" t="s">
        <v>55</v>
      </c>
      <c r="W917" s="33"/>
      <c r="X917" s="33"/>
      <c r="Y917" s="30"/>
      <c r="Z917" s="30"/>
      <c r="AA917" s="33"/>
      <c r="AB917" s="33"/>
      <c r="AC917" s="30"/>
      <c r="AD917" s="30"/>
      <c r="AE917" s="33"/>
      <c r="AF917" s="31"/>
      <c r="AG917" s="30"/>
      <c r="AH917" s="30"/>
      <c r="AI917" s="31"/>
      <c r="AJ917" s="31"/>
      <c r="AK917" s="32"/>
    </row>
    <row r="918">
      <c r="A918" s="21" t="s">
        <v>1151</v>
      </c>
      <c r="B918" s="22" t="s">
        <v>741</v>
      </c>
      <c r="C918" s="22" t="s">
        <v>82</v>
      </c>
      <c r="D918" s="26">
        <v>45997.0</v>
      </c>
      <c r="E918" s="22" t="s">
        <v>134</v>
      </c>
      <c r="F918" s="22" t="s">
        <v>303</v>
      </c>
      <c r="G918" s="22" t="s">
        <v>2139</v>
      </c>
      <c r="H918" s="22" t="s">
        <v>1151</v>
      </c>
      <c r="I918" s="22">
        <v>1.0456308810051E13</v>
      </c>
      <c r="J918" s="22" t="s">
        <v>743</v>
      </c>
      <c r="K918" s="24"/>
      <c r="L918" s="22" t="s">
        <v>1155</v>
      </c>
      <c r="M918" s="22">
        <v>1.0</v>
      </c>
      <c r="N918" s="22" t="s">
        <v>307</v>
      </c>
      <c r="O918" s="22" t="s">
        <v>308</v>
      </c>
      <c r="P918" s="24"/>
      <c r="Q918" s="22" t="s">
        <v>90</v>
      </c>
      <c r="R918" s="22">
        <v>3.2741723898179E13</v>
      </c>
      <c r="S918" s="24"/>
      <c r="T918" s="24"/>
      <c r="U918" s="24"/>
      <c r="V918" s="22" t="s">
        <v>54</v>
      </c>
      <c r="W918" s="33"/>
      <c r="X918" s="33"/>
      <c r="Y918" s="30"/>
      <c r="Z918" s="30"/>
      <c r="AA918" s="33"/>
      <c r="AB918" s="33"/>
      <c r="AC918" s="30"/>
      <c r="AD918" s="30"/>
      <c r="AE918" s="33"/>
      <c r="AF918" s="31"/>
      <c r="AG918" s="30"/>
      <c r="AH918" s="30"/>
      <c r="AI918" s="31"/>
      <c r="AJ918" s="31"/>
      <c r="AK918" s="32"/>
    </row>
    <row r="919">
      <c r="A919" s="21" t="s">
        <v>2140</v>
      </c>
      <c r="B919" s="22" t="s">
        <v>318</v>
      </c>
      <c r="C919" s="22" t="s">
        <v>82</v>
      </c>
      <c r="D919" s="26">
        <v>45997.0</v>
      </c>
      <c r="E919" s="22" t="s">
        <v>196</v>
      </c>
      <c r="F919" s="22" t="s">
        <v>319</v>
      </c>
      <c r="G919" s="22" t="s">
        <v>2141</v>
      </c>
      <c r="H919" s="22" t="s">
        <v>2140</v>
      </c>
      <c r="I919" s="22">
        <v>1.0456441618755E13</v>
      </c>
      <c r="J919" s="22" t="s">
        <v>527</v>
      </c>
      <c r="K919" s="24"/>
      <c r="L919" s="22" t="s">
        <v>2142</v>
      </c>
      <c r="M919" s="22">
        <v>1.0</v>
      </c>
      <c r="N919" s="22" t="s">
        <v>323</v>
      </c>
      <c r="O919" s="22" t="s">
        <v>324</v>
      </c>
      <c r="P919" s="24"/>
      <c r="Q919" s="22" t="s">
        <v>90</v>
      </c>
      <c r="R919" s="22">
        <v>3.2742002458947E13</v>
      </c>
      <c r="S919" s="24"/>
      <c r="T919" s="24"/>
      <c r="U919" s="24"/>
      <c r="V919" s="22" t="s">
        <v>54</v>
      </c>
      <c r="W919" s="33"/>
      <c r="X919" s="33"/>
      <c r="Y919" s="30"/>
      <c r="Z919" s="30"/>
      <c r="AA919" s="33"/>
      <c r="AB919" s="33"/>
      <c r="AC919" s="30"/>
      <c r="AD919" s="30"/>
      <c r="AE919" s="33"/>
      <c r="AF919" s="31"/>
      <c r="AG919" s="30"/>
      <c r="AH919" s="30"/>
      <c r="AI919" s="31"/>
      <c r="AJ919" s="31"/>
      <c r="AK919" s="32"/>
    </row>
    <row r="920">
      <c r="A920" s="21" t="s">
        <v>423</v>
      </c>
      <c r="B920" s="22" t="s">
        <v>587</v>
      </c>
      <c r="C920" s="22" t="s">
        <v>273</v>
      </c>
      <c r="D920" s="26">
        <v>45998.0</v>
      </c>
      <c r="E920" s="22" t="s">
        <v>153</v>
      </c>
      <c r="F920" s="22" t="s">
        <v>369</v>
      </c>
      <c r="G920" s="22" t="s">
        <v>2143</v>
      </c>
      <c r="H920" s="22" t="s">
        <v>423</v>
      </c>
      <c r="I920" s="22">
        <v>1.0456445452611E13</v>
      </c>
      <c r="J920" s="22" t="s">
        <v>589</v>
      </c>
      <c r="K920" s="24"/>
      <c r="L920" s="22" t="s">
        <v>427</v>
      </c>
      <c r="M920" s="22">
        <v>1.0</v>
      </c>
      <c r="N920" s="22" t="s">
        <v>373</v>
      </c>
      <c r="O920" s="22" t="s">
        <v>374</v>
      </c>
      <c r="P920" s="24"/>
      <c r="Q920" s="22" t="s">
        <v>90</v>
      </c>
      <c r="R920" s="22">
        <v>3.2742009504067E13</v>
      </c>
      <c r="S920" s="24"/>
      <c r="T920" s="24"/>
      <c r="U920" s="24"/>
      <c r="V920" s="22" t="s">
        <v>95</v>
      </c>
      <c r="W920" s="33"/>
      <c r="X920" s="33"/>
      <c r="Y920" s="30"/>
      <c r="Z920" s="30"/>
      <c r="AA920" s="33"/>
      <c r="AB920" s="33"/>
      <c r="AC920" s="30"/>
      <c r="AD920" s="30"/>
      <c r="AE920" s="33"/>
      <c r="AF920" s="31"/>
      <c r="AG920" s="30"/>
      <c r="AH920" s="30"/>
      <c r="AI920" s="31"/>
      <c r="AJ920" s="31"/>
      <c r="AK920" s="32"/>
    </row>
    <row r="921">
      <c r="A921" s="21" t="s">
        <v>172</v>
      </c>
      <c r="B921" s="22" t="s">
        <v>223</v>
      </c>
      <c r="C921" s="22" t="s">
        <v>82</v>
      </c>
      <c r="D921" s="23">
        <v>45990.0</v>
      </c>
      <c r="E921" s="22" t="s">
        <v>224</v>
      </c>
      <c r="F921" s="22" t="s">
        <v>83</v>
      </c>
      <c r="G921" s="22" t="s">
        <v>2144</v>
      </c>
      <c r="H921" s="22" t="s">
        <v>172</v>
      </c>
      <c r="I921" s="22">
        <v>1.0456467964227E13</v>
      </c>
      <c r="J921" s="22" t="s">
        <v>226</v>
      </c>
      <c r="K921" s="24"/>
      <c r="L921" s="22" t="s">
        <v>174</v>
      </c>
      <c r="M921" s="22">
        <v>1.0</v>
      </c>
      <c r="N921" s="22" t="s">
        <v>103</v>
      </c>
      <c r="O921" s="22" t="s">
        <v>104</v>
      </c>
      <c r="P921" s="24"/>
      <c r="Q921" s="22" t="s">
        <v>90</v>
      </c>
      <c r="R921" s="22">
        <v>3.2742055346499E13</v>
      </c>
      <c r="S921" s="24"/>
      <c r="T921" s="24"/>
      <c r="U921" s="24"/>
      <c r="V921" s="22" t="s">
        <v>175</v>
      </c>
      <c r="W921" s="33"/>
      <c r="X921" s="33"/>
      <c r="Y921" s="30"/>
      <c r="Z921" s="30"/>
      <c r="AA921" s="33"/>
      <c r="AB921" s="33"/>
      <c r="AC921" s="30"/>
      <c r="AD921" s="30"/>
      <c r="AE921" s="33"/>
      <c r="AF921" s="31"/>
      <c r="AG921" s="30"/>
      <c r="AH921" s="30"/>
      <c r="AI921" s="31"/>
      <c r="AJ921" s="31"/>
      <c r="AK921" s="32"/>
    </row>
    <row r="922">
      <c r="A922" s="21" t="s">
        <v>1224</v>
      </c>
      <c r="B922" s="22" t="s">
        <v>2145</v>
      </c>
      <c r="C922" s="22" t="s">
        <v>294</v>
      </c>
      <c r="D922" s="26">
        <v>45992.0</v>
      </c>
      <c r="E922" s="22" t="s">
        <v>134</v>
      </c>
      <c r="F922" s="22" t="s">
        <v>717</v>
      </c>
      <c r="G922" s="22" t="s">
        <v>2146</v>
      </c>
      <c r="H922" s="22" t="s">
        <v>1224</v>
      </c>
      <c r="I922" s="22">
        <v>1.0456490344771E13</v>
      </c>
      <c r="J922" s="22" t="s">
        <v>2147</v>
      </c>
      <c r="K922" s="24"/>
      <c r="L922" s="22" t="s">
        <v>1228</v>
      </c>
      <c r="M922" s="22">
        <v>1.0</v>
      </c>
      <c r="N922" s="22" t="s">
        <v>721</v>
      </c>
      <c r="O922" s="22" t="s">
        <v>722</v>
      </c>
      <c r="P922" s="24"/>
      <c r="Q922" s="22" t="s">
        <v>90</v>
      </c>
      <c r="R922" s="22">
        <v>3.2742105874755E13</v>
      </c>
      <c r="S922" s="24"/>
      <c r="T922" s="24"/>
      <c r="U922" s="24"/>
      <c r="V922" s="22" t="s">
        <v>91</v>
      </c>
      <c r="W922" s="33"/>
      <c r="X922" s="33"/>
      <c r="Y922" s="30"/>
      <c r="Z922" s="30"/>
      <c r="AA922" s="33"/>
      <c r="AB922" s="33"/>
      <c r="AC922" s="30"/>
      <c r="AD922" s="30"/>
      <c r="AE922" s="33"/>
      <c r="AF922" s="31"/>
      <c r="AG922" s="30"/>
      <c r="AH922" s="30"/>
      <c r="AI922" s="31"/>
      <c r="AJ922" s="31"/>
      <c r="AK922" s="32"/>
    </row>
    <row r="923">
      <c r="A923" s="21" t="s">
        <v>488</v>
      </c>
      <c r="B923" s="22" t="s">
        <v>2024</v>
      </c>
      <c r="C923" s="22" t="s">
        <v>202</v>
      </c>
      <c r="D923" s="26">
        <v>45996.0</v>
      </c>
      <c r="E923" s="22" t="s">
        <v>134</v>
      </c>
      <c r="F923" s="22" t="s">
        <v>311</v>
      </c>
      <c r="G923" s="22" t="s">
        <v>2148</v>
      </c>
      <c r="H923" s="22" t="s">
        <v>488</v>
      </c>
      <c r="I923" s="22">
        <v>1.0456495587651E13</v>
      </c>
      <c r="J923" s="22" t="s">
        <v>2026</v>
      </c>
      <c r="K923" s="24"/>
      <c r="L923" s="22" t="s">
        <v>492</v>
      </c>
      <c r="M923" s="22">
        <v>1.0</v>
      </c>
      <c r="N923" s="22" t="s">
        <v>391</v>
      </c>
      <c r="O923" s="22" t="s">
        <v>392</v>
      </c>
      <c r="P923" s="24"/>
      <c r="Q923" s="22" t="s">
        <v>90</v>
      </c>
      <c r="R923" s="22">
        <v>3.2742117441859E13</v>
      </c>
      <c r="S923" s="24"/>
      <c r="T923" s="24"/>
      <c r="U923" s="24"/>
      <c r="V923" s="22" t="s">
        <v>95</v>
      </c>
      <c r="W923" s="33"/>
      <c r="X923" s="33"/>
      <c r="Y923" s="30"/>
      <c r="Z923" s="30"/>
      <c r="AA923" s="33"/>
      <c r="AB923" s="33"/>
      <c r="AC923" s="30"/>
      <c r="AD923" s="30"/>
      <c r="AE923" s="33"/>
      <c r="AF923" s="31"/>
      <c r="AG923" s="30"/>
      <c r="AH923" s="30"/>
      <c r="AI923" s="31"/>
      <c r="AJ923" s="31"/>
      <c r="AK923" s="32"/>
    </row>
    <row r="924">
      <c r="A924" s="21" t="s">
        <v>789</v>
      </c>
      <c r="B924" s="22" t="s">
        <v>2149</v>
      </c>
      <c r="C924" s="22" t="s">
        <v>82</v>
      </c>
      <c r="D924" s="26">
        <v>45997.0</v>
      </c>
      <c r="E924" s="22" t="s">
        <v>196</v>
      </c>
      <c r="F924" s="22" t="s">
        <v>605</v>
      </c>
      <c r="G924" s="22" t="s">
        <v>2150</v>
      </c>
      <c r="H924" s="22" t="s">
        <v>789</v>
      </c>
      <c r="I924" s="22">
        <v>1.0456496144707E13</v>
      </c>
      <c r="J924" s="22" t="s">
        <v>2070</v>
      </c>
      <c r="K924" s="24"/>
      <c r="L924" s="22" t="s">
        <v>794</v>
      </c>
      <c r="M924" s="22">
        <v>1.0</v>
      </c>
      <c r="N924" s="22" t="s">
        <v>795</v>
      </c>
      <c r="O924" s="22" t="s">
        <v>796</v>
      </c>
      <c r="P924" s="24"/>
      <c r="Q924" s="22" t="s">
        <v>90</v>
      </c>
      <c r="R924" s="22">
        <v>3.2742118424899E13</v>
      </c>
      <c r="S924" s="24"/>
      <c r="T924" s="24"/>
      <c r="U924" s="24"/>
      <c r="V924" s="27" t="s">
        <v>105</v>
      </c>
      <c r="W924" s="33"/>
      <c r="X924" s="33"/>
      <c r="Y924" s="30"/>
      <c r="Z924" s="30"/>
      <c r="AA924" s="33"/>
      <c r="AB924" s="33"/>
      <c r="AC924" s="30"/>
      <c r="AD924" s="30"/>
      <c r="AE924" s="33"/>
      <c r="AF924" s="31"/>
      <c r="AG924" s="30"/>
      <c r="AH924" s="30"/>
      <c r="AI924" s="31"/>
      <c r="AJ924" s="31"/>
      <c r="AK924" s="32"/>
    </row>
    <row r="925">
      <c r="A925" s="21" t="s">
        <v>484</v>
      </c>
      <c r="B925" s="22" t="s">
        <v>2151</v>
      </c>
      <c r="C925" s="22" t="s">
        <v>287</v>
      </c>
      <c r="D925" s="26">
        <v>45994.0</v>
      </c>
      <c r="E925" s="22" t="s">
        <v>1117</v>
      </c>
      <c r="F925" s="22" t="s">
        <v>311</v>
      </c>
      <c r="G925" s="22" t="s">
        <v>2152</v>
      </c>
      <c r="H925" s="22" t="s">
        <v>484</v>
      </c>
      <c r="I925" s="22">
        <v>1.0456503091523E13</v>
      </c>
      <c r="J925" s="22" t="s">
        <v>2153</v>
      </c>
      <c r="K925" s="24"/>
      <c r="L925" s="22" t="s">
        <v>487</v>
      </c>
      <c r="M925" s="22">
        <v>1.0</v>
      </c>
      <c r="N925" s="22" t="s">
        <v>315</v>
      </c>
      <c r="O925" s="22" t="s">
        <v>316</v>
      </c>
      <c r="P925" s="24"/>
      <c r="Q925" s="22" t="s">
        <v>90</v>
      </c>
      <c r="R925" s="22">
        <v>3.2742132515139E13</v>
      </c>
      <c r="S925" s="24"/>
      <c r="T925" s="24"/>
      <c r="U925" s="24"/>
      <c r="V925" s="22" t="s">
        <v>127</v>
      </c>
      <c r="W925" s="33"/>
      <c r="X925" s="33"/>
      <c r="Y925" s="30"/>
      <c r="Z925" s="30"/>
      <c r="AA925" s="33"/>
      <c r="AB925" s="33"/>
      <c r="AC925" s="30"/>
      <c r="AD925" s="30"/>
      <c r="AE925" s="33"/>
      <c r="AF925" s="31"/>
      <c r="AG925" s="30"/>
      <c r="AH925" s="30"/>
      <c r="AI925" s="31"/>
      <c r="AJ925" s="31"/>
      <c r="AK925" s="32"/>
    </row>
    <row r="926">
      <c r="A926" s="21" t="s">
        <v>1601</v>
      </c>
      <c r="B926" s="22" t="s">
        <v>2154</v>
      </c>
      <c r="C926" s="22" t="s">
        <v>202</v>
      </c>
      <c r="D926" s="26">
        <v>45996.0</v>
      </c>
      <c r="E926" s="22" t="s">
        <v>2155</v>
      </c>
      <c r="F926" s="22" t="s">
        <v>717</v>
      </c>
      <c r="G926" s="22" t="s">
        <v>2156</v>
      </c>
      <c r="H926" s="22" t="s">
        <v>1601</v>
      </c>
      <c r="I926" s="22">
        <v>1.0456554570051E13</v>
      </c>
      <c r="J926" s="22" t="s">
        <v>2157</v>
      </c>
      <c r="K926" s="24"/>
      <c r="L926" s="22" t="s">
        <v>1605</v>
      </c>
      <c r="M926" s="22">
        <v>1.0</v>
      </c>
      <c r="N926" s="22" t="s">
        <v>1083</v>
      </c>
      <c r="O926" s="22" t="s">
        <v>1084</v>
      </c>
      <c r="P926" s="24"/>
      <c r="Q926" s="22" t="s">
        <v>90</v>
      </c>
      <c r="R926" s="22">
        <v>3.2742241894723E13</v>
      </c>
      <c r="S926" s="24"/>
      <c r="T926" s="24"/>
      <c r="U926" s="24"/>
      <c r="V926" s="22" t="s">
        <v>175</v>
      </c>
      <c r="W926" s="33"/>
      <c r="X926" s="33"/>
      <c r="Y926" s="30"/>
      <c r="Z926" s="30"/>
      <c r="AA926" s="33"/>
      <c r="AB926" s="33"/>
      <c r="AC926" s="30"/>
      <c r="AD926" s="30"/>
      <c r="AE926" s="33"/>
      <c r="AF926" s="31"/>
      <c r="AG926" s="30"/>
      <c r="AH926" s="30"/>
      <c r="AI926" s="31"/>
      <c r="AJ926" s="31"/>
      <c r="AK926" s="32"/>
    </row>
    <row r="927">
      <c r="A927" s="21" t="s">
        <v>408</v>
      </c>
      <c r="B927" s="22" t="s">
        <v>2158</v>
      </c>
      <c r="C927" s="22" t="s">
        <v>82</v>
      </c>
      <c r="D927" s="26">
        <v>45997.0</v>
      </c>
      <c r="E927" s="22" t="s">
        <v>138</v>
      </c>
      <c r="F927" s="22" t="s">
        <v>377</v>
      </c>
      <c r="G927" s="22" t="s">
        <v>2159</v>
      </c>
      <c r="H927" s="22" t="s">
        <v>408</v>
      </c>
      <c r="I927" s="22">
        <v>1.0456611848515E13</v>
      </c>
      <c r="J927" s="22" t="s">
        <v>655</v>
      </c>
      <c r="K927" s="24"/>
      <c r="L927" s="22" t="s">
        <v>412</v>
      </c>
      <c r="M927" s="22">
        <v>1.0</v>
      </c>
      <c r="N927" s="22" t="s">
        <v>413</v>
      </c>
      <c r="O927" s="22" t="s">
        <v>414</v>
      </c>
      <c r="P927" s="24"/>
      <c r="Q927" s="22" t="s">
        <v>90</v>
      </c>
      <c r="R927" s="22">
        <v>3.2742364643651E13</v>
      </c>
      <c r="S927" s="24"/>
      <c r="T927" s="24"/>
      <c r="U927" s="24"/>
      <c r="V927" s="22" t="s">
        <v>127</v>
      </c>
      <c r="W927" s="33"/>
      <c r="X927" s="33"/>
      <c r="Y927" s="30"/>
      <c r="Z927" s="30"/>
      <c r="AA927" s="33"/>
      <c r="AB927" s="33"/>
      <c r="AC927" s="30"/>
      <c r="AD927" s="30"/>
      <c r="AE927" s="33"/>
      <c r="AF927" s="31"/>
      <c r="AG927" s="30"/>
      <c r="AH927" s="30"/>
      <c r="AI927" s="31"/>
      <c r="AJ927" s="31"/>
      <c r="AK927" s="32"/>
    </row>
    <row r="928">
      <c r="A928" s="21" t="s">
        <v>300</v>
      </c>
      <c r="B928" s="22" t="s">
        <v>741</v>
      </c>
      <c r="C928" s="22" t="s">
        <v>82</v>
      </c>
      <c r="D928" s="26">
        <v>45997.0</v>
      </c>
      <c r="E928" s="22" t="s">
        <v>134</v>
      </c>
      <c r="F928" s="22" t="s">
        <v>303</v>
      </c>
      <c r="G928" s="22" t="s">
        <v>2160</v>
      </c>
      <c r="H928" s="22" t="s">
        <v>300</v>
      </c>
      <c r="I928" s="22">
        <v>1.0456436572483E13</v>
      </c>
      <c r="J928" s="22" t="s">
        <v>743</v>
      </c>
      <c r="K928" s="24"/>
      <c r="L928" s="22" t="s">
        <v>306</v>
      </c>
      <c r="M928" s="22">
        <v>1.0</v>
      </c>
      <c r="N928" s="22" t="s">
        <v>307</v>
      </c>
      <c r="O928" s="22" t="s">
        <v>308</v>
      </c>
      <c r="P928" s="24"/>
      <c r="Q928" s="22" t="s">
        <v>90</v>
      </c>
      <c r="R928" s="22">
        <v>3.2741990498627E13</v>
      </c>
      <c r="S928" s="24"/>
      <c r="T928" s="24"/>
      <c r="U928" s="24"/>
      <c r="V928" s="22" t="s">
        <v>55</v>
      </c>
      <c r="W928" s="33"/>
      <c r="X928" s="33"/>
      <c r="Y928" s="30"/>
      <c r="Z928" s="30"/>
      <c r="AA928" s="33"/>
      <c r="AB928" s="33"/>
      <c r="AC928" s="30"/>
      <c r="AD928" s="30"/>
      <c r="AE928" s="33"/>
      <c r="AF928" s="31"/>
      <c r="AG928" s="30"/>
      <c r="AH928" s="30"/>
      <c r="AI928" s="31"/>
      <c r="AJ928" s="31"/>
      <c r="AK928" s="32"/>
    </row>
    <row r="929">
      <c r="A929" s="21" t="s">
        <v>401</v>
      </c>
      <c r="B929" s="22" t="s">
        <v>318</v>
      </c>
      <c r="C929" s="22" t="s">
        <v>82</v>
      </c>
      <c r="D929" s="26">
        <v>45997.0</v>
      </c>
      <c r="E929" s="22" t="s">
        <v>196</v>
      </c>
      <c r="F929" s="22" t="s">
        <v>319</v>
      </c>
      <c r="G929" s="22" t="s">
        <v>2161</v>
      </c>
      <c r="H929" s="22" t="s">
        <v>401</v>
      </c>
      <c r="I929" s="22">
        <v>1.0455554588995E13</v>
      </c>
      <c r="J929" s="22" t="s">
        <v>527</v>
      </c>
      <c r="K929" s="24"/>
      <c r="L929" s="22" t="s">
        <v>403</v>
      </c>
      <c r="M929" s="22">
        <v>1.0</v>
      </c>
      <c r="N929" s="22" t="s">
        <v>404</v>
      </c>
      <c r="O929" s="22" t="s">
        <v>405</v>
      </c>
      <c r="P929" s="24"/>
      <c r="Q929" s="22" t="s">
        <v>90</v>
      </c>
      <c r="R929" s="22">
        <v>3.2740090282307E13</v>
      </c>
      <c r="S929" s="24"/>
      <c r="T929" s="24"/>
      <c r="U929" s="24"/>
      <c r="V929" s="22" t="s">
        <v>127</v>
      </c>
      <c r="W929" s="33"/>
      <c r="X929" s="33"/>
      <c r="Y929" s="30"/>
      <c r="Z929" s="30"/>
      <c r="AA929" s="33"/>
      <c r="AB929" s="33"/>
      <c r="AC929" s="30"/>
      <c r="AD929" s="30"/>
      <c r="AE929" s="33"/>
      <c r="AF929" s="31"/>
      <c r="AG929" s="30"/>
      <c r="AH929" s="30"/>
      <c r="AI929" s="31"/>
      <c r="AJ929" s="31"/>
      <c r="AK929" s="32"/>
    </row>
    <row r="930">
      <c r="A930" s="21" t="s">
        <v>401</v>
      </c>
      <c r="B930" s="22" t="s">
        <v>318</v>
      </c>
      <c r="C930" s="22" t="s">
        <v>82</v>
      </c>
      <c r="D930" s="26">
        <v>45997.0</v>
      </c>
      <c r="E930" s="22" t="s">
        <v>196</v>
      </c>
      <c r="F930" s="22" t="s">
        <v>319</v>
      </c>
      <c r="G930" s="22" t="s">
        <v>2162</v>
      </c>
      <c r="H930" s="22" t="s">
        <v>401</v>
      </c>
      <c r="I930" s="22">
        <v>1.0455592862019E13</v>
      </c>
      <c r="J930" s="22" t="s">
        <v>527</v>
      </c>
      <c r="K930" s="24"/>
      <c r="L930" s="22" t="s">
        <v>403</v>
      </c>
      <c r="M930" s="22">
        <v>1.0</v>
      </c>
      <c r="N930" s="22" t="s">
        <v>404</v>
      </c>
      <c r="O930" s="22" t="s">
        <v>405</v>
      </c>
      <c r="P930" s="24"/>
      <c r="Q930" s="22" t="s">
        <v>90</v>
      </c>
      <c r="R930" s="22">
        <v>3.2740176298307E13</v>
      </c>
      <c r="S930" s="24"/>
      <c r="T930" s="24"/>
      <c r="U930" s="24"/>
      <c r="V930" s="22" t="s">
        <v>127</v>
      </c>
      <c r="W930" s="33"/>
      <c r="X930" s="33"/>
      <c r="Y930" s="30"/>
      <c r="Z930" s="30"/>
      <c r="AA930" s="33"/>
      <c r="AB930" s="33"/>
      <c r="AC930" s="30"/>
      <c r="AD930" s="30"/>
      <c r="AE930" s="33"/>
      <c r="AF930" s="31"/>
      <c r="AG930" s="30"/>
      <c r="AH930" s="30"/>
      <c r="AI930" s="31"/>
      <c r="AJ930" s="31"/>
      <c r="AK930" s="32"/>
    </row>
    <row r="931">
      <c r="A931" s="21" t="s">
        <v>408</v>
      </c>
      <c r="B931" s="22" t="s">
        <v>512</v>
      </c>
      <c r="C931" s="22" t="s">
        <v>82</v>
      </c>
      <c r="D931" s="26">
        <v>45997.0</v>
      </c>
      <c r="E931" s="22" t="s">
        <v>153</v>
      </c>
      <c r="F931" s="22" t="s">
        <v>377</v>
      </c>
      <c r="G931" s="22" t="s">
        <v>2163</v>
      </c>
      <c r="H931" s="22" t="s">
        <v>408</v>
      </c>
      <c r="I931" s="22">
        <v>1.0456615027011E13</v>
      </c>
      <c r="J931" s="22" t="s">
        <v>514</v>
      </c>
      <c r="K931" s="24"/>
      <c r="L931" s="22" t="s">
        <v>412</v>
      </c>
      <c r="M931" s="22">
        <v>1.0</v>
      </c>
      <c r="N931" s="22" t="s">
        <v>413</v>
      </c>
      <c r="O931" s="22" t="s">
        <v>414</v>
      </c>
      <c r="P931" s="24"/>
      <c r="Q931" s="22" t="s">
        <v>90</v>
      </c>
      <c r="R931" s="22">
        <v>3.2742371754307E13</v>
      </c>
      <c r="S931" s="24"/>
      <c r="T931" s="24"/>
      <c r="U931" s="24"/>
      <c r="V931" s="22" t="s">
        <v>127</v>
      </c>
      <c r="W931" s="33"/>
      <c r="X931" s="33"/>
      <c r="Y931" s="30"/>
      <c r="Z931" s="30"/>
      <c r="AA931" s="33"/>
      <c r="AB931" s="33"/>
      <c r="AC931" s="30"/>
      <c r="AD931" s="30"/>
      <c r="AE931" s="33"/>
      <c r="AF931" s="31"/>
      <c r="AG931" s="30"/>
      <c r="AH931" s="30"/>
      <c r="AI931" s="31"/>
      <c r="AJ931" s="31"/>
      <c r="AK931" s="32"/>
    </row>
    <row r="932">
      <c r="A932" s="21" t="s">
        <v>859</v>
      </c>
      <c r="B932" s="22" t="s">
        <v>1576</v>
      </c>
      <c r="C932" s="22" t="s">
        <v>82</v>
      </c>
      <c r="D932" s="26">
        <v>45997.0</v>
      </c>
      <c r="E932" s="22" t="s">
        <v>1117</v>
      </c>
      <c r="F932" s="22" t="s">
        <v>605</v>
      </c>
      <c r="G932" s="22" t="s">
        <v>2164</v>
      </c>
      <c r="H932" s="22" t="s">
        <v>859</v>
      </c>
      <c r="I932" s="22">
        <v>1.0456753307971E13</v>
      </c>
      <c r="J932" s="22" t="s">
        <v>1578</v>
      </c>
      <c r="K932" s="24"/>
      <c r="L932" s="22" t="s">
        <v>861</v>
      </c>
      <c r="M932" s="22">
        <v>1.0</v>
      </c>
      <c r="N932" s="22" t="s">
        <v>609</v>
      </c>
      <c r="O932" s="22" t="s">
        <v>610</v>
      </c>
      <c r="P932" s="24"/>
      <c r="Q932" s="22" t="s">
        <v>90</v>
      </c>
      <c r="R932" s="22">
        <v>3.2742675120451E13</v>
      </c>
      <c r="S932" s="24"/>
      <c r="T932" s="24"/>
      <c r="U932" s="24"/>
      <c r="V932" s="22" t="s">
        <v>95</v>
      </c>
      <c r="W932" s="33"/>
      <c r="X932" s="33"/>
      <c r="Y932" s="30"/>
      <c r="Z932" s="30"/>
      <c r="AA932" s="33"/>
      <c r="AB932" s="33"/>
      <c r="AC932" s="30"/>
      <c r="AD932" s="30"/>
      <c r="AE932" s="33"/>
      <c r="AF932" s="31"/>
      <c r="AG932" s="30"/>
      <c r="AH932" s="30"/>
      <c r="AI932" s="31"/>
      <c r="AJ932" s="31"/>
      <c r="AK932" s="32"/>
    </row>
    <row r="933">
      <c r="A933" s="21" t="s">
        <v>740</v>
      </c>
      <c r="B933" s="22" t="s">
        <v>434</v>
      </c>
      <c r="C933" s="22" t="s">
        <v>273</v>
      </c>
      <c r="D933" s="26">
        <v>45998.0</v>
      </c>
      <c r="E933" s="22" t="s">
        <v>134</v>
      </c>
      <c r="F933" s="22" t="s">
        <v>303</v>
      </c>
      <c r="G933" s="22" t="s">
        <v>2165</v>
      </c>
      <c r="H933" s="22" t="s">
        <v>740</v>
      </c>
      <c r="I933" s="22">
        <v>1.0456765137219E13</v>
      </c>
      <c r="J933" s="22" t="s">
        <v>582</v>
      </c>
      <c r="K933" s="24"/>
      <c r="L933" s="22" t="s">
        <v>744</v>
      </c>
      <c r="M933" s="22">
        <v>1.0</v>
      </c>
      <c r="N933" s="22" t="s">
        <v>307</v>
      </c>
      <c r="O933" s="22" t="s">
        <v>308</v>
      </c>
      <c r="P933" s="24"/>
      <c r="Q933" s="22" t="s">
        <v>90</v>
      </c>
      <c r="R933" s="22">
        <v>3.2742702055747E13</v>
      </c>
      <c r="S933" s="24"/>
      <c r="T933" s="24"/>
      <c r="U933" s="24"/>
      <c r="V933" s="22" t="s">
        <v>91</v>
      </c>
      <c r="W933" s="33"/>
      <c r="X933" s="33"/>
      <c r="Y933" s="30"/>
      <c r="Z933" s="30"/>
      <c r="AA933" s="33"/>
      <c r="AB933" s="33"/>
      <c r="AC933" s="30"/>
      <c r="AD933" s="30"/>
      <c r="AE933" s="33"/>
      <c r="AF933" s="31"/>
      <c r="AG933" s="30"/>
      <c r="AH933" s="30"/>
      <c r="AI933" s="31"/>
      <c r="AJ933" s="31"/>
      <c r="AK933" s="32"/>
    </row>
    <row r="934">
      <c r="A934" s="21" t="s">
        <v>1297</v>
      </c>
      <c r="B934" s="22" t="s">
        <v>2166</v>
      </c>
      <c r="C934" s="22" t="s">
        <v>273</v>
      </c>
      <c r="D934" s="26">
        <v>45998.0</v>
      </c>
      <c r="E934" s="22" t="s">
        <v>211</v>
      </c>
      <c r="F934" s="22" t="s">
        <v>111</v>
      </c>
      <c r="G934" s="22" t="s">
        <v>2167</v>
      </c>
      <c r="H934" s="22" t="s">
        <v>1297</v>
      </c>
      <c r="I934" s="22">
        <v>1.0456779325763E13</v>
      </c>
      <c r="J934" s="22" t="s">
        <v>2168</v>
      </c>
      <c r="K934" s="24"/>
      <c r="L934" s="22" t="s">
        <v>1302</v>
      </c>
      <c r="M934" s="22">
        <v>1.0</v>
      </c>
      <c r="N934" s="22" t="s">
        <v>164</v>
      </c>
      <c r="O934" s="22" t="s">
        <v>165</v>
      </c>
      <c r="P934" s="24"/>
      <c r="Q934" s="22" t="s">
        <v>90</v>
      </c>
      <c r="R934" s="22">
        <v>3.2742734954819E13</v>
      </c>
      <c r="S934" s="24"/>
      <c r="T934" s="24"/>
      <c r="U934" s="24"/>
      <c r="V934" s="22" t="s">
        <v>175</v>
      </c>
      <c r="W934" s="33"/>
      <c r="X934" s="33"/>
      <c r="Y934" s="30"/>
      <c r="Z934" s="30"/>
      <c r="AA934" s="33"/>
      <c r="AB934" s="33"/>
      <c r="AC934" s="30"/>
      <c r="AD934" s="30"/>
      <c r="AE934" s="33"/>
      <c r="AF934" s="31"/>
      <c r="AG934" s="30"/>
      <c r="AH934" s="30"/>
      <c r="AI934" s="31"/>
      <c r="AJ934" s="31"/>
      <c r="AK934" s="32"/>
    </row>
    <row r="935">
      <c r="A935" s="21" t="s">
        <v>814</v>
      </c>
      <c r="B935" s="22" t="s">
        <v>2169</v>
      </c>
      <c r="C935" s="22" t="s">
        <v>82</v>
      </c>
      <c r="D935" s="26">
        <v>45997.0</v>
      </c>
      <c r="E935" s="22" t="s">
        <v>177</v>
      </c>
      <c r="F935" s="22" t="s">
        <v>698</v>
      </c>
      <c r="G935" s="22" t="s">
        <v>2170</v>
      </c>
      <c r="H935" s="22" t="s">
        <v>814</v>
      </c>
      <c r="I935" s="22">
        <v>1.0456840798531E13</v>
      </c>
      <c r="J935" s="22" t="s">
        <v>2171</v>
      </c>
      <c r="K935" s="24"/>
      <c r="L935" s="22" t="s">
        <v>818</v>
      </c>
      <c r="M935" s="22">
        <v>1.0</v>
      </c>
      <c r="N935" s="22" t="s">
        <v>819</v>
      </c>
      <c r="O935" s="22" t="s">
        <v>820</v>
      </c>
      <c r="P935" s="24"/>
      <c r="Q935" s="22" t="s">
        <v>90</v>
      </c>
      <c r="R935" s="22">
        <v>3.2742876250435E13</v>
      </c>
      <c r="S935" s="24"/>
      <c r="T935" s="24"/>
      <c r="U935" s="24"/>
      <c r="V935" s="22" t="s">
        <v>127</v>
      </c>
      <c r="W935" s="33"/>
      <c r="X935" s="33"/>
      <c r="Y935" s="30"/>
      <c r="Z935" s="30"/>
      <c r="AA935" s="33"/>
      <c r="AB935" s="33"/>
      <c r="AC935" s="30"/>
      <c r="AD935" s="30"/>
      <c r="AE935" s="33"/>
      <c r="AF935" s="31"/>
      <c r="AG935" s="30"/>
      <c r="AH935" s="30"/>
      <c r="AI935" s="31"/>
      <c r="AJ935" s="31"/>
      <c r="AK935" s="32"/>
    </row>
    <row r="936">
      <c r="A936" s="21" t="s">
        <v>172</v>
      </c>
      <c r="B936" s="22" t="s">
        <v>2007</v>
      </c>
      <c r="C936" s="22" t="s">
        <v>273</v>
      </c>
      <c r="D936" s="23">
        <v>45991.0</v>
      </c>
      <c r="E936" s="22" t="s">
        <v>153</v>
      </c>
      <c r="F936" s="22" t="s">
        <v>83</v>
      </c>
      <c r="G936" s="22" t="s">
        <v>2172</v>
      </c>
      <c r="H936" s="22" t="s">
        <v>172</v>
      </c>
      <c r="I936" s="22">
        <v>1.0456854462787E13</v>
      </c>
      <c r="J936" s="22" t="s">
        <v>2009</v>
      </c>
      <c r="K936" s="24"/>
      <c r="L936" s="22" t="s">
        <v>174</v>
      </c>
      <c r="M936" s="22">
        <v>1.0</v>
      </c>
      <c r="N936" s="22" t="s">
        <v>103</v>
      </c>
      <c r="O936" s="22" t="s">
        <v>104</v>
      </c>
      <c r="P936" s="24"/>
      <c r="Q936" s="22" t="s">
        <v>90</v>
      </c>
      <c r="R936" s="22">
        <v>3.2742908100931E13</v>
      </c>
      <c r="S936" s="24"/>
      <c r="T936" s="24"/>
      <c r="U936" s="24"/>
      <c r="V936" s="22" t="s">
        <v>175</v>
      </c>
      <c r="W936" s="33"/>
      <c r="X936" s="33"/>
      <c r="Y936" s="30"/>
      <c r="Z936" s="30"/>
      <c r="AA936" s="33"/>
      <c r="AB936" s="33"/>
      <c r="AC936" s="30"/>
      <c r="AD936" s="30"/>
      <c r="AE936" s="33"/>
      <c r="AF936" s="31"/>
      <c r="AG936" s="30"/>
      <c r="AH936" s="30"/>
      <c r="AI936" s="31"/>
      <c r="AJ936" s="31"/>
      <c r="AK936" s="32"/>
    </row>
    <row r="937">
      <c r="A937" s="21" t="s">
        <v>1085</v>
      </c>
      <c r="B937" s="22" t="s">
        <v>1205</v>
      </c>
      <c r="C937" s="22" t="s">
        <v>273</v>
      </c>
      <c r="D937" s="26">
        <v>45998.0</v>
      </c>
      <c r="E937" s="22" t="s">
        <v>149</v>
      </c>
      <c r="F937" s="22" t="s">
        <v>623</v>
      </c>
      <c r="G937" s="22" t="s">
        <v>2173</v>
      </c>
      <c r="H937" s="22" t="s">
        <v>1085</v>
      </c>
      <c r="I937" s="22">
        <v>1.0456949326147E13</v>
      </c>
      <c r="J937" s="22" t="s">
        <v>1207</v>
      </c>
      <c r="K937" s="24"/>
      <c r="L937" s="22" t="s">
        <v>1087</v>
      </c>
      <c r="M937" s="22">
        <v>1.0</v>
      </c>
      <c r="N937" s="22" t="s">
        <v>1088</v>
      </c>
      <c r="O937" s="22" t="s">
        <v>1089</v>
      </c>
      <c r="P937" s="24"/>
      <c r="Q937" s="22" t="s">
        <v>90</v>
      </c>
      <c r="R937" s="22">
        <v>3.2743129088323E13</v>
      </c>
      <c r="S937" s="24"/>
      <c r="T937" s="24"/>
      <c r="U937" s="24"/>
      <c r="V937" s="22" t="s">
        <v>127</v>
      </c>
      <c r="W937" s="33"/>
      <c r="X937" s="33"/>
      <c r="Y937" s="30"/>
      <c r="Z937" s="30"/>
      <c r="AA937" s="33"/>
      <c r="AB937" s="33"/>
      <c r="AC937" s="30"/>
      <c r="AD937" s="30"/>
      <c r="AE937" s="33"/>
      <c r="AF937" s="31"/>
      <c r="AG937" s="30"/>
      <c r="AH937" s="30"/>
      <c r="AI937" s="31"/>
      <c r="AJ937" s="31"/>
      <c r="AK937" s="32"/>
    </row>
    <row r="938">
      <c r="A938" s="21" t="s">
        <v>386</v>
      </c>
      <c r="B938" s="22" t="s">
        <v>2174</v>
      </c>
      <c r="C938" s="22" t="s">
        <v>287</v>
      </c>
      <c r="D938" s="26">
        <v>45994.0</v>
      </c>
      <c r="E938" s="22" t="s">
        <v>522</v>
      </c>
      <c r="F938" s="22" t="s">
        <v>311</v>
      </c>
      <c r="G938" s="22" t="s">
        <v>2175</v>
      </c>
      <c r="H938" s="22" t="s">
        <v>386</v>
      </c>
      <c r="I938" s="22">
        <v>1.0457178046787E13</v>
      </c>
      <c r="J938" s="22" t="s">
        <v>2176</v>
      </c>
      <c r="K938" s="24"/>
      <c r="L938" s="22" t="s">
        <v>390</v>
      </c>
      <c r="M938" s="22">
        <v>1.0</v>
      </c>
      <c r="N938" s="22" t="s">
        <v>391</v>
      </c>
      <c r="O938" s="22" t="s">
        <v>392</v>
      </c>
      <c r="P938" s="24"/>
      <c r="Q938" s="22" t="s">
        <v>90</v>
      </c>
      <c r="R938" s="22">
        <v>3.2743575748931E13</v>
      </c>
      <c r="S938" s="24"/>
      <c r="T938" s="24"/>
      <c r="U938" s="24"/>
      <c r="V938" s="22" t="s">
        <v>55</v>
      </c>
      <c r="W938" s="33"/>
      <c r="X938" s="33"/>
      <c r="Y938" s="30"/>
      <c r="Z938" s="30"/>
      <c r="AA938" s="33"/>
      <c r="AB938" s="33"/>
      <c r="AC938" s="30"/>
      <c r="AD938" s="30"/>
      <c r="AE938" s="33"/>
      <c r="AF938" s="31"/>
      <c r="AG938" s="30"/>
      <c r="AH938" s="30"/>
      <c r="AI938" s="31"/>
      <c r="AJ938" s="31"/>
      <c r="AK938" s="32"/>
    </row>
    <row r="939">
      <c r="A939" s="21" t="s">
        <v>580</v>
      </c>
      <c r="B939" s="22" t="s">
        <v>741</v>
      </c>
      <c r="C939" s="22" t="s">
        <v>82</v>
      </c>
      <c r="D939" s="26">
        <v>45997.0</v>
      </c>
      <c r="E939" s="22" t="s">
        <v>134</v>
      </c>
      <c r="F939" s="22" t="s">
        <v>303</v>
      </c>
      <c r="G939" s="22" t="s">
        <v>2177</v>
      </c>
      <c r="H939" s="22" t="s">
        <v>580</v>
      </c>
      <c r="I939" s="22">
        <v>1.0457316098371E13</v>
      </c>
      <c r="J939" s="22" t="s">
        <v>743</v>
      </c>
      <c r="K939" s="24"/>
      <c r="L939" s="22" t="s">
        <v>583</v>
      </c>
      <c r="M939" s="22">
        <v>1.0</v>
      </c>
      <c r="N939" s="22" t="s">
        <v>468</v>
      </c>
      <c r="O939" s="22" t="s">
        <v>469</v>
      </c>
      <c r="P939" s="24"/>
      <c r="Q939" s="22" t="s">
        <v>90</v>
      </c>
      <c r="R939" s="22">
        <v>3.2743836090691E13</v>
      </c>
      <c r="S939" s="24"/>
      <c r="T939" s="24"/>
      <c r="U939" s="24"/>
      <c r="V939" s="22" t="s">
        <v>175</v>
      </c>
      <c r="W939" s="33"/>
      <c r="X939" s="33"/>
      <c r="Y939" s="30"/>
      <c r="Z939" s="30"/>
      <c r="AA939" s="33"/>
      <c r="AB939" s="33"/>
      <c r="AC939" s="30"/>
      <c r="AD939" s="30"/>
      <c r="AE939" s="33"/>
      <c r="AF939" s="31"/>
      <c r="AG939" s="30"/>
      <c r="AH939" s="30"/>
      <c r="AI939" s="31"/>
      <c r="AJ939" s="31"/>
      <c r="AK939" s="32"/>
    </row>
    <row r="940">
      <c r="A940" s="21" t="s">
        <v>837</v>
      </c>
      <c r="B940" s="22" t="s">
        <v>697</v>
      </c>
      <c r="C940" s="22" t="s">
        <v>82</v>
      </c>
      <c r="D940" s="26">
        <v>45997.0</v>
      </c>
      <c r="E940" s="22" t="s">
        <v>439</v>
      </c>
      <c r="F940" s="22" t="s">
        <v>698</v>
      </c>
      <c r="G940" s="22" t="s">
        <v>2178</v>
      </c>
      <c r="H940" s="22" t="s">
        <v>837</v>
      </c>
      <c r="I940" s="22">
        <v>1.0457325896003E13</v>
      </c>
      <c r="J940" s="22" t="s">
        <v>700</v>
      </c>
      <c r="K940" s="24"/>
      <c r="L940" s="22" t="s">
        <v>839</v>
      </c>
      <c r="M940" s="22">
        <v>1.0</v>
      </c>
      <c r="N940" s="22" t="s">
        <v>819</v>
      </c>
      <c r="O940" s="22" t="s">
        <v>820</v>
      </c>
      <c r="P940" s="24"/>
      <c r="Q940" s="22" t="s">
        <v>90</v>
      </c>
      <c r="R940" s="22">
        <v>3.2743855685955E13</v>
      </c>
      <c r="S940" s="24"/>
      <c r="T940" s="24"/>
      <c r="U940" s="24"/>
      <c r="V940" s="22" t="s">
        <v>105</v>
      </c>
      <c r="W940" s="33"/>
      <c r="X940" s="33"/>
      <c r="Y940" s="30"/>
      <c r="Z940" s="30"/>
      <c r="AA940" s="33"/>
      <c r="AB940" s="33"/>
      <c r="AC940" s="30"/>
      <c r="AD940" s="30"/>
      <c r="AE940" s="33"/>
      <c r="AF940" s="31"/>
      <c r="AG940" s="30"/>
      <c r="AH940" s="30"/>
      <c r="AI940" s="31"/>
      <c r="AJ940" s="31"/>
      <c r="AK940" s="32"/>
    </row>
    <row r="941">
      <c r="A941" s="21" t="s">
        <v>2133</v>
      </c>
      <c r="B941" s="22" t="s">
        <v>1528</v>
      </c>
      <c r="C941" s="22" t="s">
        <v>82</v>
      </c>
      <c r="D941" s="26">
        <v>45997.0</v>
      </c>
      <c r="E941" s="22" t="s">
        <v>149</v>
      </c>
      <c r="F941" s="22" t="s">
        <v>451</v>
      </c>
      <c r="G941" s="22" t="s">
        <v>2179</v>
      </c>
      <c r="H941" s="22" t="s">
        <v>2133</v>
      </c>
      <c r="I941" s="22">
        <v>1.0457330057539E13</v>
      </c>
      <c r="J941" s="22" t="s">
        <v>1530</v>
      </c>
      <c r="K941" s="24"/>
      <c r="L941" s="22" t="s">
        <v>2137</v>
      </c>
      <c r="M941" s="22">
        <v>1.0</v>
      </c>
      <c r="N941" s="22" t="s">
        <v>1277</v>
      </c>
      <c r="O941" s="22" t="s">
        <v>1278</v>
      </c>
      <c r="P941" s="24"/>
      <c r="Q941" s="22" t="s">
        <v>90</v>
      </c>
      <c r="R941" s="22">
        <v>3.2743863157059E13</v>
      </c>
      <c r="S941" s="24"/>
      <c r="T941" s="24"/>
      <c r="U941" s="24"/>
      <c r="V941" s="22" t="s">
        <v>175</v>
      </c>
      <c r="W941" s="33"/>
      <c r="X941" s="33"/>
      <c r="Y941" s="30"/>
      <c r="Z941" s="30"/>
      <c r="AA941" s="33"/>
      <c r="AB941" s="33"/>
      <c r="AC941" s="30"/>
      <c r="AD941" s="30"/>
      <c r="AE941" s="33"/>
      <c r="AF941" s="31"/>
      <c r="AG941" s="30"/>
      <c r="AH941" s="30"/>
      <c r="AI941" s="31"/>
      <c r="AJ941" s="31"/>
      <c r="AK941" s="32"/>
    </row>
    <row r="942">
      <c r="A942" s="21" t="s">
        <v>885</v>
      </c>
      <c r="B942" s="22" t="s">
        <v>1576</v>
      </c>
      <c r="C942" s="22" t="s">
        <v>82</v>
      </c>
      <c r="D942" s="26">
        <v>45997.0</v>
      </c>
      <c r="E942" s="22" t="s">
        <v>1117</v>
      </c>
      <c r="F942" s="22" t="s">
        <v>605</v>
      </c>
      <c r="G942" s="22" t="s">
        <v>2180</v>
      </c>
      <c r="H942" s="22" t="s">
        <v>885</v>
      </c>
      <c r="I942" s="22">
        <v>1.0457361678659E13</v>
      </c>
      <c r="J942" s="22" t="s">
        <v>1578</v>
      </c>
      <c r="K942" s="24"/>
      <c r="L942" s="22" t="s">
        <v>890</v>
      </c>
      <c r="M942" s="22">
        <v>1.0</v>
      </c>
      <c r="N942" s="22" t="s">
        <v>795</v>
      </c>
      <c r="O942" s="22" t="s">
        <v>796</v>
      </c>
      <c r="P942" s="24"/>
      <c r="Q942" s="22" t="s">
        <v>90</v>
      </c>
      <c r="R942" s="22">
        <v>3.2743925711171E13</v>
      </c>
      <c r="S942" s="24"/>
      <c r="T942" s="24"/>
      <c r="U942" s="24"/>
      <c r="V942" s="22" t="s">
        <v>127</v>
      </c>
      <c r="W942" s="33"/>
      <c r="X942" s="33"/>
      <c r="Y942" s="30"/>
      <c r="Z942" s="30"/>
      <c r="AA942" s="33"/>
      <c r="AB942" s="33"/>
      <c r="AC942" s="30"/>
      <c r="AD942" s="30"/>
      <c r="AE942" s="33"/>
      <c r="AF942" s="31"/>
      <c r="AG942" s="30"/>
      <c r="AH942" s="30"/>
      <c r="AI942" s="31"/>
      <c r="AJ942" s="31"/>
      <c r="AK942" s="32"/>
    </row>
    <row r="943">
      <c r="A943" s="21" t="s">
        <v>2181</v>
      </c>
      <c r="B943" s="22" t="s">
        <v>521</v>
      </c>
      <c r="C943" s="22" t="s">
        <v>273</v>
      </c>
      <c r="D943" s="26">
        <v>45998.0</v>
      </c>
      <c r="E943" s="22" t="s">
        <v>522</v>
      </c>
      <c r="F943" s="22" t="s">
        <v>303</v>
      </c>
      <c r="G943" s="22" t="s">
        <v>2182</v>
      </c>
      <c r="H943" s="22" t="s">
        <v>2181</v>
      </c>
      <c r="I943" s="22">
        <v>1.0457396773187E13</v>
      </c>
      <c r="J943" s="22" t="s">
        <v>1521</v>
      </c>
      <c r="K943" s="24"/>
      <c r="L943" s="22" t="s">
        <v>2183</v>
      </c>
      <c r="M943" s="22">
        <v>1.0</v>
      </c>
      <c r="N943" s="22" t="s">
        <v>468</v>
      </c>
      <c r="O943" s="22" t="s">
        <v>469</v>
      </c>
      <c r="P943" s="24"/>
      <c r="Q943" s="22" t="s">
        <v>90</v>
      </c>
      <c r="R943" s="22">
        <v>3.2743992951107E13</v>
      </c>
      <c r="S943" s="24"/>
      <c r="T943" s="24"/>
      <c r="U943" s="24"/>
      <c r="V943" s="22" t="s">
        <v>127</v>
      </c>
      <c r="W943" s="33"/>
      <c r="X943" s="33"/>
      <c r="Y943" s="30"/>
      <c r="Z943" s="30"/>
      <c r="AA943" s="33"/>
      <c r="AB943" s="33"/>
      <c r="AC943" s="30"/>
      <c r="AD943" s="30"/>
      <c r="AE943" s="33"/>
      <c r="AF943" s="31"/>
      <c r="AG943" s="30"/>
      <c r="AH943" s="30"/>
      <c r="AI943" s="31"/>
      <c r="AJ943" s="31"/>
      <c r="AK943" s="32"/>
    </row>
    <row r="944">
      <c r="A944" s="21" t="s">
        <v>595</v>
      </c>
      <c r="B944" s="22" t="s">
        <v>424</v>
      </c>
      <c r="C944" s="22" t="s">
        <v>273</v>
      </c>
      <c r="D944" s="26">
        <v>45998.0</v>
      </c>
      <c r="E944" s="22" t="s">
        <v>134</v>
      </c>
      <c r="F944" s="22" t="s">
        <v>369</v>
      </c>
      <c r="G944" s="22" t="s">
        <v>2184</v>
      </c>
      <c r="H944" s="22" t="s">
        <v>595</v>
      </c>
      <c r="I944" s="22">
        <v>1.0457415188803E13</v>
      </c>
      <c r="J944" s="22" t="s">
        <v>426</v>
      </c>
      <c r="K944" s="24"/>
      <c r="L944" s="22" t="s">
        <v>599</v>
      </c>
      <c r="M944" s="22">
        <v>1.0</v>
      </c>
      <c r="N944" s="22" t="s">
        <v>600</v>
      </c>
      <c r="O944" s="22" t="s">
        <v>601</v>
      </c>
      <c r="P944" s="24"/>
      <c r="Q944" s="22" t="s">
        <v>90</v>
      </c>
      <c r="R944" s="22">
        <v>3.2744031519043E13</v>
      </c>
      <c r="S944" s="24"/>
      <c r="T944" s="24"/>
      <c r="U944" s="24"/>
      <c r="V944" s="22" t="s">
        <v>127</v>
      </c>
      <c r="W944" s="33"/>
      <c r="X944" s="33"/>
      <c r="Y944" s="30"/>
      <c r="Z944" s="30"/>
      <c r="AA944" s="33"/>
      <c r="AB944" s="33"/>
      <c r="AC944" s="30"/>
      <c r="AD944" s="30"/>
      <c r="AE944" s="33"/>
      <c r="AF944" s="31"/>
      <c r="AG944" s="30"/>
      <c r="AH944" s="30"/>
      <c r="AI944" s="31"/>
      <c r="AJ944" s="31"/>
      <c r="AK944" s="32"/>
    </row>
    <row r="945">
      <c r="A945" s="21" t="s">
        <v>96</v>
      </c>
      <c r="B945" s="22" t="s">
        <v>1878</v>
      </c>
      <c r="C945" s="22" t="s">
        <v>336</v>
      </c>
      <c r="D945" s="26">
        <v>45995.0</v>
      </c>
      <c r="E945" s="22" t="s">
        <v>266</v>
      </c>
      <c r="F945" s="22" t="s">
        <v>83</v>
      </c>
      <c r="G945" s="22" t="s">
        <v>2185</v>
      </c>
      <c r="H945" s="22" t="s">
        <v>96</v>
      </c>
      <c r="I945" s="22">
        <v>1.0457423872323E13</v>
      </c>
      <c r="J945" s="22" t="s">
        <v>1880</v>
      </c>
      <c r="K945" s="24"/>
      <c r="L945" s="22" t="s">
        <v>98</v>
      </c>
      <c r="M945" s="22">
        <v>1.0</v>
      </c>
      <c r="N945" s="22" t="s">
        <v>87</v>
      </c>
      <c r="O945" s="22" t="s">
        <v>88</v>
      </c>
      <c r="P945" s="24"/>
      <c r="Q945" s="22" t="s">
        <v>90</v>
      </c>
      <c r="R945" s="22">
        <v>3.2744048296259E13</v>
      </c>
      <c r="S945" s="24"/>
      <c r="T945" s="24"/>
      <c r="U945" s="24"/>
      <c r="V945" s="22" t="s">
        <v>55</v>
      </c>
      <c r="W945" s="33"/>
      <c r="X945" s="33"/>
      <c r="Y945" s="30"/>
      <c r="Z945" s="30"/>
      <c r="AA945" s="33"/>
      <c r="AB945" s="33"/>
      <c r="AC945" s="30"/>
      <c r="AD945" s="30"/>
      <c r="AE945" s="33"/>
      <c r="AF945" s="31"/>
      <c r="AG945" s="30"/>
      <c r="AH945" s="30"/>
      <c r="AI945" s="31"/>
      <c r="AJ945" s="31"/>
      <c r="AK945" s="32"/>
    </row>
    <row r="946">
      <c r="A946" s="21" t="s">
        <v>1464</v>
      </c>
      <c r="B946" s="22" t="s">
        <v>2186</v>
      </c>
      <c r="C946" s="22" t="s">
        <v>82</v>
      </c>
      <c r="D946" s="26">
        <v>45997.0</v>
      </c>
      <c r="E946" s="22" t="s">
        <v>2187</v>
      </c>
      <c r="F946" s="22" t="s">
        <v>1466</v>
      </c>
      <c r="G946" s="22" t="s">
        <v>2188</v>
      </c>
      <c r="H946" s="22" t="s">
        <v>1464</v>
      </c>
      <c r="I946" s="22">
        <v>1.0457476104515E13</v>
      </c>
      <c r="J946" s="22" t="s">
        <v>2189</v>
      </c>
      <c r="K946" s="24"/>
      <c r="L946" s="22" t="s">
        <v>1469</v>
      </c>
      <c r="M946" s="22">
        <v>1.0</v>
      </c>
      <c r="N946" s="22" t="s">
        <v>1470</v>
      </c>
      <c r="O946" s="22" t="s">
        <v>1471</v>
      </c>
      <c r="P946" s="24"/>
      <c r="Q946" s="22" t="s">
        <v>90</v>
      </c>
      <c r="R946" s="22">
        <v>3.2744158200131E13</v>
      </c>
      <c r="S946" s="24"/>
      <c r="T946" s="24"/>
      <c r="U946" s="24"/>
      <c r="V946" s="22" t="s">
        <v>55</v>
      </c>
      <c r="W946" s="33"/>
      <c r="X946" s="33"/>
      <c r="Y946" s="30"/>
      <c r="Z946" s="30"/>
      <c r="AA946" s="33"/>
      <c r="AB946" s="33"/>
      <c r="AC946" s="30"/>
      <c r="AD946" s="30"/>
      <c r="AE946" s="33"/>
      <c r="AF946" s="31"/>
      <c r="AG946" s="30"/>
      <c r="AH946" s="30"/>
      <c r="AI946" s="31"/>
      <c r="AJ946" s="31"/>
      <c r="AK946" s="32"/>
    </row>
    <row r="947">
      <c r="A947" s="21" t="s">
        <v>200</v>
      </c>
      <c r="B947" s="22" t="s">
        <v>2190</v>
      </c>
      <c r="C947" s="22" t="s">
        <v>287</v>
      </c>
      <c r="D947" s="23">
        <v>45981.0</v>
      </c>
      <c r="E947" s="22" t="s">
        <v>149</v>
      </c>
      <c r="F947" s="22" t="s">
        <v>203</v>
      </c>
      <c r="G947" s="22" t="s">
        <v>2191</v>
      </c>
      <c r="H947" s="22" t="s">
        <v>200</v>
      </c>
      <c r="I947" s="22">
        <v>1.0457506939203E13</v>
      </c>
      <c r="J947" s="22" t="s">
        <v>2192</v>
      </c>
      <c r="K947" s="24"/>
      <c r="L947" s="22" t="s">
        <v>206</v>
      </c>
      <c r="M947" s="22">
        <v>3.0</v>
      </c>
      <c r="N947" s="22" t="s">
        <v>207</v>
      </c>
      <c r="O947" s="22" t="s">
        <v>208</v>
      </c>
      <c r="P947" s="24"/>
      <c r="Q947" s="22" t="s">
        <v>90</v>
      </c>
      <c r="R947" s="22">
        <v>3.2744219017539E13</v>
      </c>
      <c r="S947" s="24"/>
      <c r="T947" s="24"/>
      <c r="U947" s="24"/>
      <c r="V947" s="22" t="s">
        <v>54</v>
      </c>
      <c r="W947" s="33"/>
      <c r="X947" s="33"/>
      <c r="Y947" s="30"/>
      <c r="Z947" s="30"/>
      <c r="AA947" s="33"/>
      <c r="AB947" s="33"/>
      <c r="AC947" s="30"/>
      <c r="AD947" s="30"/>
      <c r="AE947" s="33"/>
      <c r="AF947" s="31"/>
      <c r="AG947" s="30"/>
      <c r="AH947" s="30"/>
      <c r="AI947" s="31"/>
      <c r="AJ947" s="31"/>
      <c r="AK947" s="32"/>
    </row>
    <row r="948">
      <c r="A948" s="21" t="s">
        <v>1899</v>
      </c>
      <c r="B948" s="22" t="s">
        <v>2190</v>
      </c>
      <c r="C948" s="22" t="s">
        <v>287</v>
      </c>
      <c r="D948" s="23">
        <v>45981.0</v>
      </c>
      <c r="E948" s="22" t="s">
        <v>149</v>
      </c>
      <c r="F948" s="22" t="s">
        <v>203</v>
      </c>
      <c r="G948" s="22" t="s">
        <v>2191</v>
      </c>
      <c r="H948" s="22" t="s">
        <v>1899</v>
      </c>
      <c r="I948" s="22">
        <v>1.0457506939203E13</v>
      </c>
      <c r="J948" s="22" t="s">
        <v>2192</v>
      </c>
      <c r="K948" s="24"/>
      <c r="L948" s="22" t="s">
        <v>1901</v>
      </c>
      <c r="M948" s="22">
        <v>1.0</v>
      </c>
      <c r="N948" s="22" t="s">
        <v>900</v>
      </c>
      <c r="O948" s="22" t="s">
        <v>901</v>
      </c>
      <c r="P948" s="24"/>
      <c r="Q948" s="22" t="s">
        <v>90</v>
      </c>
      <c r="R948" s="22">
        <v>3.2757400731971E13</v>
      </c>
      <c r="S948" s="24"/>
      <c r="T948" s="24"/>
      <c r="U948" s="24"/>
      <c r="V948" s="22" t="s">
        <v>105</v>
      </c>
      <c r="W948" s="33"/>
      <c r="X948" s="33"/>
      <c r="Y948" s="30"/>
      <c r="Z948" s="30"/>
      <c r="AA948" s="33"/>
      <c r="AB948" s="33"/>
      <c r="AC948" s="30"/>
      <c r="AD948" s="30"/>
      <c r="AE948" s="33"/>
      <c r="AF948" s="31"/>
      <c r="AG948" s="30"/>
      <c r="AH948" s="30"/>
      <c r="AI948" s="31"/>
      <c r="AJ948" s="31"/>
      <c r="AK948" s="32"/>
    </row>
    <row r="949">
      <c r="A949" s="28"/>
      <c r="B949" s="22" t="s">
        <v>2190</v>
      </c>
      <c r="C949" s="22" t="s">
        <v>287</v>
      </c>
      <c r="D949" s="23">
        <v>45981.0</v>
      </c>
      <c r="E949" s="22" t="s">
        <v>149</v>
      </c>
      <c r="F949" s="22" t="s">
        <v>203</v>
      </c>
      <c r="G949" s="22" t="s">
        <v>2191</v>
      </c>
      <c r="H949" s="29"/>
      <c r="I949" s="22">
        <v>1.0457506939203E13</v>
      </c>
      <c r="J949" s="22" t="s">
        <v>2192</v>
      </c>
      <c r="K949" s="24"/>
      <c r="L949" s="22" t="s">
        <v>2193</v>
      </c>
      <c r="M949" s="24"/>
      <c r="N949" s="24"/>
      <c r="O949" s="22" t="s">
        <v>768</v>
      </c>
      <c r="P949" s="24"/>
      <c r="Q949" s="22" t="s">
        <v>769</v>
      </c>
      <c r="R949" s="24"/>
      <c r="S949" s="24"/>
      <c r="T949" s="24"/>
      <c r="U949" s="24"/>
      <c r="V949" s="22"/>
      <c r="W949" s="33"/>
      <c r="X949" s="33"/>
      <c r="Y949" s="30"/>
      <c r="Z949" s="30"/>
      <c r="AA949" s="33"/>
      <c r="AB949" s="33"/>
      <c r="AC949" s="30"/>
      <c r="AD949" s="30"/>
      <c r="AE949" s="33"/>
      <c r="AF949" s="31"/>
      <c r="AG949" s="30"/>
      <c r="AH949" s="30"/>
      <c r="AI949" s="31"/>
      <c r="AJ949" s="31"/>
      <c r="AK949" s="32"/>
    </row>
    <row r="950">
      <c r="A950" s="21" t="s">
        <v>912</v>
      </c>
      <c r="B950" s="22" t="s">
        <v>1382</v>
      </c>
      <c r="C950" s="22" t="s">
        <v>82</v>
      </c>
      <c r="D950" s="26">
        <v>45997.0</v>
      </c>
      <c r="E950" s="22" t="s">
        <v>248</v>
      </c>
      <c r="F950" s="22" t="s">
        <v>377</v>
      </c>
      <c r="G950" s="22" t="s">
        <v>2194</v>
      </c>
      <c r="H950" s="22" t="s">
        <v>912</v>
      </c>
      <c r="I950" s="22">
        <v>1.0457573851459E13</v>
      </c>
      <c r="J950" s="22" t="s">
        <v>1384</v>
      </c>
      <c r="K950" s="24"/>
      <c r="L950" s="22" t="s">
        <v>914</v>
      </c>
      <c r="M950" s="22">
        <v>1.0</v>
      </c>
      <c r="N950" s="22" t="s">
        <v>381</v>
      </c>
      <c r="O950" s="22" t="s">
        <v>382</v>
      </c>
      <c r="P950" s="24"/>
      <c r="Q950" s="22" t="s">
        <v>90</v>
      </c>
      <c r="R950" s="22">
        <v>3.2744360182083E13</v>
      </c>
      <c r="S950" s="24"/>
      <c r="T950" s="24"/>
      <c r="U950" s="24"/>
      <c r="V950" s="22" t="s">
        <v>54</v>
      </c>
      <c r="W950" s="33"/>
      <c r="X950" s="33"/>
      <c r="Y950" s="30"/>
      <c r="Z950" s="30"/>
      <c r="AA950" s="33"/>
      <c r="AB950" s="33"/>
      <c r="AC950" s="30"/>
      <c r="AD950" s="30"/>
      <c r="AE950" s="33"/>
      <c r="AF950" s="31"/>
      <c r="AG950" s="30"/>
      <c r="AH950" s="30"/>
      <c r="AI950" s="31"/>
      <c r="AJ950" s="31"/>
      <c r="AK950" s="32"/>
    </row>
    <row r="951">
      <c r="A951" s="28"/>
      <c r="B951" s="22" t="s">
        <v>1382</v>
      </c>
      <c r="C951" s="22" t="s">
        <v>82</v>
      </c>
      <c r="D951" s="26">
        <v>45997.0</v>
      </c>
      <c r="E951" s="22" t="s">
        <v>248</v>
      </c>
      <c r="F951" s="22" t="s">
        <v>377</v>
      </c>
      <c r="G951" s="22" t="s">
        <v>2194</v>
      </c>
      <c r="H951" s="29"/>
      <c r="I951" s="22">
        <v>1.0457573851459E13</v>
      </c>
      <c r="J951" s="22" t="s">
        <v>1384</v>
      </c>
      <c r="K951" s="24"/>
      <c r="L951" s="22" t="s">
        <v>767</v>
      </c>
      <c r="M951" s="24"/>
      <c r="N951" s="24"/>
      <c r="O951" s="22" t="s">
        <v>768</v>
      </c>
      <c r="P951" s="24"/>
      <c r="Q951" s="22" t="s">
        <v>769</v>
      </c>
      <c r="R951" s="24"/>
      <c r="S951" s="24"/>
      <c r="T951" s="24"/>
      <c r="U951" s="24"/>
      <c r="V951" s="22"/>
      <c r="W951" s="33"/>
      <c r="X951" s="33"/>
      <c r="Y951" s="30"/>
      <c r="Z951" s="30"/>
      <c r="AA951" s="33"/>
      <c r="AB951" s="33"/>
      <c r="AC951" s="30"/>
      <c r="AD951" s="30"/>
      <c r="AE951" s="33"/>
      <c r="AF951" s="31"/>
      <c r="AG951" s="30"/>
      <c r="AH951" s="30"/>
      <c r="AI951" s="31"/>
      <c r="AJ951" s="31"/>
      <c r="AK951" s="32"/>
    </row>
    <row r="952">
      <c r="A952" s="21" t="s">
        <v>124</v>
      </c>
      <c r="B952" s="22" t="s">
        <v>1666</v>
      </c>
      <c r="C952" s="22" t="s">
        <v>273</v>
      </c>
      <c r="D952" s="26">
        <v>45998.0</v>
      </c>
      <c r="E952" s="22" t="s">
        <v>149</v>
      </c>
      <c r="F952" s="22" t="s">
        <v>83</v>
      </c>
      <c r="G952" s="22" t="s">
        <v>2195</v>
      </c>
      <c r="H952" s="22" t="s">
        <v>124</v>
      </c>
      <c r="I952" s="22">
        <v>1.0456644026691E13</v>
      </c>
      <c r="J952" s="22" t="s">
        <v>1668</v>
      </c>
      <c r="K952" s="24"/>
      <c r="L952" s="22" t="s">
        <v>126</v>
      </c>
      <c r="M952" s="22">
        <v>1.0</v>
      </c>
      <c r="N952" s="22" t="s">
        <v>103</v>
      </c>
      <c r="O952" s="22" t="s">
        <v>104</v>
      </c>
      <c r="P952" s="24"/>
      <c r="Q952" s="22" t="s">
        <v>90</v>
      </c>
      <c r="R952" s="22">
        <v>3.2742435881283E13</v>
      </c>
      <c r="S952" s="24"/>
      <c r="T952" s="24"/>
      <c r="U952" s="24"/>
      <c r="V952" s="22" t="s">
        <v>127</v>
      </c>
      <c r="W952" s="33"/>
      <c r="X952" s="33"/>
      <c r="Y952" s="30"/>
      <c r="Z952" s="30"/>
      <c r="AA952" s="33"/>
      <c r="AB952" s="33"/>
      <c r="AC952" s="30"/>
      <c r="AD952" s="30"/>
      <c r="AE952" s="33"/>
      <c r="AF952" s="31"/>
      <c r="AG952" s="30"/>
      <c r="AH952" s="30"/>
      <c r="AI952" s="31"/>
      <c r="AJ952" s="31"/>
      <c r="AK952" s="32"/>
    </row>
    <row r="953">
      <c r="A953" s="21" t="s">
        <v>80</v>
      </c>
      <c r="B953" s="22" t="s">
        <v>1338</v>
      </c>
      <c r="C953" s="22" t="s">
        <v>273</v>
      </c>
      <c r="D953" s="23">
        <v>45991.0</v>
      </c>
      <c r="E953" s="22" t="s">
        <v>266</v>
      </c>
      <c r="F953" s="22" t="s">
        <v>83</v>
      </c>
      <c r="G953" s="22" t="s">
        <v>2196</v>
      </c>
      <c r="H953" s="22" t="s">
        <v>80</v>
      </c>
      <c r="I953" s="22">
        <v>1.0456663064899E13</v>
      </c>
      <c r="J953" s="22" t="s">
        <v>1340</v>
      </c>
      <c r="K953" s="24"/>
      <c r="L953" s="22" t="s">
        <v>86</v>
      </c>
      <c r="M953" s="22">
        <v>1.0</v>
      </c>
      <c r="N953" s="22" t="s">
        <v>87</v>
      </c>
      <c r="O953" s="22" t="s">
        <v>88</v>
      </c>
      <c r="P953" s="24"/>
      <c r="Q953" s="22" t="s">
        <v>90</v>
      </c>
      <c r="R953" s="22">
        <v>3.2742479069507E13</v>
      </c>
      <c r="S953" s="24"/>
      <c r="T953" s="24"/>
      <c r="U953" s="24"/>
      <c r="V953" s="22" t="s">
        <v>91</v>
      </c>
      <c r="W953" s="33"/>
      <c r="X953" s="33"/>
      <c r="Y953" s="30"/>
      <c r="Z953" s="30"/>
      <c r="AA953" s="33"/>
      <c r="AB953" s="33"/>
      <c r="AC953" s="30"/>
      <c r="AD953" s="30"/>
      <c r="AE953" s="33"/>
      <c r="AF953" s="31"/>
      <c r="AG953" s="30"/>
      <c r="AH953" s="30"/>
      <c r="AI953" s="31"/>
      <c r="AJ953" s="31"/>
      <c r="AK953" s="32"/>
    </row>
    <row r="954">
      <c r="A954" s="21" t="s">
        <v>96</v>
      </c>
      <c r="B954" s="22" t="s">
        <v>2084</v>
      </c>
      <c r="C954" s="22" t="s">
        <v>202</v>
      </c>
      <c r="D954" s="26">
        <v>45996.0</v>
      </c>
      <c r="E954" s="22" t="s">
        <v>224</v>
      </c>
      <c r="F954" s="22" t="s">
        <v>83</v>
      </c>
      <c r="G954" s="22" t="s">
        <v>2197</v>
      </c>
      <c r="H954" s="22" t="s">
        <v>96</v>
      </c>
      <c r="I954" s="22">
        <v>1.0456751440195E13</v>
      </c>
      <c r="J954" s="22" t="s">
        <v>2086</v>
      </c>
      <c r="K954" s="24"/>
      <c r="L954" s="22" t="s">
        <v>98</v>
      </c>
      <c r="M954" s="22">
        <v>1.0</v>
      </c>
      <c r="N954" s="22" t="s">
        <v>87</v>
      </c>
      <c r="O954" s="22" t="s">
        <v>88</v>
      </c>
      <c r="P954" s="24"/>
      <c r="Q954" s="22" t="s">
        <v>90</v>
      </c>
      <c r="R954" s="22">
        <v>3.2742670762307E13</v>
      </c>
      <c r="S954" s="24"/>
      <c r="T954" s="24"/>
      <c r="U954" s="24"/>
      <c r="V954" s="22" t="s">
        <v>55</v>
      </c>
      <c r="W954" s="33"/>
      <c r="X954" s="33"/>
      <c r="Y954" s="30"/>
      <c r="Z954" s="30"/>
      <c r="AA954" s="33"/>
      <c r="AB954" s="33"/>
      <c r="AC954" s="30"/>
      <c r="AD954" s="30"/>
      <c r="AE954" s="33"/>
      <c r="AF954" s="31"/>
      <c r="AG954" s="30"/>
      <c r="AH954" s="30"/>
      <c r="AI954" s="31"/>
      <c r="AJ954" s="31"/>
      <c r="AK954" s="32"/>
    </row>
    <row r="955">
      <c r="A955" s="21" t="s">
        <v>584</v>
      </c>
      <c r="B955" s="22" t="s">
        <v>705</v>
      </c>
      <c r="C955" s="22" t="s">
        <v>82</v>
      </c>
      <c r="D955" s="26">
        <v>45997.0</v>
      </c>
      <c r="E955" s="22" t="s">
        <v>266</v>
      </c>
      <c r="F955" s="22" t="s">
        <v>377</v>
      </c>
      <c r="G955" s="22" t="s">
        <v>2198</v>
      </c>
      <c r="H955" s="22" t="s">
        <v>584</v>
      </c>
      <c r="I955" s="22">
        <v>1.0457619595587E13</v>
      </c>
      <c r="J955" s="22" t="s">
        <v>707</v>
      </c>
      <c r="K955" s="24"/>
      <c r="L955" s="22" t="s">
        <v>586</v>
      </c>
      <c r="M955" s="22">
        <v>1.0</v>
      </c>
      <c r="N955" s="22" t="s">
        <v>413</v>
      </c>
      <c r="O955" s="22" t="s">
        <v>414</v>
      </c>
      <c r="P955" s="24"/>
      <c r="Q955" s="22" t="s">
        <v>90</v>
      </c>
      <c r="R955" s="22">
        <v>3.2744452751683E13</v>
      </c>
      <c r="S955" s="24"/>
      <c r="T955" s="24"/>
      <c r="U955" s="24"/>
      <c r="V955" s="22" t="s">
        <v>105</v>
      </c>
      <c r="W955" s="33"/>
      <c r="X955" s="33"/>
      <c r="Y955" s="30"/>
      <c r="Z955" s="30"/>
      <c r="AA955" s="33"/>
      <c r="AB955" s="33"/>
      <c r="AC955" s="30"/>
      <c r="AD955" s="30"/>
      <c r="AE955" s="33"/>
      <c r="AF955" s="31"/>
      <c r="AG955" s="30"/>
      <c r="AH955" s="30"/>
      <c r="AI955" s="31"/>
      <c r="AJ955" s="31"/>
      <c r="AK955" s="32"/>
    </row>
    <row r="956">
      <c r="A956" s="21" t="s">
        <v>415</v>
      </c>
      <c r="B956" s="22" t="s">
        <v>512</v>
      </c>
      <c r="C956" s="22" t="s">
        <v>82</v>
      </c>
      <c r="D956" s="26">
        <v>45997.0</v>
      </c>
      <c r="E956" s="22" t="s">
        <v>153</v>
      </c>
      <c r="F956" s="22" t="s">
        <v>377</v>
      </c>
      <c r="G956" s="22" t="s">
        <v>2199</v>
      </c>
      <c r="H956" s="22" t="s">
        <v>415</v>
      </c>
      <c r="I956" s="22">
        <v>1.0457897238851E13</v>
      </c>
      <c r="J956" s="22" t="s">
        <v>514</v>
      </c>
      <c r="K956" s="24"/>
      <c r="L956" s="22" t="s">
        <v>419</v>
      </c>
      <c r="M956" s="22">
        <v>1.0</v>
      </c>
      <c r="N956" s="22" t="s">
        <v>381</v>
      </c>
      <c r="O956" s="22" t="s">
        <v>382</v>
      </c>
      <c r="P956" s="24"/>
      <c r="Q956" s="22" t="s">
        <v>90</v>
      </c>
      <c r="R956" s="22">
        <v>3.2745019834691E13</v>
      </c>
      <c r="S956" s="24"/>
      <c r="T956" s="24"/>
      <c r="U956" s="24"/>
      <c r="V956" s="22" t="s">
        <v>91</v>
      </c>
      <c r="W956" s="33"/>
      <c r="X956" s="33"/>
      <c r="Y956" s="30"/>
      <c r="Z956" s="30"/>
      <c r="AA956" s="33"/>
      <c r="AB956" s="33"/>
      <c r="AC956" s="30"/>
      <c r="AD956" s="30"/>
      <c r="AE956" s="33"/>
      <c r="AF956" s="31"/>
      <c r="AG956" s="30"/>
      <c r="AH956" s="30"/>
      <c r="AI956" s="31"/>
      <c r="AJ956" s="31"/>
      <c r="AK956" s="32"/>
    </row>
    <row r="957">
      <c r="A957" s="28"/>
      <c r="B957" s="22" t="s">
        <v>512</v>
      </c>
      <c r="C957" s="22" t="s">
        <v>82</v>
      </c>
      <c r="D957" s="26">
        <v>45997.0</v>
      </c>
      <c r="E957" s="22" t="s">
        <v>153</v>
      </c>
      <c r="F957" s="22" t="s">
        <v>377</v>
      </c>
      <c r="G957" s="22" t="s">
        <v>2199</v>
      </c>
      <c r="H957" s="29"/>
      <c r="I957" s="22">
        <v>1.0457897238851E13</v>
      </c>
      <c r="J957" s="22" t="s">
        <v>514</v>
      </c>
      <c r="K957" s="24"/>
      <c r="L957" s="22" t="s">
        <v>767</v>
      </c>
      <c r="M957" s="24"/>
      <c r="N957" s="24"/>
      <c r="O957" s="22" t="s">
        <v>768</v>
      </c>
      <c r="P957" s="24"/>
      <c r="Q957" s="22" t="s">
        <v>769</v>
      </c>
      <c r="R957" s="24"/>
      <c r="S957" s="24"/>
      <c r="T957" s="24"/>
      <c r="U957" s="24"/>
      <c r="V957" s="22"/>
      <c r="W957" s="33"/>
      <c r="X957" s="33"/>
      <c r="Y957" s="30"/>
      <c r="Z957" s="30"/>
      <c r="AA957" s="33"/>
      <c r="AB957" s="33"/>
      <c r="AC957" s="30"/>
      <c r="AD957" s="30"/>
      <c r="AE957" s="33"/>
      <c r="AF957" s="31"/>
      <c r="AG957" s="30"/>
      <c r="AH957" s="30"/>
      <c r="AI957" s="31"/>
      <c r="AJ957" s="31"/>
      <c r="AK957" s="32"/>
    </row>
    <row r="958">
      <c r="A958" s="21" t="s">
        <v>973</v>
      </c>
      <c r="B958" s="22" t="s">
        <v>574</v>
      </c>
      <c r="C958" s="22" t="s">
        <v>273</v>
      </c>
      <c r="D958" s="26">
        <v>45998.0</v>
      </c>
      <c r="E958" s="22" t="s">
        <v>187</v>
      </c>
      <c r="F958" s="22" t="s">
        <v>440</v>
      </c>
      <c r="G958" s="22" t="s">
        <v>2200</v>
      </c>
      <c r="H958" s="22" t="s">
        <v>973</v>
      </c>
      <c r="I958" s="22">
        <v>1.0457902317891E13</v>
      </c>
      <c r="J958" s="22" t="s">
        <v>576</v>
      </c>
      <c r="K958" s="24"/>
      <c r="L958" s="22" t="s">
        <v>978</v>
      </c>
      <c r="M958" s="22">
        <v>1.0</v>
      </c>
      <c r="N958" s="22" t="s">
        <v>781</v>
      </c>
      <c r="O958" s="22" t="s">
        <v>782</v>
      </c>
      <c r="P958" s="24"/>
      <c r="Q958" s="22" t="s">
        <v>90</v>
      </c>
      <c r="R958" s="22">
        <v>3.2745029927235E13</v>
      </c>
      <c r="S958" s="24"/>
      <c r="T958" s="24"/>
      <c r="U958" s="24"/>
      <c r="V958" s="22" t="s">
        <v>105</v>
      </c>
      <c r="W958" s="33"/>
      <c r="X958" s="33"/>
      <c r="Y958" s="30"/>
      <c r="Z958" s="30"/>
      <c r="AA958" s="33"/>
      <c r="AB958" s="33"/>
      <c r="AC958" s="30"/>
      <c r="AD958" s="30"/>
      <c r="AE958" s="33"/>
      <c r="AF958" s="31"/>
      <c r="AG958" s="30"/>
      <c r="AH958" s="30"/>
      <c r="AI958" s="31"/>
      <c r="AJ958" s="31"/>
      <c r="AK958" s="32"/>
    </row>
    <row r="959">
      <c r="A959" s="21" t="s">
        <v>752</v>
      </c>
      <c r="B959" s="22" t="s">
        <v>2201</v>
      </c>
      <c r="C959" s="22" t="s">
        <v>82</v>
      </c>
      <c r="D959" s="26">
        <v>45997.0</v>
      </c>
      <c r="E959" s="22" t="s">
        <v>181</v>
      </c>
      <c r="F959" s="22" t="s">
        <v>319</v>
      </c>
      <c r="G959" s="22" t="s">
        <v>2202</v>
      </c>
      <c r="H959" s="22" t="s">
        <v>752</v>
      </c>
      <c r="I959" s="22">
        <v>1.0457902842179E13</v>
      </c>
      <c r="J959" s="22" t="s">
        <v>772</v>
      </c>
      <c r="K959" s="24"/>
      <c r="L959" s="22" t="s">
        <v>754</v>
      </c>
      <c r="M959" s="22">
        <v>1.0</v>
      </c>
      <c r="N959" s="22" t="s">
        <v>404</v>
      </c>
      <c r="O959" s="22" t="s">
        <v>405</v>
      </c>
      <c r="P959" s="24"/>
      <c r="Q959" s="22" t="s">
        <v>90</v>
      </c>
      <c r="R959" s="22">
        <v>3.2745030648131E13</v>
      </c>
      <c r="S959" s="24"/>
      <c r="T959" s="24"/>
      <c r="U959" s="24"/>
      <c r="V959" s="22" t="s">
        <v>175</v>
      </c>
      <c r="W959" s="33"/>
      <c r="X959" s="33"/>
      <c r="Y959" s="30"/>
      <c r="Z959" s="30"/>
      <c r="AA959" s="33"/>
      <c r="AB959" s="33"/>
      <c r="AC959" s="30"/>
      <c r="AD959" s="30"/>
      <c r="AE959" s="33"/>
      <c r="AF959" s="31"/>
      <c r="AG959" s="30"/>
      <c r="AH959" s="30"/>
      <c r="AI959" s="31"/>
      <c r="AJ959" s="31"/>
      <c r="AK959" s="32"/>
    </row>
    <row r="960">
      <c r="A960" s="28"/>
      <c r="B960" s="22" t="s">
        <v>2201</v>
      </c>
      <c r="C960" s="22" t="s">
        <v>82</v>
      </c>
      <c r="D960" s="26">
        <v>45997.0</v>
      </c>
      <c r="E960" s="22" t="s">
        <v>181</v>
      </c>
      <c r="F960" s="22" t="s">
        <v>319</v>
      </c>
      <c r="G960" s="22" t="s">
        <v>2202</v>
      </c>
      <c r="H960" s="29"/>
      <c r="I960" s="22">
        <v>1.0457902842179E13</v>
      </c>
      <c r="J960" s="22" t="s">
        <v>772</v>
      </c>
      <c r="K960" s="24"/>
      <c r="L960" s="22" t="s">
        <v>2203</v>
      </c>
      <c r="M960" s="24"/>
      <c r="N960" s="24"/>
      <c r="O960" s="22" t="s">
        <v>768</v>
      </c>
      <c r="P960" s="24"/>
      <c r="Q960" s="22" t="s">
        <v>769</v>
      </c>
      <c r="R960" s="24"/>
      <c r="S960" s="24"/>
      <c r="T960" s="24"/>
      <c r="U960" s="24"/>
      <c r="V960" s="24"/>
      <c r="W960" s="33"/>
      <c r="X960" s="33"/>
      <c r="Y960" s="30"/>
      <c r="Z960" s="30"/>
      <c r="AA960" s="33"/>
      <c r="AB960" s="33"/>
      <c r="AC960" s="30"/>
      <c r="AD960" s="30"/>
      <c r="AE960" s="33"/>
      <c r="AF960" s="31"/>
      <c r="AG960" s="30"/>
      <c r="AH960" s="30"/>
      <c r="AI960" s="31"/>
      <c r="AJ960" s="31"/>
      <c r="AK960" s="32"/>
    </row>
    <row r="961">
      <c r="A961" s="21" t="s">
        <v>124</v>
      </c>
      <c r="B961" s="22" t="s">
        <v>2204</v>
      </c>
      <c r="C961" s="22" t="s">
        <v>336</v>
      </c>
      <c r="D961" s="26">
        <v>45995.0</v>
      </c>
      <c r="E961" s="22" t="s">
        <v>192</v>
      </c>
      <c r="F961" s="22" t="s">
        <v>83</v>
      </c>
      <c r="G961" s="22" t="s">
        <v>2205</v>
      </c>
      <c r="H961" s="22" t="s">
        <v>124</v>
      </c>
      <c r="I961" s="22">
        <v>1.0457978765635E13</v>
      </c>
      <c r="J961" s="22" t="s">
        <v>2206</v>
      </c>
      <c r="K961" s="24"/>
      <c r="L961" s="22" t="s">
        <v>126</v>
      </c>
      <c r="M961" s="22">
        <v>1.0</v>
      </c>
      <c r="N961" s="22" t="s">
        <v>103</v>
      </c>
      <c r="O961" s="22" t="s">
        <v>104</v>
      </c>
      <c r="P961" s="24"/>
      <c r="Q961" s="22" t="s">
        <v>90</v>
      </c>
      <c r="R961" s="22">
        <v>3.2745188557123E13</v>
      </c>
      <c r="S961" s="24"/>
      <c r="T961" s="24"/>
      <c r="U961" s="24"/>
      <c r="V961" s="22" t="s">
        <v>127</v>
      </c>
      <c r="W961" s="33"/>
      <c r="X961" s="33"/>
      <c r="Y961" s="30"/>
      <c r="Z961" s="30"/>
      <c r="AA961" s="33"/>
      <c r="AB961" s="33"/>
      <c r="AC961" s="30"/>
      <c r="AD961" s="30"/>
      <c r="AE961" s="33"/>
      <c r="AF961" s="31"/>
      <c r="AG961" s="30"/>
      <c r="AH961" s="30"/>
      <c r="AI961" s="31"/>
      <c r="AJ961" s="31"/>
      <c r="AK961" s="32"/>
    </row>
    <row r="962">
      <c r="A962" s="21" t="s">
        <v>1175</v>
      </c>
      <c r="B962" s="22" t="s">
        <v>2207</v>
      </c>
      <c r="C962" s="22" t="s">
        <v>273</v>
      </c>
      <c r="D962" s="23">
        <v>45991.0</v>
      </c>
      <c r="E962" s="22" t="s">
        <v>219</v>
      </c>
      <c r="F962" s="22" t="s">
        <v>329</v>
      </c>
      <c r="G962" s="22" t="s">
        <v>2208</v>
      </c>
      <c r="H962" s="22" t="s">
        <v>1175</v>
      </c>
      <c r="I962" s="22">
        <v>1.0458038632771E13</v>
      </c>
      <c r="J962" s="22" t="s">
        <v>2209</v>
      </c>
      <c r="K962" s="24"/>
      <c r="L962" s="22" t="s">
        <v>1179</v>
      </c>
      <c r="M962" s="22">
        <v>1.0</v>
      </c>
      <c r="N962" s="22" t="s">
        <v>907</v>
      </c>
      <c r="O962" s="22" t="s">
        <v>908</v>
      </c>
      <c r="P962" s="24"/>
      <c r="Q962" s="22" t="s">
        <v>90</v>
      </c>
      <c r="R962" s="22">
        <v>3.2745310650691E13</v>
      </c>
      <c r="S962" s="24"/>
      <c r="T962" s="24"/>
      <c r="U962" s="24"/>
      <c r="V962" s="22" t="s">
        <v>127</v>
      </c>
      <c r="W962" s="33"/>
      <c r="X962" s="33"/>
      <c r="Y962" s="30"/>
      <c r="Z962" s="30"/>
      <c r="AA962" s="33"/>
      <c r="AB962" s="33"/>
      <c r="AC962" s="30"/>
      <c r="AD962" s="30"/>
      <c r="AE962" s="33"/>
      <c r="AF962" s="31"/>
      <c r="AG962" s="30"/>
      <c r="AH962" s="30"/>
      <c r="AI962" s="31"/>
      <c r="AJ962" s="31"/>
      <c r="AK962" s="32"/>
    </row>
    <row r="963">
      <c r="A963" s="21" t="s">
        <v>696</v>
      </c>
      <c r="B963" s="22" t="s">
        <v>697</v>
      </c>
      <c r="C963" s="22" t="s">
        <v>82</v>
      </c>
      <c r="D963" s="26">
        <v>45997.0</v>
      </c>
      <c r="E963" s="22" t="s">
        <v>439</v>
      </c>
      <c r="F963" s="22" t="s">
        <v>698</v>
      </c>
      <c r="G963" s="22" t="s">
        <v>2210</v>
      </c>
      <c r="H963" s="22" t="s">
        <v>696</v>
      </c>
      <c r="I963" s="22">
        <v>1.0458089816387E13</v>
      </c>
      <c r="J963" s="22" t="s">
        <v>700</v>
      </c>
      <c r="K963" s="24"/>
      <c r="L963" s="22" t="s">
        <v>701</v>
      </c>
      <c r="M963" s="22">
        <v>1.0</v>
      </c>
      <c r="N963" s="22" t="s">
        <v>702</v>
      </c>
      <c r="O963" s="22" t="s">
        <v>703</v>
      </c>
      <c r="P963" s="24"/>
      <c r="Q963" s="22" t="s">
        <v>90</v>
      </c>
      <c r="R963" s="22">
        <v>3.2745403679043E13</v>
      </c>
      <c r="S963" s="24"/>
      <c r="T963" s="24"/>
      <c r="U963" s="24"/>
      <c r="V963" s="22" t="s">
        <v>55</v>
      </c>
      <c r="W963" s="33"/>
      <c r="X963" s="33"/>
      <c r="Y963" s="30"/>
      <c r="Z963" s="30"/>
      <c r="AA963" s="33"/>
      <c r="AB963" s="33"/>
      <c r="AC963" s="30"/>
      <c r="AD963" s="30"/>
      <c r="AE963" s="33"/>
      <c r="AF963" s="31"/>
      <c r="AG963" s="30"/>
      <c r="AH963" s="30"/>
      <c r="AI963" s="31"/>
      <c r="AJ963" s="31"/>
      <c r="AK963" s="32"/>
    </row>
    <row r="964">
      <c r="A964" s="21" t="s">
        <v>108</v>
      </c>
      <c r="B964" s="22" t="s">
        <v>2166</v>
      </c>
      <c r="C964" s="22" t="s">
        <v>273</v>
      </c>
      <c r="D964" s="26">
        <v>45998.0</v>
      </c>
      <c r="E964" s="22" t="s">
        <v>211</v>
      </c>
      <c r="F964" s="22" t="s">
        <v>111</v>
      </c>
      <c r="G964" s="22" t="s">
        <v>2211</v>
      </c>
      <c r="H964" s="22" t="s">
        <v>108</v>
      </c>
      <c r="I964" s="22">
        <v>1.0458130710851E13</v>
      </c>
      <c r="J964" s="22" t="s">
        <v>2168</v>
      </c>
      <c r="K964" s="24"/>
      <c r="L964" s="22" t="s">
        <v>114</v>
      </c>
      <c r="M964" s="22">
        <v>1.0</v>
      </c>
      <c r="N964" s="22" t="s">
        <v>115</v>
      </c>
      <c r="O964" s="22" t="s">
        <v>116</v>
      </c>
      <c r="P964" s="24"/>
      <c r="Q964" s="22" t="s">
        <v>90</v>
      </c>
      <c r="R964" s="22">
        <v>3.2745482453315E13</v>
      </c>
      <c r="S964" s="24"/>
      <c r="T964" s="24"/>
      <c r="U964" s="24"/>
      <c r="V964" s="22" t="s">
        <v>54</v>
      </c>
      <c r="W964" s="33"/>
      <c r="X964" s="33"/>
      <c r="Y964" s="30"/>
      <c r="Z964" s="30"/>
      <c r="AA964" s="33"/>
      <c r="AB964" s="33"/>
      <c r="AC964" s="30"/>
      <c r="AD964" s="30"/>
      <c r="AE964" s="33"/>
      <c r="AF964" s="31"/>
      <c r="AG964" s="30"/>
      <c r="AH964" s="30"/>
      <c r="AI964" s="31"/>
      <c r="AJ964" s="31"/>
      <c r="AK964" s="32"/>
    </row>
    <row r="965">
      <c r="A965" s="21" t="s">
        <v>859</v>
      </c>
      <c r="B965" s="22" t="s">
        <v>2212</v>
      </c>
      <c r="C965" s="22" t="s">
        <v>82</v>
      </c>
      <c r="D965" s="26">
        <v>45997.0</v>
      </c>
      <c r="E965" s="22" t="s">
        <v>181</v>
      </c>
      <c r="F965" s="22" t="s">
        <v>605</v>
      </c>
      <c r="G965" s="22" t="s">
        <v>2213</v>
      </c>
      <c r="H965" s="22" t="s">
        <v>859</v>
      </c>
      <c r="I965" s="22">
        <v>1.0458172850499E13</v>
      </c>
      <c r="J965" s="22" t="s">
        <v>1646</v>
      </c>
      <c r="K965" s="24"/>
      <c r="L965" s="22" t="s">
        <v>861</v>
      </c>
      <c r="M965" s="22">
        <v>1.0</v>
      </c>
      <c r="N965" s="22" t="s">
        <v>609</v>
      </c>
      <c r="O965" s="22" t="s">
        <v>610</v>
      </c>
      <c r="P965" s="24"/>
      <c r="Q965" s="22" t="s">
        <v>90</v>
      </c>
      <c r="R965" s="22">
        <v>3.2745575186755E13</v>
      </c>
      <c r="S965" s="24"/>
      <c r="T965" s="24"/>
      <c r="U965" s="24"/>
      <c r="V965" s="22" t="s">
        <v>95</v>
      </c>
      <c r="W965" s="33"/>
      <c r="X965" s="33"/>
      <c r="Y965" s="30"/>
      <c r="Z965" s="30"/>
      <c r="AA965" s="33"/>
      <c r="AB965" s="33"/>
      <c r="AC965" s="30"/>
      <c r="AD965" s="30"/>
      <c r="AE965" s="33"/>
      <c r="AF965" s="31"/>
      <c r="AG965" s="30"/>
      <c r="AH965" s="30"/>
      <c r="AI965" s="31"/>
      <c r="AJ965" s="31"/>
      <c r="AK965" s="32"/>
    </row>
    <row r="966">
      <c r="A966" s="21" t="s">
        <v>573</v>
      </c>
      <c r="B966" s="22" t="s">
        <v>2214</v>
      </c>
      <c r="C966" s="22" t="s">
        <v>273</v>
      </c>
      <c r="D966" s="26">
        <v>45998.0</v>
      </c>
      <c r="E966" s="22" t="s">
        <v>439</v>
      </c>
      <c r="F966" s="22" t="s">
        <v>440</v>
      </c>
      <c r="G966" s="22" t="s">
        <v>2215</v>
      </c>
      <c r="H966" s="22" t="s">
        <v>573</v>
      </c>
      <c r="I966" s="22">
        <v>1.0458279477571E13</v>
      </c>
      <c r="J966" s="22" t="s">
        <v>1767</v>
      </c>
      <c r="K966" s="24"/>
      <c r="L966" s="22" t="s">
        <v>577</v>
      </c>
      <c r="M966" s="22">
        <v>1.0</v>
      </c>
      <c r="N966" s="22" t="s">
        <v>444</v>
      </c>
      <c r="O966" s="22" t="s">
        <v>445</v>
      </c>
      <c r="P966" s="24"/>
      <c r="Q966" s="22" t="s">
        <v>90</v>
      </c>
      <c r="R966" s="22">
        <v>3.2745805119811E13</v>
      </c>
      <c r="S966" s="24"/>
      <c r="T966" s="24"/>
      <c r="U966" s="24"/>
      <c r="V966" s="22" t="s">
        <v>55</v>
      </c>
      <c r="W966" s="33"/>
      <c r="X966" s="33"/>
      <c r="Y966" s="30"/>
      <c r="Z966" s="30"/>
      <c r="AA966" s="33"/>
      <c r="AB966" s="33"/>
      <c r="AC966" s="30"/>
      <c r="AD966" s="30"/>
      <c r="AE966" s="33"/>
      <c r="AF966" s="31"/>
      <c r="AG966" s="30"/>
      <c r="AH966" s="30"/>
      <c r="AI966" s="31"/>
      <c r="AJ966" s="31"/>
      <c r="AK966" s="32"/>
    </row>
    <row r="967">
      <c r="A967" s="21" t="s">
        <v>1105</v>
      </c>
      <c r="B967" s="22" t="s">
        <v>1356</v>
      </c>
      <c r="C967" s="22" t="s">
        <v>273</v>
      </c>
      <c r="D967" s="23">
        <v>45991.0</v>
      </c>
      <c r="E967" s="22" t="s">
        <v>153</v>
      </c>
      <c r="F967" s="22" t="s">
        <v>329</v>
      </c>
      <c r="G967" s="22" t="s">
        <v>2216</v>
      </c>
      <c r="H967" s="22" t="s">
        <v>1105</v>
      </c>
      <c r="I967" s="22">
        <v>1.0458327220547E13</v>
      </c>
      <c r="J967" s="22" t="s">
        <v>1358</v>
      </c>
      <c r="K967" s="24"/>
      <c r="L967" s="22" t="s">
        <v>1107</v>
      </c>
      <c r="M967" s="22">
        <v>1.0</v>
      </c>
      <c r="N967" s="22" t="s">
        <v>333</v>
      </c>
      <c r="O967" s="22" t="s">
        <v>334</v>
      </c>
      <c r="P967" s="24"/>
      <c r="Q967" s="22" t="s">
        <v>90</v>
      </c>
      <c r="R967" s="22">
        <v>3.2745909092675E13</v>
      </c>
      <c r="S967" s="24"/>
      <c r="T967" s="24"/>
      <c r="U967" s="24"/>
      <c r="V967" s="22" t="s">
        <v>95</v>
      </c>
      <c r="W967" s="33"/>
      <c r="X967" s="33"/>
      <c r="Y967" s="30"/>
      <c r="Z967" s="30"/>
      <c r="AA967" s="33"/>
      <c r="AB967" s="33"/>
      <c r="AC967" s="30"/>
      <c r="AD967" s="30"/>
      <c r="AE967" s="33"/>
      <c r="AF967" s="31"/>
      <c r="AG967" s="30"/>
      <c r="AH967" s="30"/>
      <c r="AI967" s="31"/>
      <c r="AJ967" s="31"/>
      <c r="AK967" s="32"/>
    </row>
    <row r="968">
      <c r="A968" s="21" t="s">
        <v>545</v>
      </c>
      <c r="B968" s="22" t="s">
        <v>1752</v>
      </c>
      <c r="C968" s="22" t="s">
        <v>273</v>
      </c>
      <c r="D968" s="23">
        <v>45991.0</v>
      </c>
      <c r="E968" s="22" t="s">
        <v>266</v>
      </c>
      <c r="F968" s="22" t="s">
        <v>356</v>
      </c>
      <c r="G968" s="22" t="s">
        <v>2217</v>
      </c>
      <c r="H968" s="22" t="s">
        <v>545</v>
      </c>
      <c r="I968" s="22">
        <v>1.0459661140291E13</v>
      </c>
      <c r="J968" s="22" t="s">
        <v>1754</v>
      </c>
      <c r="K968" s="24"/>
      <c r="L968" s="22" t="s">
        <v>549</v>
      </c>
      <c r="M968" s="22">
        <v>1.0</v>
      </c>
      <c r="N968" s="22" t="s">
        <v>360</v>
      </c>
      <c r="O968" s="22" t="s">
        <v>361</v>
      </c>
      <c r="P968" s="24"/>
      <c r="Q968" s="22" t="s">
        <v>90</v>
      </c>
      <c r="R968" s="22">
        <v>3.2753402151235E13</v>
      </c>
      <c r="S968" s="24"/>
      <c r="T968" s="24"/>
      <c r="U968" s="24"/>
      <c r="V968" s="22" t="s">
        <v>55</v>
      </c>
      <c r="W968" s="33"/>
      <c r="X968" s="33"/>
      <c r="Y968" s="30"/>
      <c r="Z968" s="30"/>
      <c r="AA968" s="33"/>
      <c r="AB968" s="33"/>
      <c r="AC968" s="30"/>
      <c r="AD968" s="30"/>
      <c r="AE968" s="33"/>
      <c r="AF968" s="31"/>
      <c r="AG968" s="30"/>
      <c r="AH968" s="30"/>
      <c r="AI968" s="31"/>
      <c r="AJ968" s="31"/>
      <c r="AK968" s="32"/>
    </row>
    <row r="969">
      <c r="A969" s="21" t="s">
        <v>1359</v>
      </c>
      <c r="B969" s="22" t="s">
        <v>2033</v>
      </c>
      <c r="C969" s="22" t="s">
        <v>82</v>
      </c>
      <c r="D969" s="26">
        <v>45997.0</v>
      </c>
      <c r="E969" s="22" t="s">
        <v>1073</v>
      </c>
      <c r="F969" s="22" t="s">
        <v>605</v>
      </c>
      <c r="G969" s="22" t="s">
        <v>2218</v>
      </c>
      <c r="H969" s="22" t="s">
        <v>1359</v>
      </c>
      <c r="I969" s="22">
        <v>1.0459729133891E13</v>
      </c>
      <c r="J969" s="22" t="s">
        <v>2035</v>
      </c>
      <c r="K969" s="24"/>
      <c r="L969" s="22" t="s">
        <v>1363</v>
      </c>
      <c r="M969" s="22">
        <v>1.0</v>
      </c>
      <c r="N969" s="22" t="s">
        <v>795</v>
      </c>
      <c r="O969" s="22" t="s">
        <v>796</v>
      </c>
      <c r="P969" s="24"/>
      <c r="Q969" s="22" t="s">
        <v>90</v>
      </c>
      <c r="R969" s="22">
        <v>3.2753549214019E13</v>
      </c>
      <c r="S969" s="24"/>
      <c r="T969" s="24"/>
      <c r="U969" s="24"/>
      <c r="V969" s="22" t="s">
        <v>175</v>
      </c>
      <c r="W969" s="33"/>
      <c r="X969" s="33"/>
      <c r="Y969" s="30"/>
      <c r="Z969" s="30"/>
      <c r="AA969" s="33"/>
      <c r="AB969" s="33"/>
      <c r="AC969" s="30"/>
      <c r="AD969" s="30"/>
      <c r="AE969" s="33"/>
      <c r="AF969" s="31"/>
      <c r="AG969" s="30"/>
      <c r="AH969" s="30"/>
      <c r="AI969" s="31"/>
      <c r="AJ969" s="31"/>
      <c r="AK969" s="32"/>
    </row>
    <row r="970">
      <c r="A970" s="21" t="s">
        <v>80</v>
      </c>
      <c r="B970" s="22" t="s">
        <v>1309</v>
      </c>
      <c r="C970" s="22" t="s">
        <v>273</v>
      </c>
      <c r="D970" s="26">
        <v>45998.0</v>
      </c>
      <c r="E970" s="22" t="s">
        <v>134</v>
      </c>
      <c r="F970" s="22" t="s">
        <v>83</v>
      </c>
      <c r="G970" s="22" t="s">
        <v>2219</v>
      </c>
      <c r="H970" s="22" t="s">
        <v>80</v>
      </c>
      <c r="I970" s="22">
        <v>1.0459746468163E13</v>
      </c>
      <c r="J970" s="22" t="s">
        <v>1311</v>
      </c>
      <c r="K970" s="24"/>
      <c r="L970" s="22" t="s">
        <v>86</v>
      </c>
      <c r="M970" s="22">
        <v>1.0</v>
      </c>
      <c r="N970" s="22" t="s">
        <v>87</v>
      </c>
      <c r="O970" s="22" t="s">
        <v>88</v>
      </c>
      <c r="P970" s="24"/>
      <c r="Q970" s="22" t="s">
        <v>90</v>
      </c>
      <c r="R970" s="22">
        <v>3.2753582866755E13</v>
      </c>
      <c r="S970" s="24"/>
      <c r="T970" s="24"/>
      <c r="U970" s="24"/>
      <c r="V970" s="22" t="s">
        <v>91</v>
      </c>
      <c r="W970" s="33"/>
      <c r="X970" s="33"/>
      <c r="Y970" s="30"/>
      <c r="Z970" s="30"/>
      <c r="AA970" s="33"/>
      <c r="AB970" s="33"/>
      <c r="AC970" s="30"/>
      <c r="AD970" s="30"/>
      <c r="AE970" s="33"/>
      <c r="AF970" s="31"/>
      <c r="AG970" s="30"/>
      <c r="AH970" s="30"/>
      <c r="AI970" s="31"/>
      <c r="AJ970" s="31"/>
      <c r="AK970" s="32"/>
    </row>
    <row r="971">
      <c r="A971" s="21" t="s">
        <v>300</v>
      </c>
      <c r="B971" s="22" t="s">
        <v>741</v>
      </c>
      <c r="C971" s="22" t="s">
        <v>82</v>
      </c>
      <c r="D971" s="26">
        <v>45997.0</v>
      </c>
      <c r="E971" s="22" t="s">
        <v>134</v>
      </c>
      <c r="F971" s="22" t="s">
        <v>303</v>
      </c>
      <c r="G971" s="22" t="s">
        <v>2220</v>
      </c>
      <c r="H971" s="22" t="s">
        <v>300</v>
      </c>
      <c r="I971" s="22">
        <v>1.0459772977475E13</v>
      </c>
      <c r="J971" s="22" t="s">
        <v>743</v>
      </c>
      <c r="K971" s="24"/>
      <c r="L971" s="22" t="s">
        <v>306</v>
      </c>
      <c r="M971" s="22">
        <v>1.0</v>
      </c>
      <c r="N971" s="22" t="s">
        <v>307</v>
      </c>
      <c r="O971" s="22" t="s">
        <v>308</v>
      </c>
      <c r="P971" s="24"/>
      <c r="Q971" s="22" t="s">
        <v>90</v>
      </c>
      <c r="R971" s="22">
        <v>3.2753640931651E13</v>
      </c>
      <c r="S971" s="24"/>
      <c r="T971" s="24"/>
      <c r="U971" s="24"/>
      <c r="V971" s="22" t="s">
        <v>55</v>
      </c>
      <c r="W971" s="33"/>
      <c r="X971" s="33"/>
      <c r="Y971" s="30"/>
      <c r="Z971" s="30"/>
      <c r="AA971" s="33"/>
      <c r="AB971" s="33"/>
      <c r="AC971" s="30"/>
      <c r="AD971" s="30"/>
      <c r="AE971" s="33"/>
      <c r="AF971" s="31"/>
      <c r="AG971" s="30"/>
      <c r="AH971" s="30"/>
      <c r="AI971" s="31"/>
      <c r="AJ971" s="31"/>
      <c r="AK971" s="32"/>
    </row>
    <row r="972">
      <c r="A972" s="21" t="s">
        <v>124</v>
      </c>
      <c r="B972" s="22" t="s">
        <v>1595</v>
      </c>
      <c r="C972" s="22" t="s">
        <v>82</v>
      </c>
      <c r="D972" s="26">
        <v>45997.0</v>
      </c>
      <c r="E972" s="22" t="s">
        <v>149</v>
      </c>
      <c r="F972" s="22" t="s">
        <v>83</v>
      </c>
      <c r="G972" s="22" t="s">
        <v>2221</v>
      </c>
      <c r="H972" s="22" t="s">
        <v>124</v>
      </c>
      <c r="I972" s="22">
        <v>1.0459793850691E13</v>
      </c>
      <c r="J972" s="22" t="s">
        <v>1597</v>
      </c>
      <c r="K972" s="24"/>
      <c r="L972" s="22" t="s">
        <v>126</v>
      </c>
      <c r="M972" s="22">
        <v>1.0</v>
      </c>
      <c r="N972" s="22" t="s">
        <v>103</v>
      </c>
      <c r="O972" s="22" t="s">
        <v>104</v>
      </c>
      <c r="P972" s="24"/>
      <c r="Q972" s="22" t="s">
        <v>90</v>
      </c>
      <c r="R972" s="22">
        <v>3.2753686839619E13</v>
      </c>
      <c r="S972" s="24"/>
      <c r="T972" s="24"/>
      <c r="U972" s="24"/>
      <c r="V972" s="22" t="s">
        <v>127</v>
      </c>
      <c r="W972" s="33"/>
      <c r="X972" s="33"/>
      <c r="Y972" s="30"/>
      <c r="Z972" s="30"/>
      <c r="AA972" s="33"/>
      <c r="AB972" s="33"/>
      <c r="AC972" s="30"/>
      <c r="AD972" s="30"/>
      <c r="AE972" s="33"/>
      <c r="AF972" s="31"/>
      <c r="AG972" s="30"/>
      <c r="AH972" s="30"/>
      <c r="AI972" s="31"/>
      <c r="AJ972" s="31"/>
      <c r="AK972" s="32"/>
    </row>
    <row r="973">
      <c r="A973" s="21" t="s">
        <v>859</v>
      </c>
      <c r="B973" s="22" t="s">
        <v>1644</v>
      </c>
      <c r="C973" s="22" t="s">
        <v>82</v>
      </c>
      <c r="D973" s="26">
        <v>45997.0</v>
      </c>
      <c r="E973" s="22" t="s">
        <v>181</v>
      </c>
      <c r="F973" s="22" t="s">
        <v>605</v>
      </c>
      <c r="G973" s="22" t="s">
        <v>2222</v>
      </c>
      <c r="H973" s="22" t="s">
        <v>859</v>
      </c>
      <c r="I973" s="22">
        <v>1.0459794080067E13</v>
      </c>
      <c r="J973" s="22" t="s">
        <v>1646</v>
      </c>
      <c r="K973" s="24"/>
      <c r="L973" s="22" t="s">
        <v>861</v>
      </c>
      <c r="M973" s="22">
        <v>1.0</v>
      </c>
      <c r="N973" s="22" t="s">
        <v>609</v>
      </c>
      <c r="O973" s="22" t="s">
        <v>610</v>
      </c>
      <c r="P973" s="24"/>
      <c r="Q973" s="22" t="s">
        <v>90</v>
      </c>
      <c r="R973" s="22">
        <v>3.2753687363907E13</v>
      </c>
      <c r="S973" s="24"/>
      <c r="T973" s="24"/>
      <c r="U973" s="24"/>
      <c r="V973" s="22" t="s">
        <v>95</v>
      </c>
      <c r="W973" s="33"/>
      <c r="X973" s="33"/>
      <c r="Y973" s="30"/>
      <c r="Z973" s="30"/>
      <c r="AA973" s="33"/>
      <c r="AB973" s="33"/>
      <c r="AC973" s="30"/>
      <c r="AD973" s="30"/>
      <c r="AE973" s="33"/>
      <c r="AF973" s="31"/>
      <c r="AG973" s="30"/>
      <c r="AH973" s="30"/>
      <c r="AI973" s="31"/>
      <c r="AJ973" s="31"/>
      <c r="AK973" s="32"/>
    </row>
    <row r="974">
      <c r="A974" s="21" t="s">
        <v>470</v>
      </c>
      <c r="B974" s="22" t="s">
        <v>516</v>
      </c>
      <c r="C974" s="22" t="s">
        <v>273</v>
      </c>
      <c r="D974" s="26">
        <v>45998.0</v>
      </c>
      <c r="E974" s="22" t="s">
        <v>134</v>
      </c>
      <c r="F974" s="22" t="s">
        <v>472</v>
      </c>
      <c r="G974" s="22" t="s">
        <v>2223</v>
      </c>
      <c r="H974" s="22" t="s">
        <v>470</v>
      </c>
      <c r="I974" s="22">
        <v>1.0459814756675E13</v>
      </c>
      <c r="J974" s="22" t="s">
        <v>518</v>
      </c>
      <c r="K974" s="24"/>
      <c r="L974" s="22" t="s">
        <v>475</v>
      </c>
      <c r="M974" s="22">
        <v>1.0</v>
      </c>
      <c r="N974" s="22" t="s">
        <v>476</v>
      </c>
      <c r="O974" s="22" t="s">
        <v>477</v>
      </c>
      <c r="P974" s="24"/>
      <c r="Q974" s="22" t="s">
        <v>90</v>
      </c>
      <c r="R974" s="22">
        <v>3.2753730879811E13</v>
      </c>
      <c r="S974" s="24"/>
      <c r="T974" s="24"/>
      <c r="U974" s="24"/>
      <c r="V974" s="22" t="s">
        <v>91</v>
      </c>
      <c r="W974" s="33"/>
      <c r="X974" s="33"/>
      <c r="Y974" s="30"/>
      <c r="Z974" s="30"/>
      <c r="AA974" s="33"/>
      <c r="AB974" s="33"/>
      <c r="AC974" s="30"/>
      <c r="AD974" s="30"/>
      <c r="AE974" s="33"/>
      <c r="AF974" s="31"/>
      <c r="AG974" s="30"/>
      <c r="AH974" s="30"/>
      <c r="AI974" s="31"/>
      <c r="AJ974" s="31"/>
      <c r="AK974" s="32"/>
    </row>
    <row r="975">
      <c r="A975" s="21" t="s">
        <v>488</v>
      </c>
      <c r="B975" s="22" t="s">
        <v>2224</v>
      </c>
      <c r="C975" s="22" t="s">
        <v>202</v>
      </c>
      <c r="D975" s="23">
        <v>46003.0</v>
      </c>
      <c r="E975" s="22" t="s">
        <v>522</v>
      </c>
      <c r="F975" s="22" t="s">
        <v>311</v>
      </c>
      <c r="G975" s="22" t="s">
        <v>2225</v>
      </c>
      <c r="H975" s="22" t="s">
        <v>488</v>
      </c>
      <c r="I975" s="22">
        <v>1.0459819639107E13</v>
      </c>
      <c r="J975" s="22" t="s">
        <v>2226</v>
      </c>
      <c r="K975" s="24"/>
      <c r="L975" s="22" t="s">
        <v>492</v>
      </c>
      <c r="M975" s="22">
        <v>1.0</v>
      </c>
      <c r="N975" s="22" t="s">
        <v>391</v>
      </c>
      <c r="O975" s="22" t="s">
        <v>392</v>
      </c>
      <c r="P975" s="24"/>
      <c r="Q975" s="22" t="s">
        <v>90</v>
      </c>
      <c r="R975" s="22">
        <v>3.2753740939587E13</v>
      </c>
      <c r="S975" s="24"/>
      <c r="T975" s="24"/>
      <c r="U975" s="24"/>
      <c r="V975" s="22" t="s">
        <v>95</v>
      </c>
      <c r="W975" s="33"/>
      <c r="X975" s="33"/>
      <c r="Y975" s="30"/>
      <c r="Z975" s="30"/>
      <c r="AA975" s="33"/>
      <c r="AB975" s="33"/>
      <c r="AC975" s="30"/>
      <c r="AD975" s="30"/>
      <c r="AE975" s="33"/>
      <c r="AF975" s="31"/>
      <c r="AG975" s="30"/>
      <c r="AH975" s="30"/>
      <c r="AI975" s="31"/>
      <c r="AJ975" s="31"/>
      <c r="AK975" s="32"/>
    </row>
    <row r="976">
      <c r="A976" s="21" t="s">
        <v>1105</v>
      </c>
      <c r="B976" s="22" t="s">
        <v>2227</v>
      </c>
      <c r="C976" s="22" t="s">
        <v>273</v>
      </c>
      <c r="D976" s="23">
        <v>45991.0</v>
      </c>
      <c r="E976" s="22" t="s">
        <v>230</v>
      </c>
      <c r="F976" s="22" t="s">
        <v>329</v>
      </c>
      <c r="G976" s="22" t="s">
        <v>2228</v>
      </c>
      <c r="H976" s="22" t="s">
        <v>1105</v>
      </c>
      <c r="I976" s="22">
        <v>1.0459859648835E13</v>
      </c>
      <c r="J976" s="22" t="s">
        <v>2229</v>
      </c>
      <c r="K976" s="24"/>
      <c r="L976" s="22" t="s">
        <v>1107</v>
      </c>
      <c r="M976" s="22">
        <v>1.0</v>
      </c>
      <c r="N976" s="22" t="s">
        <v>333</v>
      </c>
      <c r="O976" s="22" t="s">
        <v>334</v>
      </c>
      <c r="P976" s="24"/>
      <c r="Q976" s="22" t="s">
        <v>90</v>
      </c>
      <c r="R976" s="22">
        <v>3.2753831444803E13</v>
      </c>
      <c r="S976" s="24"/>
      <c r="T976" s="24"/>
      <c r="U976" s="24"/>
      <c r="V976" s="22" t="s">
        <v>95</v>
      </c>
      <c r="W976" s="33"/>
      <c r="X976" s="33"/>
      <c r="Y976" s="30"/>
      <c r="Z976" s="30"/>
      <c r="AA976" s="33"/>
      <c r="AB976" s="33"/>
      <c r="AC976" s="30"/>
      <c r="AD976" s="30"/>
      <c r="AE976" s="33"/>
      <c r="AF976" s="31"/>
      <c r="AG976" s="30"/>
      <c r="AH976" s="30"/>
      <c r="AI976" s="31"/>
      <c r="AJ976" s="31"/>
      <c r="AK976" s="32"/>
    </row>
    <row r="977">
      <c r="A977" s="21" t="s">
        <v>124</v>
      </c>
      <c r="B977" s="22" t="s">
        <v>2230</v>
      </c>
      <c r="C977" s="22" t="s">
        <v>273</v>
      </c>
      <c r="D977" s="26">
        <v>45998.0</v>
      </c>
      <c r="E977" s="22" t="s">
        <v>192</v>
      </c>
      <c r="F977" s="22" t="s">
        <v>83</v>
      </c>
      <c r="G977" s="22" t="s">
        <v>2231</v>
      </c>
      <c r="H977" s="22" t="s">
        <v>124</v>
      </c>
      <c r="I977" s="22">
        <v>1.0459908243779E13</v>
      </c>
      <c r="J977" s="22" t="s">
        <v>2232</v>
      </c>
      <c r="K977" s="24"/>
      <c r="L977" s="22" t="s">
        <v>126</v>
      </c>
      <c r="M977" s="22">
        <v>1.0</v>
      </c>
      <c r="N977" s="22" t="s">
        <v>103</v>
      </c>
      <c r="O977" s="22" t="s">
        <v>104</v>
      </c>
      <c r="P977" s="24"/>
      <c r="Q977" s="22" t="s">
        <v>90</v>
      </c>
      <c r="R977" s="22">
        <v>3.2753938530627E13</v>
      </c>
      <c r="S977" s="24"/>
      <c r="T977" s="24"/>
      <c r="U977" s="24"/>
      <c r="V977" s="22" t="s">
        <v>127</v>
      </c>
      <c r="W977" s="33"/>
      <c r="X977" s="33"/>
      <c r="Y977" s="30"/>
      <c r="Z977" s="30"/>
      <c r="AA977" s="33"/>
      <c r="AB977" s="33"/>
      <c r="AC977" s="30"/>
      <c r="AD977" s="30"/>
      <c r="AE977" s="33"/>
      <c r="AF977" s="31"/>
      <c r="AG977" s="30"/>
      <c r="AH977" s="30"/>
      <c r="AI977" s="31"/>
      <c r="AJ977" s="31"/>
      <c r="AK977" s="32"/>
    </row>
    <row r="978">
      <c r="A978" s="21" t="s">
        <v>2181</v>
      </c>
      <c r="B978" s="22" t="s">
        <v>741</v>
      </c>
      <c r="C978" s="22" t="s">
        <v>82</v>
      </c>
      <c r="D978" s="26">
        <v>45997.0</v>
      </c>
      <c r="E978" s="22" t="s">
        <v>134</v>
      </c>
      <c r="F978" s="22" t="s">
        <v>303</v>
      </c>
      <c r="G978" s="22" t="s">
        <v>2233</v>
      </c>
      <c r="H978" s="22" t="s">
        <v>2181</v>
      </c>
      <c r="I978" s="22">
        <v>1.0459949334851E13</v>
      </c>
      <c r="J978" s="22" t="s">
        <v>743</v>
      </c>
      <c r="K978" s="24"/>
      <c r="L978" s="22" t="s">
        <v>2183</v>
      </c>
      <c r="M978" s="22">
        <v>1.0</v>
      </c>
      <c r="N978" s="22" t="s">
        <v>468</v>
      </c>
      <c r="O978" s="22" t="s">
        <v>469</v>
      </c>
      <c r="P978" s="24"/>
      <c r="Q978" s="22" t="s">
        <v>90</v>
      </c>
      <c r="R978" s="22">
        <v>3.2754028642627E13</v>
      </c>
      <c r="S978" s="24"/>
      <c r="T978" s="24"/>
      <c r="U978" s="24"/>
      <c r="V978" s="22" t="s">
        <v>127</v>
      </c>
      <c r="W978" s="33"/>
      <c r="X978" s="33"/>
      <c r="Y978" s="30"/>
      <c r="Z978" s="30"/>
      <c r="AA978" s="33"/>
      <c r="AB978" s="33"/>
      <c r="AC978" s="30"/>
      <c r="AD978" s="30"/>
      <c r="AE978" s="33"/>
      <c r="AF978" s="31"/>
      <c r="AG978" s="30"/>
      <c r="AH978" s="30"/>
      <c r="AI978" s="31"/>
      <c r="AJ978" s="31"/>
      <c r="AK978" s="32"/>
    </row>
    <row r="979">
      <c r="A979" s="21" t="s">
        <v>300</v>
      </c>
      <c r="B979" s="22" t="s">
        <v>741</v>
      </c>
      <c r="C979" s="22" t="s">
        <v>82</v>
      </c>
      <c r="D979" s="26">
        <v>45997.0</v>
      </c>
      <c r="E979" s="22" t="s">
        <v>134</v>
      </c>
      <c r="F979" s="22" t="s">
        <v>303</v>
      </c>
      <c r="G979" s="22" t="s">
        <v>2234</v>
      </c>
      <c r="H979" s="22" t="s">
        <v>300</v>
      </c>
      <c r="I979" s="22">
        <v>1.0459952480579E13</v>
      </c>
      <c r="J979" s="22" t="s">
        <v>743</v>
      </c>
      <c r="K979" s="24"/>
      <c r="L979" s="22" t="s">
        <v>306</v>
      </c>
      <c r="M979" s="22">
        <v>1.0</v>
      </c>
      <c r="N979" s="22" t="s">
        <v>307</v>
      </c>
      <c r="O979" s="22" t="s">
        <v>308</v>
      </c>
      <c r="P979" s="24"/>
      <c r="Q979" s="22" t="s">
        <v>90</v>
      </c>
      <c r="R979" s="22">
        <v>3.2754036932931E13</v>
      </c>
      <c r="S979" s="24"/>
      <c r="T979" s="24"/>
      <c r="U979" s="24"/>
      <c r="V979" s="22" t="s">
        <v>55</v>
      </c>
      <c r="W979" s="33"/>
      <c r="X979" s="33"/>
      <c r="Y979" s="30"/>
      <c r="Z979" s="30"/>
      <c r="AA979" s="33"/>
      <c r="AB979" s="33"/>
      <c r="AC979" s="30"/>
      <c r="AD979" s="30"/>
      <c r="AE979" s="33"/>
      <c r="AF979" s="31"/>
      <c r="AG979" s="30"/>
      <c r="AH979" s="30"/>
      <c r="AI979" s="31"/>
      <c r="AJ979" s="31"/>
      <c r="AK979" s="32"/>
    </row>
    <row r="980">
      <c r="A980" s="21" t="s">
        <v>845</v>
      </c>
      <c r="B980" s="22" t="s">
        <v>450</v>
      </c>
      <c r="C980" s="22" t="s">
        <v>82</v>
      </c>
      <c r="D980" s="26">
        <v>45997.0</v>
      </c>
      <c r="E980" s="22" t="s">
        <v>134</v>
      </c>
      <c r="F980" s="22" t="s">
        <v>451</v>
      </c>
      <c r="G980" s="22" t="s">
        <v>2235</v>
      </c>
      <c r="H980" s="22" t="s">
        <v>845</v>
      </c>
      <c r="I980" s="22">
        <v>1.0460027355459E13</v>
      </c>
      <c r="J980" s="22" t="s">
        <v>453</v>
      </c>
      <c r="K980" s="24"/>
      <c r="L980" s="22" t="s">
        <v>847</v>
      </c>
      <c r="M980" s="22">
        <v>1.0</v>
      </c>
      <c r="N980" s="22" t="s">
        <v>455</v>
      </c>
      <c r="O980" s="22" t="s">
        <v>456</v>
      </c>
      <c r="P980" s="24"/>
      <c r="Q980" s="22" t="s">
        <v>90</v>
      </c>
      <c r="R980" s="22">
        <v>3.2754217320771E13</v>
      </c>
      <c r="S980" s="24"/>
      <c r="T980" s="24"/>
      <c r="U980" s="24"/>
      <c r="V980" s="22" t="s">
        <v>55</v>
      </c>
      <c r="W980" s="33"/>
      <c r="X980" s="33"/>
      <c r="Y980" s="30"/>
      <c r="Z980" s="30"/>
      <c r="AA980" s="33"/>
      <c r="AB980" s="33"/>
      <c r="AC980" s="30"/>
      <c r="AD980" s="30"/>
      <c r="AE980" s="33"/>
      <c r="AF980" s="31"/>
      <c r="AG980" s="30"/>
      <c r="AH980" s="30"/>
      <c r="AI980" s="31"/>
      <c r="AJ980" s="31"/>
      <c r="AK980" s="32"/>
    </row>
    <row r="981">
      <c r="A981" s="21" t="s">
        <v>550</v>
      </c>
      <c r="B981" s="22" t="s">
        <v>1172</v>
      </c>
      <c r="C981" s="22" t="s">
        <v>82</v>
      </c>
      <c r="D981" s="23">
        <v>46004.0</v>
      </c>
      <c r="E981" s="22" t="s">
        <v>248</v>
      </c>
      <c r="F981" s="22" t="s">
        <v>377</v>
      </c>
      <c r="G981" s="22" t="s">
        <v>2236</v>
      </c>
      <c r="H981" s="22" t="s">
        <v>550</v>
      </c>
      <c r="I981" s="22">
        <v>1.0460030107971E13</v>
      </c>
      <c r="J981" s="22" t="s">
        <v>1174</v>
      </c>
      <c r="K981" s="24"/>
      <c r="L981" s="22" t="s">
        <v>552</v>
      </c>
      <c r="M981" s="22">
        <v>1.0</v>
      </c>
      <c r="N981" s="22" t="s">
        <v>381</v>
      </c>
      <c r="O981" s="22" t="s">
        <v>382</v>
      </c>
      <c r="P981" s="24"/>
      <c r="Q981" s="22" t="s">
        <v>90</v>
      </c>
      <c r="R981" s="22">
        <v>3.2754223939907E13</v>
      </c>
      <c r="S981" s="24"/>
      <c r="T981" s="24"/>
      <c r="U981" s="24"/>
      <c r="V981" s="22" t="s">
        <v>95</v>
      </c>
      <c r="W981" s="33"/>
      <c r="X981" s="33"/>
      <c r="Y981" s="30"/>
      <c r="Z981" s="30"/>
      <c r="AA981" s="33"/>
      <c r="AB981" s="33"/>
      <c r="AC981" s="30"/>
      <c r="AD981" s="30"/>
      <c r="AE981" s="33"/>
      <c r="AF981" s="31"/>
      <c r="AG981" s="30"/>
      <c r="AH981" s="30"/>
      <c r="AI981" s="31"/>
      <c r="AJ981" s="31"/>
      <c r="AK981" s="32"/>
    </row>
    <row r="982">
      <c r="A982" s="21" t="s">
        <v>1200</v>
      </c>
      <c r="B982" s="22" t="s">
        <v>2237</v>
      </c>
      <c r="C982" s="22" t="s">
        <v>82</v>
      </c>
      <c r="D982" s="26">
        <v>45997.0</v>
      </c>
      <c r="E982" s="22" t="s">
        <v>439</v>
      </c>
      <c r="F982" s="22" t="s">
        <v>278</v>
      </c>
      <c r="G982" s="22" t="s">
        <v>2238</v>
      </c>
      <c r="H982" s="22" t="s">
        <v>1200</v>
      </c>
      <c r="I982" s="22">
        <v>1.0460049310019E13</v>
      </c>
      <c r="J982" s="22" t="s">
        <v>2239</v>
      </c>
      <c r="K982" s="24"/>
      <c r="L982" s="22" t="s">
        <v>1203</v>
      </c>
      <c r="M982" s="22">
        <v>1.0</v>
      </c>
      <c r="N982" s="22" t="s">
        <v>282</v>
      </c>
      <c r="O982" s="22" t="s">
        <v>283</v>
      </c>
      <c r="P982" s="24"/>
      <c r="Q982" s="22" t="s">
        <v>90</v>
      </c>
      <c r="R982" s="22">
        <v>3.2754269258051E13</v>
      </c>
      <c r="S982" s="24"/>
      <c r="T982" s="24"/>
      <c r="U982" s="24"/>
      <c r="V982" s="27" t="s">
        <v>91</v>
      </c>
      <c r="W982" s="33"/>
      <c r="X982" s="33"/>
      <c r="Y982" s="30"/>
      <c r="Z982" s="30"/>
      <c r="AA982" s="33"/>
      <c r="AB982" s="33"/>
      <c r="AC982" s="30"/>
      <c r="AD982" s="30"/>
      <c r="AE982" s="33"/>
      <c r="AF982" s="31"/>
      <c r="AG982" s="30"/>
      <c r="AH982" s="30"/>
      <c r="AI982" s="31"/>
      <c r="AJ982" s="31"/>
      <c r="AK982" s="32"/>
    </row>
    <row r="983">
      <c r="A983" s="21" t="s">
        <v>632</v>
      </c>
      <c r="B983" s="22" t="s">
        <v>2240</v>
      </c>
      <c r="C983" s="22" t="s">
        <v>82</v>
      </c>
      <c r="D983" s="23">
        <v>46004.0</v>
      </c>
      <c r="E983" s="22" t="s">
        <v>970</v>
      </c>
      <c r="F983" s="22" t="s">
        <v>634</v>
      </c>
      <c r="G983" s="22" t="s">
        <v>2241</v>
      </c>
      <c r="H983" s="22" t="s">
        <v>632</v>
      </c>
      <c r="I983" s="22">
        <v>1.0460049670467E13</v>
      </c>
      <c r="J983" s="22" t="s">
        <v>2242</v>
      </c>
      <c r="K983" s="24"/>
      <c r="L983" s="22" t="s">
        <v>637</v>
      </c>
      <c r="M983" s="22">
        <v>1.0</v>
      </c>
      <c r="N983" s="22" t="s">
        <v>638</v>
      </c>
      <c r="O983" s="22" t="s">
        <v>639</v>
      </c>
      <c r="P983" s="24"/>
      <c r="Q983" s="22" t="s">
        <v>90</v>
      </c>
      <c r="R983" s="22">
        <v>3.2754270241091E13</v>
      </c>
      <c r="S983" s="24"/>
      <c r="T983" s="24"/>
      <c r="U983" s="24"/>
      <c r="V983" s="22" t="s">
        <v>91</v>
      </c>
      <c r="W983" s="33"/>
      <c r="X983" s="33"/>
      <c r="Y983" s="30"/>
      <c r="Z983" s="30"/>
      <c r="AA983" s="33"/>
      <c r="AB983" s="33"/>
      <c r="AC983" s="30"/>
      <c r="AD983" s="30"/>
      <c r="AE983" s="33"/>
      <c r="AF983" s="31"/>
      <c r="AG983" s="30"/>
      <c r="AH983" s="30"/>
      <c r="AI983" s="31"/>
      <c r="AJ983" s="31"/>
      <c r="AK983" s="32"/>
    </row>
    <row r="984">
      <c r="A984" s="21" t="s">
        <v>2243</v>
      </c>
      <c r="B984" s="22" t="s">
        <v>1305</v>
      </c>
      <c r="C984" s="22" t="s">
        <v>273</v>
      </c>
      <c r="D984" s="23">
        <v>45991.0</v>
      </c>
      <c r="E984" s="22" t="s">
        <v>196</v>
      </c>
      <c r="F984" s="22" t="s">
        <v>356</v>
      </c>
      <c r="G984" s="22" t="s">
        <v>2244</v>
      </c>
      <c r="H984" s="22" t="s">
        <v>2243</v>
      </c>
      <c r="I984" s="22">
        <v>1.0457625002307E13</v>
      </c>
      <c r="J984" s="22" t="s">
        <v>1307</v>
      </c>
      <c r="K984" s="24"/>
      <c r="L984" s="22" t="s">
        <v>2245</v>
      </c>
      <c r="M984" s="22">
        <v>1.0</v>
      </c>
      <c r="N984" s="22" t="s">
        <v>1272</v>
      </c>
      <c r="O984" s="22" t="s">
        <v>1273</v>
      </c>
      <c r="P984" s="24"/>
      <c r="Q984" s="22" t="s">
        <v>90</v>
      </c>
      <c r="R984" s="22">
        <v>3.2744463958339E13</v>
      </c>
      <c r="S984" s="24"/>
      <c r="T984" s="24"/>
      <c r="U984" s="24"/>
      <c r="V984" s="22" t="s">
        <v>175</v>
      </c>
      <c r="W984" s="33"/>
      <c r="X984" s="33"/>
      <c r="Y984" s="30"/>
      <c r="Z984" s="30"/>
      <c r="AA984" s="33"/>
      <c r="AB984" s="33"/>
      <c r="AC984" s="30"/>
      <c r="AD984" s="30"/>
      <c r="AE984" s="33"/>
      <c r="AF984" s="31"/>
      <c r="AG984" s="30"/>
      <c r="AH984" s="30"/>
      <c r="AI984" s="31"/>
      <c r="AJ984" s="31"/>
      <c r="AK984" s="32"/>
    </row>
    <row r="985">
      <c r="A985" s="21" t="s">
        <v>538</v>
      </c>
      <c r="B985" s="22" t="s">
        <v>587</v>
      </c>
      <c r="C985" s="22" t="s">
        <v>273</v>
      </c>
      <c r="D985" s="26">
        <v>45998.0</v>
      </c>
      <c r="E985" s="22" t="s">
        <v>153</v>
      </c>
      <c r="F985" s="22" t="s">
        <v>369</v>
      </c>
      <c r="G985" s="22" t="s">
        <v>2246</v>
      </c>
      <c r="H985" s="22" t="s">
        <v>538</v>
      </c>
      <c r="I985" s="22">
        <v>1.0457705939267E13</v>
      </c>
      <c r="J985" s="22" t="s">
        <v>589</v>
      </c>
      <c r="K985" s="24"/>
      <c r="L985" s="22" t="s">
        <v>542</v>
      </c>
      <c r="M985" s="22">
        <v>1.0</v>
      </c>
      <c r="N985" s="22" t="s">
        <v>373</v>
      </c>
      <c r="O985" s="22" t="s">
        <v>374</v>
      </c>
      <c r="P985" s="24"/>
      <c r="Q985" s="22" t="s">
        <v>90</v>
      </c>
      <c r="R985" s="22">
        <v>3.2744630649155E13</v>
      </c>
      <c r="S985" s="24"/>
      <c r="T985" s="24"/>
      <c r="U985" s="24"/>
      <c r="V985" s="22" t="s">
        <v>91</v>
      </c>
      <c r="W985" s="33"/>
      <c r="X985" s="33"/>
      <c r="Y985" s="30"/>
      <c r="Z985" s="30"/>
      <c r="AA985" s="33"/>
      <c r="AB985" s="33"/>
      <c r="AC985" s="30"/>
      <c r="AD985" s="30"/>
      <c r="AE985" s="33"/>
      <c r="AF985" s="31"/>
      <c r="AG985" s="30"/>
      <c r="AH985" s="30"/>
      <c r="AI985" s="31"/>
      <c r="AJ985" s="31"/>
      <c r="AK985" s="32"/>
    </row>
    <row r="986">
      <c r="A986" s="21" t="s">
        <v>664</v>
      </c>
      <c r="B986" s="22" t="s">
        <v>516</v>
      </c>
      <c r="C986" s="22" t="s">
        <v>273</v>
      </c>
      <c r="D986" s="26">
        <v>45998.0</v>
      </c>
      <c r="E986" s="22" t="s">
        <v>134</v>
      </c>
      <c r="F986" s="22" t="s">
        <v>472</v>
      </c>
      <c r="G986" s="22" t="s">
        <v>2247</v>
      </c>
      <c r="H986" s="22" t="s">
        <v>664</v>
      </c>
      <c r="I986" s="22">
        <v>1.0457727271235E13</v>
      </c>
      <c r="J986" s="22" t="s">
        <v>518</v>
      </c>
      <c r="K986" s="24"/>
      <c r="L986" s="22" t="s">
        <v>668</v>
      </c>
      <c r="M986" s="22">
        <v>1.0</v>
      </c>
      <c r="N986" s="22" t="s">
        <v>534</v>
      </c>
      <c r="O986" s="22" t="s">
        <v>535</v>
      </c>
      <c r="P986" s="24"/>
      <c r="Q986" s="22" t="s">
        <v>90</v>
      </c>
      <c r="R986" s="22">
        <v>3.2744672297283E13</v>
      </c>
      <c r="S986" s="24"/>
      <c r="T986" s="24"/>
      <c r="U986" s="24"/>
      <c r="V986" s="22" t="s">
        <v>175</v>
      </c>
      <c r="W986" s="33"/>
      <c r="X986" s="33"/>
      <c r="Y986" s="30"/>
      <c r="Z986" s="30"/>
      <c r="AA986" s="33"/>
      <c r="AB986" s="33"/>
      <c r="AC986" s="30"/>
      <c r="AD986" s="30"/>
      <c r="AE986" s="33"/>
      <c r="AF986" s="31"/>
      <c r="AG986" s="30"/>
      <c r="AH986" s="30"/>
      <c r="AI986" s="31"/>
      <c r="AJ986" s="31"/>
      <c r="AK986" s="32"/>
    </row>
    <row r="987">
      <c r="A987" s="21" t="s">
        <v>640</v>
      </c>
      <c r="B987" s="22" t="s">
        <v>2248</v>
      </c>
      <c r="C987" s="22" t="s">
        <v>273</v>
      </c>
      <c r="D987" s="23">
        <v>45991.0</v>
      </c>
      <c r="E987" s="22" t="s">
        <v>248</v>
      </c>
      <c r="F987" s="22" t="s">
        <v>356</v>
      </c>
      <c r="G987" s="22" t="s">
        <v>2249</v>
      </c>
      <c r="H987" s="22" t="s">
        <v>640</v>
      </c>
      <c r="I987" s="22">
        <v>1.0460381053251E13</v>
      </c>
      <c r="J987" s="22" t="s">
        <v>2250</v>
      </c>
      <c r="K987" s="24"/>
      <c r="L987" s="22" t="s">
        <v>642</v>
      </c>
      <c r="M987" s="22">
        <v>1.0</v>
      </c>
      <c r="N987" s="22" t="s">
        <v>360</v>
      </c>
      <c r="O987" s="22" t="s">
        <v>361</v>
      </c>
      <c r="P987" s="24"/>
      <c r="Q987" s="22" t="s">
        <v>90</v>
      </c>
      <c r="R987" s="22">
        <v>3.2754971640131E13</v>
      </c>
      <c r="S987" s="24"/>
      <c r="T987" s="24"/>
      <c r="U987" s="24"/>
      <c r="V987" s="22" t="s">
        <v>95</v>
      </c>
      <c r="W987" s="33"/>
      <c r="X987" s="33"/>
      <c r="Y987" s="30"/>
      <c r="Z987" s="30"/>
      <c r="AA987" s="33"/>
      <c r="AB987" s="33"/>
      <c r="AC987" s="30"/>
      <c r="AD987" s="30"/>
      <c r="AE987" s="33"/>
      <c r="AF987" s="31"/>
      <c r="AG987" s="30"/>
      <c r="AH987" s="30"/>
      <c r="AI987" s="31"/>
      <c r="AJ987" s="31"/>
      <c r="AK987" s="32"/>
    </row>
    <row r="988">
      <c r="A988" s="21" t="s">
        <v>96</v>
      </c>
      <c r="B988" s="22" t="s">
        <v>2251</v>
      </c>
      <c r="C988" s="22" t="s">
        <v>273</v>
      </c>
      <c r="D988" s="23">
        <v>45991.0</v>
      </c>
      <c r="E988" s="22" t="s">
        <v>192</v>
      </c>
      <c r="F988" s="22" t="s">
        <v>83</v>
      </c>
      <c r="G988" s="22" t="s">
        <v>2252</v>
      </c>
      <c r="H988" s="22" t="s">
        <v>96</v>
      </c>
      <c r="I988" s="22">
        <v>1.0460475064643E13</v>
      </c>
      <c r="J988" s="22" t="s">
        <v>2253</v>
      </c>
      <c r="K988" s="24"/>
      <c r="L988" s="22" t="s">
        <v>98</v>
      </c>
      <c r="M988" s="22">
        <v>1.0</v>
      </c>
      <c r="N988" s="22" t="s">
        <v>87</v>
      </c>
      <c r="O988" s="22" t="s">
        <v>88</v>
      </c>
      <c r="P988" s="24"/>
      <c r="Q988" s="22" t="s">
        <v>90</v>
      </c>
      <c r="R988" s="22">
        <v>3.2755164414275E13</v>
      </c>
      <c r="S988" s="24"/>
      <c r="T988" s="24"/>
      <c r="U988" s="24"/>
      <c r="V988" s="22" t="s">
        <v>55</v>
      </c>
      <c r="W988" s="33"/>
      <c r="X988" s="33"/>
      <c r="Y988" s="30"/>
      <c r="Z988" s="30"/>
      <c r="AA988" s="33"/>
      <c r="AB988" s="33"/>
      <c r="AC988" s="30"/>
      <c r="AD988" s="30"/>
      <c r="AE988" s="33"/>
      <c r="AF988" s="31"/>
      <c r="AG988" s="30"/>
      <c r="AH988" s="30"/>
      <c r="AI988" s="31"/>
      <c r="AJ988" s="31"/>
      <c r="AK988" s="32"/>
    </row>
    <row r="989">
      <c r="A989" s="21" t="s">
        <v>458</v>
      </c>
      <c r="B989" s="22" t="s">
        <v>504</v>
      </c>
      <c r="C989" s="22" t="s">
        <v>82</v>
      </c>
      <c r="D989" s="26">
        <v>45997.0</v>
      </c>
      <c r="E989" s="22" t="s">
        <v>211</v>
      </c>
      <c r="F989" s="22" t="s">
        <v>341</v>
      </c>
      <c r="G989" s="22" t="s">
        <v>2254</v>
      </c>
      <c r="H989" s="22" t="s">
        <v>458</v>
      </c>
      <c r="I989" s="22">
        <v>1.0460494266691E13</v>
      </c>
      <c r="J989" s="22" t="s">
        <v>506</v>
      </c>
      <c r="K989" s="24"/>
      <c r="L989" s="22" t="s">
        <v>462</v>
      </c>
      <c r="M989" s="22">
        <v>1.0</v>
      </c>
      <c r="N989" s="22" t="s">
        <v>345</v>
      </c>
      <c r="O989" s="22" t="s">
        <v>346</v>
      </c>
      <c r="P989" s="24"/>
      <c r="Q989" s="22" t="s">
        <v>90</v>
      </c>
      <c r="R989" s="22">
        <v>3.2755204227395E13</v>
      </c>
      <c r="S989" s="24"/>
      <c r="T989" s="24"/>
      <c r="U989" s="24"/>
      <c r="V989" s="22" t="s">
        <v>91</v>
      </c>
      <c r="W989" s="33"/>
      <c r="X989" s="33"/>
      <c r="Y989" s="30"/>
      <c r="Z989" s="30"/>
      <c r="AA989" s="33"/>
      <c r="AB989" s="33"/>
      <c r="AC989" s="30"/>
      <c r="AD989" s="30"/>
      <c r="AE989" s="33"/>
      <c r="AF989" s="31"/>
      <c r="AG989" s="30"/>
      <c r="AH989" s="30"/>
      <c r="AI989" s="31"/>
      <c r="AJ989" s="31"/>
      <c r="AK989" s="32"/>
    </row>
    <row r="990">
      <c r="A990" s="21" t="s">
        <v>408</v>
      </c>
      <c r="B990" s="22" t="s">
        <v>705</v>
      </c>
      <c r="C990" s="22" t="s">
        <v>82</v>
      </c>
      <c r="D990" s="26">
        <v>45997.0</v>
      </c>
      <c r="E990" s="22" t="s">
        <v>266</v>
      </c>
      <c r="F990" s="22" t="s">
        <v>377</v>
      </c>
      <c r="G990" s="22" t="s">
        <v>2255</v>
      </c>
      <c r="H990" s="22" t="s">
        <v>408</v>
      </c>
      <c r="I990" s="22">
        <v>1.0460536242499E13</v>
      </c>
      <c r="J990" s="22" t="s">
        <v>707</v>
      </c>
      <c r="K990" s="24"/>
      <c r="L990" s="22" t="s">
        <v>412</v>
      </c>
      <c r="M990" s="22">
        <v>1.0</v>
      </c>
      <c r="N990" s="22" t="s">
        <v>413</v>
      </c>
      <c r="O990" s="22" t="s">
        <v>414</v>
      </c>
      <c r="P990" s="24"/>
      <c r="Q990" s="22" t="s">
        <v>90</v>
      </c>
      <c r="R990" s="22">
        <v>3.2755293159747E13</v>
      </c>
      <c r="S990" s="24"/>
      <c r="T990" s="24"/>
      <c r="U990" s="24"/>
      <c r="V990" s="22" t="s">
        <v>127</v>
      </c>
      <c r="W990" s="33"/>
      <c r="X990" s="33"/>
      <c r="Y990" s="30"/>
      <c r="Z990" s="30"/>
      <c r="AA990" s="33"/>
      <c r="AB990" s="33"/>
      <c r="AC990" s="30"/>
      <c r="AD990" s="30"/>
      <c r="AE990" s="33"/>
      <c r="AF990" s="31"/>
      <c r="AG990" s="30"/>
      <c r="AH990" s="30"/>
      <c r="AI990" s="31"/>
      <c r="AJ990" s="31"/>
      <c r="AK990" s="32"/>
    </row>
    <row r="991">
      <c r="A991" s="21" t="s">
        <v>276</v>
      </c>
      <c r="B991" s="22" t="s">
        <v>578</v>
      </c>
      <c r="C991" s="22" t="s">
        <v>82</v>
      </c>
      <c r="D991" s="26">
        <v>45997.0</v>
      </c>
      <c r="E991" s="22" t="s">
        <v>187</v>
      </c>
      <c r="F991" s="22" t="s">
        <v>278</v>
      </c>
      <c r="G991" s="22" t="s">
        <v>2256</v>
      </c>
      <c r="H991" s="22" t="s">
        <v>276</v>
      </c>
      <c r="I991" s="22">
        <v>1.0460542075203E13</v>
      </c>
      <c r="J991" s="22" t="s">
        <v>1985</v>
      </c>
      <c r="K991" s="24"/>
      <c r="L991" s="22" t="s">
        <v>281</v>
      </c>
      <c r="M991" s="22">
        <v>1.0</v>
      </c>
      <c r="N991" s="22" t="s">
        <v>282</v>
      </c>
      <c r="O991" s="22" t="s">
        <v>283</v>
      </c>
      <c r="P991" s="24"/>
      <c r="Q991" s="22" t="s">
        <v>90</v>
      </c>
      <c r="R991" s="22">
        <v>3.2755305578819E13</v>
      </c>
      <c r="S991" s="24"/>
      <c r="T991" s="24"/>
      <c r="U991" s="24"/>
      <c r="V991" s="22" t="s">
        <v>55</v>
      </c>
      <c r="W991" s="33"/>
      <c r="X991" s="33"/>
      <c r="Y991" s="30"/>
      <c r="Z991" s="30"/>
      <c r="AA991" s="33"/>
      <c r="AB991" s="33"/>
      <c r="AC991" s="30"/>
      <c r="AD991" s="30"/>
      <c r="AE991" s="33"/>
      <c r="AF991" s="31"/>
      <c r="AG991" s="30"/>
      <c r="AH991" s="30"/>
      <c r="AI991" s="31"/>
      <c r="AJ991" s="31"/>
      <c r="AK991" s="32"/>
    </row>
    <row r="992">
      <c r="A992" s="21" t="s">
        <v>643</v>
      </c>
      <c r="B992" s="22" t="s">
        <v>2257</v>
      </c>
      <c r="C992" s="22" t="s">
        <v>82</v>
      </c>
      <c r="D992" s="26">
        <v>45997.0</v>
      </c>
      <c r="E992" s="22" t="s">
        <v>934</v>
      </c>
      <c r="F992" s="22" t="s">
        <v>634</v>
      </c>
      <c r="G992" s="22" t="s">
        <v>2258</v>
      </c>
      <c r="H992" s="22" t="s">
        <v>643</v>
      </c>
      <c r="I992" s="22">
        <v>1.0460551807299E13</v>
      </c>
      <c r="J992" s="22" t="s">
        <v>2259</v>
      </c>
      <c r="K992" s="24"/>
      <c r="L992" s="22" t="s">
        <v>647</v>
      </c>
      <c r="M992" s="22">
        <v>1.0</v>
      </c>
      <c r="N992" s="22" t="s">
        <v>638</v>
      </c>
      <c r="O992" s="22" t="s">
        <v>639</v>
      </c>
      <c r="P992" s="24"/>
      <c r="Q992" s="22" t="s">
        <v>90</v>
      </c>
      <c r="R992" s="22">
        <v>3.2755327893827E13</v>
      </c>
      <c r="S992" s="24"/>
      <c r="T992" s="24"/>
      <c r="U992" s="24"/>
      <c r="V992" s="22" t="s">
        <v>54</v>
      </c>
      <c r="W992" s="33"/>
      <c r="X992" s="33"/>
      <c r="Y992" s="30"/>
      <c r="Z992" s="30"/>
      <c r="AA992" s="33"/>
      <c r="AB992" s="33"/>
      <c r="AC992" s="30"/>
      <c r="AD992" s="30"/>
      <c r="AE992" s="33"/>
      <c r="AF992" s="31"/>
      <c r="AG992" s="30"/>
      <c r="AH992" s="30"/>
      <c r="AI992" s="31"/>
      <c r="AJ992" s="31"/>
      <c r="AK992" s="32"/>
    </row>
    <row r="993">
      <c r="A993" s="21" t="s">
        <v>96</v>
      </c>
      <c r="B993" s="22" t="s">
        <v>1428</v>
      </c>
      <c r="C993" s="22" t="s">
        <v>273</v>
      </c>
      <c r="D993" s="26">
        <v>45998.0</v>
      </c>
      <c r="E993" s="22" t="s">
        <v>196</v>
      </c>
      <c r="F993" s="22" t="s">
        <v>83</v>
      </c>
      <c r="G993" s="22" t="s">
        <v>2260</v>
      </c>
      <c r="H993" s="22" t="s">
        <v>96</v>
      </c>
      <c r="I993" s="22">
        <v>1.0460571271491E13</v>
      </c>
      <c r="J993" s="22" t="s">
        <v>1430</v>
      </c>
      <c r="K993" s="24"/>
      <c r="L993" s="22" t="s">
        <v>98</v>
      </c>
      <c r="M993" s="22">
        <v>1.0</v>
      </c>
      <c r="N993" s="22" t="s">
        <v>87</v>
      </c>
      <c r="O993" s="22" t="s">
        <v>88</v>
      </c>
      <c r="P993" s="24"/>
      <c r="Q993" s="22" t="s">
        <v>90</v>
      </c>
      <c r="R993" s="22">
        <v>3.2755373703491E13</v>
      </c>
      <c r="S993" s="24"/>
      <c r="T993" s="24"/>
      <c r="U993" s="24"/>
      <c r="V993" s="22" t="s">
        <v>55</v>
      </c>
      <c r="W993" s="33"/>
      <c r="X993" s="33"/>
      <c r="Y993" s="30"/>
      <c r="Z993" s="30"/>
      <c r="AA993" s="33"/>
      <c r="AB993" s="33"/>
      <c r="AC993" s="30"/>
      <c r="AD993" s="30"/>
      <c r="AE993" s="33"/>
      <c r="AF993" s="31"/>
      <c r="AG993" s="30"/>
      <c r="AH993" s="30"/>
      <c r="AI993" s="31"/>
      <c r="AJ993" s="31"/>
      <c r="AK993" s="32"/>
    </row>
    <row r="994">
      <c r="A994" s="21" t="s">
        <v>515</v>
      </c>
      <c r="B994" s="22" t="s">
        <v>2029</v>
      </c>
      <c r="C994" s="22" t="s">
        <v>273</v>
      </c>
      <c r="D994" s="26">
        <v>45998.0</v>
      </c>
      <c r="E994" s="22" t="s">
        <v>181</v>
      </c>
      <c r="F994" s="22" t="s">
        <v>472</v>
      </c>
      <c r="G994" s="22" t="s">
        <v>2261</v>
      </c>
      <c r="H994" s="22" t="s">
        <v>515</v>
      </c>
      <c r="I994" s="22">
        <v>1.0460576940355E13</v>
      </c>
      <c r="J994" s="22" t="s">
        <v>2031</v>
      </c>
      <c r="K994" s="24"/>
      <c r="L994" s="22" t="s">
        <v>519</v>
      </c>
      <c r="M994" s="22">
        <v>1.0</v>
      </c>
      <c r="N994" s="22" t="s">
        <v>476</v>
      </c>
      <c r="O994" s="22" t="s">
        <v>477</v>
      </c>
      <c r="P994" s="24"/>
      <c r="Q994" s="22" t="s">
        <v>90</v>
      </c>
      <c r="R994" s="22">
        <v>3.2755385598275E13</v>
      </c>
      <c r="S994" s="24"/>
      <c r="T994" s="24"/>
      <c r="U994" s="24"/>
      <c r="V994" s="22" t="s">
        <v>55</v>
      </c>
      <c r="W994" s="33"/>
      <c r="X994" s="33"/>
      <c r="Y994" s="30"/>
      <c r="Z994" s="30"/>
      <c r="AA994" s="33"/>
      <c r="AB994" s="33"/>
      <c r="AC994" s="30"/>
      <c r="AD994" s="30"/>
      <c r="AE994" s="33"/>
      <c r="AF994" s="31"/>
      <c r="AG994" s="30"/>
      <c r="AH994" s="30"/>
      <c r="AI994" s="31"/>
      <c r="AJ994" s="31"/>
      <c r="AK994" s="32"/>
    </row>
    <row r="995">
      <c r="A995" s="21" t="s">
        <v>1175</v>
      </c>
      <c r="B995" s="22" t="s">
        <v>1187</v>
      </c>
      <c r="C995" s="22" t="s">
        <v>273</v>
      </c>
      <c r="D995" s="23">
        <v>45991.0</v>
      </c>
      <c r="E995" s="22" t="s">
        <v>134</v>
      </c>
      <c r="F995" s="22" t="s">
        <v>329</v>
      </c>
      <c r="G995" s="22" t="s">
        <v>2262</v>
      </c>
      <c r="H995" s="22" t="s">
        <v>1175</v>
      </c>
      <c r="I995" s="22">
        <v>1.0460610822467E13</v>
      </c>
      <c r="J995" s="22" t="s">
        <v>1189</v>
      </c>
      <c r="K995" s="24"/>
      <c r="L995" s="22" t="s">
        <v>1179</v>
      </c>
      <c r="M995" s="22">
        <v>1.0</v>
      </c>
      <c r="N995" s="22" t="s">
        <v>907</v>
      </c>
      <c r="O995" s="22" t="s">
        <v>908</v>
      </c>
      <c r="P995" s="24"/>
      <c r="Q995" s="22" t="s">
        <v>90</v>
      </c>
      <c r="R995" s="22">
        <v>3.2755464536387E13</v>
      </c>
      <c r="S995" s="24"/>
      <c r="T995" s="24"/>
      <c r="U995" s="24"/>
      <c r="V995" s="22" t="s">
        <v>127</v>
      </c>
      <c r="W995" s="33"/>
      <c r="X995" s="33"/>
      <c r="Y995" s="30"/>
      <c r="Z995" s="30"/>
      <c r="AA995" s="33"/>
      <c r="AB995" s="33"/>
      <c r="AC995" s="30"/>
      <c r="AD995" s="30"/>
      <c r="AE995" s="33"/>
      <c r="AF995" s="31"/>
      <c r="AG995" s="30"/>
      <c r="AH995" s="30"/>
      <c r="AI995" s="31"/>
      <c r="AJ995" s="31"/>
      <c r="AK995" s="32"/>
    </row>
    <row r="996">
      <c r="A996" s="21" t="s">
        <v>950</v>
      </c>
      <c r="B996" s="22" t="s">
        <v>815</v>
      </c>
      <c r="C996" s="22" t="s">
        <v>82</v>
      </c>
      <c r="D996" s="26">
        <v>45997.0</v>
      </c>
      <c r="E996" s="22" t="s">
        <v>187</v>
      </c>
      <c r="F996" s="22" t="s">
        <v>698</v>
      </c>
      <c r="G996" s="22" t="s">
        <v>2263</v>
      </c>
      <c r="H996" s="22" t="s">
        <v>950</v>
      </c>
      <c r="I996" s="22">
        <v>1.0460646605123E13</v>
      </c>
      <c r="J996" s="22" t="s">
        <v>817</v>
      </c>
      <c r="K996" s="24"/>
      <c r="L996" s="22" t="s">
        <v>952</v>
      </c>
      <c r="M996" s="22">
        <v>1.0</v>
      </c>
      <c r="N996" s="22" t="s">
        <v>702</v>
      </c>
      <c r="O996" s="22" t="s">
        <v>703</v>
      </c>
      <c r="P996" s="24"/>
      <c r="Q996" s="22" t="s">
        <v>90</v>
      </c>
      <c r="R996" s="22">
        <v>3.2755541410115E13</v>
      </c>
      <c r="S996" s="24"/>
      <c r="T996" s="24"/>
      <c r="U996" s="24"/>
      <c r="V996" s="22" t="s">
        <v>54</v>
      </c>
      <c r="W996" s="33"/>
      <c r="X996" s="33"/>
      <c r="Y996" s="30"/>
      <c r="Z996" s="30"/>
      <c r="AA996" s="33"/>
      <c r="AB996" s="33"/>
      <c r="AC996" s="30"/>
      <c r="AD996" s="30"/>
      <c r="AE996" s="33"/>
      <c r="AF996" s="31"/>
      <c r="AG996" s="30"/>
      <c r="AH996" s="30"/>
      <c r="AI996" s="31"/>
      <c r="AJ996" s="31"/>
      <c r="AK996" s="32"/>
    </row>
    <row r="997">
      <c r="A997" s="21" t="s">
        <v>592</v>
      </c>
      <c r="B997" s="22" t="s">
        <v>1385</v>
      </c>
      <c r="C997" s="22" t="s">
        <v>336</v>
      </c>
      <c r="D997" s="23">
        <v>46002.0</v>
      </c>
      <c r="E997" s="22" t="s">
        <v>134</v>
      </c>
      <c r="F997" s="22" t="s">
        <v>311</v>
      </c>
      <c r="G997" s="22" t="s">
        <v>2264</v>
      </c>
      <c r="H997" s="22" t="s">
        <v>592</v>
      </c>
      <c r="I997" s="22">
        <v>1.0460668821827E13</v>
      </c>
      <c r="J997" s="22" t="s">
        <v>1387</v>
      </c>
      <c r="K997" s="24"/>
      <c r="L997" s="22" t="s">
        <v>594</v>
      </c>
      <c r="M997" s="22">
        <v>1.0</v>
      </c>
      <c r="N997" s="22" t="s">
        <v>391</v>
      </c>
      <c r="O997" s="22" t="s">
        <v>392</v>
      </c>
      <c r="P997" s="24"/>
      <c r="Q997" s="22" t="s">
        <v>90</v>
      </c>
      <c r="R997" s="22">
        <v>3.2755590529347E13</v>
      </c>
      <c r="S997" s="24"/>
      <c r="T997" s="24"/>
      <c r="U997" s="24"/>
      <c r="V997" s="22" t="s">
        <v>54</v>
      </c>
      <c r="W997" s="33"/>
      <c r="X997" s="33"/>
      <c r="Y997" s="30"/>
      <c r="Z997" s="30"/>
      <c r="AA997" s="33"/>
      <c r="AB997" s="33"/>
      <c r="AC997" s="30"/>
      <c r="AD997" s="30"/>
      <c r="AE997" s="33"/>
      <c r="AF997" s="31"/>
      <c r="AG997" s="30"/>
      <c r="AH997" s="30"/>
      <c r="AI997" s="31"/>
      <c r="AJ997" s="31"/>
      <c r="AK997" s="32"/>
    </row>
    <row r="998">
      <c r="A998" s="21" t="s">
        <v>602</v>
      </c>
      <c r="B998" s="22" t="s">
        <v>2265</v>
      </c>
      <c r="C998" s="22" t="s">
        <v>82</v>
      </c>
      <c r="D998" s="26">
        <v>45997.0</v>
      </c>
      <c r="E998" s="22" t="s">
        <v>2266</v>
      </c>
      <c r="F998" s="22" t="s">
        <v>605</v>
      </c>
      <c r="G998" s="22" t="s">
        <v>2267</v>
      </c>
      <c r="H998" s="22" t="s">
        <v>602</v>
      </c>
      <c r="I998" s="22">
        <v>1.0460733374787E13</v>
      </c>
      <c r="J998" s="22" t="s">
        <v>2268</v>
      </c>
      <c r="K998" s="24"/>
      <c r="L998" s="22" t="s">
        <v>608</v>
      </c>
      <c r="M998" s="22">
        <v>1.0</v>
      </c>
      <c r="N998" s="22" t="s">
        <v>609</v>
      </c>
      <c r="O998" s="22" t="s">
        <v>610</v>
      </c>
      <c r="P998" s="24"/>
      <c r="Q998" s="22" t="s">
        <v>90</v>
      </c>
      <c r="R998" s="22">
        <v>3.2755732250947E13</v>
      </c>
      <c r="S998" s="24"/>
      <c r="T998" s="24"/>
      <c r="U998" s="24"/>
      <c r="V998" s="22" t="s">
        <v>54</v>
      </c>
      <c r="W998" s="33"/>
      <c r="X998" s="33"/>
      <c r="Y998" s="30"/>
      <c r="Z998" s="30"/>
      <c r="AA998" s="33"/>
      <c r="AB998" s="33"/>
      <c r="AC998" s="30"/>
      <c r="AD998" s="30"/>
      <c r="AE998" s="33"/>
      <c r="AF998" s="31"/>
      <c r="AG998" s="30"/>
      <c r="AH998" s="30"/>
      <c r="AI998" s="31"/>
      <c r="AJ998" s="31"/>
      <c r="AK998" s="32"/>
    </row>
    <row r="999">
      <c r="A999" s="21" t="s">
        <v>166</v>
      </c>
      <c r="B999" s="22" t="s">
        <v>2166</v>
      </c>
      <c r="C999" s="22" t="s">
        <v>273</v>
      </c>
      <c r="D999" s="26">
        <v>45998.0</v>
      </c>
      <c r="E999" s="22" t="s">
        <v>211</v>
      </c>
      <c r="F999" s="22" t="s">
        <v>111</v>
      </c>
      <c r="G999" s="22" t="s">
        <v>2269</v>
      </c>
      <c r="H999" s="22" t="s">
        <v>166</v>
      </c>
      <c r="I999" s="22">
        <v>1.0460874506563E13</v>
      </c>
      <c r="J999" s="22" t="s">
        <v>2168</v>
      </c>
      <c r="K999" s="24"/>
      <c r="L999" s="22" t="s">
        <v>171</v>
      </c>
      <c r="M999" s="22">
        <v>1.0</v>
      </c>
      <c r="N999" s="22" t="s">
        <v>115</v>
      </c>
      <c r="O999" s="22" t="s">
        <v>116</v>
      </c>
      <c r="P999" s="24"/>
      <c r="Q999" s="22" t="s">
        <v>90</v>
      </c>
      <c r="R999" s="22">
        <v>3.2756011008323E13</v>
      </c>
      <c r="S999" s="24"/>
      <c r="T999" s="24"/>
      <c r="U999" s="24"/>
      <c r="V999" s="22" t="s">
        <v>55</v>
      </c>
      <c r="W999" s="33"/>
      <c r="X999" s="33"/>
      <c r="Y999" s="30"/>
      <c r="Z999" s="30"/>
      <c r="AA999" s="33"/>
      <c r="AB999" s="33"/>
      <c r="AC999" s="30"/>
      <c r="AD999" s="30"/>
      <c r="AE999" s="33"/>
      <c r="AF999" s="31"/>
      <c r="AG999" s="30"/>
      <c r="AH999" s="30"/>
      <c r="AI999" s="31"/>
      <c r="AJ999" s="31"/>
      <c r="AK999" s="32"/>
    </row>
    <row r="1000">
      <c r="A1000" s="21" t="s">
        <v>1370</v>
      </c>
      <c r="B1000" s="22" t="s">
        <v>1187</v>
      </c>
      <c r="C1000" s="22" t="s">
        <v>273</v>
      </c>
      <c r="D1000" s="23">
        <v>45991.0</v>
      </c>
      <c r="E1000" s="22" t="s">
        <v>134</v>
      </c>
      <c r="F1000" s="22" t="s">
        <v>329</v>
      </c>
      <c r="G1000" s="22" t="s">
        <v>2270</v>
      </c>
      <c r="H1000" s="22" t="s">
        <v>1370</v>
      </c>
      <c r="I1000" s="22">
        <v>1.0460912877891E13</v>
      </c>
      <c r="J1000" s="22" t="s">
        <v>1189</v>
      </c>
      <c r="K1000" s="24"/>
      <c r="L1000" s="22" t="s">
        <v>1372</v>
      </c>
      <c r="M1000" s="22">
        <v>1.0</v>
      </c>
      <c r="N1000" s="22" t="s">
        <v>333</v>
      </c>
      <c r="O1000" s="22" t="s">
        <v>334</v>
      </c>
      <c r="P1000" s="24"/>
      <c r="Q1000" s="22" t="s">
        <v>90</v>
      </c>
      <c r="R1000" s="22">
        <v>3.2756084932931E13</v>
      </c>
      <c r="S1000" s="24"/>
      <c r="T1000" s="24"/>
      <c r="U1000" s="24"/>
      <c r="V1000" s="22" t="s">
        <v>91</v>
      </c>
      <c r="W1000" s="33"/>
      <c r="X1000" s="33"/>
      <c r="Y1000" s="30"/>
      <c r="Z1000" s="30"/>
      <c r="AA1000" s="33"/>
      <c r="AB1000" s="33"/>
      <c r="AC1000" s="30"/>
      <c r="AD1000" s="30"/>
      <c r="AE1000" s="33"/>
      <c r="AF1000" s="31"/>
      <c r="AG1000" s="30"/>
      <c r="AH1000" s="30"/>
      <c r="AI1000" s="31"/>
      <c r="AJ1000" s="31"/>
      <c r="AK1000" s="32"/>
    </row>
    <row r="1001">
      <c r="A1001" s="21" t="s">
        <v>550</v>
      </c>
      <c r="B1001" s="22" t="s">
        <v>512</v>
      </c>
      <c r="C1001" s="22" t="s">
        <v>82</v>
      </c>
      <c r="D1001" s="26">
        <v>45997.0</v>
      </c>
      <c r="E1001" s="22" t="s">
        <v>153</v>
      </c>
      <c r="F1001" s="22" t="s">
        <v>377</v>
      </c>
      <c r="G1001" s="22" t="s">
        <v>2271</v>
      </c>
      <c r="H1001" s="22" t="s">
        <v>550</v>
      </c>
      <c r="I1001" s="22">
        <v>1.0460926148931E13</v>
      </c>
      <c r="J1001" s="22" t="s">
        <v>514</v>
      </c>
      <c r="K1001" s="24"/>
      <c r="L1001" s="22" t="s">
        <v>552</v>
      </c>
      <c r="M1001" s="22">
        <v>1.0</v>
      </c>
      <c r="N1001" s="22" t="s">
        <v>381</v>
      </c>
      <c r="O1001" s="22" t="s">
        <v>382</v>
      </c>
      <c r="P1001" s="24"/>
      <c r="Q1001" s="22" t="s">
        <v>90</v>
      </c>
      <c r="R1001" s="22">
        <v>3.2756110688579E13</v>
      </c>
      <c r="S1001" s="24"/>
      <c r="T1001" s="24"/>
      <c r="U1001" s="24"/>
      <c r="V1001" s="22" t="s">
        <v>95</v>
      </c>
      <c r="W1001" s="33"/>
      <c r="X1001" s="33"/>
      <c r="Y1001" s="30"/>
      <c r="Z1001" s="30"/>
      <c r="AA1001" s="33"/>
      <c r="AB1001" s="33"/>
      <c r="AC1001" s="30"/>
      <c r="AD1001" s="30"/>
      <c r="AE1001" s="33"/>
      <c r="AF1001" s="31"/>
      <c r="AG1001" s="30"/>
      <c r="AH1001" s="30"/>
      <c r="AI1001" s="31"/>
      <c r="AJ1001" s="31"/>
      <c r="AK1001" s="32"/>
    </row>
    <row r="1002">
      <c r="A1002" s="21" t="s">
        <v>141</v>
      </c>
      <c r="B1002" s="22" t="s">
        <v>2272</v>
      </c>
      <c r="C1002" s="22" t="s">
        <v>294</v>
      </c>
      <c r="D1002" s="26">
        <v>45992.0</v>
      </c>
      <c r="E1002" s="22" t="s">
        <v>266</v>
      </c>
      <c r="F1002" s="22" t="s">
        <v>83</v>
      </c>
      <c r="G1002" s="22" t="s">
        <v>2273</v>
      </c>
      <c r="H1002" s="22" t="s">
        <v>141</v>
      </c>
      <c r="I1002" s="22">
        <v>1.0460936864067E13</v>
      </c>
      <c r="J1002" s="22" t="s">
        <v>2274</v>
      </c>
      <c r="K1002" s="24"/>
      <c r="L1002" s="22" t="s">
        <v>143</v>
      </c>
      <c r="M1002" s="22">
        <v>1.0</v>
      </c>
      <c r="N1002" s="22" t="s">
        <v>87</v>
      </c>
      <c r="O1002" s="22" t="s">
        <v>88</v>
      </c>
      <c r="P1002" s="24"/>
      <c r="Q1002" s="22" t="s">
        <v>90</v>
      </c>
      <c r="R1002" s="22">
        <v>3.2756130054467E13</v>
      </c>
      <c r="S1002" s="24"/>
      <c r="T1002" s="24"/>
      <c r="U1002" s="24"/>
      <c r="V1002" s="27" t="s">
        <v>54</v>
      </c>
      <c r="W1002" s="33"/>
      <c r="X1002" s="33"/>
      <c r="Y1002" s="30"/>
      <c r="Z1002" s="30"/>
      <c r="AA1002" s="33"/>
      <c r="AB1002" s="33"/>
      <c r="AC1002" s="30"/>
      <c r="AD1002" s="30"/>
      <c r="AE1002" s="33"/>
      <c r="AF1002" s="31"/>
      <c r="AG1002" s="30"/>
      <c r="AH1002" s="30"/>
      <c r="AI1002" s="31"/>
      <c r="AJ1002" s="31"/>
      <c r="AK1002" s="32"/>
    </row>
    <row r="1003">
      <c r="A1003" s="21" t="s">
        <v>709</v>
      </c>
      <c r="B1003" s="22" t="s">
        <v>987</v>
      </c>
      <c r="C1003" s="22" t="s">
        <v>82</v>
      </c>
      <c r="D1003" s="26">
        <v>45997.0</v>
      </c>
      <c r="E1003" s="22" t="s">
        <v>266</v>
      </c>
      <c r="F1003" s="22" t="s">
        <v>311</v>
      </c>
      <c r="G1003" s="22" t="s">
        <v>2275</v>
      </c>
      <c r="H1003" s="22" t="s">
        <v>709</v>
      </c>
      <c r="I1003" s="22">
        <v>1.0460986114371E13</v>
      </c>
      <c r="J1003" s="22" t="s">
        <v>989</v>
      </c>
      <c r="K1003" s="24"/>
      <c r="L1003" s="22" t="s">
        <v>713</v>
      </c>
      <c r="M1003" s="22">
        <v>1.0</v>
      </c>
      <c r="N1003" s="22" t="s">
        <v>391</v>
      </c>
      <c r="O1003" s="22" t="s">
        <v>392</v>
      </c>
      <c r="P1003" s="24"/>
      <c r="Q1003" s="22" t="s">
        <v>90</v>
      </c>
      <c r="R1003" s="22">
        <v>3.2756233994563E13</v>
      </c>
      <c r="S1003" s="24"/>
      <c r="T1003" s="24"/>
      <c r="U1003" s="24"/>
      <c r="V1003" s="22" t="s">
        <v>91</v>
      </c>
      <c r="W1003" s="33"/>
      <c r="X1003" s="33"/>
      <c r="Y1003" s="30"/>
      <c r="Z1003" s="30"/>
      <c r="AA1003" s="33"/>
      <c r="AB1003" s="33"/>
      <c r="AC1003" s="30"/>
      <c r="AD1003" s="30"/>
      <c r="AE1003" s="33"/>
      <c r="AF1003" s="31"/>
      <c r="AG1003" s="30"/>
      <c r="AH1003" s="30"/>
      <c r="AI1003" s="31"/>
      <c r="AJ1003" s="31"/>
      <c r="AK1003" s="32"/>
    </row>
    <row r="1004">
      <c r="A1004" s="21" t="s">
        <v>1269</v>
      </c>
      <c r="B1004" s="22" t="s">
        <v>355</v>
      </c>
      <c r="C1004" s="22" t="s">
        <v>273</v>
      </c>
      <c r="D1004" s="23">
        <v>45991.0</v>
      </c>
      <c r="E1004" s="22" t="s">
        <v>149</v>
      </c>
      <c r="F1004" s="22" t="s">
        <v>356</v>
      </c>
      <c r="G1004" s="22" t="s">
        <v>2276</v>
      </c>
      <c r="H1004" s="22" t="s">
        <v>1269</v>
      </c>
      <c r="I1004" s="22">
        <v>1.0461017538883E13</v>
      </c>
      <c r="J1004" s="22" t="s">
        <v>562</v>
      </c>
      <c r="K1004" s="24"/>
      <c r="L1004" s="22" t="s">
        <v>1271</v>
      </c>
      <c r="M1004" s="22">
        <v>1.0</v>
      </c>
      <c r="N1004" s="22" t="s">
        <v>1272</v>
      </c>
      <c r="O1004" s="22" t="s">
        <v>1273</v>
      </c>
      <c r="P1004" s="24"/>
      <c r="Q1004" s="22" t="s">
        <v>90</v>
      </c>
      <c r="R1004" s="22">
        <v>3.2756297662787E13</v>
      </c>
      <c r="S1004" s="24"/>
      <c r="T1004" s="24"/>
      <c r="U1004" s="24"/>
      <c r="V1004" s="22" t="s">
        <v>105</v>
      </c>
      <c r="W1004" s="33"/>
      <c r="X1004" s="33"/>
      <c r="Y1004" s="30"/>
      <c r="Z1004" s="30"/>
      <c r="AA1004" s="33"/>
      <c r="AB1004" s="33"/>
      <c r="AC1004" s="30"/>
      <c r="AD1004" s="30"/>
      <c r="AE1004" s="33"/>
      <c r="AF1004" s="31"/>
      <c r="AG1004" s="30"/>
      <c r="AH1004" s="30"/>
      <c r="AI1004" s="31"/>
      <c r="AJ1004" s="31"/>
      <c r="AK1004" s="32"/>
    </row>
    <row r="1005">
      <c r="A1005" s="21" t="s">
        <v>300</v>
      </c>
      <c r="B1005" s="22" t="s">
        <v>1152</v>
      </c>
      <c r="C1005" s="22" t="s">
        <v>82</v>
      </c>
      <c r="D1005" s="26">
        <v>45997.0</v>
      </c>
      <c r="E1005" s="22" t="s">
        <v>149</v>
      </c>
      <c r="F1005" s="22" t="s">
        <v>303</v>
      </c>
      <c r="G1005" s="22" t="s">
        <v>2277</v>
      </c>
      <c r="H1005" s="22" t="s">
        <v>300</v>
      </c>
      <c r="I1005" s="22">
        <v>1.0461040738627E13</v>
      </c>
      <c r="J1005" s="22" t="s">
        <v>1154</v>
      </c>
      <c r="K1005" s="24"/>
      <c r="L1005" s="22" t="s">
        <v>306</v>
      </c>
      <c r="M1005" s="22">
        <v>1.0</v>
      </c>
      <c r="N1005" s="22" t="s">
        <v>307</v>
      </c>
      <c r="O1005" s="22" t="s">
        <v>308</v>
      </c>
      <c r="P1005" s="24"/>
      <c r="Q1005" s="22" t="s">
        <v>90</v>
      </c>
      <c r="R1005" s="22">
        <v>3.2756348453187E13</v>
      </c>
      <c r="S1005" s="24"/>
      <c r="T1005" s="24"/>
      <c r="U1005" s="24"/>
      <c r="V1005" s="22" t="s">
        <v>55</v>
      </c>
      <c r="W1005" s="33"/>
      <c r="X1005" s="33"/>
      <c r="Y1005" s="30"/>
      <c r="Z1005" s="30"/>
      <c r="AA1005" s="33"/>
      <c r="AB1005" s="33"/>
      <c r="AC1005" s="30"/>
      <c r="AD1005" s="30"/>
      <c r="AE1005" s="33"/>
      <c r="AF1005" s="31"/>
      <c r="AG1005" s="30"/>
      <c r="AH1005" s="30"/>
      <c r="AI1005" s="31"/>
      <c r="AJ1005" s="31"/>
      <c r="AK1005" s="32"/>
    </row>
    <row r="1006">
      <c r="A1006" s="21" t="s">
        <v>1370</v>
      </c>
      <c r="B1006" s="22" t="s">
        <v>1187</v>
      </c>
      <c r="C1006" s="22" t="s">
        <v>273</v>
      </c>
      <c r="D1006" s="23">
        <v>45991.0</v>
      </c>
      <c r="E1006" s="22" t="s">
        <v>134</v>
      </c>
      <c r="F1006" s="22" t="s">
        <v>329</v>
      </c>
      <c r="G1006" s="22" t="s">
        <v>2278</v>
      </c>
      <c r="H1006" s="22" t="s">
        <v>1370</v>
      </c>
      <c r="I1006" s="22">
        <v>1.0461053780291E13</v>
      </c>
      <c r="J1006" s="22" t="s">
        <v>1189</v>
      </c>
      <c r="K1006" s="24"/>
      <c r="L1006" s="22" t="s">
        <v>1372</v>
      </c>
      <c r="M1006" s="22">
        <v>1.0</v>
      </c>
      <c r="N1006" s="22" t="s">
        <v>333</v>
      </c>
      <c r="O1006" s="22" t="s">
        <v>334</v>
      </c>
      <c r="P1006" s="24"/>
      <c r="Q1006" s="22" t="s">
        <v>90</v>
      </c>
      <c r="R1006" s="22">
        <v>3.2756376568131E13</v>
      </c>
      <c r="S1006" s="24"/>
      <c r="T1006" s="24"/>
      <c r="U1006" s="24"/>
      <c r="V1006" s="22" t="s">
        <v>91</v>
      </c>
      <c r="W1006" s="33"/>
      <c r="X1006" s="33"/>
      <c r="Y1006" s="30"/>
      <c r="Z1006" s="30"/>
      <c r="AA1006" s="33"/>
      <c r="AB1006" s="33"/>
      <c r="AC1006" s="30"/>
      <c r="AD1006" s="30"/>
      <c r="AE1006" s="33"/>
      <c r="AF1006" s="31"/>
      <c r="AG1006" s="30"/>
      <c r="AH1006" s="30"/>
      <c r="AI1006" s="31"/>
      <c r="AJ1006" s="31"/>
      <c r="AK1006" s="32"/>
    </row>
    <row r="1007">
      <c r="A1007" s="21" t="s">
        <v>1703</v>
      </c>
      <c r="B1007" s="22" t="s">
        <v>2279</v>
      </c>
      <c r="C1007" s="22" t="s">
        <v>82</v>
      </c>
      <c r="D1007" s="26">
        <v>45997.0</v>
      </c>
      <c r="E1007" s="22" t="s">
        <v>177</v>
      </c>
      <c r="F1007" s="22" t="s">
        <v>278</v>
      </c>
      <c r="G1007" s="22" t="s">
        <v>2280</v>
      </c>
      <c r="H1007" s="22" t="s">
        <v>1703</v>
      </c>
      <c r="I1007" s="22">
        <v>1.0461109092675E13</v>
      </c>
      <c r="J1007" s="22" t="s">
        <v>2281</v>
      </c>
      <c r="K1007" s="24"/>
      <c r="L1007" s="22" t="s">
        <v>1705</v>
      </c>
      <c r="M1007" s="22">
        <v>1.0</v>
      </c>
      <c r="N1007" s="22" t="s">
        <v>351</v>
      </c>
      <c r="O1007" s="22" t="s">
        <v>352</v>
      </c>
      <c r="P1007" s="24"/>
      <c r="Q1007" s="22" t="s">
        <v>90</v>
      </c>
      <c r="R1007" s="22">
        <v>3.2756490338627E13</v>
      </c>
      <c r="S1007" s="24"/>
      <c r="T1007" s="24"/>
      <c r="U1007" s="24"/>
      <c r="V1007" s="22" t="s">
        <v>105</v>
      </c>
      <c r="W1007" s="33"/>
      <c r="X1007" s="33"/>
      <c r="Y1007" s="30"/>
      <c r="Z1007" s="30"/>
      <c r="AA1007" s="33"/>
      <c r="AB1007" s="33"/>
      <c r="AC1007" s="30"/>
      <c r="AD1007" s="30"/>
      <c r="AE1007" s="33"/>
      <c r="AF1007" s="31"/>
      <c r="AG1007" s="30"/>
      <c r="AH1007" s="30"/>
      <c r="AI1007" s="31"/>
      <c r="AJ1007" s="31"/>
      <c r="AK1007" s="32"/>
    </row>
    <row r="1008">
      <c r="A1008" s="21" t="s">
        <v>141</v>
      </c>
      <c r="B1008" s="22" t="s">
        <v>2282</v>
      </c>
      <c r="C1008" s="22" t="s">
        <v>294</v>
      </c>
      <c r="D1008" s="26">
        <v>45992.0</v>
      </c>
      <c r="E1008" s="22" t="s">
        <v>138</v>
      </c>
      <c r="F1008" s="22" t="s">
        <v>83</v>
      </c>
      <c r="G1008" s="22" t="s">
        <v>2283</v>
      </c>
      <c r="H1008" s="22" t="s">
        <v>141</v>
      </c>
      <c r="I1008" s="22">
        <v>1.0461130260803E13</v>
      </c>
      <c r="J1008" s="22" t="s">
        <v>2284</v>
      </c>
      <c r="K1008" s="24"/>
      <c r="L1008" s="22" t="s">
        <v>143</v>
      </c>
      <c r="M1008" s="22">
        <v>1.0</v>
      </c>
      <c r="N1008" s="22" t="s">
        <v>87</v>
      </c>
      <c r="O1008" s="22" t="s">
        <v>88</v>
      </c>
      <c r="P1008" s="24"/>
      <c r="Q1008" s="22" t="s">
        <v>90</v>
      </c>
      <c r="R1008" s="22">
        <v>3.2756535984451E13</v>
      </c>
      <c r="S1008" s="24"/>
      <c r="T1008" s="24"/>
      <c r="U1008" s="24"/>
      <c r="V1008" s="22" t="s">
        <v>54</v>
      </c>
      <c r="W1008" s="33"/>
      <c r="X1008" s="33"/>
      <c r="Y1008" s="30"/>
      <c r="Z1008" s="30"/>
      <c r="AA1008" s="33"/>
      <c r="AB1008" s="33"/>
      <c r="AC1008" s="30"/>
      <c r="AD1008" s="30"/>
      <c r="AE1008" s="33"/>
      <c r="AF1008" s="31"/>
      <c r="AG1008" s="30"/>
      <c r="AH1008" s="30"/>
      <c r="AI1008" s="31"/>
      <c r="AJ1008" s="31"/>
      <c r="AK1008" s="32"/>
    </row>
    <row r="1009">
      <c r="A1009" s="21" t="s">
        <v>632</v>
      </c>
      <c r="B1009" s="22" t="s">
        <v>963</v>
      </c>
      <c r="C1009" s="22" t="s">
        <v>273</v>
      </c>
      <c r="D1009" s="26">
        <v>45998.0</v>
      </c>
      <c r="E1009" s="22" t="s">
        <v>841</v>
      </c>
      <c r="F1009" s="22" t="s">
        <v>634</v>
      </c>
      <c r="G1009" s="22" t="s">
        <v>2285</v>
      </c>
      <c r="H1009" s="22" t="s">
        <v>632</v>
      </c>
      <c r="I1009" s="22">
        <v>1.0461147464003E13</v>
      </c>
      <c r="J1009" s="22" t="s">
        <v>965</v>
      </c>
      <c r="K1009" s="24"/>
      <c r="L1009" s="22" t="s">
        <v>637</v>
      </c>
      <c r="M1009" s="22">
        <v>1.0</v>
      </c>
      <c r="N1009" s="22" t="s">
        <v>638</v>
      </c>
      <c r="O1009" s="22" t="s">
        <v>639</v>
      </c>
      <c r="P1009" s="24"/>
      <c r="Q1009" s="22" t="s">
        <v>90</v>
      </c>
      <c r="R1009" s="22">
        <v>3.2756574617923E13</v>
      </c>
      <c r="S1009" s="24"/>
      <c r="T1009" s="24"/>
      <c r="U1009" s="24"/>
      <c r="V1009" s="22" t="s">
        <v>91</v>
      </c>
      <c r="W1009" s="33"/>
      <c r="X1009" s="33"/>
      <c r="Y1009" s="30"/>
      <c r="Z1009" s="30"/>
      <c r="AA1009" s="33"/>
      <c r="AB1009" s="33"/>
      <c r="AC1009" s="30"/>
      <c r="AD1009" s="30"/>
      <c r="AE1009" s="33"/>
      <c r="AF1009" s="31"/>
      <c r="AG1009" s="30"/>
      <c r="AH1009" s="30"/>
      <c r="AI1009" s="31"/>
      <c r="AJ1009" s="31"/>
      <c r="AK1009" s="32"/>
    </row>
    <row r="1010">
      <c r="A1010" s="21" t="s">
        <v>1105</v>
      </c>
      <c r="B1010" s="22" t="s">
        <v>1356</v>
      </c>
      <c r="C1010" s="22" t="s">
        <v>273</v>
      </c>
      <c r="D1010" s="23">
        <v>45991.0</v>
      </c>
      <c r="E1010" s="22" t="s">
        <v>153</v>
      </c>
      <c r="F1010" s="22" t="s">
        <v>329</v>
      </c>
      <c r="G1010" s="22" t="s">
        <v>2286</v>
      </c>
      <c r="H1010" s="22" t="s">
        <v>1105</v>
      </c>
      <c r="I1010" s="22">
        <v>1.0461152346435E13</v>
      </c>
      <c r="J1010" s="22" t="s">
        <v>1358</v>
      </c>
      <c r="K1010" s="24"/>
      <c r="L1010" s="22" t="s">
        <v>1107</v>
      </c>
      <c r="M1010" s="22">
        <v>1.0</v>
      </c>
      <c r="N1010" s="22" t="s">
        <v>333</v>
      </c>
      <c r="O1010" s="22" t="s">
        <v>334</v>
      </c>
      <c r="P1010" s="24"/>
      <c r="Q1010" s="22" t="s">
        <v>90</v>
      </c>
      <c r="R1010" s="22">
        <v>3.2756586512707E13</v>
      </c>
      <c r="S1010" s="24"/>
      <c r="T1010" s="24"/>
      <c r="U1010" s="24"/>
      <c r="V1010" s="22" t="s">
        <v>95</v>
      </c>
      <c r="W1010" s="33"/>
      <c r="X1010" s="33"/>
      <c r="Y1010" s="30"/>
      <c r="Z1010" s="30"/>
      <c r="AA1010" s="33"/>
      <c r="AB1010" s="33"/>
      <c r="AC1010" s="30"/>
      <c r="AD1010" s="30"/>
      <c r="AE1010" s="33"/>
      <c r="AF1010" s="31"/>
      <c r="AG1010" s="30"/>
      <c r="AH1010" s="30"/>
      <c r="AI1010" s="31"/>
      <c r="AJ1010" s="31"/>
      <c r="AK1010" s="32"/>
    </row>
    <row r="1011">
      <c r="A1011" s="21" t="s">
        <v>758</v>
      </c>
      <c r="B1011" s="22" t="s">
        <v>1648</v>
      </c>
      <c r="C1011" s="22" t="s">
        <v>202</v>
      </c>
      <c r="D1011" s="26">
        <v>45996.0</v>
      </c>
      <c r="E1011" s="22" t="s">
        <v>153</v>
      </c>
      <c r="F1011" s="22" t="s">
        <v>717</v>
      </c>
      <c r="G1011" s="22" t="s">
        <v>2287</v>
      </c>
      <c r="H1011" s="22" t="s">
        <v>758</v>
      </c>
      <c r="I1011" s="22">
        <v>1.0461185474883E13</v>
      </c>
      <c r="J1011" s="22" t="s">
        <v>1650</v>
      </c>
      <c r="K1011" s="24"/>
      <c r="L1011" s="22" t="s">
        <v>762</v>
      </c>
      <c r="M1011" s="22">
        <v>1.0</v>
      </c>
      <c r="N1011" s="22" t="s">
        <v>721</v>
      </c>
      <c r="O1011" s="22" t="s">
        <v>722</v>
      </c>
      <c r="P1011" s="24"/>
      <c r="Q1011" s="22" t="s">
        <v>90</v>
      </c>
      <c r="R1011" s="22">
        <v>3.2756659093827E13</v>
      </c>
      <c r="S1011" s="24"/>
      <c r="T1011" s="24"/>
      <c r="U1011" s="24"/>
      <c r="V1011" s="22" t="s">
        <v>54</v>
      </c>
      <c r="W1011" s="33"/>
      <c r="X1011" s="33"/>
      <c r="Y1011" s="30"/>
      <c r="Z1011" s="30"/>
      <c r="AA1011" s="33"/>
      <c r="AB1011" s="33"/>
      <c r="AC1011" s="30"/>
      <c r="AD1011" s="30"/>
      <c r="AE1011" s="33"/>
      <c r="AF1011" s="31"/>
      <c r="AG1011" s="30"/>
      <c r="AH1011" s="30"/>
      <c r="AI1011" s="31"/>
      <c r="AJ1011" s="31"/>
      <c r="AK1011" s="32"/>
    </row>
    <row r="1012">
      <c r="A1012" s="21" t="s">
        <v>300</v>
      </c>
      <c r="B1012" s="22" t="s">
        <v>1839</v>
      </c>
      <c r="C1012" s="22" t="s">
        <v>273</v>
      </c>
      <c r="D1012" s="26">
        <v>45998.0</v>
      </c>
      <c r="E1012" s="22" t="s">
        <v>266</v>
      </c>
      <c r="F1012" s="22" t="s">
        <v>303</v>
      </c>
      <c r="G1012" s="22" t="s">
        <v>2288</v>
      </c>
      <c r="H1012" s="22" t="s">
        <v>300</v>
      </c>
      <c r="I1012" s="22">
        <v>1.0461216047427E13</v>
      </c>
      <c r="J1012" s="22" t="s">
        <v>1841</v>
      </c>
      <c r="K1012" s="24"/>
      <c r="L1012" s="22" t="s">
        <v>306</v>
      </c>
      <c r="M1012" s="22">
        <v>1.0</v>
      </c>
      <c r="N1012" s="22" t="s">
        <v>307</v>
      </c>
      <c r="O1012" s="22" t="s">
        <v>308</v>
      </c>
      <c r="P1012" s="24"/>
      <c r="Q1012" s="22" t="s">
        <v>90</v>
      </c>
      <c r="R1012" s="22">
        <v>3.2756723122499E13</v>
      </c>
      <c r="S1012" s="24"/>
      <c r="T1012" s="24"/>
      <c r="U1012" s="24"/>
      <c r="V1012" s="27" t="s">
        <v>55</v>
      </c>
      <c r="W1012" s="33"/>
      <c r="X1012" s="33"/>
      <c r="Y1012" s="30"/>
      <c r="Z1012" s="30"/>
      <c r="AA1012" s="33"/>
      <c r="AB1012" s="33"/>
      <c r="AC1012" s="30"/>
      <c r="AD1012" s="30"/>
      <c r="AE1012" s="33"/>
      <c r="AF1012" s="31"/>
      <c r="AG1012" s="30"/>
      <c r="AH1012" s="30"/>
      <c r="AI1012" s="31"/>
      <c r="AJ1012" s="31"/>
      <c r="AK1012" s="32"/>
    </row>
    <row r="1013">
      <c r="A1013" s="21" t="s">
        <v>141</v>
      </c>
      <c r="B1013" s="22" t="s">
        <v>1408</v>
      </c>
      <c r="C1013" s="22" t="s">
        <v>273</v>
      </c>
      <c r="D1013" s="26">
        <v>45998.0</v>
      </c>
      <c r="E1013" s="22" t="s">
        <v>153</v>
      </c>
      <c r="F1013" s="22" t="s">
        <v>83</v>
      </c>
      <c r="G1013" s="22" t="s">
        <v>2289</v>
      </c>
      <c r="H1013" s="22" t="s">
        <v>141</v>
      </c>
      <c r="I1013" s="22">
        <v>1.0461249274179E13</v>
      </c>
      <c r="J1013" s="22" t="s">
        <v>1410</v>
      </c>
      <c r="K1013" s="24"/>
      <c r="L1013" s="22" t="s">
        <v>143</v>
      </c>
      <c r="M1013" s="22">
        <v>1.0</v>
      </c>
      <c r="N1013" s="22" t="s">
        <v>87</v>
      </c>
      <c r="O1013" s="22" t="s">
        <v>88</v>
      </c>
      <c r="P1013" s="24"/>
      <c r="Q1013" s="22" t="s">
        <v>90</v>
      </c>
      <c r="R1013" s="22">
        <v>3.2756805665091E13</v>
      </c>
      <c r="S1013" s="24"/>
      <c r="T1013" s="24"/>
      <c r="U1013" s="24"/>
      <c r="V1013" s="22" t="s">
        <v>54</v>
      </c>
      <c r="W1013" s="33"/>
      <c r="X1013" s="33"/>
      <c r="Y1013" s="30"/>
      <c r="Z1013" s="30"/>
      <c r="AA1013" s="33"/>
      <c r="AB1013" s="33"/>
      <c r="AC1013" s="30"/>
      <c r="AD1013" s="30"/>
      <c r="AE1013" s="33"/>
      <c r="AF1013" s="31"/>
      <c r="AG1013" s="30"/>
      <c r="AH1013" s="30"/>
      <c r="AI1013" s="31"/>
      <c r="AJ1013" s="31"/>
      <c r="AK1013" s="32"/>
    </row>
    <row r="1014">
      <c r="A1014" s="21" t="s">
        <v>979</v>
      </c>
      <c r="B1014" s="22" t="s">
        <v>1576</v>
      </c>
      <c r="C1014" s="22" t="s">
        <v>82</v>
      </c>
      <c r="D1014" s="26">
        <v>45997.0</v>
      </c>
      <c r="E1014" s="22" t="s">
        <v>1117</v>
      </c>
      <c r="F1014" s="22" t="s">
        <v>605</v>
      </c>
      <c r="G1014" s="22" t="s">
        <v>2290</v>
      </c>
      <c r="H1014" s="22" t="s">
        <v>979</v>
      </c>
      <c r="I1014" s="22">
        <v>1.0461286891843E13</v>
      </c>
      <c r="J1014" s="22" t="s">
        <v>1578</v>
      </c>
      <c r="K1014" s="24"/>
      <c r="L1014" s="22" t="s">
        <v>984</v>
      </c>
      <c r="M1014" s="22">
        <v>1.0</v>
      </c>
      <c r="N1014" s="22" t="s">
        <v>609</v>
      </c>
      <c r="O1014" s="22" t="s">
        <v>610</v>
      </c>
      <c r="P1014" s="24"/>
      <c r="Q1014" s="22" t="s">
        <v>90</v>
      </c>
      <c r="R1014" s="22">
        <v>3.2756887781699E13</v>
      </c>
      <c r="S1014" s="24"/>
      <c r="T1014" s="24"/>
      <c r="U1014" s="24"/>
      <c r="V1014" s="22" t="s">
        <v>55</v>
      </c>
      <c r="W1014" s="33"/>
      <c r="X1014" s="33"/>
      <c r="Y1014" s="30"/>
      <c r="Z1014" s="30"/>
      <c r="AA1014" s="33"/>
      <c r="AB1014" s="33"/>
      <c r="AC1014" s="30"/>
      <c r="AD1014" s="30"/>
      <c r="AE1014" s="33"/>
      <c r="AF1014" s="31"/>
      <c r="AG1014" s="30"/>
      <c r="AH1014" s="30"/>
      <c r="AI1014" s="31"/>
      <c r="AJ1014" s="31"/>
      <c r="AK1014" s="32"/>
    </row>
    <row r="1015">
      <c r="A1015" s="21" t="s">
        <v>692</v>
      </c>
      <c r="B1015" s="22" t="s">
        <v>424</v>
      </c>
      <c r="C1015" s="22" t="s">
        <v>273</v>
      </c>
      <c r="D1015" s="26">
        <v>45998.0</v>
      </c>
      <c r="E1015" s="22" t="s">
        <v>134</v>
      </c>
      <c r="F1015" s="22" t="s">
        <v>369</v>
      </c>
      <c r="G1015" s="22" t="s">
        <v>2291</v>
      </c>
      <c r="H1015" s="22" t="s">
        <v>692</v>
      </c>
      <c r="I1015" s="22">
        <v>1.0461335322947E13</v>
      </c>
      <c r="J1015" s="22" t="s">
        <v>426</v>
      </c>
      <c r="K1015" s="24"/>
      <c r="L1015" s="22" t="s">
        <v>694</v>
      </c>
      <c r="M1015" s="22">
        <v>1.0</v>
      </c>
      <c r="N1015" s="22" t="s">
        <v>373</v>
      </c>
      <c r="O1015" s="22" t="s">
        <v>374</v>
      </c>
      <c r="P1015" s="24"/>
      <c r="Q1015" s="22" t="s">
        <v>90</v>
      </c>
      <c r="R1015" s="22">
        <v>3.2756993425731E13</v>
      </c>
      <c r="S1015" s="24"/>
      <c r="T1015" s="24"/>
      <c r="U1015" s="24"/>
      <c r="V1015" s="22" t="s">
        <v>54</v>
      </c>
      <c r="W1015" s="33"/>
      <c r="X1015" s="33"/>
      <c r="Y1015" s="30"/>
      <c r="Z1015" s="30"/>
      <c r="AA1015" s="33"/>
      <c r="AB1015" s="33"/>
      <c r="AC1015" s="30"/>
      <c r="AD1015" s="30"/>
      <c r="AE1015" s="33"/>
      <c r="AF1015" s="31"/>
      <c r="AG1015" s="30"/>
      <c r="AH1015" s="30"/>
      <c r="AI1015" s="31"/>
      <c r="AJ1015" s="31"/>
      <c r="AK1015" s="32"/>
    </row>
    <row r="1016">
      <c r="A1016" s="21" t="s">
        <v>1622</v>
      </c>
      <c r="B1016" s="22" t="s">
        <v>2292</v>
      </c>
      <c r="C1016" s="22" t="s">
        <v>82</v>
      </c>
      <c r="D1016" s="26">
        <v>45997.0</v>
      </c>
      <c r="E1016" s="22" t="s">
        <v>2293</v>
      </c>
      <c r="F1016" s="22" t="s">
        <v>1466</v>
      </c>
      <c r="G1016" s="22" t="s">
        <v>2294</v>
      </c>
      <c r="H1016" s="22" t="s">
        <v>1622</v>
      </c>
      <c r="I1016" s="22">
        <v>1.0461380477251E13</v>
      </c>
      <c r="J1016" s="22" t="s">
        <v>2295</v>
      </c>
      <c r="K1016" s="24"/>
      <c r="L1016" s="22" t="s">
        <v>1627</v>
      </c>
      <c r="M1016" s="22">
        <v>1.0</v>
      </c>
      <c r="N1016" s="22" t="s">
        <v>1628</v>
      </c>
      <c r="O1016" s="22" t="s">
        <v>1629</v>
      </c>
      <c r="P1016" s="24"/>
      <c r="Q1016" s="22" t="s">
        <v>90</v>
      </c>
      <c r="R1016" s="22">
        <v>3.2757093400899E13</v>
      </c>
      <c r="S1016" s="24"/>
      <c r="T1016" s="24"/>
      <c r="U1016" s="24"/>
      <c r="V1016" s="22" t="s">
        <v>175</v>
      </c>
      <c r="W1016" s="33"/>
      <c r="X1016" s="33"/>
      <c r="Y1016" s="30"/>
      <c r="Z1016" s="30"/>
      <c r="AA1016" s="33"/>
      <c r="AB1016" s="33"/>
      <c r="AC1016" s="30"/>
      <c r="AD1016" s="30"/>
      <c r="AE1016" s="33"/>
      <c r="AF1016" s="31"/>
      <c r="AG1016" s="30"/>
      <c r="AH1016" s="30"/>
      <c r="AI1016" s="31"/>
      <c r="AJ1016" s="31"/>
      <c r="AK1016" s="32"/>
    </row>
    <row r="1017">
      <c r="A1017" s="21" t="s">
        <v>902</v>
      </c>
      <c r="B1017" s="22" t="s">
        <v>1258</v>
      </c>
      <c r="C1017" s="22" t="s">
        <v>273</v>
      </c>
      <c r="D1017" s="23">
        <v>45991.0</v>
      </c>
      <c r="E1017" s="22" t="s">
        <v>149</v>
      </c>
      <c r="F1017" s="22" t="s">
        <v>329</v>
      </c>
      <c r="G1017" s="22" t="s">
        <v>2296</v>
      </c>
      <c r="H1017" s="22" t="s">
        <v>902</v>
      </c>
      <c r="I1017" s="22">
        <v>1.0461400629571E13</v>
      </c>
      <c r="J1017" s="22" t="s">
        <v>1260</v>
      </c>
      <c r="K1017" s="24"/>
      <c r="L1017" s="22" t="s">
        <v>906</v>
      </c>
      <c r="M1017" s="22">
        <v>1.0</v>
      </c>
      <c r="N1017" s="22" t="s">
        <v>907</v>
      </c>
      <c r="O1017" s="22" t="s">
        <v>908</v>
      </c>
      <c r="P1017" s="24"/>
      <c r="Q1017" s="22" t="s">
        <v>90</v>
      </c>
      <c r="R1017" s="22">
        <v>3.2757142847811E13</v>
      </c>
      <c r="S1017" s="24"/>
      <c r="T1017" s="24"/>
      <c r="U1017" s="24"/>
      <c r="V1017" s="22" t="s">
        <v>105</v>
      </c>
      <c r="W1017" s="33"/>
      <c r="X1017" s="33"/>
      <c r="Y1017" s="30"/>
      <c r="Z1017" s="30"/>
      <c r="AA1017" s="33"/>
      <c r="AB1017" s="33"/>
      <c r="AC1017" s="30"/>
      <c r="AD1017" s="30"/>
      <c r="AE1017" s="33"/>
      <c r="AF1017" s="31"/>
      <c r="AG1017" s="30"/>
      <c r="AH1017" s="30"/>
      <c r="AI1017" s="31"/>
      <c r="AJ1017" s="31"/>
      <c r="AK1017" s="32"/>
    </row>
    <row r="1018">
      <c r="A1018" s="21" t="s">
        <v>2297</v>
      </c>
      <c r="B1018" s="22" t="s">
        <v>574</v>
      </c>
      <c r="C1018" s="22" t="s">
        <v>273</v>
      </c>
      <c r="D1018" s="26">
        <v>45998.0</v>
      </c>
      <c r="E1018" s="22" t="s">
        <v>187</v>
      </c>
      <c r="F1018" s="22" t="s">
        <v>440</v>
      </c>
      <c r="G1018" s="22" t="s">
        <v>2298</v>
      </c>
      <c r="H1018" s="22" t="s">
        <v>2297</v>
      </c>
      <c r="I1018" s="22">
        <v>1.0461592256835E13</v>
      </c>
      <c r="J1018" s="22" t="s">
        <v>576</v>
      </c>
      <c r="K1018" s="24"/>
      <c r="L1018" s="22" t="s">
        <v>2299</v>
      </c>
      <c r="M1018" s="22">
        <v>1.0</v>
      </c>
      <c r="N1018" s="22" t="s">
        <v>781</v>
      </c>
      <c r="O1018" s="22" t="s">
        <v>782</v>
      </c>
      <c r="P1018" s="24"/>
      <c r="Q1018" s="22" t="s">
        <v>90</v>
      </c>
      <c r="R1018" s="22">
        <v>3.2757547991363E13</v>
      </c>
      <c r="S1018" s="24"/>
      <c r="T1018" s="24"/>
      <c r="U1018" s="24"/>
      <c r="V1018" s="22" t="s">
        <v>175</v>
      </c>
      <c r="W1018" s="33"/>
      <c r="X1018" s="33"/>
      <c r="Y1018" s="30"/>
      <c r="Z1018" s="30"/>
      <c r="AA1018" s="33"/>
      <c r="AB1018" s="33"/>
      <c r="AC1018" s="30"/>
      <c r="AD1018" s="30"/>
      <c r="AE1018" s="33"/>
      <c r="AF1018" s="31"/>
      <c r="AG1018" s="30"/>
      <c r="AH1018" s="30"/>
      <c r="AI1018" s="31"/>
      <c r="AJ1018" s="31"/>
      <c r="AK1018" s="32"/>
    </row>
    <row r="1019">
      <c r="A1019" s="21" t="s">
        <v>924</v>
      </c>
      <c r="B1019" s="22" t="s">
        <v>2300</v>
      </c>
      <c r="C1019" s="22" t="s">
        <v>82</v>
      </c>
      <c r="D1019" s="26">
        <v>45997.0</v>
      </c>
      <c r="E1019" s="22" t="s">
        <v>2155</v>
      </c>
      <c r="F1019" s="22" t="s">
        <v>623</v>
      </c>
      <c r="G1019" s="22" t="s">
        <v>2301</v>
      </c>
      <c r="H1019" s="22" t="s">
        <v>924</v>
      </c>
      <c r="I1019" s="22">
        <v>1.0460061761859E13</v>
      </c>
      <c r="J1019" s="22" t="s">
        <v>2302</v>
      </c>
      <c r="K1019" s="24"/>
      <c r="L1019" s="22" t="s">
        <v>926</v>
      </c>
      <c r="M1019" s="22">
        <v>1.0</v>
      </c>
      <c r="N1019" s="22" t="s">
        <v>627</v>
      </c>
      <c r="O1019" s="22" t="s">
        <v>628</v>
      </c>
      <c r="P1019" s="24"/>
      <c r="Q1019" s="22" t="s">
        <v>90</v>
      </c>
      <c r="R1019" s="22">
        <v>3.2754297274691E13</v>
      </c>
      <c r="S1019" s="24"/>
      <c r="T1019" s="24"/>
      <c r="U1019" s="24"/>
      <c r="V1019" s="22" t="s">
        <v>55</v>
      </c>
      <c r="W1019" s="33"/>
      <c r="X1019" s="33"/>
      <c r="Y1019" s="30"/>
      <c r="Z1019" s="30"/>
      <c r="AA1019" s="33"/>
      <c r="AB1019" s="33"/>
      <c r="AC1019" s="30"/>
      <c r="AD1019" s="30"/>
      <c r="AE1019" s="33"/>
      <c r="AF1019" s="31"/>
      <c r="AG1019" s="30"/>
      <c r="AH1019" s="30"/>
      <c r="AI1019" s="31"/>
      <c r="AJ1019" s="31"/>
      <c r="AK1019" s="32"/>
    </row>
    <row r="1020">
      <c r="A1020" s="21" t="s">
        <v>470</v>
      </c>
      <c r="B1020" s="22" t="s">
        <v>516</v>
      </c>
      <c r="C1020" s="22" t="s">
        <v>273</v>
      </c>
      <c r="D1020" s="26">
        <v>45998.0</v>
      </c>
      <c r="E1020" s="22" t="s">
        <v>134</v>
      </c>
      <c r="F1020" s="22" t="s">
        <v>472</v>
      </c>
      <c r="G1020" s="22" t="s">
        <v>2303</v>
      </c>
      <c r="H1020" s="22" t="s">
        <v>470</v>
      </c>
      <c r="I1020" s="22">
        <v>1.0460063007043E13</v>
      </c>
      <c r="J1020" s="22" t="s">
        <v>518</v>
      </c>
      <c r="K1020" s="24"/>
      <c r="L1020" s="22" t="s">
        <v>475</v>
      </c>
      <c r="M1020" s="22">
        <v>1.0</v>
      </c>
      <c r="N1020" s="22" t="s">
        <v>476</v>
      </c>
      <c r="O1020" s="22" t="s">
        <v>477</v>
      </c>
      <c r="P1020" s="24"/>
      <c r="Q1020" s="22" t="s">
        <v>90</v>
      </c>
      <c r="R1020" s="22">
        <v>3.2754299339075E13</v>
      </c>
      <c r="S1020" s="24"/>
      <c r="T1020" s="24"/>
      <c r="U1020" s="24"/>
      <c r="V1020" s="22" t="s">
        <v>91</v>
      </c>
      <c r="W1020" s="33"/>
      <c r="X1020" s="33"/>
      <c r="Y1020" s="30"/>
      <c r="Z1020" s="30"/>
      <c r="AA1020" s="33"/>
      <c r="AB1020" s="33"/>
      <c r="AC1020" s="30"/>
      <c r="AD1020" s="30"/>
      <c r="AE1020" s="33"/>
      <c r="AF1020" s="31"/>
      <c r="AG1020" s="30"/>
      <c r="AH1020" s="30"/>
      <c r="AI1020" s="31"/>
      <c r="AJ1020" s="31"/>
      <c r="AK1020" s="32"/>
    </row>
    <row r="1021">
      <c r="A1021" s="21" t="s">
        <v>408</v>
      </c>
      <c r="B1021" s="22" t="s">
        <v>512</v>
      </c>
      <c r="C1021" s="22" t="s">
        <v>82</v>
      </c>
      <c r="D1021" s="26">
        <v>45997.0</v>
      </c>
      <c r="E1021" s="22" t="s">
        <v>153</v>
      </c>
      <c r="F1021" s="22" t="s">
        <v>377</v>
      </c>
      <c r="G1021" s="22" t="s">
        <v>2304</v>
      </c>
      <c r="H1021" s="22" t="s">
        <v>408</v>
      </c>
      <c r="I1021" s="22">
        <v>1.0460073623875E13</v>
      </c>
      <c r="J1021" s="22" t="s">
        <v>514</v>
      </c>
      <c r="K1021" s="24"/>
      <c r="L1021" s="22" t="s">
        <v>412</v>
      </c>
      <c r="M1021" s="22">
        <v>1.0</v>
      </c>
      <c r="N1021" s="22" t="s">
        <v>413</v>
      </c>
      <c r="O1021" s="22" t="s">
        <v>414</v>
      </c>
      <c r="P1021" s="24"/>
      <c r="Q1021" s="22" t="s">
        <v>90</v>
      </c>
      <c r="R1021" s="22">
        <v>3.2754323456323E13</v>
      </c>
      <c r="S1021" s="24"/>
      <c r="T1021" s="24"/>
      <c r="U1021" s="24"/>
      <c r="V1021" s="22" t="s">
        <v>127</v>
      </c>
      <c r="W1021" s="33"/>
      <c r="X1021" s="33"/>
      <c r="Y1021" s="30"/>
      <c r="Z1021" s="30"/>
      <c r="AA1021" s="33"/>
      <c r="AB1021" s="33"/>
      <c r="AC1021" s="30"/>
      <c r="AD1021" s="30"/>
      <c r="AE1021" s="33"/>
      <c r="AF1021" s="31"/>
      <c r="AG1021" s="30"/>
      <c r="AH1021" s="30"/>
      <c r="AI1021" s="31"/>
      <c r="AJ1021" s="31"/>
      <c r="AK1021" s="32"/>
    </row>
    <row r="1022">
      <c r="A1022" s="28"/>
      <c r="B1022" s="22" t="s">
        <v>512</v>
      </c>
      <c r="C1022" s="22" t="s">
        <v>82</v>
      </c>
      <c r="D1022" s="26">
        <v>45997.0</v>
      </c>
      <c r="E1022" s="22" t="s">
        <v>153</v>
      </c>
      <c r="F1022" s="22" t="s">
        <v>377</v>
      </c>
      <c r="G1022" s="22" t="s">
        <v>2304</v>
      </c>
      <c r="H1022" s="29"/>
      <c r="I1022" s="22">
        <v>1.0460073623875E13</v>
      </c>
      <c r="J1022" s="22" t="s">
        <v>514</v>
      </c>
      <c r="K1022" s="24"/>
      <c r="L1022" s="22" t="s">
        <v>767</v>
      </c>
      <c r="M1022" s="24"/>
      <c r="N1022" s="24"/>
      <c r="O1022" s="22" t="s">
        <v>768</v>
      </c>
      <c r="P1022" s="24"/>
      <c r="Q1022" s="22" t="s">
        <v>769</v>
      </c>
      <c r="R1022" s="24"/>
      <c r="S1022" s="24"/>
      <c r="T1022" s="24"/>
      <c r="U1022" s="24"/>
      <c r="V1022" s="22"/>
      <c r="W1022" s="33"/>
      <c r="X1022" s="33"/>
      <c r="Y1022" s="30"/>
      <c r="Z1022" s="30"/>
      <c r="AA1022" s="33"/>
      <c r="AB1022" s="33"/>
      <c r="AC1022" s="30"/>
      <c r="AD1022" s="30"/>
      <c r="AE1022" s="33"/>
      <c r="AF1022" s="31"/>
      <c r="AG1022" s="30"/>
      <c r="AH1022" s="30"/>
      <c r="AI1022" s="31"/>
      <c r="AJ1022" s="31"/>
      <c r="AK1022" s="32"/>
    </row>
    <row r="1023">
      <c r="A1023" s="21" t="s">
        <v>96</v>
      </c>
      <c r="B1023" s="22" t="s">
        <v>1352</v>
      </c>
      <c r="C1023" s="22" t="s">
        <v>82</v>
      </c>
      <c r="D1023" s="26">
        <v>45997.0</v>
      </c>
      <c r="E1023" s="22" t="s">
        <v>153</v>
      </c>
      <c r="F1023" s="22" t="s">
        <v>83</v>
      </c>
      <c r="G1023" s="22" t="s">
        <v>2305</v>
      </c>
      <c r="H1023" s="22" t="s">
        <v>96</v>
      </c>
      <c r="I1023" s="22">
        <v>1.0461611131203E13</v>
      </c>
      <c r="J1023" s="22" t="s">
        <v>1354</v>
      </c>
      <c r="K1023" s="24"/>
      <c r="L1023" s="22" t="s">
        <v>98</v>
      </c>
      <c r="M1023" s="22">
        <v>1.0</v>
      </c>
      <c r="N1023" s="22" t="s">
        <v>87</v>
      </c>
      <c r="O1023" s="22" t="s">
        <v>88</v>
      </c>
      <c r="P1023" s="24"/>
      <c r="Q1023" s="22" t="s">
        <v>90</v>
      </c>
      <c r="R1023" s="22">
        <v>3.2757588394307E13</v>
      </c>
      <c r="S1023" s="24"/>
      <c r="T1023" s="24"/>
      <c r="U1023" s="24"/>
      <c r="V1023" s="22" t="s">
        <v>55</v>
      </c>
      <c r="W1023" s="33"/>
      <c r="X1023" s="33"/>
      <c r="Y1023" s="30"/>
      <c r="Z1023" s="30"/>
      <c r="AA1023" s="33"/>
      <c r="AB1023" s="33"/>
      <c r="AC1023" s="30"/>
      <c r="AD1023" s="30"/>
      <c r="AE1023" s="33"/>
      <c r="AF1023" s="31"/>
      <c r="AG1023" s="30"/>
      <c r="AH1023" s="30"/>
      <c r="AI1023" s="31"/>
      <c r="AJ1023" s="31"/>
      <c r="AK1023" s="32"/>
    </row>
    <row r="1024">
      <c r="A1024" s="21" t="s">
        <v>803</v>
      </c>
      <c r="B1024" s="22" t="s">
        <v>2306</v>
      </c>
      <c r="C1024" s="22" t="s">
        <v>273</v>
      </c>
      <c r="D1024" s="26">
        <v>45998.0</v>
      </c>
      <c r="E1024" s="22" t="s">
        <v>266</v>
      </c>
      <c r="F1024" s="22" t="s">
        <v>623</v>
      </c>
      <c r="G1024" s="22" t="s">
        <v>2307</v>
      </c>
      <c r="H1024" s="22" t="s">
        <v>803</v>
      </c>
      <c r="I1024" s="22">
        <v>1.0461913022787E13</v>
      </c>
      <c r="J1024" s="22" t="s">
        <v>2308</v>
      </c>
      <c r="K1024" s="24"/>
      <c r="L1024" s="22" t="s">
        <v>805</v>
      </c>
      <c r="M1024" s="22">
        <v>1.0</v>
      </c>
      <c r="N1024" s="22" t="s">
        <v>627</v>
      </c>
      <c r="O1024" s="22" t="s">
        <v>628</v>
      </c>
      <c r="P1024" s="24"/>
      <c r="Q1024" s="22" t="s">
        <v>90</v>
      </c>
      <c r="R1024" s="22">
        <v>3.2758231466307E13</v>
      </c>
      <c r="S1024" s="24"/>
      <c r="T1024" s="24"/>
      <c r="U1024" s="24"/>
      <c r="V1024" s="22" t="s">
        <v>95</v>
      </c>
      <c r="W1024" s="33"/>
      <c r="X1024" s="33"/>
      <c r="Y1024" s="30"/>
      <c r="Z1024" s="30"/>
      <c r="AA1024" s="33"/>
      <c r="AB1024" s="33"/>
      <c r="AC1024" s="30"/>
      <c r="AD1024" s="30"/>
      <c r="AE1024" s="33"/>
      <c r="AF1024" s="31"/>
      <c r="AG1024" s="30"/>
      <c r="AH1024" s="30"/>
      <c r="AI1024" s="31"/>
      <c r="AJ1024" s="31"/>
      <c r="AK1024" s="32"/>
    </row>
    <row r="1025">
      <c r="A1025" s="21" t="s">
        <v>2309</v>
      </c>
      <c r="B1025" s="22" t="s">
        <v>868</v>
      </c>
      <c r="C1025" s="22" t="s">
        <v>273</v>
      </c>
      <c r="D1025" s="26">
        <v>45998.0</v>
      </c>
      <c r="E1025" s="22" t="s">
        <v>149</v>
      </c>
      <c r="F1025" s="22" t="s">
        <v>869</v>
      </c>
      <c r="G1025" s="22" t="s">
        <v>2310</v>
      </c>
      <c r="H1025" s="22" t="s">
        <v>2309</v>
      </c>
      <c r="I1025" s="22">
        <v>1.0461920002371E13</v>
      </c>
      <c r="J1025" s="22" t="s">
        <v>871</v>
      </c>
      <c r="K1025" s="24"/>
      <c r="L1025" s="22" t="s">
        <v>2311</v>
      </c>
      <c r="M1025" s="22">
        <v>1.0</v>
      </c>
      <c r="N1025" s="22" t="s">
        <v>873</v>
      </c>
      <c r="O1025" s="22" t="s">
        <v>874</v>
      </c>
      <c r="P1025" s="24"/>
      <c r="Q1025" s="22" t="s">
        <v>90</v>
      </c>
      <c r="R1025" s="22">
        <v>3.2758246932803E13</v>
      </c>
      <c r="S1025" s="24"/>
      <c r="T1025" s="24"/>
      <c r="U1025" s="24"/>
      <c r="V1025" s="22" t="s">
        <v>95</v>
      </c>
      <c r="W1025" s="33"/>
      <c r="X1025" s="33"/>
      <c r="Y1025" s="30"/>
      <c r="Z1025" s="30"/>
      <c r="AA1025" s="33"/>
      <c r="AB1025" s="33"/>
      <c r="AC1025" s="30"/>
      <c r="AD1025" s="30"/>
      <c r="AE1025" s="33"/>
      <c r="AF1025" s="31"/>
      <c r="AG1025" s="30"/>
      <c r="AH1025" s="30"/>
      <c r="AI1025" s="31"/>
      <c r="AJ1025" s="31"/>
      <c r="AK1025" s="32"/>
    </row>
    <row r="1026">
      <c r="A1026" s="21" t="s">
        <v>1242</v>
      </c>
      <c r="B1026" s="22" t="s">
        <v>815</v>
      </c>
      <c r="C1026" s="22" t="s">
        <v>82</v>
      </c>
      <c r="D1026" s="26">
        <v>45997.0</v>
      </c>
      <c r="E1026" s="22" t="s">
        <v>187</v>
      </c>
      <c r="F1026" s="22" t="s">
        <v>698</v>
      </c>
      <c r="G1026" s="22" t="s">
        <v>2312</v>
      </c>
      <c r="H1026" s="22" t="s">
        <v>1242</v>
      </c>
      <c r="I1026" s="22">
        <v>1.0461921411395E13</v>
      </c>
      <c r="J1026" s="22" t="s">
        <v>817</v>
      </c>
      <c r="K1026" s="24"/>
      <c r="L1026" s="22" t="s">
        <v>1244</v>
      </c>
      <c r="M1026" s="22">
        <v>1.0</v>
      </c>
      <c r="N1026" s="22" t="s">
        <v>702</v>
      </c>
      <c r="O1026" s="22" t="s">
        <v>703</v>
      </c>
      <c r="P1026" s="24"/>
      <c r="Q1026" s="22" t="s">
        <v>90</v>
      </c>
      <c r="R1026" s="22">
        <v>3.2758251127107E13</v>
      </c>
      <c r="S1026" s="24"/>
      <c r="T1026" s="24"/>
      <c r="U1026" s="24"/>
      <c r="V1026" s="22" t="s">
        <v>95</v>
      </c>
      <c r="W1026" s="33"/>
      <c r="X1026" s="33"/>
      <c r="Y1026" s="30"/>
      <c r="Z1026" s="30"/>
      <c r="AA1026" s="33"/>
      <c r="AB1026" s="33"/>
      <c r="AC1026" s="30"/>
      <c r="AD1026" s="30"/>
      <c r="AE1026" s="33"/>
      <c r="AF1026" s="31"/>
      <c r="AG1026" s="30"/>
      <c r="AH1026" s="30"/>
      <c r="AI1026" s="31"/>
      <c r="AJ1026" s="31"/>
      <c r="AK1026" s="32"/>
    </row>
    <row r="1027">
      <c r="A1027" s="21" t="s">
        <v>912</v>
      </c>
      <c r="B1027" s="22" t="s">
        <v>1120</v>
      </c>
      <c r="C1027" s="22" t="s">
        <v>82</v>
      </c>
      <c r="D1027" s="23">
        <v>46004.0</v>
      </c>
      <c r="E1027" s="22" t="s">
        <v>153</v>
      </c>
      <c r="F1027" s="22" t="s">
        <v>377</v>
      </c>
      <c r="G1027" s="22" t="s">
        <v>2313</v>
      </c>
      <c r="H1027" s="22" t="s">
        <v>912</v>
      </c>
      <c r="I1027" s="22">
        <v>1.0462041833795E13</v>
      </c>
      <c r="J1027" s="22" t="s">
        <v>1122</v>
      </c>
      <c r="K1027" s="24"/>
      <c r="L1027" s="22" t="s">
        <v>914</v>
      </c>
      <c r="M1027" s="22">
        <v>1.0</v>
      </c>
      <c r="N1027" s="22" t="s">
        <v>381</v>
      </c>
      <c r="O1027" s="22" t="s">
        <v>382</v>
      </c>
      <c r="P1027" s="24"/>
      <c r="Q1027" s="22" t="s">
        <v>90</v>
      </c>
      <c r="R1027" s="22">
        <v>3.2758521004355E13</v>
      </c>
      <c r="S1027" s="24"/>
      <c r="T1027" s="24"/>
      <c r="U1027" s="24"/>
      <c r="V1027" s="22" t="s">
        <v>54</v>
      </c>
      <c r="W1027" s="33"/>
      <c r="X1027" s="33"/>
      <c r="Y1027" s="30"/>
      <c r="Z1027" s="30"/>
      <c r="AA1027" s="33"/>
      <c r="AB1027" s="33"/>
      <c r="AC1027" s="30"/>
      <c r="AD1027" s="30"/>
      <c r="AE1027" s="33"/>
      <c r="AF1027" s="31"/>
      <c r="AG1027" s="30"/>
      <c r="AH1027" s="30"/>
      <c r="AI1027" s="31"/>
      <c r="AJ1027" s="31"/>
      <c r="AK1027" s="32"/>
    </row>
    <row r="1028">
      <c r="A1028" s="21" t="s">
        <v>488</v>
      </c>
      <c r="B1028" s="22" t="s">
        <v>2314</v>
      </c>
      <c r="C1028" s="22" t="s">
        <v>202</v>
      </c>
      <c r="D1028" s="26">
        <v>45996.0</v>
      </c>
      <c r="E1028" s="22" t="s">
        <v>266</v>
      </c>
      <c r="F1028" s="22" t="s">
        <v>311</v>
      </c>
      <c r="G1028" s="22" t="s">
        <v>2315</v>
      </c>
      <c r="H1028" s="22" t="s">
        <v>488</v>
      </c>
      <c r="I1028" s="22">
        <v>1.0462054515011E13</v>
      </c>
      <c r="J1028" s="22" t="s">
        <v>2316</v>
      </c>
      <c r="K1028" s="24"/>
      <c r="L1028" s="22" t="s">
        <v>492</v>
      </c>
      <c r="M1028" s="22">
        <v>1.0</v>
      </c>
      <c r="N1028" s="22" t="s">
        <v>391</v>
      </c>
      <c r="O1028" s="22" t="s">
        <v>392</v>
      </c>
      <c r="P1028" s="24"/>
      <c r="Q1028" s="22" t="s">
        <v>90</v>
      </c>
      <c r="R1028" s="22">
        <v>3.2758551511363E13</v>
      </c>
      <c r="S1028" s="24"/>
      <c r="T1028" s="24"/>
      <c r="U1028" s="24"/>
      <c r="V1028" s="22" t="s">
        <v>95</v>
      </c>
      <c r="W1028" s="33"/>
      <c r="X1028" s="33"/>
      <c r="Y1028" s="30"/>
      <c r="Z1028" s="30"/>
      <c r="AA1028" s="33"/>
      <c r="AB1028" s="33"/>
      <c r="AC1028" s="30"/>
      <c r="AD1028" s="30"/>
      <c r="AE1028" s="33"/>
      <c r="AF1028" s="31"/>
      <c r="AG1028" s="30"/>
      <c r="AH1028" s="30"/>
      <c r="AI1028" s="31"/>
      <c r="AJ1028" s="31"/>
      <c r="AK1028" s="32"/>
    </row>
    <row r="1029">
      <c r="A1029" s="21" t="s">
        <v>664</v>
      </c>
      <c r="B1029" s="22" t="s">
        <v>665</v>
      </c>
      <c r="C1029" s="22" t="s">
        <v>82</v>
      </c>
      <c r="D1029" s="26">
        <v>45997.0</v>
      </c>
      <c r="E1029" s="22" t="s">
        <v>196</v>
      </c>
      <c r="F1029" s="22" t="s">
        <v>472</v>
      </c>
      <c r="G1029" s="22" t="s">
        <v>2317</v>
      </c>
      <c r="H1029" s="22" t="s">
        <v>664</v>
      </c>
      <c r="I1029" s="22">
        <v>1.0462068146499E13</v>
      </c>
      <c r="J1029" s="22" t="s">
        <v>667</v>
      </c>
      <c r="K1029" s="24"/>
      <c r="L1029" s="22" t="s">
        <v>668</v>
      </c>
      <c r="M1029" s="22">
        <v>1.0</v>
      </c>
      <c r="N1029" s="22" t="s">
        <v>534</v>
      </c>
      <c r="O1029" s="22" t="s">
        <v>535</v>
      </c>
      <c r="P1029" s="24"/>
      <c r="Q1029" s="22" t="s">
        <v>90</v>
      </c>
      <c r="R1029" s="22">
        <v>3.2758584017219E13</v>
      </c>
      <c r="S1029" s="24"/>
      <c r="T1029" s="24"/>
      <c r="U1029" s="24"/>
      <c r="V1029" s="22" t="s">
        <v>175</v>
      </c>
      <c r="W1029" s="33"/>
      <c r="X1029" s="33"/>
      <c r="Y1029" s="30"/>
      <c r="Z1029" s="30"/>
      <c r="AA1029" s="33"/>
      <c r="AB1029" s="33"/>
      <c r="AC1029" s="30"/>
      <c r="AD1029" s="30"/>
      <c r="AE1029" s="33"/>
      <c r="AF1029" s="31"/>
      <c r="AG1029" s="30"/>
      <c r="AH1029" s="30"/>
      <c r="AI1029" s="31"/>
      <c r="AJ1029" s="31"/>
      <c r="AK1029" s="32"/>
    </row>
    <row r="1030">
      <c r="A1030" s="21" t="s">
        <v>806</v>
      </c>
      <c r="B1030" s="22" t="s">
        <v>578</v>
      </c>
      <c r="C1030" s="22" t="s">
        <v>82</v>
      </c>
      <c r="D1030" s="26">
        <v>45997.0</v>
      </c>
      <c r="E1030" s="22" t="s">
        <v>187</v>
      </c>
      <c r="F1030" s="22" t="s">
        <v>278</v>
      </c>
      <c r="G1030" s="22" t="s">
        <v>2318</v>
      </c>
      <c r="H1030" s="22" t="s">
        <v>806</v>
      </c>
      <c r="I1030" s="22">
        <v>1.0462080926019E13</v>
      </c>
      <c r="J1030" s="22" t="s">
        <v>1985</v>
      </c>
      <c r="K1030" s="24"/>
      <c r="L1030" s="22" t="s">
        <v>809</v>
      </c>
      <c r="M1030" s="22">
        <v>1.0</v>
      </c>
      <c r="N1030" s="22" t="s">
        <v>282</v>
      </c>
      <c r="O1030" s="22" t="s">
        <v>283</v>
      </c>
      <c r="P1030" s="24"/>
      <c r="Q1030" s="22" t="s">
        <v>90</v>
      </c>
      <c r="R1030" s="22">
        <v>3.2758612132163E13</v>
      </c>
      <c r="S1030" s="24"/>
      <c r="T1030" s="24"/>
      <c r="U1030" s="24"/>
      <c r="V1030" s="22" t="s">
        <v>95</v>
      </c>
      <c r="W1030" s="33"/>
      <c r="X1030" s="33"/>
      <c r="Y1030" s="30"/>
      <c r="Z1030" s="30"/>
      <c r="AA1030" s="33"/>
      <c r="AB1030" s="33"/>
      <c r="AC1030" s="30"/>
      <c r="AD1030" s="30"/>
      <c r="AE1030" s="33"/>
      <c r="AF1030" s="31"/>
      <c r="AG1030" s="30"/>
      <c r="AH1030" s="30"/>
      <c r="AI1030" s="31"/>
      <c r="AJ1030" s="31"/>
      <c r="AK1030" s="32"/>
    </row>
    <row r="1031">
      <c r="A1031" s="21" t="s">
        <v>96</v>
      </c>
      <c r="B1031" s="22" t="s">
        <v>1595</v>
      </c>
      <c r="C1031" s="22" t="s">
        <v>82</v>
      </c>
      <c r="D1031" s="26">
        <v>45997.0</v>
      </c>
      <c r="E1031" s="22" t="s">
        <v>149</v>
      </c>
      <c r="F1031" s="22" t="s">
        <v>83</v>
      </c>
      <c r="G1031" s="22" t="s">
        <v>2319</v>
      </c>
      <c r="H1031" s="22" t="s">
        <v>96</v>
      </c>
      <c r="I1031" s="22">
        <v>1.0462128898371E13</v>
      </c>
      <c r="J1031" s="22" t="s">
        <v>1597</v>
      </c>
      <c r="K1031" s="24"/>
      <c r="L1031" s="22" t="s">
        <v>98</v>
      </c>
      <c r="M1031" s="22">
        <v>1.0</v>
      </c>
      <c r="N1031" s="22" t="s">
        <v>87</v>
      </c>
      <c r="O1031" s="22" t="s">
        <v>88</v>
      </c>
      <c r="P1031" s="24"/>
      <c r="Q1031" s="22" t="s">
        <v>90</v>
      </c>
      <c r="R1031" s="22">
        <v>3.2758728917315E13</v>
      </c>
      <c r="S1031" s="24"/>
      <c r="T1031" s="24"/>
      <c r="U1031" s="24"/>
      <c r="V1031" s="22" t="s">
        <v>55</v>
      </c>
      <c r="W1031" s="33"/>
      <c r="X1031" s="33"/>
      <c r="Y1031" s="30"/>
      <c r="Z1031" s="30"/>
      <c r="AA1031" s="33"/>
      <c r="AB1031" s="33"/>
      <c r="AC1031" s="30"/>
      <c r="AD1031" s="30"/>
      <c r="AE1031" s="33"/>
      <c r="AF1031" s="31"/>
      <c r="AG1031" s="30"/>
      <c r="AH1031" s="30"/>
      <c r="AI1031" s="31"/>
      <c r="AJ1031" s="31"/>
      <c r="AK1031" s="32"/>
    </row>
    <row r="1032">
      <c r="A1032" s="21" t="s">
        <v>80</v>
      </c>
      <c r="B1032" s="22" t="s">
        <v>2320</v>
      </c>
      <c r="C1032" s="22" t="s">
        <v>82</v>
      </c>
      <c r="D1032" s="26">
        <v>45997.0</v>
      </c>
      <c r="E1032" s="22" t="s">
        <v>196</v>
      </c>
      <c r="F1032" s="22" t="s">
        <v>83</v>
      </c>
      <c r="G1032" s="22" t="s">
        <v>2321</v>
      </c>
      <c r="H1032" s="22" t="s">
        <v>80</v>
      </c>
      <c r="I1032" s="22">
        <v>1.0462139842883E13</v>
      </c>
      <c r="J1032" s="22" t="s">
        <v>2322</v>
      </c>
      <c r="K1032" s="24"/>
      <c r="L1032" s="22" t="s">
        <v>86</v>
      </c>
      <c r="M1032" s="22">
        <v>1.0</v>
      </c>
      <c r="N1032" s="22" t="s">
        <v>87</v>
      </c>
      <c r="O1032" s="22" t="s">
        <v>88</v>
      </c>
      <c r="P1032" s="24"/>
      <c r="Q1032" s="22" t="s">
        <v>90</v>
      </c>
      <c r="R1032" s="22">
        <v>3.2758755230019E13</v>
      </c>
      <c r="S1032" s="24"/>
      <c r="T1032" s="24"/>
      <c r="U1032" s="24"/>
      <c r="V1032" s="22" t="s">
        <v>91</v>
      </c>
      <c r="W1032" s="33"/>
      <c r="X1032" s="33"/>
      <c r="Y1032" s="30"/>
      <c r="Z1032" s="30"/>
      <c r="AA1032" s="33"/>
      <c r="AB1032" s="33"/>
      <c r="AC1032" s="30"/>
      <c r="AD1032" s="30"/>
      <c r="AE1032" s="33"/>
      <c r="AF1032" s="31"/>
      <c r="AG1032" s="30"/>
      <c r="AH1032" s="30"/>
      <c r="AI1032" s="31"/>
      <c r="AJ1032" s="31"/>
      <c r="AK1032" s="32"/>
    </row>
    <row r="1033">
      <c r="A1033" s="21" t="s">
        <v>185</v>
      </c>
      <c r="B1033" s="22" t="s">
        <v>773</v>
      </c>
      <c r="C1033" s="22" t="s">
        <v>273</v>
      </c>
      <c r="D1033" s="23">
        <v>45991.0</v>
      </c>
      <c r="E1033" s="22" t="s">
        <v>211</v>
      </c>
      <c r="F1033" s="22" t="s">
        <v>111</v>
      </c>
      <c r="G1033" s="22" t="s">
        <v>2323</v>
      </c>
      <c r="H1033" s="22" t="s">
        <v>185</v>
      </c>
      <c r="I1033" s="22">
        <v>1.0462166810947E13</v>
      </c>
      <c r="J1033" s="22" t="s">
        <v>775</v>
      </c>
      <c r="K1033" s="24"/>
      <c r="L1033" s="22" t="s">
        <v>190</v>
      </c>
      <c r="M1033" s="22">
        <v>1.0</v>
      </c>
      <c r="N1033" s="22" t="s">
        <v>115</v>
      </c>
      <c r="O1033" s="22" t="s">
        <v>116</v>
      </c>
      <c r="P1033" s="24"/>
      <c r="Q1033" s="22" t="s">
        <v>90</v>
      </c>
      <c r="R1033" s="22">
        <v>3.2758819586371E13</v>
      </c>
      <c r="S1033" s="24"/>
      <c r="T1033" s="24"/>
      <c r="U1033" s="24"/>
      <c r="V1033" s="22" t="s">
        <v>95</v>
      </c>
      <c r="W1033" s="33"/>
      <c r="X1033" s="33"/>
      <c r="Y1033" s="30"/>
      <c r="Z1033" s="30"/>
      <c r="AA1033" s="33"/>
      <c r="AB1033" s="33"/>
      <c r="AC1033" s="30"/>
      <c r="AD1033" s="30"/>
      <c r="AE1033" s="33"/>
      <c r="AF1033" s="31"/>
      <c r="AG1033" s="30"/>
      <c r="AH1033" s="30"/>
      <c r="AI1033" s="31"/>
      <c r="AJ1033" s="31"/>
      <c r="AK1033" s="32"/>
    </row>
    <row r="1034">
      <c r="A1034" s="21" t="s">
        <v>386</v>
      </c>
      <c r="B1034" s="22" t="s">
        <v>2324</v>
      </c>
      <c r="C1034" s="22" t="s">
        <v>336</v>
      </c>
      <c r="D1034" s="26">
        <v>45995.0</v>
      </c>
      <c r="E1034" s="22" t="s">
        <v>149</v>
      </c>
      <c r="F1034" s="22" t="s">
        <v>311</v>
      </c>
      <c r="G1034" s="22" t="s">
        <v>2325</v>
      </c>
      <c r="H1034" s="22" t="s">
        <v>386</v>
      </c>
      <c r="I1034" s="22">
        <v>1.0462189715779E13</v>
      </c>
      <c r="J1034" s="22" t="s">
        <v>2326</v>
      </c>
      <c r="K1034" s="24"/>
      <c r="L1034" s="22" t="s">
        <v>390</v>
      </c>
      <c r="M1034" s="22">
        <v>1.0</v>
      </c>
      <c r="N1034" s="22" t="s">
        <v>391</v>
      </c>
      <c r="O1034" s="22" t="s">
        <v>392</v>
      </c>
      <c r="P1034" s="24"/>
      <c r="Q1034" s="22" t="s">
        <v>90</v>
      </c>
      <c r="R1034" s="22">
        <v>3.2758874276163E13</v>
      </c>
      <c r="S1034" s="24"/>
      <c r="T1034" s="24"/>
      <c r="U1034" s="24"/>
      <c r="V1034" s="22" t="s">
        <v>55</v>
      </c>
      <c r="W1034" s="33"/>
      <c r="X1034" s="33"/>
      <c r="Y1034" s="30"/>
      <c r="Z1034" s="30"/>
      <c r="AA1034" s="33"/>
      <c r="AB1034" s="33"/>
      <c r="AC1034" s="30"/>
      <c r="AD1034" s="30"/>
      <c r="AE1034" s="33"/>
      <c r="AF1034" s="31"/>
      <c r="AG1034" s="30"/>
      <c r="AH1034" s="30"/>
      <c r="AI1034" s="31"/>
      <c r="AJ1034" s="31"/>
      <c r="AK1034" s="32"/>
    </row>
    <row r="1035">
      <c r="A1035" s="21" t="s">
        <v>1224</v>
      </c>
      <c r="B1035" s="22" t="s">
        <v>2327</v>
      </c>
      <c r="C1035" s="22" t="s">
        <v>82</v>
      </c>
      <c r="D1035" s="26">
        <v>45997.0</v>
      </c>
      <c r="E1035" s="22" t="s">
        <v>196</v>
      </c>
      <c r="F1035" s="22" t="s">
        <v>717</v>
      </c>
      <c r="G1035" s="22" t="s">
        <v>2328</v>
      </c>
      <c r="H1035" s="22" t="s">
        <v>1224</v>
      </c>
      <c r="I1035" s="22">
        <v>1.0462195188035E13</v>
      </c>
      <c r="J1035" s="22" t="s">
        <v>2329</v>
      </c>
      <c r="K1035" s="24"/>
      <c r="L1035" s="22" t="s">
        <v>1228</v>
      </c>
      <c r="M1035" s="22">
        <v>1.0</v>
      </c>
      <c r="N1035" s="22" t="s">
        <v>721</v>
      </c>
      <c r="O1035" s="22" t="s">
        <v>722</v>
      </c>
      <c r="P1035" s="24"/>
      <c r="Q1035" s="22" t="s">
        <v>90</v>
      </c>
      <c r="R1035" s="22">
        <v>3.2758887219523E13</v>
      </c>
      <c r="S1035" s="24"/>
      <c r="T1035" s="24"/>
      <c r="U1035" s="24"/>
      <c r="V1035" s="22" t="s">
        <v>91</v>
      </c>
      <c r="W1035" s="33"/>
      <c r="X1035" s="33"/>
      <c r="Y1035" s="30"/>
      <c r="Z1035" s="30"/>
      <c r="AA1035" s="33"/>
      <c r="AB1035" s="33"/>
      <c r="AC1035" s="30"/>
      <c r="AD1035" s="30"/>
      <c r="AE1035" s="33"/>
      <c r="AF1035" s="31"/>
      <c r="AG1035" s="30"/>
      <c r="AH1035" s="30"/>
      <c r="AI1035" s="31"/>
      <c r="AJ1035" s="31"/>
      <c r="AK1035" s="32"/>
    </row>
    <row r="1036">
      <c r="A1036" s="21" t="s">
        <v>124</v>
      </c>
      <c r="B1036" s="22" t="s">
        <v>1568</v>
      </c>
      <c r="C1036" s="22" t="s">
        <v>273</v>
      </c>
      <c r="D1036" s="23">
        <v>45991.0</v>
      </c>
      <c r="E1036" s="22" t="s">
        <v>134</v>
      </c>
      <c r="F1036" s="22" t="s">
        <v>83</v>
      </c>
      <c r="G1036" s="22" t="s">
        <v>2330</v>
      </c>
      <c r="H1036" s="22" t="s">
        <v>124</v>
      </c>
      <c r="I1036" s="22">
        <v>1.0462196597059E13</v>
      </c>
      <c r="J1036" s="22" t="s">
        <v>1570</v>
      </c>
      <c r="K1036" s="24"/>
      <c r="L1036" s="22" t="s">
        <v>126</v>
      </c>
      <c r="M1036" s="22">
        <v>1.0</v>
      </c>
      <c r="N1036" s="22" t="s">
        <v>103</v>
      </c>
      <c r="O1036" s="22" t="s">
        <v>104</v>
      </c>
      <c r="P1036" s="24"/>
      <c r="Q1036" s="22" t="s">
        <v>90</v>
      </c>
      <c r="R1036" s="22">
        <v>3.2758890987843E13</v>
      </c>
      <c r="S1036" s="24"/>
      <c r="T1036" s="24"/>
      <c r="U1036" s="24"/>
      <c r="V1036" s="22" t="s">
        <v>127</v>
      </c>
      <c r="W1036" s="33"/>
      <c r="X1036" s="33"/>
      <c r="Y1036" s="30"/>
      <c r="Z1036" s="30"/>
      <c r="AA1036" s="33"/>
      <c r="AB1036" s="33"/>
      <c r="AC1036" s="30"/>
      <c r="AD1036" s="30"/>
      <c r="AE1036" s="33"/>
      <c r="AF1036" s="31"/>
      <c r="AG1036" s="30"/>
      <c r="AH1036" s="30"/>
      <c r="AI1036" s="31"/>
      <c r="AJ1036" s="31"/>
      <c r="AK1036" s="32"/>
    </row>
    <row r="1037">
      <c r="A1037" s="21" t="s">
        <v>80</v>
      </c>
      <c r="B1037" s="22" t="s">
        <v>1662</v>
      </c>
      <c r="C1037" s="22" t="s">
        <v>82</v>
      </c>
      <c r="D1037" s="26">
        <v>45997.0</v>
      </c>
      <c r="E1037" s="22" t="s">
        <v>224</v>
      </c>
      <c r="F1037" s="22" t="s">
        <v>83</v>
      </c>
      <c r="G1037" s="22" t="s">
        <v>2331</v>
      </c>
      <c r="H1037" s="22" t="s">
        <v>80</v>
      </c>
      <c r="I1037" s="22">
        <v>1.0461692657987E13</v>
      </c>
      <c r="J1037" s="22" t="s">
        <v>1664</v>
      </c>
      <c r="K1037" s="24"/>
      <c r="L1037" s="22" t="s">
        <v>86</v>
      </c>
      <c r="M1037" s="22">
        <v>2.0</v>
      </c>
      <c r="N1037" s="22" t="s">
        <v>87</v>
      </c>
      <c r="O1037" s="22" t="s">
        <v>88</v>
      </c>
      <c r="P1037" s="24"/>
      <c r="Q1037" s="22" t="s">
        <v>90</v>
      </c>
      <c r="R1037" s="22">
        <v>3.2757760721219E13</v>
      </c>
      <c r="S1037" s="24"/>
      <c r="T1037" s="24"/>
      <c r="U1037" s="24"/>
      <c r="V1037" s="22" t="s">
        <v>91</v>
      </c>
      <c r="W1037" s="33"/>
      <c r="X1037" s="33"/>
      <c r="Y1037" s="30"/>
      <c r="Z1037" s="30"/>
      <c r="AA1037" s="33"/>
      <c r="AB1037" s="33"/>
      <c r="AC1037" s="30"/>
      <c r="AD1037" s="30"/>
      <c r="AE1037" s="33"/>
      <c r="AF1037" s="31"/>
      <c r="AG1037" s="30"/>
      <c r="AH1037" s="30"/>
      <c r="AI1037" s="31"/>
      <c r="AJ1037" s="31"/>
      <c r="AK1037" s="32"/>
    </row>
    <row r="1038">
      <c r="A1038" s="21" t="s">
        <v>96</v>
      </c>
      <c r="B1038" s="22" t="s">
        <v>1352</v>
      </c>
      <c r="C1038" s="22" t="s">
        <v>82</v>
      </c>
      <c r="D1038" s="26">
        <v>45997.0</v>
      </c>
      <c r="E1038" s="22" t="s">
        <v>153</v>
      </c>
      <c r="F1038" s="22" t="s">
        <v>83</v>
      </c>
      <c r="G1038" s="22" t="s">
        <v>2332</v>
      </c>
      <c r="H1038" s="22" t="s">
        <v>96</v>
      </c>
      <c r="I1038" s="22">
        <v>1.0461800038723E13</v>
      </c>
      <c r="J1038" s="22" t="s">
        <v>1354</v>
      </c>
      <c r="K1038" s="24"/>
      <c r="L1038" s="22" t="s">
        <v>98</v>
      </c>
      <c r="M1038" s="22">
        <v>1.0</v>
      </c>
      <c r="N1038" s="22" t="s">
        <v>87</v>
      </c>
      <c r="O1038" s="22" t="s">
        <v>88</v>
      </c>
      <c r="P1038" s="24"/>
      <c r="Q1038" s="22" t="s">
        <v>90</v>
      </c>
      <c r="R1038" s="22">
        <v>3.2757980692803E13</v>
      </c>
      <c r="S1038" s="24"/>
      <c r="T1038" s="24"/>
      <c r="U1038" s="24"/>
      <c r="V1038" s="22" t="s">
        <v>55</v>
      </c>
      <c r="W1038" s="33"/>
      <c r="X1038" s="33"/>
      <c r="Y1038" s="30"/>
      <c r="Z1038" s="30"/>
      <c r="AA1038" s="33"/>
      <c r="AB1038" s="33"/>
      <c r="AC1038" s="30"/>
      <c r="AD1038" s="30"/>
      <c r="AE1038" s="33"/>
      <c r="AF1038" s="31"/>
      <c r="AG1038" s="30"/>
      <c r="AH1038" s="30"/>
      <c r="AI1038" s="31"/>
      <c r="AJ1038" s="31"/>
      <c r="AK1038" s="32"/>
    </row>
    <row r="1039">
      <c r="A1039" s="21" t="s">
        <v>367</v>
      </c>
      <c r="B1039" s="22" t="s">
        <v>539</v>
      </c>
      <c r="C1039" s="22" t="s">
        <v>273</v>
      </c>
      <c r="D1039" s="26">
        <v>45998.0</v>
      </c>
      <c r="E1039" s="22" t="s">
        <v>149</v>
      </c>
      <c r="F1039" s="22" t="s">
        <v>369</v>
      </c>
      <c r="G1039" s="22" t="s">
        <v>2333</v>
      </c>
      <c r="H1039" s="22" t="s">
        <v>367</v>
      </c>
      <c r="I1039" s="22">
        <v>1.0461904634179E13</v>
      </c>
      <c r="J1039" s="22" t="s">
        <v>541</v>
      </c>
      <c r="K1039" s="24"/>
      <c r="L1039" s="22" t="s">
        <v>372</v>
      </c>
      <c r="M1039" s="22">
        <v>1.0</v>
      </c>
      <c r="N1039" s="22" t="s">
        <v>373</v>
      </c>
      <c r="O1039" s="22" t="s">
        <v>374</v>
      </c>
      <c r="P1039" s="24"/>
      <c r="Q1039" s="22" t="s">
        <v>90</v>
      </c>
      <c r="R1039" s="22">
        <v>3.2758212067651E13</v>
      </c>
      <c r="S1039" s="24"/>
      <c r="T1039" s="24"/>
      <c r="U1039" s="24"/>
      <c r="V1039" s="22" t="s">
        <v>55</v>
      </c>
      <c r="W1039" s="33"/>
      <c r="X1039" s="33"/>
      <c r="Y1039" s="30"/>
      <c r="Z1039" s="30"/>
      <c r="AA1039" s="33"/>
      <c r="AB1039" s="33"/>
      <c r="AC1039" s="30"/>
      <c r="AD1039" s="30"/>
      <c r="AE1039" s="33"/>
      <c r="AF1039" s="31"/>
      <c r="AG1039" s="30"/>
      <c r="AH1039" s="30"/>
      <c r="AI1039" s="31"/>
      <c r="AJ1039" s="31"/>
      <c r="AK1039" s="32"/>
    </row>
    <row r="1040">
      <c r="A1040" s="21" t="s">
        <v>1423</v>
      </c>
      <c r="B1040" s="22" t="s">
        <v>1648</v>
      </c>
      <c r="C1040" s="22" t="s">
        <v>202</v>
      </c>
      <c r="D1040" s="26">
        <v>45996.0</v>
      </c>
      <c r="E1040" s="22" t="s">
        <v>153</v>
      </c>
      <c r="F1040" s="22" t="s">
        <v>717</v>
      </c>
      <c r="G1040" s="22" t="s">
        <v>2334</v>
      </c>
      <c r="H1040" s="22" t="s">
        <v>1423</v>
      </c>
      <c r="I1040" s="22">
        <v>1.0462197711171E13</v>
      </c>
      <c r="J1040" s="22" t="s">
        <v>1650</v>
      </c>
      <c r="K1040" s="24"/>
      <c r="L1040" s="22" t="s">
        <v>1427</v>
      </c>
      <c r="M1040" s="22">
        <v>1.0</v>
      </c>
      <c r="N1040" s="22" t="s">
        <v>721</v>
      </c>
      <c r="O1040" s="22" t="s">
        <v>722</v>
      </c>
      <c r="P1040" s="24"/>
      <c r="Q1040" s="22" t="s">
        <v>90</v>
      </c>
      <c r="R1040" s="22">
        <v>3.2758892888387E13</v>
      </c>
      <c r="S1040" s="24"/>
      <c r="T1040" s="24"/>
      <c r="U1040" s="24"/>
      <c r="V1040" s="22" t="s">
        <v>95</v>
      </c>
      <c r="W1040" s="33"/>
      <c r="X1040" s="33"/>
      <c r="Y1040" s="30"/>
      <c r="Z1040" s="30"/>
      <c r="AA1040" s="33"/>
      <c r="AB1040" s="33"/>
      <c r="AC1040" s="30"/>
      <c r="AD1040" s="30"/>
      <c r="AE1040" s="33"/>
      <c r="AF1040" s="31"/>
      <c r="AG1040" s="30"/>
      <c r="AH1040" s="30"/>
      <c r="AI1040" s="31"/>
      <c r="AJ1040" s="31"/>
      <c r="AK1040" s="32"/>
    </row>
    <row r="1041">
      <c r="A1041" s="21" t="s">
        <v>828</v>
      </c>
      <c r="B1041" s="22" t="s">
        <v>2335</v>
      </c>
      <c r="C1041" s="22" t="s">
        <v>82</v>
      </c>
      <c r="D1041" s="26">
        <v>45997.0</v>
      </c>
      <c r="E1041" s="22" t="s">
        <v>177</v>
      </c>
      <c r="F1041" s="22" t="s">
        <v>634</v>
      </c>
      <c r="G1041" s="22" t="s">
        <v>2336</v>
      </c>
      <c r="H1041" s="22" t="s">
        <v>828</v>
      </c>
      <c r="I1041" s="22">
        <v>1.0462319477059E13</v>
      </c>
      <c r="J1041" s="22" t="s">
        <v>825</v>
      </c>
      <c r="K1041" s="24"/>
      <c r="L1041" s="22" t="s">
        <v>830</v>
      </c>
      <c r="M1041" s="22">
        <v>1.0</v>
      </c>
      <c r="N1041" s="22" t="s">
        <v>638</v>
      </c>
      <c r="O1041" s="22" t="s">
        <v>639</v>
      </c>
      <c r="P1041" s="24"/>
      <c r="Q1041" s="22" t="s">
        <v>90</v>
      </c>
      <c r="R1041" s="22">
        <v>3.2759181082947E13</v>
      </c>
      <c r="S1041" s="24"/>
      <c r="T1041" s="24"/>
      <c r="U1041" s="24"/>
      <c r="V1041" s="22" t="s">
        <v>95</v>
      </c>
      <c r="W1041" s="33"/>
      <c r="X1041" s="33"/>
      <c r="Y1041" s="30"/>
      <c r="Z1041" s="30"/>
      <c r="AA1041" s="33"/>
      <c r="AB1041" s="33"/>
      <c r="AC1041" s="30"/>
      <c r="AD1041" s="30"/>
      <c r="AE1041" s="33"/>
      <c r="AF1041" s="31"/>
      <c r="AG1041" s="30"/>
      <c r="AH1041" s="30"/>
      <c r="AI1041" s="31"/>
      <c r="AJ1041" s="31"/>
      <c r="AK1041" s="32"/>
    </row>
    <row r="1042">
      <c r="A1042" s="21" t="s">
        <v>845</v>
      </c>
      <c r="B1042" s="22" t="s">
        <v>2134</v>
      </c>
      <c r="C1042" s="22" t="s">
        <v>82</v>
      </c>
      <c r="D1042" s="26">
        <v>45997.0</v>
      </c>
      <c r="E1042" s="22" t="s">
        <v>522</v>
      </c>
      <c r="F1042" s="22" t="s">
        <v>451</v>
      </c>
      <c r="G1042" s="22" t="s">
        <v>2337</v>
      </c>
      <c r="H1042" s="22" t="s">
        <v>845</v>
      </c>
      <c r="I1042" s="22">
        <v>1.0462325047619E13</v>
      </c>
      <c r="J1042" s="22" t="s">
        <v>2136</v>
      </c>
      <c r="K1042" s="24"/>
      <c r="L1042" s="22" t="s">
        <v>847</v>
      </c>
      <c r="M1042" s="22">
        <v>1.0</v>
      </c>
      <c r="N1042" s="22" t="s">
        <v>455</v>
      </c>
      <c r="O1042" s="22" t="s">
        <v>456</v>
      </c>
      <c r="P1042" s="24"/>
      <c r="Q1042" s="22" t="s">
        <v>90</v>
      </c>
      <c r="R1042" s="22">
        <v>3.2759196385603E13</v>
      </c>
      <c r="S1042" s="24"/>
      <c r="T1042" s="24"/>
      <c r="U1042" s="24"/>
      <c r="V1042" s="22" t="s">
        <v>55</v>
      </c>
      <c r="W1042" s="33"/>
      <c r="X1042" s="33"/>
      <c r="Y1042" s="30"/>
      <c r="Z1042" s="30"/>
      <c r="AA1042" s="33"/>
      <c r="AB1042" s="33"/>
      <c r="AC1042" s="30"/>
      <c r="AD1042" s="30"/>
      <c r="AE1042" s="33"/>
      <c r="AF1042" s="31"/>
      <c r="AG1042" s="30"/>
      <c r="AH1042" s="30"/>
      <c r="AI1042" s="31"/>
      <c r="AJ1042" s="31"/>
      <c r="AK1042" s="32"/>
    </row>
    <row r="1043">
      <c r="A1043" s="21" t="s">
        <v>362</v>
      </c>
      <c r="B1043" s="22" t="s">
        <v>578</v>
      </c>
      <c r="C1043" s="22" t="s">
        <v>82</v>
      </c>
      <c r="D1043" s="26">
        <v>45997.0</v>
      </c>
      <c r="E1043" s="22" t="s">
        <v>187</v>
      </c>
      <c r="F1043" s="22" t="s">
        <v>278</v>
      </c>
      <c r="G1043" s="22" t="s">
        <v>2338</v>
      </c>
      <c r="H1043" s="22" t="s">
        <v>362</v>
      </c>
      <c r="I1043" s="22">
        <v>1.0462512054595E13</v>
      </c>
      <c r="J1043" s="22" t="s">
        <v>1985</v>
      </c>
      <c r="K1043" s="24"/>
      <c r="L1043" s="22" t="s">
        <v>366</v>
      </c>
      <c r="M1043" s="22">
        <v>1.0</v>
      </c>
      <c r="N1043" s="22" t="s">
        <v>282</v>
      </c>
      <c r="O1043" s="22" t="s">
        <v>283</v>
      </c>
      <c r="P1043" s="24"/>
      <c r="Q1043" s="22" t="s">
        <v>90</v>
      </c>
      <c r="R1043" s="22">
        <v>3.2759584260419E13</v>
      </c>
      <c r="S1043" s="24"/>
      <c r="T1043" s="24"/>
      <c r="U1043" s="24"/>
      <c r="V1043" s="22" t="s">
        <v>54</v>
      </c>
      <c r="W1043" s="33"/>
      <c r="X1043" s="33"/>
      <c r="Y1043" s="30"/>
      <c r="Z1043" s="30"/>
      <c r="AA1043" s="33"/>
      <c r="AB1043" s="33"/>
      <c r="AC1043" s="30"/>
      <c r="AD1043" s="30"/>
      <c r="AE1043" s="33"/>
      <c r="AF1043" s="31"/>
      <c r="AG1043" s="30"/>
      <c r="AH1043" s="30"/>
      <c r="AI1043" s="31"/>
      <c r="AJ1043" s="31"/>
      <c r="AK1043" s="32"/>
    </row>
    <row r="1044">
      <c r="A1044" s="21" t="s">
        <v>141</v>
      </c>
      <c r="B1044" s="22" t="s">
        <v>2339</v>
      </c>
      <c r="C1044" s="22" t="s">
        <v>82</v>
      </c>
      <c r="D1044" s="26">
        <v>45997.0</v>
      </c>
      <c r="E1044" s="22" t="s">
        <v>192</v>
      </c>
      <c r="F1044" s="22" t="s">
        <v>83</v>
      </c>
      <c r="G1044" s="22" t="s">
        <v>2340</v>
      </c>
      <c r="H1044" s="22" t="s">
        <v>141</v>
      </c>
      <c r="I1044" s="22">
        <v>1.0462519230787E13</v>
      </c>
      <c r="J1044" s="22" t="s">
        <v>2341</v>
      </c>
      <c r="K1044" s="24"/>
      <c r="L1044" s="22" t="s">
        <v>143</v>
      </c>
      <c r="M1044" s="22">
        <v>1.0</v>
      </c>
      <c r="N1044" s="22" t="s">
        <v>87</v>
      </c>
      <c r="O1044" s="22" t="s">
        <v>88</v>
      </c>
      <c r="P1044" s="24"/>
      <c r="Q1044" s="22" t="s">
        <v>90</v>
      </c>
      <c r="R1044" s="22">
        <v>3.2759599694147E13</v>
      </c>
      <c r="S1044" s="24"/>
      <c r="T1044" s="24"/>
      <c r="U1044" s="24"/>
      <c r="V1044" s="22" t="s">
        <v>54</v>
      </c>
      <c r="W1044" s="33"/>
      <c r="X1044" s="33"/>
      <c r="Y1044" s="30"/>
      <c r="Z1044" s="30"/>
      <c r="AA1044" s="33"/>
      <c r="AB1044" s="33"/>
      <c r="AC1044" s="30"/>
      <c r="AD1044" s="30"/>
      <c r="AE1044" s="33"/>
      <c r="AF1044" s="31"/>
      <c r="AG1044" s="30"/>
      <c r="AH1044" s="30"/>
      <c r="AI1044" s="31"/>
      <c r="AJ1044" s="31"/>
      <c r="AK1044" s="32"/>
    </row>
    <row r="1045">
      <c r="A1045" s="21" t="s">
        <v>529</v>
      </c>
      <c r="B1045" s="22" t="s">
        <v>471</v>
      </c>
      <c r="C1045" s="22" t="s">
        <v>82</v>
      </c>
      <c r="D1045" s="26">
        <v>45997.0</v>
      </c>
      <c r="E1045" s="22" t="s">
        <v>134</v>
      </c>
      <c r="F1045" s="22" t="s">
        <v>472</v>
      </c>
      <c r="G1045" s="22" t="s">
        <v>2342</v>
      </c>
      <c r="H1045" s="22" t="s">
        <v>529</v>
      </c>
      <c r="I1045" s="22">
        <v>1.0462560190787E13</v>
      </c>
      <c r="J1045" s="22" t="s">
        <v>474</v>
      </c>
      <c r="K1045" s="24"/>
      <c r="L1045" s="22" t="s">
        <v>533</v>
      </c>
      <c r="M1045" s="22">
        <v>1.0</v>
      </c>
      <c r="N1045" s="22" t="s">
        <v>534</v>
      </c>
      <c r="O1045" s="22" t="s">
        <v>535</v>
      </c>
      <c r="P1045" s="24"/>
      <c r="Q1045" s="22" t="s">
        <v>90</v>
      </c>
      <c r="R1045" s="22">
        <v>3.2759689216323E13</v>
      </c>
      <c r="S1045" s="24"/>
      <c r="T1045" s="24"/>
      <c r="U1045" s="24"/>
      <c r="V1045" s="22" t="s">
        <v>127</v>
      </c>
      <c r="W1045" s="33"/>
      <c r="X1045" s="33"/>
      <c r="Y1045" s="30"/>
      <c r="Z1045" s="30"/>
      <c r="AA1045" s="33"/>
      <c r="AB1045" s="33"/>
      <c r="AC1045" s="30"/>
      <c r="AD1045" s="30"/>
      <c r="AE1045" s="33"/>
      <c r="AF1045" s="31"/>
      <c r="AG1045" s="30"/>
      <c r="AH1045" s="30"/>
      <c r="AI1045" s="31"/>
      <c r="AJ1045" s="31"/>
      <c r="AK1045" s="32"/>
    </row>
    <row r="1046">
      <c r="A1046" s="21" t="s">
        <v>80</v>
      </c>
      <c r="B1046" s="22" t="s">
        <v>1912</v>
      </c>
      <c r="C1046" s="22" t="s">
        <v>202</v>
      </c>
      <c r="D1046" s="26">
        <v>45996.0</v>
      </c>
      <c r="E1046" s="22" t="s">
        <v>153</v>
      </c>
      <c r="F1046" s="22" t="s">
        <v>83</v>
      </c>
      <c r="G1046" s="22" t="s">
        <v>2343</v>
      </c>
      <c r="H1046" s="22" t="s">
        <v>80</v>
      </c>
      <c r="I1046" s="22">
        <v>1.0462573592899E13</v>
      </c>
      <c r="J1046" s="22" t="s">
        <v>1914</v>
      </c>
      <c r="K1046" s="24"/>
      <c r="L1046" s="22" t="s">
        <v>86</v>
      </c>
      <c r="M1046" s="22">
        <v>1.0</v>
      </c>
      <c r="N1046" s="22" t="s">
        <v>87</v>
      </c>
      <c r="O1046" s="22" t="s">
        <v>88</v>
      </c>
      <c r="P1046" s="24"/>
      <c r="Q1046" s="22" t="s">
        <v>90</v>
      </c>
      <c r="R1046" s="22">
        <v>3.2759721034051E13</v>
      </c>
      <c r="S1046" s="24"/>
      <c r="T1046" s="24"/>
      <c r="U1046" s="24"/>
      <c r="V1046" s="22" t="s">
        <v>91</v>
      </c>
      <c r="W1046" s="33"/>
      <c r="X1046" s="33"/>
      <c r="Y1046" s="30"/>
      <c r="Z1046" s="30"/>
      <c r="AA1046" s="33"/>
      <c r="AB1046" s="33"/>
      <c r="AC1046" s="30"/>
      <c r="AD1046" s="30"/>
      <c r="AE1046" s="33"/>
      <c r="AF1046" s="31"/>
      <c r="AG1046" s="30"/>
      <c r="AH1046" s="30"/>
      <c r="AI1046" s="31"/>
      <c r="AJ1046" s="31"/>
      <c r="AK1046" s="32"/>
    </row>
    <row r="1047">
      <c r="A1047" s="21" t="s">
        <v>879</v>
      </c>
      <c r="B1047" s="22" t="s">
        <v>868</v>
      </c>
      <c r="C1047" s="22" t="s">
        <v>273</v>
      </c>
      <c r="D1047" s="26">
        <v>45998.0</v>
      </c>
      <c r="E1047" s="22" t="s">
        <v>149</v>
      </c>
      <c r="F1047" s="22" t="s">
        <v>869</v>
      </c>
      <c r="G1047" s="22" t="s">
        <v>2344</v>
      </c>
      <c r="H1047" s="22" t="s">
        <v>879</v>
      </c>
      <c r="I1047" s="22">
        <v>1.0462580539715E13</v>
      </c>
      <c r="J1047" s="22" t="s">
        <v>871</v>
      </c>
      <c r="K1047" s="24"/>
      <c r="L1047" s="22" t="s">
        <v>881</v>
      </c>
      <c r="M1047" s="22">
        <v>1.0</v>
      </c>
      <c r="N1047" s="22" t="s">
        <v>882</v>
      </c>
      <c r="O1047" s="22" t="s">
        <v>883</v>
      </c>
      <c r="P1047" s="24"/>
      <c r="Q1047" s="22" t="s">
        <v>90</v>
      </c>
      <c r="R1047" s="22">
        <v>3.2759736009027E13</v>
      </c>
      <c r="S1047" s="24"/>
      <c r="T1047" s="24"/>
      <c r="U1047" s="24"/>
      <c r="V1047" s="27" t="s">
        <v>127</v>
      </c>
      <c r="W1047" s="33"/>
      <c r="X1047" s="33"/>
      <c r="Y1047" s="30"/>
      <c r="Z1047" s="30"/>
      <c r="AA1047" s="33"/>
      <c r="AB1047" s="33"/>
      <c r="AC1047" s="30"/>
      <c r="AD1047" s="30"/>
      <c r="AE1047" s="33"/>
      <c r="AF1047" s="31"/>
      <c r="AG1047" s="30"/>
      <c r="AH1047" s="30"/>
      <c r="AI1047" s="31"/>
      <c r="AJ1047" s="31"/>
      <c r="AK1047" s="32"/>
    </row>
    <row r="1048">
      <c r="A1048" s="21" t="s">
        <v>495</v>
      </c>
      <c r="B1048" s="22" t="s">
        <v>1138</v>
      </c>
      <c r="C1048" s="22" t="s">
        <v>273</v>
      </c>
      <c r="D1048" s="23">
        <v>45991.0</v>
      </c>
      <c r="E1048" s="22" t="s">
        <v>145</v>
      </c>
      <c r="F1048" s="22" t="s">
        <v>329</v>
      </c>
      <c r="G1048" s="22" t="s">
        <v>2345</v>
      </c>
      <c r="H1048" s="22" t="s">
        <v>495</v>
      </c>
      <c r="I1048" s="22">
        <v>1.0462614421827E13</v>
      </c>
      <c r="J1048" s="22" t="s">
        <v>1140</v>
      </c>
      <c r="K1048" s="24"/>
      <c r="L1048" s="22" t="s">
        <v>500</v>
      </c>
      <c r="M1048" s="22">
        <v>1.0</v>
      </c>
      <c r="N1048" s="22" t="s">
        <v>333</v>
      </c>
      <c r="O1048" s="22" t="s">
        <v>334</v>
      </c>
      <c r="P1048" s="24"/>
      <c r="Q1048" s="22" t="s">
        <v>90</v>
      </c>
      <c r="R1048" s="22">
        <v>3.2759811801411E13</v>
      </c>
      <c r="S1048" s="24"/>
      <c r="T1048" s="24"/>
      <c r="U1048" s="24"/>
      <c r="V1048" s="22" t="s">
        <v>54</v>
      </c>
      <c r="W1048" s="33"/>
      <c r="X1048" s="33"/>
      <c r="Y1048" s="30"/>
      <c r="Z1048" s="30"/>
      <c r="AA1048" s="33"/>
      <c r="AB1048" s="33"/>
      <c r="AC1048" s="30"/>
      <c r="AD1048" s="30"/>
      <c r="AE1048" s="33"/>
      <c r="AF1048" s="31"/>
      <c r="AG1048" s="30"/>
      <c r="AH1048" s="30"/>
      <c r="AI1048" s="31"/>
      <c r="AJ1048" s="31"/>
      <c r="AK1048" s="32"/>
    </row>
    <row r="1049">
      <c r="A1049" s="21" t="s">
        <v>96</v>
      </c>
      <c r="B1049" s="22" t="s">
        <v>2007</v>
      </c>
      <c r="C1049" s="22" t="s">
        <v>273</v>
      </c>
      <c r="D1049" s="23">
        <v>45991.0</v>
      </c>
      <c r="E1049" s="22" t="s">
        <v>153</v>
      </c>
      <c r="F1049" s="22" t="s">
        <v>83</v>
      </c>
      <c r="G1049" s="22" t="s">
        <v>2346</v>
      </c>
      <c r="H1049" s="22" t="s">
        <v>96</v>
      </c>
      <c r="I1049" s="22">
        <v>1.0462628806979E13</v>
      </c>
      <c r="J1049" s="22" t="s">
        <v>2009</v>
      </c>
      <c r="K1049" s="24"/>
      <c r="L1049" s="22" t="s">
        <v>98</v>
      </c>
      <c r="M1049" s="22">
        <v>1.0</v>
      </c>
      <c r="N1049" s="22" t="s">
        <v>87</v>
      </c>
      <c r="O1049" s="22" t="s">
        <v>88</v>
      </c>
      <c r="P1049" s="24"/>
      <c r="Q1049" s="22" t="s">
        <v>90</v>
      </c>
      <c r="R1049" s="22">
        <v>3.2759842210115E13</v>
      </c>
      <c r="S1049" s="24"/>
      <c r="T1049" s="24"/>
      <c r="U1049" s="24"/>
      <c r="V1049" s="22" t="s">
        <v>55</v>
      </c>
      <c r="W1049" s="33"/>
      <c r="X1049" s="33"/>
      <c r="Y1049" s="30"/>
      <c r="Z1049" s="30"/>
      <c r="AA1049" s="33"/>
      <c r="AB1049" s="33"/>
      <c r="AC1049" s="30"/>
      <c r="AD1049" s="30"/>
      <c r="AE1049" s="33"/>
      <c r="AF1049" s="31"/>
      <c r="AG1049" s="30"/>
      <c r="AH1049" s="30"/>
      <c r="AI1049" s="31"/>
      <c r="AJ1049" s="31"/>
      <c r="AK1049" s="32"/>
    </row>
    <row r="1050">
      <c r="A1050" s="21" t="s">
        <v>1217</v>
      </c>
      <c r="B1050" s="22" t="s">
        <v>2149</v>
      </c>
      <c r="C1050" s="22" t="s">
        <v>82</v>
      </c>
      <c r="D1050" s="26">
        <v>45997.0</v>
      </c>
      <c r="E1050" s="22" t="s">
        <v>196</v>
      </c>
      <c r="F1050" s="22" t="s">
        <v>605</v>
      </c>
      <c r="G1050" s="22" t="s">
        <v>2347</v>
      </c>
      <c r="H1050" s="22" t="s">
        <v>1217</v>
      </c>
      <c r="I1050" s="22">
        <v>1.0462632116547E13</v>
      </c>
      <c r="J1050" s="22" t="s">
        <v>2070</v>
      </c>
      <c r="K1050" s="24"/>
      <c r="L1050" s="22" t="s">
        <v>1219</v>
      </c>
      <c r="M1050" s="22">
        <v>1.0</v>
      </c>
      <c r="N1050" s="22" t="s">
        <v>609</v>
      </c>
      <c r="O1050" s="22" t="s">
        <v>610</v>
      </c>
      <c r="P1050" s="24"/>
      <c r="Q1050" s="22" t="s">
        <v>90</v>
      </c>
      <c r="R1050" s="22">
        <v>3.2759850434883E13</v>
      </c>
      <c r="S1050" s="24"/>
      <c r="T1050" s="24"/>
      <c r="U1050" s="24"/>
      <c r="V1050" s="22" t="s">
        <v>91</v>
      </c>
      <c r="W1050" s="33"/>
      <c r="X1050" s="33"/>
      <c r="Y1050" s="30"/>
      <c r="Z1050" s="30"/>
      <c r="AA1050" s="33"/>
      <c r="AB1050" s="33"/>
      <c r="AC1050" s="30"/>
      <c r="AD1050" s="30"/>
      <c r="AE1050" s="33"/>
      <c r="AF1050" s="31"/>
      <c r="AG1050" s="30"/>
      <c r="AH1050" s="30"/>
      <c r="AI1050" s="31"/>
      <c r="AJ1050" s="31"/>
      <c r="AK1050" s="32"/>
    </row>
    <row r="1051">
      <c r="A1051" s="21" t="s">
        <v>837</v>
      </c>
      <c r="B1051" s="22" t="s">
        <v>697</v>
      </c>
      <c r="C1051" s="22" t="s">
        <v>82</v>
      </c>
      <c r="D1051" s="26">
        <v>45997.0</v>
      </c>
      <c r="E1051" s="22" t="s">
        <v>439</v>
      </c>
      <c r="F1051" s="22" t="s">
        <v>698</v>
      </c>
      <c r="G1051" s="22" t="s">
        <v>2348</v>
      </c>
      <c r="H1051" s="22" t="s">
        <v>837</v>
      </c>
      <c r="I1051" s="22">
        <v>1.0462656397635E13</v>
      </c>
      <c r="J1051" s="22" t="s">
        <v>700</v>
      </c>
      <c r="K1051" s="24"/>
      <c r="L1051" s="22" t="s">
        <v>839</v>
      </c>
      <c r="M1051" s="22">
        <v>1.0</v>
      </c>
      <c r="N1051" s="22" t="s">
        <v>819</v>
      </c>
      <c r="O1051" s="22" t="s">
        <v>820</v>
      </c>
      <c r="P1051" s="24"/>
      <c r="Q1051" s="22" t="s">
        <v>90</v>
      </c>
      <c r="R1051" s="22">
        <v>3.2759903060291E13</v>
      </c>
      <c r="S1051" s="24"/>
      <c r="T1051" s="24"/>
      <c r="U1051" s="24"/>
      <c r="V1051" s="22" t="s">
        <v>105</v>
      </c>
      <c r="W1051" s="33"/>
      <c r="X1051" s="33"/>
      <c r="Y1051" s="30"/>
      <c r="Z1051" s="30"/>
      <c r="AA1051" s="33"/>
      <c r="AB1051" s="33"/>
      <c r="AC1051" s="30"/>
      <c r="AD1051" s="30"/>
      <c r="AE1051" s="33"/>
      <c r="AF1051" s="31"/>
      <c r="AG1051" s="30"/>
      <c r="AH1051" s="30"/>
      <c r="AI1051" s="31"/>
      <c r="AJ1051" s="31"/>
      <c r="AK1051" s="32"/>
    </row>
    <row r="1052">
      <c r="A1052" s="21" t="s">
        <v>686</v>
      </c>
      <c r="B1052" s="22" t="s">
        <v>450</v>
      </c>
      <c r="C1052" s="22" t="s">
        <v>82</v>
      </c>
      <c r="D1052" s="26">
        <v>45997.0</v>
      </c>
      <c r="E1052" s="22" t="s">
        <v>134</v>
      </c>
      <c r="F1052" s="22" t="s">
        <v>451</v>
      </c>
      <c r="G1052" s="22" t="s">
        <v>2349</v>
      </c>
      <c r="H1052" s="22" t="s">
        <v>686</v>
      </c>
      <c r="I1052" s="22">
        <v>1.0462665441603E13</v>
      </c>
      <c r="J1052" s="22" t="s">
        <v>453</v>
      </c>
      <c r="K1052" s="24"/>
      <c r="L1052" s="22" t="s">
        <v>688</v>
      </c>
      <c r="M1052" s="22">
        <v>1.0</v>
      </c>
      <c r="N1052" s="22" t="s">
        <v>455</v>
      </c>
      <c r="O1052" s="22" t="s">
        <v>456</v>
      </c>
      <c r="P1052" s="24"/>
      <c r="Q1052" s="22" t="s">
        <v>90</v>
      </c>
      <c r="R1052" s="22">
        <v>3.2759922557251E13</v>
      </c>
      <c r="S1052" s="24"/>
      <c r="T1052" s="24"/>
      <c r="U1052" s="24"/>
      <c r="V1052" s="22" t="s">
        <v>91</v>
      </c>
      <c r="W1052" s="33"/>
      <c r="X1052" s="33"/>
      <c r="Y1052" s="30"/>
      <c r="Z1052" s="30"/>
      <c r="AA1052" s="33"/>
      <c r="AB1052" s="33"/>
      <c r="AC1052" s="30"/>
      <c r="AD1052" s="30"/>
      <c r="AE1052" s="33"/>
      <c r="AF1052" s="31"/>
      <c r="AG1052" s="30"/>
      <c r="AH1052" s="30"/>
      <c r="AI1052" s="31"/>
      <c r="AJ1052" s="31"/>
      <c r="AK1052" s="32"/>
    </row>
    <row r="1053">
      <c r="A1053" s="21" t="s">
        <v>689</v>
      </c>
      <c r="B1053" s="22" t="s">
        <v>1322</v>
      </c>
      <c r="C1053" s="22" t="s">
        <v>82</v>
      </c>
      <c r="D1053" s="23">
        <v>46004.0</v>
      </c>
      <c r="E1053" s="22" t="s">
        <v>149</v>
      </c>
      <c r="F1053" s="22" t="s">
        <v>377</v>
      </c>
      <c r="G1053" s="22" t="s">
        <v>2350</v>
      </c>
      <c r="H1053" s="22" t="s">
        <v>689</v>
      </c>
      <c r="I1053" s="22">
        <v>1.0462670324035E13</v>
      </c>
      <c r="J1053" s="22" t="s">
        <v>1324</v>
      </c>
      <c r="K1053" s="24"/>
      <c r="L1053" s="22" t="s">
        <v>691</v>
      </c>
      <c r="M1053" s="22">
        <v>1.0</v>
      </c>
      <c r="N1053" s="22" t="s">
        <v>413</v>
      </c>
      <c r="O1053" s="22" t="s">
        <v>414</v>
      </c>
      <c r="P1053" s="24"/>
      <c r="Q1053" s="22" t="s">
        <v>90</v>
      </c>
      <c r="R1053" s="22">
        <v>3.2759932453187E13</v>
      </c>
      <c r="S1053" s="24"/>
      <c r="T1053" s="24"/>
      <c r="U1053" s="24"/>
      <c r="V1053" s="22" t="s">
        <v>175</v>
      </c>
      <c r="W1053" s="33"/>
      <c r="X1053" s="33"/>
      <c r="Y1053" s="30"/>
      <c r="Z1053" s="30"/>
      <c r="AA1053" s="33"/>
      <c r="AB1053" s="33"/>
      <c r="AC1053" s="30"/>
      <c r="AD1053" s="30"/>
      <c r="AE1053" s="33"/>
      <c r="AF1053" s="31"/>
      <c r="AG1053" s="30"/>
      <c r="AH1053" s="30"/>
      <c r="AI1053" s="31"/>
      <c r="AJ1053" s="31"/>
      <c r="AK1053" s="32"/>
    </row>
    <row r="1054">
      <c r="A1054" s="21" t="s">
        <v>1217</v>
      </c>
      <c r="B1054" s="22" t="s">
        <v>1576</v>
      </c>
      <c r="C1054" s="22" t="s">
        <v>82</v>
      </c>
      <c r="D1054" s="26">
        <v>45997.0</v>
      </c>
      <c r="E1054" s="22" t="s">
        <v>1117</v>
      </c>
      <c r="F1054" s="22" t="s">
        <v>605</v>
      </c>
      <c r="G1054" s="22" t="s">
        <v>2351</v>
      </c>
      <c r="H1054" s="22" t="s">
        <v>1217</v>
      </c>
      <c r="I1054" s="22">
        <v>1.0462697161027E13</v>
      </c>
      <c r="J1054" s="22" t="s">
        <v>1578</v>
      </c>
      <c r="K1054" s="24"/>
      <c r="L1054" s="22" t="s">
        <v>1219</v>
      </c>
      <c r="M1054" s="22">
        <v>1.0</v>
      </c>
      <c r="N1054" s="22" t="s">
        <v>609</v>
      </c>
      <c r="O1054" s="22" t="s">
        <v>610</v>
      </c>
      <c r="P1054" s="24"/>
      <c r="Q1054" s="22" t="s">
        <v>90</v>
      </c>
      <c r="R1054" s="22">
        <v>3.2759990059331E13</v>
      </c>
      <c r="S1054" s="24"/>
      <c r="T1054" s="24"/>
      <c r="U1054" s="24"/>
      <c r="V1054" s="22" t="s">
        <v>91</v>
      </c>
      <c r="W1054" s="33"/>
      <c r="X1054" s="33"/>
      <c r="Y1054" s="30"/>
      <c r="Z1054" s="30"/>
      <c r="AA1054" s="33"/>
      <c r="AB1054" s="33"/>
      <c r="AC1054" s="30"/>
      <c r="AD1054" s="30"/>
      <c r="AE1054" s="33"/>
      <c r="AF1054" s="31"/>
      <c r="AG1054" s="30"/>
      <c r="AH1054" s="30"/>
      <c r="AI1054" s="31"/>
      <c r="AJ1054" s="31"/>
      <c r="AK1054" s="32"/>
    </row>
    <row r="1055">
      <c r="A1055" s="28"/>
      <c r="B1055" s="22" t="s">
        <v>201</v>
      </c>
      <c r="C1055" s="22" t="s">
        <v>202</v>
      </c>
      <c r="D1055" s="23">
        <v>45982.0</v>
      </c>
      <c r="E1055" s="22" t="s">
        <v>134</v>
      </c>
      <c r="F1055" s="22" t="s">
        <v>203</v>
      </c>
      <c r="G1055" s="22" t="s">
        <v>204</v>
      </c>
      <c r="H1055" s="34"/>
      <c r="I1055" s="22">
        <v>1.0462702895427E13</v>
      </c>
      <c r="J1055" s="22" t="s">
        <v>205</v>
      </c>
      <c r="K1055" s="24"/>
      <c r="L1055" s="22" t="s">
        <v>2352</v>
      </c>
      <c r="M1055" s="24"/>
      <c r="N1055" s="24"/>
      <c r="O1055" s="22" t="s">
        <v>768</v>
      </c>
      <c r="P1055" s="24"/>
      <c r="Q1055" s="22" t="s">
        <v>769</v>
      </c>
      <c r="R1055" s="24"/>
      <c r="S1055" s="22" t="s">
        <v>89</v>
      </c>
      <c r="T1055" s="24"/>
      <c r="U1055" s="24"/>
      <c r="V1055" s="22"/>
      <c r="W1055" s="33"/>
      <c r="X1055" s="33"/>
      <c r="Y1055" s="30"/>
      <c r="Z1055" s="30"/>
      <c r="AA1055" s="33"/>
      <c r="AB1055" s="33"/>
      <c r="AC1055" s="30"/>
      <c r="AD1055" s="30"/>
      <c r="AE1055" s="33"/>
      <c r="AF1055" s="31"/>
      <c r="AG1055" s="30"/>
      <c r="AH1055" s="30"/>
      <c r="AI1055" s="31"/>
      <c r="AJ1055" s="31"/>
      <c r="AK1055" s="32"/>
    </row>
    <row r="1056">
      <c r="A1056" s="21" t="s">
        <v>200</v>
      </c>
      <c r="B1056" s="22" t="s">
        <v>2353</v>
      </c>
      <c r="C1056" s="22" t="s">
        <v>82</v>
      </c>
      <c r="D1056" s="23">
        <v>45982.0</v>
      </c>
      <c r="E1056" s="22" t="s">
        <v>134</v>
      </c>
      <c r="F1056" s="22" t="s">
        <v>203</v>
      </c>
      <c r="G1056" s="22" t="s">
        <v>2354</v>
      </c>
      <c r="H1056" s="22" t="s">
        <v>200</v>
      </c>
      <c r="I1056" s="22">
        <v>1.0462711251267E13</v>
      </c>
      <c r="J1056" s="22" t="s">
        <v>911</v>
      </c>
      <c r="K1056" s="24"/>
      <c r="L1056" s="22" t="s">
        <v>206</v>
      </c>
      <c r="M1056" s="22">
        <v>1.0</v>
      </c>
      <c r="N1056" s="22" t="s">
        <v>207</v>
      </c>
      <c r="O1056" s="22" t="s">
        <v>208</v>
      </c>
      <c r="P1056" s="24"/>
      <c r="Q1056" s="22" t="s">
        <v>90</v>
      </c>
      <c r="R1056" s="22">
        <v>3.2760019779907E13</v>
      </c>
      <c r="S1056" s="24"/>
      <c r="T1056" s="24"/>
      <c r="U1056" s="24"/>
      <c r="V1056" s="22" t="s">
        <v>54</v>
      </c>
      <c r="W1056" s="33"/>
      <c r="X1056" s="33"/>
      <c r="Y1056" s="30"/>
      <c r="Z1056" s="30"/>
      <c r="AA1056" s="33"/>
      <c r="AB1056" s="33"/>
      <c r="AC1056" s="30"/>
      <c r="AD1056" s="30"/>
      <c r="AE1056" s="33"/>
      <c r="AF1056" s="31"/>
      <c r="AG1056" s="30"/>
      <c r="AH1056" s="30"/>
      <c r="AI1056" s="31"/>
      <c r="AJ1056" s="31"/>
      <c r="AK1056" s="32"/>
    </row>
    <row r="1057">
      <c r="A1057" s="21" t="s">
        <v>1899</v>
      </c>
      <c r="B1057" s="22" t="s">
        <v>2353</v>
      </c>
      <c r="C1057" s="22" t="s">
        <v>82</v>
      </c>
      <c r="D1057" s="23">
        <v>45982.0</v>
      </c>
      <c r="E1057" s="22" t="s">
        <v>134</v>
      </c>
      <c r="F1057" s="22" t="s">
        <v>203</v>
      </c>
      <c r="G1057" s="22" t="s">
        <v>2354</v>
      </c>
      <c r="H1057" s="22" t="s">
        <v>1899</v>
      </c>
      <c r="I1057" s="22">
        <v>1.0462711251267E13</v>
      </c>
      <c r="J1057" s="22" t="s">
        <v>911</v>
      </c>
      <c r="K1057" s="24"/>
      <c r="L1057" s="22" t="s">
        <v>1901</v>
      </c>
      <c r="M1057" s="22">
        <v>1.0</v>
      </c>
      <c r="N1057" s="22" t="s">
        <v>900</v>
      </c>
      <c r="O1057" s="22" t="s">
        <v>901</v>
      </c>
      <c r="P1057" s="24"/>
      <c r="Q1057" s="22" t="s">
        <v>90</v>
      </c>
      <c r="R1057" s="22">
        <v>3.2760026267971E13</v>
      </c>
      <c r="S1057" s="24"/>
      <c r="T1057" s="24"/>
      <c r="U1057" s="24"/>
      <c r="V1057" s="22" t="s">
        <v>105</v>
      </c>
      <c r="W1057" s="33"/>
      <c r="X1057" s="33"/>
      <c r="Y1057" s="30"/>
      <c r="Z1057" s="30"/>
      <c r="AA1057" s="33"/>
      <c r="AB1057" s="33"/>
      <c r="AC1057" s="30"/>
      <c r="AD1057" s="30"/>
      <c r="AE1057" s="33"/>
      <c r="AF1057" s="31"/>
      <c r="AG1057" s="30"/>
      <c r="AH1057" s="30"/>
      <c r="AI1057" s="31"/>
      <c r="AJ1057" s="31"/>
      <c r="AK1057" s="32"/>
    </row>
    <row r="1058">
      <c r="A1058" s="28"/>
      <c r="B1058" s="22" t="s">
        <v>2353</v>
      </c>
      <c r="C1058" s="22" t="s">
        <v>82</v>
      </c>
      <c r="D1058" s="23">
        <v>45982.0</v>
      </c>
      <c r="E1058" s="22" t="s">
        <v>134</v>
      </c>
      <c r="F1058" s="22" t="s">
        <v>203</v>
      </c>
      <c r="G1058" s="22" t="s">
        <v>2354</v>
      </c>
      <c r="H1058" s="29"/>
      <c r="I1058" s="22">
        <v>1.0462711251267E13</v>
      </c>
      <c r="J1058" s="22" t="s">
        <v>911</v>
      </c>
      <c r="K1058" s="24"/>
      <c r="L1058" s="22" t="s">
        <v>2352</v>
      </c>
      <c r="M1058" s="24"/>
      <c r="N1058" s="24"/>
      <c r="O1058" s="22" t="s">
        <v>768</v>
      </c>
      <c r="P1058" s="24"/>
      <c r="Q1058" s="22" t="s">
        <v>769</v>
      </c>
      <c r="R1058" s="24"/>
      <c r="S1058" s="24"/>
      <c r="T1058" s="24"/>
      <c r="U1058" s="24"/>
      <c r="V1058" s="22"/>
      <c r="W1058" s="33"/>
      <c r="X1058" s="33"/>
      <c r="Y1058" s="30"/>
      <c r="Z1058" s="30"/>
      <c r="AA1058" s="33"/>
      <c r="AB1058" s="33"/>
      <c r="AC1058" s="30"/>
      <c r="AD1058" s="30"/>
      <c r="AE1058" s="33"/>
      <c r="AF1058" s="31"/>
      <c r="AG1058" s="30"/>
      <c r="AH1058" s="30"/>
      <c r="AI1058" s="31"/>
      <c r="AJ1058" s="31"/>
      <c r="AK1058" s="32"/>
    </row>
    <row r="1059">
      <c r="A1059" s="21" t="s">
        <v>92</v>
      </c>
      <c r="B1059" s="22" t="s">
        <v>2355</v>
      </c>
      <c r="C1059" s="22" t="s">
        <v>1284</v>
      </c>
      <c r="D1059" s="26">
        <v>45993.0</v>
      </c>
      <c r="E1059" s="22" t="s">
        <v>252</v>
      </c>
      <c r="F1059" s="22" t="s">
        <v>83</v>
      </c>
      <c r="G1059" s="22" t="s">
        <v>2356</v>
      </c>
      <c r="H1059" s="22" t="s">
        <v>92</v>
      </c>
      <c r="I1059" s="22">
        <v>1.0462776656195E13</v>
      </c>
      <c r="J1059" s="22" t="s">
        <v>2357</v>
      </c>
      <c r="K1059" s="24"/>
      <c r="L1059" s="22" t="s">
        <v>94</v>
      </c>
      <c r="M1059" s="22">
        <v>1.0</v>
      </c>
      <c r="N1059" s="22" t="s">
        <v>87</v>
      </c>
      <c r="O1059" s="22" t="s">
        <v>88</v>
      </c>
      <c r="P1059" s="24"/>
      <c r="Q1059" s="22" t="s">
        <v>90</v>
      </c>
      <c r="R1059" s="22">
        <v>3.2760168251715E13</v>
      </c>
      <c r="S1059" s="24"/>
      <c r="T1059" s="24"/>
      <c r="U1059" s="24"/>
      <c r="V1059" s="22" t="s">
        <v>95</v>
      </c>
      <c r="W1059" s="33"/>
      <c r="X1059" s="33"/>
      <c r="Y1059" s="30"/>
      <c r="Z1059" s="30"/>
      <c r="AA1059" s="33"/>
      <c r="AB1059" s="33"/>
      <c r="AC1059" s="30"/>
      <c r="AD1059" s="30"/>
      <c r="AE1059" s="33"/>
      <c r="AF1059" s="31"/>
      <c r="AG1059" s="30"/>
      <c r="AH1059" s="30"/>
      <c r="AI1059" s="31"/>
      <c r="AJ1059" s="31"/>
      <c r="AK1059" s="32"/>
    </row>
    <row r="1060">
      <c r="A1060" s="21" t="s">
        <v>560</v>
      </c>
      <c r="B1060" s="22" t="s">
        <v>355</v>
      </c>
      <c r="C1060" s="22" t="s">
        <v>273</v>
      </c>
      <c r="D1060" s="23">
        <v>45991.0</v>
      </c>
      <c r="E1060" s="22" t="s">
        <v>149</v>
      </c>
      <c r="F1060" s="22" t="s">
        <v>356</v>
      </c>
      <c r="G1060" s="22" t="s">
        <v>2358</v>
      </c>
      <c r="H1060" s="22" t="s">
        <v>560</v>
      </c>
      <c r="I1060" s="22">
        <v>1.0462837506371E13</v>
      </c>
      <c r="J1060" s="22" t="s">
        <v>562</v>
      </c>
      <c r="K1060" s="24"/>
      <c r="L1060" s="22" t="s">
        <v>563</v>
      </c>
      <c r="M1060" s="22">
        <v>1.0</v>
      </c>
      <c r="N1060" s="22" t="s">
        <v>360</v>
      </c>
      <c r="O1060" s="22" t="s">
        <v>361</v>
      </c>
      <c r="P1060" s="24"/>
      <c r="Q1060" s="22" t="s">
        <v>90</v>
      </c>
      <c r="R1060" s="22">
        <v>3.2760300896579E13</v>
      </c>
      <c r="S1060" s="24"/>
      <c r="T1060" s="24"/>
      <c r="U1060" s="24"/>
      <c r="V1060" s="22" t="s">
        <v>91</v>
      </c>
      <c r="W1060" s="33"/>
      <c r="X1060" s="33"/>
      <c r="Y1060" s="30"/>
      <c r="Z1060" s="30"/>
      <c r="AA1060" s="33"/>
      <c r="AB1060" s="33"/>
      <c r="AC1060" s="30"/>
      <c r="AD1060" s="30"/>
      <c r="AE1060" s="33"/>
      <c r="AF1060" s="31"/>
      <c r="AG1060" s="30"/>
      <c r="AH1060" s="30"/>
      <c r="AI1060" s="31"/>
      <c r="AJ1060" s="31"/>
      <c r="AK1060" s="32"/>
    </row>
    <row r="1061">
      <c r="A1061" s="21" t="s">
        <v>375</v>
      </c>
      <c r="B1061" s="22" t="s">
        <v>512</v>
      </c>
      <c r="C1061" s="22" t="s">
        <v>82</v>
      </c>
      <c r="D1061" s="26">
        <v>45997.0</v>
      </c>
      <c r="E1061" s="22" t="s">
        <v>153</v>
      </c>
      <c r="F1061" s="22" t="s">
        <v>377</v>
      </c>
      <c r="G1061" s="22" t="s">
        <v>2359</v>
      </c>
      <c r="H1061" s="22" t="s">
        <v>375</v>
      </c>
      <c r="I1061" s="22">
        <v>1.0462882693443E13</v>
      </c>
      <c r="J1061" s="22" t="s">
        <v>514</v>
      </c>
      <c r="K1061" s="24"/>
      <c r="L1061" s="22" t="s">
        <v>380</v>
      </c>
      <c r="M1061" s="22">
        <v>1.0</v>
      </c>
      <c r="N1061" s="22" t="s">
        <v>381</v>
      </c>
      <c r="O1061" s="22" t="s">
        <v>382</v>
      </c>
      <c r="P1061" s="24"/>
      <c r="Q1061" s="22" t="s">
        <v>90</v>
      </c>
      <c r="R1061" s="22">
        <v>3.2760405360963E13</v>
      </c>
      <c r="S1061" s="24"/>
      <c r="T1061" s="24"/>
      <c r="U1061" s="24"/>
      <c r="V1061" s="22" t="s">
        <v>55</v>
      </c>
      <c r="W1061" s="33"/>
      <c r="X1061" s="33"/>
      <c r="Y1061" s="30"/>
      <c r="Z1061" s="30"/>
      <c r="AA1061" s="33"/>
      <c r="AB1061" s="33"/>
      <c r="AC1061" s="30"/>
      <c r="AD1061" s="30"/>
      <c r="AE1061" s="33"/>
      <c r="AF1061" s="31"/>
      <c r="AG1061" s="30"/>
      <c r="AH1061" s="30"/>
      <c r="AI1061" s="31"/>
      <c r="AJ1061" s="31"/>
      <c r="AK1061" s="32"/>
    </row>
    <row r="1062">
      <c r="A1062" s="21" t="s">
        <v>339</v>
      </c>
      <c r="B1062" s="22" t="s">
        <v>2360</v>
      </c>
      <c r="C1062" s="22" t="s">
        <v>82</v>
      </c>
      <c r="D1062" s="26">
        <v>45997.0</v>
      </c>
      <c r="E1062" s="22" t="s">
        <v>1054</v>
      </c>
      <c r="F1062" s="22" t="s">
        <v>341</v>
      </c>
      <c r="G1062" s="22" t="s">
        <v>2361</v>
      </c>
      <c r="H1062" s="22" t="s">
        <v>339</v>
      </c>
      <c r="I1062" s="22">
        <v>1.0462908449091E13</v>
      </c>
      <c r="J1062" s="22" t="s">
        <v>2362</v>
      </c>
      <c r="K1062" s="24"/>
      <c r="L1062" s="22" t="s">
        <v>344</v>
      </c>
      <c r="M1062" s="22">
        <v>1.0</v>
      </c>
      <c r="N1062" s="22" t="s">
        <v>345</v>
      </c>
      <c r="O1062" s="22" t="s">
        <v>346</v>
      </c>
      <c r="P1062" s="24"/>
      <c r="Q1062" s="22" t="s">
        <v>90</v>
      </c>
      <c r="R1062" s="22">
        <v>3.2760463327555E13</v>
      </c>
      <c r="S1062" s="24"/>
      <c r="T1062" s="24"/>
      <c r="U1062" s="24"/>
      <c r="V1062" s="22" t="s">
        <v>55</v>
      </c>
      <c r="W1062" s="33"/>
      <c r="X1062" s="33"/>
      <c r="Y1062" s="30"/>
      <c r="Z1062" s="30"/>
      <c r="AA1062" s="33"/>
      <c r="AB1062" s="33"/>
      <c r="AC1062" s="30"/>
      <c r="AD1062" s="30"/>
      <c r="AE1062" s="33"/>
      <c r="AF1062" s="31"/>
      <c r="AG1062" s="30"/>
      <c r="AH1062" s="30"/>
      <c r="AI1062" s="31"/>
      <c r="AJ1062" s="31"/>
      <c r="AK1062" s="32"/>
    </row>
    <row r="1063">
      <c r="A1063" s="21" t="s">
        <v>515</v>
      </c>
      <c r="B1063" s="22" t="s">
        <v>471</v>
      </c>
      <c r="C1063" s="22" t="s">
        <v>82</v>
      </c>
      <c r="D1063" s="26">
        <v>45997.0</v>
      </c>
      <c r="E1063" s="22" t="s">
        <v>134</v>
      </c>
      <c r="F1063" s="22" t="s">
        <v>472</v>
      </c>
      <c r="G1063" s="22" t="s">
        <v>2363</v>
      </c>
      <c r="H1063" s="22" t="s">
        <v>515</v>
      </c>
      <c r="I1063" s="22">
        <v>1.0462910087491E13</v>
      </c>
      <c r="J1063" s="22" t="s">
        <v>474</v>
      </c>
      <c r="K1063" s="24"/>
      <c r="L1063" s="22" t="s">
        <v>519</v>
      </c>
      <c r="M1063" s="22">
        <v>1.0</v>
      </c>
      <c r="N1063" s="22" t="s">
        <v>476</v>
      </c>
      <c r="O1063" s="22" t="s">
        <v>477</v>
      </c>
      <c r="P1063" s="24"/>
      <c r="Q1063" s="22" t="s">
        <v>90</v>
      </c>
      <c r="R1063" s="22">
        <v>3.2760466374979E13</v>
      </c>
      <c r="S1063" s="24"/>
      <c r="T1063" s="24"/>
      <c r="U1063" s="24"/>
      <c r="V1063" s="22" t="s">
        <v>55</v>
      </c>
      <c r="W1063" s="33"/>
      <c r="X1063" s="33"/>
      <c r="Y1063" s="30"/>
      <c r="Z1063" s="30"/>
      <c r="AA1063" s="33"/>
      <c r="AB1063" s="33"/>
      <c r="AC1063" s="30"/>
      <c r="AD1063" s="30"/>
      <c r="AE1063" s="33"/>
      <c r="AF1063" s="31"/>
      <c r="AG1063" s="30"/>
      <c r="AH1063" s="30"/>
      <c r="AI1063" s="31"/>
      <c r="AJ1063" s="31"/>
      <c r="AK1063" s="32"/>
    </row>
    <row r="1064">
      <c r="A1064" s="21" t="s">
        <v>92</v>
      </c>
      <c r="B1064" s="22" t="s">
        <v>1373</v>
      </c>
      <c r="C1064" s="22" t="s">
        <v>273</v>
      </c>
      <c r="D1064" s="23">
        <v>45991.0</v>
      </c>
      <c r="E1064" s="22" t="s">
        <v>149</v>
      </c>
      <c r="F1064" s="22" t="s">
        <v>83</v>
      </c>
      <c r="G1064" s="22" t="s">
        <v>2364</v>
      </c>
      <c r="H1064" s="22" t="s">
        <v>92</v>
      </c>
      <c r="I1064" s="22">
        <v>1.0462915133763E13</v>
      </c>
      <c r="J1064" s="22" t="s">
        <v>1375</v>
      </c>
      <c r="K1064" s="24"/>
      <c r="L1064" s="22" t="s">
        <v>94</v>
      </c>
      <c r="M1064" s="22">
        <v>1.0</v>
      </c>
      <c r="N1064" s="22" t="s">
        <v>87</v>
      </c>
      <c r="O1064" s="22" t="s">
        <v>88</v>
      </c>
      <c r="P1064" s="24"/>
      <c r="Q1064" s="22" t="s">
        <v>90</v>
      </c>
      <c r="R1064" s="22">
        <v>3.2760479351107E13</v>
      </c>
      <c r="S1064" s="24"/>
      <c r="T1064" s="24"/>
      <c r="U1064" s="24"/>
      <c r="V1064" s="22" t="s">
        <v>95</v>
      </c>
      <c r="W1064" s="33"/>
      <c r="X1064" s="33"/>
      <c r="Y1064" s="30"/>
      <c r="Z1064" s="30"/>
      <c r="AA1064" s="33"/>
      <c r="AB1064" s="33"/>
      <c r="AC1064" s="30"/>
      <c r="AD1064" s="30"/>
      <c r="AE1064" s="33"/>
      <c r="AF1064" s="31"/>
      <c r="AG1064" s="30"/>
      <c r="AH1064" s="30"/>
      <c r="AI1064" s="31"/>
      <c r="AJ1064" s="31"/>
      <c r="AK1064" s="32"/>
    </row>
    <row r="1065">
      <c r="A1065" s="21" t="s">
        <v>209</v>
      </c>
      <c r="B1065" s="22" t="s">
        <v>2365</v>
      </c>
      <c r="C1065" s="22" t="s">
        <v>82</v>
      </c>
      <c r="D1065" s="26">
        <v>45997.0</v>
      </c>
      <c r="E1065" s="22" t="s">
        <v>177</v>
      </c>
      <c r="F1065" s="22" t="s">
        <v>111</v>
      </c>
      <c r="G1065" s="22" t="s">
        <v>2366</v>
      </c>
      <c r="H1065" s="22" t="s">
        <v>209</v>
      </c>
      <c r="I1065" s="22">
        <v>1.0462930370883E13</v>
      </c>
      <c r="J1065" s="22" t="s">
        <v>2367</v>
      </c>
      <c r="K1065" s="24"/>
      <c r="L1065" s="22" t="s">
        <v>214</v>
      </c>
      <c r="M1065" s="22">
        <v>1.0</v>
      </c>
      <c r="N1065" s="22" t="s">
        <v>115</v>
      </c>
      <c r="O1065" s="22" t="s">
        <v>116</v>
      </c>
      <c r="P1065" s="24"/>
      <c r="Q1065" s="22" t="s">
        <v>90</v>
      </c>
      <c r="R1065" s="22">
        <v>3.2760516215107E13</v>
      </c>
      <c r="S1065" s="24"/>
      <c r="T1065" s="24"/>
      <c r="U1065" s="24"/>
      <c r="V1065" s="22" t="s">
        <v>91</v>
      </c>
      <c r="W1065" s="33"/>
      <c r="X1065" s="33"/>
      <c r="Y1065" s="30"/>
      <c r="Z1065" s="30"/>
      <c r="AA1065" s="33"/>
      <c r="AB1065" s="33"/>
      <c r="AC1065" s="30"/>
      <c r="AD1065" s="30"/>
      <c r="AE1065" s="33"/>
      <c r="AF1065" s="31"/>
      <c r="AG1065" s="30"/>
      <c r="AH1065" s="30"/>
      <c r="AI1065" s="31"/>
      <c r="AJ1065" s="31"/>
      <c r="AK1065" s="32"/>
    </row>
    <row r="1066">
      <c r="A1066" s="21" t="s">
        <v>92</v>
      </c>
      <c r="B1066" s="22" t="s">
        <v>2368</v>
      </c>
      <c r="C1066" s="22" t="s">
        <v>82</v>
      </c>
      <c r="D1066" s="26">
        <v>45997.0</v>
      </c>
      <c r="E1066" s="22" t="s">
        <v>480</v>
      </c>
      <c r="F1066" s="22" t="s">
        <v>83</v>
      </c>
      <c r="G1066" s="22" t="s">
        <v>2369</v>
      </c>
      <c r="H1066" s="22" t="s">
        <v>92</v>
      </c>
      <c r="I1066" s="22">
        <v>1.0462941249859E13</v>
      </c>
      <c r="J1066" s="22" t="s">
        <v>2370</v>
      </c>
      <c r="K1066" s="24"/>
      <c r="L1066" s="22" t="s">
        <v>94</v>
      </c>
      <c r="M1066" s="22">
        <v>1.0</v>
      </c>
      <c r="N1066" s="22" t="s">
        <v>87</v>
      </c>
      <c r="O1066" s="22" t="s">
        <v>88</v>
      </c>
      <c r="P1066" s="24"/>
      <c r="Q1066" s="22" t="s">
        <v>90</v>
      </c>
      <c r="R1066" s="22">
        <v>3.2760539119939E13</v>
      </c>
      <c r="S1066" s="24"/>
      <c r="T1066" s="24"/>
      <c r="U1066" s="24"/>
      <c r="V1066" s="27" t="s">
        <v>95</v>
      </c>
      <c r="W1066" s="33"/>
      <c r="X1066" s="33"/>
      <c r="Y1066" s="30"/>
      <c r="Z1066" s="30"/>
      <c r="AA1066" s="33"/>
      <c r="AB1066" s="33"/>
      <c r="AC1066" s="30"/>
      <c r="AD1066" s="30"/>
      <c r="AE1066" s="33"/>
      <c r="AF1066" s="31"/>
      <c r="AG1066" s="30"/>
      <c r="AH1066" s="30"/>
      <c r="AI1066" s="31"/>
      <c r="AJ1066" s="31"/>
      <c r="AK1066" s="32"/>
    </row>
    <row r="1067">
      <c r="A1067" s="21" t="s">
        <v>141</v>
      </c>
      <c r="B1067" s="22" t="s">
        <v>1742</v>
      </c>
      <c r="C1067" s="22" t="s">
        <v>273</v>
      </c>
      <c r="D1067" s="26">
        <v>45998.0</v>
      </c>
      <c r="E1067" s="22" t="s">
        <v>266</v>
      </c>
      <c r="F1067" s="22" t="s">
        <v>83</v>
      </c>
      <c r="G1067" s="22" t="s">
        <v>2371</v>
      </c>
      <c r="H1067" s="22" t="s">
        <v>141</v>
      </c>
      <c r="I1067" s="22">
        <v>1.0462945542467E13</v>
      </c>
      <c r="J1067" s="22" t="s">
        <v>1744</v>
      </c>
      <c r="K1067" s="24"/>
      <c r="L1067" s="22" t="s">
        <v>143</v>
      </c>
      <c r="M1067" s="22">
        <v>1.0</v>
      </c>
      <c r="N1067" s="22" t="s">
        <v>87</v>
      </c>
      <c r="O1067" s="22" t="s">
        <v>88</v>
      </c>
      <c r="P1067" s="24"/>
      <c r="Q1067" s="22" t="s">
        <v>90</v>
      </c>
      <c r="R1067" s="22">
        <v>3.2760548917571E13</v>
      </c>
      <c r="S1067" s="24"/>
      <c r="T1067" s="24"/>
      <c r="U1067" s="24"/>
      <c r="V1067" s="22" t="s">
        <v>54</v>
      </c>
      <c r="W1067" s="33"/>
      <c r="X1067" s="33"/>
      <c r="Y1067" s="30"/>
      <c r="Z1067" s="30"/>
      <c r="AA1067" s="33"/>
      <c r="AB1067" s="33"/>
      <c r="AC1067" s="30"/>
      <c r="AD1067" s="30"/>
      <c r="AE1067" s="33"/>
      <c r="AF1067" s="31"/>
      <c r="AG1067" s="30"/>
      <c r="AH1067" s="30"/>
      <c r="AI1067" s="31"/>
      <c r="AJ1067" s="31"/>
      <c r="AK1067" s="32"/>
    </row>
    <row r="1068">
      <c r="A1068" s="21" t="s">
        <v>592</v>
      </c>
      <c r="B1068" s="22" t="s">
        <v>1031</v>
      </c>
      <c r="C1068" s="22" t="s">
        <v>273</v>
      </c>
      <c r="D1068" s="26">
        <v>45998.0</v>
      </c>
      <c r="E1068" s="22" t="s">
        <v>149</v>
      </c>
      <c r="F1068" s="22" t="s">
        <v>311</v>
      </c>
      <c r="G1068" s="22" t="s">
        <v>2372</v>
      </c>
      <c r="H1068" s="22" t="s">
        <v>592</v>
      </c>
      <c r="I1068" s="22">
        <v>1.0463021891907E13</v>
      </c>
      <c r="J1068" s="22" t="s">
        <v>1033</v>
      </c>
      <c r="K1068" s="24"/>
      <c r="L1068" s="22" t="s">
        <v>594</v>
      </c>
      <c r="M1068" s="22">
        <v>1.0</v>
      </c>
      <c r="N1068" s="22" t="s">
        <v>391</v>
      </c>
      <c r="O1068" s="22" t="s">
        <v>392</v>
      </c>
      <c r="P1068" s="24"/>
      <c r="Q1068" s="22" t="s">
        <v>90</v>
      </c>
      <c r="R1068" s="22">
        <v>3.2760718655811E13</v>
      </c>
      <c r="S1068" s="24"/>
      <c r="T1068" s="24"/>
      <c r="U1068" s="24"/>
      <c r="V1068" s="22" t="s">
        <v>54</v>
      </c>
      <c r="W1068" s="33"/>
      <c r="X1068" s="33"/>
      <c r="Y1068" s="30"/>
      <c r="Z1068" s="30"/>
      <c r="AA1068" s="33"/>
      <c r="AB1068" s="33"/>
      <c r="AC1068" s="30"/>
      <c r="AD1068" s="30"/>
      <c r="AE1068" s="33"/>
      <c r="AF1068" s="31"/>
      <c r="AG1068" s="30"/>
      <c r="AH1068" s="30"/>
      <c r="AI1068" s="31"/>
      <c r="AJ1068" s="31"/>
      <c r="AK1068" s="32"/>
    </row>
    <row r="1069">
      <c r="A1069" s="21" t="s">
        <v>367</v>
      </c>
      <c r="B1069" s="22" t="s">
        <v>424</v>
      </c>
      <c r="C1069" s="22" t="s">
        <v>273</v>
      </c>
      <c r="D1069" s="26">
        <v>45998.0</v>
      </c>
      <c r="E1069" s="22" t="s">
        <v>134</v>
      </c>
      <c r="F1069" s="22" t="s">
        <v>369</v>
      </c>
      <c r="G1069" s="22" t="s">
        <v>2373</v>
      </c>
      <c r="H1069" s="22" t="s">
        <v>367</v>
      </c>
      <c r="I1069" s="22">
        <v>1.0463162794307E13</v>
      </c>
      <c r="J1069" s="22" t="s">
        <v>426</v>
      </c>
      <c r="K1069" s="24"/>
      <c r="L1069" s="22" t="s">
        <v>372</v>
      </c>
      <c r="M1069" s="22">
        <v>1.0</v>
      </c>
      <c r="N1069" s="22" t="s">
        <v>373</v>
      </c>
      <c r="O1069" s="22" t="s">
        <v>374</v>
      </c>
      <c r="P1069" s="24"/>
      <c r="Q1069" s="22" t="s">
        <v>90</v>
      </c>
      <c r="R1069" s="22">
        <v>3.2761017729347E13</v>
      </c>
      <c r="S1069" s="24"/>
      <c r="T1069" s="24"/>
      <c r="U1069" s="24"/>
      <c r="V1069" s="22" t="s">
        <v>55</v>
      </c>
      <c r="W1069" s="33"/>
      <c r="X1069" s="33"/>
      <c r="Y1069" s="30"/>
      <c r="Z1069" s="30"/>
      <c r="AA1069" s="33"/>
      <c r="AB1069" s="33"/>
      <c r="AC1069" s="30"/>
      <c r="AD1069" s="30"/>
      <c r="AE1069" s="33"/>
      <c r="AF1069" s="31"/>
      <c r="AG1069" s="30"/>
      <c r="AH1069" s="30"/>
      <c r="AI1069" s="31"/>
      <c r="AJ1069" s="31"/>
      <c r="AK1069" s="32"/>
    </row>
    <row r="1070">
      <c r="A1070" s="21" t="s">
        <v>367</v>
      </c>
      <c r="B1070" s="22" t="s">
        <v>596</v>
      </c>
      <c r="C1070" s="22" t="s">
        <v>273</v>
      </c>
      <c r="D1070" s="26">
        <v>45998.0</v>
      </c>
      <c r="E1070" s="22" t="s">
        <v>266</v>
      </c>
      <c r="F1070" s="22" t="s">
        <v>369</v>
      </c>
      <c r="G1070" s="22" t="s">
        <v>2374</v>
      </c>
      <c r="H1070" s="22" t="s">
        <v>367</v>
      </c>
      <c r="I1070" s="22">
        <v>1.0463239831875E13</v>
      </c>
      <c r="J1070" s="22" t="s">
        <v>598</v>
      </c>
      <c r="K1070" s="24"/>
      <c r="L1070" s="22" t="s">
        <v>372</v>
      </c>
      <c r="M1070" s="22">
        <v>1.0</v>
      </c>
      <c r="N1070" s="22" t="s">
        <v>373</v>
      </c>
      <c r="O1070" s="22" t="s">
        <v>374</v>
      </c>
      <c r="P1070" s="24"/>
      <c r="Q1070" s="22" t="s">
        <v>90</v>
      </c>
      <c r="R1070" s="22">
        <v>3.2761188811075E13</v>
      </c>
      <c r="S1070" s="24"/>
      <c r="T1070" s="24"/>
      <c r="U1070" s="24"/>
      <c r="V1070" s="22" t="s">
        <v>55</v>
      </c>
      <c r="W1070" s="33"/>
      <c r="X1070" s="33"/>
      <c r="Y1070" s="30"/>
      <c r="Z1070" s="30"/>
      <c r="AA1070" s="33"/>
      <c r="AB1070" s="33"/>
      <c r="AC1070" s="30"/>
      <c r="AD1070" s="30"/>
      <c r="AE1070" s="33"/>
      <c r="AF1070" s="31"/>
      <c r="AG1070" s="30"/>
      <c r="AH1070" s="30"/>
      <c r="AI1070" s="31"/>
      <c r="AJ1070" s="31"/>
      <c r="AK1070" s="32"/>
    </row>
    <row r="1071">
      <c r="A1071" s="21" t="s">
        <v>803</v>
      </c>
      <c r="B1071" s="22" t="s">
        <v>1247</v>
      </c>
      <c r="C1071" s="22" t="s">
        <v>82</v>
      </c>
      <c r="D1071" s="26">
        <v>45997.0</v>
      </c>
      <c r="E1071" s="22" t="s">
        <v>266</v>
      </c>
      <c r="F1071" s="22" t="s">
        <v>623</v>
      </c>
      <c r="G1071" s="22" t="s">
        <v>2375</v>
      </c>
      <c r="H1071" s="22" t="s">
        <v>803</v>
      </c>
      <c r="I1071" s="22">
        <v>1.0463316934979E13</v>
      </c>
      <c r="J1071" s="22" t="s">
        <v>1249</v>
      </c>
      <c r="K1071" s="24"/>
      <c r="L1071" s="22" t="s">
        <v>805</v>
      </c>
      <c r="M1071" s="22">
        <v>1.0</v>
      </c>
      <c r="N1071" s="22" t="s">
        <v>627</v>
      </c>
      <c r="O1071" s="22" t="s">
        <v>628</v>
      </c>
      <c r="P1071" s="24"/>
      <c r="Q1071" s="22" t="s">
        <v>90</v>
      </c>
      <c r="R1071" s="22">
        <v>3.2761352651075E13</v>
      </c>
      <c r="S1071" s="24"/>
      <c r="T1071" s="24"/>
      <c r="U1071" s="24"/>
      <c r="V1071" s="22" t="s">
        <v>95</v>
      </c>
      <c r="W1071" s="33"/>
      <c r="X1071" s="33"/>
      <c r="Y1071" s="30"/>
      <c r="Z1071" s="30"/>
      <c r="AA1071" s="33"/>
      <c r="AB1071" s="33"/>
      <c r="AC1071" s="30"/>
      <c r="AD1071" s="30"/>
      <c r="AE1071" s="33"/>
      <c r="AF1071" s="31"/>
      <c r="AG1071" s="30"/>
      <c r="AH1071" s="30"/>
      <c r="AI1071" s="31"/>
      <c r="AJ1071" s="31"/>
      <c r="AK1071" s="32"/>
    </row>
    <row r="1072">
      <c r="A1072" s="21" t="s">
        <v>778</v>
      </c>
      <c r="B1072" s="22" t="s">
        <v>438</v>
      </c>
      <c r="C1072" s="22" t="s">
        <v>273</v>
      </c>
      <c r="D1072" s="26">
        <v>45998.0</v>
      </c>
      <c r="E1072" s="22" t="s">
        <v>439</v>
      </c>
      <c r="F1072" s="22" t="s">
        <v>440</v>
      </c>
      <c r="G1072" s="22" t="s">
        <v>2376</v>
      </c>
      <c r="H1072" s="22" t="s">
        <v>778</v>
      </c>
      <c r="I1072" s="22">
        <v>1.0463361073475E13</v>
      </c>
      <c r="J1072" s="22" t="s">
        <v>1767</v>
      </c>
      <c r="K1072" s="24"/>
      <c r="L1072" s="22" t="s">
        <v>780</v>
      </c>
      <c r="M1072" s="22">
        <v>1.0</v>
      </c>
      <c r="N1072" s="22" t="s">
        <v>781</v>
      </c>
      <c r="O1072" s="22" t="s">
        <v>782</v>
      </c>
      <c r="P1072" s="24"/>
      <c r="Q1072" s="22" t="s">
        <v>90</v>
      </c>
      <c r="R1072" s="22">
        <v>3.2761448202563E13</v>
      </c>
      <c r="S1072" s="24"/>
      <c r="T1072" s="24"/>
      <c r="U1072" s="24"/>
      <c r="V1072" s="22" t="s">
        <v>127</v>
      </c>
      <c r="W1072" s="33"/>
      <c r="X1072" s="33"/>
      <c r="Y1072" s="30"/>
      <c r="Z1072" s="30"/>
      <c r="AA1072" s="33"/>
      <c r="AB1072" s="33"/>
      <c r="AC1072" s="30"/>
      <c r="AD1072" s="30"/>
      <c r="AE1072" s="33"/>
      <c r="AF1072" s="31"/>
      <c r="AG1072" s="30"/>
      <c r="AH1072" s="30"/>
      <c r="AI1072" s="31"/>
      <c r="AJ1072" s="31"/>
      <c r="AK1072" s="32"/>
    </row>
    <row r="1073">
      <c r="A1073" s="21" t="s">
        <v>692</v>
      </c>
      <c r="B1073" s="22" t="s">
        <v>587</v>
      </c>
      <c r="C1073" s="22" t="s">
        <v>273</v>
      </c>
      <c r="D1073" s="26">
        <v>45998.0</v>
      </c>
      <c r="E1073" s="22" t="s">
        <v>153</v>
      </c>
      <c r="F1073" s="22" t="s">
        <v>369</v>
      </c>
      <c r="G1073" s="22" t="s">
        <v>2377</v>
      </c>
      <c r="H1073" s="22" t="s">
        <v>692</v>
      </c>
      <c r="I1073" s="22">
        <v>1.0463389450563E13</v>
      </c>
      <c r="J1073" s="22" t="s">
        <v>589</v>
      </c>
      <c r="K1073" s="24"/>
      <c r="L1073" s="22" t="s">
        <v>694</v>
      </c>
      <c r="M1073" s="22">
        <v>1.0</v>
      </c>
      <c r="N1073" s="22" t="s">
        <v>373</v>
      </c>
      <c r="O1073" s="22" t="s">
        <v>374</v>
      </c>
      <c r="P1073" s="24"/>
      <c r="Q1073" s="22" t="s">
        <v>90</v>
      </c>
      <c r="R1073" s="22">
        <v>3.2761511510339E13</v>
      </c>
      <c r="S1073" s="24"/>
      <c r="T1073" s="24"/>
      <c r="U1073" s="24"/>
      <c r="V1073" s="22" t="s">
        <v>54</v>
      </c>
      <c r="W1073" s="33"/>
      <c r="X1073" s="33"/>
      <c r="Y1073" s="30"/>
      <c r="Z1073" s="30"/>
      <c r="AA1073" s="33"/>
      <c r="AB1073" s="33"/>
      <c r="AC1073" s="30"/>
      <c r="AD1073" s="30"/>
      <c r="AE1073" s="33"/>
      <c r="AF1073" s="31"/>
      <c r="AG1073" s="30"/>
      <c r="AH1073" s="30"/>
      <c r="AI1073" s="31"/>
      <c r="AJ1073" s="31"/>
      <c r="AK1073" s="32"/>
    </row>
    <row r="1074">
      <c r="A1074" s="21" t="s">
        <v>124</v>
      </c>
      <c r="B1074" s="22" t="s">
        <v>1479</v>
      </c>
      <c r="C1074" s="22" t="s">
        <v>82</v>
      </c>
      <c r="D1074" s="26">
        <v>45997.0</v>
      </c>
      <c r="E1074" s="22" t="s">
        <v>138</v>
      </c>
      <c r="F1074" s="22" t="s">
        <v>83</v>
      </c>
      <c r="G1074" s="22" t="s">
        <v>2378</v>
      </c>
      <c r="H1074" s="22" t="s">
        <v>124</v>
      </c>
      <c r="I1074" s="22">
        <v>1.0463443583299E13</v>
      </c>
      <c r="J1074" s="22" t="s">
        <v>1481</v>
      </c>
      <c r="K1074" s="24"/>
      <c r="L1074" s="22" t="s">
        <v>126</v>
      </c>
      <c r="M1074" s="22">
        <v>1.0</v>
      </c>
      <c r="N1074" s="22" t="s">
        <v>103</v>
      </c>
      <c r="O1074" s="22" t="s">
        <v>104</v>
      </c>
      <c r="P1074" s="24"/>
      <c r="Q1074" s="22" t="s">
        <v>90</v>
      </c>
      <c r="R1074" s="22">
        <v>3.2761631539523E13</v>
      </c>
      <c r="S1074" s="24"/>
      <c r="T1074" s="24"/>
      <c r="U1074" s="24"/>
      <c r="V1074" s="22" t="s">
        <v>127</v>
      </c>
      <c r="W1074" s="33"/>
      <c r="X1074" s="33"/>
      <c r="Y1074" s="30"/>
      <c r="Z1074" s="30"/>
      <c r="AA1074" s="33"/>
      <c r="AB1074" s="33"/>
      <c r="AC1074" s="30"/>
      <c r="AD1074" s="30"/>
      <c r="AE1074" s="33"/>
      <c r="AF1074" s="31"/>
      <c r="AG1074" s="30"/>
      <c r="AH1074" s="30"/>
      <c r="AI1074" s="31"/>
      <c r="AJ1074" s="31"/>
      <c r="AK1074" s="32"/>
    </row>
    <row r="1075">
      <c r="A1075" s="21" t="s">
        <v>1674</v>
      </c>
      <c r="B1075" s="22" t="s">
        <v>574</v>
      </c>
      <c r="C1075" s="22" t="s">
        <v>273</v>
      </c>
      <c r="D1075" s="26">
        <v>45998.0</v>
      </c>
      <c r="E1075" s="22" t="s">
        <v>187</v>
      </c>
      <c r="F1075" s="22" t="s">
        <v>440</v>
      </c>
      <c r="G1075" s="22" t="s">
        <v>2379</v>
      </c>
      <c r="H1075" s="22" t="s">
        <v>1674</v>
      </c>
      <c r="I1075" s="22">
        <v>1.0463456821571E13</v>
      </c>
      <c r="J1075" s="22" t="s">
        <v>576</v>
      </c>
      <c r="K1075" s="24"/>
      <c r="L1075" s="22" t="s">
        <v>1678</v>
      </c>
      <c r="M1075" s="22">
        <v>1.0</v>
      </c>
      <c r="N1075" s="22" t="s">
        <v>444</v>
      </c>
      <c r="O1075" s="22" t="s">
        <v>445</v>
      </c>
      <c r="P1075" s="24"/>
      <c r="Q1075" s="22" t="s">
        <v>90</v>
      </c>
      <c r="R1075" s="22">
        <v>3.2761659031875E13</v>
      </c>
      <c r="S1075" s="24"/>
      <c r="T1075" s="24"/>
      <c r="U1075" s="24"/>
      <c r="V1075" s="22" t="s">
        <v>95</v>
      </c>
      <c r="W1075" s="33"/>
      <c r="X1075" s="33"/>
      <c r="Y1075" s="30"/>
      <c r="Z1075" s="30"/>
      <c r="AA1075" s="33"/>
      <c r="AB1075" s="33"/>
      <c r="AC1075" s="30"/>
      <c r="AD1075" s="30"/>
      <c r="AE1075" s="33"/>
      <c r="AF1075" s="31"/>
      <c r="AG1075" s="30"/>
      <c r="AH1075" s="30"/>
      <c r="AI1075" s="31"/>
      <c r="AJ1075" s="31"/>
      <c r="AK1075" s="32"/>
    </row>
    <row r="1076">
      <c r="A1076" s="21" t="s">
        <v>437</v>
      </c>
      <c r="B1076" s="22" t="s">
        <v>574</v>
      </c>
      <c r="C1076" s="22" t="s">
        <v>273</v>
      </c>
      <c r="D1076" s="26">
        <v>45998.0</v>
      </c>
      <c r="E1076" s="22" t="s">
        <v>187</v>
      </c>
      <c r="F1076" s="22" t="s">
        <v>440</v>
      </c>
      <c r="G1076" s="22" t="s">
        <v>2379</v>
      </c>
      <c r="H1076" s="22" t="s">
        <v>437</v>
      </c>
      <c r="I1076" s="22">
        <v>1.0463456821571E13</v>
      </c>
      <c r="J1076" s="22" t="s">
        <v>576</v>
      </c>
      <c r="K1076" s="24"/>
      <c r="L1076" s="22" t="s">
        <v>443</v>
      </c>
      <c r="M1076" s="22">
        <v>1.0</v>
      </c>
      <c r="N1076" s="22" t="s">
        <v>444</v>
      </c>
      <c r="O1076" s="22" t="s">
        <v>445</v>
      </c>
      <c r="P1076" s="24"/>
      <c r="Q1076" s="22" t="s">
        <v>90</v>
      </c>
      <c r="R1076" s="22">
        <v>3.2761659064643E13</v>
      </c>
      <c r="S1076" s="24"/>
      <c r="T1076" s="24"/>
      <c r="U1076" s="24"/>
      <c r="V1076" s="22" t="s">
        <v>91</v>
      </c>
      <c r="W1076" s="33"/>
      <c r="X1076" s="33"/>
      <c r="Y1076" s="30"/>
      <c r="Z1076" s="30"/>
      <c r="AA1076" s="33"/>
      <c r="AB1076" s="33"/>
      <c r="AC1076" s="30"/>
      <c r="AD1076" s="30"/>
      <c r="AE1076" s="33"/>
      <c r="AF1076" s="31"/>
      <c r="AG1076" s="30"/>
      <c r="AH1076" s="30"/>
      <c r="AI1076" s="31"/>
      <c r="AJ1076" s="31"/>
      <c r="AK1076" s="32"/>
    </row>
    <row r="1077">
      <c r="A1077" s="21" t="s">
        <v>1048</v>
      </c>
      <c r="B1077" s="22" t="s">
        <v>574</v>
      </c>
      <c r="C1077" s="22" t="s">
        <v>273</v>
      </c>
      <c r="D1077" s="26">
        <v>45998.0</v>
      </c>
      <c r="E1077" s="22" t="s">
        <v>187</v>
      </c>
      <c r="F1077" s="22" t="s">
        <v>440</v>
      </c>
      <c r="G1077" s="22" t="s">
        <v>2379</v>
      </c>
      <c r="H1077" s="22" t="s">
        <v>1048</v>
      </c>
      <c r="I1077" s="22">
        <v>1.0463456821571E13</v>
      </c>
      <c r="J1077" s="22" t="s">
        <v>576</v>
      </c>
      <c r="K1077" s="24"/>
      <c r="L1077" s="22" t="s">
        <v>1052</v>
      </c>
      <c r="M1077" s="22">
        <v>1.0</v>
      </c>
      <c r="N1077" s="22" t="s">
        <v>444</v>
      </c>
      <c r="O1077" s="22" t="s">
        <v>445</v>
      </c>
      <c r="P1077" s="24"/>
      <c r="Q1077" s="22" t="s">
        <v>90</v>
      </c>
      <c r="R1077" s="22">
        <v>3.2761659097411E13</v>
      </c>
      <c r="S1077" s="24"/>
      <c r="T1077" s="24"/>
      <c r="U1077" s="24"/>
      <c r="V1077" s="22" t="s">
        <v>54</v>
      </c>
      <c r="W1077" s="33"/>
      <c r="X1077" s="33"/>
      <c r="Y1077" s="30"/>
      <c r="Z1077" s="30"/>
      <c r="AA1077" s="33"/>
      <c r="AB1077" s="33"/>
      <c r="AC1077" s="30"/>
      <c r="AD1077" s="30"/>
      <c r="AE1077" s="33"/>
      <c r="AF1077" s="31"/>
      <c r="AG1077" s="30"/>
      <c r="AH1077" s="30"/>
      <c r="AI1077" s="31"/>
      <c r="AJ1077" s="31"/>
      <c r="AK1077" s="32"/>
    </row>
    <row r="1078">
      <c r="A1078" s="21" t="s">
        <v>632</v>
      </c>
      <c r="B1078" s="22" t="s">
        <v>969</v>
      </c>
      <c r="C1078" s="22" t="s">
        <v>82</v>
      </c>
      <c r="D1078" s="26">
        <v>45997.0</v>
      </c>
      <c r="E1078" s="22" t="s">
        <v>970</v>
      </c>
      <c r="F1078" s="22" t="s">
        <v>634</v>
      </c>
      <c r="G1078" s="22" t="s">
        <v>2380</v>
      </c>
      <c r="H1078" s="22" t="s">
        <v>632</v>
      </c>
      <c r="I1078" s="22">
        <v>1.0463520227651E13</v>
      </c>
      <c r="J1078" s="22" t="s">
        <v>972</v>
      </c>
      <c r="K1078" s="24"/>
      <c r="L1078" s="22" t="s">
        <v>637</v>
      </c>
      <c r="M1078" s="22">
        <v>1.0</v>
      </c>
      <c r="N1078" s="22" t="s">
        <v>638</v>
      </c>
      <c r="O1078" s="22" t="s">
        <v>639</v>
      </c>
      <c r="P1078" s="24"/>
      <c r="Q1078" s="22" t="s">
        <v>90</v>
      </c>
      <c r="R1078" s="22">
        <v>3.2761800950083E13</v>
      </c>
      <c r="S1078" s="24"/>
      <c r="T1078" s="24"/>
      <c r="U1078" s="24"/>
      <c r="V1078" s="22" t="s">
        <v>91</v>
      </c>
      <c r="W1078" s="33"/>
      <c r="X1078" s="33"/>
      <c r="Y1078" s="30"/>
      <c r="Z1078" s="30"/>
      <c r="AA1078" s="33"/>
      <c r="AB1078" s="33"/>
      <c r="AC1078" s="30"/>
      <c r="AD1078" s="30"/>
      <c r="AE1078" s="33"/>
      <c r="AF1078" s="31"/>
      <c r="AG1078" s="30"/>
      <c r="AH1078" s="30"/>
      <c r="AI1078" s="31"/>
      <c r="AJ1078" s="31"/>
      <c r="AK1078" s="32"/>
    </row>
    <row r="1079">
      <c r="A1079" s="21" t="s">
        <v>495</v>
      </c>
      <c r="B1079" s="22" t="s">
        <v>1176</v>
      </c>
      <c r="C1079" s="22" t="s">
        <v>273</v>
      </c>
      <c r="D1079" s="23">
        <v>45991.0</v>
      </c>
      <c r="E1079" s="22" t="s">
        <v>138</v>
      </c>
      <c r="F1079" s="22" t="s">
        <v>329</v>
      </c>
      <c r="G1079" s="22" t="s">
        <v>2381</v>
      </c>
      <c r="H1079" s="22" t="s">
        <v>495</v>
      </c>
      <c r="I1079" s="22">
        <v>1.0463531630915E13</v>
      </c>
      <c r="J1079" s="22" t="s">
        <v>1178</v>
      </c>
      <c r="K1079" s="24"/>
      <c r="L1079" s="22" t="s">
        <v>500</v>
      </c>
      <c r="M1079" s="22">
        <v>1.0</v>
      </c>
      <c r="N1079" s="22" t="s">
        <v>333</v>
      </c>
      <c r="O1079" s="22" t="s">
        <v>334</v>
      </c>
      <c r="P1079" s="24"/>
      <c r="Q1079" s="22" t="s">
        <v>90</v>
      </c>
      <c r="R1079" s="22">
        <v>3.2761827623235E13</v>
      </c>
      <c r="S1079" s="24"/>
      <c r="T1079" s="24"/>
      <c r="U1079" s="24"/>
      <c r="V1079" s="22" t="s">
        <v>54</v>
      </c>
      <c r="W1079" s="33"/>
      <c r="X1079" s="33"/>
      <c r="Y1079" s="30"/>
      <c r="Z1079" s="30"/>
      <c r="AA1079" s="33"/>
      <c r="AB1079" s="33"/>
      <c r="AC1079" s="30"/>
      <c r="AD1079" s="30"/>
      <c r="AE1079" s="33"/>
      <c r="AF1079" s="31"/>
      <c r="AG1079" s="30"/>
      <c r="AH1079" s="30"/>
      <c r="AI1079" s="31"/>
      <c r="AJ1079" s="31"/>
      <c r="AK1079" s="32"/>
    </row>
    <row r="1080">
      <c r="A1080" s="21" t="s">
        <v>1078</v>
      </c>
      <c r="B1080" s="22" t="s">
        <v>2382</v>
      </c>
      <c r="C1080" s="22" t="s">
        <v>1284</v>
      </c>
      <c r="D1080" s="26">
        <v>45993.0</v>
      </c>
      <c r="E1080" s="22" t="s">
        <v>149</v>
      </c>
      <c r="F1080" s="22" t="s">
        <v>717</v>
      </c>
      <c r="G1080" s="22" t="s">
        <v>2383</v>
      </c>
      <c r="H1080" s="22" t="s">
        <v>1078</v>
      </c>
      <c r="I1080" s="22">
        <v>1.0463560040771E13</v>
      </c>
      <c r="J1080" s="22" t="s">
        <v>2384</v>
      </c>
      <c r="K1080" s="24"/>
      <c r="L1080" s="22" t="s">
        <v>1082</v>
      </c>
      <c r="M1080" s="22">
        <v>1.0</v>
      </c>
      <c r="N1080" s="22" t="s">
        <v>1083</v>
      </c>
      <c r="O1080" s="22" t="s">
        <v>1084</v>
      </c>
      <c r="P1080" s="24"/>
      <c r="Q1080" s="22" t="s">
        <v>90</v>
      </c>
      <c r="R1080" s="22">
        <v>3.2761890177347E13</v>
      </c>
      <c r="S1080" s="24"/>
      <c r="T1080" s="24"/>
      <c r="U1080" s="24"/>
      <c r="V1080" s="22" t="s">
        <v>105</v>
      </c>
      <c r="W1080" s="33"/>
      <c r="X1080" s="33"/>
      <c r="Y1080" s="30"/>
      <c r="Z1080" s="30"/>
      <c r="AA1080" s="33"/>
      <c r="AB1080" s="33"/>
      <c r="AC1080" s="30"/>
      <c r="AD1080" s="30"/>
      <c r="AE1080" s="33"/>
      <c r="AF1080" s="31"/>
      <c r="AG1080" s="30"/>
      <c r="AH1080" s="30"/>
      <c r="AI1080" s="31"/>
      <c r="AJ1080" s="31"/>
      <c r="AK1080" s="32"/>
    </row>
    <row r="1081">
      <c r="A1081" s="21" t="s">
        <v>1601</v>
      </c>
      <c r="B1081" s="22" t="s">
        <v>2382</v>
      </c>
      <c r="C1081" s="22" t="s">
        <v>1284</v>
      </c>
      <c r="D1081" s="26">
        <v>45993.0</v>
      </c>
      <c r="E1081" s="22" t="s">
        <v>149</v>
      </c>
      <c r="F1081" s="22" t="s">
        <v>717</v>
      </c>
      <c r="G1081" s="22" t="s">
        <v>2383</v>
      </c>
      <c r="H1081" s="22" t="s">
        <v>1601</v>
      </c>
      <c r="I1081" s="22">
        <v>1.0463560040771E13</v>
      </c>
      <c r="J1081" s="22" t="s">
        <v>2384</v>
      </c>
      <c r="K1081" s="24"/>
      <c r="L1081" s="22" t="s">
        <v>1605</v>
      </c>
      <c r="M1081" s="22">
        <v>1.0</v>
      </c>
      <c r="N1081" s="22" t="s">
        <v>1083</v>
      </c>
      <c r="O1081" s="22" t="s">
        <v>1084</v>
      </c>
      <c r="P1081" s="24"/>
      <c r="Q1081" s="22" t="s">
        <v>90</v>
      </c>
      <c r="R1081" s="22">
        <v>3.2761890210115E13</v>
      </c>
      <c r="S1081" s="24"/>
      <c r="T1081" s="24"/>
      <c r="U1081" s="24"/>
      <c r="V1081" s="22" t="s">
        <v>175</v>
      </c>
      <c r="W1081" s="33"/>
      <c r="X1081" s="33"/>
      <c r="Y1081" s="30"/>
      <c r="Z1081" s="30"/>
      <c r="AA1081" s="33"/>
      <c r="AB1081" s="33"/>
      <c r="AC1081" s="30"/>
      <c r="AD1081" s="30"/>
      <c r="AE1081" s="33"/>
      <c r="AF1081" s="31"/>
      <c r="AG1081" s="30"/>
      <c r="AH1081" s="30"/>
      <c r="AI1081" s="31"/>
      <c r="AJ1081" s="31"/>
      <c r="AK1081" s="32"/>
    </row>
    <row r="1082">
      <c r="A1082" s="21" t="s">
        <v>879</v>
      </c>
      <c r="B1082" s="22" t="s">
        <v>868</v>
      </c>
      <c r="C1082" s="22" t="s">
        <v>273</v>
      </c>
      <c r="D1082" s="26">
        <v>45998.0</v>
      </c>
      <c r="E1082" s="22" t="s">
        <v>149</v>
      </c>
      <c r="F1082" s="22" t="s">
        <v>869</v>
      </c>
      <c r="G1082" s="22" t="s">
        <v>2385</v>
      </c>
      <c r="H1082" s="22" t="s">
        <v>879</v>
      </c>
      <c r="I1082" s="22">
        <v>1.0463649300803E13</v>
      </c>
      <c r="J1082" s="22" t="s">
        <v>871</v>
      </c>
      <c r="K1082" s="24"/>
      <c r="L1082" s="22" t="s">
        <v>881</v>
      </c>
      <c r="M1082" s="22">
        <v>1.0</v>
      </c>
      <c r="N1082" s="22" t="s">
        <v>882</v>
      </c>
      <c r="O1082" s="22" t="s">
        <v>883</v>
      </c>
      <c r="P1082" s="24"/>
      <c r="Q1082" s="22" t="s">
        <v>90</v>
      </c>
      <c r="R1082" s="22">
        <v>3.2762092388675E13</v>
      </c>
      <c r="S1082" s="24"/>
      <c r="T1082" s="24"/>
      <c r="U1082" s="24"/>
      <c r="V1082" s="22" t="s">
        <v>127</v>
      </c>
      <c r="W1082" s="33"/>
      <c r="X1082" s="33"/>
      <c r="Y1082" s="30"/>
      <c r="Z1082" s="30"/>
      <c r="AA1082" s="33"/>
      <c r="AB1082" s="33"/>
      <c r="AC1082" s="30"/>
      <c r="AD1082" s="30"/>
      <c r="AE1082" s="33"/>
      <c r="AF1082" s="31"/>
      <c r="AG1082" s="30"/>
      <c r="AH1082" s="30"/>
      <c r="AI1082" s="31"/>
      <c r="AJ1082" s="31"/>
      <c r="AK1082" s="32"/>
    </row>
    <row r="1083">
      <c r="A1083" s="21" t="s">
        <v>80</v>
      </c>
      <c r="B1083" s="22" t="s">
        <v>1428</v>
      </c>
      <c r="C1083" s="22" t="s">
        <v>273</v>
      </c>
      <c r="D1083" s="26">
        <v>45998.0</v>
      </c>
      <c r="E1083" s="22" t="s">
        <v>196</v>
      </c>
      <c r="F1083" s="22" t="s">
        <v>83</v>
      </c>
      <c r="G1083" s="22" t="s">
        <v>2386</v>
      </c>
      <c r="H1083" s="22" t="s">
        <v>80</v>
      </c>
      <c r="I1083" s="22">
        <v>1.0463693963587E13</v>
      </c>
      <c r="J1083" s="22" t="s">
        <v>1430</v>
      </c>
      <c r="K1083" s="24"/>
      <c r="L1083" s="22" t="s">
        <v>86</v>
      </c>
      <c r="M1083" s="22">
        <v>1.0</v>
      </c>
      <c r="N1083" s="22" t="s">
        <v>87</v>
      </c>
      <c r="O1083" s="22" t="s">
        <v>88</v>
      </c>
      <c r="P1083" s="24"/>
      <c r="Q1083" s="22" t="s">
        <v>90</v>
      </c>
      <c r="R1083" s="22">
        <v>3.2762187612483E13</v>
      </c>
      <c r="S1083" s="24"/>
      <c r="T1083" s="24"/>
      <c r="U1083" s="24"/>
      <c r="V1083" s="22" t="s">
        <v>91</v>
      </c>
      <c r="W1083" s="33"/>
      <c r="X1083" s="33"/>
      <c r="Y1083" s="30"/>
      <c r="Z1083" s="30"/>
      <c r="AA1083" s="33"/>
      <c r="AB1083" s="33"/>
      <c r="AC1083" s="30"/>
      <c r="AD1083" s="30"/>
      <c r="AE1083" s="33"/>
      <c r="AF1083" s="31"/>
      <c r="AG1083" s="30"/>
      <c r="AH1083" s="30"/>
      <c r="AI1083" s="31"/>
      <c r="AJ1083" s="31"/>
      <c r="AK1083" s="32"/>
    </row>
    <row r="1084">
      <c r="A1084" s="21" t="s">
        <v>689</v>
      </c>
      <c r="B1084" s="22" t="s">
        <v>512</v>
      </c>
      <c r="C1084" s="22" t="s">
        <v>82</v>
      </c>
      <c r="D1084" s="26">
        <v>45997.0</v>
      </c>
      <c r="E1084" s="22" t="s">
        <v>153</v>
      </c>
      <c r="F1084" s="22" t="s">
        <v>377</v>
      </c>
      <c r="G1084" s="22" t="s">
        <v>2387</v>
      </c>
      <c r="H1084" s="22" t="s">
        <v>689</v>
      </c>
      <c r="I1084" s="22">
        <v>1.0463706513731E13</v>
      </c>
      <c r="J1084" s="22" t="s">
        <v>514</v>
      </c>
      <c r="K1084" s="24"/>
      <c r="L1084" s="22" t="s">
        <v>691</v>
      </c>
      <c r="M1084" s="22">
        <v>1.0</v>
      </c>
      <c r="N1084" s="22" t="s">
        <v>413</v>
      </c>
      <c r="O1084" s="22" t="s">
        <v>414</v>
      </c>
      <c r="P1084" s="24"/>
      <c r="Q1084" s="22" t="s">
        <v>90</v>
      </c>
      <c r="R1084" s="22">
        <v>3.2762216841539E13</v>
      </c>
      <c r="S1084" s="24"/>
      <c r="T1084" s="24"/>
      <c r="U1084" s="24"/>
      <c r="V1084" s="22" t="s">
        <v>175</v>
      </c>
      <c r="W1084" s="33"/>
      <c r="X1084" s="33"/>
      <c r="Y1084" s="30"/>
      <c r="Z1084" s="30"/>
      <c r="AA1084" s="33"/>
      <c r="AB1084" s="33"/>
      <c r="AC1084" s="30"/>
      <c r="AD1084" s="30"/>
      <c r="AE1084" s="33"/>
      <c r="AF1084" s="31"/>
      <c r="AG1084" s="30"/>
      <c r="AH1084" s="30"/>
      <c r="AI1084" s="31"/>
      <c r="AJ1084" s="31"/>
      <c r="AK1084" s="32"/>
    </row>
    <row r="1085">
      <c r="A1085" s="21" t="s">
        <v>595</v>
      </c>
      <c r="B1085" s="22" t="s">
        <v>368</v>
      </c>
      <c r="C1085" s="22" t="s">
        <v>273</v>
      </c>
      <c r="D1085" s="26">
        <v>45998.0</v>
      </c>
      <c r="E1085" s="22" t="s">
        <v>196</v>
      </c>
      <c r="F1085" s="22" t="s">
        <v>369</v>
      </c>
      <c r="G1085" s="22" t="s">
        <v>2388</v>
      </c>
      <c r="H1085" s="22" t="s">
        <v>595</v>
      </c>
      <c r="I1085" s="22">
        <v>1.0463713558851E13</v>
      </c>
      <c r="J1085" s="22" t="s">
        <v>1395</v>
      </c>
      <c r="K1085" s="24"/>
      <c r="L1085" s="22" t="s">
        <v>599</v>
      </c>
      <c r="M1085" s="22">
        <v>1.0</v>
      </c>
      <c r="N1085" s="22" t="s">
        <v>600</v>
      </c>
      <c r="O1085" s="22" t="s">
        <v>601</v>
      </c>
      <c r="P1085" s="24"/>
      <c r="Q1085" s="22" t="s">
        <v>90</v>
      </c>
      <c r="R1085" s="22">
        <v>3.2762231685443E13</v>
      </c>
      <c r="S1085" s="24"/>
      <c r="T1085" s="24"/>
      <c r="U1085" s="24"/>
      <c r="V1085" s="22" t="s">
        <v>127</v>
      </c>
      <c r="W1085" s="33"/>
      <c r="X1085" s="33"/>
      <c r="Y1085" s="30"/>
      <c r="Z1085" s="30"/>
      <c r="AA1085" s="33"/>
      <c r="AB1085" s="33"/>
      <c r="AC1085" s="30"/>
      <c r="AD1085" s="30"/>
      <c r="AE1085" s="33"/>
      <c r="AF1085" s="31"/>
      <c r="AG1085" s="30"/>
      <c r="AH1085" s="30"/>
      <c r="AI1085" s="31"/>
      <c r="AJ1085" s="31"/>
      <c r="AK1085" s="32"/>
    </row>
    <row r="1086">
      <c r="A1086" s="21" t="s">
        <v>92</v>
      </c>
      <c r="B1086" s="22" t="s">
        <v>148</v>
      </c>
      <c r="C1086" s="22" t="s">
        <v>82</v>
      </c>
      <c r="D1086" s="23">
        <v>45990.0</v>
      </c>
      <c r="E1086" s="22" t="s">
        <v>149</v>
      </c>
      <c r="F1086" s="22" t="s">
        <v>83</v>
      </c>
      <c r="G1086" s="22" t="s">
        <v>2389</v>
      </c>
      <c r="H1086" s="22" t="s">
        <v>92</v>
      </c>
      <c r="I1086" s="22">
        <v>1.0462214029635E13</v>
      </c>
      <c r="J1086" s="22" t="s">
        <v>151</v>
      </c>
      <c r="K1086" s="24"/>
      <c r="L1086" s="22" t="s">
        <v>94</v>
      </c>
      <c r="M1086" s="22">
        <v>1.0</v>
      </c>
      <c r="N1086" s="22" t="s">
        <v>87</v>
      </c>
      <c r="O1086" s="22" t="s">
        <v>88</v>
      </c>
      <c r="P1086" s="24"/>
      <c r="Q1086" s="22" t="s">
        <v>90</v>
      </c>
      <c r="R1086" s="22">
        <v>3.2758929883459E13</v>
      </c>
      <c r="S1086" s="24"/>
      <c r="T1086" s="24"/>
      <c r="U1086" s="24"/>
      <c r="V1086" s="22" t="s">
        <v>95</v>
      </c>
      <c r="W1086" s="33"/>
      <c r="X1086" s="33"/>
      <c r="Y1086" s="30"/>
      <c r="Z1086" s="30"/>
      <c r="AA1086" s="33"/>
      <c r="AB1086" s="33"/>
      <c r="AC1086" s="30"/>
      <c r="AD1086" s="30"/>
      <c r="AE1086" s="33"/>
      <c r="AF1086" s="31"/>
      <c r="AG1086" s="30"/>
      <c r="AH1086" s="30"/>
      <c r="AI1086" s="31"/>
      <c r="AJ1086" s="31"/>
      <c r="AK1086" s="32"/>
    </row>
    <row r="1087">
      <c r="A1087" s="21" t="s">
        <v>529</v>
      </c>
      <c r="B1087" s="22" t="s">
        <v>471</v>
      </c>
      <c r="C1087" s="22" t="s">
        <v>82</v>
      </c>
      <c r="D1087" s="26">
        <v>45997.0</v>
      </c>
      <c r="E1087" s="22" t="s">
        <v>134</v>
      </c>
      <c r="F1087" s="22" t="s">
        <v>472</v>
      </c>
      <c r="G1087" s="22" t="s">
        <v>2390</v>
      </c>
      <c r="H1087" s="22" t="s">
        <v>529</v>
      </c>
      <c r="I1087" s="22">
        <v>1.0462217699651E13</v>
      </c>
      <c r="J1087" s="22" t="s">
        <v>474</v>
      </c>
      <c r="K1087" s="24"/>
      <c r="L1087" s="22" t="s">
        <v>533</v>
      </c>
      <c r="M1087" s="22">
        <v>1.0</v>
      </c>
      <c r="N1087" s="22" t="s">
        <v>534</v>
      </c>
      <c r="O1087" s="22" t="s">
        <v>535</v>
      </c>
      <c r="P1087" s="24"/>
      <c r="Q1087" s="22" t="s">
        <v>90</v>
      </c>
      <c r="R1087" s="22">
        <v>3.2758939746627E13</v>
      </c>
      <c r="S1087" s="24"/>
      <c r="T1087" s="24"/>
      <c r="U1087" s="24"/>
      <c r="V1087" s="22" t="s">
        <v>127</v>
      </c>
      <c r="W1087" s="33"/>
      <c r="X1087" s="33"/>
      <c r="Y1087" s="30"/>
      <c r="Z1087" s="30"/>
      <c r="AA1087" s="33"/>
      <c r="AB1087" s="33"/>
      <c r="AC1087" s="30"/>
      <c r="AD1087" s="30"/>
      <c r="AE1087" s="33"/>
      <c r="AF1087" s="31"/>
      <c r="AG1087" s="30"/>
      <c r="AH1087" s="30"/>
      <c r="AI1087" s="31"/>
      <c r="AJ1087" s="31"/>
      <c r="AK1087" s="32"/>
    </row>
    <row r="1088">
      <c r="A1088" s="21" t="s">
        <v>124</v>
      </c>
      <c r="B1088" s="22" t="s">
        <v>2391</v>
      </c>
      <c r="C1088" s="22" t="s">
        <v>202</v>
      </c>
      <c r="D1088" s="26">
        <v>45996.0</v>
      </c>
      <c r="E1088" s="22" t="s">
        <v>134</v>
      </c>
      <c r="F1088" s="22" t="s">
        <v>83</v>
      </c>
      <c r="G1088" s="22" t="s">
        <v>2392</v>
      </c>
      <c r="H1088" s="22" t="s">
        <v>124</v>
      </c>
      <c r="I1088" s="22">
        <v>1.0462250729795E13</v>
      </c>
      <c r="J1088" s="22" t="s">
        <v>2393</v>
      </c>
      <c r="K1088" s="24"/>
      <c r="L1088" s="22" t="s">
        <v>126</v>
      </c>
      <c r="M1088" s="22">
        <v>1.0</v>
      </c>
      <c r="N1088" s="22" t="s">
        <v>103</v>
      </c>
      <c r="O1088" s="22" t="s">
        <v>104</v>
      </c>
      <c r="P1088" s="24"/>
      <c r="Q1088" s="22" t="s">
        <v>90</v>
      </c>
      <c r="R1088" s="22">
        <v>3.2759016358211E13</v>
      </c>
      <c r="S1088" s="24"/>
      <c r="T1088" s="24"/>
      <c r="U1088" s="24"/>
      <c r="V1088" s="22" t="s">
        <v>127</v>
      </c>
      <c r="W1088" s="33"/>
      <c r="X1088" s="33"/>
      <c r="Y1088" s="30"/>
      <c r="Z1088" s="30"/>
      <c r="AA1088" s="33"/>
      <c r="AB1088" s="33"/>
      <c r="AC1088" s="30"/>
      <c r="AD1088" s="30"/>
      <c r="AE1088" s="33"/>
      <c r="AF1088" s="31"/>
      <c r="AG1088" s="30"/>
      <c r="AH1088" s="30"/>
      <c r="AI1088" s="31"/>
      <c r="AJ1088" s="31"/>
      <c r="AK1088" s="32"/>
    </row>
    <row r="1089">
      <c r="A1089" s="21" t="s">
        <v>814</v>
      </c>
      <c r="B1089" s="22" t="s">
        <v>815</v>
      </c>
      <c r="C1089" s="22" t="s">
        <v>82</v>
      </c>
      <c r="D1089" s="26">
        <v>45997.0</v>
      </c>
      <c r="E1089" s="22" t="s">
        <v>187</v>
      </c>
      <c r="F1089" s="22" t="s">
        <v>698</v>
      </c>
      <c r="G1089" s="22" t="s">
        <v>2394</v>
      </c>
      <c r="H1089" s="22" t="s">
        <v>814</v>
      </c>
      <c r="I1089" s="22">
        <v>1.0463765758275E13</v>
      </c>
      <c r="J1089" s="22" t="s">
        <v>817</v>
      </c>
      <c r="K1089" s="24"/>
      <c r="L1089" s="22" t="s">
        <v>818</v>
      </c>
      <c r="M1089" s="22">
        <v>1.0</v>
      </c>
      <c r="N1089" s="22" t="s">
        <v>819</v>
      </c>
      <c r="O1089" s="22" t="s">
        <v>820</v>
      </c>
      <c r="P1089" s="24"/>
      <c r="Q1089" s="22" t="s">
        <v>90</v>
      </c>
      <c r="R1089" s="22">
        <v>3.2762341163331E13</v>
      </c>
      <c r="S1089" s="24"/>
      <c r="T1089" s="24"/>
      <c r="U1089" s="24"/>
      <c r="V1089" s="22" t="s">
        <v>127</v>
      </c>
      <c r="W1089" s="33"/>
      <c r="X1089" s="33"/>
      <c r="Y1089" s="30"/>
      <c r="Z1089" s="30"/>
      <c r="AA1089" s="33"/>
      <c r="AB1089" s="33"/>
      <c r="AC1089" s="30"/>
      <c r="AD1089" s="30"/>
      <c r="AE1089" s="33"/>
      <c r="AF1089" s="31"/>
      <c r="AG1089" s="30"/>
      <c r="AH1089" s="30"/>
      <c r="AI1089" s="31"/>
      <c r="AJ1089" s="31"/>
      <c r="AK1089" s="32"/>
    </row>
    <row r="1090">
      <c r="A1090" s="21" t="s">
        <v>80</v>
      </c>
      <c r="B1090" s="22" t="s">
        <v>2395</v>
      </c>
      <c r="C1090" s="22" t="s">
        <v>294</v>
      </c>
      <c r="D1090" s="26">
        <v>45992.0</v>
      </c>
      <c r="E1090" s="22" t="s">
        <v>981</v>
      </c>
      <c r="F1090" s="22" t="s">
        <v>83</v>
      </c>
      <c r="G1090" s="22" t="s">
        <v>2396</v>
      </c>
      <c r="H1090" s="22" t="s">
        <v>80</v>
      </c>
      <c r="I1090" s="22">
        <v>1.0463824970051E13</v>
      </c>
      <c r="J1090" s="22" t="s">
        <v>2397</v>
      </c>
      <c r="K1090" s="24"/>
      <c r="L1090" s="22" t="s">
        <v>86</v>
      </c>
      <c r="M1090" s="22">
        <v>1.0</v>
      </c>
      <c r="N1090" s="22" t="s">
        <v>87</v>
      </c>
      <c r="O1090" s="22" t="s">
        <v>88</v>
      </c>
      <c r="P1090" s="24"/>
      <c r="Q1090" s="22" t="s">
        <v>90</v>
      </c>
      <c r="R1090" s="22">
        <v>3.2762467057987E13</v>
      </c>
      <c r="S1090" s="24"/>
      <c r="T1090" s="24"/>
      <c r="U1090" s="24"/>
      <c r="V1090" s="22" t="s">
        <v>91</v>
      </c>
      <c r="W1090" s="33"/>
      <c r="X1090" s="33"/>
      <c r="Y1090" s="30"/>
      <c r="Z1090" s="30"/>
      <c r="AA1090" s="33"/>
      <c r="AB1090" s="33"/>
      <c r="AC1090" s="30"/>
      <c r="AD1090" s="30"/>
      <c r="AE1090" s="33"/>
      <c r="AF1090" s="31"/>
      <c r="AG1090" s="30"/>
      <c r="AH1090" s="30"/>
      <c r="AI1090" s="31"/>
      <c r="AJ1090" s="31"/>
      <c r="AK1090" s="32"/>
    </row>
    <row r="1091">
      <c r="A1091" s="21" t="s">
        <v>692</v>
      </c>
      <c r="B1091" s="22" t="s">
        <v>1364</v>
      </c>
      <c r="C1091" s="22" t="s">
        <v>273</v>
      </c>
      <c r="D1091" s="26">
        <v>45998.0</v>
      </c>
      <c r="E1091" s="22" t="s">
        <v>138</v>
      </c>
      <c r="F1091" s="22" t="s">
        <v>369</v>
      </c>
      <c r="G1091" s="22" t="s">
        <v>2398</v>
      </c>
      <c r="H1091" s="22" t="s">
        <v>692</v>
      </c>
      <c r="I1091" s="22">
        <v>1.0463849677123E13</v>
      </c>
      <c r="J1091" s="22" t="s">
        <v>1366</v>
      </c>
      <c r="K1091" s="24"/>
      <c r="L1091" s="22" t="s">
        <v>694</v>
      </c>
      <c r="M1091" s="22">
        <v>1.0</v>
      </c>
      <c r="N1091" s="22" t="s">
        <v>373</v>
      </c>
      <c r="O1091" s="22" t="s">
        <v>374</v>
      </c>
      <c r="P1091" s="24"/>
      <c r="Q1091" s="22" t="s">
        <v>90</v>
      </c>
      <c r="R1091" s="22">
        <v>3.2762521616707E13</v>
      </c>
      <c r="S1091" s="24"/>
      <c r="T1091" s="24"/>
      <c r="U1091" s="24"/>
      <c r="V1091" s="22" t="s">
        <v>54</v>
      </c>
      <c r="W1091" s="33"/>
      <c r="X1091" s="33"/>
      <c r="Y1091" s="30"/>
      <c r="Z1091" s="30"/>
      <c r="AA1091" s="33"/>
      <c r="AB1091" s="33"/>
      <c r="AC1091" s="30"/>
      <c r="AD1091" s="30"/>
      <c r="AE1091" s="33"/>
      <c r="AF1091" s="31"/>
      <c r="AG1091" s="30"/>
      <c r="AH1091" s="30"/>
      <c r="AI1091" s="31"/>
      <c r="AJ1091" s="31"/>
      <c r="AK1091" s="32"/>
    </row>
    <row r="1092">
      <c r="A1092" s="21" t="s">
        <v>879</v>
      </c>
      <c r="B1092" s="22" t="s">
        <v>1022</v>
      </c>
      <c r="C1092" s="22" t="s">
        <v>273</v>
      </c>
      <c r="D1092" s="26">
        <v>45998.0</v>
      </c>
      <c r="E1092" s="22" t="s">
        <v>196</v>
      </c>
      <c r="F1092" s="22" t="s">
        <v>869</v>
      </c>
      <c r="G1092" s="22" t="s">
        <v>2399</v>
      </c>
      <c r="H1092" s="22" t="s">
        <v>879</v>
      </c>
      <c r="I1092" s="22">
        <v>1.0463858491715E13</v>
      </c>
      <c r="J1092" s="22" t="s">
        <v>1024</v>
      </c>
      <c r="K1092" s="24"/>
      <c r="L1092" s="22" t="s">
        <v>881</v>
      </c>
      <c r="M1092" s="22">
        <v>1.0</v>
      </c>
      <c r="N1092" s="22" t="s">
        <v>882</v>
      </c>
      <c r="O1092" s="22" t="s">
        <v>883</v>
      </c>
      <c r="P1092" s="24"/>
      <c r="Q1092" s="22" t="s">
        <v>90</v>
      </c>
      <c r="R1092" s="22">
        <v>3.2762539540803E13</v>
      </c>
      <c r="S1092" s="24"/>
      <c r="T1092" s="24"/>
      <c r="U1092" s="24"/>
      <c r="V1092" s="22" t="s">
        <v>127</v>
      </c>
      <c r="W1092" s="33"/>
      <c r="X1092" s="33"/>
      <c r="Y1092" s="30"/>
      <c r="Z1092" s="30"/>
      <c r="AA1092" s="33"/>
      <c r="AB1092" s="33"/>
      <c r="AC1092" s="30"/>
      <c r="AD1092" s="30"/>
      <c r="AE1092" s="33"/>
      <c r="AF1092" s="31"/>
      <c r="AG1092" s="30"/>
      <c r="AH1092" s="30"/>
      <c r="AI1092" s="31"/>
      <c r="AJ1092" s="31"/>
      <c r="AK1092" s="32"/>
    </row>
    <row r="1093">
      <c r="A1093" s="21" t="s">
        <v>1078</v>
      </c>
      <c r="B1093" s="22" t="s">
        <v>2400</v>
      </c>
      <c r="C1093" s="22" t="s">
        <v>336</v>
      </c>
      <c r="D1093" s="26">
        <v>45995.0</v>
      </c>
      <c r="E1093" s="22" t="s">
        <v>153</v>
      </c>
      <c r="F1093" s="22" t="s">
        <v>717</v>
      </c>
      <c r="G1093" s="22" t="s">
        <v>2401</v>
      </c>
      <c r="H1093" s="22" t="s">
        <v>1078</v>
      </c>
      <c r="I1093" s="22">
        <v>1.0463892865347E13</v>
      </c>
      <c r="J1093" s="22" t="s">
        <v>2402</v>
      </c>
      <c r="K1093" s="24"/>
      <c r="L1093" s="22" t="s">
        <v>1082</v>
      </c>
      <c r="M1093" s="22">
        <v>1.0</v>
      </c>
      <c r="N1093" s="22" t="s">
        <v>1083</v>
      </c>
      <c r="O1093" s="22" t="s">
        <v>1084</v>
      </c>
      <c r="P1093" s="24"/>
      <c r="Q1093" s="22" t="s">
        <v>90</v>
      </c>
      <c r="R1093" s="22">
        <v>3.2762613530947E13</v>
      </c>
      <c r="S1093" s="24"/>
      <c r="T1093" s="24"/>
      <c r="U1093" s="24"/>
      <c r="V1093" s="22" t="s">
        <v>105</v>
      </c>
      <c r="W1093" s="33"/>
      <c r="X1093" s="33"/>
      <c r="Y1093" s="30"/>
      <c r="Z1093" s="30"/>
      <c r="AA1093" s="33"/>
      <c r="AB1093" s="33"/>
      <c r="AC1093" s="30"/>
      <c r="AD1093" s="30"/>
      <c r="AE1093" s="33"/>
      <c r="AF1093" s="31"/>
      <c r="AG1093" s="30"/>
      <c r="AH1093" s="30"/>
      <c r="AI1093" s="31"/>
      <c r="AJ1093" s="31"/>
      <c r="AK1093" s="32"/>
    </row>
    <row r="1094">
      <c r="A1094" s="21" t="s">
        <v>166</v>
      </c>
      <c r="B1094" s="22" t="s">
        <v>393</v>
      </c>
      <c r="C1094" s="22" t="s">
        <v>82</v>
      </c>
      <c r="D1094" s="26">
        <v>45997.0</v>
      </c>
      <c r="E1094" s="22" t="s">
        <v>187</v>
      </c>
      <c r="F1094" s="22" t="s">
        <v>111</v>
      </c>
      <c r="G1094" s="22" t="s">
        <v>2403</v>
      </c>
      <c r="H1094" s="22" t="s">
        <v>166</v>
      </c>
      <c r="I1094" s="22">
        <v>1.0463893946691E13</v>
      </c>
      <c r="J1094" s="22" t="s">
        <v>395</v>
      </c>
      <c r="K1094" s="24"/>
      <c r="L1094" s="22" t="s">
        <v>171</v>
      </c>
      <c r="M1094" s="22">
        <v>1.0</v>
      </c>
      <c r="N1094" s="22" t="s">
        <v>115</v>
      </c>
      <c r="O1094" s="22" t="s">
        <v>116</v>
      </c>
      <c r="P1094" s="24"/>
      <c r="Q1094" s="22" t="s">
        <v>90</v>
      </c>
      <c r="R1094" s="22">
        <v>3.2762615857475E13</v>
      </c>
      <c r="S1094" s="24"/>
      <c r="T1094" s="24"/>
      <c r="U1094" s="24"/>
      <c r="V1094" s="22" t="s">
        <v>55</v>
      </c>
      <c r="W1094" s="33"/>
      <c r="X1094" s="33"/>
      <c r="Y1094" s="30"/>
      <c r="Z1094" s="30"/>
      <c r="AA1094" s="33"/>
      <c r="AB1094" s="33"/>
      <c r="AC1094" s="30"/>
      <c r="AD1094" s="30"/>
      <c r="AE1094" s="33"/>
      <c r="AF1094" s="31"/>
      <c r="AG1094" s="30"/>
      <c r="AH1094" s="30"/>
      <c r="AI1094" s="31"/>
      <c r="AJ1094" s="31"/>
      <c r="AK1094" s="32"/>
    </row>
    <row r="1095">
      <c r="A1095" s="21" t="s">
        <v>99</v>
      </c>
      <c r="B1095" s="22" t="s">
        <v>1666</v>
      </c>
      <c r="C1095" s="22" t="s">
        <v>273</v>
      </c>
      <c r="D1095" s="26">
        <v>45998.0</v>
      </c>
      <c r="E1095" s="22" t="s">
        <v>149</v>
      </c>
      <c r="F1095" s="22" t="s">
        <v>83</v>
      </c>
      <c r="G1095" s="22" t="s">
        <v>2404</v>
      </c>
      <c r="H1095" s="22" t="s">
        <v>99</v>
      </c>
      <c r="I1095" s="22">
        <v>1.0463908856131E13</v>
      </c>
      <c r="J1095" s="22" t="s">
        <v>1668</v>
      </c>
      <c r="K1095" s="24"/>
      <c r="L1095" s="22" t="s">
        <v>102</v>
      </c>
      <c r="M1095" s="22">
        <v>1.0</v>
      </c>
      <c r="N1095" s="22" t="s">
        <v>103</v>
      </c>
      <c r="O1095" s="22" t="s">
        <v>104</v>
      </c>
      <c r="P1095" s="24"/>
      <c r="Q1095" s="22" t="s">
        <v>90</v>
      </c>
      <c r="R1095" s="22">
        <v>3.2762646954307E13</v>
      </c>
      <c r="S1095" s="24"/>
      <c r="T1095" s="24"/>
      <c r="U1095" s="24"/>
      <c r="V1095" s="22" t="s">
        <v>105</v>
      </c>
      <c r="W1095" s="33"/>
      <c r="X1095" s="33"/>
      <c r="Y1095" s="30"/>
      <c r="Z1095" s="30"/>
      <c r="AA1095" s="33"/>
      <c r="AB1095" s="33"/>
      <c r="AC1095" s="30"/>
      <c r="AD1095" s="30"/>
      <c r="AE1095" s="33"/>
      <c r="AF1095" s="31"/>
      <c r="AG1095" s="30"/>
      <c r="AH1095" s="30"/>
      <c r="AI1095" s="31"/>
      <c r="AJ1095" s="31"/>
      <c r="AK1095" s="32"/>
    </row>
    <row r="1096">
      <c r="A1096" s="21" t="s">
        <v>437</v>
      </c>
      <c r="B1096" s="22" t="s">
        <v>574</v>
      </c>
      <c r="C1096" s="22" t="s">
        <v>273</v>
      </c>
      <c r="D1096" s="26">
        <v>45998.0</v>
      </c>
      <c r="E1096" s="22" t="s">
        <v>187</v>
      </c>
      <c r="F1096" s="22" t="s">
        <v>440</v>
      </c>
      <c r="G1096" s="22" t="s">
        <v>2405</v>
      </c>
      <c r="H1096" s="22" t="s">
        <v>437</v>
      </c>
      <c r="I1096" s="22">
        <v>1.0463914918211E13</v>
      </c>
      <c r="J1096" s="22" t="s">
        <v>576</v>
      </c>
      <c r="K1096" s="24"/>
      <c r="L1096" s="22" t="s">
        <v>443</v>
      </c>
      <c r="M1096" s="22">
        <v>1.0</v>
      </c>
      <c r="N1096" s="22" t="s">
        <v>444</v>
      </c>
      <c r="O1096" s="22" t="s">
        <v>445</v>
      </c>
      <c r="P1096" s="24"/>
      <c r="Q1096" s="22" t="s">
        <v>90</v>
      </c>
      <c r="R1096" s="22">
        <v>3.2762656915779E13</v>
      </c>
      <c r="S1096" s="24"/>
      <c r="T1096" s="24"/>
      <c r="U1096" s="24"/>
      <c r="V1096" s="22" t="s">
        <v>91</v>
      </c>
      <c r="W1096" s="33"/>
      <c r="X1096" s="33"/>
      <c r="Y1096" s="30"/>
      <c r="Z1096" s="30"/>
      <c r="AA1096" s="33"/>
      <c r="AB1096" s="33"/>
      <c r="AC1096" s="30"/>
      <c r="AD1096" s="30"/>
      <c r="AE1096" s="33"/>
      <c r="AF1096" s="31"/>
      <c r="AG1096" s="30"/>
      <c r="AH1096" s="30"/>
      <c r="AI1096" s="31"/>
      <c r="AJ1096" s="31"/>
      <c r="AK1096" s="32"/>
    </row>
    <row r="1097">
      <c r="A1097" s="21" t="s">
        <v>545</v>
      </c>
      <c r="B1097" s="22" t="s">
        <v>355</v>
      </c>
      <c r="C1097" s="22" t="s">
        <v>273</v>
      </c>
      <c r="D1097" s="23">
        <v>45991.0</v>
      </c>
      <c r="E1097" s="22" t="s">
        <v>149</v>
      </c>
      <c r="F1097" s="22" t="s">
        <v>356</v>
      </c>
      <c r="G1097" s="22" t="s">
        <v>2406</v>
      </c>
      <c r="H1097" s="22" t="s">
        <v>545</v>
      </c>
      <c r="I1097" s="22">
        <v>1.0463954829635E13</v>
      </c>
      <c r="J1097" s="22" t="s">
        <v>562</v>
      </c>
      <c r="K1097" s="24"/>
      <c r="L1097" s="22" t="s">
        <v>549</v>
      </c>
      <c r="M1097" s="22">
        <v>2.0</v>
      </c>
      <c r="N1097" s="22" t="s">
        <v>360</v>
      </c>
      <c r="O1097" s="22" t="s">
        <v>361</v>
      </c>
      <c r="P1097" s="24"/>
      <c r="Q1097" s="22" t="s">
        <v>90</v>
      </c>
      <c r="R1097" s="22">
        <v>3.2762741948739E13</v>
      </c>
      <c r="S1097" s="24"/>
      <c r="T1097" s="24"/>
      <c r="U1097" s="24"/>
      <c r="V1097" s="22" t="s">
        <v>55</v>
      </c>
      <c r="W1097" s="33"/>
      <c r="X1097" s="33"/>
      <c r="Y1097" s="30"/>
      <c r="Z1097" s="30"/>
      <c r="AA1097" s="33"/>
      <c r="AB1097" s="33"/>
      <c r="AC1097" s="30"/>
      <c r="AD1097" s="30"/>
      <c r="AE1097" s="33"/>
      <c r="AF1097" s="31"/>
      <c r="AG1097" s="30"/>
      <c r="AH1097" s="30"/>
      <c r="AI1097" s="31"/>
      <c r="AJ1097" s="31"/>
      <c r="AK1097" s="32"/>
    </row>
    <row r="1098">
      <c r="A1098" s="21" t="s">
        <v>1779</v>
      </c>
      <c r="B1098" s="22" t="s">
        <v>909</v>
      </c>
      <c r="C1098" s="22" t="s">
        <v>82</v>
      </c>
      <c r="D1098" s="23">
        <v>46004.0</v>
      </c>
      <c r="E1098" s="22" t="s">
        <v>134</v>
      </c>
      <c r="F1098" s="22" t="s">
        <v>203</v>
      </c>
      <c r="G1098" s="22" t="s">
        <v>2407</v>
      </c>
      <c r="H1098" s="22" t="s">
        <v>1779</v>
      </c>
      <c r="I1098" s="22">
        <v>1.0463992807747E13</v>
      </c>
      <c r="J1098" s="22" t="s">
        <v>911</v>
      </c>
      <c r="K1098" s="24"/>
      <c r="L1098" s="22" t="s">
        <v>1781</v>
      </c>
      <c r="M1098" s="22">
        <v>1.0</v>
      </c>
      <c r="N1098" s="22" t="s">
        <v>900</v>
      </c>
      <c r="O1098" s="22" t="s">
        <v>901</v>
      </c>
      <c r="P1098" s="24"/>
      <c r="Q1098" s="22" t="s">
        <v>90</v>
      </c>
      <c r="R1098" s="22">
        <v>3.2762822689091E13</v>
      </c>
      <c r="S1098" s="24"/>
      <c r="T1098" s="24"/>
      <c r="U1098" s="24"/>
      <c r="V1098" s="22" t="s">
        <v>127</v>
      </c>
      <c r="W1098" s="33"/>
      <c r="X1098" s="33"/>
      <c r="Y1098" s="30"/>
      <c r="Z1098" s="30"/>
      <c r="AA1098" s="33"/>
      <c r="AB1098" s="33"/>
      <c r="AC1098" s="30"/>
      <c r="AD1098" s="30"/>
      <c r="AE1098" s="33"/>
      <c r="AF1098" s="31"/>
      <c r="AG1098" s="30"/>
      <c r="AH1098" s="30"/>
      <c r="AI1098" s="31"/>
      <c r="AJ1098" s="31"/>
      <c r="AK1098" s="32"/>
    </row>
    <row r="1099">
      <c r="A1099" s="21" t="s">
        <v>859</v>
      </c>
      <c r="B1099" s="22" t="s">
        <v>1576</v>
      </c>
      <c r="C1099" s="22" t="s">
        <v>82</v>
      </c>
      <c r="D1099" s="26">
        <v>45997.0</v>
      </c>
      <c r="E1099" s="22" t="s">
        <v>1117</v>
      </c>
      <c r="F1099" s="22" t="s">
        <v>605</v>
      </c>
      <c r="G1099" s="22" t="s">
        <v>2408</v>
      </c>
      <c r="H1099" s="22" t="s">
        <v>859</v>
      </c>
      <c r="I1099" s="22">
        <v>1.0464035701059E13</v>
      </c>
      <c r="J1099" s="22" t="s">
        <v>1578</v>
      </c>
      <c r="K1099" s="24"/>
      <c r="L1099" s="22" t="s">
        <v>861</v>
      </c>
      <c r="M1099" s="22">
        <v>1.0</v>
      </c>
      <c r="N1099" s="22" t="s">
        <v>609</v>
      </c>
      <c r="O1099" s="22" t="s">
        <v>610</v>
      </c>
      <c r="P1099" s="24"/>
      <c r="Q1099" s="22" t="s">
        <v>90</v>
      </c>
      <c r="R1099" s="22">
        <v>3.2762919321923E13</v>
      </c>
      <c r="S1099" s="24"/>
      <c r="T1099" s="24"/>
      <c r="U1099" s="24"/>
      <c r="V1099" s="22" t="s">
        <v>95</v>
      </c>
      <c r="W1099" s="33"/>
      <c r="X1099" s="33"/>
      <c r="Y1099" s="30"/>
      <c r="Z1099" s="30"/>
      <c r="AA1099" s="33"/>
      <c r="AB1099" s="33"/>
      <c r="AC1099" s="30"/>
      <c r="AD1099" s="30"/>
      <c r="AE1099" s="33"/>
      <c r="AF1099" s="31"/>
      <c r="AG1099" s="30"/>
      <c r="AH1099" s="30"/>
      <c r="AI1099" s="31"/>
      <c r="AJ1099" s="31"/>
      <c r="AK1099" s="32"/>
    </row>
    <row r="1100">
      <c r="A1100" s="21" t="s">
        <v>1634</v>
      </c>
      <c r="B1100" s="22" t="s">
        <v>2292</v>
      </c>
      <c r="C1100" s="22" t="s">
        <v>82</v>
      </c>
      <c r="D1100" s="26">
        <v>45997.0</v>
      </c>
      <c r="E1100" s="22" t="s">
        <v>2293</v>
      </c>
      <c r="F1100" s="22" t="s">
        <v>1466</v>
      </c>
      <c r="G1100" s="22" t="s">
        <v>2409</v>
      </c>
      <c r="H1100" s="22" t="s">
        <v>1634</v>
      </c>
      <c r="I1100" s="22">
        <v>1.0464049791299E13</v>
      </c>
      <c r="J1100" s="22" t="s">
        <v>2295</v>
      </c>
      <c r="K1100" s="24"/>
      <c r="L1100" s="22" t="s">
        <v>1639</v>
      </c>
      <c r="M1100" s="22">
        <v>2.0</v>
      </c>
      <c r="N1100" s="22" t="s">
        <v>1628</v>
      </c>
      <c r="O1100" s="22" t="s">
        <v>1629</v>
      </c>
      <c r="P1100" s="24"/>
      <c r="Q1100" s="22" t="s">
        <v>90</v>
      </c>
      <c r="R1100" s="22">
        <v>3.2762951041347E13</v>
      </c>
      <c r="S1100" s="24"/>
      <c r="T1100" s="24"/>
      <c r="U1100" s="24"/>
      <c r="V1100" s="22" t="s">
        <v>105</v>
      </c>
      <c r="W1100" s="33"/>
      <c r="X1100" s="33"/>
      <c r="Y1100" s="30"/>
      <c r="Z1100" s="30"/>
      <c r="AA1100" s="33"/>
      <c r="AB1100" s="33"/>
      <c r="AC1100" s="30"/>
      <c r="AD1100" s="30"/>
      <c r="AE1100" s="33"/>
      <c r="AF1100" s="31"/>
      <c r="AG1100" s="30"/>
      <c r="AH1100" s="30"/>
      <c r="AI1100" s="31"/>
      <c r="AJ1100" s="31"/>
      <c r="AK1100" s="32"/>
    </row>
    <row r="1101">
      <c r="A1101" s="21" t="s">
        <v>166</v>
      </c>
      <c r="B1101" s="22" t="s">
        <v>2166</v>
      </c>
      <c r="C1101" s="22" t="s">
        <v>273</v>
      </c>
      <c r="D1101" s="26">
        <v>45998.0</v>
      </c>
      <c r="E1101" s="22" t="s">
        <v>211</v>
      </c>
      <c r="F1101" s="22" t="s">
        <v>111</v>
      </c>
      <c r="G1101" s="22" t="s">
        <v>2410</v>
      </c>
      <c r="H1101" s="22" t="s">
        <v>166</v>
      </c>
      <c r="I1101" s="22">
        <v>1.0464059621699E13</v>
      </c>
      <c r="J1101" s="22" t="s">
        <v>2168</v>
      </c>
      <c r="K1101" s="24"/>
      <c r="L1101" s="22" t="s">
        <v>171</v>
      </c>
      <c r="M1101" s="22">
        <v>1.0</v>
      </c>
      <c r="N1101" s="22" t="s">
        <v>115</v>
      </c>
      <c r="O1101" s="22" t="s">
        <v>116</v>
      </c>
      <c r="P1101" s="24"/>
      <c r="Q1101" s="22" t="s">
        <v>90</v>
      </c>
      <c r="R1101" s="22">
        <v>3.2762972242243E13</v>
      </c>
      <c r="S1101" s="24"/>
      <c r="T1101" s="24"/>
      <c r="U1101" s="24"/>
      <c r="V1101" s="22" t="s">
        <v>55</v>
      </c>
      <c r="W1101" s="33"/>
      <c r="X1101" s="33"/>
      <c r="Y1101" s="30"/>
      <c r="Z1101" s="30"/>
      <c r="AA1101" s="33"/>
      <c r="AB1101" s="33"/>
      <c r="AC1101" s="30"/>
      <c r="AD1101" s="30"/>
      <c r="AE1101" s="33"/>
      <c r="AF1101" s="31"/>
      <c r="AG1101" s="30"/>
      <c r="AH1101" s="30"/>
      <c r="AI1101" s="31"/>
      <c r="AJ1101" s="31"/>
      <c r="AK1101" s="32"/>
    </row>
    <row r="1102">
      <c r="A1102" s="21" t="s">
        <v>354</v>
      </c>
      <c r="B1102" s="22" t="s">
        <v>546</v>
      </c>
      <c r="C1102" s="22" t="s">
        <v>273</v>
      </c>
      <c r="D1102" s="23">
        <v>45991.0</v>
      </c>
      <c r="E1102" s="22" t="s">
        <v>480</v>
      </c>
      <c r="F1102" s="22" t="s">
        <v>356</v>
      </c>
      <c r="G1102" s="22" t="s">
        <v>2411</v>
      </c>
      <c r="H1102" s="22" t="s">
        <v>354</v>
      </c>
      <c r="I1102" s="22">
        <v>1.0464079741251E13</v>
      </c>
      <c r="J1102" s="22" t="s">
        <v>556</v>
      </c>
      <c r="K1102" s="24"/>
      <c r="L1102" s="22" t="s">
        <v>359</v>
      </c>
      <c r="M1102" s="22">
        <v>1.0</v>
      </c>
      <c r="N1102" s="22" t="s">
        <v>360</v>
      </c>
      <c r="O1102" s="22" t="s">
        <v>361</v>
      </c>
      <c r="P1102" s="24"/>
      <c r="Q1102" s="22" t="s">
        <v>90</v>
      </c>
      <c r="R1102" s="22">
        <v>3.2763015364931E13</v>
      </c>
      <c r="S1102" s="24"/>
      <c r="T1102" s="24"/>
      <c r="U1102" s="24"/>
      <c r="V1102" s="22" t="s">
        <v>54</v>
      </c>
      <c r="W1102" s="33"/>
      <c r="X1102" s="33"/>
      <c r="Y1102" s="30"/>
      <c r="Z1102" s="30"/>
      <c r="AA1102" s="33"/>
      <c r="AB1102" s="33"/>
      <c r="AC1102" s="30"/>
      <c r="AD1102" s="30"/>
      <c r="AE1102" s="33"/>
      <c r="AF1102" s="31"/>
      <c r="AG1102" s="30"/>
      <c r="AH1102" s="30"/>
      <c r="AI1102" s="31"/>
      <c r="AJ1102" s="31"/>
      <c r="AK1102" s="32"/>
    </row>
    <row r="1103">
      <c r="A1103" s="21" t="s">
        <v>569</v>
      </c>
      <c r="B1103" s="22" t="s">
        <v>471</v>
      </c>
      <c r="C1103" s="22" t="s">
        <v>82</v>
      </c>
      <c r="D1103" s="26">
        <v>45997.0</v>
      </c>
      <c r="E1103" s="22" t="s">
        <v>134</v>
      </c>
      <c r="F1103" s="22" t="s">
        <v>472</v>
      </c>
      <c r="G1103" s="22" t="s">
        <v>2412</v>
      </c>
      <c r="H1103" s="22" t="s">
        <v>569</v>
      </c>
      <c r="I1103" s="22">
        <v>1.0464086851907E13</v>
      </c>
      <c r="J1103" s="22" t="s">
        <v>474</v>
      </c>
      <c r="K1103" s="24"/>
      <c r="L1103" s="22" t="s">
        <v>571</v>
      </c>
      <c r="M1103" s="22">
        <v>1.0</v>
      </c>
      <c r="N1103" s="22" t="s">
        <v>534</v>
      </c>
      <c r="O1103" s="22" t="s">
        <v>535</v>
      </c>
      <c r="P1103" s="24"/>
      <c r="Q1103" s="22" t="s">
        <v>90</v>
      </c>
      <c r="R1103" s="22">
        <v>3.2763031159107E13</v>
      </c>
      <c r="S1103" s="24"/>
      <c r="T1103" s="24"/>
      <c r="U1103" s="24"/>
      <c r="V1103" s="22" t="s">
        <v>105</v>
      </c>
      <c r="W1103" s="33"/>
      <c r="X1103" s="33"/>
      <c r="Y1103" s="30"/>
      <c r="Z1103" s="30"/>
      <c r="AA1103" s="33"/>
      <c r="AB1103" s="33"/>
      <c r="AC1103" s="30"/>
      <c r="AD1103" s="30"/>
      <c r="AE1103" s="33"/>
      <c r="AF1103" s="31"/>
      <c r="AG1103" s="30"/>
      <c r="AH1103" s="30"/>
      <c r="AI1103" s="31"/>
      <c r="AJ1103" s="31"/>
      <c r="AK1103" s="32"/>
    </row>
    <row r="1104">
      <c r="A1104" s="21" t="s">
        <v>437</v>
      </c>
      <c r="B1104" s="22" t="s">
        <v>438</v>
      </c>
      <c r="C1104" s="22" t="s">
        <v>273</v>
      </c>
      <c r="D1104" s="26">
        <v>45998.0</v>
      </c>
      <c r="E1104" s="22" t="s">
        <v>439</v>
      </c>
      <c r="F1104" s="22" t="s">
        <v>440</v>
      </c>
      <c r="G1104" s="22" t="s">
        <v>2413</v>
      </c>
      <c r="H1104" s="22" t="s">
        <v>437</v>
      </c>
      <c r="I1104" s="22">
        <v>1.0464101663043E13</v>
      </c>
      <c r="J1104" s="22" t="s">
        <v>1767</v>
      </c>
      <c r="K1104" s="24"/>
      <c r="L1104" s="22" t="s">
        <v>443</v>
      </c>
      <c r="M1104" s="22">
        <v>1.0</v>
      </c>
      <c r="N1104" s="22" t="s">
        <v>444</v>
      </c>
      <c r="O1104" s="22" t="s">
        <v>445</v>
      </c>
      <c r="P1104" s="24"/>
      <c r="Q1104" s="22" t="s">
        <v>90</v>
      </c>
      <c r="R1104" s="22">
        <v>3.2763060224323E13</v>
      </c>
      <c r="S1104" s="24"/>
      <c r="T1104" s="24"/>
      <c r="U1104" s="24"/>
      <c r="V1104" s="22" t="s">
        <v>91</v>
      </c>
      <c r="W1104" s="33"/>
      <c r="X1104" s="33"/>
      <c r="Y1104" s="30"/>
      <c r="Z1104" s="30"/>
      <c r="AA1104" s="33"/>
      <c r="AB1104" s="33"/>
      <c r="AC1104" s="30"/>
      <c r="AD1104" s="30"/>
      <c r="AE1104" s="33"/>
      <c r="AF1104" s="31"/>
      <c r="AG1104" s="30"/>
      <c r="AH1104" s="30"/>
      <c r="AI1104" s="31"/>
      <c r="AJ1104" s="31"/>
      <c r="AK1104" s="32"/>
    </row>
    <row r="1105">
      <c r="A1105" s="21" t="s">
        <v>1622</v>
      </c>
      <c r="B1105" s="22" t="s">
        <v>2292</v>
      </c>
      <c r="C1105" s="22" t="s">
        <v>82</v>
      </c>
      <c r="D1105" s="26">
        <v>45997.0</v>
      </c>
      <c r="E1105" s="22" t="s">
        <v>2293</v>
      </c>
      <c r="F1105" s="22" t="s">
        <v>1466</v>
      </c>
      <c r="G1105" s="22" t="s">
        <v>2414</v>
      </c>
      <c r="H1105" s="22" t="s">
        <v>1622</v>
      </c>
      <c r="I1105" s="22">
        <v>1.0464159433027E13</v>
      </c>
      <c r="J1105" s="22" t="s">
        <v>2295</v>
      </c>
      <c r="K1105" s="24"/>
      <c r="L1105" s="22" t="s">
        <v>1627</v>
      </c>
      <c r="M1105" s="22">
        <v>1.0</v>
      </c>
      <c r="N1105" s="22" t="s">
        <v>1628</v>
      </c>
      <c r="O1105" s="22" t="s">
        <v>1629</v>
      </c>
      <c r="P1105" s="24"/>
      <c r="Q1105" s="22" t="s">
        <v>90</v>
      </c>
      <c r="R1105" s="22">
        <v>3.2763185889603E13</v>
      </c>
      <c r="S1105" s="24"/>
      <c r="T1105" s="24"/>
      <c r="U1105" s="24"/>
      <c r="V1105" s="22" t="s">
        <v>175</v>
      </c>
      <c r="W1105" s="33"/>
      <c r="X1105" s="33"/>
      <c r="Y1105" s="30"/>
      <c r="Z1105" s="30"/>
      <c r="AA1105" s="33"/>
      <c r="AB1105" s="33"/>
      <c r="AC1105" s="30"/>
      <c r="AD1105" s="30"/>
      <c r="AE1105" s="33"/>
      <c r="AF1105" s="31"/>
      <c r="AG1105" s="30"/>
      <c r="AH1105" s="30"/>
      <c r="AI1105" s="31"/>
      <c r="AJ1105" s="31"/>
      <c r="AK1105" s="32"/>
    </row>
    <row r="1106">
      <c r="A1106" s="21" t="s">
        <v>276</v>
      </c>
      <c r="B1106" s="22" t="s">
        <v>2415</v>
      </c>
      <c r="C1106" s="22" t="s">
        <v>82</v>
      </c>
      <c r="D1106" s="26">
        <v>45997.0</v>
      </c>
      <c r="E1106" s="22" t="s">
        <v>975</v>
      </c>
      <c r="F1106" s="22" t="s">
        <v>278</v>
      </c>
      <c r="G1106" s="22" t="s">
        <v>2416</v>
      </c>
      <c r="H1106" s="22" t="s">
        <v>276</v>
      </c>
      <c r="I1106" s="22">
        <v>1.0464203505987E13</v>
      </c>
      <c r="J1106" s="22" t="s">
        <v>2417</v>
      </c>
      <c r="K1106" s="24"/>
      <c r="L1106" s="22" t="s">
        <v>281</v>
      </c>
      <c r="M1106" s="22">
        <v>1.0</v>
      </c>
      <c r="N1106" s="22" t="s">
        <v>282</v>
      </c>
      <c r="O1106" s="22" t="s">
        <v>283</v>
      </c>
      <c r="P1106" s="24"/>
      <c r="Q1106" s="22" t="s">
        <v>90</v>
      </c>
      <c r="R1106" s="22">
        <v>3.2763283308867E13</v>
      </c>
      <c r="S1106" s="24"/>
      <c r="T1106" s="24"/>
      <c r="U1106" s="24"/>
      <c r="V1106" s="22" t="s">
        <v>55</v>
      </c>
      <c r="W1106" s="33"/>
      <c r="X1106" s="33"/>
      <c r="Y1106" s="30"/>
      <c r="Z1106" s="30"/>
      <c r="AA1106" s="33"/>
      <c r="AB1106" s="33"/>
      <c r="AC1106" s="30"/>
      <c r="AD1106" s="30"/>
      <c r="AE1106" s="33"/>
      <c r="AF1106" s="31"/>
      <c r="AG1106" s="30"/>
      <c r="AH1106" s="30"/>
      <c r="AI1106" s="31"/>
      <c r="AJ1106" s="31"/>
      <c r="AK1106" s="32"/>
    </row>
    <row r="1107">
      <c r="A1107" s="21" t="s">
        <v>124</v>
      </c>
      <c r="B1107" s="22" t="s">
        <v>1309</v>
      </c>
      <c r="C1107" s="22" t="s">
        <v>273</v>
      </c>
      <c r="D1107" s="26">
        <v>45998.0</v>
      </c>
      <c r="E1107" s="22" t="s">
        <v>134</v>
      </c>
      <c r="F1107" s="22" t="s">
        <v>83</v>
      </c>
      <c r="G1107" s="22" t="s">
        <v>2418</v>
      </c>
      <c r="H1107" s="22" t="s">
        <v>124</v>
      </c>
      <c r="I1107" s="22">
        <v>1.0464273989955E13</v>
      </c>
      <c r="J1107" s="22" t="s">
        <v>1311</v>
      </c>
      <c r="K1107" s="24"/>
      <c r="L1107" s="22" t="s">
        <v>126</v>
      </c>
      <c r="M1107" s="22">
        <v>1.0</v>
      </c>
      <c r="N1107" s="22" t="s">
        <v>103</v>
      </c>
      <c r="O1107" s="22" t="s">
        <v>104</v>
      </c>
      <c r="P1107" s="24"/>
      <c r="Q1107" s="22" t="s">
        <v>90</v>
      </c>
      <c r="R1107" s="22">
        <v>3.2763447542083E13</v>
      </c>
      <c r="S1107" s="24"/>
      <c r="T1107" s="24"/>
      <c r="U1107" s="24"/>
      <c r="V1107" s="22" t="s">
        <v>127</v>
      </c>
      <c r="W1107" s="33"/>
      <c r="X1107" s="33"/>
      <c r="Y1107" s="30"/>
      <c r="Z1107" s="30"/>
      <c r="AA1107" s="33"/>
      <c r="AB1107" s="33"/>
      <c r="AC1107" s="30"/>
      <c r="AD1107" s="30"/>
      <c r="AE1107" s="33"/>
      <c r="AF1107" s="31"/>
      <c r="AG1107" s="30"/>
      <c r="AH1107" s="30"/>
      <c r="AI1107" s="31"/>
      <c r="AJ1107" s="31"/>
      <c r="AK1107" s="32"/>
    </row>
    <row r="1108">
      <c r="A1108" s="21" t="s">
        <v>96</v>
      </c>
      <c r="B1108" s="22" t="s">
        <v>2419</v>
      </c>
      <c r="C1108" s="22" t="s">
        <v>273</v>
      </c>
      <c r="D1108" s="23">
        <v>45991.0</v>
      </c>
      <c r="E1108" s="22" t="s">
        <v>1400</v>
      </c>
      <c r="F1108" s="22" t="s">
        <v>83</v>
      </c>
      <c r="G1108" s="22" t="s">
        <v>2420</v>
      </c>
      <c r="H1108" s="22" t="s">
        <v>96</v>
      </c>
      <c r="I1108" s="22">
        <v>1.0464276480323E13</v>
      </c>
      <c r="J1108" s="22" t="s">
        <v>2421</v>
      </c>
      <c r="K1108" s="24"/>
      <c r="L1108" s="22" t="s">
        <v>98</v>
      </c>
      <c r="M1108" s="22">
        <v>1.0</v>
      </c>
      <c r="N1108" s="22" t="s">
        <v>87</v>
      </c>
      <c r="O1108" s="22" t="s">
        <v>88</v>
      </c>
      <c r="P1108" s="24"/>
      <c r="Q1108" s="22" t="s">
        <v>90</v>
      </c>
      <c r="R1108" s="22">
        <v>3.2763453047107E13</v>
      </c>
      <c r="S1108" s="24"/>
      <c r="T1108" s="24"/>
      <c r="U1108" s="24"/>
      <c r="V1108" s="22" t="s">
        <v>55</v>
      </c>
      <c r="W1108" s="33"/>
      <c r="X1108" s="33"/>
      <c r="Y1108" s="30"/>
      <c r="Z1108" s="30"/>
      <c r="AA1108" s="33"/>
      <c r="AB1108" s="33"/>
      <c r="AC1108" s="30"/>
      <c r="AD1108" s="30"/>
      <c r="AE1108" s="33"/>
      <c r="AF1108" s="31"/>
      <c r="AG1108" s="30"/>
      <c r="AH1108" s="30"/>
      <c r="AI1108" s="31"/>
      <c r="AJ1108" s="31"/>
      <c r="AK1108" s="32"/>
    </row>
    <row r="1109">
      <c r="A1109" s="21" t="s">
        <v>569</v>
      </c>
      <c r="B1109" s="22" t="s">
        <v>516</v>
      </c>
      <c r="C1109" s="22" t="s">
        <v>273</v>
      </c>
      <c r="D1109" s="26">
        <v>45998.0</v>
      </c>
      <c r="E1109" s="22" t="s">
        <v>134</v>
      </c>
      <c r="F1109" s="22" t="s">
        <v>472</v>
      </c>
      <c r="G1109" s="22" t="s">
        <v>2422</v>
      </c>
      <c r="H1109" s="22" t="s">
        <v>569</v>
      </c>
      <c r="I1109" s="22">
        <v>1.0464287686979E13</v>
      </c>
      <c r="J1109" s="22" t="s">
        <v>518</v>
      </c>
      <c r="K1109" s="24"/>
      <c r="L1109" s="22" t="s">
        <v>571</v>
      </c>
      <c r="M1109" s="22">
        <v>2.0</v>
      </c>
      <c r="N1109" s="22" t="s">
        <v>534</v>
      </c>
      <c r="O1109" s="22" t="s">
        <v>535</v>
      </c>
      <c r="P1109" s="24"/>
      <c r="Q1109" s="22" t="s">
        <v>90</v>
      </c>
      <c r="R1109" s="22">
        <v>3.2763477426499E13</v>
      </c>
      <c r="S1109" s="24"/>
      <c r="T1109" s="24"/>
      <c r="U1109" s="24"/>
      <c r="V1109" s="22" t="s">
        <v>105</v>
      </c>
      <c r="W1109" s="33"/>
      <c r="X1109" s="33"/>
      <c r="Y1109" s="30"/>
      <c r="Z1109" s="30"/>
      <c r="AA1109" s="33"/>
      <c r="AB1109" s="33"/>
      <c r="AC1109" s="30"/>
      <c r="AD1109" s="30"/>
      <c r="AE1109" s="33"/>
      <c r="AF1109" s="31"/>
      <c r="AG1109" s="30"/>
      <c r="AH1109" s="30"/>
      <c r="AI1109" s="31"/>
      <c r="AJ1109" s="31"/>
      <c r="AK1109" s="32"/>
    </row>
    <row r="1110">
      <c r="A1110" s="21" t="s">
        <v>692</v>
      </c>
      <c r="B1110" s="22" t="s">
        <v>1364</v>
      </c>
      <c r="C1110" s="22" t="s">
        <v>273</v>
      </c>
      <c r="D1110" s="26">
        <v>45998.0</v>
      </c>
      <c r="E1110" s="22" t="s">
        <v>138</v>
      </c>
      <c r="F1110" s="22" t="s">
        <v>369</v>
      </c>
      <c r="G1110" s="22" t="s">
        <v>2423</v>
      </c>
      <c r="H1110" s="22" t="s">
        <v>692</v>
      </c>
      <c r="I1110" s="22">
        <v>1.0464295682371E13</v>
      </c>
      <c r="J1110" s="22" t="s">
        <v>1366</v>
      </c>
      <c r="K1110" s="24"/>
      <c r="L1110" s="22" t="s">
        <v>694</v>
      </c>
      <c r="M1110" s="22">
        <v>1.0</v>
      </c>
      <c r="N1110" s="22" t="s">
        <v>373</v>
      </c>
      <c r="O1110" s="22" t="s">
        <v>374</v>
      </c>
      <c r="P1110" s="24"/>
      <c r="Q1110" s="22" t="s">
        <v>90</v>
      </c>
      <c r="R1110" s="22">
        <v>3.2763496497475E13</v>
      </c>
      <c r="S1110" s="24"/>
      <c r="T1110" s="24"/>
      <c r="U1110" s="24"/>
      <c r="V1110" s="22" t="s">
        <v>54</v>
      </c>
      <c r="W1110" s="33"/>
      <c r="X1110" s="33"/>
      <c r="Y1110" s="30"/>
      <c r="Z1110" s="30"/>
      <c r="AA1110" s="33"/>
      <c r="AB1110" s="33"/>
      <c r="AC1110" s="30"/>
      <c r="AD1110" s="30"/>
      <c r="AE1110" s="33"/>
      <c r="AF1110" s="31"/>
      <c r="AG1110" s="30"/>
      <c r="AH1110" s="30"/>
      <c r="AI1110" s="31"/>
      <c r="AJ1110" s="31"/>
      <c r="AK1110" s="32"/>
    </row>
    <row r="1111">
      <c r="A1111" s="21" t="s">
        <v>1204</v>
      </c>
      <c r="B1111" s="22" t="s">
        <v>763</v>
      </c>
      <c r="C1111" s="22" t="s">
        <v>82</v>
      </c>
      <c r="D1111" s="26">
        <v>45997.0</v>
      </c>
      <c r="E1111" s="22" t="s">
        <v>149</v>
      </c>
      <c r="F1111" s="22" t="s">
        <v>623</v>
      </c>
      <c r="G1111" s="22" t="s">
        <v>2424</v>
      </c>
      <c r="H1111" s="22" t="s">
        <v>1204</v>
      </c>
      <c r="I1111" s="22">
        <v>1.0464302858563E13</v>
      </c>
      <c r="J1111" s="22" t="s">
        <v>765</v>
      </c>
      <c r="K1111" s="24"/>
      <c r="L1111" s="22" t="s">
        <v>1208</v>
      </c>
      <c r="M1111" s="22">
        <v>1.0</v>
      </c>
      <c r="N1111" s="22" t="s">
        <v>627</v>
      </c>
      <c r="O1111" s="22" t="s">
        <v>628</v>
      </c>
      <c r="P1111" s="24"/>
      <c r="Q1111" s="22" t="s">
        <v>90</v>
      </c>
      <c r="R1111" s="22">
        <v>3.2763514192195E13</v>
      </c>
      <c r="S1111" s="24"/>
      <c r="T1111" s="24"/>
      <c r="U1111" s="24"/>
      <c r="V1111" s="22" t="s">
        <v>91</v>
      </c>
      <c r="W1111" s="33"/>
      <c r="X1111" s="33"/>
      <c r="Y1111" s="30"/>
      <c r="Z1111" s="30"/>
      <c r="AA1111" s="33"/>
      <c r="AB1111" s="33"/>
      <c r="AC1111" s="30"/>
      <c r="AD1111" s="30"/>
      <c r="AE1111" s="33"/>
      <c r="AF1111" s="31"/>
      <c r="AG1111" s="30"/>
      <c r="AH1111" s="30"/>
      <c r="AI1111" s="31"/>
      <c r="AJ1111" s="31"/>
      <c r="AK1111" s="32"/>
    </row>
    <row r="1112">
      <c r="A1112" s="21" t="s">
        <v>166</v>
      </c>
      <c r="B1112" s="22" t="s">
        <v>393</v>
      </c>
      <c r="C1112" s="22" t="s">
        <v>82</v>
      </c>
      <c r="D1112" s="26">
        <v>45997.0</v>
      </c>
      <c r="E1112" s="22" t="s">
        <v>187</v>
      </c>
      <c r="F1112" s="22" t="s">
        <v>111</v>
      </c>
      <c r="G1112" s="22" t="s">
        <v>2425</v>
      </c>
      <c r="H1112" s="22" t="s">
        <v>166</v>
      </c>
      <c r="I1112" s="22">
        <v>1.0464398016835E13</v>
      </c>
      <c r="J1112" s="22" t="s">
        <v>395</v>
      </c>
      <c r="K1112" s="24"/>
      <c r="L1112" s="22" t="s">
        <v>171</v>
      </c>
      <c r="M1112" s="22">
        <v>1.0</v>
      </c>
      <c r="N1112" s="22" t="s">
        <v>115</v>
      </c>
      <c r="O1112" s="22" t="s">
        <v>116</v>
      </c>
      <c r="P1112" s="24"/>
      <c r="Q1112" s="22" t="s">
        <v>90</v>
      </c>
      <c r="R1112" s="22">
        <v>3.2763739537731E13</v>
      </c>
      <c r="S1112" s="24"/>
      <c r="T1112" s="24"/>
      <c r="U1112" s="24"/>
      <c r="V1112" s="22" t="s">
        <v>55</v>
      </c>
      <c r="W1112" s="33"/>
      <c r="X1112" s="33"/>
      <c r="Y1112" s="30"/>
      <c r="Z1112" s="30"/>
      <c r="AA1112" s="33"/>
      <c r="AB1112" s="33"/>
      <c r="AC1112" s="30"/>
      <c r="AD1112" s="30"/>
      <c r="AE1112" s="33"/>
      <c r="AF1112" s="31"/>
      <c r="AG1112" s="30"/>
      <c r="AH1112" s="30"/>
      <c r="AI1112" s="31"/>
      <c r="AJ1112" s="31"/>
      <c r="AK1112" s="32"/>
    </row>
    <row r="1113">
      <c r="A1113" s="21" t="s">
        <v>632</v>
      </c>
      <c r="B1113" s="22" t="s">
        <v>823</v>
      </c>
      <c r="C1113" s="22" t="s">
        <v>82</v>
      </c>
      <c r="D1113" s="26">
        <v>45997.0</v>
      </c>
      <c r="E1113" s="22" t="s">
        <v>177</v>
      </c>
      <c r="F1113" s="22" t="s">
        <v>634</v>
      </c>
      <c r="G1113" s="22" t="s">
        <v>2426</v>
      </c>
      <c r="H1113" s="22" t="s">
        <v>632</v>
      </c>
      <c r="I1113" s="22">
        <v>1.0464400572739E13</v>
      </c>
      <c r="J1113" s="22" t="s">
        <v>825</v>
      </c>
      <c r="K1113" s="24"/>
      <c r="L1113" s="22" t="s">
        <v>637</v>
      </c>
      <c r="M1113" s="22">
        <v>1.0</v>
      </c>
      <c r="N1113" s="22" t="s">
        <v>638</v>
      </c>
      <c r="O1113" s="22" t="s">
        <v>639</v>
      </c>
      <c r="P1113" s="24"/>
      <c r="Q1113" s="22" t="s">
        <v>90</v>
      </c>
      <c r="R1113" s="22">
        <v>3.2763745501507E13</v>
      </c>
      <c r="S1113" s="24"/>
      <c r="T1113" s="24"/>
      <c r="U1113" s="24"/>
      <c r="V1113" s="22" t="s">
        <v>91</v>
      </c>
      <c r="W1113" s="33"/>
      <c r="X1113" s="33"/>
      <c r="Y1113" s="30"/>
      <c r="Z1113" s="30"/>
      <c r="AA1113" s="33"/>
      <c r="AB1113" s="33"/>
      <c r="AC1113" s="30"/>
      <c r="AD1113" s="30"/>
      <c r="AE1113" s="33"/>
      <c r="AF1113" s="31"/>
      <c r="AG1113" s="30"/>
      <c r="AH1113" s="30"/>
      <c r="AI1113" s="31"/>
      <c r="AJ1113" s="31"/>
      <c r="AK1113" s="32"/>
    </row>
    <row r="1114">
      <c r="A1114" s="21" t="s">
        <v>437</v>
      </c>
      <c r="B1114" s="22" t="s">
        <v>974</v>
      </c>
      <c r="C1114" s="22" t="s">
        <v>273</v>
      </c>
      <c r="D1114" s="26">
        <v>45998.0</v>
      </c>
      <c r="E1114" s="22" t="s">
        <v>975</v>
      </c>
      <c r="F1114" s="22" t="s">
        <v>440</v>
      </c>
      <c r="G1114" s="22" t="s">
        <v>2427</v>
      </c>
      <c r="H1114" s="22" t="s">
        <v>437</v>
      </c>
      <c r="I1114" s="22">
        <v>1.0464442515779E13</v>
      </c>
      <c r="J1114" s="22" t="s">
        <v>977</v>
      </c>
      <c r="K1114" s="24"/>
      <c r="L1114" s="22" t="s">
        <v>443</v>
      </c>
      <c r="M1114" s="22">
        <v>1.0</v>
      </c>
      <c r="N1114" s="22" t="s">
        <v>444</v>
      </c>
      <c r="O1114" s="22" t="s">
        <v>445</v>
      </c>
      <c r="P1114" s="24"/>
      <c r="Q1114" s="22" t="s">
        <v>90</v>
      </c>
      <c r="R1114" s="22">
        <v>3.2763842265411E13</v>
      </c>
      <c r="S1114" s="24"/>
      <c r="T1114" s="24"/>
      <c r="U1114" s="24"/>
      <c r="V1114" s="22" t="s">
        <v>91</v>
      </c>
      <c r="W1114" s="33"/>
      <c r="X1114" s="33"/>
      <c r="Y1114" s="30"/>
      <c r="Z1114" s="30"/>
      <c r="AA1114" s="33"/>
      <c r="AB1114" s="33"/>
      <c r="AC1114" s="30"/>
      <c r="AD1114" s="30"/>
      <c r="AE1114" s="33"/>
      <c r="AF1114" s="31"/>
      <c r="AG1114" s="30"/>
      <c r="AH1114" s="30"/>
      <c r="AI1114" s="31"/>
      <c r="AJ1114" s="31"/>
      <c r="AK1114" s="32"/>
    </row>
    <row r="1115">
      <c r="A1115" s="21" t="s">
        <v>1674</v>
      </c>
      <c r="B1115" s="22" t="s">
        <v>574</v>
      </c>
      <c r="C1115" s="22" t="s">
        <v>273</v>
      </c>
      <c r="D1115" s="26">
        <v>45998.0</v>
      </c>
      <c r="E1115" s="22" t="s">
        <v>187</v>
      </c>
      <c r="F1115" s="22" t="s">
        <v>440</v>
      </c>
      <c r="G1115" s="22" t="s">
        <v>2428</v>
      </c>
      <c r="H1115" s="22" t="s">
        <v>1674</v>
      </c>
      <c r="I1115" s="22">
        <v>1.0464511033667E13</v>
      </c>
      <c r="J1115" s="22" t="s">
        <v>576</v>
      </c>
      <c r="K1115" s="24"/>
      <c r="L1115" s="22" t="s">
        <v>1678</v>
      </c>
      <c r="M1115" s="22">
        <v>1.0</v>
      </c>
      <c r="N1115" s="22" t="s">
        <v>444</v>
      </c>
      <c r="O1115" s="22" t="s">
        <v>445</v>
      </c>
      <c r="P1115" s="24"/>
      <c r="Q1115" s="22" t="s">
        <v>90</v>
      </c>
      <c r="R1115" s="22">
        <v>3.2764001321283E13</v>
      </c>
      <c r="S1115" s="24"/>
      <c r="T1115" s="24"/>
      <c r="U1115" s="24"/>
      <c r="V1115" s="22" t="s">
        <v>95</v>
      </c>
      <c r="W1115" s="33"/>
      <c r="X1115" s="33"/>
      <c r="Y1115" s="30"/>
      <c r="Z1115" s="30"/>
      <c r="AA1115" s="33"/>
      <c r="AB1115" s="33"/>
      <c r="AC1115" s="30"/>
      <c r="AD1115" s="30"/>
      <c r="AE1115" s="33"/>
      <c r="AF1115" s="31"/>
      <c r="AG1115" s="30"/>
      <c r="AH1115" s="30"/>
      <c r="AI1115" s="31"/>
      <c r="AJ1115" s="31"/>
      <c r="AK1115" s="32"/>
    </row>
    <row r="1116">
      <c r="A1116" s="21" t="s">
        <v>99</v>
      </c>
      <c r="B1116" s="22" t="s">
        <v>1309</v>
      </c>
      <c r="C1116" s="22" t="s">
        <v>273</v>
      </c>
      <c r="D1116" s="26">
        <v>45998.0</v>
      </c>
      <c r="E1116" s="22" t="s">
        <v>134</v>
      </c>
      <c r="F1116" s="22" t="s">
        <v>83</v>
      </c>
      <c r="G1116" s="22" t="s">
        <v>2429</v>
      </c>
      <c r="H1116" s="22" t="s">
        <v>99</v>
      </c>
      <c r="I1116" s="22">
        <v>1.0464519094595E13</v>
      </c>
      <c r="J1116" s="22" t="s">
        <v>1311</v>
      </c>
      <c r="K1116" s="24"/>
      <c r="L1116" s="22" t="s">
        <v>102</v>
      </c>
      <c r="M1116" s="22">
        <v>1.0</v>
      </c>
      <c r="N1116" s="22" t="s">
        <v>103</v>
      </c>
      <c r="O1116" s="22" t="s">
        <v>104</v>
      </c>
      <c r="P1116" s="24"/>
      <c r="Q1116" s="22" t="s">
        <v>90</v>
      </c>
      <c r="R1116" s="22">
        <v>3.2764020425027E13</v>
      </c>
      <c r="S1116" s="24"/>
      <c r="T1116" s="24"/>
      <c r="U1116" s="24"/>
      <c r="V1116" s="22" t="s">
        <v>105</v>
      </c>
      <c r="W1116" s="33"/>
      <c r="X1116" s="33"/>
      <c r="Y1116" s="30"/>
      <c r="Z1116" s="30"/>
      <c r="AA1116" s="33"/>
      <c r="AB1116" s="33"/>
      <c r="AC1116" s="30"/>
      <c r="AD1116" s="30"/>
      <c r="AE1116" s="33"/>
      <c r="AF1116" s="31"/>
      <c r="AG1116" s="30"/>
      <c r="AH1116" s="30"/>
      <c r="AI1116" s="31"/>
      <c r="AJ1116" s="31"/>
      <c r="AK1116" s="32"/>
    </row>
    <row r="1117">
      <c r="A1117" s="21" t="s">
        <v>973</v>
      </c>
      <c r="B1117" s="22" t="s">
        <v>1651</v>
      </c>
      <c r="C1117" s="22" t="s">
        <v>273</v>
      </c>
      <c r="D1117" s="26">
        <v>45998.0</v>
      </c>
      <c r="E1117" s="22" t="s">
        <v>1624</v>
      </c>
      <c r="F1117" s="22" t="s">
        <v>440</v>
      </c>
      <c r="G1117" s="22" t="s">
        <v>2430</v>
      </c>
      <c r="H1117" s="22" t="s">
        <v>973</v>
      </c>
      <c r="I1117" s="22">
        <v>1.0464592560451E13</v>
      </c>
      <c r="J1117" s="22" t="s">
        <v>1653</v>
      </c>
      <c r="K1117" s="24"/>
      <c r="L1117" s="22" t="s">
        <v>978</v>
      </c>
      <c r="M1117" s="22">
        <v>1.0</v>
      </c>
      <c r="N1117" s="22" t="s">
        <v>781</v>
      </c>
      <c r="O1117" s="22" t="s">
        <v>782</v>
      </c>
      <c r="P1117" s="24"/>
      <c r="Q1117" s="22" t="s">
        <v>90</v>
      </c>
      <c r="R1117" s="22">
        <v>3.2764188721475E13</v>
      </c>
      <c r="S1117" s="24"/>
      <c r="T1117" s="24"/>
      <c r="U1117" s="24"/>
      <c r="V1117" s="22" t="s">
        <v>105</v>
      </c>
      <c r="W1117" s="33"/>
      <c r="X1117" s="33"/>
      <c r="Y1117" s="30"/>
      <c r="Z1117" s="30"/>
      <c r="AA1117" s="33"/>
      <c r="AB1117" s="33"/>
      <c r="AC1117" s="30"/>
      <c r="AD1117" s="30"/>
      <c r="AE1117" s="33"/>
      <c r="AF1117" s="31"/>
      <c r="AG1117" s="30"/>
      <c r="AH1117" s="30"/>
      <c r="AI1117" s="31"/>
      <c r="AJ1117" s="31"/>
      <c r="AK1117" s="32"/>
    </row>
    <row r="1118">
      <c r="A1118" s="21" t="s">
        <v>658</v>
      </c>
      <c r="B1118" s="22" t="s">
        <v>2431</v>
      </c>
      <c r="C1118" s="22" t="s">
        <v>82</v>
      </c>
      <c r="D1118" s="23">
        <v>46004.0</v>
      </c>
      <c r="E1118" s="22" t="s">
        <v>1054</v>
      </c>
      <c r="F1118" s="22" t="s">
        <v>341</v>
      </c>
      <c r="G1118" s="22" t="s">
        <v>2432</v>
      </c>
      <c r="H1118" s="22" t="s">
        <v>658</v>
      </c>
      <c r="I1118" s="22">
        <v>1.0463766053187E13</v>
      </c>
      <c r="J1118" s="22" t="s">
        <v>2433</v>
      </c>
      <c r="K1118" s="24"/>
      <c r="L1118" s="22" t="s">
        <v>662</v>
      </c>
      <c r="M1118" s="22">
        <v>1.0</v>
      </c>
      <c r="N1118" s="22" t="s">
        <v>345</v>
      </c>
      <c r="O1118" s="22" t="s">
        <v>346</v>
      </c>
      <c r="P1118" s="24"/>
      <c r="Q1118" s="22" t="s">
        <v>90</v>
      </c>
      <c r="R1118" s="22">
        <v>3.2762341720387E13</v>
      </c>
      <c r="S1118" s="24"/>
      <c r="T1118" s="24"/>
      <c r="U1118" s="24"/>
      <c r="V1118" s="22" t="s">
        <v>95</v>
      </c>
      <c r="W1118" s="33"/>
      <c r="X1118" s="33"/>
      <c r="Y1118" s="30"/>
      <c r="Z1118" s="30"/>
      <c r="AA1118" s="33"/>
      <c r="AB1118" s="33"/>
      <c r="AC1118" s="30"/>
      <c r="AD1118" s="30"/>
      <c r="AE1118" s="33"/>
      <c r="AF1118" s="31"/>
      <c r="AG1118" s="30"/>
      <c r="AH1118" s="30"/>
      <c r="AI1118" s="31"/>
      <c r="AJ1118" s="31"/>
      <c r="AK1118" s="32"/>
    </row>
    <row r="1119">
      <c r="A1119" s="21" t="s">
        <v>96</v>
      </c>
      <c r="B1119" s="22" t="s">
        <v>2434</v>
      </c>
      <c r="C1119" s="22" t="s">
        <v>287</v>
      </c>
      <c r="D1119" s="26">
        <v>45994.0</v>
      </c>
      <c r="E1119" s="22" t="s">
        <v>134</v>
      </c>
      <c r="F1119" s="22" t="s">
        <v>83</v>
      </c>
      <c r="G1119" s="22" t="s">
        <v>2435</v>
      </c>
      <c r="H1119" s="22" t="s">
        <v>96</v>
      </c>
      <c r="I1119" s="22">
        <v>1.0463770280259E13</v>
      </c>
      <c r="J1119" s="22" t="s">
        <v>2436</v>
      </c>
      <c r="K1119" s="24"/>
      <c r="L1119" s="22" t="s">
        <v>98</v>
      </c>
      <c r="M1119" s="22">
        <v>1.0</v>
      </c>
      <c r="N1119" s="22" t="s">
        <v>87</v>
      </c>
      <c r="O1119" s="22" t="s">
        <v>88</v>
      </c>
      <c r="P1119" s="24"/>
      <c r="Q1119" s="22" t="s">
        <v>90</v>
      </c>
      <c r="R1119" s="22">
        <v>3.2762350403907E13</v>
      </c>
      <c r="S1119" s="24"/>
      <c r="T1119" s="24"/>
      <c r="U1119" s="24"/>
      <c r="V1119" s="22" t="s">
        <v>55</v>
      </c>
      <c r="W1119" s="33"/>
      <c r="X1119" s="33"/>
      <c r="Y1119" s="30"/>
      <c r="Z1119" s="30"/>
      <c r="AA1119" s="33"/>
      <c r="AB1119" s="33"/>
      <c r="AC1119" s="30"/>
      <c r="AD1119" s="30"/>
      <c r="AE1119" s="33"/>
      <c r="AF1119" s="31"/>
      <c r="AG1119" s="30"/>
      <c r="AH1119" s="30"/>
      <c r="AI1119" s="31"/>
      <c r="AJ1119" s="31"/>
      <c r="AK1119" s="32"/>
    </row>
    <row r="1120">
      <c r="A1120" s="21" t="s">
        <v>96</v>
      </c>
      <c r="B1120" s="22" t="s">
        <v>1352</v>
      </c>
      <c r="C1120" s="22" t="s">
        <v>82</v>
      </c>
      <c r="D1120" s="26">
        <v>45997.0</v>
      </c>
      <c r="E1120" s="22" t="s">
        <v>153</v>
      </c>
      <c r="F1120" s="22" t="s">
        <v>83</v>
      </c>
      <c r="G1120" s="22" t="s">
        <v>2437</v>
      </c>
      <c r="H1120" s="22" t="s">
        <v>96</v>
      </c>
      <c r="I1120" s="22">
        <v>1.0464794771779E13</v>
      </c>
      <c r="J1120" s="22" t="s">
        <v>1354</v>
      </c>
      <c r="K1120" s="24"/>
      <c r="L1120" s="22" t="s">
        <v>98</v>
      </c>
      <c r="M1120" s="22">
        <v>1.0</v>
      </c>
      <c r="N1120" s="22" t="s">
        <v>87</v>
      </c>
      <c r="O1120" s="22" t="s">
        <v>88</v>
      </c>
      <c r="P1120" s="24"/>
      <c r="Q1120" s="22" t="s">
        <v>90</v>
      </c>
      <c r="R1120" s="22">
        <v>3.2764631449923E13</v>
      </c>
      <c r="S1120" s="24"/>
      <c r="T1120" s="24"/>
      <c r="U1120" s="24"/>
      <c r="V1120" s="22" t="s">
        <v>55</v>
      </c>
      <c r="W1120" s="33"/>
      <c r="X1120" s="33"/>
      <c r="Y1120" s="30"/>
      <c r="Z1120" s="30"/>
      <c r="AA1120" s="33"/>
      <c r="AB1120" s="33"/>
      <c r="AC1120" s="30"/>
      <c r="AD1120" s="30"/>
      <c r="AE1120" s="33"/>
      <c r="AF1120" s="31"/>
      <c r="AG1120" s="30"/>
      <c r="AH1120" s="30"/>
      <c r="AI1120" s="31"/>
      <c r="AJ1120" s="31"/>
      <c r="AK1120" s="32"/>
    </row>
    <row r="1121">
      <c r="A1121" s="21" t="s">
        <v>938</v>
      </c>
      <c r="B1121" s="22" t="s">
        <v>471</v>
      </c>
      <c r="C1121" s="22" t="s">
        <v>82</v>
      </c>
      <c r="D1121" s="26">
        <v>45997.0</v>
      </c>
      <c r="E1121" s="22" t="s">
        <v>134</v>
      </c>
      <c r="F1121" s="22" t="s">
        <v>472</v>
      </c>
      <c r="G1121" s="22" t="s">
        <v>2438</v>
      </c>
      <c r="H1121" s="22" t="s">
        <v>938</v>
      </c>
      <c r="I1121" s="22">
        <v>1.0464844677443E13</v>
      </c>
      <c r="J1121" s="22" t="s">
        <v>474</v>
      </c>
      <c r="K1121" s="24"/>
      <c r="L1121" s="22" t="s">
        <v>940</v>
      </c>
      <c r="M1121" s="22">
        <v>1.0</v>
      </c>
      <c r="N1121" s="22" t="s">
        <v>476</v>
      </c>
      <c r="O1121" s="22" t="s">
        <v>477</v>
      </c>
      <c r="P1121" s="24"/>
      <c r="Q1121" s="22" t="s">
        <v>90</v>
      </c>
      <c r="R1121" s="22">
        <v>3.2764736176451E13</v>
      </c>
      <c r="S1121" s="24"/>
      <c r="T1121" s="24"/>
      <c r="U1121" s="24"/>
      <c r="V1121" s="22" t="s">
        <v>54</v>
      </c>
      <c r="W1121" s="33"/>
      <c r="X1121" s="33"/>
      <c r="Y1121" s="30"/>
      <c r="Z1121" s="30"/>
      <c r="AA1121" s="33"/>
      <c r="AB1121" s="33"/>
      <c r="AC1121" s="30"/>
      <c r="AD1121" s="30"/>
      <c r="AE1121" s="33"/>
      <c r="AF1121" s="31"/>
      <c r="AG1121" s="30"/>
      <c r="AH1121" s="30"/>
      <c r="AI1121" s="31"/>
      <c r="AJ1121" s="31"/>
      <c r="AK1121" s="32"/>
    </row>
    <row r="1122">
      <c r="A1122" s="21" t="s">
        <v>347</v>
      </c>
      <c r="B1122" s="22" t="s">
        <v>2237</v>
      </c>
      <c r="C1122" s="22" t="s">
        <v>82</v>
      </c>
      <c r="D1122" s="26">
        <v>45997.0</v>
      </c>
      <c r="E1122" s="22" t="s">
        <v>439</v>
      </c>
      <c r="F1122" s="22" t="s">
        <v>278</v>
      </c>
      <c r="G1122" s="22" t="s">
        <v>2439</v>
      </c>
      <c r="H1122" s="22" t="s">
        <v>347</v>
      </c>
      <c r="I1122" s="22">
        <v>1.0464852476227E13</v>
      </c>
      <c r="J1122" s="22" t="s">
        <v>2239</v>
      </c>
      <c r="K1122" s="24"/>
      <c r="L1122" s="22" t="s">
        <v>350</v>
      </c>
      <c r="M1122" s="22">
        <v>1.0</v>
      </c>
      <c r="N1122" s="22" t="s">
        <v>351</v>
      </c>
      <c r="O1122" s="22" t="s">
        <v>352</v>
      </c>
      <c r="P1122" s="24"/>
      <c r="Q1122" s="22" t="s">
        <v>90</v>
      </c>
      <c r="R1122" s="22">
        <v>3.2764751577411E13</v>
      </c>
      <c r="S1122" s="24"/>
      <c r="T1122" s="24"/>
      <c r="U1122" s="24"/>
      <c r="V1122" s="22" t="s">
        <v>127</v>
      </c>
      <c r="W1122" s="33"/>
      <c r="X1122" s="33"/>
      <c r="Y1122" s="30"/>
      <c r="Z1122" s="30"/>
      <c r="AA1122" s="33"/>
      <c r="AB1122" s="33"/>
      <c r="AC1122" s="30"/>
      <c r="AD1122" s="30"/>
      <c r="AE1122" s="33"/>
      <c r="AF1122" s="31"/>
      <c r="AG1122" s="30"/>
      <c r="AH1122" s="30"/>
      <c r="AI1122" s="31"/>
      <c r="AJ1122" s="31"/>
      <c r="AK1122" s="32"/>
    </row>
    <row r="1123">
      <c r="A1123" s="21" t="s">
        <v>124</v>
      </c>
      <c r="B1123" s="22" t="s">
        <v>1857</v>
      </c>
      <c r="C1123" s="22" t="s">
        <v>202</v>
      </c>
      <c r="D1123" s="26">
        <v>45996.0</v>
      </c>
      <c r="E1123" s="22" t="s">
        <v>149</v>
      </c>
      <c r="F1123" s="22" t="s">
        <v>83</v>
      </c>
      <c r="G1123" s="22" t="s">
        <v>2440</v>
      </c>
      <c r="H1123" s="22" t="s">
        <v>124</v>
      </c>
      <c r="I1123" s="22">
        <v>1.0464856637763E13</v>
      </c>
      <c r="J1123" s="22" t="s">
        <v>1859</v>
      </c>
      <c r="K1123" s="24"/>
      <c r="L1123" s="22" t="s">
        <v>126</v>
      </c>
      <c r="M1123" s="22">
        <v>1.0</v>
      </c>
      <c r="N1123" s="22" t="s">
        <v>103</v>
      </c>
      <c r="O1123" s="22" t="s">
        <v>104</v>
      </c>
      <c r="P1123" s="24"/>
      <c r="Q1123" s="22" t="s">
        <v>90</v>
      </c>
      <c r="R1123" s="22">
        <v>3.2764762325315E13</v>
      </c>
      <c r="S1123" s="24"/>
      <c r="T1123" s="24"/>
      <c r="U1123" s="24"/>
      <c r="V1123" s="22" t="s">
        <v>127</v>
      </c>
      <c r="W1123" s="33"/>
      <c r="X1123" s="33"/>
      <c r="Y1123" s="30"/>
      <c r="Z1123" s="30"/>
      <c r="AA1123" s="33"/>
      <c r="AB1123" s="33"/>
      <c r="AC1123" s="30"/>
      <c r="AD1123" s="30"/>
      <c r="AE1123" s="33"/>
      <c r="AF1123" s="31"/>
      <c r="AG1123" s="30"/>
      <c r="AH1123" s="30"/>
      <c r="AI1123" s="31"/>
      <c r="AJ1123" s="31"/>
      <c r="AK1123" s="32"/>
    </row>
    <row r="1124">
      <c r="A1124" s="21" t="s">
        <v>584</v>
      </c>
      <c r="B1124" s="22" t="s">
        <v>810</v>
      </c>
      <c r="C1124" s="22" t="s">
        <v>82</v>
      </c>
      <c r="D1124" s="23">
        <v>46004.0</v>
      </c>
      <c r="E1124" s="22" t="s">
        <v>134</v>
      </c>
      <c r="F1124" s="22" t="s">
        <v>377</v>
      </c>
      <c r="G1124" s="22" t="s">
        <v>2441</v>
      </c>
      <c r="H1124" s="22" t="s">
        <v>584</v>
      </c>
      <c r="I1124" s="22">
        <v>1.0464860537155E13</v>
      </c>
      <c r="J1124" s="22" t="s">
        <v>812</v>
      </c>
      <c r="K1124" s="24"/>
      <c r="L1124" s="22" t="s">
        <v>586</v>
      </c>
      <c r="M1124" s="22">
        <v>1.0</v>
      </c>
      <c r="N1124" s="22" t="s">
        <v>413</v>
      </c>
      <c r="O1124" s="22" t="s">
        <v>414</v>
      </c>
      <c r="P1124" s="24"/>
      <c r="Q1124" s="22" t="s">
        <v>90</v>
      </c>
      <c r="R1124" s="22">
        <v>3.2764771696963E13</v>
      </c>
      <c r="S1124" s="24"/>
      <c r="T1124" s="24"/>
      <c r="U1124" s="24"/>
      <c r="V1124" s="22" t="s">
        <v>105</v>
      </c>
      <c r="W1124" s="33"/>
      <c r="X1124" s="33"/>
      <c r="Y1124" s="30"/>
      <c r="Z1124" s="30"/>
      <c r="AA1124" s="33"/>
      <c r="AB1124" s="33"/>
      <c r="AC1124" s="30"/>
      <c r="AD1124" s="30"/>
      <c r="AE1124" s="33"/>
      <c r="AF1124" s="31"/>
      <c r="AG1124" s="30"/>
      <c r="AH1124" s="30"/>
      <c r="AI1124" s="31"/>
      <c r="AJ1124" s="31"/>
      <c r="AK1124" s="32"/>
    </row>
    <row r="1125">
      <c r="A1125" s="21" t="s">
        <v>96</v>
      </c>
      <c r="B1125" s="22" t="s">
        <v>1408</v>
      </c>
      <c r="C1125" s="22" t="s">
        <v>273</v>
      </c>
      <c r="D1125" s="26">
        <v>45998.0</v>
      </c>
      <c r="E1125" s="22" t="s">
        <v>153</v>
      </c>
      <c r="F1125" s="22" t="s">
        <v>83</v>
      </c>
      <c r="G1125" s="22" t="s">
        <v>2442</v>
      </c>
      <c r="H1125" s="22" t="s">
        <v>96</v>
      </c>
      <c r="I1125" s="22">
        <v>1.0464864174403E13</v>
      </c>
      <c r="J1125" s="22" t="s">
        <v>1410</v>
      </c>
      <c r="K1125" s="24"/>
      <c r="L1125" s="22" t="s">
        <v>98</v>
      </c>
      <c r="M1125" s="22">
        <v>1.0</v>
      </c>
      <c r="N1125" s="22" t="s">
        <v>87</v>
      </c>
      <c r="O1125" s="22" t="s">
        <v>88</v>
      </c>
      <c r="P1125" s="24"/>
      <c r="Q1125" s="22" t="s">
        <v>90</v>
      </c>
      <c r="R1125" s="22">
        <v>3.2764779692355E13</v>
      </c>
      <c r="S1125" s="24"/>
      <c r="T1125" s="24"/>
      <c r="U1125" s="24"/>
      <c r="V1125" s="22" t="s">
        <v>55</v>
      </c>
      <c r="W1125" s="33"/>
      <c r="X1125" s="33"/>
      <c r="Y1125" s="30"/>
      <c r="Z1125" s="30"/>
      <c r="AA1125" s="33"/>
      <c r="AB1125" s="33"/>
      <c r="AC1125" s="30"/>
      <c r="AD1125" s="30"/>
      <c r="AE1125" s="33"/>
      <c r="AF1125" s="31"/>
      <c r="AG1125" s="30"/>
      <c r="AH1125" s="30"/>
      <c r="AI1125" s="31"/>
      <c r="AJ1125" s="31"/>
      <c r="AK1125" s="32"/>
    </row>
    <row r="1126">
      <c r="A1126" s="21" t="s">
        <v>209</v>
      </c>
      <c r="B1126" s="22" t="s">
        <v>393</v>
      </c>
      <c r="C1126" s="22" t="s">
        <v>82</v>
      </c>
      <c r="D1126" s="26">
        <v>45997.0</v>
      </c>
      <c r="E1126" s="22" t="s">
        <v>187</v>
      </c>
      <c r="F1126" s="22" t="s">
        <v>111</v>
      </c>
      <c r="G1126" s="22" t="s">
        <v>2443</v>
      </c>
      <c r="H1126" s="22" t="s">
        <v>209</v>
      </c>
      <c r="I1126" s="22">
        <v>1.0464865648963E13</v>
      </c>
      <c r="J1126" s="22" t="s">
        <v>395</v>
      </c>
      <c r="K1126" s="24"/>
      <c r="L1126" s="22" t="s">
        <v>214</v>
      </c>
      <c r="M1126" s="22">
        <v>1.0</v>
      </c>
      <c r="N1126" s="22" t="s">
        <v>115</v>
      </c>
      <c r="O1126" s="22" t="s">
        <v>116</v>
      </c>
      <c r="P1126" s="24"/>
      <c r="Q1126" s="22" t="s">
        <v>90</v>
      </c>
      <c r="R1126" s="22">
        <v>3.2764783362371E13</v>
      </c>
      <c r="S1126" s="24"/>
      <c r="T1126" s="24"/>
      <c r="U1126" s="24"/>
      <c r="V1126" s="22" t="s">
        <v>91</v>
      </c>
      <c r="W1126" s="33"/>
      <c r="X1126" s="33"/>
      <c r="Y1126" s="30"/>
      <c r="Z1126" s="30"/>
      <c r="AA1126" s="33"/>
      <c r="AB1126" s="33"/>
      <c r="AC1126" s="30"/>
      <c r="AD1126" s="30"/>
      <c r="AE1126" s="33"/>
      <c r="AF1126" s="31"/>
      <c r="AG1126" s="30"/>
      <c r="AH1126" s="30"/>
      <c r="AI1126" s="31"/>
      <c r="AJ1126" s="31"/>
      <c r="AK1126" s="32"/>
    </row>
    <row r="1127">
      <c r="A1127" s="21" t="s">
        <v>375</v>
      </c>
      <c r="B1127" s="22" t="s">
        <v>653</v>
      </c>
      <c r="C1127" s="22" t="s">
        <v>82</v>
      </c>
      <c r="D1127" s="26">
        <v>45997.0</v>
      </c>
      <c r="E1127" s="22" t="s">
        <v>138</v>
      </c>
      <c r="F1127" s="22" t="s">
        <v>377</v>
      </c>
      <c r="G1127" s="22" t="s">
        <v>2444</v>
      </c>
      <c r="H1127" s="22" t="s">
        <v>375</v>
      </c>
      <c r="I1127" s="22">
        <v>1.0464873873731E13</v>
      </c>
      <c r="J1127" s="22" t="s">
        <v>655</v>
      </c>
      <c r="K1127" s="24"/>
      <c r="L1127" s="22" t="s">
        <v>380</v>
      </c>
      <c r="M1127" s="22">
        <v>1.0</v>
      </c>
      <c r="N1127" s="22" t="s">
        <v>381</v>
      </c>
      <c r="O1127" s="22" t="s">
        <v>382</v>
      </c>
      <c r="P1127" s="24"/>
      <c r="Q1127" s="22" t="s">
        <v>90</v>
      </c>
      <c r="R1127" s="22">
        <v>3.2764802859331E13</v>
      </c>
      <c r="S1127" s="24"/>
      <c r="T1127" s="24"/>
      <c r="U1127" s="24"/>
      <c r="V1127" s="22" t="s">
        <v>55</v>
      </c>
      <c r="W1127" s="33"/>
      <c r="X1127" s="33"/>
      <c r="Y1127" s="30"/>
      <c r="Z1127" s="30"/>
      <c r="AA1127" s="33"/>
      <c r="AB1127" s="33"/>
      <c r="AC1127" s="30"/>
      <c r="AD1127" s="30"/>
      <c r="AE1127" s="33"/>
      <c r="AF1127" s="31"/>
      <c r="AG1127" s="30"/>
      <c r="AH1127" s="30"/>
      <c r="AI1127" s="31"/>
      <c r="AJ1127" s="31"/>
      <c r="AK1127" s="32"/>
    </row>
    <row r="1128">
      <c r="A1128" s="21" t="s">
        <v>124</v>
      </c>
      <c r="B1128" s="22" t="s">
        <v>1486</v>
      </c>
      <c r="C1128" s="22" t="s">
        <v>82</v>
      </c>
      <c r="D1128" s="26">
        <v>45997.0</v>
      </c>
      <c r="E1128" s="22" t="s">
        <v>134</v>
      </c>
      <c r="F1128" s="22" t="s">
        <v>83</v>
      </c>
      <c r="G1128" s="22" t="s">
        <v>2445</v>
      </c>
      <c r="H1128" s="22" t="s">
        <v>124</v>
      </c>
      <c r="I1128" s="22">
        <v>1.0464876888387E13</v>
      </c>
      <c r="J1128" s="22" t="s">
        <v>1488</v>
      </c>
      <c r="K1128" s="24"/>
      <c r="L1128" s="22" t="s">
        <v>126</v>
      </c>
      <c r="M1128" s="22">
        <v>1.0</v>
      </c>
      <c r="N1128" s="22" t="s">
        <v>103</v>
      </c>
      <c r="O1128" s="22" t="s">
        <v>104</v>
      </c>
      <c r="P1128" s="24"/>
      <c r="Q1128" s="22" t="s">
        <v>90</v>
      </c>
      <c r="R1128" s="22">
        <v>3.2764808954179E13</v>
      </c>
      <c r="S1128" s="24"/>
      <c r="T1128" s="24"/>
      <c r="U1128" s="24"/>
      <c r="V1128" s="22" t="s">
        <v>127</v>
      </c>
      <c r="W1128" s="33"/>
      <c r="X1128" s="33"/>
      <c r="Y1128" s="30"/>
      <c r="Z1128" s="30"/>
      <c r="AA1128" s="33"/>
      <c r="AB1128" s="33"/>
      <c r="AC1128" s="30"/>
      <c r="AD1128" s="30"/>
      <c r="AE1128" s="33"/>
      <c r="AF1128" s="31"/>
      <c r="AG1128" s="30"/>
      <c r="AH1128" s="30"/>
      <c r="AI1128" s="31"/>
      <c r="AJ1128" s="31"/>
      <c r="AK1128" s="32"/>
    </row>
    <row r="1129">
      <c r="A1129" s="21" t="s">
        <v>1617</v>
      </c>
      <c r="B1129" s="22" t="s">
        <v>2292</v>
      </c>
      <c r="C1129" s="22" t="s">
        <v>82</v>
      </c>
      <c r="D1129" s="26">
        <v>45997.0</v>
      </c>
      <c r="E1129" s="22" t="s">
        <v>2293</v>
      </c>
      <c r="F1129" s="22" t="s">
        <v>1466</v>
      </c>
      <c r="G1129" s="22" t="s">
        <v>2446</v>
      </c>
      <c r="H1129" s="22" t="s">
        <v>1617</v>
      </c>
      <c r="I1129" s="22">
        <v>1.0464879280451E13</v>
      </c>
      <c r="J1129" s="22" t="s">
        <v>2295</v>
      </c>
      <c r="K1129" s="24"/>
      <c r="L1129" s="22" t="s">
        <v>1621</v>
      </c>
      <c r="M1129" s="22">
        <v>1.0</v>
      </c>
      <c r="N1129" s="22" t="s">
        <v>1470</v>
      </c>
      <c r="O1129" s="22" t="s">
        <v>1471</v>
      </c>
      <c r="P1129" s="24"/>
      <c r="Q1129" s="22" t="s">
        <v>90</v>
      </c>
      <c r="R1129" s="22">
        <v>3.2764814098755E13</v>
      </c>
      <c r="S1129" s="24"/>
      <c r="T1129" s="24"/>
      <c r="U1129" s="24"/>
      <c r="V1129" s="22" t="s">
        <v>95</v>
      </c>
      <c r="W1129" s="33"/>
      <c r="X1129" s="33"/>
      <c r="Y1129" s="30"/>
      <c r="Z1129" s="30"/>
      <c r="AA1129" s="33"/>
      <c r="AB1129" s="33"/>
      <c r="AC1129" s="30"/>
      <c r="AD1129" s="30"/>
      <c r="AE1129" s="33"/>
      <c r="AF1129" s="31"/>
      <c r="AG1129" s="30"/>
      <c r="AH1129" s="30"/>
      <c r="AI1129" s="31"/>
      <c r="AJ1129" s="31"/>
      <c r="AK1129" s="32"/>
    </row>
    <row r="1130">
      <c r="A1130" s="21" t="s">
        <v>375</v>
      </c>
      <c r="B1130" s="22" t="s">
        <v>800</v>
      </c>
      <c r="C1130" s="22" t="s">
        <v>82</v>
      </c>
      <c r="D1130" s="26">
        <v>45997.0</v>
      </c>
      <c r="E1130" s="22" t="s">
        <v>145</v>
      </c>
      <c r="F1130" s="22" t="s">
        <v>377</v>
      </c>
      <c r="G1130" s="22" t="s">
        <v>2447</v>
      </c>
      <c r="H1130" s="22" t="s">
        <v>375</v>
      </c>
      <c r="I1130" s="22">
        <v>1.0464882196803E13</v>
      </c>
      <c r="J1130" s="22" t="s">
        <v>802</v>
      </c>
      <c r="K1130" s="24"/>
      <c r="L1130" s="22" t="s">
        <v>380</v>
      </c>
      <c r="M1130" s="22">
        <v>1.0</v>
      </c>
      <c r="N1130" s="22" t="s">
        <v>381</v>
      </c>
      <c r="O1130" s="22" t="s">
        <v>382</v>
      </c>
      <c r="P1130" s="24"/>
      <c r="Q1130" s="22" t="s">
        <v>90</v>
      </c>
      <c r="R1130" s="22">
        <v>3.2764819898691E13</v>
      </c>
      <c r="S1130" s="24"/>
      <c r="T1130" s="24"/>
      <c r="U1130" s="24"/>
      <c r="V1130" s="22" t="s">
        <v>55</v>
      </c>
      <c r="W1130" s="33"/>
      <c r="X1130" s="33"/>
      <c r="Y1130" s="30"/>
      <c r="Z1130" s="30"/>
      <c r="AA1130" s="33"/>
      <c r="AB1130" s="33"/>
      <c r="AC1130" s="30"/>
      <c r="AD1130" s="30"/>
      <c r="AE1130" s="33"/>
      <c r="AF1130" s="31"/>
      <c r="AG1130" s="30"/>
      <c r="AH1130" s="30"/>
      <c r="AI1130" s="31"/>
      <c r="AJ1130" s="31"/>
      <c r="AK1130" s="32"/>
    </row>
    <row r="1131">
      <c r="A1131" s="21" t="s">
        <v>859</v>
      </c>
      <c r="B1131" s="22" t="s">
        <v>1576</v>
      </c>
      <c r="C1131" s="22" t="s">
        <v>82</v>
      </c>
      <c r="D1131" s="26">
        <v>45997.0</v>
      </c>
      <c r="E1131" s="22" t="s">
        <v>1117</v>
      </c>
      <c r="F1131" s="22" t="s">
        <v>605</v>
      </c>
      <c r="G1131" s="22" t="s">
        <v>2448</v>
      </c>
      <c r="H1131" s="22" t="s">
        <v>859</v>
      </c>
      <c r="I1131" s="22">
        <v>1.0464884687171E13</v>
      </c>
      <c r="J1131" s="22" t="s">
        <v>1578</v>
      </c>
      <c r="K1131" s="24"/>
      <c r="L1131" s="22" t="s">
        <v>861</v>
      </c>
      <c r="M1131" s="22">
        <v>1.0</v>
      </c>
      <c r="N1131" s="22" t="s">
        <v>609</v>
      </c>
      <c r="O1131" s="22" t="s">
        <v>610</v>
      </c>
      <c r="P1131" s="24"/>
      <c r="Q1131" s="22" t="s">
        <v>90</v>
      </c>
      <c r="R1131" s="22">
        <v>3.2764824551747E13</v>
      </c>
      <c r="S1131" s="24"/>
      <c r="T1131" s="24"/>
      <c r="U1131" s="24"/>
      <c r="V1131" s="22" t="s">
        <v>95</v>
      </c>
      <c r="W1131" s="33"/>
      <c r="X1131" s="33"/>
      <c r="Y1131" s="30"/>
      <c r="Z1131" s="30"/>
      <c r="AA1131" s="33"/>
      <c r="AB1131" s="33"/>
      <c r="AC1131" s="30"/>
      <c r="AD1131" s="30"/>
      <c r="AE1131" s="33"/>
      <c r="AF1131" s="31"/>
      <c r="AG1131" s="30"/>
      <c r="AH1131" s="30"/>
      <c r="AI1131" s="31"/>
      <c r="AJ1131" s="31"/>
      <c r="AK1131" s="32"/>
    </row>
    <row r="1132">
      <c r="A1132" s="21" t="s">
        <v>1832</v>
      </c>
      <c r="B1132" s="22" t="s">
        <v>1903</v>
      </c>
      <c r="C1132" s="22" t="s">
        <v>82</v>
      </c>
      <c r="D1132" s="26">
        <v>45997.0</v>
      </c>
      <c r="E1132" s="22" t="s">
        <v>734</v>
      </c>
      <c r="F1132" s="22" t="s">
        <v>698</v>
      </c>
      <c r="G1132" s="22" t="s">
        <v>2449</v>
      </c>
      <c r="H1132" s="22" t="s">
        <v>1832</v>
      </c>
      <c r="I1132" s="22">
        <v>1.0464890519875E13</v>
      </c>
      <c r="J1132" s="22" t="s">
        <v>1905</v>
      </c>
      <c r="K1132" s="24"/>
      <c r="L1132" s="22" t="s">
        <v>1834</v>
      </c>
      <c r="M1132" s="22">
        <v>1.0</v>
      </c>
      <c r="N1132" s="22" t="s">
        <v>702</v>
      </c>
      <c r="O1132" s="22" t="s">
        <v>703</v>
      </c>
      <c r="P1132" s="24"/>
      <c r="Q1132" s="22" t="s">
        <v>90</v>
      </c>
      <c r="R1132" s="22">
        <v>3.2764837232963E13</v>
      </c>
      <c r="S1132" s="24"/>
      <c r="T1132" s="24"/>
      <c r="U1132" s="24"/>
      <c r="V1132" s="22" t="s">
        <v>91</v>
      </c>
      <c r="W1132" s="33"/>
      <c r="X1132" s="33"/>
      <c r="Y1132" s="30"/>
      <c r="Z1132" s="30"/>
      <c r="AA1132" s="33"/>
      <c r="AB1132" s="33"/>
      <c r="AC1132" s="30"/>
      <c r="AD1132" s="30"/>
      <c r="AE1132" s="33"/>
      <c r="AF1132" s="31"/>
      <c r="AG1132" s="30"/>
      <c r="AH1132" s="30"/>
      <c r="AI1132" s="31"/>
      <c r="AJ1132" s="31"/>
      <c r="AK1132" s="32"/>
    </row>
    <row r="1133">
      <c r="A1133" s="21" t="s">
        <v>822</v>
      </c>
      <c r="B1133" s="22" t="s">
        <v>876</v>
      </c>
      <c r="C1133" s="22" t="s">
        <v>273</v>
      </c>
      <c r="D1133" s="26">
        <v>45998.0</v>
      </c>
      <c r="E1133" s="22" t="s">
        <v>177</v>
      </c>
      <c r="F1133" s="22" t="s">
        <v>634</v>
      </c>
      <c r="G1133" s="22" t="s">
        <v>2450</v>
      </c>
      <c r="H1133" s="22" t="s">
        <v>822</v>
      </c>
      <c r="I1133" s="22">
        <v>1.0464897925443E13</v>
      </c>
      <c r="J1133" s="22" t="s">
        <v>878</v>
      </c>
      <c r="K1133" s="24"/>
      <c r="L1133" s="22" t="s">
        <v>826</v>
      </c>
      <c r="M1133" s="22">
        <v>1.0</v>
      </c>
      <c r="N1133" s="22" t="s">
        <v>638</v>
      </c>
      <c r="O1133" s="22" t="s">
        <v>639</v>
      </c>
      <c r="P1133" s="24"/>
      <c r="Q1133" s="22" t="s">
        <v>90</v>
      </c>
      <c r="R1133" s="22">
        <v>3.2764852928835E13</v>
      </c>
      <c r="S1133" s="24"/>
      <c r="T1133" s="24"/>
      <c r="U1133" s="24"/>
      <c r="V1133" s="22" t="s">
        <v>55</v>
      </c>
      <c r="W1133" s="33"/>
      <c r="X1133" s="33"/>
      <c r="Y1133" s="30"/>
      <c r="Z1133" s="30"/>
      <c r="AA1133" s="33"/>
      <c r="AB1133" s="33"/>
      <c r="AC1133" s="30"/>
      <c r="AD1133" s="30"/>
      <c r="AE1133" s="33"/>
      <c r="AF1133" s="31"/>
      <c r="AG1133" s="30"/>
      <c r="AH1133" s="30"/>
      <c r="AI1133" s="31"/>
      <c r="AJ1133" s="31"/>
      <c r="AK1133" s="32"/>
    </row>
    <row r="1134">
      <c r="A1134" s="21" t="s">
        <v>96</v>
      </c>
      <c r="B1134" s="22" t="s">
        <v>1416</v>
      </c>
      <c r="C1134" s="22" t="s">
        <v>273</v>
      </c>
      <c r="D1134" s="26">
        <v>45998.0</v>
      </c>
      <c r="E1134" s="22" t="s">
        <v>138</v>
      </c>
      <c r="F1134" s="22" t="s">
        <v>83</v>
      </c>
      <c r="G1134" s="22" t="s">
        <v>2451</v>
      </c>
      <c r="H1134" s="22" t="s">
        <v>96</v>
      </c>
      <c r="I1134" s="22">
        <v>1.0464899924291E13</v>
      </c>
      <c r="J1134" s="22" t="s">
        <v>1418</v>
      </c>
      <c r="K1134" s="24"/>
      <c r="L1134" s="22" t="s">
        <v>98</v>
      </c>
      <c r="M1134" s="22">
        <v>1.0</v>
      </c>
      <c r="N1134" s="22" t="s">
        <v>87</v>
      </c>
      <c r="O1134" s="22" t="s">
        <v>88</v>
      </c>
      <c r="P1134" s="24"/>
      <c r="Q1134" s="22" t="s">
        <v>90</v>
      </c>
      <c r="R1134" s="22">
        <v>3.2764857352515E13</v>
      </c>
      <c r="S1134" s="24"/>
      <c r="T1134" s="24"/>
      <c r="U1134" s="24"/>
      <c r="V1134" s="27" t="s">
        <v>55</v>
      </c>
      <c r="W1134" s="33"/>
      <c r="X1134" s="33"/>
      <c r="Y1134" s="30"/>
      <c r="Z1134" s="30"/>
      <c r="AA1134" s="33"/>
      <c r="AB1134" s="33"/>
      <c r="AC1134" s="30"/>
      <c r="AD1134" s="30"/>
      <c r="AE1134" s="33"/>
      <c r="AF1134" s="31"/>
      <c r="AG1134" s="30"/>
      <c r="AH1134" s="30"/>
      <c r="AI1134" s="31"/>
      <c r="AJ1134" s="31"/>
      <c r="AK1134" s="32"/>
    </row>
    <row r="1135">
      <c r="A1135" s="21" t="s">
        <v>495</v>
      </c>
      <c r="B1135" s="22" t="s">
        <v>2452</v>
      </c>
      <c r="C1135" s="22" t="s">
        <v>273</v>
      </c>
      <c r="D1135" s="23">
        <v>45991.0</v>
      </c>
      <c r="E1135" s="22" t="s">
        <v>177</v>
      </c>
      <c r="F1135" s="22" t="s">
        <v>329</v>
      </c>
      <c r="G1135" s="22" t="s">
        <v>2453</v>
      </c>
      <c r="H1135" s="22" t="s">
        <v>495</v>
      </c>
      <c r="I1135" s="22">
        <v>1.0464900317507E13</v>
      </c>
      <c r="J1135" s="22" t="s">
        <v>2454</v>
      </c>
      <c r="K1135" s="24"/>
      <c r="L1135" s="22" t="s">
        <v>500</v>
      </c>
      <c r="M1135" s="22">
        <v>1.0</v>
      </c>
      <c r="N1135" s="22" t="s">
        <v>333</v>
      </c>
      <c r="O1135" s="22" t="s">
        <v>334</v>
      </c>
      <c r="P1135" s="24"/>
      <c r="Q1135" s="22" t="s">
        <v>90</v>
      </c>
      <c r="R1135" s="22">
        <v>3.2764857942339E13</v>
      </c>
      <c r="S1135" s="24"/>
      <c r="T1135" s="24"/>
      <c r="U1135" s="24"/>
      <c r="V1135" s="22" t="s">
        <v>54</v>
      </c>
      <c r="W1135" s="33"/>
      <c r="X1135" s="33"/>
      <c r="Y1135" s="30"/>
      <c r="Z1135" s="30"/>
      <c r="AA1135" s="33"/>
      <c r="AB1135" s="33"/>
      <c r="AC1135" s="30"/>
      <c r="AD1135" s="30"/>
      <c r="AE1135" s="33"/>
      <c r="AF1135" s="31"/>
      <c r="AG1135" s="30"/>
      <c r="AH1135" s="30"/>
      <c r="AI1135" s="31"/>
      <c r="AJ1135" s="31"/>
      <c r="AK1135" s="32"/>
    </row>
    <row r="1136">
      <c r="A1136" s="21" t="s">
        <v>885</v>
      </c>
      <c r="B1136" s="22" t="s">
        <v>2105</v>
      </c>
      <c r="C1136" s="22" t="s">
        <v>82</v>
      </c>
      <c r="D1136" s="26">
        <v>45997.0</v>
      </c>
      <c r="E1136" s="22" t="s">
        <v>192</v>
      </c>
      <c r="F1136" s="22" t="s">
        <v>605</v>
      </c>
      <c r="G1136" s="22" t="s">
        <v>2455</v>
      </c>
      <c r="H1136" s="22" t="s">
        <v>885</v>
      </c>
      <c r="I1136" s="22">
        <v>1.0464903070019E13</v>
      </c>
      <c r="J1136" s="22" t="s">
        <v>2107</v>
      </c>
      <c r="K1136" s="24"/>
      <c r="L1136" s="22" t="s">
        <v>890</v>
      </c>
      <c r="M1136" s="22">
        <v>1.0</v>
      </c>
      <c r="N1136" s="22" t="s">
        <v>795</v>
      </c>
      <c r="O1136" s="22" t="s">
        <v>796</v>
      </c>
      <c r="P1136" s="24"/>
      <c r="Q1136" s="22" t="s">
        <v>90</v>
      </c>
      <c r="R1136" s="22">
        <v>3.2764863447363E13</v>
      </c>
      <c r="S1136" s="24"/>
      <c r="T1136" s="24"/>
      <c r="U1136" s="24"/>
      <c r="V1136" s="22" t="s">
        <v>127</v>
      </c>
      <c r="W1136" s="33"/>
      <c r="X1136" s="33"/>
      <c r="Y1136" s="30"/>
      <c r="Z1136" s="30"/>
      <c r="AA1136" s="33"/>
      <c r="AB1136" s="33"/>
      <c r="AC1136" s="30"/>
      <c r="AD1136" s="30"/>
      <c r="AE1136" s="33"/>
      <c r="AF1136" s="31"/>
      <c r="AG1136" s="30"/>
      <c r="AH1136" s="30"/>
      <c r="AI1136" s="31"/>
      <c r="AJ1136" s="31"/>
      <c r="AK1136" s="32"/>
    </row>
    <row r="1137">
      <c r="A1137" s="21" t="s">
        <v>592</v>
      </c>
      <c r="B1137" s="22" t="s">
        <v>2456</v>
      </c>
      <c r="C1137" s="22" t="s">
        <v>202</v>
      </c>
      <c r="D1137" s="23">
        <v>46003.0</v>
      </c>
      <c r="E1137" s="22" t="s">
        <v>196</v>
      </c>
      <c r="F1137" s="22" t="s">
        <v>311</v>
      </c>
      <c r="G1137" s="22" t="s">
        <v>2457</v>
      </c>
      <c r="H1137" s="22" t="s">
        <v>592</v>
      </c>
      <c r="I1137" s="22">
        <v>1.0464905789763E13</v>
      </c>
      <c r="J1137" s="22" t="s">
        <v>2458</v>
      </c>
      <c r="K1137" s="24"/>
      <c r="L1137" s="22" t="s">
        <v>594</v>
      </c>
      <c r="M1137" s="22">
        <v>1.0</v>
      </c>
      <c r="N1137" s="22" t="s">
        <v>391</v>
      </c>
      <c r="O1137" s="22" t="s">
        <v>392</v>
      </c>
      <c r="P1137" s="24"/>
      <c r="Q1137" s="22" t="s">
        <v>90</v>
      </c>
      <c r="R1137" s="22">
        <v>3.2764870263107E13</v>
      </c>
      <c r="S1137" s="24"/>
      <c r="T1137" s="24"/>
      <c r="U1137" s="24"/>
      <c r="V1137" s="22" t="s">
        <v>54</v>
      </c>
      <c r="W1137" s="33"/>
      <c r="X1137" s="33"/>
      <c r="Y1137" s="30"/>
      <c r="Z1137" s="30"/>
      <c r="AA1137" s="33"/>
      <c r="AB1137" s="33"/>
      <c r="AC1137" s="30"/>
      <c r="AD1137" s="30"/>
      <c r="AE1137" s="33"/>
      <c r="AF1137" s="31"/>
      <c r="AG1137" s="30"/>
      <c r="AH1137" s="30"/>
      <c r="AI1137" s="31"/>
      <c r="AJ1137" s="31"/>
      <c r="AK1137" s="32"/>
    </row>
    <row r="1138">
      <c r="A1138" s="21" t="s">
        <v>1085</v>
      </c>
      <c r="B1138" s="22" t="s">
        <v>2459</v>
      </c>
      <c r="C1138" s="22" t="s">
        <v>273</v>
      </c>
      <c r="D1138" s="26">
        <v>45998.0</v>
      </c>
      <c r="E1138" s="22" t="s">
        <v>1073</v>
      </c>
      <c r="F1138" s="22" t="s">
        <v>623</v>
      </c>
      <c r="G1138" s="22" t="s">
        <v>2460</v>
      </c>
      <c r="H1138" s="22" t="s">
        <v>1085</v>
      </c>
      <c r="I1138" s="22">
        <v>1.0464905822531E13</v>
      </c>
      <c r="J1138" s="22" t="s">
        <v>2461</v>
      </c>
      <c r="K1138" s="24"/>
      <c r="L1138" s="22" t="s">
        <v>1087</v>
      </c>
      <c r="M1138" s="22">
        <v>1.0</v>
      </c>
      <c r="N1138" s="22" t="s">
        <v>1088</v>
      </c>
      <c r="O1138" s="22" t="s">
        <v>1089</v>
      </c>
      <c r="P1138" s="24"/>
      <c r="Q1138" s="22" t="s">
        <v>90</v>
      </c>
      <c r="R1138" s="22">
        <v>3.2764870295875E13</v>
      </c>
      <c r="S1138" s="24"/>
      <c r="T1138" s="24"/>
      <c r="U1138" s="24"/>
      <c r="V1138" s="22" t="s">
        <v>127</v>
      </c>
      <c r="W1138" s="33"/>
      <c r="X1138" s="33"/>
      <c r="Y1138" s="30"/>
      <c r="Z1138" s="30"/>
      <c r="AA1138" s="33"/>
      <c r="AB1138" s="33"/>
      <c r="AC1138" s="30"/>
      <c r="AD1138" s="30"/>
      <c r="AE1138" s="33"/>
      <c r="AF1138" s="31"/>
      <c r="AG1138" s="30"/>
      <c r="AH1138" s="30"/>
      <c r="AI1138" s="31"/>
      <c r="AJ1138" s="31"/>
      <c r="AK1138" s="32"/>
    </row>
    <row r="1139">
      <c r="A1139" s="21" t="s">
        <v>80</v>
      </c>
      <c r="B1139" s="22" t="s">
        <v>2462</v>
      </c>
      <c r="C1139" s="22" t="s">
        <v>287</v>
      </c>
      <c r="D1139" s="26">
        <v>45994.0</v>
      </c>
      <c r="E1139" s="22" t="s">
        <v>192</v>
      </c>
      <c r="F1139" s="22" t="s">
        <v>83</v>
      </c>
      <c r="G1139" s="22" t="s">
        <v>2463</v>
      </c>
      <c r="H1139" s="22" t="s">
        <v>80</v>
      </c>
      <c r="I1139" s="22">
        <v>1.0464808960323E13</v>
      </c>
      <c r="J1139" s="22" t="s">
        <v>2464</v>
      </c>
      <c r="K1139" s="24"/>
      <c r="L1139" s="22" t="s">
        <v>86</v>
      </c>
      <c r="M1139" s="22">
        <v>1.0</v>
      </c>
      <c r="N1139" s="22" t="s">
        <v>87</v>
      </c>
      <c r="O1139" s="22" t="s">
        <v>88</v>
      </c>
      <c r="P1139" s="24"/>
      <c r="Q1139" s="22" t="s">
        <v>90</v>
      </c>
      <c r="R1139" s="22">
        <v>3.2764660810051E13</v>
      </c>
      <c r="S1139" s="24"/>
      <c r="T1139" s="24"/>
      <c r="U1139" s="24"/>
      <c r="V1139" s="22" t="s">
        <v>91</v>
      </c>
      <c r="W1139" s="33"/>
      <c r="X1139" s="33"/>
      <c r="Y1139" s="30"/>
      <c r="Z1139" s="30"/>
      <c r="AA1139" s="33"/>
      <c r="AB1139" s="33"/>
      <c r="AC1139" s="30"/>
      <c r="AD1139" s="30"/>
      <c r="AE1139" s="33"/>
      <c r="AF1139" s="31"/>
      <c r="AG1139" s="30"/>
      <c r="AH1139" s="30"/>
      <c r="AI1139" s="31"/>
      <c r="AJ1139" s="31"/>
      <c r="AK1139" s="32"/>
    </row>
    <row r="1140">
      <c r="A1140" s="21" t="s">
        <v>569</v>
      </c>
      <c r="B1140" s="22" t="s">
        <v>471</v>
      </c>
      <c r="C1140" s="22" t="s">
        <v>82</v>
      </c>
      <c r="D1140" s="26">
        <v>45997.0</v>
      </c>
      <c r="E1140" s="22" t="s">
        <v>134</v>
      </c>
      <c r="F1140" s="22" t="s">
        <v>472</v>
      </c>
      <c r="G1140" s="22" t="s">
        <v>2465</v>
      </c>
      <c r="H1140" s="22" t="s">
        <v>569</v>
      </c>
      <c r="I1140" s="22">
        <v>1.0464819315011E13</v>
      </c>
      <c r="J1140" s="22" t="s">
        <v>474</v>
      </c>
      <c r="K1140" s="24"/>
      <c r="L1140" s="22" t="s">
        <v>571</v>
      </c>
      <c r="M1140" s="22">
        <v>1.0</v>
      </c>
      <c r="N1140" s="22" t="s">
        <v>534</v>
      </c>
      <c r="O1140" s="22" t="s">
        <v>535</v>
      </c>
      <c r="P1140" s="24"/>
      <c r="Q1140" s="22" t="s">
        <v>90</v>
      </c>
      <c r="R1140" s="22">
        <v>3.2764680372547E13</v>
      </c>
      <c r="S1140" s="24"/>
      <c r="T1140" s="24"/>
      <c r="U1140" s="24"/>
      <c r="V1140" s="22" t="s">
        <v>105</v>
      </c>
      <c r="W1140" s="33"/>
      <c r="X1140" s="33"/>
      <c r="Y1140" s="30"/>
      <c r="Z1140" s="30"/>
      <c r="AA1140" s="33"/>
      <c r="AB1140" s="33"/>
      <c r="AC1140" s="30"/>
      <c r="AD1140" s="30"/>
      <c r="AE1140" s="33"/>
      <c r="AF1140" s="31"/>
      <c r="AG1140" s="30"/>
      <c r="AH1140" s="30"/>
      <c r="AI1140" s="31"/>
      <c r="AJ1140" s="31"/>
      <c r="AK1140" s="32"/>
    </row>
    <row r="1141">
      <c r="A1141" s="21" t="s">
        <v>96</v>
      </c>
      <c r="B1141" s="22" t="s">
        <v>1912</v>
      </c>
      <c r="C1141" s="22" t="s">
        <v>202</v>
      </c>
      <c r="D1141" s="26">
        <v>45996.0</v>
      </c>
      <c r="E1141" s="22" t="s">
        <v>153</v>
      </c>
      <c r="F1141" s="22" t="s">
        <v>83</v>
      </c>
      <c r="G1141" s="22" t="s">
        <v>2466</v>
      </c>
      <c r="H1141" s="22" t="s">
        <v>96</v>
      </c>
      <c r="I1141" s="22">
        <v>1.0464838320451E13</v>
      </c>
      <c r="J1141" s="22" t="s">
        <v>1914</v>
      </c>
      <c r="K1141" s="24"/>
      <c r="L1141" s="22" t="s">
        <v>98</v>
      </c>
      <c r="M1141" s="22">
        <v>1.0</v>
      </c>
      <c r="N1141" s="22" t="s">
        <v>87</v>
      </c>
      <c r="O1141" s="22" t="s">
        <v>88</v>
      </c>
      <c r="P1141" s="24"/>
      <c r="Q1141" s="22" t="s">
        <v>90</v>
      </c>
      <c r="R1141" s="22">
        <v>3.2764721692995E13</v>
      </c>
      <c r="S1141" s="24"/>
      <c r="T1141" s="24"/>
      <c r="U1141" s="24"/>
      <c r="V1141" s="22" t="s">
        <v>55</v>
      </c>
      <c r="W1141" s="33"/>
      <c r="X1141" s="33"/>
      <c r="Y1141" s="30"/>
      <c r="Z1141" s="30"/>
      <c r="AA1141" s="33"/>
      <c r="AB1141" s="33"/>
      <c r="AC1141" s="30"/>
      <c r="AD1141" s="30"/>
      <c r="AE1141" s="33"/>
      <c r="AF1141" s="31"/>
      <c r="AG1141" s="30"/>
      <c r="AH1141" s="30"/>
      <c r="AI1141" s="31"/>
      <c r="AJ1141" s="31"/>
      <c r="AK1141" s="32"/>
    </row>
    <row r="1142">
      <c r="A1142" s="21" t="s">
        <v>979</v>
      </c>
      <c r="B1142" s="22" t="s">
        <v>2033</v>
      </c>
      <c r="C1142" s="22" t="s">
        <v>82</v>
      </c>
      <c r="D1142" s="26">
        <v>45997.0</v>
      </c>
      <c r="E1142" s="22" t="s">
        <v>1073</v>
      </c>
      <c r="F1142" s="22" t="s">
        <v>605</v>
      </c>
      <c r="G1142" s="22" t="s">
        <v>2467</v>
      </c>
      <c r="H1142" s="22" t="s">
        <v>979</v>
      </c>
      <c r="I1142" s="22">
        <v>1.0464909263171E13</v>
      </c>
      <c r="J1142" s="22" t="s">
        <v>2035</v>
      </c>
      <c r="K1142" s="24"/>
      <c r="L1142" s="22" t="s">
        <v>984</v>
      </c>
      <c r="M1142" s="22">
        <v>1.0</v>
      </c>
      <c r="N1142" s="22" t="s">
        <v>609</v>
      </c>
      <c r="O1142" s="22" t="s">
        <v>610</v>
      </c>
      <c r="P1142" s="24"/>
      <c r="Q1142" s="22" t="s">
        <v>90</v>
      </c>
      <c r="R1142" s="22">
        <v>3.2764877930819E13</v>
      </c>
      <c r="S1142" s="24"/>
      <c r="T1142" s="24"/>
      <c r="U1142" s="24"/>
      <c r="V1142" s="22" t="s">
        <v>55</v>
      </c>
      <c r="W1142" s="33"/>
      <c r="X1142" s="33"/>
      <c r="Y1142" s="30"/>
      <c r="Z1142" s="30"/>
      <c r="AA1142" s="33"/>
      <c r="AB1142" s="33"/>
      <c r="AC1142" s="30"/>
      <c r="AD1142" s="30"/>
      <c r="AE1142" s="33"/>
      <c r="AF1142" s="31"/>
      <c r="AG1142" s="30"/>
      <c r="AH1142" s="30"/>
      <c r="AI1142" s="31"/>
      <c r="AJ1142" s="31"/>
      <c r="AK1142" s="32"/>
    </row>
    <row r="1143">
      <c r="A1143" s="21" t="s">
        <v>1180</v>
      </c>
      <c r="B1143" s="22" t="s">
        <v>1205</v>
      </c>
      <c r="C1143" s="22" t="s">
        <v>273</v>
      </c>
      <c r="D1143" s="26">
        <v>45998.0</v>
      </c>
      <c r="E1143" s="22" t="s">
        <v>149</v>
      </c>
      <c r="F1143" s="22" t="s">
        <v>623</v>
      </c>
      <c r="G1143" s="22" t="s">
        <v>2468</v>
      </c>
      <c r="H1143" s="22" t="s">
        <v>1180</v>
      </c>
      <c r="I1143" s="22">
        <v>1.0464933740867E13</v>
      </c>
      <c r="J1143" s="22" t="s">
        <v>1207</v>
      </c>
      <c r="K1143" s="24"/>
      <c r="L1143" s="22" t="s">
        <v>1182</v>
      </c>
      <c r="M1143" s="22">
        <v>1.0</v>
      </c>
      <c r="N1143" s="22" t="s">
        <v>1088</v>
      </c>
      <c r="O1143" s="22" t="s">
        <v>1089</v>
      </c>
      <c r="P1143" s="24"/>
      <c r="Q1143" s="22" t="s">
        <v>90</v>
      </c>
      <c r="R1143" s="22">
        <v>3.2764934914371E13</v>
      </c>
      <c r="S1143" s="24"/>
      <c r="T1143" s="24"/>
      <c r="U1143" s="24"/>
      <c r="V1143" s="22" t="s">
        <v>105</v>
      </c>
      <c r="W1143" s="33"/>
      <c r="X1143" s="33"/>
      <c r="Y1143" s="30"/>
      <c r="Z1143" s="30"/>
      <c r="AA1143" s="33"/>
      <c r="AB1143" s="33"/>
      <c r="AC1143" s="30"/>
      <c r="AD1143" s="30"/>
      <c r="AE1143" s="33"/>
      <c r="AF1143" s="31"/>
      <c r="AG1143" s="30"/>
      <c r="AH1143" s="30"/>
      <c r="AI1143" s="31"/>
      <c r="AJ1143" s="31"/>
      <c r="AK1143" s="32"/>
    </row>
    <row r="1144">
      <c r="A1144" s="21" t="s">
        <v>1464</v>
      </c>
      <c r="B1144" s="22" t="s">
        <v>2292</v>
      </c>
      <c r="C1144" s="22" t="s">
        <v>82</v>
      </c>
      <c r="D1144" s="26">
        <v>45997.0</v>
      </c>
      <c r="E1144" s="22" t="s">
        <v>2293</v>
      </c>
      <c r="F1144" s="22" t="s">
        <v>1466</v>
      </c>
      <c r="G1144" s="22" t="s">
        <v>2469</v>
      </c>
      <c r="H1144" s="22" t="s">
        <v>1464</v>
      </c>
      <c r="I1144" s="22">
        <v>1.0464934494531E13</v>
      </c>
      <c r="J1144" s="22" t="s">
        <v>2295</v>
      </c>
      <c r="K1144" s="24"/>
      <c r="L1144" s="22" t="s">
        <v>1469</v>
      </c>
      <c r="M1144" s="22">
        <v>1.0</v>
      </c>
      <c r="N1144" s="22" t="s">
        <v>1470</v>
      </c>
      <c r="O1144" s="22" t="s">
        <v>1471</v>
      </c>
      <c r="P1144" s="24"/>
      <c r="Q1144" s="22" t="s">
        <v>90</v>
      </c>
      <c r="R1144" s="22">
        <v>3.2764936290627E13</v>
      </c>
      <c r="S1144" s="24"/>
      <c r="T1144" s="24"/>
      <c r="U1144" s="24"/>
      <c r="V1144" s="22" t="s">
        <v>55</v>
      </c>
      <c r="W1144" s="33"/>
      <c r="X1144" s="33"/>
      <c r="Y1144" s="30"/>
      <c r="Z1144" s="30"/>
      <c r="AA1144" s="33"/>
      <c r="AB1144" s="33"/>
      <c r="AC1144" s="30"/>
      <c r="AD1144" s="30"/>
      <c r="AE1144" s="33"/>
      <c r="AF1144" s="31"/>
      <c r="AG1144" s="30"/>
      <c r="AH1144" s="30"/>
      <c r="AI1144" s="31"/>
      <c r="AJ1144" s="31"/>
      <c r="AK1144" s="32"/>
    </row>
    <row r="1145">
      <c r="A1145" s="21" t="s">
        <v>1472</v>
      </c>
      <c r="B1145" s="22" t="s">
        <v>2292</v>
      </c>
      <c r="C1145" s="22" t="s">
        <v>82</v>
      </c>
      <c r="D1145" s="26">
        <v>45997.0</v>
      </c>
      <c r="E1145" s="22" t="s">
        <v>2293</v>
      </c>
      <c r="F1145" s="22" t="s">
        <v>1466</v>
      </c>
      <c r="G1145" s="22" t="s">
        <v>2470</v>
      </c>
      <c r="H1145" s="22" t="s">
        <v>1472</v>
      </c>
      <c r="I1145" s="22">
        <v>1.0464935346499E13</v>
      </c>
      <c r="J1145" s="22" t="s">
        <v>2295</v>
      </c>
      <c r="K1145" s="24"/>
      <c r="L1145" s="22" t="s">
        <v>1474</v>
      </c>
      <c r="M1145" s="22">
        <v>1.0</v>
      </c>
      <c r="N1145" s="22" t="s">
        <v>1470</v>
      </c>
      <c r="O1145" s="22" t="s">
        <v>1471</v>
      </c>
      <c r="P1145" s="24"/>
      <c r="Q1145" s="22" t="s">
        <v>90</v>
      </c>
      <c r="R1145" s="22">
        <v>3.2764937929027E13</v>
      </c>
      <c r="S1145" s="24"/>
      <c r="T1145" s="24"/>
      <c r="U1145" s="24"/>
      <c r="V1145" s="22" t="s">
        <v>54</v>
      </c>
      <c r="W1145" s="33"/>
      <c r="X1145" s="33"/>
      <c r="Y1145" s="30"/>
      <c r="Z1145" s="30"/>
      <c r="AA1145" s="33"/>
      <c r="AB1145" s="33"/>
      <c r="AC1145" s="30"/>
      <c r="AD1145" s="30"/>
      <c r="AE1145" s="33"/>
      <c r="AF1145" s="31"/>
      <c r="AG1145" s="30"/>
      <c r="AH1145" s="30"/>
      <c r="AI1145" s="31"/>
      <c r="AJ1145" s="31"/>
      <c r="AK1145" s="32"/>
    </row>
    <row r="1146">
      <c r="A1146" s="21" t="s">
        <v>96</v>
      </c>
      <c r="B1146" s="22" t="s">
        <v>2471</v>
      </c>
      <c r="C1146" s="22" t="s">
        <v>202</v>
      </c>
      <c r="D1146" s="26">
        <v>45996.0</v>
      </c>
      <c r="E1146" s="22" t="s">
        <v>248</v>
      </c>
      <c r="F1146" s="22" t="s">
        <v>83</v>
      </c>
      <c r="G1146" s="22" t="s">
        <v>2472</v>
      </c>
      <c r="H1146" s="22" t="s">
        <v>96</v>
      </c>
      <c r="I1146" s="22">
        <v>1.0464935870787E13</v>
      </c>
      <c r="J1146" s="22" t="s">
        <v>2473</v>
      </c>
      <c r="K1146" s="24"/>
      <c r="L1146" s="22" t="s">
        <v>98</v>
      </c>
      <c r="M1146" s="22">
        <v>1.0</v>
      </c>
      <c r="N1146" s="22" t="s">
        <v>87</v>
      </c>
      <c r="O1146" s="22" t="s">
        <v>88</v>
      </c>
      <c r="P1146" s="24"/>
      <c r="Q1146" s="22" t="s">
        <v>90</v>
      </c>
      <c r="R1146" s="22">
        <v>3.2764938846531E13</v>
      </c>
      <c r="S1146" s="24"/>
      <c r="T1146" s="24"/>
      <c r="U1146" s="24"/>
      <c r="V1146" s="27" t="s">
        <v>55</v>
      </c>
      <c r="W1146" s="33"/>
      <c r="X1146" s="33"/>
      <c r="Y1146" s="30"/>
      <c r="Z1146" s="30"/>
      <c r="AA1146" s="33"/>
      <c r="AB1146" s="33"/>
      <c r="AC1146" s="30"/>
      <c r="AD1146" s="30"/>
      <c r="AE1146" s="33"/>
      <c r="AF1146" s="31"/>
      <c r="AG1146" s="30"/>
      <c r="AH1146" s="30"/>
      <c r="AI1146" s="31"/>
      <c r="AJ1146" s="31"/>
      <c r="AK1146" s="32"/>
    </row>
    <row r="1147">
      <c r="A1147" s="21" t="s">
        <v>80</v>
      </c>
      <c r="B1147" s="22" t="s">
        <v>2007</v>
      </c>
      <c r="C1147" s="22" t="s">
        <v>273</v>
      </c>
      <c r="D1147" s="23">
        <v>45991.0</v>
      </c>
      <c r="E1147" s="22" t="s">
        <v>153</v>
      </c>
      <c r="F1147" s="22" t="s">
        <v>83</v>
      </c>
      <c r="G1147" s="22" t="s">
        <v>2474</v>
      </c>
      <c r="H1147" s="22" t="s">
        <v>80</v>
      </c>
      <c r="I1147" s="22">
        <v>1.0464937541955E13</v>
      </c>
      <c r="J1147" s="22" t="s">
        <v>2009</v>
      </c>
      <c r="K1147" s="24"/>
      <c r="L1147" s="22" t="s">
        <v>86</v>
      </c>
      <c r="M1147" s="22">
        <v>1.0</v>
      </c>
      <c r="N1147" s="22" t="s">
        <v>87</v>
      </c>
      <c r="O1147" s="22" t="s">
        <v>88</v>
      </c>
      <c r="P1147" s="24"/>
      <c r="Q1147" s="22" t="s">
        <v>90</v>
      </c>
      <c r="R1147" s="22">
        <v>3.2764942156099E13</v>
      </c>
      <c r="S1147" s="24"/>
      <c r="T1147" s="24"/>
      <c r="U1147" s="24"/>
      <c r="V1147" s="22" t="s">
        <v>91</v>
      </c>
      <c r="W1147" s="33"/>
      <c r="X1147" s="33"/>
      <c r="Y1147" s="30"/>
      <c r="Z1147" s="30"/>
      <c r="AA1147" s="33"/>
      <c r="AB1147" s="33"/>
      <c r="AC1147" s="30"/>
      <c r="AD1147" s="30"/>
      <c r="AE1147" s="33"/>
      <c r="AF1147" s="31"/>
      <c r="AG1147" s="30"/>
      <c r="AH1147" s="30"/>
      <c r="AI1147" s="31"/>
      <c r="AJ1147" s="31"/>
      <c r="AK1147" s="32"/>
    </row>
    <row r="1148">
      <c r="A1148" s="21" t="s">
        <v>515</v>
      </c>
      <c r="B1148" s="22" t="s">
        <v>516</v>
      </c>
      <c r="C1148" s="22" t="s">
        <v>273</v>
      </c>
      <c r="D1148" s="26">
        <v>45998.0</v>
      </c>
      <c r="E1148" s="22" t="s">
        <v>134</v>
      </c>
      <c r="F1148" s="22" t="s">
        <v>472</v>
      </c>
      <c r="G1148" s="22" t="s">
        <v>2475</v>
      </c>
      <c r="H1148" s="22" t="s">
        <v>515</v>
      </c>
      <c r="I1148" s="22">
        <v>1.0464941441347E13</v>
      </c>
      <c r="J1148" s="22" t="s">
        <v>2476</v>
      </c>
      <c r="K1148" s="24"/>
      <c r="L1148" s="22" t="s">
        <v>519</v>
      </c>
      <c r="M1148" s="22">
        <v>1.0</v>
      </c>
      <c r="N1148" s="22" t="s">
        <v>476</v>
      </c>
      <c r="O1148" s="22" t="s">
        <v>477</v>
      </c>
      <c r="P1148" s="24"/>
      <c r="Q1148" s="22" t="s">
        <v>90</v>
      </c>
      <c r="R1148" s="22">
        <v>3.2764951527747E13</v>
      </c>
      <c r="S1148" s="24"/>
      <c r="T1148" s="24"/>
      <c r="U1148" s="24"/>
      <c r="V1148" s="22" t="s">
        <v>55</v>
      </c>
      <c r="W1148" s="33"/>
      <c r="X1148" s="33"/>
      <c r="Y1148" s="30"/>
      <c r="Z1148" s="30"/>
      <c r="AA1148" s="33"/>
      <c r="AB1148" s="33"/>
      <c r="AC1148" s="30"/>
      <c r="AD1148" s="30"/>
      <c r="AE1148" s="33"/>
      <c r="AF1148" s="31"/>
      <c r="AG1148" s="30"/>
      <c r="AH1148" s="30"/>
      <c r="AI1148" s="31"/>
      <c r="AJ1148" s="31"/>
      <c r="AK1148" s="32"/>
    </row>
    <row r="1149">
      <c r="A1149" s="21" t="s">
        <v>172</v>
      </c>
      <c r="B1149" s="22" t="s">
        <v>133</v>
      </c>
      <c r="C1149" s="22" t="s">
        <v>82</v>
      </c>
      <c r="D1149" s="23">
        <v>45990.0</v>
      </c>
      <c r="E1149" s="22" t="s">
        <v>134</v>
      </c>
      <c r="F1149" s="22" t="s">
        <v>83</v>
      </c>
      <c r="G1149" s="22" t="s">
        <v>2477</v>
      </c>
      <c r="H1149" s="22" t="s">
        <v>172</v>
      </c>
      <c r="I1149" s="22">
        <v>1.0464947667267E13</v>
      </c>
      <c r="J1149" s="22" t="s">
        <v>136</v>
      </c>
      <c r="K1149" s="24"/>
      <c r="L1149" s="22" t="s">
        <v>174</v>
      </c>
      <c r="M1149" s="22">
        <v>1.0</v>
      </c>
      <c r="N1149" s="22" t="s">
        <v>103</v>
      </c>
      <c r="O1149" s="22" t="s">
        <v>104</v>
      </c>
      <c r="P1149" s="24"/>
      <c r="Q1149" s="22" t="s">
        <v>90</v>
      </c>
      <c r="R1149" s="22">
        <v>3.2764964831555E13</v>
      </c>
      <c r="S1149" s="24"/>
      <c r="T1149" s="24"/>
      <c r="U1149" s="24"/>
      <c r="V1149" s="27" t="s">
        <v>175</v>
      </c>
      <c r="W1149" s="33"/>
      <c r="X1149" s="33"/>
      <c r="Y1149" s="30"/>
      <c r="Z1149" s="30"/>
      <c r="AA1149" s="33"/>
      <c r="AB1149" s="33"/>
      <c r="AC1149" s="30"/>
      <c r="AD1149" s="30"/>
      <c r="AE1149" s="33"/>
      <c r="AF1149" s="31"/>
      <c r="AG1149" s="30"/>
      <c r="AH1149" s="30"/>
      <c r="AI1149" s="31"/>
      <c r="AJ1149" s="31"/>
      <c r="AK1149" s="32"/>
    </row>
    <row r="1150">
      <c r="A1150" s="21" t="s">
        <v>1180</v>
      </c>
      <c r="B1150" s="22" t="s">
        <v>1205</v>
      </c>
      <c r="C1150" s="22" t="s">
        <v>273</v>
      </c>
      <c r="D1150" s="26">
        <v>45998.0</v>
      </c>
      <c r="E1150" s="22" t="s">
        <v>149</v>
      </c>
      <c r="F1150" s="22" t="s">
        <v>623</v>
      </c>
      <c r="G1150" s="22" t="s">
        <v>2478</v>
      </c>
      <c r="H1150" s="22" t="s">
        <v>1180</v>
      </c>
      <c r="I1150" s="22">
        <v>1.0464947863875E13</v>
      </c>
      <c r="J1150" s="22" t="s">
        <v>1207</v>
      </c>
      <c r="K1150" s="24"/>
      <c r="L1150" s="22" t="s">
        <v>1182</v>
      </c>
      <c r="M1150" s="22">
        <v>1.0</v>
      </c>
      <c r="N1150" s="22" t="s">
        <v>1088</v>
      </c>
      <c r="O1150" s="22" t="s">
        <v>1089</v>
      </c>
      <c r="P1150" s="24"/>
      <c r="Q1150" s="22" t="s">
        <v>90</v>
      </c>
      <c r="R1150" s="22">
        <v>3.2764965093699E13</v>
      </c>
      <c r="S1150" s="24"/>
      <c r="T1150" s="24"/>
      <c r="U1150" s="24"/>
      <c r="V1150" s="22" t="s">
        <v>105</v>
      </c>
      <c r="W1150" s="33"/>
      <c r="X1150" s="33"/>
      <c r="Y1150" s="30"/>
      <c r="Z1150" s="30"/>
      <c r="AA1150" s="33"/>
      <c r="AB1150" s="33"/>
      <c r="AC1150" s="30"/>
      <c r="AD1150" s="30"/>
      <c r="AE1150" s="33"/>
      <c r="AF1150" s="31"/>
      <c r="AG1150" s="30"/>
      <c r="AH1150" s="30"/>
      <c r="AI1150" s="31"/>
      <c r="AJ1150" s="31"/>
      <c r="AK1150" s="32"/>
    </row>
    <row r="1151">
      <c r="A1151" s="21" t="s">
        <v>96</v>
      </c>
      <c r="B1151" s="22" t="s">
        <v>1595</v>
      </c>
      <c r="C1151" s="22" t="s">
        <v>82</v>
      </c>
      <c r="D1151" s="26">
        <v>45997.0</v>
      </c>
      <c r="E1151" s="22" t="s">
        <v>149</v>
      </c>
      <c r="F1151" s="22" t="s">
        <v>83</v>
      </c>
      <c r="G1151" s="22" t="s">
        <v>2479</v>
      </c>
      <c r="H1151" s="22" t="s">
        <v>96</v>
      </c>
      <c r="I1151" s="22">
        <v>1.0464947962179E13</v>
      </c>
      <c r="J1151" s="22" t="s">
        <v>1597</v>
      </c>
      <c r="K1151" s="24"/>
      <c r="L1151" s="22" t="s">
        <v>98</v>
      </c>
      <c r="M1151" s="22">
        <v>1.0</v>
      </c>
      <c r="N1151" s="22" t="s">
        <v>87</v>
      </c>
      <c r="O1151" s="22" t="s">
        <v>88</v>
      </c>
      <c r="P1151" s="24"/>
      <c r="Q1151" s="22" t="s">
        <v>90</v>
      </c>
      <c r="R1151" s="22">
        <v>3.2764965388611E13</v>
      </c>
      <c r="S1151" s="24"/>
      <c r="T1151" s="24"/>
      <c r="U1151" s="24"/>
      <c r="V1151" s="22" t="s">
        <v>55</v>
      </c>
      <c r="W1151" s="33"/>
      <c r="X1151" s="33"/>
      <c r="Y1151" s="30"/>
      <c r="Z1151" s="30"/>
      <c r="AA1151" s="33"/>
      <c r="AB1151" s="33"/>
      <c r="AC1151" s="30"/>
      <c r="AD1151" s="30"/>
      <c r="AE1151" s="33"/>
      <c r="AF1151" s="31"/>
      <c r="AG1151" s="30"/>
      <c r="AH1151" s="30"/>
      <c r="AI1151" s="31"/>
      <c r="AJ1151" s="31"/>
      <c r="AK1151" s="32"/>
    </row>
    <row r="1152">
      <c r="A1152" s="21" t="s">
        <v>484</v>
      </c>
      <c r="B1152" s="22" t="s">
        <v>2480</v>
      </c>
      <c r="C1152" s="22" t="s">
        <v>202</v>
      </c>
      <c r="D1152" s="23">
        <v>46003.0</v>
      </c>
      <c r="E1152" s="22" t="s">
        <v>181</v>
      </c>
      <c r="F1152" s="22" t="s">
        <v>311</v>
      </c>
      <c r="G1152" s="22" t="s">
        <v>2481</v>
      </c>
      <c r="H1152" s="22" t="s">
        <v>484</v>
      </c>
      <c r="I1152" s="22">
        <v>1.0464949076291E13</v>
      </c>
      <c r="J1152" s="22" t="s">
        <v>2482</v>
      </c>
      <c r="K1152" s="24"/>
      <c r="L1152" s="22" t="s">
        <v>487</v>
      </c>
      <c r="M1152" s="22">
        <v>1.0</v>
      </c>
      <c r="N1152" s="22" t="s">
        <v>315</v>
      </c>
      <c r="O1152" s="22" t="s">
        <v>316</v>
      </c>
      <c r="P1152" s="24"/>
      <c r="Q1152" s="22" t="s">
        <v>90</v>
      </c>
      <c r="R1152" s="22">
        <v>3.2764967813443E13</v>
      </c>
      <c r="S1152" s="24"/>
      <c r="T1152" s="24"/>
      <c r="U1152" s="24"/>
      <c r="V1152" s="22" t="s">
        <v>127</v>
      </c>
      <c r="W1152" s="33"/>
      <c r="X1152" s="33"/>
      <c r="Y1152" s="30"/>
      <c r="Z1152" s="30"/>
      <c r="AA1152" s="33"/>
      <c r="AB1152" s="33"/>
      <c r="AC1152" s="30"/>
      <c r="AD1152" s="30"/>
      <c r="AE1152" s="33"/>
      <c r="AF1152" s="31"/>
      <c r="AG1152" s="30"/>
      <c r="AH1152" s="30"/>
      <c r="AI1152" s="31"/>
      <c r="AJ1152" s="31"/>
      <c r="AK1152" s="32"/>
    </row>
    <row r="1153">
      <c r="A1153" s="21" t="s">
        <v>463</v>
      </c>
      <c r="B1153" s="22" t="s">
        <v>464</v>
      </c>
      <c r="C1153" s="22" t="s">
        <v>273</v>
      </c>
      <c r="D1153" s="26">
        <v>45998.0</v>
      </c>
      <c r="E1153" s="22" t="s">
        <v>149</v>
      </c>
      <c r="F1153" s="22" t="s">
        <v>303</v>
      </c>
      <c r="G1153" s="22" t="s">
        <v>2483</v>
      </c>
      <c r="H1153" s="22" t="s">
        <v>463</v>
      </c>
      <c r="I1153" s="22">
        <v>1.0464951009603E13</v>
      </c>
      <c r="J1153" s="22" t="s">
        <v>466</v>
      </c>
      <c r="K1153" s="24"/>
      <c r="L1153" s="22" t="s">
        <v>467</v>
      </c>
      <c r="M1153" s="22">
        <v>1.0</v>
      </c>
      <c r="N1153" s="22" t="s">
        <v>468</v>
      </c>
      <c r="O1153" s="22" t="s">
        <v>469</v>
      </c>
      <c r="P1153" s="24"/>
      <c r="Q1153" s="22" t="s">
        <v>90</v>
      </c>
      <c r="R1153" s="22">
        <v>3.2764972269891E13</v>
      </c>
      <c r="S1153" s="24"/>
      <c r="T1153" s="24"/>
      <c r="U1153" s="24"/>
      <c r="V1153" s="22" t="s">
        <v>105</v>
      </c>
      <c r="W1153" s="33"/>
      <c r="X1153" s="33"/>
      <c r="Y1153" s="30"/>
      <c r="Z1153" s="30"/>
      <c r="AA1153" s="33"/>
      <c r="AB1153" s="33"/>
      <c r="AC1153" s="30"/>
      <c r="AD1153" s="30"/>
      <c r="AE1153" s="33"/>
      <c r="AF1153" s="31"/>
      <c r="AG1153" s="30"/>
      <c r="AH1153" s="30"/>
      <c r="AI1153" s="31"/>
      <c r="AJ1153" s="31"/>
      <c r="AK1153" s="32"/>
    </row>
    <row r="1154">
      <c r="A1154" s="21" t="s">
        <v>1200</v>
      </c>
      <c r="B1154" s="22" t="s">
        <v>578</v>
      </c>
      <c r="C1154" s="22" t="s">
        <v>82</v>
      </c>
      <c r="D1154" s="26">
        <v>45997.0</v>
      </c>
      <c r="E1154" s="22" t="s">
        <v>187</v>
      </c>
      <c r="F1154" s="22" t="s">
        <v>278</v>
      </c>
      <c r="G1154" s="22" t="s">
        <v>2484</v>
      </c>
      <c r="H1154" s="22" t="s">
        <v>1200</v>
      </c>
      <c r="I1154" s="22">
        <v>1.0464952615235E13</v>
      </c>
      <c r="J1154" s="22" t="s">
        <v>1985</v>
      </c>
      <c r="K1154" s="24"/>
      <c r="L1154" s="22" t="s">
        <v>1203</v>
      </c>
      <c r="M1154" s="22">
        <v>1.0</v>
      </c>
      <c r="N1154" s="22" t="s">
        <v>282</v>
      </c>
      <c r="O1154" s="22" t="s">
        <v>283</v>
      </c>
      <c r="P1154" s="24"/>
      <c r="Q1154" s="22" t="s">
        <v>90</v>
      </c>
      <c r="R1154" s="22">
        <v>3.2764975710531E13</v>
      </c>
      <c r="S1154" s="24"/>
      <c r="T1154" s="24"/>
      <c r="U1154" s="24"/>
      <c r="V1154" s="22" t="s">
        <v>91</v>
      </c>
      <c r="W1154" s="33"/>
      <c r="X1154" s="33"/>
      <c r="Y1154" s="30"/>
      <c r="Z1154" s="30"/>
      <c r="AA1154" s="33"/>
      <c r="AB1154" s="33"/>
      <c r="AC1154" s="30"/>
      <c r="AD1154" s="30"/>
      <c r="AE1154" s="33"/>
      <c r="AF1154" s="31"/>
      <c r="AG1154" s="30"/>
      <c r="AH1154" s="30"/>
      <c r="AI1154" s="31"/>
      <c r="AJ1154" s="31"/>
      <c r="AK1154" s="32"/>
    </row>
    <row r="1155">
      <c r="A1155" s="21" t="s">
        <v>696</v>
      </c>
      <c r="B1155" s="22" t="s">
        <v>2169</v>
      </c>
      <c r="C1155" s="22" t="s">
        <v>82</v>
      </c>
      <c r="D1155" s="26">
        <v>45997.0</v>
      </c>
      <c r="E1155" s="22" t="s">
        <v>177</v>
      </c>
      <c r="F1155" s="22" t="s">
        <v>698</v>
      </c>
      <c r="G1155" s="22" t="s">
        <v>2485</v>
      </c>
      <c r="H1155" s="22" t="s">
        <v>696</v>
      </c>
      <c r="I1155" s="22">
        <v>1.0464954384707E13</v>
      </c>
      <c r="J1155" s="22" t="s">
        <v>2171</v>
      </c>
      <c r="K1155" s="24"/>
      <c r="L1155" s="22" t="s">
        <v>701</v>
      </c>
      <c r="M1155" s="22">
        <v>1.0</v>
      </c>
      <c r="N1155" s="22" t="s">
        <v>702</v>
      </c>
      <c r="O1155" s="22" t="s">
        <v>703</v>
      </c>
      <c r="P1155" s="24"/>
      <c r="Q1155" s="22" t="s">
        <v>90</v>
      </c>
      <c r="R1155" s="22">
        <v>3.2764979052867E13</v>
      </c>
      <c r="S1155" s="24"/>
      <c r="T1155" s="24"/>
      <c r="U1155" s="24"/>
      <c r="V1155" s="22" t="s">
        <v>55</v>
      </c>
      <c r="W1155" s="33"/>
      <c r="X1155" s="33"/>
      <c r="Y1155" s="30"/>
      <c r="Z1155" s="30"/>
      <c r="AA1155" s="33"/>
      <c r="AB1155" s="33"/>
      <c r="AC1155" s="30"/>
      <c r="AD1155" s="30"/>
      <c r="AE1155" s="33"/>
      <c r="AF1155" s="31"/>
      <c r="AG1155" s="30"/>
      <c r="AH1155" s="30"/>
      <c r="AI1155" s="31"/>
      <c r="AJ1155" s="31"/>
      <c r="AK1155" s="32"/>
    </row>
    <row r="1156">
      <c r="A1156" s="21" t="s">
        <v>912</v>
      </c>
      <c r="B1156" s="22" t="s">
        <v>2486</v>
      </c>
      <c r="C1156" s="22" t="s">
        <v>82</v>
      </c>
      <c r="D1156" s="23">
        <v>46004.0</v>
      </c>
      <c r="E1156" s="22" t="s">
        <v>153</v>
      </c>
      <c r="F1156" s="22" t="s">
        <v>377</v>
      </c>
      <c r="G1156" s="22" t="s">
        <v>2487</v>
      </c>
      <c r="H1156" s="22" t="s">
        <v>912</v>
      </c>
      <c r="I1156" s="22">
        <v>1.0464963952963E13</v>
      </c>
      <c r="J1156" s="22" t="s">
        <v>1122</v>
      </c>
      <c r="K1156" s="24"/>
      <c r="L1156" s="22" t="s">
        <v>914</v>
      </c>
      <c r="M1156" s="22">
        <v>1.0</v>
      </c>
      <c r="N1156" s="22" t="s">
        <v>381</v>
      </c>
      <c r="O1156" s="22" t="s">
        <v>382</v>
      </c>
      <c r="P1156" s="24"/>
      <c r="Q1156" s="22" t="s">
        <v>90</v>
      </c>
      <c r="R1156" s="22">
        <v>3.2764997763395E13</v>
      </c>
      <c r="S1156" s="24"/>
      <c r="T1156" s="24"/>
      <c r="U1156" s="24"/>
      <c r="V1156" s="22" t="s">
        <v>54</v>
      </c>
      <c r="W1156" s="33"/>
      <c r="X1156" s="33"/>
      <c r="Y1156" s="30"/>
      <c r="Z1156" s="30"/>
      <c r="AA1156" s="33"/>
      <c r="AB1156" s="33"/>
      <c r="AC1156" s="30"/>
      <c r="AD1156" s="30"/>
      <c r="AE1156" s="33"/>
      <c r="AF1156" s="31"/>
      <c r="AG1156" s="30"/>
      <c r="AH1156" s="30"/>
      <c r="AI1156" s="31"/>
      <c r="AJ1156" s="31"/>
      <c r="AK1156" s="32"/>
    </row>
    <row r="1157">
      <c r="A1157" s="21" t="s">
        <v>515</v>
      </c>
      <c r="B1157" s="22" t="s">
        <v>471</v>
      </c>
      <c r="C1157" s="22" t="s">
        <v>82</v>
      </c>
      <c r="D1157" s="26">
        <v>45997.0</v>
      </c>
      <c r="E1157" s="22" t="s">
        <v>134</v>
      </c>
      <c r="F1157" s="22" t="s">
        <v>472</v>
      </c>
      <c r="G1157" s="22" t="s">
        <v>2488</v>
      </c>
      <c r="H1157" s="22" t="s">
        <v>515</v>
      </c>
      <c r="I1157" s="22">
        <v>1.0464966672707E13</v>
      </c>
      <c r="J1157" s="22" t="s">
        <v>474</v>
      </c>
      <c r="K1157" s="24"/>
      <c r="L1157" s="22" t="s">
        <v>519</v>
      </c>
      <c r="M1157" s="22">
        <v>1.0</v>
      </c>
      <c r="N1157" s="22" t="s">
        <v>476</v>
      </c>
      <c r="O1157" s="22" t="s">
        <v>477</v>
      </c>
      <c r="P1157" s="24"/>
      <c r="Q1157" s="22" t="s">
        <v>90</v>
      </c>
      <c r="R1157" s="22">
        <v>3.2765005168963E13</v>
      </c>
      <c r="S1157" s="24"/>
      <c r="T1157" s="24"/>
      <c r="U1157" s="24"/>
      <c r="V1157" s="22" t="s">
        <v>55</v>
      </c>
      <c r="W1157" s="33"/>
      <c r="X1157" s="33"/>
      <c r="Y1157" s="30"/>
      <c r="Z1157" s="30"/>
      <c r="AA1157" s="33"/>
      <c r="AB1157" s="33"/>
      <c r="AC1157" s="30"/>
      <c r="AD1157" s="30"/>
      <c r="AE1157" s="33"/>
      <c r="AF1157" s="31"/>
      <c r="AG1157" s="30"/>
      <c r="AH1157" s="30"/>
      <c r="AI1157" s="31"/>
      <c r="AJ1157" s="31"/>
      <c r="AK1157" s="32"/>
    </row>
    <row r="1158">
      <c r="A1158" s="21" t="s">
        <v>550</v>
      </c>
      <c r="B1158" s="22" t="s">
        <v>653</v>
      </c>
      <c r="C1158" s="22" t="s">
        <v>82</v>
      </c>
      <c r="D1158" s="26">
        <v>45997.0</v>
      </c>
      <c r="E1158" s="22" t="s">
        <v>138</v>
      </c>
      <c r="F1158" s="22" t="s">
        <v>377</v>
      </c>
      <c r="G1158" s="22" t="s">
        <v>2489</v>
      </c>
      <c r="H1158" s="22" t="s">
        <v>550</v>
      </c>
      <c r="I1158" s="22">
        <v>1.0464970768707E13</v>
      </c>
      <c r="J1158" s="22" t="s">
        <v>655</v>
      </c>
      <c r="K1158" s="24"/>
      <c r="L1158" s="22" t="s">
        <v>552</v>
      </c>
      <c r="M1158" s="22">
        <v>1.0</v>
      </c>
      <c r="N1158" s="22" t="s">
        <v>381</v>
      </c>
      <c r="O1158" s="22" t="s">
        <v>382</v>
      </c>
      <c r="P1158" s="24"/>
      <c r="Q1158" s="22" t="s">
        <v>90</v>
      </c>
      <c r="R1158" s="22">
        <v>3.2765014769987E13</v>
      </c>
      <c r="S1158" s="24"/>
      <c r="T1158" s="24"/>
      <c r="U1158" s="24"/>
      <c r="V1158" s="22" t="s">
        <v>95</v>
      </c>
      <c r="W1158" s="33"/>
      <c r="X1158" s="33"/>
      <c r="Y1158" s="30"/>
      <c r="Z1158" s="30"/>
      <c r="AA1158" s="33"/>
      <c r="AB1158" s="33"/>
      <c r="AC1158" s="30"/>
      <c r="AD1158" s="30"/>
      <c r="AE1158" s="33"/>
      <c r="AF1158" s="31"/>
      <c r="AG1158" s="30"/>
      <c r="AH1158" s="30"/>
      <c r="AI1158" s="31"/>
      <c r="AJ1158" s="31"/>
      <c r="AK1158" s="32"/>
    </row>
    <row r="1159">
      <c r="A1159" s="21" t="s">
        <v>276</v>
      </c>
      <c r="B1159" s="22" t="s">
        <v>2237</v>
      </c>
      <c r="C1159" s="22" t="s">
        <v>82</v>
      </c>
      <c r="D1159" s="26">
        <v>45997.0</v>
      </c>
      <c r="E1159" s="22" t="s">
        <v>439</v>
      </c>
      <c r="F1159" s="22" t="s">
        <v>278</v>
      </c>
      <c r="G1159" s="22" t="s">
        <v>2490</v>
      </c>
      <c r="H1159" s="22" t="s">
        <v>276</v>
      </c>
      <c r="I1159" s="22">
        <v>1.0464973226307E13</v>
      </c>
      <c r="J1159" s="22" t="s">
        <v>2239</v>
      </c>
      <c r="K1159" s="24"/>
      <c r="L1159" s="22" t="s">
        <v>281</v>
      </c>
      <c r="M1159" s="22">
        <v>1.0</v>
      </c>
      <c r="N1159" s="22" t="s">
        <v>282</v>
      </c>
      <c r="O1159" s="22" t="s">
        <v>283</v>
      </c>
      <c r="P1159" s="24"/>
      <c r="Q1159" s="22" t="s">
        <v>90</v>
      </c>
      <c r="R1159" s="22">
        <v>3.2765020832067E13</v>
      </c>
      <c r="S1159" s="24"/>
      <c r="T1159" s="24"/>
      <c r="U1159" s="24"/>
      <c r="V1159" s="22" t="s">
        <v>55</v>
      </c>
      <c r="W1159" s="33"/>
      <c r="X1159" s="33"/>
      <c r="Y1159" s="30"/>
      <c r="Z1159" s="30"/>
      <c r="AA1159" s="33"/>
      <c r="AB1159" s="33"/>
      <c r="AC1159" s="30"/>
      <c r="AD1159" s="30"/>
      <c r="AE1159" s="33"/>
      <c r="AF1159" s="31"/>
      <c r="AG1159" s="30"/>
      <c r="AH1159" s="30"/>
      <c r="AI1159" s="31"/>
      <c r="AJ1159" s="31"/>
      <c r="AK1159" s="32"/>
    </row>
    <row r="1160">
      <c r="A1160" s="21" t="s">
        <v>538</v>
      </c>
      <c r="B1160" s="22" t="s">
        <v>1364</v>
      </c>
      <c r="C1160" s="22" t="s">
        <v>273</v>
      </c>
      <c r="D1160" s="26">
        <v>45998.0</v>
      </c>
      <c r="E1160" s="22" t="s">
        <v>138</v>
      </c>
      <c r="F1160" s="22" t="s">
        <v>369</v>
      </c>
      <c r="G1160" s="22" t="s">
        <v>2491</v>
      </c>
      <c r="H1160" s="22" t="s">
        <v>538</v>
      </c>
      <c r="I1160" s="22">
        <v>1.0464979190083E13</v>
      </c>
      <c r="J1160" s="22" t="s">
        <v>1366</v>
      </c>
      <c r="K1160" s="24"/>
      <c r="L1160" s="22" t="s">
        <v>542</v>
      </c>
      <c r="M1160" s="22">
        <v>1.0</v>
      </c>
      <c r="N1160" s="22" t="s">
        <v>373</v>
      </c>
      <c r="O1160" s="22" t="s">
        <v>374</v>
      </c>
      <c r="P1160" s="24"/>
      <c r="Q1160" s="22" t="s">
        <v>90</v>
      </c>
      <c r="R1160" s="22">
        <v>3.2765032235331E13</v>
      </c>
      <c r="S1160" s="24"/>
      <c r="T1160" s="24"/>
      <c r="U1160" s="24"/>
      <c r="V1160" s="22" t="s">
        <v>91</v>
      </c>
      <c r="W1160" s="33"/>
      <c r="X1160" s="33"/>
      <c r="Y1160" s="30"/>
      <c r="Z1160" s="30"/>
      <c r="AA1160" s="33"/>
      <c r="AB1160" s="33"/>
      <c r="AC1160" s="30"/>
      <c r="AD1160" s="30"/>
      <c r="AE1160" s="33"/>
      <c r="AF1160" s="31"/>
      <c r="AG1160" s="30"/>
      <c r="AH1160" s="30"/>
      <c r="AI1160" s="31"/>
      <c r="AJ1160" s="31"/>
      <c r="AK1160" s="32"/>
    </row>
    <row r="1161">
      <c r="A1161" s="21" t="s">
        <v>789</v>
      </c>
      <c r="B1161" s="22" t="s">
        <v>1863</v>
      </c>
      <c r="C1161" s="22" t="s">
        <v>82</v>
      </c>
      <c r="D1161" s="26">
        <v>45997.0</v>
      </c>
      <c r="E1161" s="22" t="s">
        <v>1131</v>
      </c>
      <c r="F1161" s="22" t="s">
        <v>605</v>
      </c>
      <c r="G1161" s="22" t="s">
        <v>2492</v>
      </c>
      <c r="H1161" s="22" t="s">
        <v>789</v>
      </c>
      <c r="I1161" s="22">
        <v>1.0464987447619E13</v>
      </c>
      <c r="J1161" s="22" t="s">
        <v>1865</v>
      </c>
      <c r="K1161" s="24"/>
      <c r="L1161" s="22" t="s">
        <v>794</v>
      </c>
      <c r="M1161" s="22">
        <v>1.0</v>
      </c>
      <c r="N1161" s="22" t="s">
        <v>795</v>
      </c>
      <c r="O1161" s="22" t="s">
        <v>796</v>
      </c>
      <c r="P1161" s="24"/>
      <c r="Q1161" s="22" t="s">
        <v>90</v>
      </c>
      <c r="R1161" s="22">
        <v>3.2765051404611E13</v>
      </c>
      <c r="S1161" s="24"/>
      <c r="T1161" s="24"/>
      <c r="U1161" s="24"/>
      <c r="V1161" s="22" t="s">
        <v>105</v>
      </c>
      <c r="W1161" s="33"/>
      <c r="X1161" s="33"/>
      <c r="Y1161" s="30"/>
      <c r="Z1161" s="30"/>
      <c r="AA1161" s="33"/>
      <c r="AB1161" s="33"/>
      <c r="AC1161" s="30"/>
      <c r="AD1161" s="30"/>
      <c r="AE1161" s="33"/>
      <c r="AF1161" s="31"/>
      <c r="AG1161" s="30"/>
      <c r="AH1161" s="30"/>
      <c r="AI1161" s="31"/>
      <c r="AJ1161" s="31"/>
      <c r="AK1161" s="32"/>
    </row>
    <row r="1162">
      <c r="A1162" s="21" t="s">
        <v>592</v>
      </c>
      <c r="B1162" s="22" t="s">
        <v>2493</v>
      </c>
      <c r="C1162" s="22" t="s">
        <v>273</v>
      </c>
      <c r="D1162" s="26">
        <v>45998.0</v>
      </c>
      <c r="E1162" s="22" t="s">
        <v>134</v>
      </c>
      <c r="F1162" s="22" t="s">
        <v>311</v>
      </c>
      <c r="G1162" s="22" t="s">
        <v>2494</v>
      </c>
      <c r="H1162" s="22" t="s">
        <v>592</v>
      </c>
      <c r="I1162" s="22">
        <v>1.0465000161603E13</v>
      </c>
      <c r="J1162" s="22" t="s">
        <v>1002</v>
      </c>
      <c r="K1162" s="24"/>
      <c r="L1162" s="22" t="s">
        <v>594</v>
      </c>
      <c r="M1162" s="22">
        <v>2.0</v>
      </c>
      <c r="N1162" s="22" t="s">
        <v>391</v>
      </c>
      <c r="O1162" s="22" t="s">
        <v>392</v>
      </c>
      <c r="P1162" s="24"/>
      <c r="Q1162" s="22" t="s">
        <v>90</v>
      </c>
      <c r="R1162" s="22">
        <v>3.2765078569283E13</v>
      </c>
      <c r="S1162" s="24"/>
      <c r="T1162" s="24"/>
      <c r="U1162" s="24"/>
      <c r="V1162" s="22" t="s">
        <v>54</v>
      </c>
      <c r="W1162" s="33"/>
      <c r="X1162" s="33"/>
      <c r="Y1162" s="30"/>
      <c r="Z1162" s="30"/>
      <c r="AA1162" s="33"/>
      <c r="AB1162" s="33"/>
      <c r="AC1162" s="30"/>
      <c r="AD1162" s="30"/>
      <c r="AE1162" s="33"/>
      <c r="AF1162" s="31"/>
      <c r="AG1162" s="30"/>
      <c r="AH1162" s="30"/>
      <c r="AI1162" s="31"/>
      <c r="AJ1162" s="31"/>
      <c r="AK1162" s="32"/>
    </row>
    <row r="1163">
      <c r="A1163" s="21" t="s">
        <v>80</v>
      </c>
      <c r="B1163" s="22" t="s">
        <v>1486</v>
      </c>
      <c r="C1163" s="22" t="s">
        <v>82</v>
      </c>
      <c r="D1163" s="26">
        <v>45997.0</v>
      </c>
      <c r="E1163" s="22" t="s">
        <v>134</v>
      </c>
      <c r="F1163" s="22" t="s">
        <v>83</v>
      </c>
      <c r="G1163" s="22" t="s">
        <v>2495</v>
      </c>
      <c r="H1163" s="22" t="s">
        <v>80</v>
      </c>
      <c r="I1163" s="22">
        <v>1.0465000554819E13</v>
      </c>
      <c r="J1163" s="22" t="s">
        <v>1488</v>
      </c>
      <c r="K1163" s="24"/>
      <c r="L1163" s="22" t="s">
        <v>86</v>
      </c>
      <c r="M1163" s="22">
        <v>1.0</v>
      </c>
      <c r="N1163" s="22" t="s">
        <v>87</v>
      </c>
      <c r="O1163" s="22" t="s">
        <v>88</v>
      </c>
      <c r="P1163" s="24"/>
      <c r="Q1163" s="22" t="s">
        <v>90</v>
      </c>
      <c r="R1163" s="22">
        <v>3.2765079519555E13</v>
      </c>
      <c r="S1163" s="24"/>
      <c r="T1163" s="24"/>
      <c r="U1163" s="24"/>
      <c r="V1163" s="22" t="s">
        <v>91</v>
      </c>
      <c r="W1163" s="33"/>
      <c r="X1163" s="33"/>
      <c r="Y1163" s="30"/>
      <c r="Z1163" s="30"/>
      <c r="AA1163" s="33"/>
      <c r="AB1163" s="33"/>
      <c r="AC1163" s="30"/>
      <c r="AD1163" s="30"/>
      <c r="AE1163" s="33"/>
      <c r="AF1163" s="31"/>
      <c r="AG1163" s="30"/>
      <c r="AH1163" s="30"/>
      <c r="AI1163" s="31"/>
      <c r="AJ1163" s="31"/>
      <c r="AK1163" s="32"/>
    </row>
    <row r="1164">
      <c r="A1164" s="21" t="s">
        <v>80</v>
      </c>
      <c r="B1164" s="22" t="s">
        <v>1742</v>
      </c>
      <c r="C1164" s="22" t="s">
        <v>273</v>
      </c>
      <c r="D1164" s="26">
        <v>45998.0</v>
      </c>
      <c r="E1164" s="22" t="s">
        <v>266</v>
      </c>
      <c r="F1164" s="22" t="s">
        <v>83</v>
      </c>
      <c r="G1164" s="22" t="s">
        <v>2496</v>
      </c>
      <c r="H1164" s="22" t="s">
        <v>80</v>
      </c>
      <c r="I1164" s="22">
        <v>1.0465002357059E13</v>
      </c>
      <c r="J1164" s="22" t="s">
        <v>1744</v>
      </c>
      <c r="K1164" s="24"/>
      <c r="L1164" s="22" t="s">
        <v>86</v>
      </c>
      <c r="M1164" s="22">
        <v>1.0</v>
      </c>
      <c r="N1164" s="22" t="s">
        <v>87</v>
      </c>
      <c r="O1164" s="22" t="s">
        <v>88</v>
      </c>
      <c r="P1164" s="24"/>
      <c r="Q1164" s="22" t="s">
        <v>90</v>
      </c>
      <c r="R1164" s="22">
        <v>3.2765083713859E13</v>
      </c>
      <c r="S1164" s="24"/>
      <c r="T1164" s="24"/>
      <c r="U1164" s="24"/>
      <c r="V1164" s="27" t="s">
        <v>91</v>
      </c>
      <c r="W1164" s="33"/>
      <c r="X1164" s="33"/>
      <c r="Y1164" s="30"/>
      <c r="Z1164" s="30"/>
      <c r="AA1164" s="33"/>
      <c r="AB1164" s="33"/>
      <c r="AC1164" s="30"/>
      <c r="AD1164" s="30"/>
      <c r="AE1164" s="33"/>
      <c r="AF1164" s="31"/>
      <c r="AG1164" s="30"/>
      <c r="AH1164" s="30"/>
      <c r="AI1164" s="31"/>
      <c r="AJ1164" s="31"/>
      <c r="AK1164" s="32"/>
    </row>
    <row r="1165">
      <c r="A1165" s="21" t="s">
        <v>463</v>
      </c>
      <c r="B1165" s="22" t="s">
        <v>2497</v>
      </c>
      <c r="C1165" s="22" t="s">
        <v>82</v>
      </c>
      <c r="D1165" s="26">
        <v>45997.0</v>
      </c>
      <c r="E1165" s="22" t="s">
        <v>1895</v>
      </c>
      <c r="F1165" s="22" t="s">
        <v>303</v>
      </c>
      <c r="G1165" s="22" t="s">
        <v>2498</v>
      </c>
      <c r="H1165" s="22" t="s">
        <v>463</v>
      </c>
      <c r="I1165" s="22">
        <v>1.0465006551363E13</v>
      </c>
      <c r="J1165" s="22" t="s">
        <v>2499</v>
      </c>
      <c r="K1165" s="24"/>
      <c r="L1165" s="22" t="s">
        <v>467</v>
      </c>
      <c r="M1165" s="22">
        <v>1.0</v>
      </c>
      <c r="N1165" s="22" t="s">
        <v>468</v>
      </c>
      <c r="O1165" s="22" t="s">
        <v>469</v>
      </c>
      <c r="P1165" s="24"/>
      <c r="Q1165" s="22" t="s">
        <v>90</v>
      </c>
      <c r="R1165" s="22">
        <v>3.2765092593987E13</v>
      </c>
      <c r="S1165" s="24"/>
      <c r="T1165" s="24"/>
      <c r="U1165" s="24"/>
      <c r="V1165" s="22" t="s">
        <v>105</v>
      </c>
      <c r="W1165" s="33"/>
      <c r="X1165" s="33"/>
      <c r="Y1165" s="30"/>
      <c r="Z1165" s="30"/>
      <c r="AA1165" s="33"/>
      <c r="AB1165" s="33"/>
      <c r="AC1165" s="30"/>
      <c r="AD1165" s="30"/>
      <c r="AE1165" s="33"/>
      <c r="AF1165" s="31"/>
      <c r="AG1165" s="30"/>
      <c r="AH1165" s="30"/>
      <c r="AI1165" s="31"/>
      <c r="AJ1165" s="31"/>
      <c r="AK1165" s="32"/>
    </row>
    <row r="1166">
      <c r="A1166" s="21" t="s">
        <v>515</v>
      </c>
      <c r="B1166" s="22" t="s">
        <v>471</v>
      </c>
      <c r="C1166" s="22" t="s">
        <v>82</v>
      </c>
      <c r="D1166" s="26">
        <v>45997.0</v>
      </c>
      <c r="E1166" s="22" t="s">
        <v>134</v>
      </c>
      <c r="F1166" s="22" t="s">
        <v>472</v>
      </c>
      <c r="G1166" s="22" t="s">
        <v>2500</v>
      </c>
      <c r="H1166" s="22" t="s">
        <v>515</v>
      </c>
      <c r="I1166" s="22">
        <v>1.0465007862083E13</v>
      </c>
      <c r="J1166" s="22" t="s">
        <v>474</v>
      </c>
      <c r="K1166" s="24"/>
      <c r="L1166" s="22" t="s">
        <v>519</v>
      </c>
      <c r="M1166" s="22">
        <v>1.0</v>
      </c>
      <c r="N1166" s="22" t="s">
        <v>476</v>
      </c>
      <c r="O1166" s="22" t="s">
        <v>477</v>
      </c>
      <c r="P1166" s="24"/>
      <c r="Q1166" s="22" t="s">
        <v>90</v>
      </c>
      <c r="R1166" s="22">
        <v>3.2765095641411E13</v>
      </c>
      <c r="S1166" s="24"/>
      <c r="T1166" s="24"/>
      <c r="U1166" s="24"/>
      <c r="V1166" s="22" t="s">
        <v>55</v>
      </c>
      <c r="W1166" s="33"/>
      <c r="X1166" s="33"/>
      <c r="Y1166" s="30"/>
      <c r="Z1166" s="30"/>
      <c r="AA1166" s="33"/>
      <c r="AB1166" s="33"/>
      <c r="AC1166" s="30"/>
      <c r="AD1166" s="30"/>
      <c r="AE1166" s="33"/>
      <c r="AF1166" s="31"/>
      <c r="AG1166" s="30"/>
      <c r="AH1166" s="30"/>
      <c r="AI1166" s="31"/>
      <c r="AJ1166" s="31"/>
      <c r="AK1166" s="32"/>
    </row>
    <row r="1167">
      <c r="A1167" s="21" t="s">
        <v>709</v>
      </c>
      <c r="B1167" s="22" t="s">
        <v>2501</v>
      </c>
      <c r="C1167" s="22" t="s">
        <v>273</v>
      </c>
      <c r="D1167" s="26">
        <v>45998.0</v>
      </c>
      <c r="E1167" s="22" t="s">
        <v>1117</v>
      </c>
      <c r="F1167" s="22" t="s">
        <v>311</v>
      </c>
      <c r="G1167" s="22" t="s">
        <v>2502</v>
      </c>
      <c r="H1167" s="22" t="s">
        <v>709</v>
      </c>
      <c r="I1167" s="22">
        <v>1.0465011630403E13</v>
      </c>
      <c r="J1167" s="22" t="s">
        <v>2503</v>
      </c>
      <c r="K1167" s="24"/>
      <c r="L1167" s="22" t="s">
        <v>713</v>
      </c>
      <c r="M1167" s="22">
        <v>1.0</v>
      </c>
      <c r="N1167" s="22" t="s">
        <v>391</v>
      </c>
      <c r="O1167" s="22" t="s">
        <v>392</v>
      </c>
      <c r="P1167" s="24"/>
      <c r="Q1167" s="22" t="s">
        <v>90</v>
      </c>
      <c r="R1167" s="22">
        <v>3.2765103964483E13</v>
      </c>
      <c r="S1167" s="24"/>
      <c r="T1167" s="24"/>
      <c r="U1167" s="24"/>
      <c r="V1167" s="22" t="s">
        <v>91</v>
      </c>
      <c r="W1167" s="33"/>
      <c r="X1167" s="33"/>
      <c r="Y1167" s="30"/>
      <c r="Z1167" s="30"/>
      <c r="AA1167" s="33"/>
      <c r="AB1167" s="33"/>
      <c r="AC1167" s="30"/>
      <c r="AD1167" s="30"/>
      <c r="AE1167" s="33"/>
      <c r="AF1167" s="31"/>
      <c r="AG1167" s="30"/>
      <c r="AH1167" s="30"/>
      <c r="AI1167" s="31"/>
      <c r="AJ1167" s="31"/>
      <c r="AK1167" s="32"/>
    </row>
    <row r="1168">
      <c r="A1168" s="21" t="s">
        <v>649</v>
      </c>
      <c r="B1168" s="22" t="s">
        <v>770</v>
      </c>
      <c r="C1168" s="22" t="s">
        <v>82</v>
      </c>
      <c r="D1168" s="26">
        <v>45997.0</v>
      </c>
      <c r="E1168" s="22" t="s">
        <v>181</v>
      </c>
      <c r="F1168" s="22" t="s">
        <v>319</v>
      </c>
      <c r="G1168" s="22" t="s">
        <v>2504</v>
      </c>
      <c r="H1168" s="22" t="s">
        <v>649</v>
      </c>
      <c r="I1168" s="22">
        <v>1.0465022804291E13</v>
      </c>
      <c r="J1168" s="22" t="s">
        <v>772</v>
      </c>
      <c r="K1168" s="24"/>
      <c r="L1168" s="22" t="s">
        <v>651</v>
      </c>
      <c r="M1168" s="22">
        <v>1.0</v>
      </c>
      <c r="N1168" s="22" t="s">
        <v>323</v>
      </c>
      <c r="O1168" s="22" t="s">
        <v>324</v>
      </c>
      <c r="P1168" s="24"/>
      <c r="Q1168" s="22" t="s">
        <v>90</v>
      </c>
      <c r="R1168" s="22">
        <v>3.2765128737091E13</v>
      </c>
      <c r="S1168" s="24"/>
      <c r="T1168" s="24"/>
      <c r="U1168" s="24"/>
      <c r="V1168" s="22" t="s">
        <v>91</v>
      </c>
      <c r="W1168" s="33"/>
      <c r="X1168" s="33"/>
      <c r="Y1168" s="30"/>
      <c r="Z1168" s="30"/>
      <c r="AA1168" s="33"/>
      <c r="AB1168" s="33"/>
      <c r="AC1168" s="30"/>
      <c r="AD1168" s="30"/>
      <c r="AE1168" s="33"/>
      <c r="AF1168" s="31"/>
      <c r="AG1168" s="30"/>
      <c r="AH1168" s="30"/>
      <c r="AI1168" s="31"/>
      <c r="AJ1168" s="31"/>
      <c r="AK1168" s="32"/>
    </row>
    <row r="1169">
      <c r="A1169" s="21" t="s">
        <v>1246</v>
      </c>
      <c r="B1169" s="22" t="s">
        <v>763</v>
      </c>
      <c r="C1169" s="22" t="s">
        <v>82</v>
      </c>
      <c r="D1169" s="26">
        <v>45997.0</v>
      </c>
      <c r="E1169" s="22" t="s">
        <v>149</v>
      </c>
      <c r="F1169" s="22" t="s">
        <v>623</v>
      </c>
      <c r="G1169" s="22" t="s">
        <v>2505</v>
      </c>
      <c r="H1169" s="22" t="s">
        <v>1246</v>
      </c>
      <c r="I1169" s="22">
        <v>1.0465033453891E13</v>
      </c>
      <c r="J1169" s="22" t="s">
        <v>765</v>
      </c>
      <c r="K1169" s="24"/>
      <c r="L1169" s="22" t="s">
        <v>1250</v>
      </c>
      <c r="M1169" s="22">
        <v>1.0</v>
      </c>
      <c r="N1169" s="22" t="s">
        <v>1088</v>
      </c>
      <c r="O1169" s="22" t="s">
        <v>1089</v>
      </c>
      <c r="P1169" s="24"/>
      <c r="Q1169" s="22" t="s">
        <v>90</v>
      </c>
      <c r="R1169" s="22">
        <v>3.2765153313091E13</v>
      </c>
      <c r="S1169" s="24"/>
      <c r="T1169" s="24"/>
      <c r="U1169" s="24"/>
      <c r="V1169" s="22" t="s">
        <v>175</v>
      </c>
      <c r="W1169" s="33"/>
      <c r="X1169" s="33"/>
      <c r="Y1169" s="30"/>
      <c r="Z1169" s="30"/>
      <c r="AA1169" s="33"/>
      <c r="AB1169" s="33"/>
      <c r="AC1169" s="30"/>
      <c r="AD1169" s="30"/>
      <c r="AE1169" s="33"/>
      <c r="AF1169" s="31"/>
      <c r="AG1169" s="30"/>
      <c r="AH1169" s="30"/>
      <c r="AI1169" s="31"/>
      <c r="AJ1169" s="31"/>
      <c r="AK1169" s="32"/>
    </row>
    <row r="1170">
      <c r="A1170" s="21" t="s">
        <v>595</v>
      </c>
      <c r="B1170" s="22" t="s">
        <v>587</v>
      </c>
      <c r="C1170" s="22" t="s">
        <v>273</v>
      </c>
      <c r="D1170" s="26">
        <v>45998.0</v>
      </c>
      <c r="E1170" s="22" t="s">
        <v>153</v>
      </c>
      <c r="F1170" s="22" t="s">
        <v>369</v>
      </c>
      <c r="G1170" s="22" t="s">
        <v>2506</v>
      </c>
      <c r="H1170" s="22" t="s">
        <v>595</v>
      </c>
      <c r="I1170" s="22">
        <v>1.0465052787011E13</v>
      </c>
      <c r="J1170" s="22" t="s">
        <v>589</v>
      </c>
      <c r="K1170" s="24"/>
      <c r="L1170" s="22" t="s">
        <v>599</v>
      </c>
      <c r="M1170" s="22">
        <v>1.0</v>
      </c>
      <c r="N1170" s="22" t="s">
        <v>600</v>
      </c>
      <c r="O1170" s="22" t="s">
        <v>601</v>
      </c>
      <c r="P1170" s="24"/>
      <c r="Q1170" s="22" t="s">
        <v>90</v>
      </c>
      <c r="R1170" s="22">
        <v>3.2765196992835E13</v>
      </c>
      <c r="S1170" s="24"/>
      <c r="T1170" s="24"/>
      <c r="U1170" s="24"/>
      <c r="V1170" s="22" t="s">
        <v>127</v>
      </c>
      <c r="W1170" s="33"/>
      <c r="X1170" s="33"/>
      <c r="Y1170" s="30"/>
      <c r="Z1170" s="30"/>
      <c r="AA1170" s="33"/>
      <c r="AB1170" s="33"/>
      <c r="AC1170" s="30"/>
      <c r="AD1170" s="30"/>
      <c r="AE1170" s="33"/>
      <c r="AF1170" s="31"/>
      <c r="AG1170" s="30"/>
      <c r="AH1170" s="30"/>
      <c r="AI1170" s="31"/>
      <c r="AJ1170" s="31"/>
      <c r="AK1170" s="32"/>
    </row>
    <row r="1171">
      <c r="A1171" s="21" t="s">
        <v>96</v>
      </c>
      <c r="B1171" s="22" t="s">
        <v>2507</v>
      </c>
      <c r="C1171" s="22" t="s">
        <v>202</v>
      </c>
      <c r="D1171" s="26">
        <v>45996.0</v>
      </c>
      <c r="E1171" s="22" t="s">
        <v>235</v>
      </c>
      <c r="F1171" s="22" t="s">
        <v>83</v>
      </c>
      <c r="G1171" s="22" t="s">
        <v>2508</v>
      </c>
      <c r="H1171" s="22" t="s">
        <v>96</v>
      </c>
      <c r="I1171" s="22">
        <v>1.0465052819779E13</v>
      </c>
      <c r="J1171" s="22" t="s">
        <v>2509</v>
      </c>
      <c r="K1171" s="24"/>
      <c r="L1171" s="22" t="s">
        <v>98</v>
      </c>
      <c r="M1171" s="22">
        <v>1.0</v>
      </c>
      <c r="N1171" s="22" t="s">
        <v>87</v>
      </c>
      <c r="O1171" s="22" t="s">
        <v>88</v>
      </c>
      <c r="P1171" s="24"/>
      <c r="Q1171" s="22" t="s">
        <v>90</v>
      </c>
      <c r="R1171" s="22">
        <v>3.2765196894531E13</v>
      </c>
      <c r="S1171" s="24"/>
      <c r="T1171" s="24"/>
      <c r="U1171" s="24"/>
      <c r="V1171" s="22" t="s">
        <v>55</v>
      </c>
      <c r="W1171" s="33"/>
      <c r="X1171" s="33"/>
      <c r="Y1171" s="30"/>
      <c r="Z1171" s="30"/>
      <c r="AA1171" s="33"/>
      <c r="AB1171" s="33"/>
      <c r="AC1171" s="30"/>
      <c r="AD1171" s="30"/>
      <c r="AE1171" s="33"/>
      <c r="AF1171" s="31"/>
      <c r="AG1171" s="30"/>
      <c r="AH1171" s="30"/>
      <c r="AI1171" s="31"/>
      <c r="AJ1171" s="31"/>
      <c r="AK1171" s="32"/>
    </row>
    <row r="1172">
      <c r="A1172" s="21" t="s">
        <v>503</v>
      </c>
      <c r="B1172" s="22" t="s">
        <v>504</v>
      </c>
      <c r="C1172" s="22" t="s">
        <v>82</v>
      </c>
      <c r="D1172" s="26">
        <v>45997.0</v>
      </c>
      <c r="E1172" s="22" t="s">
        <v>211</v>
      </c>
      <c r="F1172" s="22" t="s">
        <v>341</v>
      </c>
      <c r="G1172" s="22" t="s">
        <v>2510</v>
      </c>
      <c r="H1172" s="22" t="s">
        <v>503</v>
      </c>
      <c r="I1172" s="22">
        <v>1.0465069400387E13</v>
      </c>
      <c r="J1172" s="22" t="s">
        <v>506</v>
      </c>
      <c r="K1172" s="24"/>
      <c r="L1172" s="22" t="s">
        <v>507</v>
      </c>
      <c r="M1172" s="22">
        <v>1.0</v>
      </c>
      <c r="N1172" s="22" t="s">
        <v>345</v>
      </c>
      <c r="O1172" s="22" t="s">
        <v>346</v>
      </c>
      <c r="P1172" s="24"/>
      <c r="Q1172" s="22" t="s">
        <v>90</v>
      </c>
      <c r="R1172" s="22">
        <v>3.2765235069251E13</v>
      </c>
      <c r="S1172" s="24"/>
      <c r="T1172" s="24"/>
      <c r="U1172" s="24"/>
      <c r="V1172" s="22" t="s">
        <v>54</v>
      </c>
      <c r="W1172" s="33"/>
      <c r="X1172" s="33"/>
      <c r="Y1172" s="30"/>
      <c r="Z1172" s="30"/>
      <c r="AA1172" s="33"/>
      <c r="AB1172" s="33"/>
      <c r="AC1172" s="30"/>
      <c r="AD1172" s="30"/>
      <c r="AE1172" s="33"/>
      <c r="AF1172" s="31"/>
      <c r="AG1172" s="30"/>
      <c r="AH1172" s="30"/>
      <c r="AI1172" s="31"/>
      <c r="AJ1172" s="31"/>
      <c r="AK1172" s="32"/>
    </row>
    <row r="1173">
      <c r="A1173" s="21" t="s">
        <v>1359</v>
      </c>
      <c r="B1173" s="22" t="s">
        <v>1576</v>
      </c>
      <c r="C1173" s="22" t="s">
        <v>82</v>
      </c>
      <c r="D1173" s="26">
        <v>45997.0</v>
      </c>
      <c r="E1173" s="22" t="s">
        <v>1117</v>
      </c>
      <c r="F1173" s="22" t="s">
        <v>605</v>
      </c>
      <c r="G1173" s="22" t="s">
        <v>2511</v>
      </c>
      <c r="H1173" s="22" t="s">
        <v>1359</v>
      </c>
      <c r="I1173" s="22">
        <v>1.0465075560771E13</v>
      </c>
      <c r="J1173" s="22" t="s">
        <v>1578</v>
      </c>
      <c r="K1173" s="24"/>
      <c r="L1173" s="22" t="s">
        <v>1363</v>
      </c>
      <c r="M1173" s="22">
        <v>1.0</v>
      </c>
      <c r="N1173" s="22" t="s">
        <v>795</v>
      </c>
      <c r="O1173" s="22" t="s">
        <v>796</v>
      </c>
      <c r="P1173" s="24"/>
      <c r="Q1173" s="22" t="s">
        <v>90</v>
      </c>
      <c r="R1173" s="22">
        <v>3.2765248930115E13</v>
      </c>
      <c r="S1173" s="24"/>
      <c r="T1173" s="24"/>
      <c r="U1173" s="24"/>
      <c r="V1173" s="22" t="s">
        <v>175</v>
      </c>
      <c r="W1173" s="33"/>
      <c r="X1173" s="33"/>
      <c r="Y1173" s="30"/>
      <c r="Z1173" s="30"/>
      <c r="AA1173" s="33"/>
      <c r="AB1173" s="33"/>
      <c r="AC1173" s="30"/>
      <c r="AD1173" s="30"/>
      <c r="AE1173" s="33"/>
      <c r="AF1173" s="31"/>
      <c r="AG1173" s="30"/>
      <c r="AH1173" s="30"/>
      <c r="AI1173" s="31"/>
      <c r="AJ1173" s="31"/>
      <c r="AK1173" s="32"/>
    </row>
    <row r="1174">
      <c r="A1174" s="21" t="s">
        <v>1242</v>
      </c>
      <c r="B1174" s="22" t="s">
        <v>1717</v>
      </c>
      <c r="C1174" s="22" t="s">
        <v>82</v>
      </c>
      <c r="D1174" s="26">
        <v>45997.0</v>
      </c>
      <c r="E1174" s="22" t="s">
        <v>970</v>
      </c>
      <c r="F1174" s="22" t="s">
        <v>698</v>
      </c>
      <c r="G1174" s="22" t="s">
        <v>2512</v>
      </c>
      <c r="H1174" s="22" t="s">
        <v>1242</v>
      </c>
      <c r="I1174" s="22">
        <v>1.0465075757379E13</v>
      </c>
      <c r="J1174" s="22" t="s">
        <v>1719</v>
      </c>
      <c r="K1174" s="24"/>
      <c r="L1174" s="22" t="s">
        <v>1244</v>
      </c>
      <c r="M1174" s="22">
        <v>1.0</v>
      </c>
      <c r="N1174" s="22" t="s">
        <v>702</v>
      </c>
      <c r="O1174" s="22" t="s">
        <v>703</v>
      </c>
      <c r="P1174" s="24"/>
      <c r="Q1174" s="22" t="s">
        <v>90</v>
      </c>
      <c r="R1174" s="22">
        <v>3.2765249257795E13</v>
      </c>
      <c r="S1174" s="24"/>
      <c r="T1174" s="24"/>
      <c r="U1174" s="24"/>
      <c r="V1174" s="22" t="s">
        <v>95</v>
      </c>
      <c r="W1174" s="33"/>
      <c r="X1174" s="33"/>
      <c r="Y1174" s="30"/>
      <c r="Z1174" s="30"/>
      <c r="AA1174" s="33"/>
      <c r="AB1174" s="33"/>
      <c r="AC1174" s="30"/>
      <c r="AD1174" s="30"/>
      <c r="AE1174" s="33"/>
      <c r="AF1174" s="31"/>
      <c r="AG1174" s="30"/>
      <c r="AH1174" s="30"/>
      <c r="AI1174" s="31"/>
      <c r="AJ1174" s="31"/>
      <c r="AK1174" s="32"/>
    </row>
    <row r="1175">
      <c r="A1175" s="21" t="s">
        <v>529</v>
      </c>
      <c r="B1175" s="22" t="s">
        <v>943</v>
      </c>
      <c r="C1175" s="22" t="s">
        <v>82</v>
      </c>
      <c r="D1175" s="26">
        <v>45997.0</v>
      </c>
      <c r="E1175" s="22" t="s">
        <v>145</v>
      </c>
      <c r="F1175" s="22" t="s">
        <v>472</v>
      </c>
      <c r="G1175" s="22" t="s">
        <v>2513</v>
      </c>
      <c r="H1175" s="22" t="s">
        <v>529</v>
      </c>
      <c r="I1175" s="22">
        <v>1.0465084342595E13</v>
      </c>
      <c r="J1175" s="22" t="s">
        <v>945</v>
      </c>
      <c r="K1175" s="24"/>
      <c r="L1175" s="22" t="s">
        <v>533</v>
      </c>
      <c r="M1175" s="22">
        <v>1.0</v>
      </c>
      <c r="N1175" s="22" t="s">
        <v>534</v>
      </c>
      <c r="O1175" s="22" t="s">
        <v>535</v>
      </c>
      <c r="P1175" s="24"/>
      <c r="Q1175" s="22" t="s">
        <v>90</v>
      </c>
      <c r="R1175" s="22">
        <v>3.2765266264387E13</v>
      </c>
      <c r="S1175" s="24"/>
      <c r="T1175" s="24"/>
      <c r="U1175" s="24"/>
      <c r="V1175" s="22" t="s">
        <v>127</v>
      </c>
      <c r="W1175" s="33"/>
      <c r="X1175" s="33"/>
      <c r="Y1175" s="30"/>
      <c r="Z1175" s="30"/>
      <c r="AA1175" s="33"/>
      <c r="AB1175" s="33"/>
      <c r="AC1175" s="30"/>
      <c r="AD1175" s="30"/>
      <c r="AE1175" s="33"/>
      <c r="AF1175" s="31"/>
      <c r="AG1175" s="30"/>
      <c r="AH1175" s="30"/>
      <c r="AI1175" s="31"/>
      <c r="AJ1175" s="31"/>
      <c r="AK1175" s="32"/>
    </row>
    <row r="1176">
      <c r="A1176" s="21" t="s">
        <v>620</v>
      </c>
      <c r="B1176" s="22" t="s">
        <v>2514</v>
      </c>
      <c r="C1176" s="22" t="s">
        <v>82</v>
      </c>
      <c r="D1176" s="26">
        <v>45997.0</v>
      </c>
      <c r="E1176" s="22" t="s">
        <v>196</v>
      </c>
      <c r="F1176" s="22" t="s">
        <v>623</v>
      </c>
      <c r="G1176" s="22" t="s">
        <v>2515</v>
      </c>
      <c r="H1176" s="22" t="s">
        <v>620</v>
      </c>
      <c r="I1176" s="22">
        <v>1.0464909525315E13</v>
      </c>
      <c r="J1176" s="22" t="s">
        <v>2516</v>
      </c>
      <c r="K1176" s="24"/>
      <c r="L1176" s="22" t="s">
        <v>626</v>
      </c>
      <c r="M1176" s="22">
        <v>1.0</v>
      </c>
      <c r="N1176" s="22" t="s">
        <v>627</v>
      </c>
      <c r="O1176" s="22" t="s">
        <v>628</v>
      </c>
      <c r="P1176" s="24"/>
      <c r="Q1176" s="22" t="s">
        <v>90</v>
      </c>
      <c r="R1176" s="22">
        <v>3.2764878881091E13</v>
      </c>
      <c r="S1176" s="24"/>
      <c r="T1176" s="24"/>
      <c r="U1176" s="24"/>
      <c r="V1176" s="22" t="s">
        <v>54</v>
      </c>
      <c r="W1176" s="33"/>
      <c r="X1176" s="33"/>
      <c r="Y1176" s="30"/>
      <c r="Z1176" s="30"/>
      <c r="AA1176" s="33"/>
      <c r="AB1176" s="33"/>
      <c r="AC1176" s="30"/>
      <c r="AD1176" s="30"/>
      <c r="AE1176" s="33"/>
      <c r="AF1176" s="31"/>
      <c r="AG1176" s="30"/>
      <c r="AH1176" s="30"/>
      <c r="AI1176" s="31"/>
      <c r="AJ1176" s="31"/>
      <c r="AK1176" s="32"/>
    </row>
    <row r="1177">
      <c r="A1177" s="21" t="s">
        <v>595</v>
      </c>
      <c r="B1177" s="22" t="s">
        <v>539</v>
      </c>
      <c r="C1177" s="22" t="s">
        <v>273</v>
      </c>
      <c r="D1177" s="26">
        <v>45998.0</v>
      </c>
      <c r="E1177" s="22" t="s">
        <v>149</v>
      </c>
      <c r="F1177" s="22" t="s">
        <v>369</v>
      </c>
      <c r="G1177" s="22" t="s">
        <v>2517</v>
      </c>
      <c r="H1177" s="22" t="s">
        <v>595</v>
      </c>
      <c r="I1177" s="22">
        <v>1.0464920273219E13</v>
      </c>
      <c r="J1177" s="22" t="s">
        <v>541</v>
      </c>
      <c r="K1177" s="24"/>
      <c r="L1177" s="22" t="s">
        <v>599</v>
      </c>
      <c r="M1177" s="22">
        <v>1.0</v>
      </c>
      <c r="N1177" s="22" t="s">
        <v>600</v>
      </c>
      <c r="O1177" s="22" t="s">
        <v>601</v>
      </c>
      <c r="P1177" s="24"/>
      <c r="Q1177" s="22" t="s">
        <v>90</v>
      </c>
      <c r="R1177" s="22">
        <v>3.2764905718083E13</v>
      </c>
      <c r="S1177" s="24"/>
      <c r="T1177" s="24"/>
      <c r="U1177" s="24"/>
      <c r="V1177" s="22" t="s">
        <v>127</v>
      </c>
      <c r="W1177" s="33"/>
      <c r="X1177" s="33"/>
      <c r="Y1177" s="30"/>
      <c r="Z1177" s="30"/>
      <c r="AA1177" s="33"/>
      <c r="AB1177" s="33"/>
      <c r="AC1177" s="30"/>
      <c r="AD1177" s="30"/>
      <c r="AE1177" s="33"/>
      <c r="AF1177" s="31"/>
      <c r="AG1177" s="30"/>
      <c r="AH1177" s="30"/>
      <c r="AI1177" s="31"/>
      <c r="AJ1177" s="31"/>
      <c r="AK1177" s="32"/>
    </row>
    <row r="1178">
      <c r="A1178" s="21" t="s">
        <v>1359</v>
      </c>
      <c r="B1178" s="22" t="s">
        <v>1510</v>
      </c>
      <c r="C1178" s="22" t="s">
        <v>82</v>
      </c>
      <c r="D1178" s="26">
        <v>45997.0</v>
      </c>
      <c r="E1178" s="22" t="s">
        <v>266</v>
      </c>
      <c r="F1178" s="22" t="s">
        <v>605</v>
      </c>
      <c r="G1178" s="22" t="s">
        <v>2518</v>
      </c>
      <c r="H1178" s="22" t="s">
        <v>1359</v>
      </c>
      <c r="I1178" s="22">
        <v>1.0464924336451E13</v>
      </c>
      <c r="J1178" s="22" t="s">
        <v>1512</v>
      </c>
      <c r="K1178" s="24"/>
      <c r="L1178" s="22" t="s">
        <v>1363</v>
      </c>
      <c r="M1178" s="22">
        <v>1.0</v>
      </c>
      <c r="N1178" s="22" t="s">
        <v>795</v>
      </c>
      <c r="O1178" s="22" t="s">
        <v>796</v>
      </c>
      <c r="P1178" s="24"/>
      <c r="Q1178" s="22" t="s">
        <v>90</v>
      </c>
      <c r="R1178" s="22">
        <v>3.2764915056963E13</v>
      </c>
      <c r="S1178" s="24"/>
      <c r="T1178" s="24"/>
      <c r="U1178" s="24"/>
      <c r="V1178" s="27" t="s">
        <v>175</v>
      </c>
      <c r="W1178" s="33"/>
      <c r="X1178" s="33"/>
      <c r="Y1178" s="30"/>
      <c r="Z1178" s="30"/>
      <c r="AA1178" s="33"/>
      <c r="AB1178" s="33"/>
      <c r="AC1178" s="30"/>
      <c r="AD1178" s="30"/>
      <c r="AE1178" s="33"/>
      <c r="AF1178" s="31"/>
      <c r="AG1178" s="30"/>
      <c r="AH1178" s="30"/>
      <c r="AI1178" s="31"/>
      <c r="AJ1178" s="31"/>
      <c r="AK1178" s="32"/>
    </row>
    <row r="1179">
      <c r="A1179" s="21" t="s">
        <v>80</v>
      </c>
      <c r="B1179" s="22" t="s">
        <v>2519</v>
      </c>
      <c r="C1179" s="22" t="s">
        <v>336</v>
      </c>
      <c r="D1179" s="26">
        <v>45995.0</v>
      </c>
      <c r="E1179" s="22" t="s">
        <v>480</v>
      </c>
      <c r="F1179" s="22" t="s">
        <v>83</v>
      </c>
      <c r="G1179" s="22" t="s">
        <v>2520</v>
      </c>
      <c r="H1179" s="22" t="s">
        <v>80</v>
      </c>
      <c r="I1179" s="22">
        <v>1.0465087095107E13</v>
      </c>
      <c r="J1179" s="22" t="s">
        <v>2521</v>
      </c>
      <c r="K1179" s="24"/>
      <c r="L1179" s="22" t="s">
        <v>86</v>
      </c>
      <c r="M1179" s="22">
        <v>1.0</v>
      </c>
      <c r="N1179" s="22" t="s">
        <v>87</v>
      </c>
      <c r="O1179" s="22" t="s">
        <v>88</v>
      </c>
      <c r="P1179" s="24"/>
      <c r="Q1179" s="22" t="s">
        <v>90</v>
      </c>
      <c r="R1179" s="22">
        <v>3.2765271933251E13</v>
      </c>
      <c r="S1179" s="24"/>
      <c r="T1179" s="24"/>
      <c r="U1179" s="24"/>
      <c r="V1179" s="22" t="s">
        <v>91</v>
      </c>
      <c r="W1179" s="33"/>
      <c r="X1179" s="33"/>
      <c r="Y1179" s="30"/>
      <c r="Z1179" s="30"/>
      <c r="AA1179" s="33"/>
      <c r="AB1179" s="33"/>
      <c r="AC1179" s="30"/>
      <c r="AD1179" s="30"/>
      <c r="AE1179" s="33"/>
      <c r="AF1179" s="31"/>
      <c r="AG1179" s="30"/>
      <c r="AH1179" s="30"/>
      <c r="AI1179" s="31"/>
      <c r="AJ1179" s="31"/>
      <c r="AK1179" s="32"/>
    </row>
    <row r="1180">
      <c r="A1180" s="21" t="s">
        <v>714</v>
      </c>
      <c r="B1180" s="22" t="s">
        <v>1763</v>
      </c>
      <c r="C1180" s="22" t="s">
        <v>82</v>
      </c>
      <c r="D1180" s="26">
        <v>45997.0</v>
      </c>
      <c r="E1180" s="22" t="s">
        <v>716</v>
      </c>
      <c r="F1180" s="22" t="s">
        <v>717</v>
      </c>
      <c r="G1180" s="22" t="s">
        <v>2522</v>
      </c>
      <c r="H1180" s="22" t="s">
        <v>714</v>
      </c>
      <c r="I1180" s="22">
        <v>1.0465103839555E13</v>
      </c>
      <c r="J1180" s="22" t="s">
        <v>1765</v>
      </c>
      <c r="K1180" s="24"/>
      <c r="L1180" s="22" t="s">
        <v>720</v>
      </c>
      <c r="M1180" s="22">
        <v>1.0</v>
      </c>
      <c r="N1180" s="22" t="s">
        <v>721</v>
      </c>
      <c r="O1180" s="22" t="s">
        <v>722</v>
      </c>
      <c r="P1180" s="24"/>
      <c r="Q1180" s="22" t="s">
        <v>90</v>
      </c>
      <c r="R1180" s="22">
        <v>3.2765305684291E13</v>
      </c>
      <c r="S1180" s="24"/>
      <c r="T1180" s="24"/>
      <c r="U1180" s="24"/>
      <c r="V1180" s="22" t="s">
        <v>55</v>
      </c>
      <c r="W1180" s="33"/>
      <c r="X1180" s="33"/>
      <c r="Y1180" s="30"/>
      <c r="Z1180" s="30"/>
      <c r="AA1180" s="33"/>
      <c r="AB1180" s="33"/>
      <c r="AC1180" s="30"/>
      <c r="AD1180" s="30"/>
      <c r="AE1180" s="33"/>
      <c r="AF1180" s="31"/>
      <c r="AG1180" s="30"/>
      <c r="AH1180" s="30"/>
      <c r="AI1180" s="31"/>
      <c r="AJ1180" s="31"/>
      <c r="AK1180" s="32"/>
    </row>
    <row r="1181">
      <c r="A1181" s="21" t="s">
        <v>679</v>
      </c>
      <c r="B1181" s="22" t="s">
        <v>2365</v>
      </c>
      <c r="C1181" s="22" t="s">
        <v>82</v>
      </c>
      <c r="D1181" s="26">
        <v>45997.0</v>
      </c>
      <c r="E1181" s="22" t="s">
        <v>177</v>
      </c>
      <c r="F1181" s="22" t="s">
        <v>111</v>
      </c>
      <c r="G1181" s="22" t="s">
        <v>2523</v>
      </c>
      <c r="H1181" s="22" t="s">
        <v>679</v>
      </c>
      <c r="I1181" s="22">
        <v>1.0465120190787E13</v>
      </c>
      <c r="J1181" s="22" t="s">
        <v>2367</v>
      </c>
      <c r="K1181" s="24"/>
      <c r="L1181" s="22" t="s">
        <v>683</v>
      </c>
      <c r="M1181" s="22">
        <v>1.0</v>
      </c>
      <c r="N1181" s="22" t="s">
        <v>164</v>
      </c>
      <c r="O1181" s="22" t="s">
        <v>165</v>
      </c>
      <c r="P1181" s="24"/>
      <c r="Q1181" s="22" t="s">
        <v>90</v>
      </c>
      <c r="R1181" s="22">
        <v>3.2765341270339E13</v>
      </c>
      <c r="S1181" s="24"/>
      <c r="T1181" s="24"/>
      <c r="U1181" s="24"/>
      <c r="V1181" s="22" t="s">
        <v>105</v>
      </c>
      <c r="W1181" s="33"/>
      <c r="X1181" s="33"/>
      <c r="Y1181" s="30"/>
      <c r="Z1181" s="30"/>
      <c r="AA1181" s="33"/>
      <c r="AB1181" s="33"/>
      <c r="AC1181" s="30"/>
      <c r="AD1181" s="30"/>
      <c r="AE1181" s="33"/>
      <c r="AF1181" s="31"/>
      <c r="AG1181" s="30"/>
      <c r="AH1181" s="30"/>
      <c r="AI1181" s="31"/>
      <c r="AJ1181" s="31"/>
      <c r="AK1181" s="32"/>
    </row>
    <row r="1182">
      <c r="A1182" s="21" t="s">
        <v>1527</v>
      </c>
      <c r="B1182" s="22" t="s">
        <v>450</v>
      </c>
      <c r="C1182" s="22" t="s">
        <v>82</v>
      </c>
      <c r="D1182" s="26">
        <v>45997.0</v>
      </c>
      <c r="E1182" s="22" t="s">
        <v>134</v>
      </c>
      <c r="F1182" s="22" t="s">
        <v>451</v>
      </c>
      <c r="G1182" s="22" t="s">
        <v>2524</v>
      </c>
      <c r="H1182" s="22" t="s">
        <v>1527</v>
      </c>
      <c r="I1182" s="22">
        <v>1.0465139065155E13</v>
      </c>
      <c r="J1182" s="22" t="s">
        <v>453</v>
      </c>
      <c r="K1182" s="24"/>
      <c r="L1182" s="22" t="s">
        <v>1531</v>
      </c>
      <c r="M1182" s="22">
        <v>1.0</v>
      </c>
      <c r="N1182" s="22" t="s">
        <v>1277</v>
      </c>
      <c r="O1182" s="22" t="s">
        <v>1278</v>
      </c>
      <c r="P1182" s="24"/>
      <c r="Q1182" s="22" t="s">
        <v>90</v>
      </c>
      <c r="R1182" s="22">
        <v>3.2765381509443E13</v>
      </c>
      <c r="S1182" s="24"/>
      <c r="T1182" s="24"/>
      <c r="U1182" s="24"/>
      <c r="V1182" s="22" t="s">
        <v>105</v>
      </c>
      <c r="W1182" s="33"/>
      <c r="X1182" s="33"/>
      <c r="Y1182" s="30"/>
      <c r="Z1182" s="30"/>
      <c r="AA1182" s="33"/>
      <c r="AB1182" s="33"/>
      <c r="AC1182" s="30"/>
      <c r="AD1182" s="30"/>
      <c r="AE1182" s="33"/>
      <c r="AF1182" s="31"/>
      <c r="AG1182" s="30"/>
      <c r="AH1182" s="30"/>
      <c r="AI1182" s="31"/>
      <c r="AJ1182" s="31"/>
      <c r="AK1182" s="32"/>
    </row>
    <row r="1183">
      <c r="A1183" s="21" t="s">
        <v>375</v>
      </c>
      <c r="B1183" s="22" t="s">
        <v>2525</v>
      </c>
      <c r="C1183" s="22" t="s">
        <v>82</v>
      </c>
      <c r="D1183" s="23">
        <v>46004.0</v>
      </c>
      <c r="E1183" s="22" t="s">
        <v>138</v>
      </c>
      <c r="F1183" s="22" t="s">
        <v>377</v>
      </c>
      <c r="G1183" s="22" t="s">
        <v>2526</v>
      </c>
      <c r="H1183" s="22" t="s">
        <v>375</v>
      </c>
      <c r="I1183" s="22">
        <v>1.0465141424451E13</v>
      </c>
      <c r="J1183" s="22" t="s">
        <v>2527</v>
      </c>
      <c r="K1183" s="24"/>
      <c r="L1183" s="22" t="s">
        <v>380</v>
      </c>
      <c r="M1183" s="22">
        <v>1.0</v>
      </c>
      <c r="N1183" s="22" t="s">
        <v>381</v>
      </c>
      <c r="O1183" s="22" t="s">
        <v>382</v>
      </c>
      <c r="P1183" s="24"/>
      <c r="Q1183" s="22" t="s">
        <v>90</v>
      </c>
      <c r="R1183" s="22">
        <v>3.2765385736515E13</v>
      </c>
      <c r="S1183" s="24"/>
      <c r="T1183" s="24"/>
      <c r="U1183" s="24"/>
      <c r="V1183" s="22" t="s">
        <v>55</v>
      </c>
      <c r="W1183" s="33"/>
      <c r="X1183" s="33"/>
      <c r="Y1183" s="30"/>
      <c r="Z1183" s="30"/>
      <c r="AA1183" s="33"/>
      <c r="AB1183" s="33"/>
      <c r="AC1183" s="30"/>
      <c r="AD1183" s="30"/>
      <c r="AE1183" s="33"/>
      <c r="AF1183" s="31"/>
      <c r="AG1183" s="30"/>
      <c r="AH1183" s="30"/>
      <c r="AI1183" s="31"/>
      <c r="AJ1183" s="31"/>
      <c r="AK1183" s="32"/>
    </row>
    <row r="1184">
      <c r="A1184" s="21" t="s">
        <v>401</v>
      </c>
      <c r="B1184" s="22" t="s">
        <v>770</v>
      </c>
      <c r="C1184" s="22" t="s">
        <v>82</v>
      </c>
      <c r="D1184" s="26">
        <v>45997.0</v>
      </c>
      <c r="E1184" s="22" t="s">
        <v>181</v>
      </c>
      <c r="F1184" s="22" t="s">
        <v>319</v>
      </c>
      <c r="G1184" s="22" t="s">
        <v>2528</v>
      </c>
      <c r="H1184" s="22" t="s">
        <v>401</v>
      </c>
      <c r="I1184" s="22">
        <v>1.0465162494275E13</v>
      </c>
      <c r="J1184" s="22" t="s">
        <v>772</v>
      </c>
      <c r="K1184" s="24"/>
      <c r="L1184" s="22" t="s">
        <v>403</v>
      </c>
      <c r="M1184" s="22">
        <v>1.0</v>
      </c>
      <c r="N1184" s="22" t="s">
        <v>404</v>
      </c>
      <c r="O1184" s="22" t="s">
        <v>405</v>
      </c>
      <c r="P1184" s="24"/>
      <c r="Q1184" s="22" t="s">
        <v>90</v>
      </c>
      <c r="R1184" s="22">
        <v>3.2765430759747E13</v>
      </c>
      <c r="S1184" s="24"/>
      <c r="T1184" s="24"/>
      <c r="U1184" s="24"/>
      <c r="V1184" s="22" t="s">
        <v>127</v>
      </c>
      <c r="W1184" s="33"/>
      <c r="X1184" s="33"/>
      <c r="Y1184" s="30"/>
      <c r="Z1184" s="30"/>
      <c r="AA1184" s="33"/>
      <c r="AB1184" s="33"/>
      <c r="AC1184" s="30"/>
      <c r="AD1184" s="30"/>
      <c r="AE1184" s="33"/>
      <c r="AF1184" s="31"/>
      <c r="AG1184" s="30"/>
      <c r="AH1184" s="30"/>
      <c r="AI1184" s="31"/>
      <c r="AJ1184" s="31"/>
      <c r="AK1184" s="32"/>
    </row>
    <row r="1185">
      <c r="A1185" s="21" t="s">
        <v>879</v>
      </c>
      <c r="B1185" s="22" t="s">
        <v>868</v>
      </c>
      <c r="C1185" s="22" t="s">
        <v>273</v>
      </c>
      <c r="D1185" s="26">
        <v>45998.0</v>
      </c>
      <c r="E1185" s="22" t="s">
        <v>149</v>
      </c>
      <c r="F1185" s="22" t="s">
        <v>869</v>
      </c>
      <c r="G1185" s="22" t="s">
        <v>2529</v>
      </c>
      <c r="H1185" s="22" t="s">
        <v>879</v>
      </c>
      <c r="I1185" s="22">
        <v>1.0465162723651E13</v>
      </c>
      <c r="J1185" s="22" t="s">
        <v>871</v>
      </c>
      <c r="K1185" s="24"/>
      <c r="L1185" s="22" t="s">
        <v>881</v>
      </c>
      <c r="M1185" s="22">
        <v>1.0</v>
      </c>
      <c r="N1185" s="22" t="s">
        <v>882</v>
      </c>
      <c r="O1185" s="22" t="s">
        <v>883</v>
      </c>
      <c r="P1185" s="24"/>
      <c r="Q1185" s="22" t="s">
        <v>90</v>
      </c>
      <c r="R1185" s="22">
        <v>3.2765431251267E13</v>
      </c>
      <c r="S1185" s="24"/>
      <c r="T1185" s="24"/>
      <c r="U1185" s="24"/>
      <c r="V1185" s="22" t="s">
        <v>127</v>
      </c>
      <c r="W1185" s="33"/>
      <c r="X1185" s="33"/>
      <c r="Y1185" s="30"/>
      <c r="Z1185" s="30"/>
      <c r="AA1185" s="33"/>
      <c r="AB1185" s="33"/>
      <c r="AC1185" s="30"/>
      <c r="AD1185" s="30"/>
      <c r="AE1185" s="33"/>
      <c r="AF1185" s="31"/>
      <c r="AG1185" s="30"/>
      <c r="AH1185" s="30"/>
      <c r="AI1185" s="31"/>
      <c r="AJ1185" s="31"/>
      <c r="AK1185" s="32"/>
    </row>
    <row r="1186">
      <c r="A1186" s="21" t="s">
        <v>408</v>
      </c>
      <c r="B1186" s="22" t="s">
        <v>800</v>
      </c>
      <c r="C1186" s="22" t="s">
        <v>82</v>
      </c>
      <c r="D1186" s="26">
        <v>45997.0</v>
      </c>
      <c r="E1186" s="22" t="s">
        <v>145</v>
      </c>
      <c r="F1186" s="22" t="s">
        <v>377</v>
      </c>
      <c r="G1186" s="22" t="s">
        <v>2530</v>
      </c>
      <c r="H1186" s="22" t="s">
        <v>408</v>
      </c>
      <c r="I1186" s="22">
        <v>1.0465178845507E13</v>
      </c>
      <c r="J1186" s="22" t="s">
        <v>802</v>
      </c>
      <c r="K1186" s="24"/>
      <c r="L1186" s="22" t="s">
        <v>412</v>
      </c>
      <c r="M1186" s="22">
        <v>1.0</v>
      </c>
      <c r="N1186" s="22" t="s">
        <v>413</v>
      </c>
      <c r="O1186" s="22" t="s">
        <v>414</v>
      </c>
      <c r="P1186" s="24"/>
      <c r="Q1186" s="22" t="s">
        <v>90</v>
      </c>
      <c r="R1186" s="22">
        <v>3.2765463068995E13</v>
      </c>
      <c r="S1186" s="24"/>
      <c r="T1186" s="24"/>
      <c r="U1186" s="24"/>
      <c r="V1186" s="22" t="s">
        <v>127</v>
      </c>
      <c r="W1186" s="33"/>
      <c r="X1186" s="33"/>
      <c r="Y1186" s="30"/>
      <c r="Z1186" s="30"/>
      <c r="AA1186" s="33"/>
      <c r="AB1186" s="33"/>
      <c r="AC1186" s="30"/>
      <c r="AD1186" s="30"/>
      <c r="AE1186" s="33"/>
      <c r="AF1186" s="31"/>
      <c r="AG1186" s="30"/>
      <c r="AH1186" s="30"/>
      <c r="AI1186" s="31"/>
      <c r="AJ1186" s="31"/>
      <c r="AK1186" s="32"/>
    </row>
    <row r="1187">
      <c r="A1187" s="21" t="s">
        <v>484</v>
      </c>
      <c r="B1187" s="22" t="s">
        <v>2024</v>
      </c>
      <c r="C1187" s="22" t="s">
        <v>202</v>
      </c>
      <c r="D1187" s="26">
        <v>45996.0</v>
      </c>
      <c r="E1187" s="22" t="s">
        <v>134</v>
      </c>
      <c r="F1187" s="22" t="s">
        <v>311</v>
      </c>
      <c r="G1187" s="22" t="s">
        <v>2531</v>
      </c>
      <c r="H1187" s="22" t="s">
        <v>484</v>
      </c>
      <c r="I1187" s="22">
        <v>1.0465189232963E13</v>
      </c>
      <c r="J1187" s="22" t="s">
        <v>2026</v>
      </c>
      <c r="K1187" s="24"/>
      <c r="L1187" s="22" t="s">
        <v>487</v>
      </c>
      <c r="M1187" s="22">
        <v>1.0</v>
      </c>
      <c r="N1187" s="22" t="s">
        <v>315</v>
      </c>
      <c r="O1187" s="22" t="s">
        <v>316</v>
      </c>
      <c r="P1187" s="24"/>
      <c r="Q1187" s="22" t="s">
        <v>90</v>
      </c>
      <c r="R1187" s="22">
        <v>3.2765485351235E13</v>
      </c>
      <c r="S1187" s="24"/>
      <c r="T1187" s="24"/>
      <c r="U1187" s="24"/>
      <c r="V1187" s="22" t="s">
        <v>127</v>
      </c>
      <c r="W1187" s="33"/>
      <c r="X1187" s="33"/>
      <c r="Y1187" s="30"/>
      <c r="Z1187" s="30"/>
      <c r="AA1187" s="33"/>
      <c r="AB1187" s="33"/>
      <c r="AC1187" s="30"/>
      <c r="AD1187" s="30"/>
      <c r="AE1187" s="33"/>
      <c r="AF1187" s="31"/>
      <c r="AG1187" s="30"/>
      <c r="AH1187" s="30"/>
      <c r="AI1187" s="31"/>
      <c r="AJ1187" s="31"/>
      <c r="AK1187" s="32"/>
    </row>
    <row r="1188">
      <c r="A1188" s="21" t="s">
        <v>92</v>
      </c>
      <c r="B1188" s="22" t="s">
        <v>1479</v>
      </c>
      <c r="C1188" s="22" t="s">
        <v>82</v>
      </c>
      <c r="D1188" s="26">
        <v>45997.0</v>
      </c>
      <c r="E1188" s="22" t="s">
        <v>138</v>
      </c>
      <c r="F1188" s="22" t="s">
        <v>83</v>
      </c>
      <c r="G1188" s="22" t="s">
        <v>2532</v>
      </c>
      <c r="H1188" s="22" t="s">
        <v>92</v>
      </c>
      <c r="I1188" s="22">
        <v>1.0465209942339E13</v>
      </c>
      <c r="J1188" s="22" t="s">
        <v>1481</v>
      </c>
      <c r="K1188" s="24"/>
      <c r="L1188" s="22" t="s">
        <v>94</v>
      </c>
      <c r="M1188" s="22">
        <v>1.0</v>
      </c>
      <c r="N1188" s="22" t="s">
        <v>87</v>
      </c>
      <c r="O1188" s="22" t="s">
        <v>88</v>
      </c>
      <c r="P1188" s="24"/>
      <c r="Q1188" s="22" t="s">
        <v>90</v>
      </c>
      <c r="R1188" s="22">
        <v>3.2765528867139E13</v>
      </c>
      <c r="S1188" s="24"/>
      <c r="T1188" s="24"/>
      <c r="U1188" s="24"/>
      <c r="V1188" s="22" t="s">
        <v>95</v>
      </c>
      <c r="W1188" s="33"/>
      <c r="X1188" s="33"/>
      <c r="Y1188" s="30"/>
      <c r="Z1188" s="30"/>
      <c r="AA1188" s="33"/>
      <c r="AB1188" s="33"/>
      <c r="AC1188" s="30"/>
      <c r="AD1188" s="30"/>
      <c r="AE1188" s="33"/>
      <c r="AF1188" s="31"/>
      <c r="AG1188" s="30"/>
      <c r="AH1188" s="30"/>
      <c r="AI1188" s="31"/>
      <c r="AJ1188" s="31"/>
      <c r="AK1188" s="32"/>
    </row>
    <row r="1189">
      <c r="A1189" s="21" t="s">
        <v>1554</v>
      </c>
      <c r="B1189" s="22" t="s">
        <v>2533</v>
      </c>
      <c r="C1189" s="22" t="s">
        <v>82</v>
      </c>
      <c r="D1189" s="26">
        <v>45997.0</v>
      </c>
      <c r="E1189" s="22" t="s">
        <v>734</v>
      </c>
      <c r="F1189" s="22" t="s">
        <v>1466</v>
      </c>
      <c r="G1189" s="22" t="s">
        <v>2534</v>
      </c>
      <c r="H1189" s="22" t="s">
        <v>1554</v>
      </c>
      <c r="I1189" s="22">
        <v>1.0465211744579E13</v>
      </c>
      <c r="J1189" s="22" t="s">
        <v>2535</v>
      </c>
      <c r="K1189" s="24"/>
      <c r="L1189" s="22" t="s">
        <v>1556</v>
      </c>
      <c r="M1189" s="22">
        <v>1.0</v>
      </c>
      <c r="N1189" s="22" t="s">
        <v>1470</v>
      </c>
      <c r="O1189" s="22" t="s">
        <v>1471</v>
      </c>
      <c r="P1189" s="24"/>
      <c r="Q1189" s="22" t="s">
        <v>90</v>
      </c>
      <c r="R1189" s="22">
        <v>3.2765532045635E13</v>
      </c>
      <c r="S1189" s="24"/>
      <c r="T1189" s="24"/>
      <c r="U1189" s="24"/>
      <c r="V1189" s="22" t="s">
        <v>91</v>
      </c>
      <c r="W1189" s="33"/>
      <c r="X1189" s="33"/>
      <c r="Y1189" s="30"/>
      <c r="Z1189" s="30"/>
      <c r="AA1189" s="33"/>
      <c r="AB1189" s="33"/>
      <c r="AC1189" s="30"/>
      <c r="AD1189" s="30"/>
      <c r="AE1189" s="33"/>
      <c r="AF1189" s="31"/>
      <c r="AG1189" s="30"/>
      <c r="AH1189" s="30"/>
      <c r="AI1189" s="31"/>
      <c r="AJ1189" s="31"/>
      <c r="AK1189" s="32"/>
    </row>
    <row r="1190">
      <c r="A1190" s="21" t="s">
        <v>602</v>
      </c>
      <c r="B1190" s="22" t="s">
        <v>1576</v>
      </c>
      <c r="C1190" s="22" t="s">
        <v>82</v>
      </c>
      <c r="D1190" s="26">
        <v>45997.0</v>
      </c>
      <c r="E1190" s="22" t="s">
        <v>1117</v>
      </c>
      <c r="F1190" s="22" t="s">
        <v>605</v>
      </c>
      <c r="G1190" s="22" t="s">
        <v>2536</v>
      </c>
      <c r="H1190" s="22" t="s">
        <v>602</v>
      </c>
      <c r="I1190" s="22">
        <v>1.0465218134339E13</v>
      </c>
      <c r="J1190" s="22" t="s">
        <v>1578</v>
      </c>
      <c r="K1190" s="24"/>
      <c r="L1190" s="22" t="s">
        <v>608</v>
      </c>
      <c r="M1190" s="22">
        <v>1.0</v>
      </c>
      <c r="N1190" s="22" t="s">
        <v>609</v>
      </c>
      <c r="O1190" s="22" t="s">
        <v>610</v>
      </c>
      <c r="P1190" s="24"/>
      <c r="Q1190" s="22" t="s">
        <v>90</v>
      </c>
      <c r="R1190" s="22">
        <v>3.2765544071491E13</v>
      </c>
      <c r="S1190" s="24"/>
      <c r="T1190" s="24"/>
      <c r="U1190" s="24"/>
      <c r="V1190" s="22" t="s">
        <v>54</v>
      </c>
      <c r="W1190" s="33"/>
      <c r="X1190" s="33"/>
      <c r="Y1190" s="30"/>
      <c r="Z1190" s="30"/>
      <c r="AA1190" s="33"/>
      <c r="AB1190" s="33"/>
      <c r="AC1190" s="30"/>
      <c r="AD1190" s="30"/>
      <c r="AE1190" s="33"/>
      <c r="AF1190" s="31"/>
      <c r="AG1190" s="30"/>
      <c r="AH1190" s="30"/>
      <c r="AI1190" s="31"/>
      <c r="AJ1190" s="31"/>
      <c r="AK1190" s="32"/>
    </row>
    <row r="1191">
      <c r="A1191" s="21" t="s">
        <v>495</v>
      </c>
      <c r="B1191" s="22" t="s">
        <v>1356</v>
      </c>
      <c r="C1191" s="22" t="s">
        <v>273</v>
      </c>
      <c r="D1191" s="23">
        <v>45991.0</v>
      </c>
      <c r="E1191" s="22" t="s">
        <v>153</v>
      </c>
      <c r="F1191" s="22" t="s">
        <v>329</v>
      </c>
      <c r="G1191" s="22" t="s">
        <v>2537</v>
      </c>
      <c r="H1191" s="22" t="s">
        <v>495</v>
      </c>
      <c r="I1191" s="22">
        <v>1.0465242710339E13</v>
      </c>
      <c r="J1191" s="22" t="s">
        <v>1358</v>
      </c>
      <c r="K1191" s="24"/>
      <c r="L1191" s="22" t="s">
        <v>500</v>
      </c>
      <c r="M1191" s="22">
        <v>1.0</v>
      </c>
      <c r="N1191" s="22" t="s">
        <v>333</v>
      </c>
      <c r="O1191" s="22" t="s">
        <v>334</v>
      </c>
      <c r="P1191" s="24"/>
      <c r="Q1191" s="22" t="s">
        <v>90</v>
      </c>
      <c r="R1191" s="22">
        <v>3.2765596696899E13</v>
      </c>
      <c r="S1191" s="24"/>
      <c r="T1191" s="24"/>
      <c r="U1191" s="24"/>
      <c r="V1191" s="22" t="s">
        <v>54</v>
      </c>
      <c r="W1191" s="33"/>
      <c r="X1191" s="33"/>
      <c r="Y1191" s="30"/>
      <c r="Z1191" s="30"/>
      <c r="AA1191" s="33"/>
      <c r="AB1191" s="33"/>
      <c r="AC1191" s="30"/>
      <c r="AD1191" s="30"/>
      <c r="AE1191" s="33"/>
      <c r="AF1191" s="31"/>
      <c r="AG1191" s="30"/>
      <c r="AH1191" s="30"/>
      <c r="AI1191" s="31"/>
      <c r="AJ1191" s="31"/>
      <c r="AK1191" s="32"/>
    </row>
    <row r="1192">
      <c r="A1192" s="21" t="s">
        <v>664</v>
      </c>
      <c r="B1192" s="22" t="s">
        <v>471</v>
      </c>
      <c r="C1192" s="22" t="s">
        <v>82</v>
      </c>
      <c r="D1192" s="26">
        <v>45997.0</v>
      </c>
      <c r="E1192" s="22" t="s">
        <v>134</v>
      </c>
      <c r="F1192" s="22" t="s">
        <v>472</v>
      </c>
      <c r="G1192" s="22" t="s">
        <v>2538</v>
      </c>
      <c r="H1192" s="22" t="s">
        <v>664</v>
      </c>
      <c r="I1192" s="22">
        <v>1.0465261420867E13</v>
      </c>
      <c r="J1192" s="22" t="s">
        <v>474</v>
      </c>
      <c r="K1192" s="24"/>
      <c r="L1192" s="22" t="s">
        <v>668</v>
      </c>
      <c r="M1192" s="22">
        <v>1.0</v>
      </c>
      <c r="N1192" s="22" t="s">
        <v>534</v>
      </c>
      <c r="O1192" s="22" t="s">
        <v>535</v>
      </c>
      <c r="P1192" s="24"/>
      <c r="Q1192" s="22" t="s">
        <v>90</v>
      </c>
      <c r="R1192" s="22">
        <v>3.2765635133763E13</v>
      </c>
      <c r="S1192" s="24"/>
      <c r="T1192" s="24"/>
      <c r="U1192" s="24"/>
      <c r="V1192" s="22" t="s">
        <v>175</v>
      </c>
      <c r="W1192" s="33"/>
      <c r="X1192" s="33"/>
      <c r="Y1192" s="30"/>
      <c r="Z1192" s="30"/>
      <c r="AA1192" s="33"/>
      <c r="AB1192" s="33"/>
      <c r="AC1192" s="30"/>
      <c r="AD1192" s="30"/>
      <c r="AE1192" s="33"/>
      <c r="AF1192" s="31"/>
      <c r="AG1192" s="30"/>
      <c r="AH1192" s="30"/>
      <c r="AI1192" s="31"/>
      <c r="AJ1192" s="31"/>
      <c r="AK1192" s="32"/>
    </row>
    <row r="1193">
      <c r="A1193" s="21" t="s">
        <v>354</v>
      </c>
      <c r="B1193" s="22" t="s">
        <v>2248</v>
      </c>
      <c r="C1193" s="22" t="s">
        <v>273</v>
      </c>
      <c r="D1193" s="23">
        <v>45991.0</v>
      </c>
      <c r="E1193" s="22" t="s">
        <v>248</v>
      </c>
      <c r="F1193" s="22" t="s">
        <v>356</v>
      </c>
      <c r="G1193" s="22" t="s">
        <v>2539</v>
      </c>
      <c r="H1193" s="22" t="s">
        <v>354</v>
      </c>
      <c r="I1193" s="22">
        <v>1.0465276723523E13</v>
      </c>
      <c r="J1193" s="22" t="s">
        <v>2250</v>
      </c>
      <c r="K1193" s="24"/>
      <c r="L1193" s="22" t="s">
        <v>359</v>
      </c>
      <c r="M1193" s="22">
        <v>1.0</v>
      </c>
      <c r="N1193" s="22" t="s">
        <v>360</v>
      </c>
      <c r="O1193" s="22" t="s">
        <v>361</v>
      </c>
      <c r="P1193" s="24"/>
      <c r="Q1193" s="22" t="s">
        <v>90</v>
      </c>
      <c r="R1193" s="22">
        <v>3.2765667737923E13</v>
      </c>
      <c r="S1193" s="24"/>
      <c r="T1193" s="24"/>
      <c r="U1193" s="24"/>
      <c r="V1193" s="22" t="s">
        <v>54</v>
      </c>
      <c r="W1193" s="33"/>
      <c r="X1193" s="33"/>
      <c r="Y1193" s="30"/>
      <c r="Z1193" s="30"/>
      <c r="AA1193" s="33"/>
      <c r="AB1193" s="33"/>
      <c r="AC1193" s="30"/>
      <c r="AD1193" s="30"/>
      <c r="AE1193" s="33"/>
      <c r="AF1193" s="31"/>
      <c r="AG1193" s="30"/>
      <c r="AH1193" s="30"/>
      <c r="AI1193" s="31"/>
      <c r="AJ1193" s="31"/>
      <c r="AK1193" s="32"/>
    </row>
    <row r="1194">
      <c r="A1194" s="21" t="s">
        <v>362</v>
      </c>
      <c r="B1194" s="22" t="s">
        <v>2237</v>
      </c>
      <c r="C1194" s="22" t="s">
        <v>82</v>
      </c>
      <c r="D1194" s="26">
        <v>45997.0</v>
      </c>
      <c r="E1194" s="22" t="s">
        <v>439</v>
      </c>
      <c r="F1194" s="22" t="s">
        <v>278</v>
      </c>
      <c r="G1194" s="22" t="s">
        <v>2540</v>
      </c>
      <c r="H1194" s="22" t="s">
        <v>362</v>
      </c>
      <c r="I1194" s="22">
        <v>1.0465284915523E13</v>
      </c>
      <c r="J1194" s="22" t="s">
        <v>2239</v>
      </c>
      <c r="K1194" s="24"/>
      <c r="L1194" s="22" t="s">
        <v>366</v>
      </c>
      <c r="M1194" s="22">
        <v>1.0</v>
      </c>
      <c r="N1194" s="22" t="s">
        <v>282</v>
      </c>
      <c r="O1194" s="22" t="s">
        <v>283</v>
      </c>
      <c r="P1194" s="24"/>
      <c r="Q1194" s="22" t="s">
        <v>90</v>
      </c>
      <c r="R1194" s="22">
        <v>3.2765686448451E13</v>
      </c>
      <c r="S1194" s="24"/>
      <c r="T1194" s="24"/>
      <c r="U1194" s="24"/>
      <c r="V1194" s="22" t="s">
        <v>54</v>
      </c>
      <c r="W1194" s="33"/>
      <c r="X1194" s="33"/>
      <c r="Y1194" s="30"/>
      <c r="Z1194" s="30"/>
      <c r="AA1194" s="33"/>
      <c r="AB1194" s="33"/>
      <c r="AC1194" s="30"/>
      <c r="AD1194" s="30"/>
      <c r="AE1194" s="33"/>
      <c r="AF1194" s="31"/>
      <c r="AG1194" s="30"/>
      <c r="AH1194" s="30"/>
      <c r="AI1194" s="31"/>
      <c r="AJ1194" s="31"/>
      <c r="AK1194" s="32"/>
    </row>
    <row r="1195">
      <c r="A1195" s="21" t="s">
        <v>458</v>
      </c>
      <c r="B1195" s="22" t="s">
        <v>2541</v>
      </c>
      <c r="C1195" s="22" t="s">
        <v>82</v>
      </c>
      <c r="D1195" s="23">
        <v>46004.0</v>
      </c>
      <c r="E1195" s="22" t="s">
        <v>734</v>
      </c>
      <c r="F1195" s="22" t="s">
        <v>341</v>
      </c>
      <c r="G1195" s="22" t="s">
        <v>2542</v>
      </c>
      <c r="H1195" s="22" t="s">
        <v>458</v>
      </c>
      <c r="I1195" s="22">
        <v>1.0465317126467E13</v>
      </c>
      <c r="J1195" s="22" t="s">
        <v>2543</v>
      </c>
      <c r="K1195" s="24"/>
      <c r="L1195" s="22" t="s">
        <v>462</v>
      </c>
      <c r="M1195" s="22">
        <v>1.0</v>
      </c>
      <c r="N1195" s="22" t="s">
        <v>345</v>
      </c>
      <c r="O1195" s="22" t="s">
        <v>346</v>
      </c>
      <c r="P1195" s="24"/>
      <c r="Q1195" s="22" t="s">
        <v>90</v>
      </c>
      <c r="R1195" s="22">
        <v>3.2765755294019E13</v>
      </c>
      <c r="S1195" s="24"/>
      <c r="T1195" s="24"/>
      <c r="U1195" s="24"/>
      <c r="V1195" s="22" t="s">
        <v>91</v>
      </c>
      <c r="W1195" s="33"/>
      <c r="X1195" s="33"/>
      <c r="Y1195" s="30"/>
      <c r="Z1195" s="30"/>
      <c r="AA1195" s="33"/>
      <c r="AB1195" s="33"/>
      <c r="AC1195" s="30"/>
      <c r="AD1195" s="30"/>
      <c r="AE1195" s="33"/>
      <c r="AF1195" s="31"/>
      <c r="AG1195" s="30"/>
      <c r="AH1195" s="30"/>
      <c r="AI1195" s="31"/>
      <c r="AJ1195" s="31"/>
      <c r="AK1195" s="32"/>
    </row>
    <row r="1196">
      <c r="A1196" s="21" t="s">
        <v>1151</v>
      </c>
      <c r="B1196" s="22" t="s">
        <v>741</v>
      </c>
      <c r="C1196" s="22" t="s">
        <v>82</v>
      </c>
      <c r="D1196" s="26">
        <v>45997.0</v>
      </c>
      <c r="E1196" s="22" t="s">
        <v>134</v>
      </c>
      <c r="F1196" s="22" t="s">
        <v>303</v>
      </c>
      <c r="G1196" s="22" t="s">
        <v>2544</v>
      </c>
      <c r="H1196" s="22" t="s">
        <v>1151</v>
      </c>
      <c r="I1196" s="22">
        <v>1.0465346355523E13</v>
      </c>
      <c r="J1196" s="22" t="s">
        <v>743</v>
      </c>
      <c r="K1196" s="24"/>
      <c r="L1196" s="22" t="s">
        <v>1155</v>
      </c>
      <c r="M1196" s="22">
        <v>1.0</v>
      </c>
      <c r="N1196" s="22" t="s">
        <v>307</v>
      </c>
      <c r="O1196" s="22" t="s">
        <v>308</v>
      </c>
      <c r="P1196" s="24"/>
      <c r="Q1196" s="22" t="s">
        <v>90</v>
      </c>
      <c r="R1196" s="22">
        <v>3.2765819191619E13</v>
      </c>
      <c r="S1196" s="24"/>
      <c r="T1196" s="24"/>
      <c r="U1196" s="24"/>
      <c r="V1196" s="22" t="s">
        <v>54</v>
      </c>
      <c r="W1196" s="33"/>
      <c r="X1196" s="33"/>
      <c r="Y1196" s="30"/>
      <c r="Z1196" s="30"/>
      <c r="AA1196" s="33"/>
      <c r="AB1196" s="33"/>
      <c r="AC1196" s="30"/>
      <c r="AD1196" s="30"/>
      <c r="AE1196" s="33"/>
      <c r="AF1196" s="31"/>
      <c r="AG1196" s="30"/>
      <c r="AH1196" s="30"/>
      <c r="AI1196" s="31"/>
      <c r="AJ1196" s="31"/>
      <c r="AK1196" s="32"/>
    </row>
    <row r="1197">
      <c r="A1197" s="21" t="s">
        <v>689</v>
      </c>
      <c r="B1197" s="22" t="s">
        <v>512</v>
      </c>
      <c r="C1197" s="22" t="s">
        <v>82</v>
      </c>
      <c r="D1197" s="26">
        <v>45997.0</v>
      </c>
      <c r="E1197" s="22" t="s">
        <v>153</v>
      </c>
      <c r="F1197" s="22" t="s">
        <v>377</v>
      </c>
      <c r="G1197" s="22" t="s">
        <v>2545</v>
      </c>
      <c r="H1197" s="22" t="s">
        <v>689</v>
      </c>
      <c r="I1197" s="22">
        <v>1.0465348157763E13</v>
      </c>
      <c r="J1197" s="22" t="s">
        <v>514</v>
      </c>
      <c r="K1197" s="24"/>
      <c r="L1197" s="22" t="s">
        <v>691</v>
      </c>
      <c r="M1197" s="22">
        <v>1.0</v>
      </c>
      <c r="N1197" s="22" t="s">
        <v>413</v>
      </c>
      <c r="O1197" s="22" t="s">
        <v>414</v>
      </c>
      <c r="P1197" s="24"/>
      <c r="Q1197" s="22" t="s">
        <v>90</v>
      </c>
      <c r="R1197" s="22">
        <v>3.2765822107971E13</v>
      </c>
      <c r="S1197" s="24"/>
      <c r="T1197" s="24"/>
      <c r="U1197" s="24"/>
      <c r="V1197" s="22" t="s">
        <v>175</v>
      </c>
      <c r="W1197" s="33"/>
      <c r="X1197" s="33"/>
      <c r="Y1197" s="30"/>
      <c r="Z1197" s="30"/>
      <c r="AA1197" s="33"/>
      <c r="AB1197" s="33"/>
      <c r="AC1197" s="30"/>
      <c r="AD1197" s="30"/>
      <c r="AE1197" s="33"/>
      <c r="AF1197" s="31"/>
      <c r="AG1197" s="30"/>
      <c r="AH1197" s="30"/>
      <c r="AI1197" s="31"/>
      <c r="AJ1197" s="31"/>
      <c r="AK1197" s="32"/>
    </row>
    <row r="1198">
      <c r="A1198" s="21" t="s">
        <v>92</v>
      </c>
      <c r="B1198" s="22" t="s">
        <v>2546</v>
      </c>
      <c r="C1198" s="22" t="s">
        <v>82</v>
      </c>
      <c r="D1198" s="26">
        <v>45997.0</v>
      </c>
      <c r="E1198" s="22" t="s">
        <v>243</v>
      </c>
      <c r="F1198" s="22" t="s">
        <v>83</v>
      </c>
      <c r="G1198" s="22" t="s">
        <v>2547</v>
      </c>
      <c r="H1198" s="22" t="s">
        <v>92</v>
      </c>
      <c r="I1198" s="22">
        <v>1.0465365360963E13</v>
      </c>
      <c r="J1198" s="22" t="s">
        <v>2548</v>
      </c>
      <c r="K1198" s="24"/>
      <c r="L1198" s="22" t="s">
        <v>94</v>
      </c>
      <c r="M1198" s="22">
        <v>1.0</v>
      </c>
      <c r="N1198" s="22" t="s">
        <v>87</v>
      </c>
      <c r="O1198" s="22" t="s">
        <v>88</v>
      </c>
      <c r="P1198" s="24"/>
      <c r="Q1198" s="22" t="s">
        <v>90</v>
      </c>
      <c r="R1198" s="22">
        <v>3.2765858054467E13</v>
      </c>
      <c r="S1198" s="24"/>
      <c r="T1198" s="24"/>
      <c r="U1198" s="24"/>
      <c r="V1198" s="22" t="s">
        <v>95</v>
      </c>
      <c r="W1198" s="33"/>
      <c r="X1198" s="33"/>
      <c r="Y1198" s="30"/>
      <c r="Z1198" s="30"/>
      <c r="AA1198" s="33"/>
      <c r="AB1198" s="33"/>
      <c r="AC1198" s="30"/>
      <c r="AD1198" s="30"/>
      <c r="AE1198" s="33"/>
      <c r="AF1198" s="31"/>
      <c r="AG1198" s="30"/>
      <c r="AH1198" s="30"/>
      <c r="AI1198" s="31"/>
      <c r="AJ1198" s="31"/>
      <c r="AK1198" s="32"/>
    </row>
    <row r="1199">
      <c r="A1199" s="21" t="s">
        <v>92</v>
      </c>
      <c r="B1199" s="22" t="s">
        <v>2549</v>
      </c>
      <c r="C1199" s="22" t="s">
        <v>294</v>
      </c>
      <c r="D1199" s="26">
        <v>45992.0</v>
      </c>
      <c r="E1199" s="22" t="s">
        <v>134</v>
      </c>
      <c r="F1199" s="22" t="s">
        <v>83</v>
      </c>
      <c r="G1199" s="22" t="s">
        <v>2550</v>
      </c>
      <c r="H1199" s="22" t="s">
        <v>92</v>
      </c>
      <c r="I1199" s="22">
        <v>1.0465381318979E13</v>
      </c>
      <c r="J1199" s="22" t="s">
        <v>2551</v>
      </c>
      <c r="K1199" s="24"/>
      <c r="L1199" s="22" t="s">
        <v>94</v>
      </c>
      <c r="M1199" s="22">
        <v>1.0</v>
      </c>
      <c r="N1199" s="22" t="s">
        <v>87</v>
      </c>
      <c r="O1199" s="22" t="s">
        <v>88</v>
      </c>
      <c r="P1199" s="24"/>
      <c r="Q1199" s="22" t="s">
        <v>90</v>
      </c>
      <c r="R1199" s="22">
        <v>3.2765892428099E13</v>
      </c>
      <c r="S1199" s="24"/>
      <c r="T1199" s="24"/>
      <c r="U1199" s="24"/>
      <c r="V1199" s="22" t="s">
        <v>95</v>
      </c>
      <c r="W1199" s="33"/>
      <c r="X1199" s="33"/>
      <c r="Y1199" s="30"/>
      <c r="Z1199" s="30"/>
      <c r="AA1199" s="33"/>
      <c r="AB1199" s="33"/>
      <c r="AC1199" s="30"/>
      <c r="AD1199" s="30"/>
      <c r="AE1199" s="33"/>
      <c r="AF1199" s="31"/>
      <c r="AG1199" s="30"/>
      <c r="AH1199" s="30"/>
      <c r="AI1199" s="31"/>
      <c r="AJ1199" s="31"/>
      <c r="AK1199" s="32"/>
    </row>
    <row r="1200">
      <c r="A1200" s="21" t="s">
        <v>837</v>
      </c>
      <c r="B1200" s="22" t="s">
        <v>815</v>
      </c>
      <c r="C1200" s="22" t="s">
        <v>82</v>
      </c>
      <c r="D1200" s="26">
        <v>45997.0</v>
      </c>
      <c r="E1200" s="22" t="s">
        <v>187</v>
      </c>
      <c r="F1200" s="22" t="s">
        <v>698</v>
      </c>
      <c r="G1200" s="22" t="s">
        <v>2552</v>
      </c>
      <c r="H1200" s="22" t="s">
        <v>837</v>
      </c>
      <c r="I1200" s="22">
        <v>1.0465412317507E13</v>
      </c>
      <c r="J1200" s="22" t="s">
        <v>817</v>
      </c>
      <c r="K1200" s="24"/>
      <c r="L1200" s="22" t="s">
        <v>839</v>
      </c>
      <c r="M1200" s="22">
        <v>1.0</v>
      </c>
      <c r="N1200" s="22" t="s">
        <v>819</v>
      </c>
      <c r="O1200" s="22" t="s">
        <v>820</v>
      </c>
      <c r="P1200" s="24"/>
      <c r="Q1200" s="22" t="s">
        <v>90</v>
      </c>
      <c r="R1200" s="22">
        <v>3.2765959471427E13</v>
      </c>
      <c r="S1200" s="24"/>
      <c r="T1200" s="24"/>
      <c r="U1200" s="24"/>
      <c r="V1200" s="22" t="s">
        <v>105</v>
      </c>
      <c r="W1200" s="33"/>
      <c r="X1200" s="33"/>
      <c r="Y1200" s="30"/>
      <c r="Z1200" s="30"/>
      <c r="AA1200" s="33"/>
      <c r="AB1200" s="33"/>
      <c r="AC1200" s="30"/>
      <c r="AD1200" s="30"/>
      <c r="AE1200" s="33"/>
      <c r="AF1200" s="31"/>
      <c r="AG1200" s="30"/>
      <c r="AH1200" s="30"/>
      <c r="AI1200" s="31"/>
      <c r="AJ1200" s="31"/>
      <c r="AK1200" s="32"/>
    </row>
    <row r="1201">
      <c r="A1201" s="21" t="s">
        <v>80</v>
      </c>
      <c r="B1201" s="22" t="s">
        <v>2553</v>
      </c>
      <c r="C1201" s="22" t="s">
        <v>82</v>
      </c>
      <c r="D1201" s="26">
        <v>45997.0</v>
      </c>
      <c r="E1201" s="22" t="s">
        <v>252</v>
      </c>
      <c r="F1201" s="22" t="s">
        <v>83</v>
      </c>
      <c r="G1201" s="22" t="s">
        <v>2554</v>
      </c>
      <c r="H1201" s="22" t="s">
        <v>80</v>
      </c>
      <c r="I1201" s="22">
        <v>1.0465457930563E13</v>
      </c>
      <c r="J1201" s="22" t="s">
        <v>2555</v>
      </c>
      <c r="K1201" s="24"/>
      <c r="L1201" s="22" t="s">
        <v>86</v>
      </c>
      <c r="M1201" s="22">
        <v>1.0</v>
      </c>
      <c r="N1201" s="22" t="s">
        <v>87</v>
      </c>
      <c r="O1201" s="22" t="s">
        <v>88</v>
      </c>
      <c r="P1201" s="24"/>
      <c r="Q1201" s="22" t="s">
        <v>90</v>
      </c>
      <c r="R1201" s="22">
        <v>3.2766059446595E13</v>
      </c>
      <c r="S1201" s="24"/>
      <c r="T1201" s="24"/>
      <c r="U1201" s="24"/>
      <c r="V1201" s="22" t="s">
        <v>91</v>
      </c>
      <c r="W1201" s="33"/>
      <c r="X1201" s="33"/>
      <c r="Y1201" s="30"/>
      <c r="Z1201" s="30"/>
      <c r="AA1201" s="33"/>
      <c r="AB1201" s="33"/>
      <c r="AC1201" s="30"/>
      <c r="AD1201" s="30"/>
      <c r="AE1201" s="33"/>
      <c r="AF1201" s="31"/>
      <c r="AG1201" s="30"/>
      <c r="AH1201" s="30"/>
      <c r="AI1201" s="31"/>
      <c r="AJ1201" s="31"/>
      <c r="AK1201" s="32"/>
    </row>
    <row r="1202">
      <c r="A1202" s="21" t="s">
        <v>1640</v>
      </c>
      <c r="B1202" s="22" t="s">
        <v>2556</v>
      </c>
      <c r="C1202" s="22" t="s">
        <v>82</v>
      </c>
      <c r="D1202" s="26">
        <v>45997.0</v>
      </c>
      <c r="E1202" s="22" t="s">
        <v>841</v>
      </c>
      <c r="F1202" s="22" t="s">
        <v>1466</v>
      </c>
      <c r="G1202" s="22" t="s">
        <v>2557</v>
      </c>
      <c r="H1202" s="22" t="s">
        <v>1640</v>
      </c>
      <c r="I1202" s="22">
        <v>1.0465465467203E13</v>
      </c>
      <c r="J1202" s="22" t="s">
        <v>2558</v>
      </c>
      <c r="K1202" s="24"/>
      <c r="L1202" s="22" t="s">
        <v>1642</v>
      </c>
      <c r="M1202" s="22">
        <v>1.0</v>
      </c>
      <c r="N1202" s="22" t="s">
        <v>1628</v>
      </c>
      <c r="O1202" s="22" t="s">
        <v>1629</v>
      </c>
      <c r="P1202" s="24"/>
      <c r="Q1202" s="22" t="s">
        <v>90</v>
      </c>
      <c r="R1202" s="22">
        <v>3.2766074618179E13</v>
      </c>
      <c r="S1202" s="24"/>
      <c r="T1202" s="24"/>
      <c r="U1202" s="24"/>
      <c r="V1202" s="22" t="s">
        <v>127</v>
      </c>
      <c r="W1202" s="33"/>
      <c r="X1202" s="33"/>
      <c r="Y1202" s="30"/>
      <c r="Z1202" s="30"/>
      <c r="AA1202" s="33"/>
      <c r="AB1202" s="33"/>
      <c r="AC1202" s="30"/>
      <c r="AD1202" s="30"/>
      <c r="AE1202" s="33"/>
      <c r="AF1202" s="31"/>
      <c r="AG1202" s="30"/>
      <c r="AH1202" s="30"/>
      <c r="AI1202" s="31"/>
      <c r="AJ1202" s="31"/>
      <c r="AK1202" s="32"/>
    </row>
    <row r="1203">
      <c r="A1203" s="21" t="s">
        <v>209</v>
      </c>
      <c r="B1203" s="22" t="s">
        <v>680</v>
      </c>
      <c r="C1203" s="22" t="s">
        <v>82</v>
      </c>
      <c r="D1203" s="26">
        <v>45997.0</v>
      </c>
      <c r="E1203" s="22" t="s">
        <v>219</v>
      </c>
      <c r="F1203" s="22" t="s">
        <v>111</v>
      </c>
      <c r="G1203" s="22" t="s">
        <v>2559</v>
      </c>
      <c r="H1203" s="22" t="s">
        <v>209</v>
      </c>
      <c r="I1203" s="22">
        <v>1.0465474019651E13</v>
      </c>
      <c r="J1203" s="22" t="s">
        <v>682</v>
      </c>
      <c r="K1203" s="24"/>
      <c r="L1203" s="22" t="s">
        <v>214</v>
      </c>
      <c r="M1203" s="22">
        <v>1.0</v>
      </c>
      <c r="N1203" s="22" t="s">
        <v>115</v>
      </c>
      <c r="O1203" s="22" t="s">
        <v>116</v>
      </c>
      <c r="P1203" s="24"/>
      <c r="Q1203" s="22" t="s">
        <v>90</v>
      </c>
      <c r="R1203" s="22">
        <v>3.2766091166019E13</v>
      </c>
      <c r="S1203" s="24"/>
      <c r="T1203" s="24"/>
      <c r="U1203" s="24"/>
      <c r="V1203" s="22" t="s">
        <v>91</v>
      </c>
      <c r="W1203" s="33"/>
      <c r="X1203" s="33"/>
      <c r="Y1203" s="30"/>
      <c r="Z1203" s="30"/>
      <c r="AA1203" s="33"/>
      <c r="AB1203" s="33"/>
      <c r="AC1203" s="30"/>
      <c r="AD1203" s="30"/>
      <c r="AE1203" s="33"/>
      <c r="AF1203" s="31"/>
      <c r="AG1203" s="30"/>
      <c r="AH1203" s="30"/>
      <c r="AI1203" s="31"/>
      <c r="AJ1203" s="31"/>
      <c r="AK1203" s="32"/>
    </row>
    <row r="1204">
      <c r="A1204" s="21" t="s">
        <v>538</v>
      </c>
      <c r="B1204" s="22" t="s">
        <v>587</v>
      </c>
      <c r="C1204" s="22" t="s">
        <v>273</v>
      </c>
      <c r="D1204" s="26">
        <v>45998.0</v>
      </c>
      <c r="E1204" s="22" t="s">
        <v>153</v>
      </c>
      <c r="F1204" s="22" t="s">
        <v>369</v>
      </c>
      <c r="G1204" s="22" t="s">
        <v>2560</v>
      </c>
      <c r="H1204" s="22" t="s">
        <v>538</v>
      </c>
      <c r="I1204" s="22">
        <v>1.0465088012611E13</v>
      </c>
      <c r="J1204" s="22" t="s">
        <v>589</v>
      </c>
      <c r="K1204" s="24"/>
      <c r="L1204" s="22" t="s">
        <v>542</v>
      </c>
      <c r="M1204" s="22">
        <v>1.0</v>
      </c>
      <c r="N1204" s="22" t="s">
        <v>373</v>
      </c>
      <c r="O1204" s="22" t="s">
        <v>374</v>
      </c>
      <c r="P1204" s="24"/>
      <c r="Q1204" s="22" t="s">
        <v>90</v>
      </c>
      <c r="R1204" s="22">
        <v>3.2765273735491E13</v>
      </c>
      <c r="S1204" s="24"/>
      <c r="T1204" s="24"/>
      <c r="U1204" s="24"/>
      <c r="V1204" s="22" t="s">
        <v>91</v>
      </c>
      <c r="W1204" s="33"/>
      <c r="X1204" s="33"/>
      <c r="Y1204" s="30"/>
      <c r="Z1204" s="30"/>
      <c r="AA1204" s="33"/>
      <c r="AB1204" s="33"/>
      <c r="AC1204" s="30"/>
      <c r="AD1204" s="30"/>
      <c r="AE1204" s="33"/>
      <c r="AF1204" s="31"/>
      <c r="AG1204" s="30"/>
      <c r="AH1204" s="30"/>
      <c r="AI1204" s="31"/>
      <c r="AJ1204" s="31"/>
      <c r="AK1204" s="32"/>
    </row>
    <row r="1205">
      <c r="A1205" s="21" t="s">
        <v>1224</v>
      </c>
      <c r="B1205" s="22" t="s">
        <v>1335</v>
      </c>
      <c r="C1205" s="22" t="s">
        <v>202</v>
      </c>
      <c r="D1205" s="26">
        <v>45996.0</v>
      </c>
      <c r="E1205" s="22" t="s">
        <v>196</v>
      </c>
      <c r="F1205" s="22" t="s">
        <v>717</v>
      </c>
      <c r="G1205" s="22" t="s">
        <v>2561</v>
      </c>
      <c r="H1205" s="22" t="s">
        <v>1224</v>
      </c>
      <c r="I1205" s="22">
        <v>1.0465100071235E13</v>
      </c>
      <c r="J1205" s="22" t="s">
        <v>1337</v>
      </c>
      <c r="K1205" s="24"/>
      <c r="L1205" s="22" t="s">
        <v>1228</v>
      </c>
      <c r="M1205" s="22">
        <v>1.0</v>
      </c>
      <c r="N1205" s="22" t="s">
        <v>721</v>
      </c>
      <c r="O1205" s="22" t="s">
        <v>722</v>
      </c>
      <c r="P1205" s="24"/>
      <c r="Q1205" s="22" t="s">
        <v>90</v>
      </c>
      <c r="R1205" s="22">
        <v>3.2765298016579E13</v>
      </c>
      <c r="S1205" s="24"/>
      <c r="T1205" s="24"/>
      <c r="U1205" s="24"/>
      <c r="V1205" s="22" t="s">
        <v>91</v>
      </c>
      <c r="W1205" s="33"/>
      <c r="X1205" s="33"/>
      <c r="Y1205" s="30"/>
      <c r="Z1205" s="30"/>
      <c r="AA1205" s="33"/>
      <c r="AB1205" s="33"/>
      <c r="AC1205" s="30"/>
      <c r="AD1205" s="30"/>
      <c r="AE1205" s="33"/>
      <c r="AF1205" s="31"/>
      <c r="AG1205" s="30"/>
      <c r="AH1205" s="30"/>
      <c r="AI1205" s="31"/>
      <c r="AJ1205" s="31"/>
      <c r="AK1205" s="32"/>
    </row>
    <row r="1206">
      <c r="A1206" s="21" t="s">
        <v>124</v>
      </c>
      <c r="B1206" s="22" t="s">
        <v>2562</v>
      </c>
      <c r="C1206" s="22" t="s">
        <v>1284</v>
      </c>
      <c r="D1206" s="26">
        <v>45993.0</v>
      </c>
      <c r="E1206" s="22" t="s">
        <v>145</v>
      </c>
      <c r="F1206" s="22" t="s">
        <v>83</v>
      </c>
      <c r="G1206" s="22" t="s">
        <v>2563</v>
      </c>
      <c r="H1206" s="22" t="s">
        <v>124</v>
      </c>
      <c r="I1206" s="22">
        <v>1.0465100202307E13</v>
      </c>
      <c r="J1206" s="22" t="s">
        <v>2564</v>
      </c>
      <c r="K1206" s="24"/>
      <c r="L1206" s="22" t="s">
        <v>126</v>
      </c>
      <c r="M1206" s="22">
        <v>1.0</v>
      </c>
      <c r="N1206" s="22" t="s">
        <v>103</v>
      </c>
      <c r="O1206" s="22" t="s">
        <v>104</v>
      </c>
      <c r="P1206" s="24"/>
      <c r="Q1206" s="22" t="s">
        <v>90</v>
      </c>
      <c r="R1206" s="22">
        <v>3.2765298245955E13</v>
      </c>
      <c r="S1206" s="24"/>
      <c r="T1206" s="24"/>
      <c r="U1206" s="24"/>
      <c r="V1206" s="22" t="s">
        <v>127</v>
      </c>
      <c r="W1206" s="33"/>
      <c r="X1206" s="33"/>
      <c r="Y1206" s="30"/>
      <c r="Z1206" s="30"/>
      <c r="AA1206" s="33"/>
      <c r="AB1206" s="33"/>
      <c r="AC1206" s="30"/>
      <c r="AD1206" s="30"/>
      <c r="AE1206" s="33"/>
      <c r="AF1206" s="31"/>
      <c r="AG1206" s="30"/>
      <c r="AH1206" s="30"/>
      <c r="AI1206" s="31"/>
      <c r="AJ1206" s="31"/>
      <c r="AK1206" s="32"/>
    </row>
    <row r="1207">
      <c r="A1207" s="21" t="s">
        <v>979</v>
      </c>
      <c r="B1207" s="22" t="s">
        <v>1576</v>
      </c>
      <c r="C1207" s="22" t="s">
        <v>82</v>
      </c>
      <c r="D1207" s="26">
        <v>45997.0</v>
      </c>
      <c r="E1207" s="22" t="s">
        <v>1117</v>
      </c>
      <c r="F1207" s="22" t="s">
        <v>605</v>
      </c>
      <c r="G1207" s="22" t="s">
        <v>2565</v>
      </c>
      <c r="H1207" s="22" t="s">
        <v>979</v>
      </c>
      <c r="I1207" s="22">
        <v>1.0465492238659E13</v>
      </c>
      <c r="J1207" s="22" t="s">
        <v>1578</v>
      </c>
      <c r="K1207" s="24"/>
      <c r="L1207" s="22" t="s">
        <v>984</v>
      </c>
      <c r="M1207" s="22">
        <v>1.0</v>
      </c>
      <c r="N1207" s="22" t="s">
        <v>609</v>
      </c>
      <c r="O1207" s="22" t="s">
        <v>610</v>
      </c>
      <c r="P1207" s="24"/>
      <c r="Q1207" s="22" t="s">
        <v>90</v>
      </c>
      <c r="R1207" s="22">
        <v>3.2766129701187E13</v>
      </c>
      <c r="S1207" s="24"/>
      <c r="T1207" s="24"/>
      <c r="U1207" s="24"/>
      <c r="V1207" s="22" t="s">
        <v>55</v>
      </c>
      <c r="W1207" s="33"/>
      <c r="X1207" s="33"/>
      <c r="Y1207" s="30"/>
      <c r="Z1207" s="30"/>
      <c r="AA1207" s="33"/>
      <c r="AB1207" s="33"/>
      <c r="AC1207" s="30"/>
      <c r="AD1207" s="30"/>
      <c r="AE1207" s="33"/>
      <c r="AF1207" s="31"/>
      <c r="AG1207" s="30"/>
      <c r="AH1207" s="30"/>
      <c r="AI1207" s="31"/>
      <c r="AJ1207" s="31"/>
      <c r="AK1207" s="32"/>
    </row>
    <row r="1208">
      <c r="A1208" s="21" t="s">
        <v>185</v>
      </c>
      <c r="B1208" s="22" t="s">
        <v>2046</v>
      </c>
      <c r="C1208" s="22" t="s">
        <v>273</v>
      </c>
      <c r="D1208" s="23">
        <v>45991.0</v>
      </c>
      <c r="E1208" s="22" t="s">
        <v>168</v>
      </c>
      <c r="F1208" s="22" t="s">
        <v>111</v>
      </c>
      <c r="G1208" s="22" t="s">
        <v>2566</v>
      </c>
      <c r="H1208" s="22" t="s">
        <v>185</v>
      </c>
      <c r="I1208" s="22">
        <v>1.0465505050947E13</v>
      </c>
      <c r="J1208" s="22" t="s">
        <v>2048</v>
      </c>
      <c r="K1208" s="24"/>
      <c r="L1208" s="22" t="s">
        <v>190</v>
      </c>
      <c r="M1208" s="22">
        <v>1.0</v>
      </c>
      <c r="N1208" s="22" t="s">
        <v>115</v>
      </c>
      <c r="O1208" s="22" t="s">
        <v>116</v>
      </c>
      <c r="P1208" s="24"/>
      <c r="Q1208" s="22" t="s">
        <v>90</v>
      </c>
      <c r="R1208" s="22">
        <v>3.2766155227459E13</v>
      </c>
      <c r="S1208" s="24"/>
      <c r="T1208" s="24"/>
      <c r="U1208" s="24"/>
      <c r="V1208" s="22" t="s">
        <v>95</v>
      </c>
      <c r="W1208" s="33"/>
      <c r="X1208" s="33"/>
      <c r="Y1208" s="30"/>
      <c r="Z1208" s="30"/>
      <c r="AA1208" s="33"/>
      <c r="AB1208" s="33"/>
      <c r="AC1208" s="30"/>
      <c r="AD1208" s="30"/>
      <c r="AE1208" s="33"/>
      <c r="AF1208" s="31"/>
      <c r="AG1208" s="30"/>
      <c r="AH1208" s="30"/>
      <c r="AI1208" s="31"/>
      <c r="AJ1208" s="31"/>
      <c r="AK1208" s="32"/>
    </row>
    <row r="1209">
      <c r="A1209" s="21" t="s">
        <v>386</v>
      </c>
      <c r="B1209" s="22" t="s">
        <v>2024</v>
      </c>
      <c r="C1209" s="22" t="s">
        <v>202</v>
      </c>
      <c r="D1209" s="26">
        <v>45996.0</v>
      </c>
      <c r="E1209" s="22" t="s">
        <v>134</v>
      </c>
      <c r="F1209" s="22" t="s">
        <v>311</v>
      </c>
      <c r="G1209" s="22" t="s">
        <v>2567</v>
      </c>
      <c r="H1209" s="22" t="s">
        <v>386</v>
      </c>
      <c r="I1209" s="22">
        <v>1.0465513472323E13</v>
      </c>
      <c r="J1209" s="22" t="s">
        <v>2026</v>
      </c>
      <c r="K1209" s="24"/>
      <c r="L1209" s="22" t="s">
        <v>390</v>
      </c>
      <c r="M1209" s="22">
        <v>1.0</v>
      </c>
      <c r="N1209" s="22" t="s">
        <v>391</v>
      </c>
      <c r="O1209" s="22" t="s">
        <v>392</v>
      </c>
      <c r="P1209" s="24"/>
      <c r="Q1209" s="22" t="s">
        <v>90</v>
      </c>
      <c r="R1209" s="22">
        <v>3.2766172004675E13</v>
      </c>
      <c r="S1209" s="24"/>
      <c r="T1209" s="24"/>
      <c r="U1209" s="24"/>
      <c r="V1209" s="22" t="s">
        <v>55</v>
      </c>
      <c r="W1209" s="33"/>
      <c r="X1209" s="33"/>
      <c r="Y1209" s="30"/>
      <c r="Z1209" s="30"/>
      <c r="AA1209" s="33"/>
      <c r="AB1209" s="33"/>
      <c r="AC1209" s="30"/>
      <c r="AD1209" s="30"/>
      <c r="AE1209" s="33"/>
      <c r="AF1209" s="31"/>
      <c r="AG1209" s="30"/>
      <c r="AH1209" s="30"/>
      <c r="AI1209" s="31"/>
      <c r="AJ1209" s="31"/>
      <c r="AK1209" s="32"/>
    </row>
    <row r="1210">
      <c r="A1210" s="21" t="s">
        <v>96</v>
      </c>
      <c r="B1210" s="22" t="s">
        <v>2391</v>
      </c>
      <c r="C1210" s="22" t="s">
        <v>202</v>
      </c>
      <c r="D1210" s="26">
        <v>45996.0</v>
      </c>
      <c r="E1210" s="22" t="s">
        <v>134</v>
      </c>
      <c r="F1210" s="22" t="s">
        <v>83</v>
      </c>
      <c r="G1210" s="22" t="s">
        <v>2568</v>
      </c>
      <c r="H1210" s="22" t="s">
        <v>96</v>
      </c>
      <c r="I1210" s="22">
        <v>1.0465518321987E13</v>
      </c>
      <c r="J1210" s="22" t="s">
        <v>2393</v>
      </c>
      <c r="K1210" s="24"/>
      <c r="L1210" s="22" t="s">
        <v>98</v>
      </c>
      <c r="M1210" s="22">
        <v>1.0</v>
      </c>
      <c r="N1210" s="22" t="s">
        <v>87</v>
      </c>
      <c r="O1210" s="22" t="s">
        <v>88</v>
      </c>
      <c r="P1210" s="24"/>
      <c r="Q1210" s="22" t="s">
        <v>90</v>
      </c>
      <c r="R1210" s="22">
        <v>3.2766181835075E13</v>
      </c>
      <c r="S1210" s="24"/>
      <c r="T1210" s="24"/>
      <c r="U1210" s="24"/>
      <c r="V1210" s="22" t="s">
        <v>55</v>
      </c>
      <c r="W1210" s="33"/>
      <c r="X1210" s="33"/>
      <c r="Y1210" s="30"/>
      <c r="Z1210" s="30"/>
      <c r="AA1210" s="33"/>
      <c r="AB1210" s="33"/>
      <c r="AC1210" s="30"/>
      <c r="AD1210" s="30"/>
      <c r="AE1210" s="33"/>
      <c r="AF1210" s="31"/>
      <c r="AG1210" s="30"/>
      <c r="AH1210" s="30"/>
      <c r="AI1210" s="31"/>
      <c r="AJ1210" s="31"/>
      <c r="AK1210" s="32"/>
    </row>
    <row r="1211">
      <c r="A1211" s="21" t="s">
        <v>386</v>
      </c>
      <c r="B1211" s="22" t="s">
        <v>1042</v>
      </c>
      <c r="C1211" s="22" t="s">
        <v>287</v>
      </c>
      <c r="D1211" s="26">
        <v>45994.0</v>
      </c>
      <c r="E1211" s="22" t="s">
        <v>134</v>
      </c>
      <c r="F1211" s="22" t="s">
        <v>311</v>
      </c>
      <c r="G1211" s="22" t="s">
        <v>2569</v>
      </c>
      <c r="H1211" s="22" t="s">
        <v>386</v>
      </c>
      <c r="I1211" s="22">
        <v>1.0465524547907E13</v>
      </c>
      <c r="J1211" s="22" t="s">
        <v>1044</v>
      </c>
      <c r="K1211" s="24"/>
      <c r="L1211" s="22" t="s">
        <v>390</v>
      </c>
      <c r="M1211" s="22">
        <v>1.0</v>
      </c>
      <c r="N1211" s="22" t="s">
        <v>391</v>
      </c>
      <c r="O1211" s="22" t="s">
        <v>392</v>
      </c>
      <c r="P1211" s="24"/>
      <c r="Q1211" s="22" t="s">
        <v>90</v>
      </c>
      <c r="R1211" s="22">
        <v>3.2766195073347E13</v>
      </c>
      <c r="S1211" s="24"/>
      <c r="T1211" s="24"/>
      <c r="U1211" s="24"/>
      <c r="V1211" s="22" t="s">
        <v>55</v>
      </c>
      <c r="W1211" s="33"/>
      <c r="X1211" s="33"/>
      <c r="Y1211" s="30"/>
      <c r="Z1211" s="30"/>
      <c r="AA1211" s="33"/>
      <c r="AB1211" s="33"/>
      <c r="AC1211" s="30"/>
      <c r="AD1211" s="30"/>
      <c r="AE1211" s="33"/>
      <c r="AF1211" s="31"/>
      <c r="AG1211" s="30"/>
      <c r="AH1211" s="30"/>
      <c r="AI1211" s="31"/>
      <c r="AJ1211" s="31"/>
      <c r="AK1211" s="32"/>
    </row>
    <row r="1212">
      <c r="A1212" s="21" t="s">
        <v>99</v>
      </c>
      <c r="B1212" s="22" t="s">
        <v>1294</v>
      </c>
      <c r="C1212" s="22" t="s">
        <v>82</v>
      </c>
      <c r="D1212" s="26">
        <v>45997.0</v>
      </c>
      <c r="E1212" s="22" t="s">
        <v>145</v>
      </c>
      <c r="F1212" s="22" t="s">
        <v>83</v>
      </c>
      <c r="G1212" s="22" t="s">
        <v>2570</v>
      </c>
      <c r="H1212" s="22" t="s">
        <v>99</v>
      </c>
      <c r="I1212" s="22">
        <v>1.0465526579523E13</v>
      </c>
      <c r="J1212" s="22" t="s">
        <v>1296</v>
      </c>
      <c r="K1212" s="24"/>
      <c r="L1212" s="22" t="s">
        <v>102</v>
      </c>
      <c r="M1212" s="22">
        <v>1.0</v>
      </c>
      <c r="N1212" s="22" t="s">
        <v>103</v>
      </c>
      <c r="O1212" s="22" t="s">
        <v>104</v>
      </c>
      <c r="P1212" s="24"/>
      <c r="Q1212" s="22" t="s">
        <v>90</v>
      </c>
      <c r="R1212" s="22">
        <v>3.2766198743363E13</v>
      </c>
      <c r="S1212" s="24"/>
      <c r="T1212" s="24"/>
      <c r="U1212" s="24"/>
      <c r="V1212" s="22" t="s">
        <v>105</v>
      </c>
      <c r="W1212" s="33"/>
      <c r="X1212" s="33"/>
      <c r="Y1212" s="30"/>
      <c r="Z1212" s="30"/>
      <c r="AA1212" s="33"/>
      <c r="AB1212" s="33"/>
      <c r="AC1212" s="30"/>
      <c r="AD1212" s="30"/>
      <c r="AE1212" s="33"/>
      <c r="AF1212" s="31"/>
      <c r="AG1212" s="30"/>
      <c r="AH1212" s="30"/>
      <c r="AI1212" s="31"/>
      <c r="AJ1212" s="31"/>
      <c r="AK1212" s="32"/>
    </row>
    <row r="1213">
      <c r="A1213" s="21" t="s">
        <v>327</v>
      </c>
      <c r="B1213" s="22" t="s">
        <v>1039</v>
      </c>
      <c r="C1213" s="22" t="s">
        <v>273</v>
      </c>
      <c r="D1213" s="23">
        <v>45991.0</v>
      </c>
      <c r="E1213" s="22" t="s">
        <v>248</v>
      </c>
      <c r="F1213" s="22" t="s">
        <v>329</v>
      </c>
      <c r="G1213" s="22" t="s">
        <v>2571</v>
      </c>
      <c r="H1213" s="22" t="s">
        <v>327</v>
      </c>
      <c r="I1213" s="22">
        <v>1.0465534935363E13</v>
      </c>
      <c r="J1213" s="22" t="s">
        <v>1041</v>
      </c>
      <c r="K1213" s="24"/>
      <c r="L1213" s="22" t="s">
        <v>332</v>
      </c>
      <c r="M1213" s="22">
        <v>1.0</v>
      </c>
      <c r="N1213" s="22" t="s">
        <v>333</v>
      </c>
      <c r="O1213" s="22" t="s">
        <v>334</v>
      </c>
      <c r="P1213" s="24"/>
      <c r="Q1213" s="22" t="s">
        <v>90</v>
      </c>
      <c r="R1213" s="22">
        <v>3.2766217027907E13</v>
      </c>
      <c r="S1213" s="24"/>
      <c r="T1213" s="24"/>
      <c r="U1213" s="24"/>
      <c r="V1213" s="22" t="s">
        <v>55</v>
      </c>
      <c r="W1213" s="33"/>
      <c r="X1213" s="33"/>
      <c r="Y1213" s="30"/>
      <c r="Z1213" s="30"/>
      <c r="AA1213" s="33"/>
      <c r="AB1213" s="33"/>
      <c r="AC1213" s="30"/>
      <c r="AD1213" s="30"/>
      <c r="AE1213" s="33"/>
      <c r="AF1213" s="31"/>
      <c r="AG1213" s="30"/>
      <c r="AH1213" s="30"/>
      <c r="AI1213" s="31"/>
      <c r="AJ1213" s="31"/>
      <c r="AK1213" s="32"/>
    </row>
    <row r="1214">
      <c r="A1214" s="21" t="s">
        <v>828</v>
      </c>
      <c r="B1214" s="22" t="s">
        <v>2572</v>
      </c>
      <c r="C1214" s="22" t="s">
        <v>82</v>
      </c>
      <c r="D1214" s="26">
        <v>45997.0</v>
      </c>
      <c r="E1214" s="22" t="s">
        <v>219</v>
      </c>
      <c r="F1214" s="22" t="s">
        <v>634</v>
      </c>
      <c r="G1214" s="22" t="s">
        <v>2573</v>
      </c>
      <c r="H1214" s="22" t="s">
        <v>828</v>
      </c>
      <c r="I1214" s="22">
        <v>1.0465535033667E13</v>
      </c>
      <c r="J1214" s="22" t="s">
        <v>2574</v>
      </c>
      <c r="K1214" s="24"/>
      <c r="L1214" s="22" t="s">
        <v>830</v>
      </c>
      <c r="M1214" s="22">
        <v>1.0</v>
      </c>
      <c r="N1214" s="22" t="s">
        <v>638</v>
      </c>
      <c r="O1214" s="22" t="s">
        <v>639</v>
      </c>
      <c r="P1214" s="24"/>
      <c r="Q1214" s="22" t="s">
        <v>90</v>
      </c>
      <c r="R1214" s="22">
        <v>3.2766217158979E13</v>
      </c>
      <c r="S1214" s="24"/>
      <c r="T1214" s="24"/>
      <c r="U1214" s="24"/>
      <c r="V1214" s="22" t="s">
        <v>95</v>
      </c>
      <c r="W1214" s="33"/>
      <c r="X1214" s="33"/>
      <c r="Y1214" s="30"/>
      <c r="Z1214" s="30"/>
      <c r="AA1214" s="33"/>
      <c r="AB1214" s="33"/>
      <c r="AC1214" s="30"/>
      <c r="AD1214" s="30"/>
      <c r="AE1214" s="33"/>
      <c r="AF1214" s="31"/>
      <c r="AG1214" s="30"/>
      <c r="AH1214" s="30"/>
      <c r="AI1214" s="31"/>
      <c r="AJ1214" s="31"/>
      <c r="AK1214" s="32"/>
    </row>
    <row r="1215">
      <c r="A1215" s="21" t="s">
        <v>1832</v>
      </c>
      <c r="B1215" s="22" t="s">
        <v>2169</v>
      </c>
      <c r="C1215" s="22" t="s">
        <v>82</v>
      </c>
      <c r="D1215" s="26">
        <v>45997.0</v>
      </c>
      <c r="E1215" s="22" t="s">
        <v>177</v>
      </c>
      <c r="F1215" s="22" t="s">
        <v>698</v>
      </c>
      <c r="G1215" s="22" t="s">
        <v>2575</v>
      </c>
      <c r="H1215" s="22" t="s">
        <v>1832</v>
      </c>
      <c r="I1215" s="22">
        <v>1.0465544339779E13</v>
      </c>
      <c r="J1215" s="22" t="s">
        <v>2171</v>
      </c>
      <c r="K1215" s="24"/>
      <c r="L1215" s="22" t="s">
        <v>1834</v>
      </c>
      <c r="M1215" s="22">
        <v>1.0</v>
      </c>
      <c r="N1215" s="22" t="s">
        <v>702</v>
      </c>
      <c r="O1215" s="22" t="s">
        <v>703</v>
      </c>
      <c r="P1215" s="24"/>
      <c r="Q1215" s="22" t="s">
        <v>90</v>
      </c>
      <c r="R1215" s="22">
        <v>3.2766235935043E13</v>
      </c>
      <c r="S1215" s="24"/>
      <c r="T1215" s="24"/>
      <c r="U1215" s="24"/>
      <c r="V1215" s="22" t="s">
        <v>91</v>
      </c>
      <c r="W1215" s="33"/>
      <c r="X1215" s="33"/>
      <c r="Y1215" s="30"/>
      <c r="Z1215" s="30"/>
      <c r="AA1215" s="33"/>
      <c r="AB1215" s="33"/>
      <c r="AC1215" s="30"/>
      <c r="AD1215" s="30"/>
      <c r="AE1215" s="33"/>
      <c r="AF1215" s="31"/>
      <c r="AG1215" s="30"/>
      <c r="AH1215" s="30"/>
      <c r="AI1215" s="31"/>
      <c r="AJ1215" s="31"/>
      <c r="AK1215" s="32"/>
    </row>
    <row r="1216">
      <c r="A1216" s="21" t="s">
        <v>863</v>
      </c>
      <c r="B1216" s="22" t="s">
        <v>815</v>
      </c>
      <c r="C1216" s="22" t="s">
        <v>82</v>
      </c>
      <c r="D1216" s="26">
        <v>45997.0</v>
      </c>
      <c r="E1216" s="22" t="s">
        <v>187</v>
      </c>
      <c r="F1216" s="22" t="s">
        <v>698</v>
      </c>
      <c r="G1216" s="22" t="s">
        <v>2576</v>
      </c>
      <c r="H1216" s="22" t="s">
        <v>863</v>
      </c>
      <c r="I1216" s="22">
        <v>1.0465545978179E13</v>
      </c>
      <c r="J1216" s="22" t="s">
        <v>817</v>
      </c>
      <c r="K1216" s="24"/>
      <c r="L1216" s="22" t="s">
        <v>865</v>
      </c>
      <c r="M1216" s="22">
        <v>1.0</v>
      </c>
      <c r="N1216" s="22" t="s">
        <v>819</v>
      </c>
      <c r="O1216" s="22" t="s">
        <v>820</v>
      </c>
      <c r="P1216" s="24"/>
      <c r="Q1216" s="22" t="s">
        <v>90</v>
      </c>
      <c r="R1216" s="22">
        <v>3.2766238982467E13</v>
      </c>
      <c r="S1216" s="24"/>
      <c r="T1216" s="24"/>
      <c r="U1216" s="24"/>
      <c r="V1216" s="22" t="s">
        <v>175</v>
      </c>
      <c r="W1216" s="33"/>
      <c r="X1216" s="33"/>
      <c r="Y1216" s="30"/>
      <c r="Z1216" s="30"/>
      <c r="AA1216" s="33"/>
      <c r="AB1216" s="33"/>
      <c r="AC1216" s="30"/>
      <c r="AD1216" s="30"/>
      <c r="AE1216" s="33"/>
      <c r="AF1216" s="31"/>
      <c r="AG1216" s="30"/>
      <c r="AH1216" s="30"/>
      <c r="AI1216" s="31"/>
      <c r="AJ1216" s="31"/>
      <c r="AK1216" s="32"/>
    </row>
    <row r="1217">
      <c r="A1217" s="21" t="s">
        <v>1832</v>
      </c>
      <c r="B1217" s="22" t="s">
        <v>815</v>
      </c>
      <c r="C1217" s="22" t="s">
        <v>82</v>
      </c>
      <c r="D1217" s="26">
        <v>45997.0</v>
      </c>
      <c r="E1217" s="22" t="s">
        <v>187</v>
      </c>
      <c r="F1217" s="22" t="s">
        <v>698</v>
      </c>
      <c r="G1217" s="22" t="s">
        <v>2577</v>
      </c>
      <c r="H1217" s="22" t="s">
        <v>1832</v>
      </c>
      <c r="I1217" s="22">
        <v>1.0465546502467E13</v>
      </c>
      <c r="J1217" s="22" t="s">
        <v>817</v>
      </c>
      <c r="K1217" s="24"/>
      <c r="L1217" s="22" t="s">
        <v>1834</v>
      </c>
      <c r="M1217" s="22">
        <v>1.0</v>
      </c>
      <c r="N1217" s="22" t="s">
        <v>702</v>
      </c>
      <c r="O1217" s="22" t="s">
        <v>703</v>
      </c>
      <c r="P1217" s="24"/>
      <c r="Q1217" s="22" t="s">
        <v>90</v>
      </c>
      <c r="R1217" s="22">
        <v>3.2766240031043E13</v>
      </c>
      <c r="S1217" s="24"/>
      <c r="T1217" s="24"/>
      <c r="U1217" s="24"/>
      <c r="V1217" s="22" t="s">
        <v>91</v>
      </c>
      <c r="W1217" s="33"/>
      <c r="X1217" s="33"/>
      <c r="Y1217" s="30"/>
      <c r="Z1217" s="30"/>
      <c r="AA1217" s="33"/>
      <c r="AB1217" s="33"/>
      <c r="AC1217" s="30"/>
      <c r="AD1217" s="30"/>
      <c r="AE1217" s="33"/>
      <c r="AF1217" s="31"/>
      <c r="AG1217" s="30"/>
      <c r="AH1217" s="30"/>
      <c r="AI1217" s="31"/>
      <c r="AJ1217" s="31"/>
      <c r="AK1217" s="32"/>
    </row>
    <row r="1218">
      <c r="A1218" s="21" t="s">
        <v>470</v>
      </c>
      <c r="B1218" s="22" t="s">
        <v>516</v>
      </c>
      <c r="C1218" s="22" t="s">
        <v>273</v>
      </c>
      <c r="D1218" s="26">
        <v>45998.0</v>
      </c>
      <c r="E1218" s="22" t="s">
        <v>134</v>
      </c>
      <c r="F1218" s="22" t="s">
        <v>472</v>
      </c>
      <c r="G1218" s="22" t="s">
        <v>2578</v>
      </c>
      <c r="H1218" s="22" t="s">
        <v>470</v>
      </c>
      <c r="I1218" s="22">
        <v>1.0465558528323E13</v>
      </c>
      <c r="J1218" s="22" t="s">
        <v>518</v>
      </c>
      <c r="K1218" s="24"/>
      <c r="L1218" s="22" t="s">
        <v>475</v>
      </c>
      <c r="M1218" s="22">
        <v>1.0</v>
      </c>
      <c r="N1218" s="22" t="s">
        <v>476</v>
      </c>
      <c r="O1218" s="22" t="s">
        <v>477</v>
      </c>
      <c r="P1218" s="24"/>
      <c r="Q1218" s="22" t="s">
        <v>90</v>
      </c>
      <c r="R1218" s="22">
        <v>3.2766263361859E13</v>
      </c>
      <c r="S1218" s="24"/>
      <c r="T1218" s="24"/>
      <c r="U1218" s="24"/>
      <c r="V1218" s="22" t="s">
        <v>91</v>
      </c>
      <c r="W1218" s="33"/>
      <c r="X1218" s="33"/>
      <c r="Y1218" s="30"/>
      <c r="Z1218" s="30"/>
      <c r="AA1218" s="33"/>
      <c r="AB1218" s="33"/>
      <c r="AC1218" s="30"/>
      <c r="AD1218" s="30"/>
      <c r="AE1218" s="33"/>
      <c r="AF1218" s="31"/>
      <c r="AG1218" s="30"/>
      <c r="AH1218" s="30"/>
      <c r="AI1218" s="31"/>
      <c r="AJ1218" s="31"/>
      <c r="AK1218" s="32"/>
    </row>
    <row r="1219">
      <c r="A1219" s="21" t="s">
        <v>859</v>
      </c>
      <c r="B1219" s="22" t="s">
        <v>1498</v>
      </c>
      <c r="C1219" s="22" t="s">
        <v>82</v>
      </c>
      <c r="D1219" s="26">
        <v>45997.0</v>
      </c>
      <c r="E1219" s="22" t="s">
        <v>522</v>
      </c>
      <c r="F1219" s="22" t="s">
        <v>605</v>
      </c>
      <c r="G1219" s="22" t="s">
        <v>2579</v>
      </c>
      <c r="H1219" s="22" t="s">
        <v>859</v>
      </c>
      <c r="I1219" s="22">
        <v>1.0465572389187E13</v>
      </c>
      <c r="J1219" s="22" t="s">
        <v>1500</v>
      </c>
      <c r="K1219" s="24"/>
      <c r="L1219" s="22" t="s">
        <v>861</v>
      </c>
      <c r="M1219" s="22">
        <v>1.0</v>
      </c>
      <c r="N1219" s="22" t="s">
        <v>609</v>
      </c>
      <c r="O1219" s="22" t="s">
        <v>610</v>
      </c>
      <c r="P1219" s="24"/>
      <c r="Q1219" s="22" t="s">
        <v>90</v>
      </c>
      <c r="R1219" s="22">
        <v>3.2766290985283E13</v>
      </c>
      <c r="S1219" s="24"/>
      <c r="T1219" s="24"/>
      <c r="U1219" s="24"/>
      <c r="V1219" s="22" t="s">
        <v>95</v>
      </c>
      <c r="W1219" s="33"/>
      <c r="X1219" s="33"/>
      <c r="Y1219" s="30"/>
      <c r="Z1219" s="30"/>
      <c r="AA1219" s="33"/>
      <c r="AB1219" s="33"/>
      <c r="AC1219" s="30"/>
      <c r="AD1219" s="30"/>
      <c r="AE1219" s="33"/>
      <c r="AF1219" s="31"/>
      <c r="AG1219" s="30"/>
      <c r="AH1219" s="30"/>
      <c r="AI1219" s="31"/>
      <c r="AJ1219" s="31"/>
      <c r="AK1219" s="32"/>
    </row>
    <row r="1220">
      <c r="A1220" s="21" t="s">
        <v>709</v>
      </c>
      <c r="B1220" s="22" t="s">
        <v>310</v>
      </c>
      <c r="C1220" s="22" t="s">
        <v>82</v>
      </c>
      <c r="D1220" s="26">
        <v>45997.0</v>
      </c>
      <c r="E1220" s="22" t="s">
        <v>134</v>
      </c>
      <c r="F1220" s="22" t="s">
        <v>311</v>
      </c>
      <c r="G1220" s="22" t="s">
        <v>2580</v>
      </c>
      <c r="H1220" s="22" t="s">
        <v>709</v>
      </c>
      <c r="I1220" s="22">
        <v>1.0465493352771E13</v>
      </c>
      <c r="J1220" s="22" t="s">
        <v>544</v>
      </c>
      <c r="K1220" s="24"/>
      <c r="L1220" s="22" t="s">
        <v>713</v>
      </c>
      <c r="M1220" s="22">
        <v>1.0</v>
      </c>
      <c r="N1220" s="22" t="s">
        <v>391</v>
      </c>
      <c r="O1220" s="22" t="s">
        <v>392</v>
      </c>
      <c r="P1220" s="24"/>
      <c r="Q1220" s="22" t="s">
        <v>90</v>
      </c>
      <c r="R1220" s="22">
        <v>3.2766130913603E13</v>
      </c>
      <c r="S1220" s="24"/>
      <c r="T1220" s="24"/>
      <c r="U1220" s="24"/>
      <c r="V1220" s="22" t="s">
        <v>91</v>
      </c>
      <c r="W1220" s="33"/>
      <c r="X1220" s="33"/>
      <c r="Y1220" s="30"/>
      <c r="Z1220" s="30"/>
      <c r="AA1220" s="33"/>
      <c r="AB1220" s="33"/>
      <c r="AC1220" s="30"/>
      <c r="AD1220" s="30"/>
      <c r="AE1220" s="33"/>
      <c r="AF1220" s="31"/>
      <c r="AG1220" s="30"/>
      <c r="AH1220" s="30"/>
      <c r="AI1220" s="31"/>
      <c r="AJ1220" s="31"/>
      <c r="AK1220" s="32"/>
    </row>
    <row r="1221">
      <c r="A1221" s="21" t="s">
        <v>778</v>
      </c>
      <c r="B1221" s="22" t="s">
        <v>574</v>
      </c>
      <c r="C1221" s="22" t="s">
        <v>273</v>
      </c>
      <c r="D1221" s="26">
        <v>45998.0</v>
      </c>
      <c r="E1221" s="22" t="s">
        <v>187</v>
      </c>
      <c r="F1221" s="22" t="s">
        <v>440</v>
      </c>
      <c r="G1221" s="22" t="s">
        <v>2581</v>
      </c>
      <c r="H1221" s="22" t="s">
        <v>778</v>
      </c>
      <c r="I1221" s="22">
        <v>1.0465497383235E13</v>
      </c>
      <c r="J1221" s="22" t="s">
        <v>576</v>
      </c>
      <c r="K1221" s="24"/>
      <c r="L1221" s="22" t="s">
        <v>780</v>
      </c>
      <c r="M1221" s="22">
        <v>1.0</v>
      </c>
      <c r="N1221" s="22" t="s">
        <v>781</v>
      </c>
      <c r="O1221" s="22" t="s">
        <v>782</v>
      </c>
      <c r="P1221" s="24"/>
      <c r="Q1221" s="22" t="s">
        <v>90</v>
      </c>
      <c r="R1221" s="22">
        <v>3.2766140055875E13</v>
      </c>
      <c r="S1221" s="24"/>
      <c r="T1221" s="24"/>
      <c r="U1221" s="24"/>
      <c r="V1221" s="22" t="s">
        <v>127</v>
      </c>
      <c r="W1221" s="33"/>
      <c r="X1221" s="33"/>
      <c r="Y1221" s="30"/>
      <c r="Z1221" s="30"/>
      <c r="AA1221" s="33"/>
      <c r="AB1221" s="33"/>
      <c r="AC1221" s="30"/>
      <c r="AD1221" s="30"/>
      <c r="AE1221" s="33"/>
      <c r="AF1221" s="31"/>
      <c r="AG1221" s="30"/>
      <c r="AH1221" s="30"/>
      <c r="AI1221" s="31"/>
      <c r="AJ1221" s="31"/>
      <c r="AK1221" s="32"/>
    </row>
    <row r="1222">
      <c r="A1222" s="21" t="s">
        <v>386</v>
      </c>
      <c r="B1222" s="22" t="s">
        <v>1792</v>
      </c>
      <c r="C1222" s="22" t="s">
        <v>336</v>
      </c>
      <c r="D1222" s="26">
        <v>45995.0</v>
      </c>
      <c r="E1222" s="22" t="s">
        <v>134</v>
      </c>
      <c r="F1222" s="22" t="s">
        <v>311</v>
      </c>
      <c r="G1222" s="22" t="s">
        <v>2582</v>
      </c>
      <c r="H1222" s="22" t="s">
        <v>386</v>
      </c>
      <c r="I1222" s="22">
        <v>1.0465498366275E13</v>
      </c>
      <c r="J1222" s="22" t="s">
        <v>1794</v>
      </c>
      <c r="K1222" s="24"/>
      <c r="L1222" s="22" t="s">
        <v>390</v>
      </c>
      <c r="M1222" s="22">
        <v>1.0</v>
      </c>
      <c r="N1222" s="22" t="s">
        <v>391</v>
      </c>
      <c r="O1222" s="22" t="s">
        <v>392</v>
      </c>
      <c r="P1222" s="24"/>
      <c r="Q1222" s="22" t="s">
        <v>90</v>
      </c>
      <c r="R1222" s="22">
        <v>3.2766141563203E13</v>
      </c>
      <c r="S1222" s="24"/>
      <c r="T1222" s="24"/>
      <c r="U1222" s="24"/>
      <c r="V1222" s="22" t="s">
        <v>55</v>
      </c>
      <c r="W1222" s="33"/>
      <c r="X1222" s="33"/>
      <c r="Y1222" s="30"/>
      <c r="Z1222" s="30"/>
      <c r="AA1222" s="33"/>
      <c r="AB1222" s="33"/>
      <c r="AC1222" s="30"/>
      <c r="AD1222" s="30"/>
      <c r="AE1222" s="33"/>
      <c r="AF1222" s="31"/>
      <c r="AG1222" s="30"/>
      <c r="AH1222" s="30"/>
      <c r="AI1222" s="31"/>
      <c r="AJ1222" s="31"/>
      <c r="AK1222" s="32"/>
    </row>
    <row r="1223">
      <c r="A1223" s="21" t="s">
        <v>912</v>
      </c>
      <c r="B1223" s="22" t="s">
        <v>431</v>
      </c>
      <c r="C1223" s="22" t="s">
        <v>82</v>
      </c>
      <c r="D1223" s="23">
        <v>46004.0</v>
      </c>
      <c r="E1223" s="22" t="s">
        <v>145</v>
      </c>
      <c r="F1223" s="22" t="s">
        <v>377</v>
      </c>
      <c r="G1223" s="22" t="s">
        <v>2583</v>
      </c>
      <c r="H1223" s="22" t="s">
        <v>912</v>
      </c>
      <c r="I1223" s="22">
        <v>1.0465639891267E13</v>
      </c>
      <c r="J1223" s="22" t="s">
        <v>433</v>
      </c>
      <c r="K1223" s="24"/>
      <c r="L1223" s="22" t="s">
        <v>914</v>
      </c>
      <c r="M1223" s="22">
        <v>1.0</v>
      </c>
      <c r="N1223" s="22" t="s">
        <v>381</v>
      </c>
      <c r="O1223" s="22" t="s">
        <v>382</v>
      </c>
      <c r="P1223" s="24"/>
      <c r="Q1223" s="22" t="s">
        <v>90</v>
      </c>
      <c r="R1223" s="22">
        <v>3.2766437818691E13</v>
      </c>
      <c r="S1223" s="24"/>
      <c r="T1223" s="24"/>
      <c r="U1223" s="24"/>
      <c r="V1223" s="22" t="s">
        <v>54</v>
      </c>
      <c r="W1223" s="33"/>
      <c r="X1223" s="33"/>
      <c r="Y1223" s="30"/>
      <c r="Z1223" s="30"/>
      <c r="AA1223" s="33"/>
      <c r="AB1223" s="33"/>
      <c r="AC1223" s="30"/>
      <c r="AD1223" s="30"/>
      <c r="AE1223" s="33"/>
      <c r="AF1223" s="31"/>
      <c r="AG1223" s="30"/>
      <c r="AH1223" s="30"/>
      <c r="AI1223" s="31"/>
      <c r="AJ1223" s="31"/>
      <c r="AK1223" s="32"/>
    </row>
    <row r="1224">
      <c r="A1224" s="21" t="s">
        <v>99</v>
      </c>
      <c r="B1224" s="22" t="s">
        <v>1486</v>
      </c>
      <c r="C1224" s="22" t="s">
        <v>82</v>
      </c>
      <c r="D1224" s="26">
        <v>45997.0</v>
      </c>
      <c r="E1224" s="22" t="s">
        <v>134</v>
      </c>
      <c r="F1224" s="22" t="s">
        <v>83</v>
      </c>
      <c r="G1224" s="22" t="s">
        <v>2584</v>
      </c>
      <c r="H1224" s="22" t="s">
        <v>99</v>
      </c>
      <c r="I1224" s="22">
        <v>1.0465710211395E13</v>
      </c>
      <c r="J1224" s="22" t="s">
        <v>1488</v>
      </c>
      <c r="K1224" s="24"/>
      <c r="L1224" s="22" t="s">
        <v>102</v>
      </c>
      <c r="M1224" s="22">
        <v>1.0</v>
      </c>
      <c r="N1224" s="22" t="s">
        <v>103</v>
      </c>
      <c r="O1224" s="22" t="s">
        <v>104</v>
      </c>
      <c r="P1224" s="24"/>
      <c r="Q1224" s="22" t="s">
        <v>90</v>
      </c>
      <c r="R1224" s="22">
        <v>3.2766587142467E13</v>
      </c>
      <c r="S1224" s="24"/>
      <c r="T1224" s="24"/>
      <c r="U1224" s="24"/>
      <c r="V1224" s="22" t="s">
        <v>105</v>
      </c>
      <c r="W1224" s="33"/>
      <c r="X1224" s="33"/>
      <c r="Y1224" s="30"/>
      <c r="Z1224" s="30"/>
      <c r="AA1224" s="33"/>
      <c r="AB1224" s="33"/>
      <c r="AC1224" s="30"/>
      <c r="AD1224" s="30"/>
      <c r="AE1224" s="33"/>
      <c r="AF1224" s="31"/>
      <c r="AG1224" s="30"/>
      <c r="AH1224" s="30"/>
      <c r="AI1224" s="31"/>
      <c r="AJ1224" s="31"/>
      <c r="AK1224" s="32"/>
    </row>
    <row r="1225">
      <c r="A1225" s="21" t="s">
        <v>1265</v>
      </c>
      <c r="B1225" s="22" t="s">
        <v>504</v>
      </c>
      <c r="C1225" s="22" t="s">
        <v>82</v>
      </c>
      <c r="D1225" s="26">
        <v>45997.0</v>
      </c>
      <c r="E1225" s="22" t="s">
        <v>211</v>
      </c>
      <c r="F1225" s="22" t="s">
        <v>341</v>
      </c>
      <c r="G1225" s="22" t="s">
        <v>2585</v>
      </c>
      <c r="H1225" s="22" t="s">
        <v>1265</v>
      </c>
      <c r="I1225" s="22">
        <v>1.0465719419203E13</v>
      </c>
      <c r="J1225" s="22" t="s">
        <v>506</v>
      </c>
      <c r="K1225" s="24"/>
      <c r="L1225" s="22" t="s">
        <v>1266</v>
      </c>
      <c r="M1225" s="22">
        <v>1.0</v>
      </c>
      <c r="N1225" s="22" t="s">
        <v>1267</v>
      </c>
      <c r="O1225" s="22" t="s">
        <v>1268</v>
      </c>
      <c r="P1225" s="24"/>
      <c r="Q1225" s="22" t="s">
        <v>90</v>
      </c>
      <c r="R1225" s="22">
        <v>3.2766606311747E13</v>
      </c>
      <c r="S1225" s="24"/>
      <c r="T1225" s="24"/>
      <c r="U1225" s="24"/>
      <c r="V1225" s="22" t="s">
        <v>127</v>
      </c>
      <c r="W1225" s="33"/>
      <c r="X1225" s="33"/>
      <c r="Y1225" s="30"/>
      <c r="Z1225" s="30"/>
      <c r="AA1225" s="33"/>
      <c r="AB1225" s="33"/>
      <c r="AC1225" s="30"/>
      <c r="AD1225" s="30"/>
      <c r="AE1225" s="33"/>
      <c r="AF1225" s="31"/>
      <c r="AG1225" s="30"/>
      <c r="AH1225" s="30"/>
      <c r="AI1225" s="31"/>
      <c r="AJ1225" s="31"/>
      <c r="AK1225" s="32"/>
    </row>
    <row r="1226">
      <c r="A1226" s="21" t="s">
        <v>172</v>
      </c>
      <c r="B1226" s="22" t="s">
        <v>2586</v>
      </c>
      <c r="C1226" s="22" t="s">
        <v>273</v>
      </c>
      <c r="D1226" s="23">
        <v>45991.0</v>
      </c>
      <c r="E1226" s="22" t="s">
        <v>497</v>
      </c>
      <c r="F1226" s="22" t="s">
        <v>83</v>
      </c>
      <c r="G1226" s="22" t="s">
        <v>2587</v>
      </c>
      <c r="H1226" s="22" t="s">
        <v>172</v>
      </c>
      <c r="I1226" s="22">
        <v>1.0465732165955E13</v>
      </c>
      <c r="J1226" s="22" t="s">
        <v>2588</v>
      </c>
      <c r="K1226" s="24"/>
      <c r="L1226" s="22" t="s">
        <v>174</v>
      </c>
      <c r="M1226" s="22">
        <v>1.0</v>
      </c>
      <c r="N1226" s="22" t="s">
        <v>103</v>
      </c>
      <c r="O1226" s="22" t="s">
        <v>104</v>
      </c>
      <c r="P1226" s="24"/>
      <c r="Q1226" s="22" t="s">
        <v>90</v>
      </c>
      <c r="R1226" s="22">
        <v>3.2766633935171E13</v>
      </c>
      <c r="S1226" s="24"/>
      <c r="T1226" s="24"/>
      <c r="U1226" s="24"/>
      <c r="V1226" s="22" t="s">
        <v>175</v>
      </c>
      <c r="W1226" s="33"/>
      <c r="X1226" s="33"/>
      <c r="Y1226" s="30"/>
      <c r="Z1226" s="30"/>
      <c r="AA1226" s="33"/>
      <c r="AB1226" s="33"/>
      <c r="AC1226" s="30"/>
      <c r="AD1226" s="30"/>
      <c r="AE1226" s="33"/>
      <c r="AF1226" s="31"/>
      <c r="AG1226" s="30"/>
      <c r="AH1226" s="30"/>
      <c r="AI1226" s="31"/>
      <c r="AJ1226" s="31"/>
      <c r="AK1226" s="32"/>
    </row>
    <row r="1227">
      <c r="A1227" s="21" t="s">
        <v>415</v>
      </c>
      <c r="B1227" s="22" t="s">
        <v>376</v>
      </c>
      <c r="C1227" s="22" t="s">
        <v>82</v>
      </c>
      <c r="D1227" s="26">
        <v>45997.0</v>
      </c>
      <c r="E1227" s="22" t="s">
        <v>149</v>
      </c>
      <c r="F1227" s="22" t="s">
        <v>377</v>
      </c>
      <c r="G1227" s="22" t="s">
        <v>2589</v>
      </c>
      <c r="H1227" s="22" t="s">
        <v>415</v>
      </c>
      <c r="I1227" s="22">
        <v>1.0465742324035E13</v>
      </c>
      <c r="J1227" s="22" t="s">
        <v>379</v>
      </c>
      <c r="K1227" s="24"/>
      <c r="L1227" s="22" t="s">
        <v>419</v>
      </c>
      <c r="M1227" s="22">
        <v>1.0</v>
      </c>
      <c r="N1227" s="22" t="s">
        <v>381</v>
      </c>
      <c r="O1227" s="22" t="s">
        <v>382</v>
      </c>
      <c r="P1227" s="24"/>
      <c r="Q1227" s="22" t="s">
        <v>90</v>
      </c>
      <c r="R1227" s="22">
        <v>3.2766658085187E13</v>
      </c>
      <c r="S1227" s="24"/>
      <c r="T1227" s="24"/>
      <c r="U1227" s="24"/>
      <c r="V1227" s="22" t="s">
        <v>91</v>
      </c>
      <c r="W1227" s="33"/>
      <c r="X1227" s="33"/>
      <c r="Y1227" s="30"/>
      <c r="Z1227" s="30"/>
      <c r="AA1227" s="33"/>
      <c r="AB1227" s="33"/>
      <c r="AC1227" s="30"/>
      <c r="AD1227" s="30"/>
      <c r="AE1227" s="33"/>
      <c r="AF1227" s="31"/>
      <c r="AG1227" s="30"/>
      <c r="AH1227" s="30"/>
      <c r="AI1227" s="31"/>
      <c r="AJ1227" s="31"/>
      <c r="AK1227" s="32"/>
    </row>
    <row r="1228">
      <c r="A1228" s="21" t="s">
        <v>515</v>
      </c>
      <c r="B1228" s="22" t="s">
        <v>471</v>
      </c>
      <c r="C1228" s="22" t="s">
        <v>82</v>
      </c>
      <c r="D1228" s="26">
        <v>45997.0</v>
      </c>
      <c r="E1228" s="22" t="s">
        <v>134</v>
      </c>
      <c r="F1228" s="22" t="s">
        <v>472</v>
      </c>
      <c r="G1228" s="22" t="s">
        <v>2590</v>
      </c>
      <c r="H1228" s="22" t="s">
        <v>515</v>
      </c>
      <c r="I1228" s="22">
        <v>1.0465756217667E13</v>
      </c>
      <c r="J1228" s="22" t="s">
        <v>474</v>
      </c>
      <c r="K1228" s="24"/>
      <c r="L1228" s="22" t="s">
        <v>519</v>
      </c>
      <c r="M1228" s="22">
        <v>1.0</v>
      </c>
      <c r="N1228" s="22" t="s">
        <v>476</v>
      </c>
      <c r="O1228" s="22" t="s">
        <v>477</v>
      </c>
      <c r="P1228" s="24"/>
      <c r="Q1228" s="22" t="s">
        <v>90</v>
      </c>
      <c r="R1228" s="22">
        <v>3.2766686462275E13</v>
      </c>
      <c r="S1228" s="24"/>
      <c r="T1228" s="24"/>
      <c r="U1228" s="24"/>
      <c r="V1228" s="22" t="s">
        <v>55</v>
      </c>
      <c r="W1228" s="33"/>
      <c r="X1228" s="33"/>
      <c r="Y1228" s="30"/>
      <c r="Z1228" s="30"/>
      <c r="AA1228" s="33"/>
      <c r="AB1228" s="33"/>
      <c r="AC1228" s="30"/>
      <c r="AD1228" s="30"/>
      <c r="AE1228" s="33"/>
      <c r="AF1228" s="31"/>
      <c r="AG1228" s="30"/>
      <c r="AH1228" s="30"/>
      <c r="AI1228" s="31"/>
      <c r="AJ1228" s="31"/>
      <c r="AK1228" s="32"/>
    </row>
    <row r="1229">
      <c r="A1229" s="21" t="s">
        <v>401</v>
      </c>
      <c r="B1229" s="22" t="s">
        <v>318</v>
      </c>
      <c r="C1229" s="22" t="s">
        <v>82</v>
      </c>
      <c r="D1229" s="26">
        <v>45997.0</v>
      </c>
      <c r="E1229" s="22" t="s">
        <v>196</v>
      </c>
      <c r="F1229" s="22" t="s">
        <v>319</v>
      </c>
      <c r="G1229" s="22" t="s">
        <v>2591</v>
      </c>
      <c r="H1229" s="22" t="s">
        <v>401</v>
      </c>
      <c r="I1229" s="22">
        <v>1.0465763000643E13</v>
      </c>
      <c r="J1229" s="22" t="s">
        <v>527</v>
      </c>
      <c r="K1229" s="24"/>
      <c r="L1229" s="22" t="s">
        <v>403</v>
      </c>
      <c r="M1229" s="22">
        <v>1.0</v>
      </c>
      <c r="N1229" s="22" t="s">
        <v>404</v>
      </c>
      <c r="O1229" s="22" t="s">
        <v>405</v>
      </c>
      <c r="P1229" s="24"/>
      <c r="Q1229" s="22" t="s">
        <v>90</v>
      </c>
      <c r="R1229" s="22">
        <v>3.2766699241795E13</v>
      </c>
      <c r="S1229" s="24"/>
      <c r="T1229" s="24"/>
      <c r="U1229" s="24"/>
      <c r="V1229" s="22" t="s">
        <v>127</v>
      </c>
      <c r="W1229" s="33"/>
      <c r="X1229" s="33"/>
      <c r="Y1229" s="30"/>
      <c r="Z1229" s="30"/>
      <c r="AA1229" s="33"/>
      <c r="AB1229" s="33"/>
      <c r="AC1229" s="30"/>
      <c r="AD1229" s="30"/>
      <c r="AE1229" s="33"/>
      <c r="AF1229" s="31"/>
      <c r="AG1229" s="30"/>
      <c r="AH1229" s="30"/>
      <c r="AI1229" s="31"/>
      <c r="AJ1229" s="31"/>
      <c r="AK1229" s="32"/>
    </row>
    <row r="1230">
      <c r="A1230" s="21" t="s">
        <v>141</v>
      </c>
      <c r="B1230" s="22" t="s">
        <v>1486</v>
      </c>
      <c r="C1230" s="22" t="s">
        <v>82</v>
      </c>
      <c r="D1230" s="26">
        <v>45997.0</v>
      </c>
      <c r="E1230" s="22" t="s">
        <v>134</v>
      </c>
      <c r="F1230" s="22" t="s">
        <v>83</v>
      </c>
      <c r="G1230" s="22" t="s">
        <v>2592</v>
      </c>
      <c r="H1230" s="22" t="s">
        <v>141</v>
      </c>
      <c r="I1230" s="22">
        <v>1.0465764049219E13</v>
      </c>
      <c r="J1230" s="22" t="s">
        <v>1488</v>
      </c>
      <c r="K1230" s="24"/>
      <c r="L1230" s="22" t="s">
        <v>143</v>
      </c>
      <c r="M1230" s="22">
        <v>1.0</v>
      </c>
      <c r="N1230" s="22" t="s">
        <v>87</v>
      </c>
      <c r="O1230" s="22" t="s">
        <v>88</v>
      </c>
      <c r="P1230" s="24"/>
      <c r="Q1230" s="22" t="s">
        <v>90</v>
      </c>
      <c r="R1230" s="22">
        <v>3.2766702190915E13</v>
      </c>
      <c r="S1230" s="24"/>
      <c r="T1230" s="24"/>
      <c r="U1230" s="24"/>
      <c r="V1230" s="22" t="s">
        <v>54</v>
      </c>
      <c r="W1230" s="33"/>
      <c r="X1230" s="33"/>
      <c r="Y1230" s="30"/>
      <c r="Z1230" s="30"/>
      <c r="AA1230" s="33"/>
      <c r="AB1230" s="33"/>
      <c r="AC1230" s="30"/>
      <c r="AD1230" s="30"/>
      <c r="AE1230" s="33"/>
      <c r="AF1230" s="31"/>
      <c r="AG1230" s="30"/>
      <c r="AH1230" s="30"/>
      <c r="AI1230" s="31"/>
      <c r="AJ1230" s="31"/>
      <c r="AK1230" s="32"/>
    </row>
    <row r="1231">
      <c r="A1231" s="21" t="s">
        <v>1464</v>
      </c>
      <c r="B1231" s="22" t="s">
        <v>2556</v>
      </c>
      <c r="C1231" s="22" t="s">
        <v>82</v>
      </c>
      <c r="D1231" s="26">
        <v>45997.0</v>
      </c>
      <c r="E1231" s="22" t="s">
        <v>841</v>
      </c>
      <c r="F1231" s="22" t="s">
        <v>1466</v>
      </c>
      <c r="G1231" s="22" t="s">
        <v>2593</v>
      </c>
      <c r="H1231" s="22" t="s">
        <v>1464</v>
      </c>
      <c r="I1231" s="22">
        <v>1.0465772273987E13</v>
      </c>
      <c r="J1231" s="22" t="s">
        <v>2558</v>
      </c>
      <c r="K1231" s="24"/>
      <c r="L1231" s="22" t="s">
        <v>1469</v>
      </c>
      <c r="M1231" s="22">
        <v>1.0</v>
      </c>
      <c r="N1231" s="22" t="s">
        <v>1470</v>
      </c>
      <c r="O1231" s="22" t="s">
        <v>1471</v>
      </c>
      <c r="P1231" s="24"/>
      <c r="Q1231" s="22" t="s">
        <v>90</v>
      </c>
      <c r="R1231" s="22">
        <v>3.2766718542147E13</v>
      </c>
      <c r="S1231" s="24"/>
      <c r="T1231" s="24"/>
      <c r="U1231" s="24"/>
      <c r="V1231" s="22" t="s">
        <v>55</v>
      </c>
      <c r="W1231" s="33"/>
      <c r="X1231" s="33"/>
      <c r="Y1231" s="30"/>
      <c r="Z1231" s="30"/>
      <c r="AA1231" s="33"/>
      <c r="AB1231" s="33"/>
      <c r="AC1231" s="30"/>
      <c r="AD1231" s="30"/>
      <c r="AE1231" s="33"/>
      <c r="AF1231" s="31"/>
      <c r="AG1231" s="30"/>
      <c r="AH1231" s="30"/>
      <c r="AI1231" s="31"/>
      <c r="AJ1231" s="31"/>
      <c r="AK1231" s="32"/>
    </row>
    <row r="1232">
      <c r="A1232" s="21" t="s">
        <v>99</v>
      </c>
      <c r="B1232" s="22" t="s">
        <v>1408</v>
      </c>
      <c r="C1232" s="22" t="s">
        <v>273</v>
      </c>
      <c r="D1232" s="26">
        <v>45998.0</v>
      </c>
      <c r="E1232" s="22" t="s">
        <v>153</v>
      </c>
      <c r="F1232" s="22" t="s">
        <v>83</v>
      </c>
      <c r="G1232" s="22" t="s">
        <v>2594</v>
      </c>
      <c r="H1232" s="22" t="s">
        <v>99</v>
      </c>
      <c r="I1232" s="22">
        <v>1.0465798848835E13</v>
      </c>
      <c r="J1232" s="22" t="s">
        <v>1410</v>
      </c>
      <c r="K1232" s="24"/>
      <c r="L1232" s="22" t="s">
        <v>102</v>
      </c>
      <c r="M1232" s="22">
        <v>1.0</v>
      </c>
      <c r="N1232" s="22" t="s">
        <v>103</v>
      </c>
      <c r="O1232" s="22" t="s">
        <v>104</v>
      </c>
      <c r="P1232" s="24"/>
      <c r="Q1232" s="22" t="s">
        <v>90</v>
      </c>
      <c r="R1232" s="22">
        <v>3.2766773297475E13</v>
      </c>
      <c r="S1232" s="24"/>
      <c r="T1232" s="24"/>
      <c r="U1232" s="24"/>
      <c r="V1232" s="22" t="s">
        <v>105</v>
      </c>
      <c r="W1232" s="33"/>
      <c r="X1232" s="33"/>
      <c r="Y1232" s="30"/>
      <c r="Z1232" s="30"/>
      <c r="AA1232" s="33"/>
      <c r="AB1232" s="33"/>
      <c r="AC1232" s="30"/>
      <c r="AD1232" s="30"/>
      <c r="AE1232" s="33"/>
      <c r="AF1232" s="31"/>
      <c r="AG1232" s="30"/>
      <c r="AH1232" s="30"/>
      <c r="AI1232" s="31"/>
      <c r="AJ1232" s="31"/>
      <c r="AK1232" s="32"/>
    </row>
    <row r="1233">
      <c r="A1233" s="21" t="s">
        <v>185</v>
      </c>
      <c r="B1233" s="22" t="s">
        <v>2595</v>
      </c>
      <c r="C1233" s="22" t="s">
        <v>82</v>
      </c>
      <c r="D1233" s="26">
        <v>45997.0</v>
      </c>
      <c r="E1233" s="22" t="s">
        <v>1636</v>
      </c>
      <c r="F1233" s="22" t="s">
        <v>111</v>
      </c>
      <c r="G1233" s="22" t="s">
        <v>2596</v>
      </c>
      <c r="H1233" s="22" t="s">
        <v>185</v>
      </c>
      <c r="I1233" s="22">
        <v>1.0465802748227E13</v>
      </c>
      <c r="J1233" s="22" t="s">
        <v>2597</v>
      </c>
      <c r="K1233" s="24"/>
      <c r="L1233" s="22" t="s">
        <v>190</v>
      </c>
      <c r="M1233" s="22">
        <v>1.0</v>
      </c>
      <c r="N1233" s="22" t="s">
        <v>115</v>
      </c>
      <c r="O1233" s="22" t="s">
        <v>116</v>
      </c>
      <c r="P1233" s="24"/>
      <c r="Q1233" s="22" t="s">
        <v>90</v>
      </c>
      <c r="R1233" s="22">
        <v>3.2766780309827E13</v>
      </c>
      <c r="S1233" s="24"/>
      <c r="T1233" s="24"/>
      <c r="U1233" s="24"/>
      <c r="V1233" s="22" t="s">
        <v>95</v>
      </c>
      <c r="W1233" s="33"/>
      <c r="X1233" s="33"/>
      <c r="Y1233" s="30"/>
      <c r="Z1233" s="30"/>
      <c r="AA1233" s="33"/>
      <c r="AB1233" s="33"/>
      <c r="AC1233" s="30"/>
      <c r="AD1233" s="30"/>
      <c r="AE1233" s="33"/>
      <c r="AF1233" s="31"/>
      <c r="AG1233" s="30"/>
      <c r="AH1233" s="30"/>
      <c r="AI1233" s="31"/>
      <c r="AJ1233" s="31"/>
      <c r="AK1233" s="32"/>
    </row>
    <row r="1234">
      <c r="A1234" s="21" t="s">
        <v>172</v>
      </c>
      <c r="B1234" s="22" t="s">
        <v>1428</v>
      </c>
      <c r="C1234" s="22" t="s">
        <v>273</v>
      </c>
      <c r="D1234" s="26">
        <v>45998.0</v>
      </c>
      <c r="E1234" s="22" t="s">
        <v>196</v>
      </c>
      <c r="F1234" s="22" t="s">
        <v>83</v>
      </c>
      <c r="G1234" s="22" t="s">
        <v>2598</v>
      </c>
      <c r="H1234" s="22" t="s">
        <v>172</v>
      </c>
      <c r="I1234" s="22">
        <v>1.0465807663427E13</v>
      </c>
      <c r="J1234" s="22" t="s">
        <v>1430</v>
      </c>
      <c r="K1234" s="24"/>
      <c r="L1234" s="22" t="s">
        <v>174</v>
      </c>
      <c r="M1234" s="22">
        <v>1.0</v>
      </c>
      <c r="N1234" s="22" t="s">
        <v>103</v>
      </c>
      <c r="O1234" s="22" t="s">
        <v>104</v>
      </c>
      <c r="P1234" s="24"/>
      <c r="Q1234" s="22" t="s">
        <v>90</v>
      </c>
      <c r="R1234" s="22">
        <v>3.2766790697283E13</v>
      </c>
      <c r="S1234" s="24"/>
      <c r="T1234" s="24"/>
      <c r="U1234" s="24"/>
      <c r="V1234" s="22" t="s">
        <v>175</v>
      </c>
      <c r="W1234" s="33"/>
      <c r="X1234" s="33"/>
      <c r="Y1234" s="30"/>
      <c r="Z1234" s="30"/>
      <c r="AA1234" s="33"/>
      <c r="AB1234" s="33"/>
      <c r="AC1234" s="30"/>
      <c r="AD1234" s="30"/>
      <c r="AE1234" s="33"/>
      <c r="AF1234" s="31"/>
      <c r="AG1234" s="30"/>
      <c r="AH1234" s="30"/>
      <c r="AI1234" s="31"/>
      <c r="AJ1234" s="31"/>
      <c r="AK1234" s="32"/>
    </row>
    <row r="1235">
      <c r="A1235" s="21" t="s">
        <v>696</v>
      </c>
      <c r="B1235" s="22" t="s">
        <v>815</v>
      </c>
      <c r="C1235" s="22" t="s">
        <v>82</v>
      </c>
      <c r="D1235" s="26">
        <v>45997.0</v>
      </c>
      <c r="E1235" s="22" t="s">
        <v>187</v>
      </c>
      <c r="F1235" s="22" t="s">
        <v>698</v>
      </c>
      <c r="G1235" s="22" t="s">
        <v>2599</v>
      </c>
      <c r="H1235" s="22" t="s">
        <v>696</v>
      </c>
      <c r="I1235" s="22">
        <v>1.0465833615683E13</v>
      </c>
      <c r="J1235" s="22" t="s">
        <v>817</v>
      </c>
      <c r="K1235" s="24"/>
      <c r="L1235" s="22" t="s">
        <v>701</v>
      </c>
      <c r="M1235" s="22">
        <v>1.0</v>
      </c>
      <c r="N1235" s="22" t="s">
        <v>702</v>
      </c>
      <c r="O1235" s="22" t="s">
        <v>703</v>
      </c>
      <c r="P1235" s="24"/>
      <c r="Q1235" s="22" t="s">
        <v>90</v>
      </c>
      <c r="R1235" s="22">
        <v>3.2766843126083E13</v>
      </c>
      <c r="S1235" s="24"/>
      <c r="T1235" s="24"/>
      <c r="U1235" s="24"/>
      <c r="V1235" s="22" t="s">
        <v>55</v>
      </c>
      <c r="W1235" s="33"/>
      <c r="X1235" s="33"/>
      <c r="Y1235" s="30"/>
      <c r="Z1235" s="30"/>
      <c r="AA1235" s="33"/>
      <c r="AB1235" s="33"/>
      <c r="AC1235" s="30"/>
      <c r="AD1235" s="30"/>
      <c r="AE1235" s="33"/>
      <c r="AF1235" s="31"/>
      <c r="AG1235" s="30"/>
      <c r="AH1235" s="30"/>
      <c r="AI1235" s="31"/>
      <c r="AJ1235" s="31"/>
      <c r="AK1235" s="32"/>
    </row>
    <row r="1236">
      <c r="A1236" s="21" t="s">
        <v>463</v>
      </c>
      <c r="B1236" s="22" t="s">
        <v>2600</v>
      </c>
      <c r="C1236" s="22" t="s">
        <v>273</v>
      </c>
      <c r="D1236" s="26">
        <v>45998.0</v>
      </c>
      <c r="E1236" s="22" t="s">
        <v>1117</v>
      </c>
      <c r="F1236" s="22" t="s">
        <v>303</v>
      </c>
      <c r="G1236" s="22" t="s">
        <v>2601</v>
      </c>
      <c r="H1236" s="22" t="s">
        <v>463</v>
      </c>
      <c r="I1236" s="22">
        <v>1.0465836007747E13</v>
      </c>
      <c r="J1236" s="22" t="s">
        <v>2602</v>
      </c>
      <c r="K1236" s="24"/>
      <c r="L1236" s="22" t="s">
        <v>467</v>
      </c>
      <c r="M1236" s="22">
        <v>1.0</v>
      </c>
      <c r="N1236" s="22" t="s">
        <v>468</v>
      </c>
      <c r="O1236" s="22" t="s">
        <v>469</v>
      </c>
      <c r="P1236" s="24"/>
      <c r="Q1236" s="22" t="s">
        <v>90</v>
      </c>
      <c r="R1236" s="22">
        <v>3.2766847549763E13</v>
      </c>
      <c r="S1236" s="24"/>
      <c r="T1236" s="24"/>
      <c r="U1236" s="24"/>
      <c r="V1236" s="22" t="s">
        <v>105</v>
      </c>
      <c r="W1236" s="33"/>
      <c r="X1236" s="33"/>
      <c r="Y1236" s="30"/>
      <c r="Z1236" s="30"/>
      <c r="AA1236" s="33"/>
      <c r="AB1236" s="33"/>
      <c r="AC1236" s="30"/>
      <c r="AD1236" s="30"/>
      <c r="AE1236" s="33"/>
      <c r="AF1236" s="31"/>
      <c r="AG1236" s="30"/>
      <c r="AH1236" s="30"/>
      <c r="AI1236" s="31"/>
      <c r="AJ1236" s="31"/>
      <c r="AK1236" s="32"/>
    </row>
    <row r="1237">
      <c r="A1237" s="21" t="s">
        <v>423</v>
      </c>
      <c r="B1237" s="22" t="s">
        <v>424</v>
      </c>
      <c r="C1237" s="22" t="s">
        <v>273</v>
      </c>
      <c r="D1237" s="26">
        <v>45998.0</v>
      </c>
      <c r="E1237" s="22" t="s">
        <v>134</v>
      </c>
      <c r="F1237" s="22" t="s">
        <v>369</v>
      </c>
      <c r="G1237" s="22" t="s">
        <v>2603</v>
      </c>
      <c r="H1237" s="22" t="s">
        <v>423</v>
      </c>
      <c r="I1237" s="22">
        <v>1.0465868087619E13</v>
      </c>
      <c r="J1237" s="22" t="s">
        <v>426</v>
      </c>
      <c r="K1237" s="24"/>
      <c r="L1237" s="22" t="s">
        <v>427</v>
      </c>
      <c r="M1237" s="22">
        <v>1.0</v>
      </c>
      <c r="N1237" s="22" t="s">
        <v>373</v>
      </c>
      <c r="O1237" s="22" t="s">
        <v>374</v>
      </c>
      <c r="P1237" s="24"/>
      <c r="Q1237" s="22" t="s">
        <v>90</v>
      </c>
      <c r="R1237" s="22">
        <v>3.2766913708355E13</v>
      </c>
      <c r="S1237" s="24"/>
      <c r="T1237" s="24"/>
      <c r="U1237" s="24"/>
      <c r="V1237" s="22" t="s">
        <v>95</v>
      </c>
      <c r="W1237" s="33"/>
      <c r="X1237" s="33"/>
      <c r="Y1237" s="30"/>
      <c r="Z1237" s="30"/>
      <c r="AA1237" s="33"/>
      <c r="AB1237" s="33"/>
      <c r="AC1237" s="30"/>
      <c r="AD1237" s="30"/>
      <c r="AE1237" s="33"/>
      <c r="AF1237" s="31"/>
      <c r="AG1237" s="30"/>
      <c r="AH1237" s="30"/>
      <c r="AI1237" s="31"/>
      <c r="AJ1237" s="31"/>
      <c r="AK1237" s="32"/>
    </row>
    <row r="1238">
      <c r="A1238" s="21" t="s">
        <v>696</v>
      </c>
      <c r="B1238" s="22" t="s">
        <v>815</v>
      </c>
      <c r="C1238" s="22" t="s">
        <v>82</v>
      </c>
      <c r="D1238" s="26">
        <v>45997.0</v>
      </c>
      <c r="E1238" s="22" t="s">
        <v>187</v>
      </c>
      <c r="F1238" s="22" t="s">
        <v>698</v>
      </c>
      <c r="G1238" s="22" t="s">
        <v>2604</v>
      </c>
      <c r="H1238" s="22" t="s">
        <v>696</v>
      </c>
      <c r="I1238" s="22">
        <v>1.0465933623619E13</v>
      </c>
      <c r="J1238" s="22" t="s">
        <v>817</v>
      </c>
      <c r="K1238" s="24"/>
      <c r="L1238" s="22" t="s">
        <v>701</v>
      </c>
      <c r="M1238" s="22">
        <v>1.0</v>
      </c>
      <c r="N1238" s="22" t="s">
        <v>702</v>
      </c>
      <c r="O1238" s="22" t="s">
        <v>703</v>
      </c>
      <c r="P1238" s="24"/>
      <c r="Q1238" s="22" t="s">
        <v>90</v>
      </c>
      <c r="R1238" s="22">
        <v>3.2767049990467E13</v>
      </c>
      <c r="S1238" s="24"/>
      <c r="T1238" s="24"/>
      <c r="U1238" s="24"/>
      <c r="V1238" s="22" t="s">
        <v>55</v>
      </c>
      <c r="W1238" s="33"/>
      <c r="X1238" s="33"/>
      <c r="Y1238" s="30"/>
      <c r="Z1238" s="30"/>
      <c r="AA1238" s="33"/>
      <c r="AB1238" s="33"/>
      <c r="AC1238" s="30"/>
      <c r="AD1238" s="30"/>
      <c r="AE1238" s="33"/>
      <c r="AF1238" s="31"/>
      <c r="AG1238" s="30"/>
      <c r="AH1238" s="30"/>
      <c r="AI1238" s="31"/>
      <c r="AJ1238" s="31"/>
      <c r="AK1238" s="32"/>
    </row>
    <row r="1239">
      <c r="A1239" s="21" t="s">
        <v>99</v>
      </c>
      <c r="B1239" s="22" t="s">
        <v>2605</v>
      </c>
      <c r="C1239" s="22" t="s">
        <v>1284</v>
      </c>
      <c r="D1239" s="26">
        <v>45993.0</v>
      </c>
      <c r="E1239" s="22" t="s">
        <v>266</v>
      </c>
      <c r="F1239" s="22" t="s">
        <v>83</v>
      </c>
      <c r="G1239" s="22" t="s">
        <v>2606</v>
      </c>
      <c r="H1239" s="22" t="s">
        <v>99</v>
      </c>
      <c r="I1239" s="22">
        <v>1.0465934836035E13</v>
      </c>
      <c r="J1239" s="22" t="s">
        <v>2607</v>
      </c>
      <c r="K1239" s="24"/>
      <c r="L1239" s="22" t="s">
        <v>102</v>
      </c>
      <c r="M1239" s="22">
        <v>1.0</v>
      </c>
      <c r="N1239" s="22" t="s">
        <v>103</v>
      </c>
      <c r="O1239" s="22" t="s">
        <v>104</v>
      </c>
      <c r="P1239" s="24"/>
      <c r="Q1239" s="22" t="s">
        <v>90</v>
      </c>
      <c r="R1239" s="22">
        <v>3.2767052415299E13</v>
      </c>
      <c r="S1239" s="24"/>
      <c r="T1239" s="24"/>
      <c r="U1239" s="24"/>
      <c r="V1239" s="27" t="s">
        <v>105</v>
      </c>
      <c r="W1239" s="33"/>
      <c r="X1239" s="33"/>
      <c r="Y1239" s="30"/>
      <c r="Z1239" s="30"/>
      <c r="AA1239" s="33"/>
      <c r="AB1239" s="33"/>
      <c r="AC1239" s="30"/>
      <c r="AD1239" s="30"/>
      <c r="AE1239" s="33"/>
      <c r="AF1239" s="31"/>
      <c r="AG1239" s="30"/>
      <c r="AH1239" s="30"/>
      <c r="AI1239" s="31"/>
      <c r="AJ1239" s="31"/>
      <c r="AK1239" s="32"/>
    </row>
    <row r="1240">
      <c r="A1240" s="21" t="s">
        <v>1078</v>
      </c>
      <c r="B1240" s="22" t="s">
        <v>2608</v>
      </c>
      <c r="C1240" s="22" t="s">
        <v>273</v>
      </c>
      <c r="D1240" s="26">
        <v>45998.0</v>
      </c>
      <c r="E1240" s="22" t="s">
        <v>149</v>
      </c>
      <c r="F1240" s="22" t="s">
        <v>717</v>
      </c>
      <c r="G1240" s="22" t="s">
        <v>2609</v>
      </c>
      <c r="H1240" s="22" t="s">
        <v>1078</v>
      </c>
      <c r="I1240" s="22">
        <v>1.0465964523843E13</v>
      </c>
      <c r="J1240" s="22" t="s">
        <v>1453</v>
      </c>
      <c r="K1240" s="24"/>
      <c r="L1240" s="22" t="s">
        <v>1082</v>
      </c>
      <c r="M1240" s="22">
        <v>1.0</v>
      </c>
      <c r="N1240" s="22" t="s">
        <v>1083</v>
      </c>
      <c r="O1240" s="22" t="s">
        <v>1084</v>
      </c>
      <c r="P1240" s="24"/>
      <c r="Q1240" s="22" t="s">
        <v>90</v>
      </c>
      <c r="R1240" s="22">
        <v>3.2767114936643E13</v>
      </c>
      <c r="S1240" s="24"/>
      <c r="T1240" s="24"/>
      <c r="U1240" s="24"/>
      <c r="V1240" s="22" t="s">
        <v>105</v>
      </c>
      <c r="W1240" s="33"/>
      <c r="X1240" s="33"/>
      <c r="Y1240" s="30"/>
      <c r="Z1240" s="30"/>
      <c r="AA1240" s="33"/>
      <c r="AB1240" s="33"/>
      <c r="AC1240" s="30"/>
      <c r="AD1240" s="30"/>
      <c r="AE1240" s="33"/>
      <c r="AF1240" s="31"/>
      <c r="AG1240" s="30"/>
      <c r="AH1240" s="30"/>
      <c r="AI1240" s="31"/>
      <c r="AJ1240" s="31"/>
      <c r="AK1240" s="32"/>
    </row>
    <row r="1241">
      <c r="A1241" s="21" t="s">
        <v>1224</v>
      </c>
      <c r="B1241" s="22" t="s">
        <v>2400</v>
      </c>
      <c r="C1241" s="22" t="s">
        <v>336</v>
      </c>
      <c r="D1241" s="26">
        <v>45995.0</v>
      </c>
      <c r="E1241" s="22" t="s">
        <v>153</v>
      </c>
      <c r="F1241" s="22" t="s">
        <v>717</v>
      </c>
      <c r="G1241" s="22" t="s">
        <v>2610</v>
      </c>
      <c r="H1241" s="22" t="s">
        <v>1224</v>
      </c>
      <c r="I1241" s="22">
        <v>1.0465971372355E13</v>
      </c>
      <c r="J1241" s="22" t="s">
        <v>2402</v>
      </c>
      <c r="K1241" s="24"/>
      <c r="L1241" s="22" t="s">
        <v>1228</v>
      </c>
      <c r="M1241" s="22">
        <v>1.0</v>
      </c>
      <c r="N1241" s="22" t="s">
        <v>721</v>
      </c>
      <c r="O1241" s="22" t="s">
        <v>722</v>
      </c>
      <c r="P1241" s="24"/>
      <c r="Q1241" s="22" t="s">
        <v>90</v>
      </c>
      <c r="R1241" s="22">
        <v>3.2767129387331E13</v>
      </c>
      <c r="S1241" s="24"/>
      <c r="T1241" s="24"/>
      <c r="U1241" s="24"/>
      <c r="V1241" s="22" t="s">
        <v>91</v>
      </c>
      <c r="W1241" s="33"/>
      <c r="X1241" s="33"/>
      <c r="Y1241" s="30"/>
      <c r="Z1241" s="30"/>
      <c r="AA1241" s="33"/>
      <c r="AB1241" s="33"/>
      <c r="AC1241" s="30"/>
      <c r="AD1241" s="30"/>
      <c r="AE1241" s="33"/>
      <c r="AF1241" s="31"/>
      <c r="AG1241" s="30"/>
      <c r="AH1241" s="30"/>
      <c r="AI1241" s="31"/>
      <c r="AJ1241" s="31"/>
      <c r="AK1241" s="32"/>
    </row>
    <row r="1242">
      <c r="A1242" s="21" t="s">
        <v>584</v>
      </c>
      <c r="B1242" s="22" t="s">
        <v>705</v>
      </c>
      <c r="C1242" s="22" t="s">
        <v>82</v>
      </c>
      <c r="D1242" s="26">
        <v>45997.0</v>
      </c>
      <c r="E1242" s="22" t="s">
        <v>266</v>
      </c>
      <c r="F1242" s="22" t="s">
        <v>377</v>
      </c>
      <c r="G1242" s="22" t="s">
        <v>2611</v>
      </c>
      <c r="H1242" s="22" t="s">
        <v>584</v>
      </c>
      <c r="I1242" s="22">
        <v>1.0466002633027E13</v>
      </c>
      <c r="J1242" s="22" t="s">
        <v>707</v>
      </c>
      <c r="K1242" s="24"/>
      <c r="L1242" s="22" t="s">
        <v>586</v>
      </c>
      <c r="M1242" s="22">
        <v>1.0</v>
      </c>
      <c r="N1242" s="22" t="s">
        <v>413</v>
      </c>
      <c r="O1242" s="22" t="s">
        <v>414</v>
      </c>
      <c r="P1242" s="24"/>
      <c r="Q1242" s="22" t="s">
        <v>90</v>
      </c>
      <c r="R1242" s="22">
        <v>3.2767196496195E13</v>
      </c>
      <c r="S1242" s="24"/>
      <c r="T1242" s="24"/>
      <c r="U1242" s="24"/>
      <c r="V1242" s="27" t="s">
        <v>105</v>
      </c>
      <c r="W1242" s="33"/>
      <c r="X1242" s="33"/>
      <c r="Y1242" s="30"/>
      <c r="Z1242" s="30"/>
      <c r="AA1242" s="33"/>
      <c r="AB1242" s="33"/>
      <c r="AC1242" s="30"/>
      <c r="AD1242" s="30"/>
      <c r="AE1242" s="33"/>
      <c r="AF1242" s="31"/>
      <c r="AG1242" s="30"/>
      <c r="AH1242" s="30"/>
      <c r="AI1242" s="31"/>
      <c r="AJ1242" s="31"/>
      <c r="AK1242" s="32"/>
    </row>
    <row r="1243">
      <c r="A1243" s="21" t="s">
        <v>172</v>
      </c>
      <c r="B1243" s="22" t="s">
        <v>2612</v>
      </c>
      <c r="C1243" s="22" t="s">
        <v>273</v>
      </c>
      <c r="D1243" s="23">
        <v>45991.0</v>
      </c>
      <c r="E1243" s="22" t="s">
        <v>145</v>
      </c>
      <c r="F1243" s="22" t="s">
        <v>83</v>
      </c>
      <c r="G1243" s="22" t="s">
        <v>2613</v>
      </c>
      <c r="H1243" s="22" t="s">
        <v>172</v>
      </c>
      <c r="I1243" s="22">
        <v>1.0466025439555E13</v>
      </c>
      <c r="J1243" s="22" t="s">
        <v>2614</v>
      </c>
      <c r="K1243" s="24"/>
      <c r="L1243" s="22" t="s">
        <v>174</v>
      </c>
      <c r="M1243" s="22">
        <v>1.0</v>
      </c>
      <c r="N1243" s="22" t="s">
        <v>103</v>
      </c>
      <c r="O1243" s="22" t="s">
        <v>104</v>
      </c>
      <c r="P1243" s="24"/>
      <c r="Q1243" s="22" t="s">
        <v>90</v>
      </c>
      <c r="R1243" s="22">
        <v>3.2767244337475E13</v>
      </c>
      <c r="S1243" s="24"/>
      <c r="T1243" s="24"/>
      <c r="U1243" s="24"/>
      <c r="V1243" s="22" t="s">
        <v>175</v>
      </c>
      <c r="W1243" s="33"/>
      <c r="X1243" s="33"/>
      <c r="Y1243" s="30"/>
      <c r="Z1243" s="30"/>
      <c r="AA1243" s="33"/>
      <c r="AB1243" s="33"/>
      <c r="AC1243" s="30"/>
      <c r="AD1243" s="30"/>
      <c r="AE1243" s="33"/>
      <c r="AF1243" s="31"/>
      <c r="AG1243" s="30"/>
      <c r="AH1243" s="30"/>
      <c r="AI1243" s="31"/>
      <c r="AJ1243" s="31"/>
      <c r="AK1243" s="32"/>
    </row>
    <row r="1244">
      <c r="A1244" s="21" t="s">
        <v>92</v>
      </c>
      <c r="B1244" s="22" t="s">
        <v>2615</v>
      </c>
      <c r="C1244" s="22" t="s">
        <v>294</v>
      </c>
      <c r="D1244" s="26">
        <v>45992.0</v>
      </c>
      <c r="E1244" s="22" t="s">
        <v>1400</v>
      </c>
      <c r="F1244" s="22" t="s">
        <v>83</v>
      </c>
      <c r="G1244" s="22" t="s">
        <v>2616</v>
      </c>
      <c r="H1244" s="22" t="s">
        <v>92</v>
      </c>
      <c r="I1244" s="22">
        <v>1.0466108834115E13</v>
      </c>
      <c r="J1244" s="22" t="s">
        <v>2617</v>
      </c>
      <c r="K1244" s="24"/>
      <c r="L1244" s="22" t="s">
        <v>94</v>
      </c>
      <c r="M1244" s="22">
        <v>1.0</v>
      </c>
      <c r="N1244" s="22" t="s">
        <v>87</v>
      </c>
      <c r="O1244" s="22" t="s">
        <v>88</v>
      </c>
      <c r="P1244" s="24"/>
      <c r="Q1244" s="22" t="s">
        <v>90</v>
      </c>
      <c r="R1244" s="22">
        <v>3.2767412175171E13</v>
      </c>
      <c r="S1244" s="24"/>
      <c r="T1244" s="24"/>
      <c r="U1244" s="24"/>
      <c r="V1244" s="22" t="s">
        <v>95</v>
      </c>
      <c r="W1244" s="33"/>
      <c r="X1244" s="33"/>
      <c r="Y1244" s="30"/>
      <c r="Z1244" s="30"/>
      <c r="AA1244" s="33"/>
      <c r="AB1244" s="33"/>
      <c r="AC1244" s="30"/>
      <c r="AD1244" s="30"/>
      <c r="AE1244" s="33"/>
      <c r="AF1244" s="31"/>
      <c r="AG1244" s="30"/>
      <c r="AH1244" s="30"/>
      <c r="AI1244" s="31"/>
      <c r="AJ1244" s="31"/>
      <c r="AK1244" s="32"/>
    </row>
    <row r="1245">
      <c r="A1245" s="21" t="s">
        <v>912</v>
      </c>
      <c r="B1245" s="22" t="s">
        <v>1120</v>
      </c>
      <c r="C1245" s="22" t="s">
        <v>82</v>
      </c>
      <c r="D1245" s="23">
        <v>46004.0</v>
      </c>
      <c r="E1245" s="22" t="s">
        <v>153</v>
      </c>
      <c r="F1245" s="22" t="s">
        <v>377</v>
      </c>
      <c r="G1245" s="22" t="s">
        <v>2618</v>
      </c>
      <c r="H1245" s="22" t="s">
        <v>912</v>
      </c>
      <c r="I1245" s="22">
        <v>1.0466134327619E13</v>
      </c>
      <c r="J1245" s="22" t="s">
        <v>1122</v>
      </c>
      <c r="K1245" s="24"/>
      <c r="L1245" s="22" t="s">
        <v>914</v>
      </c>
      <c r="M1245" s="22">
        <v>1.0</v>
      </c>
      <c r="N1245" s="22" t="s">
        <v>381</v>
      </c>
      <c r="O1245" s="22" t="s">
        <v>382</v>
      </c>
      <c r="P1245" s="24"/>
      <c r="Q1245" s="22" t="s">
        <v>90</v>
      </c>
      <c r="R1245" s="22">
        <v>3.2767467356483E13</v>
      </c>
      <c r="S1245" s="24"/>
      <c r="T1245" s="24"/>
      <c r="U1245" s="24"/>
      <c r="V1245" s="22" t="s">
        <v>54</v>
      </c>
      <c r="W1245" s="33"/>
      <c r="X1245" s="33"/>
      <c r="Y1245" s="30"/>
      <c r="Z1245" s="30"/>
      <c r="AA1245" s="33"/>
      <c r="AB1245" s="33"/>
      <c r="AC1245" s="30"/>
      <c r="AD1245" s="30"/>
      <c r="AE1245" s="33"/>
      <c r="AF1245" s="31"/>
      <c r="AG1245" s="30"/>
      <c r="AH1245" s="30"/>
      <c r="AI1245" s="31"/>
      <c r="AJ1245" s="31"/>
      <c r="AK1245" s="32"/>
    </row>
    <row r="1246">
      <c r="A1246" s="21" t="s">
        <v>367</v>
      </c>
      <c r="B1246" s="22" t="s">
        <v>1364</v>
      </c>
      <c r="C1246" s="22" t="s">
        <v>273</v>
      </c>
      <c r="D1246" s="26">
        <v>45998.0</v>
      </c>
      <c r="E1246" s="22" t="s">
        <v>138</v>
      </c>
      <c r="F1246" s="22" t="s">
        <v>369</v>
      </c>
      <c r="G1246" s="22" t="s">
        <v>2619</v>
      </c>
      <c r="H1246" s="22" t="s">
        <v>367</v>
      </c>
      <c r="I1246" s="22">
        <v>1.0466168308035E13</v>
      </c>
      <c r="J1246" s="22" t="s">
        <v>1366</v>
      </c>
      <c r="K1246" s="24"/>
      <c r="L1246" s="22" t="s">
        <v>372</v>
      </c>
      <c r="M1246" s="22">
        <v>1.0</v>
      </c>
      <c r="N1246" s="22" t="s">
        <v>373</v>
      </c>
      <c r="O1246" s="22" t="s">
        <v>374</v>
      </c>
      <c r="P1246" s="24"/>
      <c r="Q1246" s="22" t="s">
        <v>90</v>
      </c>
      <c r="R1246" s="22">
        <v>3.2767533646147E13</v>
      </c>
      <c r="S1246" s="24"/>
      <c r="T1246" s="24"/>
      <c r="U1246" s="24"/>
      <c r="V1246" s="22" t="s">
        <v>55</v>
      </c>
      <c r="W1246" s="33"/>
      <c r="X1246" s="33"/>
      <c r="Y1246" s="30"/>
      <c r="Z1246" s="30"/>
      <c r="AA1246" s="33"/>
      <c r="AB1246" s="33"/>
      <c r="AC1246" s="30"/>
      <c r="AD1246" s="30"/>
      <c r="AE1246" s="33"/>
      <c r="AF1246" s="31"/>
      <c r="AG1246" s="30"/>
      <c r="AH1246" s="30"/>
      <c r="AI1246" s="31"/>
      <c r="AJ1246" s="31"/>
      <c r="AK1246" s="32"/>
    </row>
    <row r="1247">
      <c r="A1247" s="21" t="s">
        <v>538</v>
      </c>
      <c r="B1247" s="22" t="s">
        <v>587</v>
      </c>
      <c r="C1247" s="22" t="s">
        <v>273</v>
      </c>
      <c r="D1247" s="26">
        <v>45998.0</v>
      </c>
      <c r="E1247" s="22" t="s">
        <v>153</v>
      </c>
      <c r="F1247" s="22" t="s">
        <v>369</v>
      </c>
      <c r="G1247" s="22" t="s">
        <v>2620</v>
      </c>
      <c r="H1247" s="22" t="s">
        <v>538</v>
      </c>
      <c r="I1247" s="22">
        <v>1.0466175091011E13</v>
      </c>
      <c r="J1247" s="22" t="s">
        <v>589</v>
      </c>
      <c r="K1247" s="24"/>
      <c r="L1247" s="22" t="s">
        <v>542</v>
      </c>
      <c r="M1247" s="22">
        <v>1.0</v>
      </c>
      <c r="N1247" s="22" t="s">
        <v>373</v>
      </c>
      <c r="O1247" s="22" t="s">
        <v>374</v>
      </c>
      <c r="P1247" s="24"/>
      <c r="Q1247" s="22" t="s">
        <v>90</v>
      </c>
      <c r="R1247" s="22">
        <v>3.2767548686659E13</v>
      </c>
      <c r="S1247" s="24"/>
      <c r="T1247" s="24"/>
      <c r="U1247" s="24"/>
      <c r="V1247" s="22" t="s">
        <v>91</v>
      </c>
      <c r="W1247" s="33"/>
      <c r="X1247" s="33"/>
      <c r="Y1247" s="30"/>
      <c r="Z1247" s="30"/>
      <c r="AA1247" s="33"/>
      <c r="AB1247" s="33"/>
      <c r="AC1247" s="30"/>
      <c r="AD1247" s="30"/>
      <c r="AE1247" s="33"/>
      <c r="AF1247" s="31"/>
      <c r="AG1247" s="30"/>
      <c r="AH1247" s="30"/>
      <c r="AI1247" s="31"/>
      <c r="AJ1247" s="31"/>
      <c r="AK1247" s="32"/>
    </row>
    <row r="1248">
      <c r="A1248" s="21" t="s">
        <v>863</v>
      </c>
      <c r="B1248" s="22" t="s">
        <v>2621</v>
      </c>
      <c r="C1248" s="22" t="s">
        <v>82</v>
      </c>
      <c r="D1248" s="26">
        <v>45997.0</v>
      </c>
      <c r="E1248" s="22" t="s">
        <v>970</v>
      </c>
      <c r="F1248" s="22" t="s">
        <v>698</v>
      </c>
      <c r="G1248" s="22" t="s">
        <v>2622</v>
      </c>
      <c r="H1248" s="22" t="s">
        <v>863</v>
      </c>
      <c r="I1248" s="22">
        <v>1.0466217984323E13</v>
      </c>
      <c r="J1248" s="22" t="s">
        <v>1719</v>
      </c>
      <c r="K1248" s="24"/>
      <c r="L1248" s="22" t="s">
        <v>865</v>
      </c>
      <c r="M1248" s="22">
        <v>1.0</v>
      </c>
      <c r="N1248" s="22" t="s">
        <v>819</v>
      </c>
      <c r="O1248" s="22" t="s">
        <v>820</v>
      </c>
      <c r="P1248" s="24"/>
      <c r="Q1248" s="22" t="s">
        <v>90</v>
      </c>
      <c r="R1248" s="22">
        <v>3.2767635980611E13</v>
      </c>
      <c r="S1248" s="24"/>
      <c r="T1248" s="24"/>
      <c r="U1248" s="24"/>
      <c r="V1248" s="22" t="s">
        <v>175</v>
      </c>
      <c r="W1248" s="33"/>
      <c r="X1248" s="33"/>
      <c r="Y1248" s="30"/>
      <c r="Z1248" s="30"/>
      <c r="AA1248" s="33"/>
      <c r="AB1248" s="33"/>
      <c r="AC1248" s="30"/>
      <c r="AD1248" s="30"/>
      <c r="AE1248" s="33"/>
      <c r="AF1248" s="31"/>
      <c r="AG1248" s="30"/>
      <c r="AH1248" s="30"/>
      <c r="AI1248" s="31"/>
      <c r="AJ1248" s="31"/>
      <c r="AK1248" s="32"/>
    </row>
    <row r="1249">
      <c r="A1249" s="21" t="s">
        <v>529</v>
      </c>
      <c r="B1249" s="22" t="s">
        <v>1343</v>
      </c>
      <c r="C1249" s="22" t="s">
        <v>273</v>
      </c>
      <c r="D1249" s="26">
        <v>45998.0</v>
      </c>
      <c r="E1249" s="22" t="s">
        <v>266</v>
      </c>
      <c r="F1249" s="22" t="s">
        <v>472</v>
      </c>
      <c r="G1249" s="22" t="s">
        <v>2623</v>
      </c>
      <c r="H1249" s="22" t="s">
        <v>529</v>
      </c>
      <c r="I1249" s="22">
        <v>1.0466219163971E13</v>
      </c>
      <c r="J1249" s="22" t="s">
        <v>1345</v>
      </c>
      <c r="K1249" s="24"/>
      <c r="L1249" s="22" t="s">
        <v>533</v>
      </c>
      <c r="M1249" s="22">
        <v>1.0</v>
      </c>
      <c r="N1249" s="22" t="s">
        <v>534</v>
      </c>
      <c r="O1249" s="22" t="s">
        <v>535</v>
      </c>
      <c r="P1249" s="24"/>
      <c r="Q1249" s="22" t="s">
        <v>90</v>
      </c>
      <c r="R1249" s="22">
        <v>3.2767638176067E13</v>
      </c>
      <c r="S1249" s="24"/>
      <c r="T1249" s="24"/>
      <c r="U1249" s="24"/>
      <c r="V1249" s="22" t="s">
        <v>127</v>
      </c>
      <c r="W1249" s="33"/>
      <c r="X1249" s="33"/>
      <c r="Y1249" s="30"/>
      <c r="Z1249" s="30"/>
      <c r="AA1249" s="33"/>
      <c r="AB1249" s="33"/>
      <c r="AC1249" s="30"/>
      <c r="AD1249" s="30"/>
      <c r="AE1249" s="33"/>
      <c r="AF1249" s="31"/>
      <c r="AG1249" s="30"/>
      <c r="AH1249" s="30"/>
      <c r="AI1249" s="31"/>
      <c r="AJ1249" s="31"/>
      <c r="AK1249" s="32"/>
    </row>
    <row r="1250">
      <c r="A1250" s="21" t="s">
        <v>327</v>
      </c>
      <c r="B1250" s="22" t="s">
        <v>1187</v>
      </c>
      <c r="C1250" s="22" t="s">
        <v>273</v>
      </c>
      <c r="D1250" s="23">
        <v>45991.0</v>
      </c>
      <c r="E1250" s="22" t="s">
        <v>134</v>
      </c>
      <c r="F1250" s="22" t="s">
        <v>329</v>
      </c>
      <c r="G1250" s="22" t="s">
        <v>2624</v>
      </c>
      <c r="H1250" s="22" t="s">
        <v>327</v>
      </c>
      <c r="I1250" s="22">
        <v>1.0466221752643E13</v>
      </c>
      <c r="J1250" s="22" t="s">
        <v>1189</v>
      </c>
      <c r="K1250" s="24"/>
      <c r="L1250" s="22" t="s">
        <v>332</v>
      </c>
      <c r="M1250" s="22">
        <v>1.0</v>
      </c>
      <c r="N1250" s="22" t="s">
        <v>333</v>
      </c>
      <c r="O1250" s="22" t="s">
        <v>334</v>
      </c>
      <c r="P1250" s="24"/>
      <c r="Q1250" s="22" t="s">
        <v>90</v>
      </c>
      <c r="R1250" s="22">
        <v>3.2767643124035E13</v>
      </c>
      <c r="S1250" s="24"/>
      <c r="T1250" s="24"/>
      <c r="U1250" s="24"/>
      <c r="V1250" s="22" t="s">
        <v>55</v>
      </c>
      <c r="W1250" s="33"/>
      <c r="X1250" s="33"/>
      <c r="Y1250" s="30"/>
      <c r="Z1250" s="30"/>
      <c r="AA1250" s="33"/>
      <c r="AB1250" s="33"/>
      <c r="AC1250" s="30"/>
      <c r="AD1250" s="30"/>
      <c r="AE1250" s="33"/>
      <c r="AF1250" s="31"/>
      <c r="AG1250" s="30"/>
      <c r="AH1250" s="30"/>
      <c r="AI1250" s="31"/>
      <c r="AJ1250" s="31"/>
      <c r="AK1250" s="32"/>
    </row>
    <row r="1251">
      <c r="A1251" s="21" t="s">
        <v>1151</v>
      </c>
      <c r="B1251" s="22" t="s">
        <v>1457</v>
      </c>
      <c r="C1251" s="22" t="s">
        <v>273</v>
      </c>
      <c r="D1251" s="26">
        <v>45998.0</v>
      </c>
      <c r="E1251" s="22" t="s">
        <v>302</v>
      </c>
      <c r="F1251" s="22" t="s">
        <v>303</v>
      </c>
      <c r="G1251" s="22" t="s">
        <v>2625</v>
      </c>
      <c r="H1251" s="22" t="s">
        <v>1151</v>
      </c>
      <c r="I1251" s="22">
        <v>1.0466242232643E13</v>
      </c>
      <c r="J1251" s="22" t="s">
        <v>1459</v>
      </c>
      <c r="K1251" s="24"/>
      <c r="L1251" s="22" t="s">
        <v>1155</v>
      </c>
      <c r="M1251" s="22">
        <v>1.0</v>
      </c>
      <c r="N1251" s="22" t="s">
        <v>307</v>
      </c>
      <c r="O1251" s="22" t="s">
        <v>308</v>
      </c>
      <c r="P1251" s="24"/>
      <c r="Q1251" s="22" t="s">
        <v>90</v>
      </c>
      <c r="R1251" s="22">
        <v>3.2767687557443E13</v>
      </c>
      <c r="S1251" s="24"/>
      <c r="T1251" s="24"/>
      <c r="U1251" s="24"/>
      <c r="V1251" s="22" t="s">
        <v>54</v>
      </c>
      <c r="W1251" s="33"/>
      <c r="X1251" s="33"/>
      <c r="Y1251" s="30"/>
      <c r="Z1251" s="30"/>
      <c r="AA1251" s="33"/>
      <c r="AB1251" s="33"/>
      <c r="AC1251" s="30"/>
      <c r="AD1251" s="30"/>
      <c r="AE1251" s="33"/>
      <c r="AF1251" s="31"/>
      <c r="AG1251" s="30"/>
      <c r="AH1251" s="30"/>
      <c r="AI1251" s="31"/>
      <c r="AJ1251" s="31"/>
      <c r="AK1251" s="32"/>
    </row>
    <row r="1252">
      <c r="A1252" s="21" t="s">
        <v>1217</v>
      </c>
      <c r="B1252" s="22" t="s">
        <v>1576</v>
      </c>
      <c r="C1252" s="22" t="s">
        <v>82</v>
      </c>
      <c r="D1252" s="26">
        <v>45997.0</v>
      </c>
      <c r="E1252" s="22" t="s">
        <v>1117</v>
      </c>
      <c r="F1252" s="22" t="s">
        <v>605</v>
      </c>
      <c r="G1252" s="22" t="s">
        <v>2626</v>
      </c>
      <c r="H1252" s="22" t="s">
        <v>1217</v>
      </c>
      <c r="I1252" s="22">
        <v>1.0466280833347E13</v>
      </c>
      <c r="J1252" s="22" t="s">
        <v>1578</v>
      </c>
      <c r="K1252" s="24"/>
      <c r="L1252" s="22" t="s">
        <v>1219</v>
      </c>
      <c r="M1252" s="22">
        <v>1.0</v>
      </c>
      <c r="N1252" s="22" t="s">
        <v>609</v>
      </c>
      <c r="O1252" s="22" t="s">
        <v>610</v>
      </c>
      <c r="P1252" s="24"/>
      <c r="Q1252" s="22" t="s">
        <v>90</v>
      </c>
      <c r="R1252" s="22">
        <v>3.2767772262723E13</v>
      </c>
      <c r="S1252" s="24"/>
      <c r="T1252" s="24"/>
      <c r="U1252" s="24"/>
      <c r="V1252" s="22" t="s">
        <v>91</v>
      </c>
      <c r="W1252" s="33"/>
      <c r="X1252" s="33"/>
      <c r="Y1252" s="30"/>
      <c r="Z1252" s="30"/>
      <c r="AA1252" s="33"/>
      <c r="AB1252" s="33"/>
      <c r="AC1252" s="30"/>
      <c r="AD1252" s="30"/>
      <c r="AE1252" s="33"/>
      <c r="AF1252" s="31"/>
      <c r="AG1252" s="30"/>
      <c r="AH1252" s="30"/>
      <c r="AI1252" s="31"/>
      <c r="AJ1252" s="31"/>
      <c r="AK1252" s="32"/>
    </row>
    <row r="1253">
      <c r="A1253" s="21" t="s">
        <v>1217</v>
      </c>
      <c r="B1253" s="22" t="s">
        <v>1576</v>
      </c>
      <c r="C1253" s="22" t="s">
        <v>82</v>
      </c>
      <c r="D1253" s="26">
        <v>45997.0</v>
      </c>
      <c r="E1253" s="22" t="s">
        <v>1117</v>
      </c>
      <c r="F1253" s="22" t="s">
        <v>605</v>
      </c>
      <c r="G1253" s="22" t="s">
        <v>2627</v>
      </c>
      <c r="H1253" s="22" t="s">
        <v>1217</v>
      </c>
      <c r="I1253" s="22">
        <v>1.0466284372291E13</v>
      </c>
      <c r="J1253" s="22" t="s">
        <v>1578</v>
      </c>
      <c r="K1253" s="24"/>
      <c r="L1253" s="22" t="s">
        <v>1219</v>
      </c>
      <c r="M1253" s="22">
        <v>1.0</v>
      </c>
      <c r="N1253" s="22" t="s">
        <v>609</v>
      </c>
      <c r="O1253" s="22" t="s">
        <v>610</v>
      </c>
      <c r="P1253" s="24"/>
      <c r="Q1253" s="22" t="s">
        <v>90</v>
      </c>
      <c r="R1253" s="22">
        <v>3.2767779111235E13</v>
      </c>
      <c r="S1253" s="24"/>
      <c r="T1253" s="24"/>
      <c r="U1253" s="24"/>
      <c r="V1253" s="22" t="s">
        <v>91</v>
      </c>
      <c r="W1253" s="33"/>
      <c r="X1253" s="33"/>
      <c r="Y1253" s="30"/>
      <c r="Z1253" s="30"/>
      <c r="AA1253" s="33"/>
      <c r="AB1253" s="33"/>
      <c r="AC1253" s="30"/>
      <c r="AD1253" s="30"/>
      <c r="AE1253" s="33"/>
      <c r="AF1253" s="31"/>
      <c r="AG1253" s="30"/>
      <c r="AH1253" s="30"/>
      <c r="AI1253" s="31"/>
      <c r="AJ1253" s="31"/>
      <c r="AK1253" s="32"/>
    </row>
    <row r="1254">
      <c r="A1254" s="21" t="s">
        <v>1423</v>
      </c>
      <c r="B1254" s="22" t="s">
        <v>2628</v>
      </c>
      <c r="C1254" s="22" t="s">
        <v>82</v>
      </c>
      <c r="D1254" s="26">
        <v>45997.0</v>
      </c>
      <c r="E1254" s="22" t="s">
        <v>266</v>
      </c>
      <c r="F1254" s="22" t="s">
        <v>717</v>
      </c>
      <c r="G1254" s="22" t="s">
        <v>2629</v>
      </c>
      <c r="H1254" s="22" t="s">
        <v>1423</v>
      </c>
      <c r="I1254" s="22">
        <v>1.0466285322563E13</v>
      </c>
      <c r="J1254" s="22" t="s">
        <v>2630</v>
      </c>
      <c r="K1254" s="24"/>
      <c r="L1254" s="22" t="s">
        <v>1427</v>
      </c>
      <c r="M1254" s="22">
        <v>1.0</v>
      </c>
      <c r="N1254" s="22" t="s">
        <v>721</v>
      </c>
      <c r="O1254" s="22" t="s">
        <v>722</v>
      </c>
      <c r="P1254" s="24"/>
      <c r="Q1254" s="22" t="s">
        <v>90</v>
      </c>
      <c r="R1254" s="22">
        <v>3.2767781699907E13</v>
      </c>
      <c r="S1254" s="24"/>
      <c r="T1254" s="24"/>
      <c r="U1254" s="24"/>
      <c r="V1254" s="22" t="s">
        <v>95</v>
      </c>
      <c r="W1254" s="33"/>
      <c r="X1254" s="33"/>
      <c r="Y1254" s="30"/>
      <c r="Z1254" s="30"/>
      <c r="AA1254" s="33"/>
      <c r="AB1254" s="33"/>
      <c r="AC1254" s="30"/>
      <c r="AD1254" s="30"/>
      <c r="AE1254" s="33"/>
      <c r="AF1254" s="31"/>
      <c r="AG1254" s="30"/>
      <c r="AH1254" s="30"/>
      <c r="AI1254" s="31"/>
      <c r="AJ1254" s="31"/>
      <c r="AK1254" s="32"/>
    </row>
    <row r="1255">
      <c r="A1255" s="21" t="s">
        <v>463</v>
      </c>
      <c r="B1255" s="22" t="s">
        <v>741</v>
      </c>
      <c r="C1255" s="22" t="s">
        <v>82</v>
      </c>
      <c r="D1255" s="26">
        <v>45997.0</v>
      </c>
      <c r="E1255" s="22" t="s">
        <v>134</v>
      </c>
      <c r="F1255" s="22" t="s">
        <v>303</v>
      </c>
      <c r="G1255" s="22" t="s">
        <v>2631</v>
      </c>
      <c r="H1255" s="22" t="s">
        <v>463</v>
      </c>
      <c r="I1255" s="22">
        <v>1.0466318516547E13</v>
      </c>
      <c r="J1255" s="22" t="s">
        <v>743</v>
      </c>
      <c r="K1255" s="24"/>
      <c r="L1255" s="22" t="s">
        <v>467</v>
      </c>
      <c r="M1255" s="22">
        <v>1.0</v>
      </c>
      <c r="N1255" s="22" t="s">
        <v>468</v>
      </c>
      <c r="O1255" s="22" t="s">
        <v>469</v>
      </c>
      <c r="P1255" s="24"/>
      <c r="Q1255" s="22" t="s">
        <v>90</v>
      </c>
      <c r="R1255" s="22">
        <v>3.2767858311491E13</v>
      </c>
      <c r="S1255" s="24"/>
      <c r="T1255" s="24"/>
      <c r="U1255" s="24"/>
      <c r="V1255" s="22" t="s">
        <v>105</v>
      </c>
      <c r="W1255" s="33"/>
      <c r="X1255" s="33"/>
      <c r="Y1255" s="30"/>
      <c r="Z1255" s="30"/>
      <c r="AA1255" s="33"/>
      <c r="AB1255" s="33"/>
      <c r="AC1255" s="30"/>
      <c r="AD1255" s="30"/>
      <c r="AE1255" s="33"/>
      <c r="AF1255" s="31"/>
      <c r="AG1255" s="30"/>
      <c r="AH1255" s="30"/>
      <c r="AI1255" s="31"/>
      <c r="AJ1255" s="31"/>
      <c r="AK1255" s="32"/>
    </row>
    <row r="1256">
      <c r="A1256" s="21" t="s">
        <v>814</v>
      </c>
      <c r="B1256" s="22" t="s">
        <v>697</v>
      </c>
      <c r="C1256" s="22" t="s">
        <v>82</v>
      </c>
      <c r="D1256" s="26">
        <v>45997.0</v>
      </c>
      <c r="E1256" s="22" t="s">
        <v>439</v>
      </c>
      <c r="F1256" s="22" t="s">
        <v>698</v>
      </c>
      <c r="G1256" s="22" t="s">
        <v>2632</v>
      </c>
      <c r="H1256" s="22" t="s">
        <v>814</v>
      </c>
      <c r="I1256" s="22">
        <v>1.0466319270211E13</v>
      </c>
      <c r="J1256" s="22" t="s">
        <v>700</v>
      </c>
      <c r="K1256" s="24"/>
      <c r="L1256" s="22" t="s">
        <v>818</v>
      </c>
      <c r="M1256" s="22">
        <v>1.0</v>
      </c>
      <c r="N1256" s="22" t="s">
        <v>819</v>
      </c>
      <c r="O1256" s="22" t="s">
        <v>820</v>
      </c>
      <c r="P1256" s="24"/>
      <c r="Q1256" s="22" t="s">
        <v>90</v>
      </c>
      <c r="R1256" s="22">
        <v>3.2767859622211E13</v>
      </c>
      <c r="S1256" s="24"/>
      <c r="T1256" s="24"/>
      <c r="U1256" s="24"/>
      <c r="V1256" s="22" t="s">
        <v>127</v>
      </c>
      <c r="W1256" s="33"/>
      <c r="X1256" s="33"/>
      <c r="Y1256" s="30"/>
      <c r="Z1256" s="30"/>
      <c r="AA1256" s="33"/>
      <c r="AB1256" s="33"/>
      <c r="AC1256" s="30"/>
      <c r="AD1256" s="30"/>
      <c r="AE1256" s="33"/>
      <c r="AF1256" s="31"/>
      <c r="AG1256" s="30"/>
      <c r="AH1256" s="30"/>
      <c r="AI1256" s="31"/>
      <c r="AJ1256" s="31"/>
      <c r="AK1256" s="32"/>
    </row>
    <row r="1257">
      <c r="A1257" s="21" t="s">
        <v>979</v>
      </c>
      <c r="B1257" s="22" t="s">
        <v>2633</v>
      </c>
      <c r="C1257" s="22" t="s">
        <v>82</v>
      </c>
      <c r="D1257" s="26">
        <v>45997.0</v>
      </c>
      <c r="E1257" s="22" t="s">
        <v>1572</v>
      </c>
      <c r="F1257" s="22" t="s">
        <v>605</v>
      </c>
      <c r="G1257" s="22" t="s">
        <v>2634</v>
      </c>
      <c r="H1257" s="22" t="s">
        <v>979</v>
      </c>
      <c r="I1257" s="22">
        <v>1.0466385297731E13</v>
      </c>
      <c r="J1257" s="22" t="s">
        <v>2635</v>
      </c>
      <c r="K1257" s="24"/>
      <c r="L1257" s="22" t="s">
        <v>984</v>
      </c>
      <c r="M1257" s="22">
        <v>1.0</v>
      </c>
      <c r="N1257" s="22" t="s">
        <v>609</v>
      </c>
      <c r="O1257" s="22" t="s">
        <v>610</v>
      </c>
      <c r="P1257" s="24"/>
      <c r="Q1257" s="22" t="s">
        <v>90</v>
      </c>
      <c r="R1257" s="22">
        <v>3.2768006062403E13</v>
      </c>
      <c r="S1257" s="24"/>
      <c r="T1257" s="24"/>
      <c r="U1257" s="24"/>
      <c r="V1257" s="22" t="s">
        <v>55</v>
      </c>
      <c r="W1257" s="33"/>
      <c r="X1257" s="33"/>
      <c r="Y1257" s="30"/>
      <c r="Z1257" s="30"/>
      <c r="AA1257" s="33"/>
      <c r="AB1257" s="33"/>
      <c r="AC1257" s="30"/>
      <c r="AD1257" s="30"/>
      <c r="AE1257" s="33"/>
      <c r="AF1257" s="31"/>
      <c r="AG1257" s="30"/>
      <c r="AH1257" s="30"/>
      <c r="AI1257" s="31"/>
      <c r="AJ1257" s="31"/>
      <c r="AK1257" s="32"/>
    </row>
    <row r="1258">
      <c r="A1258" s="21" t="s">
        <v>664</v>
      </c>
      <c r="B1258" s="22" t="s">
        <v>471</v>
      </c>
      <c r="C1258" s="22" t="s">
        <v>82</v>
      </c>
      <c r="D1258" s="26">
        <v>45997.0</v>
      </c>
      <c r="E1258" s="22" t="s">
        <v>134</v>
      </c>
      <c r="F1258" s="22" t="s">
        <v>472</v>
      </c>
      <c r="G1258" s="22" t="s">
        <v>2636</v>
      </c>
      <c r="H1258" s="22" t="s">
        <v>664</v>
      </c>
      <c r="I1258" s="22">
        <v>1.0466396930371E13</v>
      </c>
      <c r="J1258" s="22" t="s">
        <v>474</v>
      </c>
      <c r="K1258" s="24"/>
      <c r="L1258" s="22" t="s">
        <v>668</v>
      </c>
      <c r="M1258" s="22">
        <v>1.0</v>
      </c>
      <c r="N1258" s="22" t="s">
        <v>534</v>
      </c>
      <c r="O1258" s="22" t="s">
        <v>535</v>
      </c>
      <c r="P1258" s="24"/>
      <c r="Q1258" s="22" t="s">
        <v>90</v>
      </c>
      <c r="R1258" s="22">
        <v>3.2768030540099E13</v>
      </c>
      <c r="S1258" s="24"/>
      <c r="T1258" s="24"/>
      <c r="U1258" s="24"/>
      <c r="V1258" s="22" t="s">
        <v>175</v>
      </c>
      <c r="W1258" s="33"/>
      <c r="X1258" s="33"/>
      <c r="Y1258" s="30"/>
      <c r="Z1258" s="30"/>
      <c r="AA1258" s="33"/>
      <c r="AB1258" s="33"/>
      <c r="AC1258" s="30"/>
      <c r="AD1258" s="30"/>
      <c r="AE1258" s="33"/>
      <c r="AF1258" s="31"/>
      <c r="AG1258" s="30"/>
      <c r="AH1258" s="30"/>
      <c r="AI1258" s="31"/>
      <c r="AJ1258" s="31"/>
      <c r="AK1258" s="32"/>
    </row>
    <row r="1259">
      <c r="A1259" s="21" t="s">
        <v>1151</v>
      </c>
      <c r="B1259" s="22" t="s">
        <v>741</v>
      </c>
      <c r="C1259" s="22" t="s">
        <v>82</v>
      </c>
      <c r="D1259" s="26">
        <v>45997.0</v>
      </c>
      <c r="E1259" s="22" t="s">
        <v>134</v>
      </c>
      <c r="F1259" s="22" t="s">
        <v>303</v>
      </c>
      <c r="G1259" s="22" t="s">
        <v>2637</v>
      </c>
      <c r="H1259" s="22" t="s">
        <v>1151</v>
      </c>
      <c r="I1259" s="22">
        <v>1.0466401091907E13</v>
      </c>
      <c r="J1259" s="22" t="s">
        <v>743</v>
      </c>
      <c r="K1259" s="24"/>
      <c r="L1259" s="22" t="s">
        <v>1155</v>
      </c>
      <c r="M1259" s="22">
        <v>1.0</v>
      </c>
      <c r="N1259" s="22" t="s">
        <v>307</v>
      </c>
      <c r="O1259" s="22" t="s">
        <v>308</v>
      </c>
      <c r="P1259" s="24"/>
      <c r="Q1259" s="22" t="s">
        <v>90</v>
      </c>
      <c r="R1259" s="22">
        <v>3.2768040567107E13</v>
      </c>
      <c r="S1259" s="24"/>
      <c r="T1259" s="24"/>
      <c r="U1259" s="24"/>
      <c r="V1259" s="22" t="s">
        <v>54</v>
      </c>
      <c r="W1259" s="33"/>
      <c r="X1259" s="33"/>
      <c r="Y1259" s="30"/>
      <c r="Z1259" s="30"/>
      <c r="AA1259" s="33"/>
      <c r="AB1259" s="33"/>
      <c r="AC1259" s="30"/>
      <c r="AD1259" s="30"/>
      <c r="AE1259" s="33"/>
      <c r="AF1259" s="31"/>
      <c r="AG1259" s="30"/>
      <c r="AH1259" s="30"/>
      <c r="AI1259" s="31"/>
      <c r="AJ1259" s="31"/>
      <c r="AK1259" s="32"/>
    </row>
    <row r="1260">
      <c r="A1260" s="21" t="s">
        <v>408</v>
      </c>
      <c r="B1260" s="22" t="s">
        <v>512</v>
      </c>
      <c r="C1260" s="22" t="s">
        <v>82</v>
      </c>
      <c r="D1260" s="26">
        <v>45997.0</v>
      </c>
      <c r="E1260" s="22" t="s">
        <v>153</v>
      </c>
      <c r="F1260" s="22" t="s">
        <v>377</v>
      </c>
      <c r="G1260" s="22" t="s">
        <v>2638</v>
      </c>
      <c r="H1260" s="22" t="s">
        <v>408</v>
      </c>
      <c r="I1260" s="22">
        <v>1.0465640055107E13</v>
      </c>
      <c r="J1260" s="22" t="s">
        <v>514</v>
      </c>
      <c r="K1260" s="24"/>
      <c r="L1260" s="22" t="s">
        <v>412</v>
      </c>
      <c r="M1260" s="22">
        <v>1.0</v>
      </c>
      <c r="N1260" s="22" t="s">
        <v>413</v>
      </c>
      <c r="O1260" s="22" t="s">
        <v>414</v>
      </c>
      <c r="P1260" s="24"/>
      <c r="Q1260" s="22" t="s">
        <v>90</v>
      </c>
      <c r="R1260" s="22">
        <v>3.2766438015299E13</v>
      </c>
      <c r="S1260" s="24"/>
      <c r="T1260" s="24"/>
      <c r="U1260" s="24"/>
      <c r="V1260" s="22" t="s">
        <v>127</v>
      </c>
      <c r="W1260" s="33"/>
      <c r="X1260" s="33"/>
      <c r="Y1260" s="30"/>
      <c r="Z1260" s="30"/>
      <c r="AA1260" s="33"/>
      <c r="AB1260" s="33"/>
      <c r="AC1260" s="30"/>
      <c r="AD1260" s="30"/>
      <c r="AE1260" s="33"/>
      <c r="AF1260" s="31"/>
      <c r="AG1260" s="30"/>
      <c r="AH1260" s="30"/>
      <c r="AI1260" s="31"/>
      <c r="AJ1260" s="31"/>
      <c r="AK1260" s="32"/>
    </row>
    <row r="1261">
      <c r="A1261" s="21" t="s">
        <v>692</v>
      </c>
      <c r="B1261" s="22" t="s">
        <v>424</v>
      </c>
      <c r="C1261" s="22" t="s">
        <v>273</v>
      </c>
      <c r="D1261" s="26">
        <v>45998.0</v>
      </c>
      <c r="E1261" s="22" t="s">
        <v>134</v>
      </c>
      <c r="F1261" s="22" t="s">
        <v>369</v>
      </c>
      <c r="G1261" s="22" t="s">
        <v>2639</v>
      </c>
      <c r="H1261" s="22" t="s">
        <v>692</v>
      </c>
      <c r="I1261" s="22">
        <v>1.0465678623043E13</v>
      </c>
      <c r="J1261" s="22" t="s">
        <v>426</v>
      </c>
      <c r="K1261" s="24"/>
      <c r="L1261" s="22" t="s">
        <v>694</v>
      </c>
      <c r="M1261" s="22">
        <v>1.0</v>
      </c>
      <c r="N1261" s="22" t="s">
        <v>373</v>
      </c>
      <c r="O1261" s="22" t="s">
        <v>374</v>
      </c>
      <c r="P1261" s="24"/>
      <c r="Q1261" s="22" t="s">
        <v>90</v>
      </c>
      <c r="R1261" s="22">
        <v>3.2766518001987E13</v>
      </c>
      <c r="S1261" s="24"/>
      <c r="T1261" s="24"/>
      <c r="U1261" s="24"/>
      <c r="V1261" s="27" t="s">
        <v>54</v>
      </c>
      <c r="W1261" s="33"/>
      <c r="X1261" s="33"/>
      <c r="Y1261" s="30"/>
      <c r="Z1261" s="30"/>
      <c r="AA1261" s="33"/>
      <c r="AB1261" s="33"/>
      <c r="AC1261" s="30"/>
      <c r="AD1261" s="30"/>
      <c r="AE1261" s="33"/>
      <c r="AF1261" s="31"/>
      <c r="AG1261" s="30"/>
      <c r="AH1261" s="30"/>
      <c r="AI1261" s="31"/>
      <c r="AJ1261" s="31"/>
      <c r="AK1261" s="32"/>
    </row>
    <row r="1262">
      <c r="A1262" s="21" t="s">
        <v>979</v>
      </c>
      <c r="B1262" s="22" t="s">
        <v>2033</v>
      </c>
      <c r="C1262" s="22" t="s">
        <v>82</v>
      </c>
      <c r="D1262" s="26">
        <v>45997.0</v>
      </c>
      <c r="E1262" s="22" t="s">
        <v>1073</v>
      </c>
      <c r="F1262" s="22" t="s">
        <v>605</v>
      </c>
      <c r="G1262" s="22" t="s">
        <v>2640</v>
      </c>
      <c r="H1262" s="22" t="s">
        <v>979</v>
      </c>
      <c r="I1262" s="22">
        <v>1.0465696481603E13</v>
      </c>
      <c r="J1262" s="22" t="s">
        <v>2035</v>
      </c>
      <c r="K1262" s="24"/>
      <c r="L1262" s="22" t="s">
        <v>984</v>
      </c>
      <c r="M1262" s="22">
        <v>1.0</v>
      </c>
      <c r="N1262" s="22" t="s">
        <v>609</v>
      </c>
      <c r="O1262" s="22" t="s">
        <v>610</v>
      </c>
      <c r="P1262" s="24"/>
      <c r="Q1262" s="22" t="s">
        <v>90</v>
      </c>
      <c r="R1262" s="22">
        <v>3.2766556340547E13</v>
      </c>
      <c r="S1262" s="24"/>
      <c r="T1262" s="24"/>
      <c r="U1262" s="24"/>
      <c r="V1262" s="22" t="s">
        <v>55</v>
      </c>
      <c r="W1262" s="33"/>
      <c r="X1262" s="33"/>
      <c r="Y1262" s="30"/>
      <c r="Z1262" s="30"/>
      <c r="AA1262" s="33"/>
      <c r="AB1262" s="33"/>
      <c r="AC1262" s="30"/>
      <c r="AD1262" s="30"/>
      <c r="AE1262" s="33"/>
      <c r="AF1262" s="31"/>
      <c r="AG1262" s="30"/>
      <c r="AH1262" s="30"/>
      <c r="AI1262" s="31"/>
      <c r="AJ1262" s="31"/>
      <c r="AK1262" s="32"/>
    </row>
    <row r="1263">
      <c r="A1263" s="21" t="s">
        <v>822</v>
      </c>
      <c r="B1263" s="22" t="s">
        <v>2641</v>
      </c>
      <c r="C1263" s="22" t="s">
        <v>287</v>
      </c>
      <c r="D1263" s="23">
        <v>46001.0</v>
      </c>
      <c r="E1263" s="22" t="s">
        <v>2642</v>
      </c>
      <c r="F1263" s="22" t="s">
        <v>634</v>
      </c>
      <c r="G1263" s="22" t="s">
        <v>2643</v>
      </c>
      <c r="H1263" s="22" t="s">
        <v>822</v>
      </c>
      <c r="I1263" s="22">
        <v>1.0466406072643E13</v>
      </c>
      <c r="J1263" s="22" t="s">
        <v>2644</v>
      </c>
      <c r="K1263" s="24"/>
      <c r="L1263" s="22" t="s">
        <v>826</v>
      </c>
      <c r="M1263" s="22">
        <v>1.0</v>
      </c>
      <c r="N1263" s="22" t="s">
        <v>638</v>
      </c>
      <c r="O1263" s="22" t="s">
        <v>639</v>
      </c>
      <c r="P1263" s="24"/>
      <c r="Q1263" s="22" t="s">
        <v>90</v>
      </c>
      <c r="R1263" s="22">
        <v>3.2768051151171E13</v>
      </c>
      <c r="S1263" s="24"/>
      <c r="T1263" s="24"/>
      <c r="U1263" s="24"/>
      <c r="V1263" s="22" t="s">
        <v>55</v>
      </c>
      <c r="W1263" s="33"/>
      <c r="X1263" s="33"/>
      <c r="Y1263" s="30"/>
      <c r="Z1263" s="30"/>
      <c r="AA1263" s="33"/>
      <c r="AB1263" s="33"/>
      <c r="AC1263" s="30"/>
      <c r="AD1263" s="30"/>
      <c r="AE1263" s="33"/>
      <c r="AF1263" s="31"/>
      <c r="AG1263" s="30"/>
      <c r="AH1263" s="30"/>
      <c r="AI1263" s="31"/>
      <c r="AJ1263" s="31"/>
      <c r="AK1263" s="32"/>
    </row>
    <row r="1264">
      <c r="A1264" s="21" t="s">
        <v>1472</v>
      </c>
      <c r="B1264" s="22" t="s">
        <v>2556</v>
      </c>
      <c r="C1264" s="22" t="s">
        <v>82</v>
      </c>
      <c r="D1264" s="26">
        <v>45997.0</v>
      </c>
      <c r="E1264" s="22" t="s">
        <v>841</v>
      </c>
      <c r="F1264" s="22" t="s">
        <v>1466</v>
      </c>
      <c r="G1264" s="22" t="s">
        <v>2645</v>
      </c>
      <c r="H1264" s="22" t="s">
        <v>1472</v>
      </c>
      <c r="I1264" s="22">
        <v>1.0466451423555E13</v>
      </c>
      <c r="J1264" s="22" t="s">
        <v>2558</v>
      </c>
      <c r="K1264" s="24"/>
      <c r="L1264" s="22" t="s">
        <v>1474</v>
      </c>
      <c r="M1264" s="22">
        <v>1.0</v>
      </c>
      <c r="N1264" s="22" t="s">
        <v>1470</v>
      </c>
      <c r="O1264" s="22" t="s">
        <v>1471</v>
      </c>
      <c r="P1264" s="24"/>
      <c r="Q1264" s="22" t="s">
        <v>90</v>
      </c>
      <c r="R1264" s="22">
        <v>3.2768152568131E13</v>
      </c>
      <c r="S1264" s="24"/>
      <c r="T1264" s="24"/>
      <c r="U1264" s="24"/>
      <c r="V1264" s="22" t="s">
        <v>54</v>
      </c>
      <c r="W1264" s="33"/>
      <c r="X1264" s="33"/>
      <c r="Y1264" s="30"/>
      <c r="Z1264" s="30"/>
      <c r="AA1264" s="33"/>
      <c r="AB1264" s="33"/>
      <c r="AC1264" s="30"/>
      <c r="AD1264" s="30"/>
      <c r="AE1264" s="33"/>
      <c r="AF1264" s="31"/>
      <c r="AG1264" s="30"/>
      <c r="AH1264" s="30"/>
      <c r="AI1264" s="31"/>
      <c r="AJ1264" s="31"/>
      <c r="AK1264" s="32"/>
    </row>
    <row r="1265">
      <c r="A1265" s="21" t="s">
        <v>470</v>
      </c>
      <c r="B1265" s="22" t="s">
        <v>786</v>
      </c>
      <c r="C1265" s="22" t="s">
        <v>273</v>
      </c>
      <c r="D1265" s="26">
        <v>45998.0</v>
      </c>
      <c r="E1265" s="22" t="s">
        <v>145</v>
      </c>
      <c r="F1265" s="22" t="s">
        <v>472</v>
      </c>
      <c r="G1265" s="22" t="s">
        <v>2646</v>
      </c>
      <c r="H1265" s="22" t="s">
        <v>470</v>
      </c>
      <c r="I1265" s="22">
        <v>1.0466455454019E13</v>
      </c>
      <c r="J1265" s="22" t="s">
        <v>788</v>
      </c>
      <c r="K1265" s="24"/>
      <c r="L1265" s="22" t="s">
        <v>475</v>
      </c>
      <c r="M1265" s="22">
        <v>1.0</v>
      </c>
      <c r="N1265" s="22" t="s">
        <v>476</v>
      </c>
      <c r="O1265" s="22" t="s">
        <v>477</v>
      </c>
      <c r="P1265" s="24"/>
      <c r="Q1265" s="22" t="s">
        <v>90</v>
      </c>
      <c r="R1265" s="22">
        <v>3.2768160891203E13</v>
      </c>
      <c r="S1265" s="24"/>
      <c r="T1265" s="24"/>
      <c r="U1265" s="24"/>
      <c r="V1265" s="22" t="s">
        <v>91</v>
      </c>
      <c r="W1265" s="33"/>
      <c r="X1265" s="33"/>
      <c r="Y1265" s="30"/>
      <c r="Z1265" s="30"/>
      <c r="AA1265" s="33"/>
      <c r="AB1265" s="33"/>
      <c r="AC1265" s="30"/>
      <c r="AD1265" s="30"/>
      <c r="AE1265" s="33"/>
      <c r="AF1265" s="31"/>
      <c r="AG1265" s="30"/>
      <c r="AH1265" s="30"/>
      <c r="AI1265" s="31"/>
      <c r="AJ1265" s="31"/>
      <c r="AK1265" s="32"/>
    </row>
    <row r="1266">
      <c r="A1266" s="21" t="s">
        <v>845</v>
      </c>
      <c r="B1266" s="22" t="s">
        <v>450</v>
      </c>
      <c r="C1266" s="22" t="s">
        <v>82</v>
      </c>
      <c r="D1266" s="26">
        <v>45997.0</v>
      </c>
      <c r="E1266" s="22" t="s">
        <v>134</v>
      </c>
      <c r="F1266" s="22" t="s">
        <v>451</v>
      </c>
      <c r="G1266" s="22" t="s">
        <v>2647</v>
      </c>
      <c r="H1266" s="22" t="s">
        <v>845</v>
      </c>
      <c r="I1266" s="22">
        <v>1.0466462335299E13</v>
      </c>
      <c r="J1266" s="22" t="s">
        <v>453</v>
      </c>
      <c r="K1266" s="24"/>
      <c r="L1266" s="22" t="s">
        <v>847</v>
      </c>
      <c r="M1266" s="22">
        <v>1.0</v>
      </c>
      <c r="N1266" s="22" t="s">
        <v>455</v>
      </c>
      <c r="O1266" s="22" t="s">
        <v>456</v>
      </c>
      <c r="P1266" s="24"/>
      <c r="Q1266" s="22" t="s">
        <v>90</v>
      </c>
      <c r="R1266" s="22">
        <v>3.2768176587075E13</v>
      </c>
      <c r="S1266" s="24"/>
      <c r="T1266" s="24"/>
      <c r="U1266" s="24"/>
      <c r="V1266" s="22" t="s">
        <v>55</v>
      </c>
      <c r="W1266" s="33"/>
      <c r="X1266" s="33"/>
      <c r="Y1266" s="30"/>
      <c r="Z1266" s="30"/>
      <c r="AA1266" s="33"/>
      <c r="AB1266" s="33"/>
      <c r="AC1266" s="30"/>
      <c r="AD1266" s="30"/>
      <c r="AE1266" s="33"/>
      <c r="AF1266" s="31"/>
      <c r="AG1266" s="30"/>
      <c r="AH1266" s="30"/>
      <c r="AI1266" s="31"/>
      <c r="AJ1266" s="31"/>
      <c r="AK1266" s="32"/>
    </row>
    <row r="1267">
      <c r="A1267" s="21" t="s">
        <v>1265</v>
      </c>
      <c r="B1267" s="22" t="s">
        <v>504</v>
      </c>
      <c r="C1267" s="22" t="s">
        <v>82</v>
      </c>
      <c r="D1267" s="26">
        <v>45997.0</v>
      </c>
      <c r="E1267" s="22" t="s">
        <v>211</v>
      </c>
      <c r="F1267" s="22" t="s">
        <v>341</v>
      </c>
      <c r="G1267" s="22" t="s">
        <v>2648</v>
      </c>
      <c r="H1267" s="22" t="s">
        <v>1265</v>
      </c>
      <c r="I1267" s="22">
        <v>1.0466465513795E13</v>
      </c>
      <c r="J1267" s="22" t="s">
        <v>506</v>
      </c>
      <c r="K1267" s="24"/>
      <c r="L1267" s="22" t="s">
        <v>1266</v>
      </c>
      <c r="M1267" s="22">
        <v>1.0</v>
      </c>
      <c r="N1267" s="22" t="s">
        <v>1267</v>
      </c>
      <c r="O1267" s="22" t="s">
        <v>1268</v>
      </c>
      <c r="P1267" s="24"/>
      <c r="Q1267" s="22" t="s">
        <v>90</v>
      </c>
      <c r="R1267" s="22">
        <v>3.2768184222019E13</v>
      </c>
      <c r="S1267" s="24"/>
      <c r="T1267" s="24"/>
      <c r="U1267" s="24"/>
      <c r="V1267" s="22" t="s">
        <v>127</v>
      </c>
      <c r="W1267" s="33"/>
      <c r="X1267" s="33"/>
      <c r="Y1267" s="30"/>
      <c r="Z1267" s="30"/>
      <c r="AA1267" s="33"/>
      <c r="AB1267" s="33"/>
      <c r="AC1267" s="30"/>
      <c r="AD1267" s="30"/>
      <c r="AE1267" s="33"/>
      <c r="AF1267" s="31"/>
      <c r="AG1267" s="30"/>
      <c r="AH1267" s="30"/>
      <c r="AI1267" s="31"/>
      <c r="AJ1267" s="31"/>
      <c r="AK1267" s="32"/>
    </row>
    <row r="1268">
      <c r="A1268" s="21" t="s">
        <v>2037</v>
      </c>
      <c r="B1268" s="22" t="s">
        <v>2098</v>
      </c>
      <c r="C1268" s="22" t="s">
        <v>273</v>
      </c>
      <c r="D1268" s="26">
        <v>45998.0</v>
      </c>
      <c r="E1268" s="22" t="s">
        <v>266</v>
      </c>
      <c r="F1268" s="22" t="s">
        <v>869</v>
      </c>
      <c r="G1268" s="22" t="s">
        <v>2649</v>
      </c>
      <c r="H1268" s="22" t="s">
        <v>2037</v>
      </c>
      <c r="I1268" s="22">
        <v>1.0466475737411E13</v>
      </c>
      <c r="J1268" s="22" t="s">
        <v>2100</v>
      </c>
      <c r="K1268" s="24"/>
      <c r="L1268" s="22" t="s">
        <v>2039</v>
      </c>
      <c r="M1268" s="22">
        <v>1.0</v>
      </c>
      <c r="N1268" s="22" t="s">
        <v>882</v>
      </c>
      <c r="O1268" s="22" t="s">
        <v>883</v>
      </c>
      <c r="P1268" s="24"/>
      <c r="Q1268" s="22" t="s">
        <v>90</v>
      </c>
      <c r="R1268" s="22">
        <v>3.2768206143811E13</v>
      </c>
      <c r="S1268" s="24"/>
      <c r="T1268" s="24"/>
      <c r="U1268" s="24"/>
      <c r="V1268" s="22" t="s">
        <v>105</v>
      </c>
      <c r="W1268" s="33"/>
      <c r="X1268" s="33"/>
      <c r="Y1268" s="30"/>
      <c r="Z1268" s="30"/>
      <c r="AA1268" s="33"/>
      <c r="AB1268" s="33"/>
      <c r="AC1268" s="30"/>
      <c r="AD1268" s="30"/>
      <c r="AE1268" s="33"/>
      <c r="AF1268" s="31"/>
      <c r="AG1268" s="30"/>
      <c r="AH1268" s="30"/>
      <c r="AI1268" s="31"/>
      <c r="AJ1268" s="31"/>
      <c r="AK1268" s="32"/>
    </row>
    <row r="1269">
      <c r="A1269" s="21" t="s">
        <v>912</v>
      </c>
      <c r="B1269" s="22" t="s">
        <v>810</v>
      </c>
      <c r="C1269" s="22" t="s">
        <v>82</v>
      </c>
      <c r="D1269" s="23">
        <v>46004.0</v>
      </c>
      <c r="E1269" s="22" t="s">
        <v>134</v>
      </c>
      <c r="F1269" s="22" t="s">
        <v>377</v>
      </c>
      <c r="G1269" s="22" t="s">
        <v>2650</v>
      </c>
      <c r="H1269" s="22" t="s">
        <v>912</v>
      </c>
      <c r="I1269" s="22">
        <v>1.0466478129475E13</v>
      </c>
      <c r="J1269" s="22" t="s">
        <v>812</v>
      </c>
      <c r="K1269" s="24"/>
      <c r="L1269" s="22" t="s">
        <v>914</v>
      </c>
      <c r="M1269" s="22">
        <v>1.0</v>
      </c>
      <c r="N1269" s="22" t="s">
        <v>381</v>
      </c>
      <c r="O1269" s="22" t="s">
        <v>382</v>
      </c>
      <c r="P1269" s="24"/>
      <c r="Q1269" s="22" t="s">
        <v>90</v>
      </c>
      <c r="R1269" s="22">
        <v>3.2768211321155E13</v>
      </c>
      <c r="S1269" s="24"/>
      <c r="T1269" s="24"/>
      <c r="U1269" s="24"/>
      <c r="V1269" s="22" t="s">
        <v>54</v>
      </c>
      <c r="W1269" s="33"/>
      <c r="X1269" s="33"/>
      <c r="Y1269" s="30"/>
      <c r="Z1269" s="30"/>
      <c r="AA1269" s="33"/>
      <c r="AB1269" s="33"/>
      <c r="AC1269" s="30"/>
      <c r="AD1269" s="30"/>
      <c r="AE1269" s="33"/>
      <c r="AF1269" s="31"/>
      <c r="AG1269" s="30"/>
      <c r="AH1269" s="30"/>
      <c r="AI1269" s="31"/>
      <c r="AJ1269" s="31"/>
      <c r="AK1269" s="32"/>
    </row>
    <row r="1270">
      <c r="A1270" s="21" t="s">
        <v>632</v>
      </c>
      <c r="B1270" s="22" t="s">
        <v>854</v>
      </c>
      <c r="C1270" s="22" t="s">
        <v>82</v>
      </c>
      <c r="D1270" s="26">
        <v>45997.0</v>
      </c>
      <c r="E1270" s="22" t="s">
        <v>211</v>
      </c>
      <c r="F1270" s="22" t="s">
        <v>634</v>
      </c>
      <c r="G1270" s="22" t="s">
        <v>2651</v>
      </c>
      <c r="H1270" s="22" t="s">
        <v>632</v>
      </c>
      <c r="I1270" s="22">
        <v>1.0466485305667E13</v>
      </c>
      <c r="J1270" s="22" t="s">
        <v>856</v>
      </c>
      <c r="K1270" s="24"/>
      <c r="L1270" s="22" t="s">
        <v>637</v>
      </c>
      <c r="M1270" s="22">
        <v>1.0</v>
      </c>
      <c r="N1270" s="22" t="s">
        <v>638</v>
      </c>
      <c r="O1270" s="22" t="s">
        <v>639</v>
      </c>
      <c r="P1270" s="24"/>
      <c r="Q1270" s="22" t="s">
        <v>90</v>
      </c>
      <c r="R1270" s="22">
        <v>3.2768225837379E13</v>
      </c>
      <c r="S1270" s="24"/>
      <c r="T1270" s="24"/>
      <c r="U1270" s="24"/>
      <c r="V1270" s="22" t="s">
        <v>91</v>
      </c>
      <c r="W1270" s="33"/>
      <c r="X1270" s="33"/>
      <c r="Y1270" s="30"/>
      <c r="Z1270" s="30"/>
      <c r="AA1270" s="33"/>
      <c r="AB1270" s="33"/>
      <c r="AC1270" s="30"/>
      <c r="AD1270" s="30"/>
      <c r="AE1270" s="33"/>
      <c r="AF1270" s="31"/>
      <c r="AG1270" s="30"/>
      <c r="AH1270" s="30"/>
      <c r="AI1270" s="31"/>
      <c r="AJ1270" s="31"/>
      <c r="AK1270" s="32"/>
    </row>
    <row r="1271">
      <c r="A1271" s="21" t="s">
        <v>1472</v>
      </c>
      <c r="B1271" s="22" t="s">
        <v>2556</v>
      </c>
      <c r="C1271" s="22" t="s">
        <v>82</v>
      </c>
      <c r="D1271" s="26">
        <v>45997.0</v>
      </c>
      <c r="E1271" s="22" t="s">
        <v>841</v>
      </c>
      <c r="F1271" s="22" t="s">
        <v>1466</v>
      </c>
      <c r="G1271" s="22" t="s">
        <v>2652</v>
      </c>
      <c r="H1271" s="22" t="s">
        <v>1472</v>
      </c>
      <c r="I1271" s="22">
        <v>1.0466534326595E13</v>
      </c>
      <c r="J1271" s="22" t="s">
        <v>2558</v>
      </c>
      <c r="K1271" s="24"/>
      <c r="L1271" s="22" t="s">
        <v>1474</v>
      </c>
      <c r="M1271" s="22">
        <v>1.0</v>
      </c>
      <c r="N1271" s="22" t="s">
        <v>1470</v>
      </c>
      <c r="O1271" s="22" t="s">
        <v>1471</v>
      </c>
      <c r="P1271" s="24"/>
      <c r="Q1271" s="22" t="s">
        <v>90</v>
      </c>
      <c r="R1271" s="22">
        <v>3.2768336494915E13</v>
      </c>
      <c r="S1271" s="24"/>
      <c r="T1271" s="24"/>
      <c r="U1271" s="24"/>
      <c r="V1271" s="22" t="s">
        <v>54</v>
      </c>
      <c r="W1271" s="33"/>
      <c r="X1271" s="33"/>
      <c r="Y1271" s="30"/>
      <c r="Z1271" s="30"/>
      <c r="AA1271" s="33"/>
      <c r="AB1271" s="33"/>
      <c r="AC1271" s="30"/>
      <c r="AD1271" s="30"/>
      <c r="AE1271" s="33"/>
      <c r="AF1271" s="31"/>
      <c r="AG1271" s="30"/>
      <c r="AH1271" s="30"/>
      <c r="AI1271" s="31"/>
      <c r="AJ1271" s="31"/>
      <c r="AK1271" s="32"/>
    </row>
    <row r="1272">
      <c r="A1272" s="21" t="s">
        <v>96</v>
      </c>
      <c r="B1272" s="22" t="s">
        <v>1373</v>
      </c>
      <c r="C1272" s="22" t="s">
        <v>273</v>
      </c>
      <c r="D1272" s="23">
        <v>45991.0</v>
      </c>
      <c r="E1272" s="22" t="s">
        <v>149</v>
      </c>
      <c r="F1272" s="22" t="s">
        <v>83</v>
      </c>
      <c r="G1272" s="22" t="s">
        <v>2653</v>
      </c>
      <c r="H1272" s="22" t="s">
        <v>96</v>
      </c>
      <c r="I1272" s="22">
        <v>1.0466539503939E13</v>
      </c>
      <c r="J1272" s="22" t="s">
        <v>1375</v>
      </c>
      <c r="K1272" s="24"/>
      <c r="L1272" s="22" t="s">
        <v>98</v>
      </c>
      <c r="M1272" s="22">
        <v>1.0</v>
      </c>
      <c r="N1272" s="22" t="s">
        <v>87</v>
      </c>
      <c r="O1272" s="22" t="s">
        <v>88</v>
      </c>
      <c r="P1272" s="24"/>
      <c r="Q1272" s="22" t="s">
        <v>90</v>
      </c>
      <c r="R1272" s="22">
        <v>3.2768349274435E13</v>
      </c>
      <c r="S1272" s="24"/>
      <c r="T1272" s="24"/>
      <c r="U1272" s="24"/>
      <c r="V1272" s="27" t="s">
        <v>55</v>
      </c>
      <c r="W1272" s="33"/>
      <c r="X1272" s="33"/>
      <c r="Y1272" s="30"/>
      <c r="Z1272" s="30"/>
      <c r="AA1272" s="33"/>
      <c r="AB1272" s="33"/>
      <c r="AC1272" s="30"/>
      <c r="AD1272" s="30"/>
      <c r="AE1272" s="33"/>
      <c r="AF1272" s="31"/>
      <c r="AG1272" s="30"/>
      <c r="AH1272" s="30"/>
      <c r="AI1272" s="31"/>
      <c r="AJ1272" s="31"/>
      <c r="AK1272" s="32"/>
    </row>
    <row r="1273">
      <c r="A1273" s="21" t="s">
        <v>1217</v>
      </c>
      <c r="B1273" s="22" t="s">
        <v>1576</v>
      </c>
      <c r="C1273" s="22" t="s">
        <v>82</v>
      </c>
      <c r="D1273" s="26">
        <v>45997.0</v>
      </c>
      <c r="E1273" s="22" t="s">
        <v>1117</v>
      </c>
      <c r="F1273" s="22" t="s">
        <v>605</v>
      </c>
      <c r="G1273" s="22" t="s">
        <v>2654</v>
      </c>
      <c r="H1273" s="22" t="s">
        <v>1217</v>
      </c>
      <c r="I1273" s="22">
        <v>1.0466551857475E13</v>
      </c>
      <c r="J1273" s="22" t="s">
        <v>1578</v>
      </c>
      <c r="K1273" s="24"/>
      <c r="L1273" s="22" t="s">
        <v>1219</v>
      </c>
      <c r="M1273" s="22">
        <v>1.0</v>
      </c>
      <c r="N1273" s="22" t="s">
        <v>609</v>
      </c>
      <c r="O1273" s="22" t="s">
        <v>610</v>
      </c>
      <c r="P1273" s="24"/>
      <c r="Q1273" s="22" t="s">
        <v>90</v>
      </c>
      <c r="R1273" s="22">
        <v>3.2768374112579E13</v>
      </c>
      <c r="S1273" s="24"/>
      <c r="T1273" s="24"/>
      <c r="U1273" s="24"/>
      <c r="V1273" s="22" t="s">
        <v>91</v>
      </c>
      <c r="W1273" s="33"/>
      <c r="X1273" s="33"/>
      <c r="Y1273" s="30"/>
      <c r="Z1273" s="30"/>
      <c r="AA1273" s="33"/>
      <c r="AB1273" s="33"/>
      <c r="AC1273" s="30"/>
      <c r="AD1273" s="30"/>
      <c r="AE1273" s="33"/>
      <c r="AF1273" s="31"/>
      <c r="AG1273" s="30"/>
      <c r="AH1273" s="30"/>
      <c r="AI1273" s="31"/>
      <c r="AJ1273" s="31"/>
      <c r="AK1273" s="32"/>
    </row>
    <row r="1274">
      <c r="A1274" s="21" t="s">
        <v>592</v>
      </c>
      <c r="B1274" s="22" t="s">
        <v>2655</v>
      </c>
      <c r="C1274" s="22" t="s">
        <v>82</v>
      </c>
      <c r="D1274" s="26">
        <v>45997.0</v>
      </c>
      <c r="E1274" s="22" t="s">
        <v>181</v>
      </c>
      <c r="F1274" s="22" t="s">
        <v>311</v>
      </c>
      <c r="G1274" s="22" t="s">
        <v>2656</v>
      </c>
      <c r="H1274" s="22" t="s">
        <v>592</v>
      </c>
      <c r="I1274" s="22">
        <v>1.0466567389507E13</v>
      </c>
      <c r="J1274" s="22" t="s">
        <v>2657</v>
      </c>
      <c r="K1274" s="24"/>
      <c r="L1274" s="22" t="s">
        <v>594</v>
      </c>
      <c r="M1274" s="22">
        <v>1.0</v>
      </c>
      <c r="N1274" s="22" t="s">
        <v>391</v>
      </c>
      <c r="O1274" s="22" t="s">
        <v>392</v>
      </c>
      <c r="P1274" s="24"/>
      <c r="Q1274" s="22" t="s">
        <v>90</v>
      </c>
      <c r="R1274" s="22">
        <v>3.2768410976579E13</v>
      </c>
      <c r="S1274" s="24"/>
      <c r="T1274" s="24"/>
      <c r="U1274" s="24"/>
      <c r="V1274" s="22" t="s">
        <v>54</v>
      </c>
      <c r="W1274" s="33"/>
      <c r="X1274" s="33"/>
      <c r="Y1274" s="30"/>
      <c r="Z1274" s="30"/>
      <c r="AA1274" s="33"/>
      <c r="AB1274" s="33"/>
      <c r="AC1274" s="30"/>
      <c r="AD1274" s="30"/>
      <c r="AE1274" s="33"/>
      <c r="AF1274" s="31"/>
      <c r="AG1274" s="30"/>
      <c r="AH1274" s="30"/>
      <c r="AI1274" s="31"/>
      <c r="AJ1274" s="31"/>
      <c r="AK1274" s="32"/>
    </row>
    <row r="1275">
      <c r="A1275" s="21" t="s">
        <v>96</v>
      </c>
      <c r="B1275" s="22" t="s">
        <v>1309</v>
      </c>
      <c r="C1275" s="22" t="s">
        <v>273</v>
      </c>
      <c r="D1275" s="26">
        <v>45998.0</v>
      </c>
      <c r="E1275" s="22" t="s">
        <v>134</v>
      </c>
      <c r="F1275" s="22" t="s">
        <v>83</v>
      </c>
      <c r="G1275" s="22" t="s">
        <v>2658</v>
      </c>
      <c r="H1275" s="22" t="s">
        <v>96</v>
      </c>
      <c r="I1275" s="22">
        <v>1.0466569421123E13</v>
      </c>
      <c r="J1275" s="22" t="s">
        <v>1311</v>
      </c>
      <c r="K1275" s="24"/>
      <c r="L1275" s="22" t="s">
        <v>98</v>
      </c>
      <c r="M1275" s="22">
        <v>1.0</v>
      </c>
      <c r="N1275" s="22" t="s">
        <v>87</v>
      </c>
      <c r="O1275" s="22" t="s">
        <v>88</v>
      </c>
      <c r="P1275" s="24"/>
      <c r="Q1275" s="22" t="s">
        <v>90</v>
      </c>
      <c r="R1275" s="22">
        <v>3.2768415564099E13</v>
      </c>
      <c r="S1275" s="24"/>
      <c r="T1275" s="24"/>
      <c r="U1275" s="24"/>
      <c r="V1275" s="22" t="s">
        <v>55</v>
      </c>
      <c r="W1275" s="33"/>
      <c r="X1275" s="33"/>
      <c r="Y1275" s="30"/>
      <c r="Z1275" s="30"/>
      <c r="AA1275" s="33"/>
      <c r="AB1275" s="33"/>
      <c r="AC1275" s="30"/>
      <c r="AD1275" s="30"/>
      <c r="AE1275" s="33"/>
      <c r="AF1275" s="31"/>
      <c r="AG1275" s="30"/>
      <c r="AH1275" s="30"/>
      <c r="AI1275" s="31"/>
      <c r="AJ1275" s="31"/>
      <c r="AK1275" s="32"/>
    </row>
    <row r="1276">
      <c r="A1276" s="21" t="s">
        <v>2659</v>
      </c>
      <c r="B1276" s="22" t="s">
        <v>2660</v>
      </c>
      <c r="C1276" s="22" t="s">
        <v>273</v>
      </c>
      <c r="D1276" s="23">
        <v>45991.0</v>
      </c>
      <c r="E1276" s="22" t="s">
        <v>266</v>
      </c>
      <c r="F1276" s="22" t="s">
        <v>356</v>
      </c>
      <c r="G1276" s="22" t="s">
        <v>2661</v>
      </c>
      <c r="H1276" s="22" t="s">
        <v>2659</v>
      </c>
      <c r="I1276" s="22">
        <v>1.0466577187139E13</v>
      </c>
      <c r="J1276" s="22" t="s">
        <v>1754</v>
      </c>
      <c r="K1276" s="24"/>
      <c r="L1276" s="22" t="s">
        <v>2662</v>
      </c>
      <c r="M1276" s="22">
        <v>1.0</v>
      </c>
      <c r="N1276" s="22" t="s">
        <v>1272</v>
      </c>
      <c r="O1276" s="22" t="s">
        <v>1273</v>
      </c>
      <c r="P1276" s="24"/>
      <c r="Q1276" s="22" t="s">
        <v>90</v>
      </c>
      <c r="R1276" s="22">
        <v>3.2768431096131E13</v>
      </c>
      <c r="S1276" s="24"/>
      <c r="T1276" s="24"/>
      <c r="U1276" s="24"/>
      <c r="V1276" s="27" t="s">
        <v>127</v>
      </c>
      <c r="W1276" s="33"/>
      <c r="X1276" s="33"/>
      <c r="Y1276" s="30"/>
      <c r="Z1276" s="30"/>
      <c r="AA1276" s="33"/>
      <c r="AB1276" s="33"/>
      <c r="AC1276" s="30"/>
      <c r="AD1276" s="30"/>
      <c r="AE1276" s="33"/>
      <c r="AF1276" s="31"/>
      <c r="AG1276" s="30"/>
      <c r="AH1276" s="30"/>
      <c r="AI1276" s="31"/>
      <c r="AJ1276" s="31"/>
      <c r="AK1276" s="32"/>
    </row>
    <row r="1277">
      <c r="A1277" s="21" t="s">
        <v>962</v>
      </c>
      <c r="B1277" s="22" t="s">
        <v>733</v>
      </c>
      <c r="C1277" s="22" t="s">
        <v>82</v>
      </c>
      <c r="D1277" s="26">
        <v>45997.0</v>
      </c>
      <c r="E1277" s="22" t="s">
        <v>734</v>
      </c>
      <c r="F1277" s="22" t="s">
        <v>634</v>
      </c>
      <c r="G1277" s="22" t="s">
        <v>2663</v>
      </c>
      <c r="H1277" s="22" t="s">
        <v>962</v>
      </c>
      <c r="I1277" s="22">
        <v>1.0466586657091E13</v>
      </c>
      <c r="J1277" s="22" t="s">
        <v>736</v>
      </c>
      <c r="K1277" s="24"/>
      <c r="L1277" s="22" t="s">
        <v>966</v>
      </c>
      <c r="M1277" s="22">
        <v>1.0</v>
      </c>
      <c r="N1277" s="22" t="s">
        <v>738</v>
      </c>
      <c r="O1277" s="22" t="s">
        <v>739</v>
      </c>
      <c r="P1277" s="24"/>
      <c r="Q1277" s="22" t="s">
        <v>90</v>
      </c>
      <c r="R1277" s="22">
        <v>3.2768453312835E13</v>
      </c>
      <c r="S1277" s="24"/>
      <c r="T1277" s="24"/>
      <c r="U1277" s="24"/>
      <c r="V1277" s="22" t="s">
        <v>127</v>
      </c>
      <c r="W1277" s="33"/>
      <c r="X1277" s="33"/>
      <c r="Y1277" s="30"/>
      <c r="Z1277" s="30"/>
      <c r="AA1277" s="33"/>
      <c r="AB1277" s="33"/>
      <c r="AC1277" s="30"/>
      <c r="AD1277" s="30"/>
      <c r="AE1277" s="33"/>
      <c r="AF1277" s="31"/>
      <c r="AG1277" s="30"/>
      <c r="AH1277" s="30"/>
      <c r="AI1277" s="31"/>
      <c r="AJ1277" s="31"/>
      <c r="AK1277" s="32"/>
    </row>
    <row r="1278">
      <c r="A1278" s="21" t="s">
        <v>714</v>
      </c>
      <c r="B1278" s="22" t="s">
        <v>2664</v>
      </c>
      <c r="C1278" s="22" t="s">
        <v>82</v>
      </c>
      <c r="D1278" s="26">
        <v>45997.0</v>
      </c>
      <c r="E1278" s="22" t="s">
        <v>192</v>
      </c>
      <c r="F1278" s="22" t="s">
        <v>717</v>
      </c>
      <c r="G1278" s="22" t="s">
        <v>2665</v>
      </c>
      <c r="H1278" s="22" t="s">
        <v>714</v>
      </c>
      <c r="I1278" s="22">
        <v>1.0466599698755E13</v>
      </c>
      <c r="J1278" s="22" t="s">
        <v>2666</v>
      </c>
      <c r="K1278" s="24"/>
      <c r="L1278" s="22" t="s">
        <v>720</v>
      </c>
      <c r="M1278" s="22">
        <v>1.0</v>
      </c>
      <c r="N1278" s="22" t="s">
        <v>721</v>
      </c>
      <c r="O1278" s="22" t="s">
        <v>722</v>
      </c>
      <c r="P1278" s="24"/>
      <c r="Q1278" s="22" t="s">
        <v>90</v>
      </c>
      <c r="R1278" s="22">
        <v>3.2768483557699E13</v>
      </c>
      <c r="S1278" s="24"/>
      <c r="T1278" s="24"/>
      <c r="U1278" s="24"/>
      <c r="V1278" s="22" t="s">
        <v>55</v>
      </c>
      <c r="W1278" s="33"/>
      <c r="X1278" s="33"/>
      <c r="Y1278" s="30"/>
      <c r="Z1278" s="30"/>
      <c r="AA1278" s="33"/>
      <c r="AB1278" s="33"/>
      <c r="AC1278" s="30"/>
      <c r="AD1278" s="30"/>
      <c r="AE1278" s="33"/>
      <c r="AF1278" s="31"/>
      <c r="AG1278" s="30"/>
      <c r="AH1278" s="30"/>
      <c r="AI1278" s="31"/>
      <c r="AJ1278" s="31"/>
      <c r="AK1278" s="32"/>
    </row>
    <row r="1279">
      <c r="A1279" s="21" t="s">
        <v>1192</v>
      </c>
      <c r="B1279" s="22" t="s">
        <v>2667</v>
      </c>
      <c r="C1279" s="22" t="s">
        <v>273</v>
      </c>
      <c r="D1279" s="26">
        <v>45998.0</v>
      </c>
      <c r="E1279" s="22" t="s">
        <v>153</v>
      </c>
      <c r="F1279" s="22" t="s">
        <v>717</v>
      </c>
      <c r="G1279" s="22" t="s">
        <v>2668</v>
      </c>
      <c r="H1279" s="22" t="s">
        <v>1192</v>
      </c>
      <c r="I1279" s="22">
        <v>1.0466613100867E13</v>
      </c>
      <c r="J1279" s="22" t="s">
        <v>1855</v>
      </c>
      <c r="K1279" s="24"/>
      <c r="L1279" s="22" t="s">
        <v>1196</v>
      </c>
      <c r="M1279" s="22">
        <v>1.0</v>
      </c>
      <c r="N1279" s="22" t="s">
        <v>1083</v>
      </c>
      <c r="O1279" s="22" t="s">
        <v>1084</v>
      </c>
      <c r="P1279" s="24"/>
      <c r="Q1279" s="22" t="s">
        <v>90</v>
      </c>
      <c r="R1279" s="22">
        <v>3.2768514261315E13</v>
      </c>
      <c r="S1279" s="24"/>
      <c r="T1279" s="24"/>
      <c r="U1279" s="24"/>
      <c r="V1279" s="22" t="s">
        <v>127</v>
      </c>
      <c r="W1279" s="33"/>
      <c r="X1279" s="33"/>
      <c r="Y1279" s="30"/>
      <c r="Z1279" s="30"/>
      <c r="AA1279" s="33"/>
      <c r="AB1279" s="33"/>
      <c r="AC1279" s="30"/>
      <c r="AD1279" s="30"/>
      <c r="AE1279" s="33"/>
      <c r="AF1279" s="31"/>
      <c r="AG1279" s="30"/>
      <c r="AH1279" s="30"/>
      <c r="AI1279" s="31"/>
      <c r="AJ1279" s="31"/>
      <c r="AK1279" s="32"/>
    </row>
    <row r="1280">
      <c r="A1280" s="21" t="s">
        <v>573</v>
      </c>
      <c r="B1280" s="22" t="s">
        <v>974</v>
      </c>
      <c r="C1280" s="22" t="s">
        <v>273</v>
      </c>
      <c r="D1280" s="26">
        <v>45998.0</v>
      </c>
      <c r="E1280" s="22" t="s">
        <v>975</v>
      </c>
      <c r="F1280" s="22" t="s">
        <v>440</v>
      </c>
      <c r="G1280" s="22" t="s">
        <v>2669</v>
      </c>
      <c r="H1280" s="22" t="s">
        <v>573</v>
      </c>
      <c r="I1280" s="22">
        <v>1.0466640134467E13</v>
      </c>
      <c r="J1280" s="22" t="s">
        <v>977</v>
      </c>
      <c r="K1280" s="24"/>
      <c r="L1280" s="22" t="s">
        <v>577</v>
      </c>
      <c r="M1280" s="22">
        <v>1.0</v>
      </c>
      <c r="N1280" s="22" t="s">
        <v>444</v>
      </c>
      <c r="O1280" s="22" t="s">
        <v>445</v>
      </c>
      <c r="P1280" s="24"/>
      <c r="Q1280" s="22" t="s">
        <v>90</v>
      </c>
      <c r="R1280" s="22">
        <v>3.2768576356675E13</v>
      </c>
      <c r="S1280" s="24"/>
      <c r="T1280" s="24"/>
      <c r="U1280" s="24"/>
      <c r="V1280" s="27" t="s">
        <v>55</v>
      </c>
      <c r="W1280" s="33"/>
      <c r="X1280" s="33"/>
      <c r="Y1280" s="30"/>
      <c r="Z1280" s="30"/>
      <c r="AA1280" s="33"/>
      <c r="AB1280" s="33"/>
      <c r="AC1280" s="30"/>
      <c r="AD1280" s="30"/>
      <c r="AE1280" s="33"/>
      <c r="AF1280" s="31"/>
      <c r="AG1280" s="30"/>
      <c r="AH1280" s="30"/>
      <c r="AI1280" s="31"/>
      <c r="AJ1280" s="31"/>
      <c r="AK1280" s="32"/>
    </row>
    <row r="1281">
      <c r="A1281" s="21" t="s">
        <v>859</v>
      </c>
      <c r="B1281" s="22" t="s">
        <v>2033</v>
      </c>
      <c r="C1281" s="22" t="s">
        <v>82</v>
      </c>
      <c r="D1281" s="26">
        <v>45997.0</v>
      </c>
      <c r="E1281" s="22" t="s">
        <v>1073</v>
      </c>
      <c r="F1281" s="22" t="s">
        <v>605</v>
      </c>
      <c r="G1281" s="22" t="s">
        <v>2670</v>
      </c>
      <c r="H1281" s="22" t="s">
        <v>859</v>
      </c>
      <c r="I1281" s="22">
        <v>1.0466640331075E13</v>
      </c>
      <c r="J1281" s="22" t="s">
        <v>2035</v>
      </c>
      <c r="K1281" s="24"/>
      <c r="L1281" s="22" t="s">
        <v>861</v>
      </c>
      <c r="M1281" s="22">
        <v>1.0</v>
      </c>
      <c r="N1281" s="22" t="s">
        <v>609</v>
      </c>
      <c r="O1281" s="22" t="s">
        <v>610</v>
      </c>
      <c r="P1281" s="24"/>
      <c r="Q1281" s="22" t="s">
        <v>90</v>
      </c>
      <c r="R1281" s="22">
        <v>3.2768576651587E13</v>
      </c>
      <c r="S1281" s="24"/>
      <c r="T1281" s="24"/>
      <c r="U1281" s="24"/>
      <c r="V1281" s="22" t="s">
        <v>95</v>
      </c>
      <c r="W1281" s="33"/>
      <c r="X1281" s="33"/>
      <c r="Y1281" s="30"/>
      <c r="Z1281" s="30"/>
      <c r="AA1281" s="33"/>
      <c r="AB1281" s="33"/>
      <c r="AC1281" s="30"/>
      <c r="AD1281" s="30"/>
      <c r="AE1281" s="33"/>
      <c r="AF1281" s="31"/>
      <c r="AG1281" s="30"/>
      <c r="AH1281" s="30"/>
      <c r="AI1281" s="31"/>
      <c r="AJ1281" s="31"/>
      <c r="AK1281" s="32"/>
    </row>
    <row r="1282">
      <c r="A1282" s="21" t="s">
        <v>1560</v>
      </c>
      <c r="B1282" s="22" t="s">
        <v>1516</v>
      </c>
      <c r="C1282" s="22" t="s">
        <v>82</v>
      </c>
      <c r="D1282" s="23">
        <v>46004.0</v>
      </c>
      <c r="E1282" s="22" t="s">
        <v>211</v>
      </c>
      <c r="F1282" s="22" t="s">
        <v>341</v>
      </c>
      <c r="G1282" s="22" t="s">
        <v>2671</v>
      </c>
      <c r="H1282" s="22" t="s">
        <v>1560</v>
      </c>
      <c r="I1282" s="22">
        <v>1.0466709176643E13</v>
      </c>
      <c r="J1282" s="22" t="s">
        <v>1518</v>
      </c>
      <c r="K1282" s="24"/>
      <c r="L1282" s="22" t="s">
        <v>1562</v>
      </c>
      <c r="M1282" s="22">
        <v>1.0</v>
      </c>
      <c r="N1282" s="22" t="s">
        <v>1267</v>
      </c>
      <c r="O1282" s="22" t="s">
        <v>1268</v>
      </c>
      <c r="P1282" s="24"/>
      <c r="Q1282" s="22" t="s">
        <v>90</v>
      </c>
      <c r="R1282" s="22">
        <v>3.2768730300739E13</v>
      </c>
      <c r="S1282" s="24"/>
      <c r="T1282" s="24"/>
      <c r="U1282" s="24"/>
      <c r="V1282" s="22" t="s">
        <v>175</v>
      </c>
      <c r="W1282" s="33"/>
      <c r="X1282" s="33"/>
      <c r="Y1282" s="30"/>
      <c r="Z1282" s="30"/>
      <c r="AA1282" s="33"/>
      <c r="AB1282" s="33"/>
      <c r="AC1282" s="30"/>
      <c r="AD1282" s="30"/>
      <c r="AE1282" s="33"/>
      <c r="AF1282" s="31"/>
      <c r="AG1282" s="30"/>
      <c r="AH1282" s="30"/>
      <c r="AI1282" s="31"/>
      <c r="AJ1282" s="31"/>
      <c r="AK1282" s="32"/>
    </row>
    <row r="1283">
      <c r="A1283" s="21" t="s">
        <v>640</v>
      </c>
      <c r="B1283" s="22" t="s">
        <v>355</v>
      </c>
      <c r="C1283" s="22" t="s">
        <v>273</v>
      </c>
      <c r="D1283" s="23">
        <v>45991.0</v>
      </c>
      <c r="E1283" s="22" t="s">
        <v>149</v>
      </c>
      <c r="F1283" s="22" t="s">
        <v>356</v>
      </c>
      <c r="G1283" s="22" t="s">
        <v>2672</v>
      </c>
      <c r="H1283" s="22" t="s">
        <v>640</v>
      </c>
      <c r="I1283" s="22">
        <v>1.0466743746883E13</v>
      </c>
      <c r="J1283" s="22" t="s">
        <v>562</v>
      </c>
      <c r="K1283" s="24"/>
      <c r="L1283" s="22" t="s">
        <v>642</v>
      </c>
      <c r="M1283" s="22">
        <v>1.0</v>
      </c>
      <c r="N1283" s="22" t="s">
        <v>360</v>
      </c>
      <c r="O1283" s="22" t="s">
        <v>361</v>
      </c>
      <c r="P1283" s="24"/>
      <c r="Q1283" s="22" t="s">
        <v>90</v>
      </c>
      <c r="R1283" s="22">
        <v>3.2768808649027E13</v>
      </c>
      <c r="S1283" s="24"/>
      <c r="T1283" s="24"/>
      <c r="U1283" s="24"/>
      <c r="V1283" s="22" t="s">
        <v>95</v>
      </c>
      <c r="W1283" s="33"/>
      <c r="X1283" s="33"/>
      <c r="Y1283" s="30"/>
      <c r="Z1283" s="30"/>
      <c r="AA1283" s="33"/>
      <c r="AB1283" s="33"/>
      <c r="AC1283" s="30"/>
      <c r="AD1283" s="30"/>
      <c r="AE1283" s="33"/>
      <c r="AF1283" s="31"/>
      <c r="AG1283" s="30"/>
      <c r="AH1283" s="30"/>
      <c r="AI1283" s="31"/>
      <c r="AJ1283" s="31"/>
      <c r="AK1283" s="32"/>
    </row>
    <row r="1284">
      <c r="A1284" s="21" t="s">
        <v>317</v>
      </c>
      <c r="B1284" s="22" t="s">
        <v>318</v>
      </c>
      <c r="C1284" s="22" t="s">
        <v>82</v>
      </c>
      <c r="D1284" s="26">
        <v>45997.0</v>
      </c>
      <c r="E1284" s="22" t="s">
        <v>196</v>
      </c>
      <c r="F1284" s="22" t="s">
        <v>319</v>
      </c>
      <c r="G1284" s="22" t="s">
        <v>2673</v>
      </c>
      <c r="H1284" s="22" t="s">
        <v>317</v>
      </c>
      <c r="I1284" s="22">
        <v>1.0466746270019E13</v>
      </c>
      <c r="J1284" s="22" t="s">
        <v>527</v>
      </c>
      <c r="K1284" s="24"/>
      <c r="L1284" s="22" t="s">
        <v>322</v>
      </c>
      <c r="M1284" s="22">
        <v>1.0</v>
      </c>
      <c r="N1284" s="22" t="s">
        <v>323</v>
      </c>
      <c r="O1284" s="22" t="s">
        <v>324</v>
      </c>
      <c r="P1284" s="24"/>
      <c r="Q1284" s="22" t="s">
        <v>90</v>
      </c>
      <c r="R1284" s="22">
        <v>3.2768814186819E13</v>
      </c>
      <c r="S1284" s="24"/>
      <c r="T1284" s="24"/>
      <c r="U1284" s="24"/>
      <c r="V1284" s="22" t="s">
        <v>55</v>
      </c>
      <c r="W1284" s="33"/>
      <c r="X1284" s="33"/>
      <c r="Y1284" s="30"/>
      <c r="Z1284" s="30"/>
      <c r="AA1284" s="33"/>
      <c r="AB1284" s="33"/>
      <c r="AC1284" s="30"/>
      <c r="AD1284" s="30"/>
      <c r="AE1284" s="33"/>
      <c r="AF1284" s="31"/>
      <c r="AG1284" s="30"/>
      <c r="AH1284" s="30"/>
      <c r="AI1284" s="31"/>
      <c r="AJ1284" s="31"/>
      <c r="AK1284" s="32"/>
    </row>
    <row r="1285">
      <c r="A1285" s="21" t="s">
        <v>172</v>
      </c>
      <c r="B1285" s="22" t="s">
        <v>2007</v>
      </c>
      <c r="C1285" s="22" t="s">
        <v>273</v>
      </c>
      <c r="D1285" s="23">
        <v>45991.0</v>
      </c>
      <c r="E1285" s="22" t="s">
        <v>153</v>
      </c>
      <c r="F1285" s="22" t="s">
        <v>83</v>
      </c>
      <c r="G1285" s="22" t="s">
        <v>2674</v>
      </c>
      <c r="H1285" s="22" t="s">
        <v>172</v>
      </c>
      <c r="I1285" s="22">
        <v>1.0466809053507E13</v>
      </c>
      <c r="J1285" s="22" t="s">
        <v>2009</v>
      </c>
      <c r="K1285" s="24"/>
      <c r="L1285" s="22" t="s">
        <v>174</v>
      </c>
      <c r="M1285" s="22">
        <v>1.0</v>
      </c>
      <c r="N1285" s="22" t="s">
        <v>103</v>
      </c>
      <c r="O1285" s="22" t="s">
        <v>104</v>
      </c>
      <c r="P1285" s="24"/>
      <c r="Q1285" s="22" t="s">
        <v>90</v>
      </c>
      <c r="R1285" s="22">
        <v>3.2768967180611E13</v>
      </c>
      <c r="S1285" s="24"/>
      <c r="T1285" s="24"/>
      <c r="U1285" s="24"/>
      <c r="V1285" s="22" t="s">
        <v>175</v>
      </c>
      <c r="W1285" s="33"/>
      <c r="X1285" s="33"/>
      <c r="Y1285" s="30"/>
      <c r="Z1285" s="30"/>
      <c r="AA1285" s="33"/>
      <c r="AB1285" s="33"/>
      <c r="AC1285" s="30"/>
      <c r="AD1285" s="30"/>
      <c r="AE1285" s="33"/>
      <c r="AF1285" s="31"/>
      <c r="AG1285" s="30"/>
      <c r="AH1285" s="30"/>
      <c r="AI1285" s="31"/>
      <c r="AJ1285" s="31"/>
      <c r="AK1285" s="32"/>
    </row>
    <row r="1286">
      <c r="A1286" s="21" t="s">
        <v>309</v>
      </c>
      <c r="B1286" s="22" t="s">
        <v>2675</v>
      </c>
      <c r="C1286" s="22" t="s">
        <v>82</v>
      </c>
      <c r="D1286" s="26">
        <v>45997.0</v>
      </c>
      <c r="E1286" s="22" t="s">
        <v>192</v>
      </c>
      <c r="F1286" s="22" t="s">
        <v>311</v>
      </c>
      <c r="G1286" s="22" t="s">
        <v>2676</v>
      </c>
      <c r="H1286" s="22" t="s">
        <v>309</v>
      </c>
      <c r="I1286" s="22">
        <v>1.0466862629187E13</v>
      </c>
      <c r="J1286" s="22" t="s">
        <v>2677</v>
      </c>
      <c r="K1286" s="24"/>
      <c r="L1286" s="22" t="s">
        <v>314</v>
      </c>
      <c r="M1286" s="22">
        <v>1.0</v>
      </c>
      <c r="N1286" s="22" t="s">
        <v>315</v>
      </c>
      <c r="O1286" s="22" t="s">
        <v>316</v>
      </c>
      <c r="P1286" s="24"/>
      <c r="Q1286" s="22" t="s">
        <v>90</v>
      </c>
      <c r="R1286" s="22">
        <v>3.2769098514755E13</v>
      </c>
      <c r="S1286" s="24"/>
      <c r="T1286" s="24"/>
      <c r="U1286" s="24"/>
      <c r="V1286" s="22" t="s">
        <v>105</v>
      </c>
      <c r="W1286" s="33"/>
      <c r="X1286" s="33"/>
      <c r="Y1286" s="30"/>
      <c r="Z1286" s="30"/>
      <c r="AA1286" s="33"/>
      <c r="AB1286" s="33"/>
      <c r="AC1286" s="30"/>
      <c r="AD1286" s="30"/>
      <c r="AE1286" s="33"/>
      <c r="AF1286" s="31"/>
      <c r="AG1286" s="30"/>
      <c r="AH1286" s="30"/>
      <c r="AI1286" s="31"/>
      <c r="AJ1286" s="31"/>
      <c r="AK1286" s="32"/>
    </row>
    <row r="1287">
      <c r="A1287" s="21" t="s">
        <v>859</v>
      </c>
      <c r="B1287" s="22" t="s">
        <v>1576</v>
      </c>
      <c r="C1287" s="22" t="s">
        <v>82</v>
      </c>
      <c r="D1287" s="26">
        <v>45997.0</v>
      </c>
      <c r="E1287" s="22" t="s">
        <v>1117</v>
      </c>
      <c r="F1287" s="22" t="s">
        <v>605</v>
      </c>
      <c r="G1287" s="22" t="s">
        <v>2678</v>
      </c>
      <c r="H1287" s="22" t="s">
        <v>859</v>
      </c>
      <c r="I1287" s="22">
        <v>1.0466865709379E13</v>
      </c>
      <c r="J1287" s="22" t="s">
        <v>1578</v>
      </c>
      <c r="K1287" s="24"/>
      <c r="L1287" s="22" t="s">
        <v>861</v>
      </c>
      <c r="M1287" s="22">
        <v>1.0</v>
      </c>
      <c r="N1287" s="22" t="s">
        <v>609</v>
      </c>
      <c r="O1287" s="22" t="s">
        <v>610</v>
      </c>
      <c r="P1287" s="24"/>
      <c r="Q1287" s="22" t="s">
        <v>90</v>
      </c>
      <c r="R1287" s="22">
        <v>3.2769105494339E13</v>
      </c>
      <c r="S1287" s="24"/>
      <c r="T1287" s="24"/>
      <c r="U1287" s="24"/>
      <c r="V1287" s="22" t="s">
        <v>95</v>
      </c>
      <c r="W1287" s="33"/>
      <c r="X1287" s="33"/>
      <c r="Y1287" s="30"/>
      <c r="Z1287" s="30"/>
      <c r="AA1287" s="33"/>
      <c r="AB1287" s="33"/>
      <c r="AC1287" s="30"/>
      <c r="AD1287" s="30"/>
      <c r="AE1287" s="33"/>
      <c r="AF1287" s="31"/>
      <c r="AG1287" s="30"/>
      <c r="AH1287" s="30"/>
      <c r="AI1287" s="31"/>
      <c r="AJ1287" s="31"/>
      <c r="AK1287" s="32"/>
    </row>
    <row r="1288">
      <c r="A1288" s="21" t="s">
        <v>158</v>
      </c>
      <c r="B1288" s="22" t="s">
        <v>680</v>
      </c>
      <c r="C1288" s="22" t="s">
        <v>82</v>
      </c>
      <c r="D1288" s="26">
        <v>45997.0</v>
      </c>
      <c r="E1288" s="22" t="s">
        <v>219</v>
      </c>
      <c r="F1288" s="22" t="s">
        <v>111</v>
      </c>
      <c r="G1288" s="22" t="s">
        <v>2679</v>
      </c>
      <c r="H1288" s="22" t="s">
        <v>158</v>
      </c>
      <c r="I1288" s="22">
        <v>1.0466971550019E13</v>
      </c>
      <c r="J1288" s="22" t="s">
        <v>682</v>
      </c>
      <c r="K1288" s="24"/>
      <c r="L1288" s="22" t="s">
        <v>163</v>
      </c>
      <c r="M1288" s="22">
        <v>1.0</v>
      </c>
      <c r="N1288" s="22" t="s">
        <v>164</v>
      </c>
      <c r="O1288" s="22" t="s">
        <v>165</v>
      </c>
      <c r="P1288" s="24"/>
      <c r="Q1288" s="22" t="s">
        <v>90</v>
      </c>
      <c r="R1288" s="22">
        <v>3.2769337753923E13</v>
      </c>
      <c r="S1288" s="24"/>
      <c r="T1288" s="24"/>
      <c r="U1288" s="24"/>
      <c r="V1288" s="22" t="s">
        <v>127</v>
      </c>
      <c r="W1288" s="33"/>
      <c r="X1288" s="33"/>
      <c r="Y1288" s="30"/>
      <c r="Z1288" s="30"/>
      <c r="AA1288" s="33"/>
      <c r="AB1288" s="33"/>
      <c r="AC1288" s="30"/>
      <c r="AD1288" s="30"/>
      <c r="AE1288" s="33"/>
      <c r="AF1288" s="31"/>
      <c r="AG1288" s="30"/>
      <c r="AH1288" s="30"/>
      <c r="AI1288" s="31"/>
      <c r="AJ1288" s="31"/>
      <c r="AK1288" s="32"/>
    </row>
    <row r="1289">
      <c r="A1289" s="21" t="s">
        <v>515</v>
      </c>
      <c r="B1289" s="22" t="s">
        <v>2680</v>
      </c>
      <c r="C1289" s="22" t="s">
        <v>273</v>
      </c>
      <c r="D1289" s="26">
        <v>45998.0</v>
      </c>
      <c r="E1289" s="22" t="s">
        <v>243</v>
      </c>
      <c r="F1289" s="22" t="s">
        <v>472</v>
      </c>
      <c r="G1289" s="22" t="s">
        <v>2681</v>
      </c>
      <c r="H1289" s="22" t="s">
        <v>515</v>
      </c>
      <c r="I1289" s="22">
        <v>1.0466436874563E13</v>
      </c>
      <c r="J1289" s="22" t="s">
        <v>2682</v>
      </c>
      <c r="K1289" s="24"/>
      <c r="L1289" s="22" t="s">
        <v>519</v>
      </c>
      <c r="M1289" s="22">
        <v>1.0</v>
      </c>
      <c r="N1289" s="22" t="s">
        <v>476</v>
      </c>
      <c r="O1289" s="22" t="s">
        <v>477</v>
      </c>
      <c r="P1289" s="24"/>
      <c r="Q1289" s="22" t="s">
        <v>90</v>
      </c>
      <c r="R1289" s="22">
        <v>3.2768120914243E13</v>
      </c>
      <c r="S1289" s="24"/>
      <c r="T1289" s="24"/>
      <c r="U1289" s="24"/>
      <c r="V1289" s="22" t="s">
        <v>55</v>
      </c>
      <c r="W1289" s="33"/>
      <c r="X1289" s="33"/>
      <c r="Y1289" s="30"/>
      <c r="Z1289" s="30"/>
      <c r="AA1289" s="33"/>
      <c r="AB1289" s="33"/>
      <c r="AC1289" s="30"/>
      <c r="AD1289" s="30"/>
      <c r="AE1289" s="33"/>
      <c r="AF1289" s="31"/>
      <c r="AG1289" s="30"/>
      <c r="AH1289" s="30"/>
      <c r="AI1289" s="31"/>
      <c r="AJ1289" s="31"/>
      <c r="AK1289" s="32"/>
    </row>
    <row r="1290">
      <c r="A1290" s="21" t="s">
        <v>80</v>
      </c>
      <c r="B1290" s="22" t="s">
        <v>1595</v>
      </c>
      <c r="C1290" s="22" t="s">
        <v>82</v>
      </c>
      <c r="D1290" s="26">
        <v>45997.0</v>
      </c>
      <c r="E1290" s="22" t="s">
        <v>149</v>
      </c>
      <c r="F1290" s="22" t="s">
        <v>83</v>
      </c>
      <c r="G1290" s="22" t="s">
        <v>2683</v>
      </c>
      <c r="H1290" s="22" t="s">
        <v>80</v>
      </c>
      <c r="I1290" s="22">
        <v>1.0466439332163E13</v>
      </c>
      <c r="J1290" s="22" t="s">
        <v>1597</v>
      </c>
      <c r="K1290" s="24"/>
      <c r="L1290" s="22" t="s">
        <v>86</v>
      </c>
      <c r="M1290" s="22">
        <v>1.0</v>
      </c>
      <c r="N1290" s="22" t="s">
        <v>87</v>
      </c>
      <c r="O1290" s="22" t="s">
        <v>88</v>
      </c>
      <c r="P1290" s="24"/>
      <c r="Q1290" s="22" t="s">
        <v>90</v>
      </c>
      <c r="R1290" s="22">
        <v>3.2768125108547E13</v>
      </c>
      <c r="S1290" s="24"/>
      <c r="T1290" s="24"/>
      <c r="U1290" s="24"/>
      <c r="V1290" s="22" t="s">
        <v>91</v>
      </c>
      <c r="W1290" s="33"/>
      <c r="X1290" s="33"/>
      <c r="Y1290" s="30"/>
      <c r="Z1290" s="30"/>
      <c r="AA1290" s="33"/>
      <c r="AB1290" s="33"/>
      <c r="AC1290" s="30"/>
      <c r="AD1290" s="30"/>
      <c r="AE1290" s="33"/>
      <c r="AF1290" s="31"/>
      <c r="AG1290" s="30"/>
      <c r="AH1290" s="30"/>
      <c r="AI1290" s="31"/>
      <c r="AJ1290" s="31"/>
      <c r="AK1290" s="32"/>
    </row>
    <row r="1291">
      <c r="A1291" s="21" t="s">
        <v>692</v>
      </c>
      <c r="B1291" s="22" t="s">
        <v>587</v>
      </c>
      <c r="C1291" s="22" t="s">
        <v>273</v>
      </c>
      <c r="D1291" s="26">
        <v>45998.0</v>
      </c>
      <c r="E1291" s="22" t="s">
        <v>153</v>
      </c>
      <c r="F1291" s="22" t="s">
        <v>369</v>
      </c>
      <c r="G1291" s="22" t="s">
        <v>2684</v>
      </c>
      <c r="H1291" s="22" t="s">
        <v>692</v>
      </c>
      <c r="I1291" s="22">
        <v>1.0466449752387E13</v>
      </c>
      <c r="J1291" s="22" t="s">
        <v>589</v>
      </c>
      <c r="K1291" s="24"/>
      <c r="L1291" s="22" t="s">
        <v>694</v>
      </c>
      <c r="M1291" s="22">
        <v>1.0</v>
      </c>
      <c r="N1291" s="22" t="s">
        <v>373</v>
      </c>
      <c r="O1291" s="22" t="s">
        <v>374</v>
      </c>
      <c r="P1291" s="24"/>
      <c r="Q1291" s="22" t="s">
        <v>90</v>
      </c>
      <c r="R1291" s="22">
        <v>3.2768149258563E13</v>
      </c>
      <c r="S1291" s="24"/>
      <c r="T1291" s="24"/>
      <c r="U1291" s="24"/>
      <c r="V1291" s="22" t="s">
        <v>54</v>
      </c>
      <c r="W1291" s="33"/>
      <c r="X1291" s="33"/>
      <c r="Y1291" s="30"/>
      <c r="Z1291" s="30"/>
      <c r="AA1291" s="33"/>
      <c r="AB1291" s="33"/>
      <c r="AC1291" s="30"/>
      <c r="AD1291" s="30"/>
      <c r="AE1291" s="33"/>
      <c r="AF1291" s="31"/>
      <c r="AG1291" s="30"/>
      <c r="AH1291" s="30"/>
      <c r="AI1291" s="31"/>
      <c r="AJ1291" s="31"/>
      <c r="AK1291" s="32"/>
    </row>
    <row r="1292">
      <c r="A1292" s="21" t="s">
        <v>595</v>
      </c>
      <c r="B1292" s="22" t="s">
        <v>587</v>
      </c>
      <c r="C1292" s="22" t="s">
        <v>273</v>
      </c>
      <c r="D1292" s="26">
        <v>45998.0</v>
      </c>
      <c r="E1292" s="22" t="s">
        <v>153</v>
      </c>
      <c r="F1292" s="22" t="s">
        <v>369</v>
      </c>
      <c r="G1292" s="22" t="s">
        <v>2685</v>
      </c>
      <c r="H1292" s="22" t="s">
        <v>595</v>
      </c>
      <c r="I1292" s="22">
        <v>1.0467097805123E13</v>
      </c>
      <c r="J1292" s="22" t="s">
        <v>589</v>
      </c>
      <c r="K1292" s="24"/>
      <c r="L1292" s="22" t="s">
        <v>599</v>
      </c>
      <c r="M1292" s="22">
        <v>1.0</v>
      </c>
      <c r="N1292" s="22" t="s">
        <v>600</v>
      </c>
      <c r="O1292" s="22" t="s">
        <v>601</v>
      </c>
      <c r="P1292" s="24"/>
      <c r="Q1292" s="22" t="s">
        <v>90</v>
      </c>
      <c r="R1292" s="22">
        <v>3.2769588560195E13</v>
      </c>
      <c r="S1292" s="24"/>
      <c r="T1292" s="24"/>
      <c r="U1292" s="24"/>
      <c r="V1292" s="27" t="s">
        <v>127</v>
      </c>
      <c r="W1292" s="33"/>
      <c r="X1292" s="33"/>
      <c r="Y1292" s="30"/>
      <c r="Z1292" s="30"/>
      <c r="AA1292" s="33"/>
      <c r="AB1292" s="33"/>
      <c r="AC1292" s="30"/>
      <c r="AD1292" s="30"/>
      <c r="AE1292" s="33"/>
      <c r="AF1292" s="31"/>
      <c r="AG1292" s="30"/>
      <c r="AH1292" s="30"/>
      <c r="AI1292" s="31"/>
      <c r="AJ1292" s="31"/>
      <c r="AK1292" s="32"/>
    </row>
    <row r="1293">
      <c r="A1293" s="21" t="s">
        <v>415</v>
      </c>
      <c r="B1293" s="22" t="s">
        <v>376</v>
      </c>
      <c r="C1293" s="22" t="s">
        <v>82</v>
      </c>
      <c r="D1293" s="26">
        <v>45997.0</v>
      </c>
      <c r="E1293" s="22" t="s">
        <v>149</v>
      </c>
      <c r="F1293" s="22" t="s">
        <v>377</v>
      </c>
      <c r="G1293" s="22" t="s">
        <v>2686</v>
      </c>
      <c r="H1293" s="22" t="s">
        <v>415</v>
      </c>
      <c r="I1293" s="22">
        <v>1.0467158851907E13</v>
      </c>
      <c r="J1293" s="22" t="s">
        <v>379</v>
      </c>
      <c r="K1293" s="24"/>
      <c r="L1293" s="22" t="s">
        <v>419</v>
      </c>
      <c r="M1293" s="22">
        <v>1.0</v>
      </c>
      <c r="N1293" s="22" t="s">
        <v>381</v>
      </c>
      <c r="O1293" s="22" t="s">
        <v>382</v>
      </c>
      <c r="P1293" s="24"/>
      <c r="Q1293" s="22" t="s">
        <v>90</v>
      </c>
      <c r="R1293" s="22">
        <v>3.2769725137219E13</v>
      </c>
      <c r="S1293" s="24"/>
      <c r="T1293" s="24"/>
      <c r="U1293" s="24"/>
      <c r="V1293" s="22" t="s">
        <v>91</v>
      </c>
      <c r="W1293" s="33"/>
      <c r="X1293" s="33"/>
      <c r="Y1293" s="30"/>
      <c r="Z1293" s="30"/>
      <c r="AA1293" s="33"/>
      <c r="AB1293" s="33"/>
      <c r="AC1293" s="30"/>
      <c r="AD1293" s="30"/>
      <c r="AE1293" s="33"/>
      <c r="AF1293" s="31"/>
      <c r="AG1293" s="30"/>
      <c r="AH1293" s="30"/>
      <c r="AI1293" s="31"/>
      <c r="AJ1293" s="31"/>
      <c r="AK1293" s="32"/>
    </row>
    <row r="1294">
      <c r="A1294" s="21" t="s">
        <v>664</v>
      </c>
      <c r="B1294" s="22" t="s">
        <v>471</v>
      </c>
      <c r="C1294" s="22" t="s">
        <v>82</v>
      </c>
      <c r="D1294" s="26">
        <v>45997.0</v>
      </c>
      <c r="E1294" s="22" t="s">
        <v>134</v>
      </c>
      <c r="F1294" s="22" t="s">
        <v>472</v>
      </c>
      <c r="G1294" s="22" t="s">
        <v>2687</v>
      </c>
      <c r="H1294" s="22" t="s">
        <v>664</v>
      </c>
      <c r="I1294" s="22">
        <v>1.0467160817987E13</v>
      </c>
      <c r="J1294" s="22" t="s">
        <v>474</v>
      </c>
      <c r="K1294" s="24"/>
      <c r="L1294" s="22" t="s">
        <v>668</v>
      </c>
      <c r="M1294" s="22">
        <v>1.0</v>
      </c>
      <c r="N1294" s="22" t="s">
        <v>534</v>
      </c>
      <c r="O1294" s="22" t="s">
        <v>535</v>
      </c>
      <c r="P1294" s="24"/>
      <c r="Q1294" s="22" t="s">
        <v>90</v>
      </c>
      <c r="R1294" s="22">
        <v>3.2769730150723E13</v>
      </c>
      <c r="S1294" s="24"/>
      <c r="T1294" s="24"/>
      <c r="U1294" s="24"/>
      <c r="V1294" s="27" t="s">
        <v>175</v>
      </c>
      <c r="W1294" s="33"/>
      <c r="X1294" s="33"/>
      <c r="Y1294" s="30"/>
      <c r="Z1294" s="30"/>
      <c r="AA1294" s="33"/>
      <c r="AB1294" s="33"/>
      <c r="AC1294" s="30"/>
      <c r="AD1294" s="30"/>
      <c r="AE1294" s="33"/>
      <c r="AF1294" s="31"/>
      <c r="AG1294" s="30"/>
      <c r="AH1294" s="30"/>
      <c r="AI1294" s="31"/>
      <c r="AJ1294" s="31"/>
      <c r="AK1294" s="32"/>
    </row>
    <row r="1295">
      <c r="A1295" s="21" t="s">
        <v>458</v>
      </c>
      <c r="B1295" s="22" t="s">
        <v>1516</v>
      </c>
      <c r="C1295" s="22" t="s">
        <v>82</v>
      </c>
      <c r="D1295" s="23">
        <v>46004.0</v>
      </c>
      <c r="E1295" s="22" t="s">
        <v>211</v>
      </c>
      <c r="F1295" s="22" t="s">
        <v>341</v>
      </c>
      <c r="G1295" s="22" t="s">
        <v>2688</v>
      </c>
      <c r="H1295" s="22" t="s">
        <v>458</v>
      </c>
      <c r="I1295" s="22">
        <v>1.0467230056771E13</v>
      </c>
      <c r="J1295" s="22" t="s">
        <v>1518</v>
      </c>
      <c r="K1295" s="24"/>
      <c r="L1295" s="22" t="s">
        <v>462</v>
      </c>
      <c r="M1295" s="22">
        <v>1.0</v>
      </c>
      <c r="N1295" s="22" t="s">
        <v>345</v>
      </c>
      <c r="O1295" s="22" t="s">
        <v>346</v>
      </c>
      <c r="P1295" s="24"/>
      <c r="Q1295" s="22" t="s">
        <v>90</v>
      </c>
      <c r="R1295" s="22">
        <v>3.2769883275587E13</v>
      </c>
      <c r="S1295" s="24"/>
      <c r="T1295" s="24"/>
      <c r="U1295" s="24"/>
      <c r="V1295" s="22" t="s">
        <v>91</v>
      </c>
      <c r="W1295" s="33"/>
      <c r="X1295" s="33"/>
      <c r="Y1295" s="30"/>
      <c r="Z1295" s="30"/>
      <c r="AA1295" s="33"/>
      <c r="AB1295" s="33"/>
      <c r="AC1295" s="30"/>
      <c r="AD1295" s="30"/>
      <c r="AE1295" s="33"/>
      <c r="AF1295" s="31"/>
      <c r="AG1295" s="30"/>
      <c r="AH1295" s="30"/>
      <c r="AI1295" s="31"/>
      <c r="AJ1295" s="31"/>
      <c r="AK1295" s="32"/>
    </row>
    <row r="1296">
      <c r="A1296" s="21" t="s">
        <v>484</v>
      </c>
      <c r="B1296" s="22" t="s">
        <v>310</v>
      </c>
      <c r="C1296" s="22" t="s">
        <v>82</v>
      </c>
      <c r="D1296" s="26">
        <v>45997.0</v>
      </c>
      <c r="E1296" s="22" t="s">
        <v>134</v>
      </c>
      <c r="F1296" s="22" t="s">
        <v>311</v>
      </c>
      <c r="G1296" s="22" t="s">
        <v>2689</v>
      </c>
      <c r="H1296" s="22" t="s">
        <v>484</v>
      </c>
      <c r="I1296" s="22">
        <v>1.0467231367491E13</v>
      </c>
      <c r="J1296" s="22" t="s">
        <v>544</v>
      </c>
      <c r="K1296" s="24"/>
      <c r="L1296" s="22" t="s">
        <v>487</v>
      </c>
      <c r="M1296" s="22">
        <v>1.0</v>
      </c>
      <c r="N1296" s="22" t="s">
        <v>315</v>
      </c>
      <c r="O1296" s="22" t="s">
        <v>316</v>
      </c>
      <c r="P1296" s="24"/>
      <c r="Q1296" s="22" t="s">
        <v>90</v>
      </c>
      <c r="R1296" s="22">
        <v>3.2769886748995E13</v>
      </c>
      <c r="S1296" s="24"/>
      <c r="T1296" s="24"/>
      <c r="U1296" s="24"/>
      <c r="V1296" s="22" t="s">
        <v>127</v>
      </c>
      <c r="W1296" s="33"/>
      <c r="X1296" s="33"/>
      <c r="Y1296" s="30"/>
      <c r="Z1296" s="30"/>
      <c r="AA1296" s="33"/>
      <c r="AB1296" s="33"/>
      <c r="AC1296" s="30"/>
      <c r="AD1296" s="30"/>
      <c r="AE1296" s="33"/>
      <c r="AF1296" s="31"/>
      <c r="AG1296" s="30"/>
      <c r="AH1296" s="30"/>
      <c r="AI1296" s="31"/>
      <c r="AJ1296" s="31"/>
      <c r="AK1296" s="32"/>
    </row>
    <row r="1297">
      <c r="A1297" s="21" t="s">
        <v>859</v>
      </c>
      <c r="B1297" s="22" t="s">
        <v>1498</v>
      </c>
      <c r="C1297" s="22" t="s">
        <v>82</v>
      </c>
      <c r="D1297" s="26">
        <v>45997.0</v>
      </c>
      <c r="E1297" s="22" t="s">
        <v>522</v>
      </c>
      <c r="F1297" s="22" t="s">
        <v>605</v>
      </c>
      <c r="G1297" s="22" t="s">
        <v>2690</v>
      </c>
      <c r="H1297" s="22" t="s">
        <v>859</v>
      </c>
      <c r="I1297" s="22">
        <v>1.0467233956163E13</v>
      </c>
      <c r="J1297" s="22" t="s">
        <v>1500</v>
      </c>
      <c r="K1297" s="24"/>
      <c r="L1297" s="22" t="s">
        <v>861</v>
      </c>
      <c r="M1297" s="22">
        <v>1.0</v>
      </c>
      <c r="N1297" s="22" t="s">
        <v>609</v>
      </c>
      <c r="O1297" s="22" t="s">
        <v>610</v>
      </c>
      <c r="P1297" s="24"/>
      <c r="Q1297" s="22" t="s">
        <v>90</v>
      </c>
      <c r="R1297" s="22">
        <v>3.2769892188483E13</v>
      </c>
      <c r="S1297" s="24"/>
      <c r="T1297" s="24"/>
      <c r="U1297" s="24"/>
      <c r="V1297" s="27" t="s">
        <v>95</v>
      </c>
      <c r="W1297" s="33"/>
      <c r="X1297" s="33"/>
      <c r="Y1297" s="30"/>
      <c r="Z1297" s="30"/>
      <c r="AA1297" s="33"/>
      <c r="AB1297" s="33"/>
      <c r="AC1297" s="30"/>
      <c r="AD1297" s="30"/>
      <c r="AE1297" s="33"/>
      <c r="AF1297" s="31"/>
      <c r="AG1297" s="30"/>
      <c r="AH1297" s="30"/>
      <c r="AI1297" s="31"/>
      <c r="AJ1297" s="31"/>
      <c r="AK1297" s="32"/>
    </row>
    <row r="1298">
      <c r="A1298" s="21" t="s">
        <v>569</v>
      </c>
      <c r="B1298" s="22" t="s">
        <v>943</v>
      </c>
      <c r="C1298" s="22" t="s">
        <v>82</v>
      </c>
      <c r="D1298" s="26">
        <v>45997.0</v>
      </c>
      <c r="E1298" s="22" t="s">
        <v>145</v>
      </c>
      <c r="F1298" s="22" t="s">
        <v>472</v>
      </c>
      <c r="G1298" s="22" t="s">
        <v>2691</v>
      </c>
      <c r="H1298" s="22" t="s">
        <v>569</v>
      </c>
      <c r="I1298" s="22">
        <v>1.0467247194435E13</v>
      </c>
      <c r="J1298" s="22" t="s">
        <v>945</v>
      </c>
      <c r="K1298" s="24"/>
      <c r="L1298" s="22" t="s">
        <v>571</v>
      </c>
      <c r="M1298" s="22">
        <v>1.0</v>
      </c>
      <c r="N1298" s="22" t="s">
        <v>534</v>
      </c>
      <c r="O1298" s="22" t="s">
        <v>535</v>
      </c>
      <c r="P1298" s="24"/>
      <c r="Q1298" s="22" t="s">
        <v>90</v>
      </c>
      <c r="R1298" s="22">
        <v>3.2769921548611E13</v>
      </c>
      <c r="S1298" s="24"/>
      <c r="T1298" s="24"/>
      <c r="U1298" s="24"/>
      <c r="V1298" s="22" t="s">
        <v>105</v>
      </c>
      <c r="W1298" s="33"/>
      <c r="X1298" s="33"/>
      <c r="Y1298" s="30"/>
      <c r="Z1298" s="30"/>
      <c r="AA1298" s="33"/>
      <c r="AB1298" s="33"/>
      <c r="AC1298" s="30"/>
      <c r="AD1298" s="30"/>
      <c r="AE1298" s="33"/>
      <c r="AF1298" s="31"/>
      <c r="AG1298" s="30"/>
      <c r="AH1298" s="30"/>
      <c r="AI1298" s="31"/>
      <c r="AJ1298" s="31"/>
      <c r="AK1298" s="32"/>
    </row>
    <row r="1299">
      <c r="A1299" s="21" t="s">
        <v>470</v>
      </c>
      <c r="B1299" s="22" t="s">
        <v>471</v>
      </c>
      <c r="C1299" s="22" t="s">
        <v>82</v>
      </c>
      <c r="D1299" s="26">
        <v>45997.0</v>
      </c>
      <c r="E1299" s="22" t="s">
        <v>134</v>
      </c>
      <c r="F1299" s="22" t="s">
        <v>472</v>
      </c>
      <c r="G1299" s="22" t="s">
        <v>2692</v>
      </c>
      <c r="H1299" s="22" t="s">
        <v>470</v>
      </c>
      <c r="I1299" s="22">
        <v>1.0467254272323E13</v>
      </c>
      <c r="J1299" s="22" t="s">
        <v>474</v>
      </c>
      <c r="K1299" s="24"/>
      <c r="L1299" s="22" t="s">
        <v>475</v>
      </c>
      <c r="M1299" s="22">
        <v>1.0</v>
      </c>
      <c r="N1299" s="22" t="s">
        <v>476</v>
      </c>
      <c r="O1299" s="22" t="s">
        <v>477</v>
      </c>
      <c r="P1299" s="24"/>
      <c r="Q1299" s="22" t="s">
        <v>90</v>
      </c>
      <c r="R1299" s="22">
        <v>3.2769938456899E13</v>
      </c>
      <c r="S1299" s="24"/>
      <c r="T1299" s="24"/>
      <c r="U1299" s="24"/>
      <c r="V1299" s="27" t="s">
        <v>91</v>
      </c>
      <c r="W1299" s="33"/>
      <c r="X1299" s="33"/>
      <c r="Y1299" s="30"/>
      <c r="Z1299" s="30"/>
      <c r="AA1299" s="33"/>
      <c r="AB1299" s="33"/>
      <c r="AC1299" s="30"/>
      <c r="AD1299" s="30"/>
      <c r="AE1299" s="33"/>
      <c r="AF1299" s="31"/>
      <c r="AG1299" s="30"/>
      <c r="AH1299" s="30"/>
      <c r="AI1299" s="31"/>
      <c r="AJ1299" s="31"/>
      <c r="AK1299" s="32"/>
    </row>
    <row r="1300">
      <c r="A1300" s="21" t="s">
        <v>696</v>
      </c>
      <c r="B1300" s="22" t="s">
        <v>697</v>
      </c>
      <c r="C1300" s="22" t="s">
        <v>82</v>
      </c>
      <c r="D1300" s="26">
        <v>45997.0</v>
      </c>
      <c r="E1300" s="22" t="s">
        <v>439</v>
      </c>
      <c r="F1300" s="22" t="s">
        <v>698</v>
      </c>
      <c r="G1300" s="22" t="s">
        <v>2693</v>
      </c>
      <c r="H1300" s="22" t="s">
        <v>696</v>
      </c>
      <c r="I1300" s="22">
        <v>1.0467259482435E13</v>
      </c>
      <c r="J1300" s="22" t="s">
        <v>700</v>
      </c>
      <c r="K1300" s="24"/>
      <c r="L1300" s="22" t="s">
        <v>701</v>
      </c>
      <c r="M1300" s="22">
        <v>1.0</v>
      </c>
      <c r="N1300" s="22" t="s">
        <v>702</v>
      </c>
      <c r="O1300" s="22" t="s">
        <v>703</v>
      </c>
      <c r="P1300" s="24"/>
      <c r="Q1300" s="22" t="s">
        <v>90</v>
      </c>
      <c r="R1300" s="22">
        <v>3.2769949466947E13</v>
      </c>
      <c r="S1300" s="24"/>
      <c r="T1300" s="24"/>
      <c r="U1300" s="24"/>
      <c r="V1300" s="22" t="s">
        <v>55</v>
      </c>
      <c r="W1300" s="33"/>
      <c r="X1300" s="33"/>
      <c r="Y1300" s="30"/>
      <c r="Z1300" s="30"/>
      <c r="AA1300" s="33"/>
      <c r="AB1300" s="33"/>
      <c r="AC1300" s="30"/>
      <c r="AD1300" s="30"/>
      <c r="AE1300" s="33"/>
      <c r="AF1300" s="31"/>
      <c r="AG1300" s="30"/>
      <c r="AH1300" s="30"/>
      <c r="AI1300" s="31"/>
      <c r="AJ1300" s="31"/>
      <c r="AK1300" s="32"/>
    </row>
    <row r="1301">
      <c r="A1301" s="21" t="s">
        <v>752</v>
      </c>
      <c r="B1301" s="22" t="s">
        <v>318</v>
      </c>
      <c r="C1301" s="22" t="s">
        <v>82</v>
      </c>
      <c r="D1301" s="26">
        <v>45997.0</v>
      </c>
      <c r="E1301" s="22" t="s">
        <v>196</v>
      </c>
      <c r="F1301" s="22" t="s">
        <v>319</v>
      </c>
      <c r="G1301" s="22" t="s">
        <v>2694</v>
      </c>
      <c r="H1301" s="22" t="s">
        <v>752</v>
      </c>
      <c r="I1301" s="22">
        <v>1.0467263873347E13</v>
      </c>
      <c r="J1301" s="22" t="s">
        <v>527</v>
      </c>
      <c r="K1301" s="24"/>
      <c r="L1301" s="22" t="s">
        <v>754</v>
      </c>
      <c r="M1301" s="22">
        <v>1.0</v>
      </c>
      <c r="N1301" s="22" t="s">
        <v>404</v>
      </c>
      <c r="O1301" s="22" t="s">
        <v>405</v>
      </c>
      <c r="P1301" s="24"/>
      <c r="Q1301" s="22" t="s">
        <v>90</v>
      </c>
      <c r="R1301" s="22">
        <v>3.2769958510915E13</v>
      </c>
      <c r="S1301" s="24"/>
      <c r="T1301" s="24"/>
      <c r="U1301" s="24"/>
      <c r="V1301" s="22" t="s">
        <v>175</v>
      </c>
      <c r="W1301" s="33"/>
      <c r="X1301" s="33"/>
      <c r="Y1301" s="30"/>
      <c r="Z1301" s="30"/>
      <c r="AA1301" s="33"/>
      <c r="AB1301" s="33"/>
      <c r="AC1301" s="30"/>
      <c r="AD1301" s="30"/>
      <c r="AE1301" s="33"/>
      <c r="AF1301" s="31"/>
      <c r="AG1301" s="30"/>
      <c r="AH1301" s="30"/>
      <c r="AI1301" s="31"/>
      <c r="AJ1301" s="31"/>
      <c r="AK1301" s="32"/>
    </row>
    <row r="1302">
      <c r="A1302" s="21" t="s">
        <v>172</v>
      </c>
      <c r="B1302" s="22" t="s">
        <v>1742</v>
      </c>
      <c r="C1302" s="22" t="s">
        <v>273</v>
      </c>
      <c r="D1302" s="26">
        <v>45998.0</v>
      </c>
      <c r="E1302" s="22" t="s">
        <v>266</v>
      </c>
      <c r="F1302" s="22" t="s">
        <v>83</v>
      </c>
      <c r="G1302" s="22" t="s">
        <v>2695</v>
      </c>
      <c r="H1302" s="22" t="s">
        <v>172</v>
      </c>
      <c r="I1302" s="22">
        <v>1.0467279012163E13</v>
      </c>
      <c r="J1302" s="22" t="s">
        <v>1744</v>
      </c>
      <c r="K1302" s="24"/>
      <c r="L1302" s="22" t="s">
        <v>174</v>
      </c>
      <c r="M1302" s="22">
        <v>1.0</v>
      </c>
      <c r="N1302" s="22" t="s">
        <v>103</v>
      </c>
      <c r="O1302" s="22" t="s">
        <v>104</v>
      </c>
      <c r="P1302" s="24"/>
      <c r="Q1302" s="22" t="s">
        <v>90</v>
      </c>
      <c r="R1302" s="22">
        <v>3.2769993179459E13</v>
      </c>
      <c r="S1302" s="24"/>
      <c r="T1302" s="24"/>
      <c r="U1302" s="24"/>
      <c r="V1302" s="22" t="s">
        <v>175</v>
      </c>
      <c r="W1302" s="33"/>
      <c r="X1302" s="33"/>
      <c r="Y1302" s="30"/>
      <c r="Z1302" s="30"/>
      <c r="AA1302" s="33"/>
      <c r="AB1302" s="33"/>
      <c r="AC1302" s="30"/>
      <c r="AD1302" s="30"/>
      <c r="AE1302" s="33"/>
      <c r="AF1302" s="31"/>
      <c r="AG1302" s="30"/>
      <c r="AH1302" s="30"/>
      <c r="AI1302" s="31"/>
      <c r="AJ1302" s="31"/>
      <c r="AK1302" s="32"/>
    </row>
    <row r="1303">
      <c r="A1303" s="21" t="s">
        <v>962</v>
      </c>
      <c r="B1303" s="22" t="s">
        <v>2696</v>
      </c>
      <c r="C1303" s="22" t="s">
        <v>82</v>
      </c>
      <c r="D1303" s="23">
        <v>46004.0</v>
      </c>
      <c r="E1303" s="22" t="s">
        <v>1054</v>
      </c>
      <c r="F1303" s="22" t="s">
        <v>634</v>
      </c>
      <c r="G1303" s="22" t="s">
        <v>2697</v>
      </c>
      <c r="H1303" s="22" t="s">
        <v>962</v>
      </c>
      <c r="I1303" s="22">
        <v>1.0467286450499E13</v>
      </c>
      <c r="J1303" s="22" t="s">
        <v>2698</v>
      </c>
      <c r="K1303" s="24"/>
      <c r="L1303" s="22" t="s">
        <v>966</v>
      </c>
      <c r="M1303" s="22">
        <v>1.0</v>
      </c>
      <c r="N1303" s="22" t="s">
        <v>738</v>
      </c>
      <c r="O1303" s="22" t="s">
        <v>739</v>
      </c>
      <c r="P1303" s="24"/>
      <c r="Q1303" s="22" t="s">
        <v>90</v>
      </c>
      <c r="R1303" s="22">
        <v>3.2770010218819E13</v>
      </c>
      <c r="S1303" s="24"/>
      <c r="T1303" s="24"/>
      <c r="U1303" s="24"/>
      <c r="V1303" s="22" t="s">
        <v>127</v>
      </c>
      <c r="W1303" s="33"/>
      <c r="X1303" s="33"/>
      <c r="Y1303" s="30"/>
      <c r="Z1303" s="30"/>
      <c r="AA1303" s="33"/>
      <c r="AB1303" s="33"/>
      <c r="AC1303" s="30"/>
      <c r="AD1303" s="30"/>
      <c r="AE1303" s="33"/>
      <c r="AF1303" s="31"/>
      <c r="AG1303" s="30"/>
      <c r="AH1303" s="30"/>
      <c r="AI1303" s="31"/>
      <c r="AJ1303" s="31"/>
      <c r="AK1303" s="32"/>
    </row>
    <row r="1304">
      <c r="A1304" s="21" t="s">
        <v>2037</v>
      </c>
      <c r="B1304" s="22" t="s">
        <v>2699</v>
      </c>
      <c r="C1304" s="22" t="s">
        <v>273</v>
      </c>
      <c r="D1304" s="26">
        <v>45998.0</v>
      </c>
      <c r="E1304" s="22" t="s">
        <v>2155</v>
      </c>
      <c r="F1304" s="22" t="s">
        <v>869</v>
      </c>
      <c r="G1304" s="22" t="s">
        <v>2700</v>
      </c>
      <c r="H1304" s="22" t="s">
        <v>2037</v>
      </c>
      <c r="I1304" s="22">
        <v>1.0467290710339E13</v>
      </c>
      <c r="J1304" s="22" t="s">
        <v>2701</v>
      </c>
      <c r="K1304" s="24"/>
      <c r="L1304" s="22" t="s">
        <v>2039</v>
      </c>
      <c r="M1304" s="22">
        <v>1.0</v>
      </c>
      <c r="N1304" s="22" t="s">
        <v>882</v>
      </c>
      <c r="O1304" s="22" t="s">
        <v>883</v>
      </c>
      <c r="P1304" s="24"/>
      <c r="Q1304" s="22" t="s">
        <v>90</v>
      </c>
      <c r="R1304" s="22">
        <v>3.2770020147523E13</v>
      </c>
      <c r="S1304" s="24"/>
      <c r="T1304" s="24"/>
      <c r="U1304" s="24"/>
      <c r="V1304" s="22" t="s">
        <v>105</v>
      </c>
      <c r="W1304" s="33"/>
      <c r="X1304" s="33"/>
      <c r="Y1304" s="30"/>
      <c r="Z1304" s="30"/>
      <c r="AA1304" s="33"/>
      <c r="AB1304" s="33"/>
      <c r="AC1304" s="30"/>
      <c r="AD1304" s="30"/>
      <c r="AE1304" s="33"/>
      <c r="AF1304" s="31"/>
      <c r="AG1304" s="30"/>
      <c r="AH1304" s="30"/>
      <c r="AI1304" s="31"/>
      <c r="AJ1304" s="31"/>
      <c r="AK1304" s="32"/>
    </row>
    <row r="1305">
      <c r="A1305" s="21" t="s">
        <v>859</v>
      </c>
      <c r="B1305" s="22" t="s">
        <v>1498</v>
      </c>
      <c r="C1305" s="22" t="s">
        <v>82</v>
      </c>
      <c r="D1305" s="26">
        <v>45997.0</v>
      </c>
      <c r="E1305" s="22" t="s">
        <v>522</v>
      </c>
      <c r="F1305" s="22" t="s">
        <v>605</v>
      </c>
      <c r="G1305" s="22" t="s">
        <v>2702</v>
      </c>
      <c r="H1305" s="22" t="s">
        <v>859</v>
      </c>
      <c r="I1305" s="22">
        <v>1.0467307487555E13</v>
      </c>
      <c r="J1305" s="22" t="s">
        <v>1500</v>
      </c>
      <c r="K1305" s="24"/>
      <c r="L1305" s="22" t="s">
        <v>861</v>
      </c>
      <c r="M1305" s="22">
        <v>1.0</v>
      </c>
      <c r="N1305" s="22" t="s">
        <v>609</v>
      </c>
      <c r="O1305" s="22" t="s">
        <v>610</v>
      </c>
      <c r="P1305" s="24"/>
      <c r="Q1305" s="22" t="s">
        <v>90</v>
      </c>
      <c r="R1305" s="22">
        <v>3.2770057404739E13</v>
      </c>
      <c r="S1305" s="24"/>
      <c r="T1305" s="24"/>
      <c r="U1305" s="24"/>
      <c r="V1305" s="22" t="s">
        <v>95</v>
      </c>
      <c r="W1305" s="33"/>
      <c r="X1305" s="33"/>
      <c r="Y1305" s="30"/>
      <c r="Z1305" s="30"/>
      <c r="AA1305" s="33"/>
      <c r="AB1305" s="33"/>
      <c r="AC1305" s="30"/>
      <c r="AD1305" s="30"/>
      <c r="AE1305" s="33"/>
      <c r="AF1305" s="31"/>
      <c r="AG1305" s="30"/>
      <c r="AH1305" s="30"/>
      <c r="AI1305" s="31"/>
      <c r="AJ1305" s="31"/>
      <c r="AK1305" s="32"/>
    </row>
    <row r="1306">
      <c r="A1306" s="21" t="s">
        <v>515</v>
      </c>
      <c r="B1306" s="22" t="s">
        <v>786</v>
      </c>
      <c r="C1306" s="22" t="s">
        <v>273</v>
      </c>
      <c r="D1306" s="26">
        <v>45998.0</v>
      </c>
      <c r="E1306" s="22" t="s">
        <v>145</v>
      </c>
      <c r="F1306" s="22" t="s">
        <v>472</v>
      </c>
      <c r="G1306" s="22" t="s">
        <v>2703</v>
      </c>
      <c r="H1306" s="22" t="s">
        <v>515</v>
      </c>
      <c r="I1306" s="22">
        <v>1.0467318464835E13</v>
      </c>
      <c r="J1306" s="22" t="s">
        <v>788</v>
      </c>
      <c r="K1306" s="24"/>
      <c r="L1306" s="22" t="s">
        <v>519</v>
      </c>
      <c r="M1306" s="22">
        <v>1.0</v>
      </c>
      <c r="N1306" s="22" t="s">
        <v>476</v>
      </c>
      <c r="O1306" s="22" t="s">
        <v>477</v>
      </c>
      <c r="P1306" s="24"/>
      <c r="Q1306" s="22" t="s">
        <v>90</v>
      </c>
      <c r="R1306" s="22">
        <v>3.2770081718595E13</v>
      </c>
      <c r="S1306" s="24"/>
      <c r="T1306" s="24"/>
      <c r="U1306" s="24"/>
      <c r="V1306" s="22" t="s">
        <v>55</v>
      </c>
      <c r="W1306" s="33"/>
      <c r="X1306" s="33"/>
      <c r="Y1306" s="30"/>
      <c r="Z1306" s="30"/>
      <c r="AA1306" s="33"/>
      <c r="AB1306" s="33"/>
      <c r="AC1306" s="30"/>
      <c r="AD1306" s="30"/>
      <c r="AE1306" s="33"/>
      <c r="AF1306" s="31"/>
      <c r="AG1306" s="30"/>
      <c r="AH1306" s="30"/>
      <c r="AI1306" s="31"/>
      <c r="AJ1306" s="31"/>
      <c r="AK1306" s="32"/>
    </row>
    <row r="1307">
      <c r="A1307" s="21" t="s">
        <v>470</v>
      </c>
      <c r="B1307" s="22" t="s">
        <v>471</v>
      </c>
      <c r="C1307" s="22" t="s">
        <v>82</v>
      </c>
      <c r="D1307" s="26">
        <v>45997.0</v>
      </c>
      <c r="E1307" s="22" t="s">
        <v>134</v>
      </c>
      <c r="F1307" s="22" t="s">
        <v>472</v>
      </c>
      <c r="G1307" s="22" t="s">
        <v>2704</v>
      </c>
      <c r="H1307" s="22" t="s">
        <v>470</v>
      </c>
      <c r="I1307" s="22">
        <v>1.0467318497603E13</v>
      </c>
      <c r="J1307" s="22" t="s">
        <v>474</v>
      </c>
      <c r="K1307" s="24"/>
      <c r="L1307" s="22" t="s">
        <v>475</v>
      </c>
      <c r="M1307" s="22">
        <v>1.0</v>
      </c>
      <c r="N1307" s="22" t="s">
        <v>476</v>
      </c>
      <c r="O1307" s="22" t="s">
        <v>477</v>
      </c>
      <c r="P1307" s="24"/>
      <c r="Q1307" s="22" t="s">
        <v>90</v>
      </c>
      <c r="R1307" s="22">
        <v>3.2770081915203E13</v>
      </c>
      <c r="S1307" s="24"/>
      <c r="T1307" s="24"/>
      <c r="U1307" s="24"/>
      <c r="V1307" s="27" t="s">
        <v>91</v>
      </c>
      <c r="W1307" s="33"/>
      <c r="X1307" s="33"/>
      <c r="Y1307" s="30"/>
      <c r="Z1307" s="30"/>
      <c r="AA1307" s="33"/>
      <c r="AB1307" s="33"/>
      <c r="AC1307" s="30"/>
      <c r="AD1307" s="30"/>
      <c r="AE1307" s="33"/>
      <c r="AF1307" s="31"/>
      <c r="AG1307" s="30"/>
      <c r="AH1307" s="30"/>
      <c r="AI1307" s="31"/>
      <c r="AJ1307" s="31"/>
      <c r="AK1307" s="32"/>
    </row>
    <row r="1308">
      <c r="A1308" s="21" t="s">
        <v>602</v>
      </c>
      <c r="B1308" s="22" t="s">
        <v>1882</v>
      </c>
      <c r="C1308" s="22" t="s">
        <v>82</v>
      </c>
      <c r="D1308" s="26">
        <v>45997.0</v>
      </c>
      <c r="E1308" s="22" t="s">
        <v>1400</v>
      </c>
      <c r="F1308" s="22" t="s">
        <v>605</v>
      </c>
      <c r="G1308" s="22" t="s">
        <v>2705</v>
      </c>
      <c r="H1308" s="22" t="s">
        <v>602</v>
      </c>
      <c r="I1308" s="22">
        <v>1.0467333865795E13</v>
      </c>
      <c r="J1308" s="22" t="s">
        <v>1884</v>
      </c>
      <c r="K1308" s="24"/>
      <c r="L1308" s="22" t="s">
        <v>608</v>
      </c>
      <c r="M1308" s="22">
        <v>1.0</v>
      </c>
      <c r="N1308" s="22" t="s">
        <v>609</v>
      </c>
      <c r="O1308" s="22" t="s">
        <v>610</v>
      </c>
      <c r="P1308" s="24"/>
      <c r="Q1308" s="22" t="s">
        <v>90</v>
      </c>
      <c r="R1308" s="22">
        <v>3.2770116485443E13</v>
      </c>
      <c r="S1308" s="24"/>
      <c r="T1308" s="24"/>
      <c r="U1308" s="24"/>
      <c r="V1308" s="22" t="s">
        <v>54</v>
      </c>
      <c r="W1308" s="33"/>
      <c r="X1308" s="33"/>
      <c r="Y1308" s="30"/>
      <c r="Z1308" s="30"/>
      <c r="AA1308" s="33"/>
      <c r="AB1308" s="33"/>
      <c r="AC1308" s="30"/>
      <c r="AD1308" s="30"/>
      <c r="AE1308" s="33"/>
      <c r="AF1308" s="31"/>
      <c r="AG1308" s="30"/>
      <c r="AH1308" s="30"/>
      <c r="AI1308" s="31"/>
      <c r="AJ1308" s="31"/>
      <c r="AK1308" s="32"/>
    </row>
    <row r="1309">
      <c r="A1309" s="21" t="s">
        <v>463</v>
      </c>
      <c r="B1309" s="22" t="s">
        <v>1072</v>
      </c>
      <c r="C1309" s="22" t="s">
        <v>82</v>
      </c>
      <c r="D1309" s="26">
        <v>45997.0</v>
      </c>
      <c r="E1309" s="22" t="s">
        <v>1073</v>
      </c>
      <c r="F1309" s="22" t="s">
        <v>303</v>
      </c>
      <c r="G1309" s="22" t="s">
        <v>2706</v>
      </c>
      <c r="H1309" s="22" t="s">
        <v>463</v>
      </c>
      <c r="I1309" s="22">
        <v>1.0467365552451E13</v>
      </c>
      <c r="J1309" s="22" t="s">
        <v>1075</v>
      </c>
      <c r="K1309" s="24"/>
      <c r="L1309" s="22" t="s">
        <v>467</v>
      </c>
      <c r="M1309" s="22">
        <v>1.0</v>
      </c>
      <c r="N1309" s="22" t="s">
        <v>468</v>
      </c>
      <c r="O1309" s="22" t="s">
        <v>469</v>
      </c>
      <c r="P1309" s="24"/>
      <c r="Q1309" s="22" t="s">
        <v>90</v>
      </c>
      <c r="R1309" s="22">
        <v>3.2770189066563E13</v>
      </c>
      <c r="S1309" s="24"/>
      <c r="T1309" s="24"/>
      <c r="U1309" s="24"/>
      <c r="V1309" s="22" t="s">
        <v>105</v>
      </c>
      <c r="W1309" s="33"/>
      <c r="X1309" s="33"/>
      <c r="Y1309" s="30"/>
      <c r="Z1309" s="30"/>
      <c r="AA1309" s="33"/>
      <c r="AB1309" s="33"/>
      <c r="AC1309" s="30"/>
      <c r="AD1309" s="30"/>
      <c r="AE1309" s="33"/>
      <c r="AF1309" s="31"/>
      <c r="AG1309" s="30"/>
      <c r="AH1309" s="30"/>
      <c r="AI1309" s="31"/>
      <c r="AJ1309" s="31"/>
      <c r="AK1309" s="32"/>
    </row>
    <row r="1310">
      <c r="A1310" s="21" t="s">
        <v>96</v>
      </c>
      <c r="B1310" s="22" t="s">
        <v>2419</v>
      </c>
      <c r="C1310" s="22" t="s">
        <v>273</v>
      </c>
      <c r="D1310" s="23">
        <v>45991.0</v>
      </c>
      <c r="E1310" s="22" t="s">
        <v>1400</v>
      </c>
      <c r="F1310" s="22" t="s">
        <v>83</v>
      </c>
      <c r="G1310" s="22" t="s">
        <v>2707</v>
      </c>
      <c r="H1310" s="22" t="s">
        <v>96</v>
      </c>
      <c r="I1310" s="22">
        <v>1.0467398844739E13</v>
      </c>
      <c r="J1310" s="22" t="s">
        <v>2421</v>
      </c>
      <c r="K1310" s="24"/>
      <c r="L1310" s="22" t="s">
        <v>98</v>
      </c>
      <c r="M1310" s="22">
        <v>1.0</v>
      </c>
      <c r="N1310" s="22" t="s">
        <v>87</v>
      </c>
      <c r="O1310" s="22" t="s">
        <v>88</v>
      </c>
      <c r="P1310" s="24"/>
      <c r="Q1310" s="22" t="s">
        <v>90</v>
      </c>
      <c r="R1310" s="22">
        <v>3.2770262303043E13</v>
      </c>
      <c r="S1310" s="24"/>
      <c r="T1310" s="24"/>
      <c r="U1310" s="24"/>
      <c r="V1310" s="22" t="s">
        <v>55</v>
      </c>
      <c r="W1310" s="33"/>
      <c r="X1310" s="33"/>
      <c r="Y1310" s="30"/>
      <c r="Z1310" s="30"/>
      <c r="AA1310" s="33"/>
      <c r="AB1310" s="33"/>
      <c r="AC1310" s="30"/>
      <c r="AD1310" s="30"/>
      <c r="AE1310" s="33"/>
      <c r="AF1310" s="31"/>
      <c r="AG1310" s="30"/>
      <c r="AH1310" s="30"/>
      <c r="AI1310" s="31"/>
      <c r="AJ1310" s="31"/>
      <c r="AK1310" s="32"/>
    </row>
    <row r="1311">
      <c r="A1311" s="21" t="s">
        <v>408</v>
      </c>
      <c r="B1311" s="22" t="s">
        <v>653</v>
      </c>
      <c r="C1311" s="22" t="s">
        <v>82</v>
      </c>
      <c r="D1311" s="26">
        <v>45997.0</v>
      </c>
      <c r="E1311" s="22" t="s">
        <v>138</v>
      </c>
      <c r="F1311" s="22" t="s">
        <v>377</v>
      </c>
      <c r="G1311" s="22" t="s">
        <v>2708</v>
      </c>
      <c r="H1311" s="22" t="s">
        <v>408</v>
      </c>
      <c r="I1311" s="22">
        <v>1.0467142238531E13</v>
      </c>
      <c r="J1311" s="22" t="s">
        <v>655</v>
      </c>
      <c r="K1311" s="24"/>
      <c r="L1311" s="22" t="s">
        <v>412</v>
      </c>
      <c r="M1311" s="22">
        <v>1.0</v>
      </c>
      <c r="N1311" s="22" t="s">
        <v>413</v>
      </c>
      <c r="O1311" s="22" t="s">
        <v>414</v>
      </c>
      <c r="P1311" s="24"/>
      <c r="Q1311" s="22" t="s">
        <v>90</v>
      </c>
      <c r="R1311" s="22">
        <v>3.2769686667587E13</v>
      </c>
      <c r="S1311" s="24"/>
      <c r="T1311" s="24"/>
      <c r="U1311" s="24"/>
      <c r="V1311" s="22" t="s">
        <v>127</v>
      </c>
      <c r="W1311" s="33"/>
      <c r="X1311" s="33"/>
      <c r="Y1311" s="30"/>
      <c r="Z1311" s="30"/>
      <c r="AA1311" s="33"/>
      <c r="AB1311" s="33"/>
      <c r="AC1311" s="30"/>
      <c r="AD1311" s="30"/>
      <c r="AE1311" s="33"/>
      <c r="AF1311" s="31"/>
      <c r="AG1311" s="30"/>
      <c r="AH1311" s="30"/>
      <c r="AI1311" s="31"/>
      <c r="AJ1311" s="31"/>
      <c r="AK1311" s="32"/>
    </row>
    <row r="1312">
      <c r="A1312" s="21" t="s">
        <v>979</v>
      </c>
      <c r="B1312" s="22" t="s">
        <v>1576</v>
      </c>
      <c r="C1312" s="22" t="s">
        <v>82</v>
      </c>
      <c r="D1312" s="26">
        <v>45997.0</v>
      </c>
      <c r="E1312" s="22" t="s">
        <v>1117</v>
      </c>
      <c r="F1312" s="22" t="s">
        <v>605</v>
      </c>
      <c r="G1312" s="22" t="s">
        <v>2709</v>
      </c>
      <c r="H1312" s="22" t="s">
        <v>979</v>
      </c>
      <c r="I1312" s="22">
        <v>1.0467155181891E13</v>
      </c>
      <c r="J1312" s="22" t="s">
        <v>1578</v>
      </c>
      <c r="K1312" s="24"/>
      <c r="L1312" s="22" t="s">
        <v>984</v>
      </c>
      <c r="M1312" s="22">
        <v>1.0</v>
      </c>
      <c r="N1312" s="22" t="s">
        <v>609</v>
      </c>
      <c r="O1312" s="22" t="s">
        <v>610</v>
      </c>
      <c r="P1312" s="24"/>
      <c r="Q1312" s="22" t="s">
        <v>90</v>
      </c>
      <c r="R1312" s="22">
        <v>3.2769716617539E13</v>
      </c>
      <c r="S1312" s="24"/>
      <c r="T1312" s="24"/>
      <c r="U1312" s="24"/>
      <c r="V1312" s="22" t="s">
        <v>55</v>
      </c>
      <c r="W1312" s="33"/>
      <c r="X1312" s="33"/>
      <c r="Y1312" s="30"/>
      <c r="Z1312" s="30"/>
      <c r="AA1312" s="33"/>
      <c r="AB1312" s="33"/>
      <c r="AC1312" s="30"/>
      <c r="AD1312" s="30"/>
      <c r="AE1312" s="33"/>
      <c r="AF1312" s="31"/>
      <c r="AG1312" s="30"/>
      <c r="AH1312" s="30"/>
      <c r="AI1312" s="31"/>
      <c r="AJ1312" s="31"/>
      <c r="AK1312" s="32"/>
    </row>
    <row r="1313">
      <c r="A1313" s="21" t="s">
        <v>560</v>
      </c>
      <c r="B1313" s="22" t="s">
        <v>355</v>
      </c>
      <c r="C1313" s="22" t="s">
        <v>273</v>
      </c>
      <c r="D1313" s="23">
        <v>45991.0</v>
      </c>
      <c r="E1313" s="22" t="s">
        <v>149</v>
      </c>
      <c r="F1313" s="22" t="s">
        <v>356</v>
      </c>
      <c r="G1313" s="22" t="s">
        <v>2710</v>
      </c>
      <c r="H1313" s="22" t="s">
        <v>560</v>
      </c>
      <c r="I1313" s="22">
        <v>1.0467443835203E13</v>
      </c>
      <c r="J1313" s="22" t="s">
        <v>562</v>
      </c>
      <c r="K1313" s="24"/>
      <c r="L1313" s="22" t="s">
        <v>563</v>
      </c>
      <c r="M1313" s="22">
        <v>1.0</v>
      </c>
      <c r="N1313" s="22" t="s">
        <v>360</v>
      </c>
      <c r="O1313" s="22" t="s">
        <v>361</v>
      </c>
      <c r="P1313" s="24"/>
      <c r="Q1313" s="22" t="s">
        <v>90</v>
      </c>
      <c r="R1313" s="22">
        <v>3.2770362900803E13</v>
      </c>
      <c r="S1313" s="24"/>
      <c r="T1313" s="24"/>
      <c r="U1313" s="24"/>
      <c r="V1313" s="22" t="s">
        <v>91</v>
      </c>
      <c r="W1313" s="33"/>
      <c r="X1313" s="33"/>
      <c r="Y1313" s="30"/>
      <c r="Z1313" s="30"/>
      <c r="AA1313" s="33"/>
      <c r="AB1313" s="33"/>
      <c r="AC1313" s="30"/>
      <c r="AD1313" s="30"/>
      <c r="AE1313" s="33"/>
      <c r="AF1313" s="31"/>
      <c r="AG1313" s="30"/>
      <c r="AH1313" s="30"/>
      <c r="AI1313" s="31"/>
      <c r="AJ1313" s="31"/>
      <c r="AK1313" s="32"/>
    </row>
    <row r="1314">
      <c r="A1314" s="21" t="s">
        <v>415</v>
      </c>
      <c r="B1314" s="22" t="s">
        <v>1382</v>
      </c>
      <c r="C1314" s="22" t="s">
        <v>82</v>
      </c>
      <c r="D1314" s="26">
        <v>45997.0</v>
      </c>
      <c r="E1314" s="22" t="s">
        <v>248</v>
      </c>
      <c r="F1314" s="22" t="s">
        <v>377</v>
      </c>
      <c r="G1314" s="22" t="s">
        <v>2711</v>
      </c>
      <c r="H1314" s="22" t="s">
        <v>415</v>
      </c>
      <c r="I1314" s="22">
        <v>1.0467502653763E13</v>
      </c>
      <c r="J1314" s="22" t="s">
        <v>1384</v>
      </c>
      <c r="K1314" s="24"/>
      <c r="L1314" s="22" t="s">
        <v>419</v>
      </c>
      <c r="M1314" s="22">
        <v>1.0</v>
      </c>
      <c r="N1314" s="22" t="s">
        <v>381</v>
      </c>
      <c r="O1314" s="22" t="s">
        <v>382</v>
      </c>
      <c r="P1314" s="24"/>
      <c r="Q1314" s="22" t="s">
        <v>90</v>
      </c>
      <c r="R1314" s="22">
        <v>3.2770497937731E13</v>
      </c>
      <c r="S1314" s="24"/>
      <c r="T1314" s="24"/>
      <c r="U1314" s="24"/>
      <c r="V1314" s="22" t="s">
        <v>91</v>
      </c>
      <c r="W1314" s="33"/>
      <c r="X1314" s="33"/>
      <c r="Y1314" s="30"/>
      <c r="Z1314" s="30"/>
      <c r="AA1314" s="33"/>
      <c r="AB1314" s="33"/>
      <c r="AC1314" s="30"/>
      <c r="AD1314" s="30"/>
      <c r="AE1314" s="33"/>
      <c r="AF1314" s="31"/>
      <c r="AG1314" s="30"/>
      <c r="AH1314" s="30"/>
      <c r="AI1314" s="31"/>
      <c r="AJ1314" s="31"/>
      <c r="AK1314" s="32"/>
    </row>
    <row r="1315">
      <c r="A1315" s="21" t="s">
        <v>141</v>
      </c>
      <c r="B1315" s="22" t="s">
        <v>2712</v>
      </c>
      <c r="C1315" s="22" t="s">
        <v>273</v>
      </c>
      <c r="D1315" s="26">
        <v>45998.0</v>
      </c>
      <c r="E1315" s="22" t="s">
        <v>181</v>
      </c>
      <c r="F1315" s="22" t="s">
        <v>83</v>
      </c>
      <c r="G1315" s="22" t="s">
        <v>2713</v>
      </c>
      <c r="H1315" s="22" t="s">
        <v>141</v>
      </c>
      <c r="I1315" s="22">
        <v>1.0467503669571E13</v>
      </c>
      <c r="J1315" s="22" t="s">
        <v>2714</v>
      </c>
      <c r="K1315" s="24"/>
      <c r="L1315" s="22" t="s">
        <v>143</v>
      </c>
      <c r="M1315" s="22">
        <v>1.0</v>
      </c>
      <c r="N1315" s="22" t="s">
        <v>87</v>
      </c>
      <c r="O1315" s="22" t="s">
        <v>88</v>
      </c>
      <c r="P1315" s="24"/>
      <c r="Q1315" s="22" t="s">
        <v>90</v>
      </c>
      <c r="R1315" s="22">
        <v>3.2770499805507E13</v>
      </c>
      <c r="S1315" s="24"/>
      <c r="T1315" s="24"/>
      <c r="U1315" s="24"/>
      <c r="V1315" s="22" t="s">
        <v>54</v>
      </c>
      <c r="W1315" s="33"/>
      <c r="X1315" s="33"/>
      <c r="Y1315" s="30"/>
      <c r="Z1315" s="30"/>
      <c r="AA1315" s="33"/>
      <c r="AB1315" s="33"/>
      <c r="AC1315" s="30"/>
      <c r="AD1315" s="30"/>
      <c r="AE1315" s="33"/>
      <c r="AF1315" s="31"/>
      <c r="AG1315" s="30"/>
      <c r="AH1315" s="30"/>
      <c r="AI1315" s="31"/>
      <c r="AJ1315" s="31"/>
      <c r="AK1315" s="32"/>
    </row>
    <row r="1316">
      <c r="A1316" s="21" t="s">
        <v>643</v>
      </c>
      <c r="B1316" s="22" t="s">
        <v>1413</v>
      </c>
      <c r="C1316" s="22" t="s">
        <v>273</v>
      </c>
      <c r="D1316" s="23">
        <v>46005.0</v>
      </c>
      <c r="E1316" s="22" t="s">
        <v>177</v>
      </c>
      <c r="F1316" s="22" t="s">
        <v>634</v>
      </c>
      <c r="G1316" s="22" t="s">
        <v>2715</v>
      </c>
      <c r="H1316" s="22" t="s">
        <v>643</v>
      </c>
      <c r="I1316" s="22">
        <v>1.0467506782531E13</v>
      </c>
      <c r="J1316" s="22" t="s">
        <v>1415</v>
      </c>
      <c r="K1316" s="24"/>
      <c r="L1316" s="22" t="s">
        <v>647</v>
      </c>
      <c r="M1316" s="22">
        <v>1.0</v>
      </c>
      <c r="N1316" s="22" t="s">
        <v>638</v>
      </c>
      <c r="O1316" s="22" t="s">
        <v>639</v>
      </c>
      <c r="P1316" s="24"/>
      <c r="Q1316" s="22" t="s">
        <v>90</v>
      </c>
      <c r="R1316" s="22">
        <v>3.2770509078851E13</v>
      </c>
      <c r="S1316" s="24"/>
      <c r="T1316" s="24"/>
      <c r="U1316" s="24"/>
      <c r="V1316" s="22" t="s">
        <v>54</v>
      </c>
      <c r="W1316" s="33"/>
      <c r="X1316" s="33"/>
      <c r="Y1316" s="30"/>
      <c r="Z1316" s="30"/>
      <c r="AA1316" s="33"/>
      <c r="AB1316" s="33"/>
      <c r="AC1316" s="30"/>
      <c r="AD1316" s="30"/>
      <c r="AE1316" s="33"/>
      <c r="AF1316" s="31"/>
      <c r="AG1316" s="30"/>
      <c r="AH1316" s="30"/>
      <c r="AI1316" s="31"/>
      <c r="AJ1316" s="31"/>
      <c r="AK1316" s="32"/>
    </row>
    <row r="1317">
      <c r="A1317" s="21" t="s">
        <v>96</v>
      </c>
      <c r="B1317" s="22" t="s">
        <v>1309</v>
      </c>
      <c r="C1317" s="22" t="s">
        <v>273</v>
      </c>
      <c r="D1317" s="26">
        <v>45998.0</v>
      </c>
      <c r="E1317" s="22" t="s">
        <v>134</v>
      </c>
      <c r="F1317" s="22" t="s">
        <v>83</v>
      </c>
      <c r="G1317" s="22" t="s">
        <v>2716</v>
      </c>
      <c r="H1317" s="22" t="s">
        <v>96</v>
      </c>
      <c r="I1317" s="22">
        <v>1.0467517399363E13</v>
      </c>
      <c r="J1317" s="22" t="s">
        <v>1311</v>
      </c>
      <c r="K1317" s="24"/>
      <c r="L1317" s="22" t="s">
        <v>98</v>
      </c>
      <c r="M1317" s="22">
        <v>1.0</v>
      </c>
      <c r="N1317" s="22" t="s">
        <v>87</v>
      </c>
      <c r="O1317" s="22" t="s">
        <v>88</v>
      </c>
      <c r="P1317" s="24"/>
      <c r="Q1317" s="22" t="s">
        <v>90</v>
      </c>
      <c r="R1317" s="22">
        <v>3.2770531754307E13</v>
      </c>
      <c r="S1317" s="24"/>
      <c r="T1317" s="24"/>
      <c r="U1317" s="24"/>
      <c r="V1317" s="22" t="s">
        <v>55</v>
      </c>
      <c r="W1317" s="33"/>
      <c r="X1317" s="33"/>
      <c r="Y1317" s="30"/>
      <c r="Z1317" s="30"/>
      <c r="AA1317" s="33"/>
      <c r="AB1317" s="33"/>
      <c r="AC1317" s="30"/>
      <c r="AD1317" s="30"/>
      <c r="AE1317" s="33"/>
      <c r="AF1317" s="31"/>
      <c r="AG1317" s="30"/>
      <c r="AH1317" s="30"/>
      <c r="AI1317" s="31"/>
      <c r="AJ1317" s="31"/>
      <c r="AK1317" s="32"/>
    </row>
    <row r="1318">
      <c r="A1318" s="21" t="s">
        <v>709</v>
      </c>
      <c r="B1318" s="22" t="s">
        <v>2024</v>
      </c>
      <c r="C1318" s="22" t="s">
        <v>202</v>
      </c>
      <c r="D1318" s="26">
        <v>45996.0</v>
      </c>
      <c r="E1318" s="22" t="s">
        <v>134</v>
      </c>
      <c r="F1318" s="22" t="s">
        <v>311</v>
      </c>
      <c r="G1318" s="22" t="s">
        <v>2717</v>
      </c>
      <c r="H1318" s="22" t="s">
        <v>709</v>
      </c>
      <c r="I1318" s="22">
        <v>1.0467530146115E13</v>
      </c>
      <c r="J1318" s="22" t="s">
        <v>2026</v>
      </c>
      <c r="K1318" s="24"/>
      <c r="L1318" s="22" t="s">
        <v>713</v>
      </c>
      <c r="M1318" s="22">
        <v>1.0</v>
      </c>
      <c r="N1318" s="22" t="s">
        <v>391</v>
      </c>
      <c r="O1318" s="22" t="s">
        <v>392</v>
      </c>
      <c r="P1318" s="24"/>
      <c r="Q1318" s="22" t="s">
        <v>90</v>
      </c>
      <c r="R1318" s="22">
        <v>3.2770557411651E13</v>
      </c>
      <c r="S1318" s="24"/>
      <c r="T1318" s="24"/>
      <c r="U1318" s="24"/>
      <c r="V1318" s="22" t="s">
        <v>91</v>
      </c>
      <c r="W1318" s="33"/>
      <c r="X1318" s="33"/>
      <c r="Y1318" s="30"/>
      <c r="Z1318" s="30"/>
      <c r="AA1318" s="33"/>
      <c r="AB1318" s="33"/>
      <c r="AC1318" s="30"/>
      <c r="AD1318" s="30"/>
      <c r="AE1318" s="33"/>
      <c r="AF1318" s="31"/>
      <c r="AG1318" s="30"/>
      <c r="AH1318" s="30"/>
      <c r="AI1318" s="31"/>
      <c r="AJ1318" s="31"/>
      <c r="AK1318" s="32"/>
    </row>
    <row r="1319">
      <c r="A1319" s="21" t="s">
        <v>96</v>
      </c>
      <c r="B1319" s="22" t="s">
        <v>1489</v>
      </c>
      <c r="C1319" s="22" t="s">
        <v>82</v>
      </c>
      <c r="D1319" s="26">
        <v>45997.0</v>
      </c>
      <c r="E1319" s="22" t="s">
        <v>266</v>
      </c>
      <c r="F1319" s="22" t="s">
        <v>83</v>
      </c>
      <c r="G1319" s="22" t="s">
        <v>2718</v>
      </c>
      <c r="H1319" s="22" t="s">
        <v>96</v>
      </c>
      <c r="I1319" s="22">
        <v>1.0467544695107E13</v>
      </c>
      <c r="J1319" s="22" t="s">
        <v>1491</v>
      </c>
      <c r="K1319" s="24"/>
      <c r="L1319" s="22" t="s">
        <v>98</v>
      </c>
      <c r="M1319" s="22">
        <v>1.0</v>
      </c>
      <c r="N1319" s="22" t="s">
        <v>87</v>
      </c>
      <c r="O1319" s="22" t="s">
        <v>88</v>
      </c>
      <c r="P1319" s="24"/>
      <c r="Q1319" s="22" t="s">
        <v>90</v>
      </c>
      <c r="R1319" s="22">
        <v>3.2770590310723E13</v>
      </c>
      <c r="S1319" s="24"/>
      <c r="T1319" s="24"/>
      <c r="U1319" s="24"/>
      <c r="V1319" s="22" t="s">
        <v>55</v>
      </c>
      <c r="W1319" s="33"/>
      <c r="X1319" s="33"/>
      <c r="Y1319" s="30"/>
      <c r="Z1319" s="30"/>
      <c r="AA1319" s="33"/>
      <c r="AB1319" s="33"/>
      <c r="AC1319" s="30"/>
      <c r="AD1319" s="30"/>
      <c r="AE1319" s="33"/>
      <c r="AF1319" s="31"/>
      <c r="AG1319" s="30"/>
      <c r="AH1319" s="30"/>
      <c r="AI1319" s="31"/>
      <c r="AJ1319" s="31"/>
      <c r="AK1319" s="32"/>
    </row>
    <row r="1320">
      <c r="A1320" s="21" t="s">
        <v>924</v>
      </c>
      <c r="B1320" s="22" t="s">
        <v>1205</v>
      </c>
      <c r="C1320" s="22" t="s">
        <v>273</v>
      </c>
      <c r="D1320" s="26">
        <v>45998.0</v>
      </c>
      <c r="E1320" s="22" t="s">
        <v>149</v>
      </c>
      <c r="F1320" s="22" t="s">
        <v>623</v>
      </c>
      <c r="G1320" s="22" t="s">
        <v>2719</v>
      </c>
      <c r="H1320" s="22" t="s">
        <v>924</v>
      </c>
      <c r="I1320" s="22">
        <v>1.0467557769539E13</v>
      </c>
      <c r="J1320" s="22" t="s">
        <v>1207</v>
      </c>
      <c r="K1320" s="24"/>
      <c r="L1320" s="22" t="s">
        <v>926</v>
      </c>
      <c r="M1320" s="22">
        <v>1.0</v>
      </c>
      <c r="N1320" s="22" t="s">
        <v>627</v>
      </c>
      <c r="O1320" s="22" t="s">
        <v>628</v>
      </c>
      <c r="P1320" s="24"/>
      <c r="Q1320" s="22" t="s">
        <v>90</v>
      </c>
      <c r="R1320" s="22">
        <v>3.2770616688963E13</v>
      </c>
      <c r="S1320" s="24"/>
      <c r="T1320" s="24"/>
      <c r="U1320" s="24"/>
      <c r="V1320" s="22" t="s">
        <v>55</v>
      </c>
      <c r="W1320" s="33"/>
      <c r="X1320" s="33"/>
      <c r="Y1320" s="30"/>
      <c r="Z1320" s="30"/>
      <c r="AA1320" s="33"/>
      <c r="AB1320" s="33"/>
      <c r="AC1320" s="30"/>
      <c r="AD1320" s="30"/>
      <c r="AE1320" s="33"/>
      <c r="AF1320" s="31"/>
      <c r="AG1320" s="30"/>
      <c r="AH1320" s="30"/>
      <c r="AI1320" s="31"/>
      <c r="AJ1320" s="31"/>
      <c r="AK1320" s="32"/>
    </row>
    <row r="1321">
      <c r="A1321" s="21" t="s">
        <v>124</v>
      </c>
      <c r="B1321" s="22" t="s">
        <v>1416</v>
      </c>
      <c r="C1321" s="22" t="s">
        <v>273</v>
      </c>
      <c r="D1321" s="26">
        <v>45998.0</v>
      </c>
      <c r="E1321" s="22" t="s">
        <v>138</v>
      </c>
      <c r="F1321" s="22" t="s">
        <v>83</v>
      </c>
      <c r="G1321" s="22" t="s">
        <v>2720</v>
      </c>
      <c r="H1321" s="22" t="s">
        <v>124</v>
      </c>
      <c r="I1321" s="22">
        <v>1.0467577102659E13</v>
      </c>
      <c r="J1321" s="22" t="s">
        <v>1418</v>
      </c>
      <c r="K1321" s="24"/>
      <c r="L1321" s="22" t="s">
        <v>126</v>
      </c>
      <c r="M1321" s="22">
        <v>1.0</v>
      </c>
      <c r="N1321" s="22" t="s">
        <v>103</v>
      </c>
      <c r="O1321" s="22" t="s">
        <v>104</v>
      </c>
      <c r="P1321" s="24"/>
      <c r="Q1321" s="22" t="s">
        <v>90</v>
      </c>
      <c r="R1321" s="22">
        <v>3.2770656338243E13</v>
      </c>
      <c r="S1321" s="24"/>
      <c r="T1321" s="24"/>
      <c r="U1321" s="24"/>
      <c r="V1321" s="22" t="s">
        <v>127</v>
      </c>
      <c r="W1321" s="33"/>
      <c r="X1321" s="33"/>
      <c r="Y1321" s="30"/>
      <c r="Z1321" s="30"/>
      <c r="AA1321" s="33"/>
      <c r="AB1321" s="33"/>
      <c r="AC1321" s="30"/>
      <c r="AD1321" s="30"/>
      <c r="AE1321" s="33"/>
      <c r="AF1321" s="31"/>
      <c r="AG1321" s="30"/>
      <c r="AH1321" s="30"/>
      <c r="AI1321" s="31"/>
      <c r="AJ1321" s="31"/>
      <c r="AK1321" s="32"/>
    </row>
    <row r="1322">
      <c r="A1322" s="21" t="s">
        <v>1048</v>
      </c>
      <c r="B1322" s="22" t="s">
        <v>1675</v>
      </c>
      <c r="C1322" s="22" t="s">
        <v>273</v>
      </c>
      <c r="D1322" s="26">
        <v>45998.0</v>
      </c>
      <c r="E1322" s="22" t="s">
        <v>211</v>
      </c>
      <c r="F1322" s="22" t="s">
        <v>440</v>
      </c>
      <c r="G1322" s="22" t="s">
        <v>2721</v>
      </c>
      <c r="H1322" s="22" t="s">
        <v>1048</v>
      </c>
      <c r="I1322" s="22">
        <v>1.0467582017859E13</v>
      </c>
      <c r="J1322" s="22" t="s">
        <v>1677</v>
      </c>
      <c r="K1322" s="24"/>
      <c r="L1322" s="22" t="s">
        <v>1052</v>
      </c>
      <c r="M1322" s="22">
        <v>1.0</v>
      </c>
      <c r="N1322" s="22" t="s">
        <v>444</v>
      </c>
      <c r="O1322" s="22" t="s">
        <v>445</v>
      </c>
      <c r="P1322" s="24"/>
      <c r="Q1322" s="22" t="s">
        <v>90</v>
      </c>
      <c r="R1322" s="22">
        <v>3.2770667020611E13</v>
      </c>
      <c r="S1322" s="24"/>
      <c r="T1322" s="24"/>
      <c r="U1322" s="24"/>
      <c r="V1322" s="22" t="s">
        <v>54</v>
      </c>
      <c r="W1322" s="33"/>
      <c r="X1322" s="33"/>
      <c r="Y1322" s="30"/>
      <c r="Z1322" s="30"/>
      <c r="AA1322" s="33"/>
      <c r="AB1322" s="33"/>
      <c r="AC1322" s="30"/>
      <c r="AD1322" s="30"/>
      <c r="AE1322" s="33"/>
      <c r="AF1322" s="31"/>
      <c r="AG1322" s="30"/>
      <c r="AH1322" s="30"/>
      <c r="AI1322" s="31"/>
      <c r="AJ1322" s="31"/>
      <c r="AK1322" s="32"/>
    </row>
    <row r="1323">
      <c r="A1323" s="21" t="s">
        <v>96</v>
      </c>
      <c r="B1323" s="22" t="s">
        <v>1568</v>
      </c>
      <c r="C1323" s="22" t="s">
        <v>273</v>
      </c>
      <c r="D1323" s="23">
        <v>45991.0</v>
      </c>
      <c r="E1323" s="22" t="s">
        <v>134</v>
      </c>
      <c r="F1323" s="22" t="s">
        <v>83</v>
      </c>
      <c r="G1323" s="22" t="s">
        <v>2722</v>
      </c>
      <c r="H1323" s="22" t="s">
        <v>96</v>
      </c>
      <c r="I1323" s="22">
        <v>1.0467620651331E13</v>
      </c>
      <c r="J1323" s="22" t="s">
        <v>1570</v>
      </c>
      <c r="K1323" s="24"/>
      <c r="L1323" s="22" t="s">
        <v>98</v>
      </c>
      <c r="M1323" s="22">
        <v>1.0</v>
      </c>
      <c r="N1323" s="22" t="s">
        <v>87</v>
      </c>
      <c r="O1323" s="22" t="s">
        <v>88</v>
      </c>
      <c r="P1323" s="24"/>
      <c r="Q1323" s="22" t="s">
        <v>90</v>
      </c>
      <c r="R1323" s="22">
        <v>3.2770752610627E13</v>
      </c>
      <c r="S1323" s="24"/>
      <c r="T1323" s="24"/>
      <c r="U1323" s="24"/>
      <c r="V1323" s="22" t="s">
        <v>55</v>
      </c>
      <c r="W1323" s="33"/>
      <c r="X1323" s="33"/>
      <c r="Y1323" s="30"/>
      <c r="Z1323" s="30"/>
      <c r="AA1323" s="33"/>
      <c r="AB1323" s="33"/>
      <c r="AC1323" s="30"/>
      <c r="AD1323" s="30"/>
      <c r="AE1323" s="33"/>
      <c r="AF1323" s="31"/>
      <c r="AG1323" s="30"/>
      <c r="AH1323" s="30"/>
      <c r="AI1323" s="31"/>
      <c r="AJ1323" s="31"/>
      <c r="AK1323" s="32"/>
    </row>
    <row r="1324">
      <c r="A1324" s="21" t="s">
        <v>141</v>
      </c>
      <c r="B1324" s="22" t="s">
        <v>2723</v>
      </c>
      <c r="C1324" s="22" t="s">
        <v>202</v>
      </c>
      <c r="D1324" s="26">
        <v>45996.0</v>
      </c>
      <c r="E1324" s="22" t="s">
        <v>1400</v>
      </c>
      <c r="F1324" s="22" t="s">
        <v>83</v>
      </c>
      <c r="G1324" s="22" t="s">
        <v>2724</v>
      </c>
      <c r="H1324" s="22" t="s">
        <v>141</v>
      </c>
      <c r="I1324" s="22">
        <v>1.0467630907715E13</v>
      </c>
      <c r="J1324" s="22" t="s">
        <v>2725</v>
      </c>
      <c r="K1324" s="24"/>
      <c r="L1324" s="22" t="s">
        <v>143</v>
      </c>
      <c r="M1324" s="22">
        <v>1.0</v>
      </c>
      <c r="N1324" s="22" t="s">
        <v>87</v>
      </c>
      <c r="O1324" s="22" t="s">
        <v>88</v>
      </c>
      <c r="P1324" s="24"/>
      <c r="Q1324" s="22" t="s">
        <v>90</v>
      </c>
      <c r="R1324" s="22">
        <v>3.2770774860099E13</v>
      </c>
      <c r="S1324" s="24"/>
      <c r="T1324" s="24"/>
      <c r="U1324" s="24"/>
      <c r="V1324" s="22" t="s">
        <v>54</v>
      </c>
      <c r="W1324" s="33"/>
      <c r="X1324" s="33"/>
      <c r="Y1324" s="30"/>
      <c r="Z1324" s="30"/>
      <c r="AA1324" s="33"/>
      <c r="AB1324" s="33"/>
      <c r="AC1324" s="30"/>
      <c r="AD1324" s="30"/>
      <c r="AE1324" s="33"/>
      <c r="AF1324" s="31"/>
      <c r="AG1324" s="30"/>
      <c r="AH1324" s="30"/>
      <c r="AI1324" s="31"/>
      <c r="AJ1324" s="31"/>
      <c r="AK1324" s="32"/>
    </row>
    <row r="1325">
      <c r="A1325" s="21" t="s">
        <v>166</v>
      </c>
      <c r="B1325" s="22" t="s">
        <v>773</v>
      </c>
      <c r="C1325" s="22" t="s">
        <v>273</v>
      </c>
      <c r="D1325" s="23">
        <v>45991.0</v>
      </c>
      <c r="E1325" s="22" t="s">
        <v>211</v>
      </c>
      <c r="F1325" s="22" t="s">
        <v>111</v>
      </c>
      <c r="G1325" s="22" t="s">
        <v>2726</v>
      </c>
      <c r="H1325" s="22" t="s">
        <v>166</v>
      </c>
      <c r="I1325" s="22">
        <v>1.0467647684931E13</v>
      </c>
      <c r="J1325" s="22" t="s">
        <v>775</v>
      </c>
      <c r="K1325" s="24"/>
      <c r="L1325" s="22" t="s">
        <v>171</v>
      </c>
      <c r="M1325" s="22">
        <v>1.0</v>
      </c>
      <c r="N1325" s="22" t="s">
        <v>115</v>
      </c>
      <c r="O1325" s="22" t="s">
        <v>116</v>
      </c>
      <c r="P1325" s="24"/>
      <c r="Q1325" s="22" t="s">
        <v>90</v>
      </c>
      <c r="R1325" s="22">
        <v>3.2770806907203E13</v>
      </c>
      <c r="S1325" s="24"/>
      <c r="T1325" s="24"/>
      <c r="U1325" s="24"/>
      <c r="V1325" s="22" t="s">
        <v>55</v>
      </c>
      <c r="W1325" s="33"/>
      <c r="X1325" s="33"/>
      <c r="Y1325" s="30"/>
      <c r="Z1325" s="30"/>
      <c r="AA1325" s="33"/>
      <c r="AB1325" s="33"/>
      <c r="AC1325" s="30"/>
      <c r="AD1325" s="30"/>
      <c r="AE1325" s="33"/>
      <c r="AF1325" s="31"/>
      <c r="AG1325" s="30"/>
      <c r="AH1325" s="30"/>
      <c r="AI1325" s="31"/>
      <c r="AJ1325" s="31"/>
      <c r="AK1325" s="32"/>
    </row>
    <row r="1326">
      <c r="A1326" s="21" t="s">
        <v>595</v>
      </c>
      <c r="B1326" s="22" t="s">
        <v>1364</v>
      </c>
      <c r="C1326" s="22" t="s">
        <v>273</v>
      </c>
      <c r="D1326" s="26">
        <v>45998.0</v>
      </c>
      <c r="E1326" s="22" t="s">
        <v>138</v>
      </c>
      <c r="F1326" s="22" t="s">
        <v>369</v>
      </c>
      <c r="G1326" s="22" t="s">
        <v>2727</v>
      </c>
      <c r="H1326" s="22" t="s">
        <v>595</v>
      </c>
      <c r="I1326" s="22">
        <v>1.0467649421635E13</v>
      </c>
      <c r="J1326" s="22" t="s">
        <v>1366</v>
      </c>
      <c r="K1326" s="24"/>
      <c r="L1326" s="22" t="s">
        <v>599</v>
      </c>
      <c r="M1326" s="22">
        <v>1.0</v>
      </c>
      <c r="N1326" s="22" t="s">
        <v>600</v>
      </c>
      <c r="O1326" s="22" t="s">
        <v>601</v>
      </c>
      <c r="P1326" s="24"/>
      <c r="Q1326" s="22" t="s">
        <v>90</v>
      </c>
      <c r="R1326" s="22">
        <v>3.2770810609987E13</v>
      </c>
      <c r="S1326" s="24"/>
      <c r="T1326" s="24"/>
      <c r="U1326" s="24"/>
      <c r="V1326" s="22" t="s">
        <v>127</v>
      </c>
      <c r="W1326" s="33"/>
      <c r="X1326" s="33"/>
      <c r="Y1326" s="30"/>
      <c r="Z1326" s="30"/>
      <c r="AA1326" s="33"/>
      <c r="AB1326" s="33"/>
      <c r="AC1326" s="30"/>
      <c r="AD1326" s="30"/>
      <c r="AE1326" s="33"/>
      <c r="AF1326" s="31"/>
      <c r="AG1326" s="30"/>
      <c r="AH1326" s="30"/>
      <c r="AI1326" s="31"/>
      <c r="AJ1326" s="31"/>
      <c r="AK1326" s="32"/>
    </row>
    <row r="1327">
      <c r="A1327" s="21" t="s">
        <v>458</v>
      </c>
      <c r="B1327" s="22" t="s">
        <v>504</v>
      </c>
      <c r="C1327" s="22" t="s">
        <v>82</v>
      </c>
      <c r="D1327" s="26">
        <v>45997.0</v>
      </c>
      <c r="E1327" s="22" t="s">
        <v>211</v>
      </c>
      <c r="F1327" s="22" t="s">
        <v>341</v>
      </c>
      <c r="G1327" s="22" t="s">
        <v>2728</v>
      </c>
      <c r="H1327" s="22" t="s">
        <v>458</v>
      </c>
      <c r="I1327" s="22">
        <v>1.0467657187651E13</v>
      </c>
      <c r="J1327" s="22" t="s">
        <v>506</v>
      </c>
      <c r="K1327" s="24"/>
      <c r="L1327" s="22" t="s">
        <v>462</v>
      </c>
      <c r="M1327" s="22">
        <v>1.0</v>
      </c>
      <c r="N1327" s="22" t="s">
        <v>345</v>
      </c>
      <c r="O1327" s="22" t="s">
        <v>346</v>
      </c>
      <c r="P1327" s="24"/>
      <c r="Q1327" s="22" t="s">
        <v>90</v>
      </c>
      <c r="R1327" s="22">
        <v>3.2770826764611E13</v>
      </c>
      <c r="S1327" s="24"/>
      <c r="T1327" s="24"/>
      <c r="U1327" s="24"/>
      <c r="V1327" s="22" t="s">
        <v>91</v>
      </c>
      <c r="W1327" s="33"/>
      <c r="X1327" s="33"/>
      <c r="Y1327" s="30"/>
      <c r="Z1327" s="30"/>
      <c r="AA1327" s="33"/>
      <c r="AB1327" s="33"/>
      <c r="AC1327" s="30"/>
      <c r="AD1327" s="30"/>
      <c r="AE1327" s="33"/>
      <c r="AF1327" s="31"/>
      <c r="AG1327" s="30"/>
      <c r="AH1327" s="30"/>
      <c r="AI1327" s="31"/>
      <c r="AJ1327" s="31"/>
      <c r="AK1327" s="32"/>
    </row>
    <row r="1328">
      <c r="A1328" s="21" t="s">
        <v>1617</v>
      </c>
      <c r="B1328" s="22" t="s">
        <v>2729</v>
      </c>
      <c r="C1328" s="22" t="s">
        <v>82</v>
      </c>
      <c r="D1328" s="26">
        <v>45997.0</v>
      </c>
      <c r="E1328" s="22" t="s">
        <v>2730</v>
      </c>
      <c r="F1328" s="22" t="s">
        <v>1466</v>
      </c>
      <c r="G1328" s="22" t="s">
        <v>2731</v>
      </c>
      <c r="H1328" s="22" t="s">
        <v>1617</v>
      </c>
      <c r="I1328" s="22">
        <v>1.0467658793283E13</v>
      </c>
      <c r="J1328" s="22" t="s">
        <v>2732</v>
      </c>
      <c r="K1328" s="24"/>
      <c r="L1328" s="22" t="s">
        <v>1621</v>
      </c>
      <c r="M1328" s="22">
        <v>1.0</v>
      </c>
      <c r="N1328" s="22" t="s">
        <v>1470</v>
      </c>
      <c r="O1328" s="22" t="s">
        <v>1471</v>
      </c>
      <c r="P1328" s="24"/>
      <c r="Q1328" s="22" t="s">
        <v>90</v>
      </c>
      <c r="R1328" s="22">
        <v>3.2770830664003E13</v>
      </c>
      <c r="S1328" s="24"/>
      <c r="T1328" s="24"/>
      <c r="U1328" s="24"/>
      <c r="V1328" s="22" t="s">
        <v>95</v>
      </c>
      <c r="W1328" s="33"/>
      <c r="X1328" s="33"/>
      <c r="Y1328" s="30"/>
      <c r="Z1328" s="30"/>
      <c r="AA1328" s="33"/>
      <c r="AB1328" s="33"/>
      <c r="AC1328" s="30"/>
      <c r="AD1328" s="30"/>
      <c r="AE1328" s="33"/>
      <c r="AF1328" s="31"/>
      <c r="AG1328" s="30"/>
      <c r="AH1328" s="30"/>
      <c r="AI1328" s="31"/>
      <c r="AJ1328" s="31"/>
      <c r="AK1328" s="32"/>
    </row>
    <row r="1329">
      <c r="A1329" s="21" t="s">
        <v>124</v>
      </c>
      <c r="B1329" s="22" t="s">
        <v>1408</v>
      </c>
      <c r="C1329" s="22" t="s">
        <v>273</v>
      </c>
      <c r="D1329" s="26">
        <v>45998.0</v>
      </c>
      <c r="E1329" s="22" t="s">
        <v>153</v>
      </c>
      <c r="F1329" s="22" t="s">
        <v>83</v>
      </c>
      <c r="G1329" s="22" t="s">
        <v>2733</v>
      </c>
      <c r="H1329" s="22" t="s">
        <v>124</v>
      </c>
      <c r="I1329" s="22">
        <v>1.0467658957123E13</v>
      </c>
      <c r="J1329" s="22" t="s">
        <v>1410</v>
      </c>
      <c r="K1329" s="24"/>
      <c r="L1329" s="22" t="s">
        <v>126</v>
      </c>
      <c r="M1329" s="22">
        <v>1.0</v>
      </c>
      <c r="N1329" s="22" t="s">
        <v>103</v>
      </c>
      <c r="O1329" s="22" t="s">
        <v>104</v>
      </c>
      <c r="P1329" s="24"/>
      <c r="Q1329" s="22" t="s">
        <v>90</v>
      </c>
      <c r="R1329" s="22">
        <v>3.2770830860611E13</v>
      </c>
      <c r="S1329" s="24"/>
      <c r="T1329" s="24"/>
      <c r="U1329" s="24"/>
      <c r="V1329" s="22" t="s">
        <v>127</v>
      </c>
      <c r="W1329" s="33"/>
      <c r="X1329" s="33"/>
      <c r="Y1329" s="30"/>
      <c r="Z1329" s="30"/>
      <c r="AA1329" s="33"/>
      <c r="AB1329" s="33"/>
      <c r="AC1329" s="30"/>
      <c r="AD1329" s="30"/>
      <c r="AE1329" s="33"/>
      <c r="AF1329" s="31"/>
      <c r="AG1329" s="30"/>
      <c r="AH1329" s="30"/>
      <c r="AI1329" s="31"/>
      <c r="AJ1329" s="31"/>
      <c r="AK1329" s="32"/>
    </row>
    <row r="1330">
      <c r="A1330" s="21" t="s">
        <v>529</v>
      </c>
      <c r="B1330" s="22" t="s">
        <v>516</v>
      </c>
      <c r="C1330" s="22" t="s">
        <v>273</v>
      </c>
      <c r="D1330" s="26">
        <v>45998.0</v>
      </c>
      <c r="E1330" s="22" t="s">
        <v>134</v>
      </c>
      <c r="F1330" s="22" t="s">
        <v>472</v>
      </c>
      <c r="G1330" s="22" t="s">
        <v>2734</v>
      </c>
      <c r="H1330" s="22" t="s">
        <v>529</v>
      </c>
      <c r="I1330" s="22">
        <v>1.0467675210051E13</v>
      </c>
      <c r="J1330" s="22" t="s">
        <v>518</v>
      </c>
      <c r="K1330" s="24"/>
      <c r="L1330" s="22" t="s">
        <v>533</v>
      </c>
      <c r="M1330" s="22">
        <v>1.0</v>
      </c>
      <c r="N1330" s="22" t="s">
        <v>534</v>
      </c>
      <c r="O1330" s="22" t="s">
        <v>535</v>
      </c>
      <c r="P1330" s="24"/>
      <c r="Q1330" s="22" t="s">
        <v>90</v>
      </c>
      <c r="R1330" s="22">
        <v>3.2770869788995E13</v>
      </c>
      <c r="S1330" s="24"/>
      <c r="T1330" s="24"/>
      <c r="U1330" s="24"/>
      <c r="V1330" s="22" t="s">
        <v>127</v>
      </c>
      <c r="W1330" s="33"/>
      <c r="X1330" s="33"/>
      <c r="Y1330" s="30"/>
      <c r="Z1330" s="30"/>
      <c r="AA1330" s="33"/>
      <c r="AB1330" s="33"/>
      <c r="AC1330" s="30"/>
      <c r="AD1330" s="30"/>
      <c r="AE1330" s="33"/>
      <c r="AF1330" s="31"/>
      <c r="AG1330" s="30"/>
      <c r="AH1330" s="30"/>
      <c r="AI1330" s="31"/>
      <c r="AJ1330" s="31"/>
      <c r="AK1330" s="32"/>
    </row>
    <row r="1331">
      <c r="A1331" s="21" t="s">
        <v>902</v>
      </c>
      <c r="B1331" s="22" t="s">
        <v>1138</v>
      </c>
      <c r="C1331" s="22" t="s">
        <v>273</v>
      </c>
      <c r="D1331" s="23">
        <v>45991.0</v>
      </c>
      <c r="E1331" s="22" t="s">
        <v>145</v>
      </c>
      <c r="F1331" s="22" t="s">
        <v>329</v>
      </c>
      <c r="G1331" s="22" t="s">
        <v>2735</v>
      </c>
      <c r="H1331" s="22" t="s">
        <v>902</v>
      </c>
      <c r="I1331" s="22">
        <v>1.0467706044739E13</v>
      </c>
      <c r="J1331" s="22" t="s">
        <v>1140</v>
      </c>
      <c r="K1331" s="24"/>
      <c r="L1331" s="22" t="s">
        <v>906</v>
      </c>
      <c r="M1331" s="22">
        <v>1.0</v>
      </c>
      <c r="N1331" s="22" t="s">
        <v>907</v>
      </c>
      <c r="O1331" s="22" t="s">
        <v>908</v>
      </c>
      <c r="P1331" s="24"/>
      <c r="Q1331" s="22" t="s">
        <v>90</v>
      </c>
      <c r="R1331" s="22">
        <v>3.2770937585987E13</v>
      </c>
      <c r="S1331" s="24"/>
      <c r="T1331" s="24"/>
      <c r="U1331" s="24"/>
      <c r="V1331" s="22" t="s">
        <v>105</v>
      </c>
      <c r="W1331" s="33"/>
      <c r="X1331" s="33"/>
      <c r="Y1331" s="30"/>
      <c r="Z1331" s="30"/>
      <c r="AA1331" s="33"/>
      <c r="AB1331" s="33"/>
      <c r="AC1331" s="30"/>
      <c r="AD1331" s="30"/>
      <c r="AE1331" s="33"/>
      <c r="AF1331" s="31"/>
      <c r="AG1331" s="30"/>
      <c r="AH1331" s="30"/>
      <c r="AI1331" s="31"/>
      <c r="AJ1331" s="31"/>
      <c r="AK1331" s="32"/>
    </row>
    <row r="1332">
      <c r="A1332" s="21" t="s">
        <v>979</v>
      </c>
      <c r="B1332" s="22" t="s">
        <v>1498</v>
      </c>
      <c r="C1332" s="22" t="s">
        <v>82</v>
      </c>
      <c r="D1332" s="26">
        <v>45997.0</v>
      </c>
      <c r="E1332" s="22" t="s">
        <v>522</v>
      </c>
      <c r="F1332" s="22" t="s">
        <v>605</v>
      </c>
      <c r="G1332" s="22" t="s">
        <v>2736</v>
      </c>
      <c r="H1332" s="22" t="s">
        <v>979</v>
      </c>
      <c r="I1332" s="22">
        <v>1.0467739435331E13</v>
      </c>
      <c r="J1332" s="22" t="s">
        <v>1500</v>
      </c>
      <c r="K1332" s="24"/>
      <c r="L1332" s="22" t="s">
        <v>984</v>
      </c>
      <c r="M1332" s="22">
        <v>1.0</v>
      </c>
      <c r="N1332" s="22" t="s">
        <v>609</v>
      </c>
      <c r="O1332" s="22" t="s">
        <v>610</v>
      </c>
      <c r="P1332" s="24"/>
      <c r="Q1332" s="22" t="s">
        <v>90</v>
      </c>
      <c r="R1332" s="22">
        <v>3.2771010167107E13</v>
      </c>
      <c r="S1332" s="24"/>
      <c r="T1332" s="24"/>
      <c r="U1332" s="24"/>
      <c r="V1332" s="22" t="s">
        <v>55</v>
      </c>
      <c r="W1332" s="33"/>
      <c r="X1332" s="33"/>
      <c r="Y1332" s="30"/>
      <c r="Z1332" s="30"/>
      <c r="AA1332" s="33"/>
      <c r="AB1332" s="33"/>
      <c r="AC1332" s="30"/>
      <c r="AD1332" s="30"/>
      <c r="AE1332" s="33"/>
      <c r="AF1332" s="31"/>
      <c r="AG1332" s="30"/>
      <c r="AH1332" s="30"/>
      <c r="AI1332" s="31"/>
      <c r="AJ1332" s="31"/>
      <c r="AK1332" s="32"/>
    </row>
    <row r="1333">
      <c r="A1333" s="21" t="s">
        <v>859</v>
      </c>
      <c r="B1333" s="22" t="s">
        <v>1498</v>
      </c>
      <c r="C1333" s="22" t="s">
        <v>82</v>
      </c>
      <c r="D1333" s="26">
        <v>45997.0</v>
      </c>
      <c r="E1333" s="22" t="s">
        <v>522</v>
      </c>
      <c r="F1333" s="22" t="s">
        <v>605</v>
      </c>
      <c r="G1333" s="22" t="s">
        <v>2737</v>
      </c>
      <c r="H1333" s="22" t="s">
        <v>859</v>
      </c>
      <c r="I1333" s="22">
        <v>1.0467776135491E13</v>
      </c>
      <c r="J1333" s="22" t="s">
        <v>1500</v>
      </c>
      <c r="K1333" s="24"/>
      <c r="L1333" s="22" t="s">
        <v>861</v>
      </c>
      <c r="M1333" s="22">
        <v>1.0</v>
      </c>
      <c r="N1333" s="22" t="s">
        <v>609</v>
      </c>
      <c r="O1333" s="22" t="s">
        <v>610</v>
      </c>
      <c r="P1333" s="24"/>
      <c r="Q1333" s="22" t="s">
        <v>90</v>
      </c>
      <c r="R1333" s="22">
        <v>3.2771088449859E13</v>
      </c>
      <c r="S1333" s="24"/>
      <c r="T1333" s="24"/>
      <c r="U1333" s="24"/>
      <c r="V1333" s="22" t="s">
        <v>95</v>
      </c>
      <c r="W1333" s="33"/>
      <c r="X1333" s="33"/>
      <c r="Y1333" s="30"/>
      <c r="Z1333" s="30"/>
      <c r="AA1333" s="33"/>
      <c r="AB1333" s="33"/>
      <c r="AC1333" s="30"/>
      <c r="AD1333" s="30"/>
      <c r="AE1333" s="33"/>
      <c r="AF1333" s="31"/>
      <c r="AG1333" s="30"/>
      <c r="AH1333" s="30"/>
      <c r="AI1333" s="31"/>
      <c r="AJ1333" s="31"/>
      <c r="AK1333" s="32"/>
    </row>
    <row r="1334">
      <c r="A1334" s="21" t="s">
        <v>649</v>
      </c>
      <c r="B1334" s="22" t="s">
        <v>318</v>
      </c>
      <c r="C1334" s="22" t="s">
        <v>82</v>
      </c>
      <c r="D1334" s="26">
        <v>45997.0</v>
      </c>
      <c r="E1334" s="22" t="s">
        <v>196</v>
      </c>
      <c r="F1334" s="22" t="s">
        <v>319</v>
      </c>
      <c r="G1334" s="22" t="s">
        <v>2738</v>
      </c>
      <c r="H1334" s="22" t="s">
        <v>649</v>
      </c>
      <c r="I1334" s="22">
        <v>1.0467780755779E13</v>
      </c>
      <c r="J1334" s="22" t="s">
        <v>527</v>
      </c>
      <c r="K1334" s="24"/>
      <c r="L1334" s="22" t="s">
        <v>651</v>
      </c>
      <c r="M1334" s="22">
        <v>1.0</v>
      </c>
      <c r="N1334" s="22" t="s">
        <v>323</v>
      </c>
      <c r="O1334" s="22" t="s">
        <v>324</v>
      </c>
      <c r="P1334" s="24"/>
      <c r="Q1334" s="22" t="s">
        <v>90</v>
      </c>
      <c r="R1334" s="22">
        <v>3.2771100442947E13</v>
      </c>
      <c r="S1334" s="24"/>
      <c r="T1334" s="24"/>
      <c r="U1334" s="24"/>
      <c r="V1334" s="22" t="s">
        <v>91</v>
      </c>
      <c r="W1334" s="33"/>
      <c r="X1334" s="33"/>
      <c r="Y1334" s="30"/>
      <c r="Z1334" s="30"/>
      <c r="AA1334" s="33"/>
      <c r="AB1334" s="33"/>
      <c r="AC1334" s="30"/>
      <c r="AD1334" s="30"/>
      <c r="AE1334" s="33"/>
      <c r="AF1334" s="31"/>
      <c r="AG1334" s="30"/>
      <c r="AH1334" s="30"/>
      <c r="AI1334" s="31"/>
      <c r="AJ1334" s="31"/>
      <c r="AK1334" s="32"/>
    </row>
    <row r="1335">
      <c r="A1335" s="21" t="s">
        <v>108</v>
      </c>
      <c r="B1335" s="22" t="s">
        <v>2166</v>
      </c>
      <c r="C1335" s="22" t="s">
        <v>273</v>
      </c>
      <c r="D1335" s="26">
        <v>45998.0</v>
      </c>
      <c r="E1335" s="22" t="s">
        <v>211</v>
      </c>
      <c r="F1335" s="22" t="s">
        <v>111</v>
      </c>
      <c r="G1335" s="22" t="s">
        <v>2739</v>
      </c>
      <c r="H1335" s="22" t="s">
        <v>108</v>
      </c>
      <c r="I1335" s="22">
        <v>1.0467803529539E13</v>
      </c>
      <c r="J1335" s="22" t="s">
        <v>2168</v>
      </c>
      <c r="K1335" s="24"/>
      <c r="L1335" s="22" t="s">
        <v>114</v>
      </c>
      <c r="M1335" s="22">
        <v>1.0</v>
      </c>
      <c r="N1335" s="22" t="s">
        <v>115</v>
      </c>
      <c r="O1335" s="22" t="s">
        <v>116</v>
      </c>
      <c r="P1335" s="24"/>
      <c r="Q1335" s="22" t="s">
        <v>90</v>
      </c>
      <c r="R1335" s="22">
        <v>3.2771146744131E13</v>
      </c>
      <c r="S1335" s="24"/>
      <c r="T1335" s="24"/>
      <c r="U1335" s="24"/>
      <c r="V1335" s="22" t="s">
        <v>54</v>
      </c>
      <c r="W1335" s="33"/>
      <c r="X1335" s="33"/>
      <c r="Y1335" s="30"/>
      <c r="Z1335" s="30"/>
      <c r="AA1335" s="33"/>
      <c r="AB1335" s="33"/>
      <c r="AC1335" s="30"/>
      <c r="AD1335" s="30"/>
      <c r="AE1335" s="33"/>
      <c r="AF1335" s="31"/>
      <c r="AG1335" s="30"/>
      <c r="AH1335" s="30"/>
      <c r="AI1335" s="31"/>
      <c r="AJ1335" s="31"/>
      <c r="AK1335" s="32"/>
    </row>
    <row r="1336">
      <c r="A1336" s="21" t="s">
        <v>423</v>
      </c>
      <c r="B1336" s="22" t="s">
        <v>424</v>
      </c>
      <c r="C1336" s="22" t="s">
        <v>273</v>
      </c>
      <c r="D1336" s="26">
        <v>45998.0</v>
      </c>
      <c r="E1336" s="22" t="s">
        <v>134</v>
      </c>
      <c r="F1336" s="22" t="s">
        <v>369</v>
      </c>
      <c r="G1336" s="22" t="s">
        <v>2740</v>
      </c>
      <c r="H1336" s="22" t="s">
        <v>423</v>
      </c>
      <c r="I1336" s="22">
        <v>1.0467805856067E13</v>
      </c>
      <c r="J1336" s="22" t="s">
        <v>426</v>
      </c>
      <c r="K1336" s="24"/>
      <c r="L1336" s="22" t="s">
        <v>427</v>
      </c>
      <c r="M1336" s="22">
        <v>1.0</v>
      </c>
      <c r="N1336" s="22" t="s">
        <v>373</v>
      </c>
      <c r="O1336" s="22" t="s">
        <v>374</v>
      </c>
      <c r="P1336" s="24"/>
      <c r="Q1336" s="22" t="s">
        <v>90</v>
      </c>
      <c r="R1336" s="22">
        <v>3.2771152281923E13</v>
      </c>
      <c r="S1336" s="24"/>
      <c r="T1336" s="24"/>
      <c r="U1336" s="24"/>
      <c r="V1336" s="22" t="s">
        <v>95</v>
      </c>
      <c r="W1336" s="33"/>
      <c r="X1336" s="33"/>
      <c r="Y1336" s="30"/>
      <c r="Z1336" s="30"/>
      <c r="AA1336" s="33"/>
      <c r="AB1336" s="33"/>
      <c r="AC1336" s="30"/>
      <c r="AD1336" s="30"/>
      <c r="AE1336" s="33"/>
      <c r="AF1336" s="31"/>
      <c r="AG1336" s="30"/>
      <c r="AH1336" s="30"/>
      <c r="AI1336" s="31"/>
      <c r="AJ1336" s="31"/>
      <c r="AK1336" s="32"/>
    </row>
    <row r="1337">
      <c r="A1337" s="21" t="s">
        <v>124</v>
      </c>
      <c r="B1337" s="22" t="s">
        <v>2741</v>
      </c>
      <c r="C1337" s="22" t="s">
        <v>336</v>
      </c>
      <c r="D1337" s="26">
        <v>45995.0</v>
      </c>
      <c r="E1337" s="22" t="s">
        <v>196</v>
      </c>
      <c r="F1337" s="22" t="s">
        <v>83</v>
      </c>
      <c r="G1337" s="22" t="s">
        <v>2742</v>
      </c>
      <c r="H1337" s="22" t="s">
        <v>124</v>
      </c>
      <c r="I1337" s="22">
        <v>1.0467807330627E13</v>
      </c>
      <c r="J1337" s="22" t="s">
        <v>2743</v>
      </c>
      <c r="K1337" s="24"/>
      <c r="L1337" s="22" t="s">
        <v>126</v>
      </c>
      <c r="M1337" s="22">
        <v>1.0</v>
      </c>
      <c r="N1337" s="22" t="s">
        <v>103</v>
      </c>
      <c r="O1337" s="22" t="s">
        <v>104</v>
      </c>
      <c r="P1337" s="24"/>
      <c r="Q1337" s="22" t="s">
        <v>90</v>
      </c>
      <c r="R1337" s="22">
        <v>3.2771155362115E13</v>
      </c>
      <c r="S1337" s="24"/>
      <c r="T1337" s="24"/>
      <c r="U1337" s="24"/>
      <c r="V1337" s="22" t="s">
        <v>127</v>
      </c>
      <c r="W1337" s="33"/>
      <c r="X1337" s="33"/>
      <c r="Y1337" s="30"/>
      <c r="Z1337" s="30"/>
      <c r="AA1337" s="33"/>
      <c r="AB1337" s="33"/>
      <c r="AC1337" s="30"/>
      <c r="AD1337" s="30"/>
      <c r="AE1337" s="33"/>
      <c r="AF1337" s="31"/>
      <c r="AG1337" s="30"/>
      <c r="AH1337" s="30"/>
      <c r="AI1337" s="31"/>
      <c r="AJ1337" s="31"/>
      <c r="AK1337" s="32"/>
    </row>
    <row r="1338">
      <c r="A1338" s="21" t="s">
        <v>478</v>
      </c>
      <c r="B1338" s="22" t="s">
        <v>516</v>
      </c>
      <c r="C1338" s="22" t="s">
        <v>273</v>
      </c>
      <c r="D1338" s="26">
        <v>45998.0</v>
      </c>
      <c r="E1338" s="22" t="s">
        <v>134</v>
      </c>
      <c r="F1338" s="22" t="s">
        <v>472</v>
      </c>
      <c r="G1338" s="22" t="s">
        <v>2744</v>
      </c>
      <c r="H1338" s="22" t="s">
        <v>478</v>
      </c>
      <c r="I1338" s="22">
        <v>1.0467817128259E13</v>
      </c>
      <c r="J1338" s="22" t="s">
        <v>518</v>
      </c>
      <c r="K1338" s="24"/>
      <c r="L1338" s="22" t="s">
        <v>483</v>
      </c>
      <c r="M1338" s="22">
        <v>1.0</v>
      </c>
      <c r="N1338" s="22" t="s">
        <v>476</v>
      </c>
      <c r="O1338" s="22" t="s">
        <v>477</v>
      </c>
      <c r="P1338" s="24"/>
      <c r="Q1338" s="22" t="s">
        <v>90</v>
      </c>
      <c r="R1338" s="22">
        <v>3.2771174433091E13</v>
      </c>
      <c r="S1338" s="24"/>
      <c r="T1338" s="24"/>
      <c r="U1338" s="24"/>
      <c r="V1338" s="22" t="s">
        <v>95</v>
      </c>
      <c r="W1338" s="33"/>
      <c r="X1338" s="33"/>
      <c r="Y1338" s="30"/>
      <c r="Z1338" s="30"/>
      <c r="AA1338" s="33"/>
      <c r="AB1338" s="33"/>
      <c r="AC1338" s="30"/>
      <c r="AD1338" s="30"/>
      <c r="AE1338" s="33"/>
      <c r="AF1338" s="31"/>
      <c r="AG1338" s="30"/>
      <c r="AH1338" s="30"/>
      <c r="AI1338" s="31"/>
      <c r="AJ1338" s="31"/>
      <c r="AK1338" s="32"/>
    </row>
    <row r="1339">
      <c r="A1339" s="21" t="s">
        <v>1175</v>
      </c>
      <c r="B1339" s="22" t="s">
        <v>1187</v>
      </c>
      <c r="C1339" s="22" t="s">
        <v>273</v>
      </c>
      <c r="D1339" s="23">
        <v>45991.0</v>
      </c>
      <c r="E1339" s="22" t="s">
        <v>134</v>
      </c>
      <c r="F1339" s="22" t="s">
        <v>329</v>
      </c>
      <c r="G1339" s="22" t="s">
        <v>2745</v>
      </c>
      <c r="H1339" s="22" t="s">
        <v>1175</v>
      </c>
      <c r="I1339" s="22">
        <v>1.0467834954051E13</v>
      </c>
      <c r="J1339" s="22" t="s">
        <v>1189</v>
      </c>
      <c r="K1339" s="24"/>
      <c r="L1339" s="22" t="s">
        <v>1179</v>
      </c>
      <c r="M1339" s="22">
        <v>1.0</v>
      </c>
      <c r="N1339" s="22" t="s">
        <v>907</v>
      </c>
      <c r="O1339" s="22" t="s">
        <v>908</v>
      </c>
      <c r="P1339" s="24"/>
      <c r="Q1339" s="22" t="s">
        <v>90</v>
      </c>
      <c r="R1339" s="22">
        <v>3.2771212607811E13</v>
      </c>
      <c r="S1339" s="24"/>
      <c r="T1339" s="24"/>
      <c r="U1339" s="24"/>
      <c r="V1339" s="22" t="s">
        <v>127</v>
      </c>
      <c r="W1339" s="33"/>
      <c r="X1339" s="33"/>
      <c r="Y1339" s="30"/>
      <c r="Z1339" s="30"/>
      <c r="AA1339" s="33"/>
      <c r="AB1339" s="33"/>
      <c r="AC1339" s="30"/>
      <c r="AD1339" s="30"/>
      <c r="AE1339" s="33"/>
      <c r="AF1339" s="31"/>
      <c r="AG1339" s="30"/>
      <c r="AH1339" s="30"/>
      <c r="AI1339" s="31"/>
      <c r="AJ1339" s="31"/>
      <c r="AK1339" s="32"/>
    </row>
    <row r="1340">
      <c r="A1340" s="21" t="s">
        <v>166</v>
      </c>
      <c r="B1340" s="22" t="s">
        <v>2043</v>
      </c>
      <c r="C1340" s="22" t="s">
        <v>82</v>
      </c>
      <c r="D1340" s="26">
        <v>45997.0</v>
      </c>
      <c r="E1340" s="22" t="s">
        <v>119</v>
      </c>
      <c r="F1340" s="22" t="s">
        <v>111</v>
      </c>
      <c r="G1340" s="22" t="s">
        <v>2746</v>
      </c>
      <c r="H1340" s="22" t="s">
        <v>166</v>
      </c>
      <c r="I1340" s="22">
        <v>1.0467850387779E13</v>
      </c>
      <c r="J1340" s="22" t="s">
        <v>2045</v>
      </c>
      <c r="K1340" s="24"/>
      <c r="L1340" s="22" t="s">
        <v>171</v>
      </c>
      <c r="M1340" s="22">
        <v>1.0</v>
      </c>
      <c r="N1340" s="22" t="s">
        <v>115</v>
      </c>
      <c r="O1340" s="22" t="s">
        <v>116</v>
      </c>
      <c r="P1340" s="24"/>
      <c r="Q1340" s="22" t="s">
        <v>90</v>
      </c>
      <c r="R1340" s="22">
        <v>3.2771244753219E13</v>
      </c>
      <c r="S1340" s="24"/>
      <c r="T1340" s="24"/>
      <c r="U1340" s="24"/>
      <c r="V1340" s="22" t="s">
        <v>55</v>
      </c>
      <c r="W1340" s="33"/>
      <c r="X1340" s="33"/>
      <c r="Y1340" s="30"/>
      <c r="Z1340" s="30"/>
      <c r="AA1340" s="33"/>
      <c r="AB1340" s="33"/>
      <c r="AC1340" s="30"/>
      <c r="AD1340" s="30"/>
      <c r="AE1340" s="33"/>
      <c r="AF1340" s="31"/>
      <c r="AG1340" s="30"/>
      <c r="AH1340" s="30"/>
      <c r="AI1340" s="31"/>
      <c r="AJ1340" s="31"/>
      <c r="AK1340" s="32"/>
    </row>
    <row r="1341">
      <c r="A1341" s="21" t="s">
        <v>80</v>
      </c>
      <c r="B1341" s="22" t="s">
        <v>1408</v>
      </c>
      <c r="C1341" s="22" t="s">
        <v>273</v>
      </c>
      <c r="D1341" s="26">
        <v>45998.0</v>
      </c>
      <c r="E1341" s="22" t="s">
        <v>153</v>
      </c>
      <c r="F1341" s="22" t="s">
        <v>83</v>
      </c>
      <c r="G1341" s="22" t="s">
        <v>2747</v>
      </c>
      <c r="H1341" s="22" t="s">
        <v>80</v>
      </c>
      <c r="I1341" s="22">
        <v>1.0467852910915E13</v>
      </c>
      <c r="J1341" s="22" t="s">
        <v>1410</v>
      </c>
      <c r="K1341" s="24"/>
      <c r="L1341" s="22" t="s">
        <v>86</v>
      </c>
      <c r="M1341" s="22">
        <v>1.0</v>
      </c>
      <c r="N1341" s="22" t="s">
        <v>87</v>
      </c>
      <c r="O1341" s="22" t="s">
        <v>88</v>
      </c>
      <c r="P1341" s="24"/>
      <c r="Q1341" s="22" t="s">
        <v>90</v>
      </c>
      <c r="R1341" s="22">
        <v>3.2771250094403E13</v>
      </c>
      <c r="S1341" s="24"/>
      <c r="T1341" s="24"/>
      <c r="U1341" s="24"/>
      <c r="V1341" s="22" t="s">
        <v>91</v>
      </c>
      <c r="W1341" s="33"/>
      <c r="X1341" s="33"/>
      <c r="Y1341" s="30"/>
      <c r="Z1341" s="30"/>
      <c r="AA1341" s="33"/>
      <c r="AB1341" s="33"/>
      <c r="AC1341" s="30"/>
      <c r="AD1341" s="30"/>
      <c r="AE1341" s="33"/>
      <c r="AF1341" s="31"/>
      <c r="AG1341" s="30"/>
      <c r="AH1341" s="30"/>
      <c r="AI1341" s="31"/>
      <c r="AJ1341" s="31"/>
      <c r="AK1341" s="32"/>
    </row>
    <row r="1342">
      <c r="A1342" s="21" t="s">
        <v>592</v>
      </c>
      <c r="B1342" s="22" t="s">
        <v>2748</v>
      </c>
      <c r="C1342" s="22" t="s">
        <v>202</v>
      </c>
      <c r="D1342" s="26">
        <v>45996.0</v>
      </c>
      <c r="E1342" s="22" t="s">
        <v>149</v>
      </c>
      <c r="F1342" s="22" t="s">
        <v>311</v>
      </c>
      <c r="G1342" s="22" t="s">
        <v>2749</v>
      </c>
      <c r="H1342" s="22" t="s">
        <v>592</v>
      </c>
      <c r="I1342" s="22">
        <v>1.0467857236291E13</v>
      </c>
      <c r="J1342" s="22" t="s">
        <v>1952</v>
      </c>
      <c r="K1342" s="24"/>
      <c r="L1342" s="22" t="s">
        <v>594</v>
      </c>
      <c r="M1342" s="22">
        <v>1.0</v>
      </c>
      <c r="N1342" s="22" t="s">
        <v>391</v>
      </c>
      <c r="O1342" s="22" t="s">
        <v>392</v>
      </c>
      <c r="P1342" s="24"/>
      <c r="Q1342" s="22" t="s">
        <v>90</v>
      </c>
      <c r="R1342" s="22">
        <v>3.2771259072835E13</v>
      </c>
      <c r="S1342" s="24"/>
      <c r="T1342" s="24"/>
      <c r="U1342" s="24"/>
      <c r="V1342" s="22" t="s">
        <v>54</v>
      </c>
      <c r="W1342" s="33"/>
      <c r="X1342" s="33"/>
      <c r="Y1342" s="30"/>
      <c r="Z1342" s="30"/>
      <c r="AA1342" s="33"/>
      <c r="AB1342" s="33"/>
      <c r="AC1342" s="30"/>
      <c r="AD1342" s="30"/>
      <c r="AE1342" s="33"/>
      <c r="AF1342" s="31"/>
      <c r="AG1342" s="30"/>
      <c r="AH1342" s="30"/>
      <c r="AI1342" s="31"/>
      <c r="AJ1342" s="31"/>
      <c r="AK1342" s="32"/>
    </row>
    <row r="1343">
      <c r="A1343" s="21" t="s">
        <v>141</v>
      </c>
      <c r="B1343" s="22" t="s">
        <v>2084</v>
      </c>
      <c r="C1343" s="22" t="s">
        <v>202</v>
      </c>
      <c r="D1343" s="26">
        <v>45996.0</v>
      </c>
      <c r="E1343" s="22" t="s">
        <v>224</v>
      </c>
      <c r="F1343" s="22" t="s">
        <v>83</v>
      </c>
      <c r="G1343" s="22" t="s">
        <v>2750</v>
      </c>
      <c r="H1343" s="22" t="s">
        <v>141</v>
      </c>
      <c r="I1343" s="22">
        <v>1.0467469918531E13</v>
      </c>
      <c r="J1343" s="22" t="s">
        <v>2086</v>
      </c>
      <c r="K1343" s="24"/>
      <c r="L1343" s="22" t="s">
        <v>143</v>
      </c>
      <c r="M1343" s="22">
        <v>1.0</v>
      </c>
      <c r="N1343" s="22" t="s">
        <v>87</v>
      </c>
      <c r="O1343" s="22" t="s">
        <v>88</v>
      </c>
      <c r="P1343" s="24"/>
      <c r="Q1343" s="22" t="s">
        <v>90</v>
      </c>
      <c r="R1343" s="22">
        <v>3.2770423193923E13</v>
      </c>
      <c r="S1343" s="24"/>
      <c r="T1343" s="24"/>
      <c r="U1343" s="24"/>
      <c r="V1343" s="22" t="s">
        <v>54</v>
      </c>
      <c r="W1343" s="33"/>
      <c r="X1343" s="33"/>
      <c r="Y1343" s="30"/>
      <c r="Z1343" s="30"/>
      <c r="AA1343" s="33"/>
      <c r="AB1343" s="33"/>
      <c r="AC1343" s="30"/>
      <c r="AD1343" s="30"/>
      <c r="AE1343" s="33"/>
      <c r="AF1343" s="31"/>
      <c r="AG1343" s="30"/>
      <c r="AH1343" s="30"/>
      <c r="AI1343" s="31"/>
      <c r="AJ1343" s="31"/>
      <c r="AK1343" s="32"/>
    </row>
    <row r="1344">
      <c r="A1344" s="21" t="s">
        <v>1779</v>
      </c>
      <c r="B1344" s="22" t="s">
        <v>909</v>
      </c>
      <c r="C1344" s="22" t="s">
        <v>82</v>
      </c>
      <c r="D1344" s="23">
        <v>46004.0</v>
      </c>
      <c r="E1344" s="22" t="s">
        <v>134</v>
      </c>
      <c r="F1344" s="22" t="s">
        <v>203</v>
      </c>
      <c r="G1344" s="22" t="s">
        <v>2751</v>
      </c>
      <c r="H1344" s="22" t="s">
        <v>1779</v>
      </c>
      <c r="I1344" s="22">
        <v>1.0467484729667E13</v>
      </c>
      <c r="J1344" s="22" t="s">
        <v>911</v>
      </c>
      <c r="K1344" s="24"/>
      <c r="L1344" s="22" t="s">
        <v>1781</v>
      </c>
      <c r="M1344" s="22">
        <v>1.0</v>
      </c>
      <c r="N1344" s="22" t="s">
        <v>900</v>
      </c>
      <c r="O1344" s="22" t="s">
        <v>901</v>
      </c>
      <c r="P1344" s="24"/>
      <c r="Q1344" s="22" t="s">
        <v>90</v>
      </c>
      <c r="R1344" s="22">
        <v>3.2770458845507E13</v>
      </c>
      <c r="S1344" s="24"/>
      <c r="T1344" s="24"/>
      <c r="U1344" s="24"/>
      <c r="V1344" s="22" t="s">
        <v>127</v>
      </c>
      <c r="W1344" s="33"/>
      <c r="X1344" s="33"/>
      <c r="Y1344" s="30"/>
      <c r="Z1344" s="30"/>
      <c r="AA1344" s="33"/>
      <c r="AB1344" s="33"/>
      <c r="AC1344" s="30"/>
      <c r="AD1344" s="30"/>
      <c r="AE1344" s="33"/>
      <c r="AF1344" s="31"/>
      <c r="AG1344" s="30"/>
      <c r="AH1344" s="30"/>
      <c r="AI1344" s="31"/>
      <c r="AJ1344" s="31"/>
      <c r="AK1344" s="32"/>
    </row>
    <row r="1345">
      <c r="A1345" s="21" t="s">
        <v>1105</v>
      </c>
      <c r="B1345" s="22" t="s">
        <v>2752</v>
      </c>
      <c r="C1345" s="22" t="s">
        <v>273</v>
      </c>
      <c r="D1345" s="23">
        <v>45991.0</v>
      </c>
      <c r="E1345" s="22" t="s">
        <v>187</v>
      </c>
      <c r="F1345" s="22" t="s">
        <v>329</v>
      </c>
      <c r="G1345" s="22" t="s">
        <v>2753</v>
      </c>
      <c r="H1345" s="22" t="s">
        <v>1105</v>
      </c>
      <c r="I1345" s="22">
        <v>1.0467488203075E13</v>
      </c>
      <c r="J1345" s="22" t="s">
        <v>2754</v>
      </c>
      <c r="K1345" s="24"/>
      <c r="L1345" s="22" t="s">
        <v>1107</v>
      </c>
      <c r="M1345" s="22">
        <v>1.0</v>
      </c>
      <c r="N1345" s="22" t="s">
        <v>333</v>
      </c>
      <c r="O1345" s="22" t="s">
        <v>334</v>
      </c>
      <c r="P1345" s="24"/>
      <c r="Q1345" s="22" t="s">
        <v>90</v>
      </c>
      <c r="R1345" s="22">
        <v>3.2770466021699E13</v>
      </c>
      <c r="S1345" s="24"/>
      <c r="T1345" s="24"/>
      <c r="U1345" s="24"/>
      <c r="V1345" s="22" t="s">
        <v>95</v>
      </c>
      <c r="W1345" s="33"/>
      <c r="X1345" s="33"/>
      <c r="Y1345" s="30"/>
      <c r="Z1345" s="30"/>
      <c r="AA1345" s="33"/>
      <c r="AB1345" s="33"/>
      <c r="AC1345" s="30"/>
      <c r="AD1345" s="30"/>
      <c r="AE1345" s="33"/>
      <c r="AF1345" s="31"/>
      <c r="AG1345" s="30"/>
      <c r="AH1345" s="30"/>
      <c r="AI1345" s="31"/>
      <c r="AJ1345" s="31"/>
      <c r="AK1345" s="32"/>
    </row>
    <row r="1346">
      <c r="A1346" s="21" t="s">
        <v>80</v>
      </c>
      <c r="B1346" s="22" t="s">
        <v>1352</v>
      </c>
      <c r="C1346" s="22" t="s">
        <v>82</v>
      </c>
      <c r="D1346" s="26">
        <v>45997.0</v>
      </c>
      <c r="E1346" s="22" t="s">
        <v>153</v>
      </c>
      <c r="F1346" s="22" t="s">
        <v>83</v>
      </c>
      <c r="G1346" s="22" t="s">
        <v>2755</v>
      </c>
      <c r="H1346" s="22" t="s">
        <v>80</v>
      </c>
      <c r="I1346" s="22">
        <v>1.0467969990979E13</v>
      </c>
      <c r="J1346" s="22" t="s">
        <v>1354</v>
      </c>
      <c r="K1346" s="24"/>
      <c r="L1346" s="22" t="s">
        <v>86</v>
      </c>
      <c r="M1346" s="22">
        <v>1.0</v>
      </c>
      <c r="N1346" s="22" t="s">
        <v>87</v>
      </c>
      <c r="O1346" s="22" t="s">
        <v>88</v>
      </c>
      <c r="P1346" s="24"/>
      <c r="Q1346" s="22" t="s">
        <v>90</v>
      </c>
      <c r="R1346" s="22">
        <v>3.2771504406851E13</v>
      </c>
      <c r="S1346" s="24"/>
      <c r="T1346" s="24"/>
      <c r="U1346" s="24"/>
      <c r="V1346" s="22" t="s">
        <v>91</v>
      </c>
      <c r="W1346" s="33"/>
      <c r="X1346" s="33"/>
      <c r="Y1346" s="30"/>
      <c r="Z1346" s="30"/>
      <c r="AA1346" s="33"/>
      <c r="AB1346" s="33"/>
      <c r="AC1346" s="30"/>
      <c r="AD1346" s="30"/>
      <c r="AE1346" s="33"/>
      <c r="AF1346" s="31"/>
      <c r="AG1346" s="30"/>
      <c r="AH1346" s="30"/>
      <c r="AI1346" s="31"/>
      <c r="AJ1346" s="31"/>
      <c r="AK1346" s="32"/>
    </row>
    <row r="1347">
      <c r="A1347" s="21" t="s">
        <v>912</v>
      </c>
      <c r="B1347" s="22" t="s">
        <v>1120</v>
      </c>
      <c r="C1347" s="22" t="s">
        <v>82</v>
      </c>
      <c r="D1347" s="23">
        <v>46004.0</v>
      </c>
      <c r="E1347" s="22" t="s">
        <v>153</v>
      </c>
      <c r="F1347" s="22" t="s">
        <v>377</v>
      </c>
      <c r="G1347" s="22" t="s">
        <v>2756</v>
      </c>
      <c r="H1347" s="22" t="s">
        <v>912</v>
      </c>
      <c r="I1347" s="22">
        <v>1.0467980607811E13</v>
      </c>
      <c r="J1347" s="22" t="s">
        <v>1122</v>
      </c>
      <c r="K1347" s="24"/>
      <c r="L1347" s="22" t="s">
        <v>914</v>
      </c>
      <c r="M1347" s="22">
        <v>1.0</v>
      </c>
      <c r="N1347" s="22" t="s">
        <v>381</v>
      </c>
      <c r="O1347" s="22" t="s">
        <v>382</v>
      </c>
      <c r="P1347" s="24"/>
      <c r="Q1347" s="22" t="s">
        <v>90</v>
      </c>
      <c r="R1347" s="22">
        <v>3.2771528786243E13</v>
      </c>
      <c r="S1347" s="24"/>
      <c r="T1347" s="24"/>
      <c r="U1347" s="24"/>
      <c r="V1347" s="22" t="s">
        <v>54</v>
      </c>
      <c r="W1347" s="33"/>
      <c r="X1347" s="33"/>
      <c r="Y1347" s="30"/>
      <c r="Z1347" s="30"/>
      <c r="AA1347" s="33"/>
      <c r="AB1347" s="33"/>
      <c r="AC1347" s="30"/>
      <c r="AD1347" s="30"/>
      <c r="AE1347" s="33"/>
      <c r="AF1347" s="31"/>
      <c r="AG1347" s="30"/>
      <c r="AH1347" s="30"/>
      <c r="AI1347" s="31"/>
      <c r="AJ1347" s="31"/>
      <c r="AK1347" s="32"/>
    </row>
    <row r="1348">
      <c r="A1348" s="21" t="s">
        <v>141</v>
      </c>
      <c r="B1348" s="22" t="s">
        <v>1479</v>
      </c>
      <c r="C1348" s="22" t="s">
        <v>82</v>
      </c>
      <c r="D1348" s="26">
        <v>45997.0</v>
      </c>
      <c r="E1348" s="22" t="s">
        <v>138</v>
      </c>
      <c r="F1348" s="22" t="s">
        <v>83</v>
      </c>
      <c r="G1348" s="22" t="s">
        <v>2757</v>
      </c>
      <c r="H1348" s="22" t="s">
        <v>141</v>
      </c>
      <c r="I1348" s="22">
        <v>1.0467987194179E13</v>
      </c>
      <c r="J1348" s="22" t="s">
        <v>1481</v>
      </c>
      <c r="K1348" s="24"/>
      <c r="L1348" s="22" t="s">
        <v>143</v>
      </c>
      <c r="M1348" s="22">
        <v>1.0</v>
      </c>
      <c r="N1348" s="22" t="s">
        <v>87</v>
      </c>
      <c r="O1348" s="22" t="s">
        <v>88</v>
      </c>
      <c r="P1348" s="24"/>
      <c r="Q1348" s="22" t="s">
        <v>90</v>
      </c>
      <c r="R1348" s="22">
        <v>3.2771542942019E13</v>
      </c>
      <c r="S1348" s="24"/>
      <c r="T1348" s="24"/>
      <c r="U1348" s="24"/>
      <c r="V1348" s="22" t="s">
        <v>54</v>
      </c>
      <c r="W1348" s="33"/>
      <c r="X1348" s="33"/>
      <c r="Y1348" s="30"/>
      <c r="Z1348" s="30"/>
      <c r="AA1348" s="33"/>
      <c r="AB1348" s="33"/>
      <c r="AC1348" s="30"/>
      <c r="AD1348" s="30"/>
      <c r="AE1348" s="33"/>
      <c r="AF1348" s="31"/>
      <c r="AG1348" s="30"/>
      <c r="AH1348" s="30"/>
      <c r="AI1348" s="31"/>
      <c r="AJ1348" s="31"/>
      <c r="AK1348" s="32"/>
    </row>
    <row r="1349">
      <c r="A1349" s="21" t="s">
        <v>692</v>
      </c>
      <c r="B1349" s="22" t="s">
        <v>587</v>
      </c>
      <c r="C1349" s="22" t="s">
        <v>273</v>
      </c>
      <c r="D1349" s="26">
        <v>45998.0</v>
      </c>
      <c r="E1349" s="22" t="s">
        <v>153</v>
      </c>
      <c r="F1349" s="22" t="s">
        <v>369</v>
      </c>
      <c r="G1349" s="22" t="s">
        <v>2758</v>
      </c>
      <c r="H1349" s="22" t="s">
        <v>692</v>
      </c>
      <c r="I1349" s="22">
        <v>1.0467994009923E13</v>
      </c>
      <c r="J1349" s="22" t="s">
        <v>589</v>
      </c>
      <c r="K1349" s="24"/>
      <c r="L1349" s="22" t="s">
        <v>694</v>
      </c>
      <c r="M1349" s="22">
        <v>1.0</v>
      </c>
      <c r="N1349" s="22" t="s">
        <v>373</v>
      </c>
      <c r="O1349" s="22" t="s">
        <v>374</v>
      </c>
      <c r="P1349" s="24"/>
      <c r="Q1349" s="22" t="s">
        <v>90</v>
      </c>
      <c r="R1349" s="22">
        <v>3.2771558474051E13</v>
      </c>
      <c r="S1349" s="24"/>
      <c r="T1349" s="24"/>
      <c r="U1349" s="24"/>
      <c r="V1349" s="22" t="s">
        <v>54</v>
      </c>
      <c r="W1349" s="33"/>
      <c r="X1349" s="33"/>
      <c r="Y1349" s="30"/>
      <c r="Z1349" s="30"/>
      <c r="AA1349" s="33"/>
      <c r="AB1349" s="33"/>
      <c r="AC1349" s="30"/>
      <c r="AD1349" s="30"/>
      <c r="AE1349" s="33"/>
      <c r="AF1349" s="31"/>
      <c r="AG1349" s="30"/>
      <c r="AH1349" s="30"/>
      <c r="AI1349" s="31"/>
      <c r="AJ1349" s="31"/>
      <c r="AK1349" s="32"/>
    </row>
    <row r="1350">
      <c r="A1350" s="21" t="s">
        <v>375</v>
      </c>
      <c r="B1350" s="22" t="s">
        <v>810</v>
      </c>
      <c r="C1350" s="22" t="s">
        <v>82</v>
      </c>
      <c r="D1350" s="23">
        <v>46004.0</v>
      </c>
      <c r="E1350" s="22" t="s">
        <v>134</v>
      </c>
      <c r="F1350" s="22" t="s">
        <v>377</v>
      </c>
      <c r="G1350" s="22" t="s">
        <v>2759</v>
      </c>
      <c r="H1350" s="22" t="s">
        <v>375</v>
      </c>
      <c r="I1350" s="22">
        <v>1.0468010295619E13</v>
      </c>
      <c r="J1350" s="22" t="s">
        <v>812</v>
      </c>
      <c r="K1350" s="24"/>
      <c r="L1350" s="22" t="s">
        <v>380</v>
      </c>
      <c r="M1350" s="22">
        <v>1.0</v>
      </c>
      <c r="N1350" s="22" t="s">
        <v>381</v>
      </c>
      <c r="O1350" s="22" t="s">
        <v>382</v>
      </c>
      <c r="P1350" s="24"/>
      <c r="Q1350" s="22" t="s">
        <v>90</v>
      </c>
      <c r="R1350" s="22">
        <v>3.2771595764035E13</v>
      </c>
      <c r="S1350" s="24"/>
      <c r="T1350" s="24"/>
      <c r="U1350" s="24"/>
      <c r="V1350" s="22" t="s">
        <v>55</v>
      </c>
      <c r="W1350" s="33"/>
      <c r="X1350" s="33"/>
      <c r="Y1350" s="30"/>
      <c r="Z1350" s="30"/>
      <c r="AA1350" s="33"/>
      <c r="AB1350" s="33"/>
      <c r="AC1350" s="30"/>
      <c r="AD1350" s="30"/>
      <c r="AE1350" s="33"/>
      <c r="AF1350" s="31"/>
      <c r="AG1350" s="30"/>
      <c r="AH1350" s="30"/>
      <c r="AI1350" s="31"/>
      <c r="AJ1350" s="31"/>
      <c r="AK1350" s="32"/>
    </row>
    <row r="1351">
      <c r="A1351" s="21" t="s">
        <v>885</v>
      </c>
      <c r="B1351" s="22" t="s">
        <v>2033</v>
      </c>
      <c r="C1351" s="22" t="s">
        <v>82</v>
      </c>
      <c r="D1351" s="26">
        <v>45997.0</v>
      </c>
      <c r="E1351" s="22" t="s">
        <v>1073</v>
      </c>
      <c r="F1351" s="22" t="s">
        <v>605</v>
      </c>
      <c r="G1351" s="22" t="s">
        <v>2760</v>
      </c>
      <c r="H1351" s="22" t="s">
        <v>885</v>
      </c>
      <c r="I1351" s="22">
        <v>1.0468016816451E13</v>
      </c>
      <c r="J1351" s="22" t="s">
        <v>2035</v>
      </c>
      <c r="K1351" s="24"/>
      <c r="L1351" s="22" t="s">
        <v>890</v>
      </c>
      <c r="M1351" s="22">
        <v>1.0</v>
      </c>
      <c r="N1351" s="22" t="s">
        <v>795</v>
      </c>
      <c r="O1351" s="22" t="s">
        <v>796</v>
      </c>
      <c r="P1351" s="24"/>
      <c r="Q1351" s="22" t="s">
        <v>90</v>
      </c>
      <c r="R1351" s="22">
        <v>3.2771609723203E13</v>
      </c>
      <c r="S1351" s="24"/>
      <c r="T1351" s="24"/>
      <c r="U1351" s="24"/>
      <c r="V1351" s="22" t="s">
        <v>127</v>
      </c>
      <c r="W1351" s="33"/>
      <c r="X1351" s="33"/>
      <c r="Y1351" s="30"/>
      <c r="Z1351" s="30"/>
      <c r="AA1351" s="33"/>
      <c r="AB1351" s="33"/>
      <c r="AC1351" s="30"/>
      <c r="AD1351" s="30"/>
      <c r="AE1351" s="33"/>
      <c r="AF1351" s="31"/>
      <c r="AG1351" s="30"/>
      <c r="AH1351" s="30"/>
      <c r="AI1351" s="31"/>
      <c r="AJ1351" s="31"/>
      <c r="AK1351" s="32"/>
    </row>
    <row r="1352">
      <c r="A1352" s="21" t="s">
        <v>80</v>
      </c>
      <c r="B1352" s="22" t="s">
        <v>2761</v>
      </c>
      <c r="C1352" s="22" t="s">
        <v>202</v>
      </c>
      <c r="D1352" s="26">
        <v>45996.0</v>
      </c>
      <c r="E1352" s="22" t="s">
        <v>138</v>
      </c>
      <c r="F1352" s="22" t="s">
        <v>83</v>
      </c>
      <c r="G1352" s="22" t="s">
        <v>2762</v>
      </c>
      <c r="H1352" s="22" t="s">
        <v>80</v>
      </c>
      <c r="I1352" s="22">
        <v>1.0468017275203E13</v>
      </c>
      <c r="J1352" s="22" t="s">
        <v>2763</v>
      </c>
      <c r="K1352" s="24"/>
      <c r="L1352" s="22" t="s">
        <v>86</v>
      </c>
      <c r="M1352" s="22">
        <v>1.0</v>
      </c>
      <c r="N1352" s="22" t="s">
        <v>87</v>
      </c>
      <c r="O1352" s="22" t="s">
        <v>88</v>
      </c>
      <c r="P1352" s="24"/>
      <c r="Q1352" s="22" t="s">
        <v>90</v>
      </c>
      <c r="R1352" s="22">
        <v>3.2771610870083E13</v>
      </c>
      <c r="S1352" s="24"/>
      <c r="T1352" s="24"/>
      <c r="U1352" s="24"/>
      <c r="V1352" s="22" t="s">
        <v>91</v>
      </c>
      <c r="W1352" s="33"/>
      <c r="X1352" s="33"/>
      <c r="Y1352" s="30"/>
      <c r="Z1352" s="30"/>
      <c r="AA1352" s="33"/>
      <c r="AB1352" s="33"/>
      <c r="AC1352" s="30"/>
      <c r="AD1352" s="30"/>
      <c r="AE1352" s="33"/>
      <c r="AF1352" s="31"/>
      <c r="AG1352" s="30"/>
      <c r="AH1352" s="30"/>
      <c r="AI1352" s="31"/>
      <c r="AJ1352" s="31"/>
      <c r="AK1352" s="32"/>
    </row>
    <row r="1353">
      <c r="A1353" s="21" t="s">
        <v>80</v>
      </c>
      <c r="B1353" s="22" t="s">
        <v>1662</v>
      </c>
      <c r="C1353" s="22" t="s">
        <v>82</v>
      </c>
      <c r="D1353" s="26">
        <v>45997.0</v>
      </c>
      <c r="E1353" s="22" t="s">
        <v>224</v>
      </c>
      <c r="F1353" s="22" t="s">
        <v>83</v>
      </c>
      <c r="G1353" s="22" t="s">
        <v>2764</v>
      </c>
      <c r="H1353" s="22" t="s">
        <v>80</v>
      </c>
      <c r="I1353" s="22">
        <v>1.0468021862723E13</v>
      </c>
      <c r="J1353" s="22" t="s">
        <v>1664</v>
      </c>
      <c r="K1353" s="24"/>
      <c r="L1353" s="22" t="s">
        <v>86</v>
      </c>
      <c r="M1353" s="22">
        <v>1.0</v>
      </c>
      <c r="N1353" s="22" t="s">
        <v>87</v>
      </c>
      <c r="O1353" s="22" t="s">
        <v>88</v>
      </c>
      <c r="P1353" s="24"/>
      <c r="Q1353" s="22" t="s">
        <v>90</v>
      </c>
      <c r="R1353" s="22">
        <v>3.2771620798787E13</v>
      </c>
      <c r="S1353" s="24"/>
      <c r="T1353" s="24"/>
      <c r="U1353" s="24"/>
      <c r="V1353" s="22" t="s">
        <v>91</v>
      </c>
      <c r="W1353" s="33"/>
      <c r="X1353" s="33"/>
      <c r="Y1353" s="30"/>
      <c r="Z1353" s="30"/>
      <c r="AA1353" s="33"/>
      <c r="AB1353" s="33"/>
      <c r="AC1353" s="30"/>
      <c r="AD1353" s="30"/>
      <c r="AE1353" s="33"/>
      <c r="AF1353" s="31"/>
      <c r="AG1353" s="30"/>
      <c r="AH1353" s="30"/>
      <c r="AI1353" s="31"/>
      <c r="AJ1353" s="31"/>
      <c r="AK1353" s="32"/>
    </row>
    <row r="1354">
      <c r="A1354" s="21" t="s">
        <v>96</v>
      </c>
      <c r="B1354" s="22" t="s">
        <v>1817</v>
      </c>
      <c r="C1354" s="22" t="s">
        <v>202</v>
      </c>
      <c r="D1354" s="26">
        <v>45996.0</v>
      </c>
      <c r="E1354" s="22" t="s">
        <v>192</v>
      </c>
      <c r="F1354" s="22" t="s">
        <v>83</v>
      </c>
      <c r="G1354" s="22" t="s">
        <v>2765</v>
      </c>
      <c r="H1354" s="22" t="s">
        <v>96</v>
      </c>
      <c r="I1354" s="22">
        <v>1.0468030775619E13</v>
      </c>
      <c r="J1354" s="22" t="s">
        <v>1819</v>
      </c>
      <c r="K1354" s="24"/>
      <c r="L1354" s="22" t="s">
        <v>98</v>
      </c>
      <c r="M1354" s="22">
        <v>1.0</v>
      </c>
      <c r="N1354" s="22" t="s">
        <v>87</v>
      </c>
      <c r="O1354" s="22" t="s">
        <v>88</v>
      </c>
      <c r="P1354" s="24"/>
      <c r="Q1354" s="22" t="s">
        <v>90</v>
      </c>
      <c r="R1354" s="22">
        <v>3.2771638034755E13</v>
      </c>
      <c r="S1354" s="24"/>
      <c r="T1354" s="24"/>
      <c r="U1354" s="24"/>
      <c r="V1354" s="22" t="s">
        <v>55</v>
      </c>
      <c r="W1354" s="33"/>
      <c r="X1354" s="33"/>
      <c r="Y1354" s="30"/>
      <c r="Z1354" s="30"/>
      <c r="AA1354" s="33"/>
      <c r="AB1354" s="33"/>
      <c r="AC1354" s="30"/>
      <c r="AD1354" s="30"/>
      <c r="AE1354" s="33"/>
      <c r="AF1354" s="31"/>
      <c r="AG1354" s="30"/>
      <c r="AH1354" s="30"/>
      <c r="AI1354" s="31"/>
      <c r="AJ1354" s="31"/>
      <c r="AK1354" s="32"/>
    </row>
    <row r="1355">
      <c r="A1355" s="21" t="s">
        <v>789</v>
      </c>
      <c r="B1355" s="22" t="s">
        <v>1863</v>
      </c>
      <c r="C1355" s="22" t="s">
        <v>82</v>
      </c>
      <c r="D1355" s="26">
        <v>45997.0</v>
      </c>
      <c r="E1355" s="22" t="s">
        <v>1131</v>
      </c>
      <c r="F1355" s="22" t="s">
        <v>605</v>
      </c>
      <c r="G1355" s="22" t="s">
        <v>2766</v>
      </c>
      <c r="H1355" s="22" t="s">
        <v>789</v>
      </c>
      <c r="I1355" s="22">
        <v>1.0468030841155E13</v>
      </c>
      <c r="J1355" s="22" t="s">
        <v>1865</v>
      </c>
      <c r="K1355" s="24"/>
      <c r="L1355" s="22" t="s">
        <v>794</v>
      </c>
      <c r="M1355" s="22">
        <v>1.0</v>
      </c>
      <c r="N1355" s="22" t="s">
        <v>795</v>
      </c>
      <c r="O1355" s="22" t="s">
        <v>796</v>
      </c>
      <c r="P1355" s="24"/>
      <c r="Q1355" s="22" t="s">
        <v>90</v>
      </c>
      <c r="R1355" s="22">
        <v>3.2771638231363E13</v>
      </c>
      <c r="S1355" s="24"/>
      <c r="T1355" s="24"/>
      <c r="U1355" s="24"/>
      <c r="V1355" s="22" t="s">
        <v>105</v>
      </c>
      <c r="W1355" s="33"/>
      <c r="X1355" s="33"/>
      <c r="Y1355" s="30"/>
      <c r="Z1355" s="30"/>
      <c r="AA1355" s="33"/>
      <c r="AB1355" s="33"/>
      <c r="AC1355" s="30"/>
      <c r="AD1355" s="30"/>
      <c r="AE1355" s="33"/>
      <c r="AF1355" s="31"/>
      <c r="AG1355" s="30"/>
      <c r="AH1355" s="30"/>
      <c r="AI1355" s="31"/>
      <c r="AJ1355" s="31"/>
      <c r="AK1355" s="32"/>
    </row>
    <row r="1356">
      <c r="A1356" s="21" t="s">
        <v>401</v>
      </c>
      <c r="B1356" s="22" t="s">
        <v>2767</v>
      </c>
      <c r="C1356" s="22" t="s">
        <v>82</v>
      </c>
      <c r="D1356" s="26">
        <v>45997.0</v>
      </c>
      <c r="E1356" s="22" t="s">
        <v>1131</v>
      </c>
      <c r="F1356" s="22" t="s">
        <v>319</v>
      </c>
      <c r="G1356" s="22" t="s">
        <v>2768</v>
      </c>
      <c r="H1356" s="22" t="s">
        <v>401</v>
      </c>
      <c r="I1356" s="22">
        <v>1.0468039360835E13</v>
      </c>
      <c r="J1356" s="22" t="s">
        <v>2769</v>
      </c>
      <c r="K1356" s="24"/>
      <c r="L1356" s="22" t="s">
        <v>403</v>
      </c>
      <c r="M1356" s="22">
        <v>1.0</v>
      </c>
      <c r="N1356" s="22" t="s">
        <v>404</v>
      </c>
      <c r="O1356" s="22" t="s">
        <v>405</v>
      </c>
      <c r="P1356" s="24"/>
      <c r="Q1356" s="22" t="s">
        <v>90</v>
      </c>
      <c r="R1356" s="22">
        <v>3.2771655401795E13</v>
      </c>
      <c r="S1356" s="24"/>
      <c r="T1356" s="24"/>
      <c r="U1356" s="24"/>
      <c r="V1356" s="22" t="s">
        <v>127</v>
      </c>
      <c r="W1356" s="33"/>
      <c r="X1356" s="33"/>
      <c r="Y1356" s="30"/>
      <c r="Z1356" s="30"/>
      <c r="AA1356" s="33"/>
      <c r="AB1356" s="33"/>
      <c r="AC1356" s="30"/>
      <c r="AD1356" s="30"/>
      <c r="AE1356" s="33"/>
      <c r="AF1356" s="31"/>
      <c r="AG1356" s="30"/>
      <c r="AH1356" s="30"/>
      <c r="AI1356" s="31"/>
      <c r="AJ1356" s="31"/>
      <c r="AK1356" s="32"/>
    </row>
    <row r="1357">
      <c r="A1357" s="28"/>
      <c r="B1357" s="22" t="s">
        <v>2767</v>
      </c>
      <c r="C1357" s="22" t="s">
        <v>82</v>
      </c>
      <c r="D1357" s="26">
        <v>45997.0</v>
      </c>
      <c r="E1357" s="22" t="s">
        <v>1131</v>
      </c>
      <c r="F1357" s="22" t="s">
        <v>319</v>
      </c>
      <c r="G1357" s="22" t="s">
        <v>2768</v>
      </c>
      <c r="H1357" s="29"/>
      <c r="I1357" s="22">
        <v>1.0468039360835E13</v>
      </c>
      <c r="J1357" s="22" t="s">
        <v>2769</v>
      </c>
      <c r="K1357" s="24"/>
      <c r="L1357" s="22" t="s">
        <v>2770</v>
      </c>
      <c r="M1357" s="24"/>
      <c r="N1357" s="24"/>
      <c r="O1357" s="22" t="s">
        <v>768</v>
      </c>
      <c r="P1357" s="24"/>
      <c r="Q1357" s="22" t="s">
        <v>769</v>
      </c>
      <c r="R1357" s="24"/>
      <c r="S1357" s="24"/>
      <c r="T1357" s="24"/>
      <c r="U1357" s="24"/>
      <c r="V1357" s="22"/>
      <c r="W1357" s="33"/>
      <c r="X1357" s="33"/>
      <c r="Y1357" s="30"/>
      <c r="Z1357" s="30"/>
      <c r="AA1357" s="33"/>
      <c r="AB1357" s="33"/>
      <c r="AC1357" s="30"/>
      <c r="AD1357" s="30"/>
      <c r="AE1357" s="33"/>
      <c r="AF1357" s="31"/>
      <c r="AG1357" s="30"/>
      <c r="AH1357" s="30"/>
      <c r="AI1357" s="31"/>
      <c r="AJ1357" s="31"/>
      <c r="AK1357" s="32"/>
    </row>
    <row r="1358">
      <c r="A1358" s="21" t="s">
        <v>696</v>
      </c>
      <c r="B1358" s="22" t="s">
        <v>1019</v>
      </c>
      <c r="C1358" s="22" t="s">
        <v>82</v>
      </c>
      <c r="D1358" s="26">
        <v>45997.0</v>
      </c>
      <c r="E1358" s="22" t="s">
        <v>975</v>
      </c>
      <c r="F1358" s="22" t="s">
        <v>698</v>
      </c>
      <c r="G1358" s="22" t="s">
        <v>2771</v>
      </c>
      <c r="H1358" s="22" t="s">
        <v>696</v>
      </c>
      <c r="I1358" s="22">
        <v>1.0468074127683E13</v>
      </c>
      <c r="J1358" s="22" t="s">
        <v>1021</v>
      </c>
      <c r="K1358" s="24"/>
      <c r="L1358" s="22" t="s">
        <v>701</v>
      </c>
      <c r="M1358" s="22">
        <v>1.0</v>
      </c>
      <c r="N1358" s="22" t="s">
        <v>702</v>
      </c>
      <c r="O1358" s="22" t="s">
        <v>703</v>
      </c>
      <c r="P1358" s="24"/>
      <c r="Q1358" s="22" t="s">
        <v>90</v>
      </c>
      <c r="R1358" s="22">
        <v>3.2771730374979E13</v>
      </c>
      <c r="S1358" s="24"/>
      <c r="T1358" s="24"/>
      <c r="U1358" s="24"/>
      <c r="V1358" s="22" t="s">
        <v>55</v>
      </c>
      <c r="W1358" s="33"/>
      <c r="X1358" s="33"/>
      <c r="Y1358" s="30"/>
      <c r="Z1358" s="30"/>
      <c r="AA1358" s="33"/>
      <c r="AB1358" s="33"/>
      <c r="AC1358" s="30"/>
      <c r="AD1358" s="30"/>
      <c r="AE1358" s="33"/>
      <c r="AF1358" s="31"/>
      <c r="AG1358" s="30"/>
      <c r="AH1358" s="30"/>
      <c r="AI1358" s="31"/>
      <c r="AJ1358" s="31"/>
      <c r="AK1358" s="32"/>
    </row>
    <row r="1359">
      <c r="A1359" s="21" t="s">
        <v>1269</v>
      </c>
      <c r="B1359" s="22" t="s">
        <v>355</v>
      </c>
      <c r="C1359" s="22" t="s">
        <v>273</v>
      </c>
      <c r="D1359" s="23">
        <v>45991.0</v>
      </c>
      <c r="E1359" s="22" t="s">
        <v>149</v>
      </c>
      <c r="F1359" s="22" t="s">
        <v>356</v>
      </c>
      <c r="G1359" s="22" t="s">
        <v>2772</v>
      </c>
      <c r="H1359" s="22" t="s">
        <v>1269</v>
      </c>
      <c r="I1359" s="22">
        <v>1.0468079862083E13</v>
      </c>
      <c r="J1359" s="22" t="s">
        <v>562</v>
      </c>
      <c r="K1359" s="24"/>
      <c r="L1359" s="22" t="s">
        <v>1271</v>
      </c>
      <c r="M1359" s="22">
        <v>1.0</v>
      </c>
      <c r="N1359" s="22" t="s">
        <v>1272</v>
      </c>
      <c r="O1359" s="22" t="s">
        <v>1273</v>
      </c>
      <c r="P1359" s="24"/>
      <c r="Q1359" s="22" t="s">
        <v>90</v>
      </c>
      <c r="R1359" s="22">
        <v>3.2771742597443E13</v>
      </c>
      <c r="S1359" s="24"/>
      <c r="T1359" s="24"/>
      <c r="U1359" s="24"/>
      <c r="V1359" s="30" t="s">
        <v>105</v>
      </c>
      <c r="W1359" s="33"/>
      <c r="X1359" s="33"/>
      <c r="Y1359" s="30"/>
      <c r="Z1359" s="30"/>
      <c r="AA1359" s="33"/>
      <c r="AB1359" s="33"/>
      <c r="AC1359" s="30"/>
      <c r="AD1359" s="30"/>
      <c r="AE1359" s="33"/>
      <c r="AF1359" s="31"/>
      <c r="AG1359" s="30"/>
      <c r="AH1359" s="30"/>
      <c r="AI1359" s="31"/>
      <c r="AJ1359" s="31"/>
      <c r="AK1359" s="32"/>
    </row>
    <row r="1360">
      <c r="A1360" s="21" t="s">
        <v>80</v>
      </c>
      <c r="B1360" s="22" t="s">
        <v>1662</v>
      </c>
      <c r="C1360" s="22" t="s">
        <v>82</v>
      </c>
      <c r="D1360" s="26">
        <v>45997.0</v>
      </c>
      <c r="E1360" s="22" t="s">
        <v>224</v>
      </c>
      <c r="F1360" s="22" t="s">
        <v>83</v>
      </c>
      <c r="G1360" s="22" t="s">
        <v>2773</v>
      </c>
      <c r="H1360" s="22" t="s">
        <v>80</v>
      </c>
      <c r="I1360" s="22">
        <v>1.0468087693635E13</v>
      </c>
      <c r="J1360" s="22" t="s">
        <v>1664</v>
      </c>
      <c r="K1360" s="24"/>
      <c r="L1360" s="22" t="s">
        <v>86</v>
      </c>
      <c r="M1360" s="22">
        <v>1.0</v>
      </c>
      <c r="N1360" s="22" t="s">
        <v>87</v>
      </c>
      <c r="O1360" s="22" t="s">
        <v>88</v>
      </c>
      <c r="P1360" s="24"/>
      <c r="Q1360" s="22" t="s">
        <v>90</v>
      </c>
      <c r="R1360" s="22">
        <v>3.2771760030019E13</v>
      </c>
      <c r="S1360" s="24"/>
      <c r="T1360" s="24"/>
      <c r="U1360" s="24"/>
      <c r="V1360" s="30" t="s">
        <v>91</v>
      </c>
      <c r="W1360" s="33"/>
      <c r="X1360" s="33"/>
      <c r="Y1360" s="30"/>
      <c r="Z1360" s="30"/>
      <c r="AA1360" s="33"/>
      <c r="AB1360" s="33"/>
      <c r="AC1360" s="30"/>
      <c r="AD1360" s="30"/>
      <c r="AE1360" s="33"/>
      <c r="AF1360" s="31"/>
      <c r="AG1360" s="30"/>
      <c r="AH1360" s="30"/>
      <c r="AI1360" s="31"/>
      <c r="AJ1360" s="31"/>
      <c r="AK1360" s="32"/>
    </row>
    <row r="1361">
      <c r="A1361" s="21" t="s">
        <v>309</v>
      </c>
      <c r="B1361" s="22" t="s">
        <v>929</v>
      </c>
      <c r="C1361" s="22" t="s">
        <v>287</v>
      </c>
      <c r="D1361" s="23">
        <v>46001.0</v>
      </c>
      <c r="E1361" s="22" t="s">
        <v>134</v>
      </c>
      <c r="F1361" s="22" t="s">
        <v>311</v>
      </c>
      <c r="G1361" s="22" t="s">
        <v>2774</v>
      </c>
      <c r="H1361" s="22" t="s">
        <v>309</v>
      </c>
      <c r="I1361" s="22">
        <v>1.0468106961219E13</v>
      </c>
      <c r="J1361" s="22" t="s">
        <v>931</v>
      </c>
      <c r="K1361" s="24"/>
      <c r="L1361" s="22" t="s">
        <v>314</v>
      </c>
      <c r="M1361" s="22">
        <v>1.0</v>
      </c>
      <c r="N1361" s="22" t="s">
        <v>315</v>
      </c>
      <c r="O1361" s="22" t="s">
        <v>316</v>
      </c>
      <c r="P1361" s="24"/>
      <c r="Q1361" s="22" t="s">
        <v>90</v>
      </c>
      <c r="R1361" s="22">
        <v>3.2771802235203E13</v>
      </c>
      <c r="S1361" s="24"/>
      <c r="T1361" s="24"/>
      <c r="U1361" s="24"/>
      <c r="V1361" s="30" t="s">
        <v>105</v>
      </c>
      <c r="W1361" s="33"/>
      <c r="X1361" s="33"/>
      <c r="Y1361" s="30"/>
      <c r="Z1361" s="30"/>
      <c r="AA1361" s="33"/>
      <c r="AB1361" s="33"/>
      <c r="AC1361" s="30"/>
      <c r="AD1361" s="30"/>
      <c r="AE1361" s="33"/>
      <c r="AF1361" s="31"/>
      <c r="AG1361" s="30"/>
      <c r="AH1361" s="30"/>
      <c r="AI1361" s="31"/>
      <c r="AJ1361" s="31"/>
      <c r="AK1361" s="32"/>
    </row>
    <row r="1362">
      <c r="A1362" s="21" t="s">
        <v>463</v>
      </c>
      <c r="B1362" s="22" t="s">
        <v>434</v>
      </c>
      <c r="C1362" s="22" t="s">
        <v>273</v>
      </c>
      <c r="D1362" s="26">
        <v>45998.0</v>
      </c>
      <c r="E1362" s="22" t="s">
        <v>134</v>
      </c>
      <c r="F1362" s="22" t="s">
        <v>303</v>
      </c>
      <c r="G1362" s="22" t="s">
        <v>2775</v>
      </c>
      <c r="H1362" s="22" t="s">
        <v>463</v>
      </c>
      <c r="I1362" s="22">
        <v>1.0468114792771E13</v>
      </c>
      <c r="J1362" s="22" t="s">
        <v>582</v>
      </c>
      <c r="K1362" s="24"/>
      <c r="L1362" s="22" t="s">
        <v>467</v>
      </c>
      <c r="M1362" s="22">
        <v>1.0</v>
      </c>
      <c r="N1362" s="22" t="s">
        <v>468</v>
      </c>
      <c r="O1362" s="22" t="s">
        <v>469</v>
      </c>
      <c r="P1362" s="24"/>
      <c r="Q1362" s="22" t="s">
        <v>90</v>
      </c>
      <c r="R1362" s="22">
        <v>3.2771818357059E13</v>
      </c>
      <c r="S1362" s="24"/>
      <c r="T1362" s="24"/>
      <c r="U1362" s="24"/>
      <c r="V1362" s="30" t="s">
        <v>105</v>
      </c>
      <c r="W1362" s="33"/>
      <c r="X1362" s="33"/>
      <c r="Y1362" s="30"/>
      <c r="Z1362" s="30"/>
      <c r="AA1362" s="33"/>
      <c r="AB1362" s="33"/>
      <c r="AC1362" s="30"/>
      <c r="AD1362" s="30"/>
      <c r="AE1362" s="33"/>
      <c r="AF1362" s="31"/>
      <c r="AG1362" s="30"/>
      <c r="AH1362" s="30"/>
      <c r="AI1362" s="31"/>
      <c r="AJ1362" s="31"/>
      <c r="AK1362" s="32"/>
    </row>
    <row r="1363">
      <c r="A1363" s="21" t="s">
        <v>141</v>
      </c>
      <c r="B1363" s="22" t="s">
        <v>1817</v>
      </c>
      <c r="C1363" s="22" t="s">
        <v>202</v>
      </c>
      <c r="D1363" s="26">
        <v>45996.0</v>
      </c>
      <c r="E1363" s="22" t="s">
        <v>192</v>
      </c>
      <c r="F1363" s="22" t="s">
        <v>83</v>
      </c>
      <c r="G1363" s="22" t="s">
        <v>2776</v>
      </c>
      <c r="H1363" s="22" t="s">
        <v>141</v>
      </c>
      <c r="I1363" s="22">
        <v>1.0468188750147E13</v>
      </c>
      <c r="J1363" s="22" t="s">
        <v>1819</v>
      </c>
      <c r="K1363" s="24"/>
      <c r="L1363" s="22" t="s">
        <v>143</v>
      </c>
      <c r="M1363" s="22">
        <v>1.0</v>
      </c>
      <c r="N1363" s="22" t="s">
        <v>87</v>
      </c>
      <c r="O1363" s="22" t="s">
        <v>88</v>
      </c>
      <c r="P1363" s="24"/>
      <c r="Q1363" s="22" t="s">
        <v>90</v>
      </c>
      <c r="R1363" s="22">
        <v>3.2771982131523E13</v>
      </c>
      <c r="S1363" s="24"/>
      <c r="T1363" s="24"/>
      <c r="U1363" s="24"/>
      <c r="V1363" s="30" t="s">
        <v>54</v>
      </c>
      <c r="W1363" s="33"/>
      <c r="X1363" s="33"/>
      <c r="Y1363" s="30"/>
      <c r="Z1363" s="30"/>
      <c r="AA1363" s="33"/>
      <c r="AB1363" s="33"/>
      <c r="AC1363" s="30"/>
      <c r="AD1363" s="30"/>
      <c r="AE1363" s="33"/>
      <c r="AF1363" s="31"/>
      <c r="AG1363" s="30"/>
      <c r="AH1363" s="30"/>
      <c r="AI1363" s="31"/>
      <c r="AJ1363" s="31"/>
      <c r="AK1363" s="32"/>
    </row>
    <row r="1364">
      <c r="A1364" s="21" t="s">
        <v>96</v>
      </c>
      <c r="B1364" s="22" t="s">
        <v>2391</v>
      </c>
      <c r="C1364" s="22" t="s">
        <v>202</v>
      </c>
      <c r="D1364" s="26">
        <v>45996.0</v>
      </c>
      <c r="E1364" s="22" t="s">
        <v>134</v>
      </c>
      <c r="F1364" s="22" t="s">
        <v>83</v>
      </c>
      <c r="G1364" s="22" t="s">
        <v>2777</v>
      </c>
      <c r="H1364" s="22" t="s">
        <v>96</v>
      </c>
      <c r="I1364" s="22">
        <v>1.0468226335043E13</v>
      </c>
      <c r="J1364" s="22" t="s">
        <v>2393</v>
      </c>
      <c r="K1364" s="24"/>
      <c r="L1364" s="22" t="s">
        <v>98</v>
      </c>
      <c r="M1364" s="22">
        <v>1.0</v>
      </c>
      <c r="N1364" s="22" t="s">
        <v>87</v>
      </c>
      <c r="O1364" s="22" t="s">
        <v>88</v>
      </c>
      <c r="P1364" s="24"/>
      <c r="Q1364" s="22" t="s">
        <v>90</v>
      </c>
      <c r="R1364" s="22">
        <v>3.2772065034563E13</v>
      </c>
      <c r="S1364" s="24"/>
      <c r="T1364" s="24"/>
      <c r="U1364" s="24"/>
      <c r="V1364" s="30" t="s">
        <v>55</v>
      </c>
      <c r="W1364" s="33"/>
      <c r="X1364" s="33"/>
      <c r="Y1364" s="30"/>
      <c r="Z1364" s="30"/>
      <c r="AA1364" s="33"/>
      <c r="AB1364" s="33"/>
      <c r="AC1364" s="30"/>
      <c r="AD1364" s="30"/>
      <c r="AE1364" s="33"/>
      <c r="AF1364" s="31"/>
      <c r="AG1364" s="30"/>
      <c r="AH1364" s="30"/>
      <c r="AI1364" s="31"/>
      <c r="AJ1364" s="31"/>
      <c r="AK1364" s="32"/>
    </row>
    <row r="1365">
      <c r="A1365" s="21" t="s">
        <v>80</v>
      </c>
      <c r="B1365" s="22" t="s">
        <v>1352</v>
      </c>
      <c r="C1365" s="22" t="s">
        <v>82</v>
      </c>
      <c r="D1365" s="26">
        <v>45997.0</v>
      </c>
      <c r="E1365" s="22" t="s">
        <v>153</v>
      </c>
      <c r="F1365" s="22" t="s">
        <v>83</v>
      </c>
      <c r="G1365" s="22" t="s">
        <v>2778</v>
      </c>
      <c r="H1365" s="22" t="s">
        <v>80</v>
      </c>
      <c r="I1365" s="22">
        <v>1.0468231020867E13</v>
      </c>
      <c r="J1365" s="22" t="s">
        <v>1354</v>
      </c>
      <c r="K1365" s="24"/>
      <c r="L1365" s="22" t="s">
        <v>86</v>
      </c>
      <c r="M1365" s="22">
        <v>1.0</v>
      </c>
      <c r="N1365" s="22" t="s">
        <v>87</v>
      </c>
      <c r="O1365" s="22" t="s">
        <v>88</v>
      </c>
      <c r="P1365" s="24"/>
      <c r="Q1365" s="22" t="s">
        <v>90</v>
      </c>
      <c r="R1365" s="22">
        <v>3.2772075913539E13</v>
      </c>
      <c r="S1365" s="24"/>
      <c r="T1365" s="24"/>
      <c r="U1365" s="24"/>
      <c r="V1365" s="30" t="s">
        <v>91</v>
      </c>
      <c r="W1365" s="33"/>
      <c r="X1365" s="33"/>
      <c r="Y1365" s="30"/>
      <c r="Z1365" s="30"/>
      <c r="AA1365" s="33"/>
      <c r="AB1365" s="33"/>
      <c r="AC1365" s="30"/>
      <c r="AD1365" s="30"/>
      <c r="AE1365" s="33"/>
      <c r="AF1365" s="31"/>
      <c r="AG1365" s="30"/>
      <c r="AH1365" s="30"/>
      <c r="AI1365" s="31"/>
      <c r="AJ1365" s="31"/>
      <c r="AK1365" s="32"/>
    </row>
    <row r="1366">
      <c r="A1366" s="21" t="s">
        <v>401</v>
      </c>
      <c r="B1366" s="22" t="s">
        <v>318</v>
      </c>
      <c r="C1366" s="22" t="s">
        <v>82</v>
      </c>
      <c r="D1366" s="26">
        <v>45997.0</v>
      </c>
      <c r="E1366" s="22" t="s">
        <v>196</v>
      </c>
      <c r="F1366" s="22" t="s">
        <v>319</v>
      </c>
      <c r="G1366" s="22" t="s">
        <v>2779</v>
      </c>
      <c r="H1366" s="22" t="s">
        <v>401</v>
      </c>
      <c r="I1366" s="22">
        <v>1.0468251664707E13</v>
      </c>
      <c r="J1366" s="22" t="s">
        <v>527</v>
      </c>
      <c r="K1366" s="24"/>
      <c r="L1366" s="22" t="s">
        <v>403</v>
      </c>
      <c r="M1366" s="22">
        <v>1.0</v>
      </c>
      <c r="N1366" s="22" t="s">
        <v>404</v>
      </c>
      <c r="O1366" s="22" t="s">
        <v>405</v>
      </c>
      <c r="P1366" s="24"/>
      <c r="Q1366" s="22" t="s">
        <v>90</v>
      </c>
      <c r="R1366" s="22">
        <v>3.2772121395523E13</v>
      </c>
      <c r="S1366" s="24"/>
      <c r="T1366" s="24"/>
      <c r="U1366" s="24"/>
      <c r="V1366" s="30" t="s">
        <v>127</v>
      </c>
      <c r="W1366" s="33"/>
      <c r="X1366" s="33"/>
      <c r="Y1366" s="30"/>
      <c r="Z1366" s="30"/>
      <c r="AA1366" s="33"/>
      <c r="AB1366" s="33"/>
      <c r="AC1366" s="30"/>
      <c r="AD1366" s="30"/>
      <c r="AE1366" s="33"/>
      <c r="AF1366" s="31"/>
      <c r="AG1366" s="30"/>
      <c r="AH1366" s="30"/>
      <c r="AI1366" s="31"/>
      <c r="AJ1366" s="31"/>
      <c r="AK1366" s="32"/>
    </row>
    <row r="1367">
      <c r="A1367" s="21" t="s">
        <v>1634</v>
      </c>
      <c r="B1367" s="22" t="s">
        <v>2556</v>
      </c>
      <c r="C1367" s="22" t="s">
        <v>82</v>
      </c>
      <c r="D1367" s="26">
        <v>45997.0</v>
      </c>
      <c r="E1367" s="22" t="s">
        <v>841</v>
      </c>
      <c r="F1367" s="22" t="s">
        <v>1466</v>
      </c>
      <c r="G1367" s="22" t="s">
        <v>2780</v>
      </c>
      <c r="H1367" s="22" t="s">
        <v>1634</v>
      </c>
      <c r="I1367" s="22">
        <v>1.0468303110467E13</v>
      </c>
      <c r="J1367" s="22" t="s">
        <v>2558</v>
      </c>
      <c r="K1367" s="24"/>
      <c r="L1367" s="22" t="s">
        <v>1639</v>
      </c>
      <c r="M1367" s="22">
        <v>1.0</v>
      </c>
      <c r="N1367" s="22" t="s">
        <v>1628</v>
      </c>
      <c r="O1367" s="22" t="s">
        <v>1629</v>
      </c>
      <c r="P1367" s="24"/>
      <c r="Q1367" s="22" t="s">
        <v>90</v>
      </c>
      <c r="R1367" s="22">
        <v>3.2772238639427E13</v>
      </c>
      <c r="S1367" s="24"/>
      <c r="T1367" s="24"/>
      <c r="U1367" s="24"/>
      <c r="V1367" s="30" t="s">
        <v>105</v>
      </c>
      <c r="W1367" s="33"/>
      <c r="X1367" s="33"/>
      <c r="Y1367" s="30"/>
      <c r="Z1367" s="30"/>
      <c r="AA1367" s="33"/>
      <c r="AB1367" s="33"/>
      <c r="AC1367" s="30"/>
      <c r="AD1367" s="30"/>
      <c r="AE1367" s="33"/>
      <c r="AF1367" s="31"/>
      <c r="AG1367" s="30"/>
      <c r="AH1367" s="30"/>
      <c r="AI1367" s="31"/>
      <c r="AJ1367" s="31"/>
      <c r="AK1367" s="32"/>
    </row>
    <row r="1368">
      <c r="A1368" s="21" t="s">
        <v>584</v>
      </c>
      <c r="B1368" s="22" t="s">
        <v>416</v>
      </c>
      <c r="C1368" s="22" t="s">
        <v>82</v>
      </c>
      <c r="D1368" s="26">
        <v>45997.0</v>
      </c>
      <c r="E1368" s="22" t="s">
        <v>134</v>
      </c>
      <c r="F1368" s="22" t="s">
        <v>377</v>
      </c>
      <c r="G1368" s="22" t="s">
        <v>2781</v>
      </c>
      <c r="H1368" s="22" t="s">
        <v>584</v>
      </c>
      <c r="I1368" s="22">
        <v>1.0468309532995E13</v>
      </c>
      <c r="J1368" s="22" t="s">
        <v>1017</v>
      </c>
      <c r="K1368" s="24"/>
      <c r="L1368" s="22" t="s">
        <v>586</v>
      </c>
      <c r="M1368" s="22">
        <v>1.0</v>
      </c>
      <c r="N1368" s="22" t="s">
        <v>413</v>
      </c>
      <c r="O1368" s="22" t="s">
        <v>414</v>
      </c>
      <c r="P1368" s="24"/>
      <c r="Q1368" s="22" t="s">
        <v>90</v>
      </c>
      <c r="R1368" s="22">
        <v>3.2772253843779E13</v>
      </c>
      <c r="S1368" s="24"/>
      <c r="T1368" s="24"/>
      <c r="U1368" s="24"/>
      <c r="V1368" s="30" t="s">
        <v>105</v>
      </c>
      <c r="W1368" s="33"/>
      <c r="X1368" s="33"/>
      <c r="Y1368" s="30"/>
      <c r="Z1368" s="30"/>
      <c r="AA1368" s="33"/>
      <c r="AB1368" s="33"/>
      <c r="AC1368" s="30"/>
      <c r="AD1368" s="30"/>
      <c r="AE1368" s="33"/>
      <c r="AF1368" s="31"/>
      <c r="AG1368" s="30"/>
      <c r="AH1368" s="30"/>
      <c r="AI1368" s="31"/>
      <c r="AJ1368" s="31"/>
      <c r="AK1368" s="32"/>
    </row>
    <row r="1369">
      <c r="A1369" s="28"/>
      <c r="B1369" s="22" t="s">
        <v>416</v>
      </c>
      <c r="C1369" s="22" t="s">
        <v>82</v>
      </c>
      <c r="D1369" s="26">
        <v>45997.0</v>
      </c>
      <c r="E1369" s="22" t="s">
        <v>134</v>
      </c>
      <c r="F1369" s="22" t="s">
        <v>377</v>
      </c>
      <c r="G1369" s="22" t="s">
        <v>2781</v>
      </c>
      <c r="H1369" s="29"/>
      <c r="I1369" s="22">
        <v>1.0468309532995E13</v>
      </c>
      <c r="J1369" s="22" t="s">
        <v>1017</v>
      </c>
      <c r="K1369" s="24"/>
      <c r="L1369" s="22" t="s">
        <v>767</v>
      </c>
      <c r="M1369" s="24"/>
      <c r="N1369" s="24"/>
      <c r="O1369" s="22" t="s">
        <v>768</v>
      </c>
      <c r="P1369" s="24"/>
      <c r="Q1369" s="22" t="s">
        <v>769</v>
      </c>
      <c r="R1369" s="24"/>
      <c r="S1369" s="24"/>
      <c r="T1369" s="24"/>
      <c r="U1369" s="24"/>
      <c r="V1369" s="30"/>
      <c r="W1369" s="33"/>
      <c r="X1369" s="33"/>
      <c r="Y1369" s="30"/>
      <c r="Z1369" s="30"/>
      <c r="AA1369" s="33"/>
      <c r="AB1369" s="33"/>
      <c r="AC1369" s="30"/>
      <c r="AD1369" s="30"/>
      <c r="AE1369" s="33"/>
      <c r="AF1369" s="31"/>
      <c r="AG1369" s="30"/>
      <c r="AH1369" s="30"/>
      <c r="AI1369" s="31"/>
      <c r="AJ1369" s="31"/>
      <c r="AK1369" s="32"/>
    </row>
    <row r="1370">
      <c r="A1370" s="21" t="s">
        <v>560</v>
      </c>
      <c r="B1370" s="22" t="s">
        <v>355</v>
      </c>
      <c r="C1370" s="22" t="s">
        <v>273</v>
      </c>
      <c r="D1370" s="23">
        <v>45991.0</v>
      </c>
      <c r="E1370" s="22" t="s">
        <v>149</v>
      </c>
      <c r="F1370" s="22" t="s">
        <v>356</v>
      </c>
      <c r="G1370" s="22" t="s">
        <v>2782</v>
      </c>
      <c r="H1370" s="22" t="s">
        <v>560</v>
      </c>
      <c r="I1370" s="22">
        <v>1.0468354949443E13</v>
      </c>
      <c r="J1370" s="22" t="s">
        <v>562</v>
      </c>
      <c r="K1370" s="24"/>
      <c r="L1370" s="22" t="s">
        <v>563</v>
      </c>
      <c r="M1370" s="22">
        <v>1.0</v>
      </c>
      <c r="N1370" s="22" t="s">
        <v>360</v>
      </c>
      <c r="O1370" s="22" t="s">
        <v>361</v>
      </c>
      <c r="P1370" s="24"/>
      <c r="Q1370" s="22" t="s">
        <v>90</v>
      </c>
      <c r="R1370" s="22">
        <v>3.2772352803139E13</v>
      </c>
      <c r="S1370" s="24"/>
      <c r="T1370" s="24"/>
      <c r="U1370" s="24"/>
      <c r="V1370" s="30" t="s">
        <v>91</v>
      </c>
      <c r="W1370" s="33"/>
      <c r="X1370" s="33"/>
      <c r="Y1370" s="30"/>
      <c r="Z1370" s="30"/>
      <c r="AA1370" s="33"/>
      <c r="AB1370" s="33"/>
      <c r="AC1370" s="30"/>
      <c r="AD1370" s="30"/>
      <c r="AE1370" s="33"/>
      <c r="AF1370" s="31"/>
      <c r="AG1370" s="30"/>
      <c r="AH1370" s="30"/>
      <c r="AI1370" s="31"/>
      <c r="AJ1370" s="31"/>
      <c r="AK1370" s="32"/>
    </row>
    <row r="1371">
      <c r="A1371" s="21" t="s">
        <v>828</v>
      </c>
      <c r="B1371" s="22" t="s">
        <v>823</v>
      </c>
      <c r="C1371" s="22" t="s">
        <v>82</v>
      </c>
      <c r="D1371" s="26">
        <v>45997.0</v>
      </c>
      <c r="E1371" s="22" t="s">
        <v>177</v>
      </c>
      <c r="F1371" s="22" t="s">
        <v>634</v>
      </c>
      <c r="G1371" s="22" t="s">
        <v>2783</v>
      </c>
      <c r="H1371" s="22" t="s">
        <v>828</v>
      </c>
      <c r="I1371" s="22">
        <v>1.0468357734723E13</v>
      </c>
      <c r="J1371" s="22" t="s">
        <v>825</v>
      </c>
      <c r="K1371" s="24"/>
      <c r="L1371" s="22" t="s">
        <v>830</v>
      </c>
      <c r="M1371" s="22">
        <v>1.0</v>
      </c>
      <c r="N1371" s="22" t="s">
        <v>638</v>
      </c>
      <c r="O1371" s="22" t="s">
        <v>639</v>
      </c>
      <c r="P1371" s="24"/>
      <c r="Q1371" s="22" t="s">
        <v>90</v>
      </c>
      <c r="R1371" s="22">
        <v>3.2772359815491E13</v>
      </c>
      <c r="S1371" s="24"/>
      <c r="T1371" s="24"/>
      <c r="U1371" s="24"/>
      <c r="V1371" s="30" t="s">
        <v>95</v>
      </c>
      <c r="W1371" s="33"/>
      <c r="X1371" s="33"/>
      <c r="Y1371" s="30"/>
      <c r="Z1371" s="30"/>
      <c r="AA1371" s="33"/>
      <c r="AB1371" s="33"/>
      <c r="AC1371" s="30"/>
      <c r="AD1371" s="30"/>
      <c r="AE1371" s="33"/>
      <c r="AF1371" s="31"/>
      <c r="AG1371" s="30"/>
      <c r="AH1371" s="30"/>
      <c r="AI1371" s="31"/>
      <c r="AJ1371" s="31"/>
      <c r="AK1371" s="32"/>
    </row>
    <row r="1372">
      <c r="A1372" s="21" t="s">
        <v>354</v>
      </c>
      <c r="B1372" s="22" t="s">
        <v>355</v>
      </c>
      <c r="C1372" s="22" t="s">
        <v>273</v>
      </c>
      <c r="D1372" s="23">
        <v>45991.0</v>
      </c>
      <c r="E1372" s="22" t="s">
        <v>149</v>
      </c>
      <c r="F1372" s="22" t="s">
        <v>356</v>
      </c>
      <c r="G1372" s="22" t="s">
        <v>2784</v>
      </c>
      <c r="H1372" s="22" t="s">
        <v>354</v>
      </c>
      <c r="I1372" s="22">
        <v>1.0468396335427E13</v>
      </c>
      <c r="J1372" s="22" t="s">
        <v>562</v>
      </c>
      <c r="K1372" s="24"/>
      <c r="L1372" s="22" t="s">
        <v>359</v>
      </c>
      <c r="M1372" s="22">
        <v>1.0</v>
      </c>
      <c r="N1372" s="22" t="s">
        <v>360</v>
      </c>
      <c r="O1372" s="22" t="s">
        <v>361</v>
      </c>
      <c r="P1372" s="24"/>
      <c r="Q1372" s="22" t="s">
        <v>90</v>
      </c>
      <c r="R1372" s="22">
        <v>3.2772445798723E13</v>
      </c>
      <c r="S1372" s="24"/>
      <c r="T1372" s="24"/>
      <c r="U1372" s="24"/>
      <c r="V1372" s="30" t="s">
        <v>54</v>
      </c>
      <c r="W1372" s="33"/>
      <c r="X1372" s="33"/>
      <c r="Y1372" s="30"/>
      <c r="Z1372" s="30"/>
      <c r="AA1372" s="33"/>
      <c r="AB1372" s="33"/>
      <c r="AC1372" s="30"/>
      <c r="AD1372" s="30"/>
      <c r="AE1372" s="33"/>
      <c r="AF1372" s="31"/>
      <c r="AG1372" s="30"/>
      <c r="AH1372" s="30"/>
      <c r="AI1372" s="31"/>
      <c r="AJ1372" s="31"/>
      <c r="AK1372" s="32"/>
    </row>
    <row r="1373">
      <c r="A1373" s="21" t="s">
        <v>375</v>
      </c>
      <c r="B1373" s="22" t="s">
        <v>800</v>
      </c>
      <c r="C1373" s="22" t="s">
        <v>82</v>
      </c>
      <c r="D1373" s="26">
        <v>45997.0</v>
      </c>
      <c r="E1373" s="22" t="s">
        <v>145</v>
      </c>
      <c r="F1373" s="22" t="s">
        <v>377</v>
      </c>
      <c r="G1373" s="22" t="s">
        <v>2785</v>
      </c>
      <c r="H1373" s="22" t="s">
        <v>375</v>
      </c>
      <c r="I1373" s="22">
        <v>1.0468400464195E13</v>
      </c>
      <c r="J1373" s="22" t="s">
        <v>802</v>
      </c>
      <c r="K1373" s="24"/>
      <c r="L1373" s="22" t="s">
        <v>380</v>
      </c>
      <c r="M1373" s="22">
        <v>1.0</v>
      </c>
      <c r="N1373" s="22" t="s">
        <v>381</v>
      </c>
      <c r="O1373" s="22" t="s">
        <v>382</v>
      </c>
      <c r="P1373" s="24"/>
      <c r="Q1373" s="22" t="s">
        <v>90</v>
      </c>
      <c r="R1373" s="22">
        <v>3.2772455760195E13</v>
      </c>
      <c r="S1373" s="24"/>
      <c r="T1373" s="24"/>
      <c r="U1373" s="24"/>
      <c r="V1373" s="30" t="s">
        <v>55</v>
      </c>
      <c r="W1373" s="33"/>
      <c r="X1373" s="33"/>
      <c r="Y1373" s="30"/>
      <c r="Z1373" s="30"/>
      <c r="AA1373" s="33"/>
      <c r="AB1373" s="33"/>
      <c r="AC1373" s="30"/>
      <c r="AD1373" s="30"/>
      <c r="AE1373" s="33"/>
      <c r="AF1373" s="31"/>
      <c r="AG1373" s="30"/>
      <c r="AH1373" s="30"/>
      <c r="AI1373" s="31"/>
      <c r="AJ1373" s="31"/>
      <c r="AK1373" s="32"/>
    </row>
    <row r="1374">
      <c r="A1374" s="21" t="s">
        <v>354</v>
      </c>
      <c r="B1374" s="22" t="s">
        <v>355</v>
      </c>
      <c r="C1374" s="22" t="s">
        <v>273</v>
      </c>
      <c r="D1374" s="23">
        <v>45991.0</v>
      </c>
      <c r="E1374" s="22" t="s">
        <v>149</v>
      </c>
      <c r="F1374" s="22" t="s">
        <v>356</v>
      </c>
      <c r="G1374" s="22" t="s">
        <v>2786</v>
      </c>
      <c r="H1374" s="22" t="s">
        <v>354</v>
      </c>
      <c r="I1374" s="22">
        <v>1.0468404396355E13</v>
      </c>
      <c r="J1374" s="22" t="s">
        <v>562</v>
      </c>
      <c r="K1374" s="24"/>
      <c r="L1374" s="22" t="s">
        <v>359</v>
      </c>
      <c r="M1374" s="22">
        <v>1.0</v>
      </c>
      <c r="N1374" s="22" t="s">
        <v>360</v>
      </c>
      <c r="O1374" s="22" t="s">
        <v>361</v>
      </c>
      <c r="P1374" s="24"/>
      <c r="Q1374" s="22" t="s">
        <v>90</v>
      </c>
      <c r="R1374" s="22">
        <v>3.2772464673091E13</v>
      </c>
      <c r="S1374" s="24"/>
      <c r="T1374" s="24"/>
      <c r="U1374" s="24"/>
      <c r="V1374" s="30" t="s">
        <v>54</v>
      </c>
      <c r="W1374" s="33"/>
      <c r="X1374" s="33"/>
      <c r="Y1374" s="30"/>
      <c r="Z1374" s="30"/>
      <c r="AA1374" s="33"/>
      <c r="AB1374" s="33"/>
      <c r="AC1374" s="30"/>
      <c r="AD1374" s="30"/>
      <c r="AE1374" s="33"/>
      <c r="AF1374" s="31"/>
      <c r="AG1374" s="30"/>
      <c r="AH1374" s="30"/>
      <c r="AI1374" s="31"/>
      <c r="AJ1374" s="31"/>
      <c r="AK1374" s="32"/>
    </row>
    <row r="1375">
      <c r="A1375" s="21" t="s">
        <v>924</v>
      </c>
      <c r="B1375" s="22" t="s">
        <v>1205</v>
      </c>
      <c r="C1375" s="22" t="s">
        <v>273</v>
      </c>
      <c r="D1375" s="26">
        <v>45998.0</v>
      </c>
      <c r="E1375" s="22" t="s">
        <v>149</v>
      </c>
      <c r="F1375" s="22" t="s">
        <v>623</v>
      </c>
      <c r="G1375" s="22" t="s">
        <v>2787</v>
      </c>
      <c r="H1375" s="22" t="s">
        <v>924</v>
      </c>
      <c r="I1375" s="22">
        <v>1.0468415701315E13</v>
      </c>
      <c r="J1375" s="22" t="s">
        <v>1207</v>
      </c>
      <c r="K1375" s="24"/>
      <c r="L1375" s="22" t="s">
        <v>926</v>
      </c>
      <c r="M1375" s="22">
        <v>1.0</v>
      </c>
      <c r="N1375" s="22" t="s">
        <v>627</v>
      </c>
      <c r="O1375" s="22" t="s">
        <v>628</v>
      </c>
      <c r="P1375" s="24"/>
      <c r="Q1375" s="22" t="s">
        <v>90</v>
      </c>
      <c r="R1375" s="22">
        <v>3.2772489380163E13</v>
      </c>
      <c r="S1375" s="24"/>
      <c r="T1375" s="24"/>
      <c r="U1375" s="24"/>
      <c r="V1375" s="30" t="s">
        <v>55</v>
      </c>
      <c r="W1375" s="33"/>
      <c r="X1375" s="33"/>
      <c r="Y1375" s="30"/>
      <c r="Z1375" s="30"/>
      <c r="AA1375" s="33"/>
      <c r="AB1375" s="33"/>
      <c r="AC1375" s="30"/>
      <c r="AD1375" s="30"/>
      <c r="AE1375" s="33"/>
      <c r="AF1375" s="31"/>
      <c r="AG1375" s="30"/>
      <c r="AH1375" s="30"/>
      <c r="AI1375" s="31"/>
      <c r="AJ1375" s="31"/>
      <c r="AK1375" s="32"/>
    </row>
    <row r="1376">
      <c r="A1376" s="21" t="s">
        <v>1832</v>
      </c>
      <c r="B1376" s="22" t="s">
        <v>815</v>
      </c>
      <c r="C1376" s="22" t="s">
        <v>82</v>
      </c>
      <c r="D1376" s="26">
        <v>45997.0</v>
      </c>
      <c r="E1376" s="22" t="s">
        <v>187</v>
      </c>
      <c r="F1376" s="22" t="s">
        <v>698</v>
      </c>
      <c r="G1376" s="22" t="s">
        <v>2788</v>
      </c>
      <c r="H1376" s="22" t="s">
        <v>1832</v>
      </c>
      <c r="I1376" s="22">
        <v>1.0467956195651E13</v>
      </c>
      <c r="J1376" s="22" t="s">
        <v>817</v>
      </c>
      <c r="K1376" s="24"/>
      <c r="L1376" s="22" t="s">
        <v>1834</v>
      </c>
      <c r="M1376" s="22">
        <v>1.0</v>
      </c>
      <c r="N1376" s="22" t="s">
        <v>702</v>
      </c>
      <c r="O1376" s="22" t="s">
        <v>703</v>
      </c>
      <c r="P1376" s="24"/>
      <c r="Q1376" s="22" t="s">
        <v>90</v>
      </c>
      <c r="R1376" s="22">
        <v>3.2771474424131E13</v>
      </c>
      <c r="S1376" s="24"/>
      <c r="T1376" s="24"/>
      <c r="U1376" s="24"/>
      <c r="V1376" s="30" t="s">
        <v>91</v>
      </c>
      <c r="W1376" s="33"/>
      <c r="X1376" s="33"/>
      <c r="Y1376" s="30"/>
      <c r="Z1376" s="30"/>
      <c r="AA1376" s="33"/>
      <c r="AB1376" s="33"/>
      <c r="AC1376" s="30"/>
      <c r="AD1376" s="30"/>
      <c r="AE1376" s="33"/>
      <c r="AF1376" s="31"/>
      <c r="AG1376" s="30"/>
      <c r="AH1376" s="30"/>
      <c r="AI1376" s="31"/>
      <c r="AJ1376" s="31"/>
      <c r="AK1376" s="32"/>
    </row>
    <row r="1377">
      <c r="A1377" s="21" t="s">
        <v>80</v>
      </c>
      <c r="B1377" s="22" t="s">
        <v>2612</v>
      </c>
      <c r="C1377" s="22" t="s">
        <v>273</v>
      </c>
      <c r="D1377" s="23">
        <v>45991.0</v>
      </c>
      <c r="E1377" s="22" t="s">
        <v>145</v>
      </c>
      <c r="F1377" s="22" t="s">
        <v>83</v>
      </c>
      <c r="G1377" s="22" t="s">
        <v>2789</v>
      </c>
      <c r="H1377" s="22" t="s">
        <v>80</v>
      </c>
      <c r="I1377" s="22">
        <v>1.0467961897283E13</v>
      </c>
      <c r="J1377" s="22" t="s">
        <v>2614</v>
      </c>
      <c r="K1377" s="24"/>
      <c r="L1377" s="22" t="s">
        <v>86</v>
      </c>
      <c r="M1377" s="22">
        <v>1.0</v>
      </c>
      <c r="N1377" s="22" t="s">
        <v>87</v>
      </c>
      <c r="O1377" s="22" t="s">
        <v>88</v>
      </c>
      <c r="P1377" s="24"/>
      <c r="Q1377" s="22" t="s">
        <v>90</v>
      </c>
      <c r="R1377" s="22">
        <v>3.2771486187843E13</v>
      </c>
      <c r="S1377" s="24"/>
      <c r="T1377" s="24"/>
      <c r="U1377" s="24"/>
      <c r="V1377" s="30" t="s">
        <v>91</v>
      </c>
      <c r="W1377" s="33"/>
      <c r="X1377" s="33"/>
      <c r="Y1377" s="30"/>
      <c r="Z1377" s="30"/>
      <c r="AA1377" s="33"/>
      <c r="AB1377" s="33"/>
      <c r="AC1377" s="30"/>
      <c r="AD1377" s="30"/>
      <c r="AE1377" s="33"/>
      <c r="AF1377" s="31"/>
      <c r="AG1377" s="30"/>
      <c r="AH1377" s="30"/>
      <c r="AI1377" s="31"/>
      <c r="AJ1377" s="31"/>
      <c r="AK1377" s="32"/>
    </row>
    <row r="1378">
      <c r="A1378" s="21" t="s">
        <v>401</v>
      </c>
      <c r="B1378" s="22" t="s">
        <v>318</v>
      </c>
      <c r="C1378" s="22" t="s">
        <v>82</v>
      </c>
      <c r="D1378" s="26">
        <v>45997.0</v>
      </c>
      <c r="E1378" s="22" t="s">
        <v>196</v>
      </c>
      <c r="F1378" s="22" t="s">
        <v>319</v>
      </c>
      <c r="G1378" s="22" t="s">
        <v>2790</v>
      </c>
      <c r="H1378" s="22" t="s">
        <v>401</v>
      </c>
      <c r="I1378" s="22">
        <v>1.0467969433923E13</v>
      </c>
      <c r="J1378" s="22" t="s">
        <v>527</v>
      </c>
      <c r="K1378" s="24"/>
      <c r="L1378" s="22" t="s">
        <v>403</v>
      </c>
      <c r="M1378" s="22">
        <v>1.0</v>
      </c>
      <c r="N1378" s="22" t="s">
        <v>404</v>
      </c>
      <c r="O1378" s="22" t="s">
        <v>405</v>
      </c>
      <c r="P1378" s="24"/>
      <c r="Q1378" s="22" t="s">
        <v>90</v>
      </c>
      <c r="R1378" s="22">
        <v>3.2771503227203E13</v>
      </c>
      <c r="S1378" s="24"/>
      <c r="T1378" s="24"/>
      <c r="U1378" s="24"/>
      <c r="V1378" s="30" t="s">
        <v>127</v>
      </c>
      <c r="W1378" s="33"/>
      <c r="X1378" s="33"/>
      <c r="Y1378" s="30"/>
      <c r="Z1378" s="30"/>
      <c r="AA1378" s="33"/>
      <c r="AB1378" s="33"/>
      <c r="AC1378" s="30"/>
      <c r="AD1378" s="30"/>
      <c r="AE1378" s="33"/>
      <c r="AF1378" s="31"/>
      <c r="AG1378" s="30"/>
      <c r="AH1378" s="30"/>
      <c r="AI1378" s="31"/>
      <c r="AJ1378" s="31"/>
      <c r="AK1378" s="32"/>
    </row>
    <row r="1379">
      <c r="A1379" s="21" t="s">
        <v>732</v>
      </c>
      <c r="B1379" s="22" t="s">
        <v>823</v>
      </c>
      <c r="C1379" s="22" t="s">
        <v>82</v>
      </c>
      <c r="D1379" s="26">
        <v>45997.0</v>
      </c>
      <c r="E1379" s="22" t="s">
        <v>177</v>
      </c>
      <c r="F1379" s="22" t="s">
        <v>634</v>
      </c>
      <c r="G1379" s="22" t="s">
        <v>2791</v>
      </c>
      <c r="H1379" s="22" t="s">
        <v>732</v>
      </c>
      <c r="I1379" s="22">
        <v>1.0468423631171E13</v>
      </c>
      <c r="J1379" s="22" t="s">
        <v>825</v>
      </c>
      <c r="K1379" s="24"/>
      <c r="L1379" s="22" t="s">
        <v>737</v>
      </c>
      <c r="M1379" s="22">
        <v>1.0</v>
      </c>
      <c r="N1379" s="22" t="s">
        <v>738</v>
      </c>
      <c r="O1379" s="22" t="s">
        <v>739</v>
      </c>
      <c r="P1379" s="24"/>
      <c r="Q1379" s="22" t="s">
        <v>90</v>
      </c>
      <c r="R1379" s="22">
        <v>3.2772507271491E13</v>
      </c>
      <c r="S1379" s="24"/>
      <c r="T1379" s="24"/>
      <c r="U1379" s="24"/>
      <c r="V1379" s="30" t="s">
        <v>105</v>
      </c>
      <c r="W1379" s="33"/>
      <c r="X1379" s="33"/>
      <c r="Y1379" s="30"/>
      <c r="Z1379" s="30"/>
      <c r="AA1379" s="33"/>
      <c r="AB1379" s="33"/>
      <c r="AC1379" s="30"/>
      <c r="AD1379" s="30"/>
      <c r="AE1379" s="33"/>
      <c r="AF1379" s="31"/>
      <c r="AG1379" s="30"/>
      <c r="AH1379" s="30"/>
      <c r="AI1379" s="31"/>
      <c r="AJ1379" s="31"/>
      <c r="AK1379" s="32"/>
    </row>
    <row r="1380">
      <c r="A1380" s="21" t="s">
        <v>658</v>
      </c>
      <c r="B1380" s="22" t="s">
        <v>2792</v>
      </c>
      <c r="C1380" s="22" t="s">
        <v>82</v>
      </c>
      <c r="D1380" s="26">
        <v>45997.0</v>
      </c>
      <c r="E1380" s="22" t="s">
        <v>168</v>
      </c>
      <c r="F1380" s="22" t="s">
        <v>341</v>
      </c>
      <c r="G1380" s="22" t="s">
        <v>2793</v>
      </c>
      <c r="H1380" s="22" t="s">
        <v>658</v>
      </c>
      <c r="I1380" s="22">
        <v>1.0468496376131E13</v>
      </c>
      <c r="J1380" s="22" t="s">
        <v>2794</v>
      </c>
      <c r="K1380" s="24"/>
      <c r="L1380" s="22" t="s">
        <v>662</v>
      </c>
      <c r="M1380" s="22">
        <v>1.0</v>
      </c>
      <c r="N1380" s="22" t="s">
        <v>345</v>
      </c>
      <c r="O1380" s="22" t="s">
        <v>346</v>
      </c>
      <c r="P1380" s="24"/>
      <c r="Q1380" s="22" t="s">
        <v>90</v>
      </c>
      <c r="R1380" s="22">
        <v>3.2772674421059E13</v>
      </c>
      <c r="S1380" s="24"/>
      <c r="T1380" s="24"/>
      <c r="U1380" s="24"/>
      <c r="V1380" s="30" t="s">
        <v>95</v>
      </c>
      <c r="W1380" s="33"/>
      <c r="X1380" s="33"/>
      <c r="Y1380" s="30"/>
      <c r="Z1380" s="30"/>
      <c r="AA1380" s="33"/>
      <c r="AB1380" s="33"/>
      <c r="AC1380" s="30"/>
      <c r="AD1380" s="30"/>
      <c r="AE1380" s="33"/>
      <c r="AF1380" s="31"/>
      <c r="AG1380" s="30"/>
      <c r="AH1380" s="30"/>
      <c r="AI1380" s="31"/>
      <c r="AJ1380" s="31"/>
      <c r="AK1380" s="32"/>
    </row>
    <row r="1381">
      <c r="A1381" s="21" t="s">
        <v>1634</v>
      </c>
      <c r="B1381" s="22" t="s">
        <v>2795</v>
      </c>
      <c r="C1381" s="22" t="s">
        <v>82</v>
      </c>
      <c r="D1381" s="26">
        <v>45997.0</v>
      </c>
      <c r="E1381" s="22" t="s">
        <v>211</v>
      </c>
      <c r="F1381" s="22" t="s">
        <v>1466</v>
      </c>
      <c r="G1381" s="22" t="s">
        <v>2796</v>
      </c>
      <c r="H1381" s="22" t="s">
        <v>1634</v>
      </c>
      <c r="I1381" s="22">
        <v>1.0468527702339E13</v>
      </c>
      <c r="J1381" s="22" t="s">
        <v>2797</v>
      </c>
      <c r="K1381" s="24"/>
      <c r="L1381" s="22" t="s">
        <v>1639</v>
      </c>
      <c r="M1381" s="22">
        <v>1.0</v>
      </c>
      <c r="N1381" s="22" t="s">
        <v>1628</v>
      </c>
      <c r="O1381" s="22" t="s">
        <v>1629</v>
      </c>
      <c r="P1381" s="24"/>
      <c r="Q1381" s="22" t="s">
        <v>90</v>
      </c>
      <c r="R1381" s="22">
        <v>3.2772744839491E13</v>
      </c>
      <c r="S1381" s="24"/>
      <c r="T1381" s="24"/>
      <c r="U1381" s="24"/>
      <c r="V1381" s="30" t="s">
        <v>105</v>
      </c>
      <c r="W1381" s="33"/>
      <c r="X1381" s="33"/>
      <c r="Y1381" s="30"/>
      <c r="Z1381" s="30"/>
      <c r="AA1381" s="33"/>
      <c r="AB1381" s="33"/>
      <c r="AC1381" s="30"/>
      <c r="AD1381" s="30"/>
      <c r="AE1381" s="33"/>
      <c r="AF1381" s="31"/>
      <c r="AG1381" s="30"/>
      <c r="AH1381" s="30"/>
      <c r="AI1381" s="31"/>
      <c r="AJ1381" s="31"/>
      <c r="AK1381" s="32"/>
    </row>
    <row r="1382">
      <c r="A1382" s="21" t="s">
        <v>867</v>
      </c>
      <c r="B1382" s="22" t="s">
        <v>2798</v>
      </c>
      <c r="C1382" s="22" t="s">
        <v>273</v>
      </c>
      <c r="D1382" s="26">
        <v>45998.0</v>
      </c>
      <c r="E1382" s="22" t="s">
        <v>1117</v>
      </c>
      <c r="F1382" s="22" t="s">
        <v>869</v>
      </c>
      <c r="G1382" s="22" t="s">
        <v>2799</v>
      </c>
      <c r="H1382" s="22" t="s">
        <v>867</v>
      </c>
      <c r="I1382" s="22">
        <v>1.0468534419779E13</v>
      </c>
      <c r="J1382" s="22" t="s">
        <v>2800</v>
      </c>
      <c r="K1382" s="24"/>
      <c r="L1382" s="22" t="s">
        <v>872</v>
      </c>
      <c r="M1382" s="22">
        <v>1.0</v>
      </c>
      <c r="N1382" s="22" t="s">
        <v>873</v>
      </c>
      <c r="O1382" s="22" t="s">
        <v>874</v>
      </c>
      <c r="P1382" s="24"/>
      <c r="Q1382" s="22" t="s">
        <v>90</v>
      </c>
      <c r="R1382" s="22">
        <v>3.2772759912771E13</v>
      </c>
      <c r="S1382" s="24"/>
      <c r="T1382" s="24"/>
      <c r="U1382" s="24"/>
      <c r="V1382" s="30" t="s">
        <v>55</v>
      </c>
      <c r="W1382" s="33"/>
      <c r="X1382" s="33"/>
      <c r="Y1382" s="30"/>
      <c r="Z1382" s="30"/>
      <c r="AA1382" s="33"/>
      <c r="AB1382" s="33"/>
      <c r="AC1382" s="30"/>
      <c r="AD1382" s="30"/>
      <c r="AE1382" s="33"/>
      <c r="AF1382" s="31"/>
      <c r="AG1382" s="30"/>
      <c r="AH1382" s="30"/>
      <c r="AI1382" s="31"/>
      <c r="AJ1382" s="31"/>
      <c r="AK1382" s="32"/>
    </row>
    <row r="1383">
      <c r="A1383" s="21" t="s">
        <v>141</v>
      </c>
      <c r="B1383" s="22" t="s">
        <v>1586</v>
      </c>
      <c r="C1383" s="22" t="s">
        <v>273</v>
      </c>
      <c r="D1383" s="23">
        <v>45991.0</v>
      </c>
      <c r="E1383" s="22" t="s">
        <v>138</v>
      </c>
      <c r="F1383" s="22" t="s">
        <v>83</v>
      </c>
      <c r="G1383" s="22" t="s">
        <v>2801</v>
      </c>
      <c r="H1383" s="22" t="s">
        <v>141</v>
      </c>
      <c r="I1383" s="22">
        <v>1.0468553425219E13</v>
      </c>
      <c r="J1383" s="22" t="s">
        <v>1588</v>
      </c>
      <c r="K1383" s="24"/>
      <c r="L1383" s="22" t="s">
        <v>143</v>
      </c>
      <c r="M1383" s="22">
        <v>1.0</v>
      </c>
      <c r="N1383" s="22" t="s">
        <v>87</v>
      </c>
      <c r="O1383" s="22" t="s">
        <v>88</v>
      </c>
      <c r="P1383" s="24"/>
      <c r="Q1383" s="22" t="s">
        <v>90</v>
      </c>
      <c r="R1383" s="22">
        <v>3.2772799758659E13</v>
      </c>
      <c r="S1383" s="24"/>
      <c r="T1383" s="24"/>
      <c r="U1383" s="24"/>
      <c r="V1383" s="30" t="s">
        <v>54</v>
      </c>
      <c r="W1383" s="33"/>
      <c r="X1383" s="33"/>
      <c r="Y1383" s="30"/>
      <c r="Z1383" s="30"/>
      <c r="AA1383" s="33"/>
      <c r="AB1383" s="33"/>
      <c r="AC1383" s="30"/>
      <c r="AD1383" s="30"/>
      <c r="AE1383" s="33"/>
      <c r="AF1383" s="31"/>
      <c r="AG1383" s="30"/>
      <c r="AH1383" s="30"/>
      <c r="AI1383" s="31"/>
      <c r="AJ1383" s="31"/>
      <c r="AK1383" s="32"/>
    </row>
    <row r="1384">
      <c r="A1384" s="21" t="s">
        <v>80</v>
      </c>
      <c r="B1384" s="22" t="s">
        <v>1479</v>
      </c>
      <c r="C1384" s="22" t="s">
        <v>82</v>
      </c>
      <c r="D1384" s="26">
        <v>45997.0</v>
      </c>
      <c r="E1384" s="22" t="s">
        <v>138</v>
      </c>
      <c r="F1384" s="22" t="s">
        <v>83</v>
      </c>
      <c r="G1384" s="22" t="s">
        <v>2802</v>
      </c>
      <c r="H1384" s="22" t="s">
        <v>80</v>
      </c>
      <c r="I1384" s="22">
        <v>1.0468638097731E13</v>
      </c>
      <c r="J1384" s="22" t="s">
        <v>1481</v>
      </c>
      <c r="K1384" s="24"/>
      <c r="L1384" s="22" t="s">
        <v>86</v>
      </c>
      <c r="M1384" s="22">
        <v>1.0</v>
      </c>
      <c r="N1384" s="22" t="s">
        <v>87</v>
      </c>
      <c r="O1384" s="22" t="s">
        <v>88</v>
      </c>
      <c r="P1384" s="24"/>
      <c r="Q1384" s="22" t="s">
        <v>90</v>
      </c>
      <c r="R1384" s="22">
        <v>3.2772976574787E13</v>
      </c>
      <c r="S1384" s="24"/>
      <c r="T1384" s="24"/>
      <c r="U1384" s="24"/>
      <c r="V1384" s="30" t="s">
        <v>91</v>
      </c>
      <c r="W1384" s="33"/>
      <c r="X1384" s="33"/>
      <c r="Y1384" s="30"/>
      <c r="Z1384" s="30"/>
      <c r="AA1384" s="33"/>
      <c r="AB1384" s="33"/>
      <c r="AC1384" s="30"/>
      <c r="AD1384" s="30"/>
      <c r="AE1384" s="33"/>
      <c r="AF1384" s="31"/>
      <c r="AG1384" s="30"/>
      <c r="AH1384" s="30"/>
      <c r="AI1384" s="31"/>
      <c r="AJ1384" s="31"/>
      <c r="AK1384" s="32"/>
    </row>
    <row r="1385">
      <c r="A1385" s="21" t="s">
        <v>783</v>
      </c>
      <c r="B1385" s="22" t="s">
        <v>464</v>
      </c>
      <c r="C1385" s="22" t="s">
        <v>273</v>
      </c>
      <c r="D1385" s="26">
        <v>45998.0</v>
      </c>
      <c r="E1385" s="22" t="s">
        <v>149</v>
      </c>
      <c r="F1385" s="22" t="s">
        <v>303</v>
      </c>
      <c r="G1385" s="22" t="s">
        <v>2803</v>
      </c>
      <c r="H1385" s="22" t="s">
        <v>783</v>
      </c>
      <c r="I1385" s="22">
        <v>1.0468754030915E13</v>
      </c>
      <c r="J1385" s="22" t="s">
        <v>466</v>
      </c>
      <c r="K1385" s="24"/>
      <c r="L1385" s="22" t="s">
        <v>785</v>
      </c>
      <c r="M1385" s="22">
        <v>1.0</v>
      </c>
      <c r="N1385" s="22" t="s">
        <v>307</v>
      </c>
      <c r="O1385" s="22" t="s">
        <v>308</v>
      </c>
      <c r="P1385" s="24"/>
      <c r="Q1385" s="22" t="s">
        <v>90</v>
      </c>
      <c r="R1385" s="22">
        <v>3.2773230494019E13</v>
      </c>
      <c r="S1385" s="24"/>
      <c r="T1385" s="24"/>
      <c r="U1385" s="24"/>
      <c r="V1385" s="30" t="s">
        <v>95</v>
      </c>
      <c r="W1385" s="33"/>
      <c r="X1385" s="33"/>
      <c r="Y1385" s="30"/>
      <c r="Z1385" s="30"/>
      <c r="AA1385" s="33"/>
      <c r="AB1385" s="33"/>
      <c r="AC1385" s="30"/>
      <c r="AD1385" s="30"/>
      <c r="AE1385" s="33"/>
      <c r="AF1385" s="31"/>
      <c r="AG1385" s="30"/>
      <c r="AH1385" s="30"/>
      <c r="AI1385" s="31"/>
      <c r="AJ1385" s="31"/>
      <c r="AK1385" s="32"/>
    </row>
    <row r="1386">
      <c r="A1386" s="21" t="s">
        <v>1242</v>
      </c>
      <c r="B1386" s="22" t="s">
        <v>815</v>
      </c>
      <c r="C1386" s="22" t="s">
        <v>82</v>
      </c>
      <c r="D1386" s="26">
        <v>45997.0</v>
      </c>
      <c r="E1386" s="22" t="s">
        <v>187</v>
      </c>
      <c r="F1386" s="22" t="s">
        <v>698</v>
      </c>
      <c r="G1386" s="22" t="s">
        <v>2804</v>
      </c>
      <c r="H1386" s="22" t="s">
        <v>1242</v>
      </c>
      <c r="I1386" s="22">
        <v>1.0468758815043E13</v>
      </c>
      <c r="J1386" s="22" t="s">
        <v>817</v>
      </c>
      <c r="K1386" s="24"/>
      <c r="L1386" s="22" t="s">
        <v>1244</v>
      </c>
      <c r="M1386" s="22">
        <v>1.0</v>
      </c>
      <c r="N1386" s="22" t="s">
        <v>702</v>
      </c>
      <c r="O1386" s="22" t="s">
        <v>703</v>
      </c>
      <c r="P1386" s="24"/>
      <c r="Q1386" s="22" t="s">
        <v>90</v>
      </c>
      <c r="R1386" s="22">
        <v>3.2773240422723E13</v>
      </c>
      <c r="S1386" s="24"/>
      <c r="T1386" s="24"/>
      <c r="U1386" s="24"/>
      <c r="V1386" s="30" t="s">
        <v>95</v>
      </c>
      <c r="W1386" s="33"/>
      <c r="X1386" s="33"/>
      <c r="Y1386" s="30"/>
      <c r="Z1386" s="30"/>
      <c r="AA1386" s="33"/>
      <c r="AB1386" s="33"/>
      <c r="AC1386" s="30"/>
      <c r="AD1386" s="30"/>
      <c r="AE1386" s="33"/>
      <c r="AF1386" s="31"/>
      <c r="AG1386" s="30"/>
      <c r="AH1386" s="30"/>
      <c r="AI1386" s="31"/>
      <c r="AJ1386" s="31"/>
      <c r="AK1386" s="32"/>
    </row>
    <row r="1387">
      <c r="A1387" s="21" t="s">
        <v>595</v>
      </c>
      <c r="B1387" s="22" t="s">
        <v>587</v>
      </c>
      <c r="C1387" s="22" t="s">
        <v>273</v>
      </c>
      <c r="D1387" s="26">
        <v>45998.0</v>
      </c>
      <c r="E1387" s="22" t="s">
        <v>153</v>
      </c>
      <c r="F1387" s="22" t="s">
        <v>369</v>
      </c>
      <c r="G1387" s="22" t="s">
        <v>2805</v>
      </c>
      <c r="H1387" s="22" t="s">
        <v>595</v>
      </c>
      <c r="I1387" s="22">
        <v>1.0468765630787E13</v>
      </c>
      <c r="J1387" s="22" t="s">
        <v>589</v>
      </c>
      <c r="K1387" s="24"/>
      <c r="L1387" s="22" t="s">
        <v>599</v>
      </c>
      <c r="M1387" s="22">
        <v>1.0</v>
      </c>
      <c r="N1387" s="22" t="s">
        <v>600</v>
      </c>
      <c r="O1387" s="22" t="s">
        <v>601</v>
      </c>
      <c r="P1387" s="24"/>
      <c r="Q1387" s="22" t="s">
        <v>90</v>
      </c>
      <c r="R1387" s="22">
        <v>3.2773255102787E13</v>
      </c>
      <c r="S1387" s="24"/>
      <c r="T1387" s="24"/>
      <c r="U1387" s="24"/>
      <c r="V1387" s="30" t="s">
        <v>127</v>
      </c>
      <c r="W1387" s="33"/>
      <c r="X1387" s="33"/>
      <c r="Y1387" s="30"/>
      <c r="Z1387" s="30"/>
      <c r="AA1387" s="33"/>
      <c r="AB1387" s="33"/>
      <c r="AC1387" s="30"/>
      <c r="AD1387" s="30"/>
      <c r="AE1387" s="33"/>
      <c r="AF1387" s="31"/>
      <c r="AG1387" s="30"/>
      <c r="AH1387" s="30"/>
      <c r="AI1387" s="31"/>
      <c r="AJ1387" s="31"/>
      <c r="AK1387" s="32"/>
    </row>
    <row r="1388">
      <c r="A1388" s="21" t="s">
        <v>415</v>
      </c>
      <c r="B1388" s="22" t="s">
        <v>810</v>
      </c>
      <c r="C1388" s="22" t="s">
        <v>82</v>
      </c>
      <c r="D1388" s="23">
        <v>46004.0</v>
      </c>
      <c r="E1388" s="22" t="s">
        <v>134</v>
      </c>
      <c r="F1388" s="22" t="s">
        <v>377</v>
      </c>
      <c r="G1388" s="22" t="s">
        <v>2806</v>
      </c>
      <c r="H1388" s="22" t="s">
        <v>415</v>
      </c>
      <c r="I1388" s="22">
        <v>1.0468772774211E13</v>
      </c>
      <c r="J1388" s="22" t="s">
        <v>812</v>
      </c>
      <c r="K1388" s="24"/>
      <c r="L1388" s="22" t="s">
        <v>419</v>
      </c>
      <c r="M1388" s="22">
        <v>1.0</v>
      </c>
      <c r="N1388" s="22" t="s">
        <v>381</v>
      </c>
      <c r="O1388" s="22" t="s">
        <v>382</v>
      </c>
      <c r="P1388" s="24"/>
      <c r="Q1388" s="22" t="s">
        <v>90</v>
      </c>
      <c r="R1388" s="22">
        <v>3.2773271814467E13</v>
      </c>
      <c r="S1388" s="24"/>
      <c r="T1388" s="24"/>
      <c r="U1388" s="24"/>
      <c r="V1388" s="30" t="s">
        <v>91</v>
      </c>
      <c r="W1388" s="33"/>
      <c r="X1388" s="33"/>
      <c r="Y1388" s="30"/>
      <c r="Z1388" s="30"/>
      <c r="AA1388" s="33"/>
      <c r="AB1388" s="33"/>
      <c r="AC1388" s="30"/>
      <c r="AD1388" s="30"/>
      <c r="AE1388" s="33"/>
      <c r="AF1388" s="31"/>
      <c r="AG1388" s="30"/>
      <c r="AH1388" s="30"/>
      <c r="AI1388" s="31"/>
      <c r="AJ1388" s="31"/>
      <c r="AK1388" s="32"/>
    </row>
    <row r="1389">
      <c r="A1389" s="21" t="s">
        <v>96</v>
      </c>
      <c r="B1389" s="22" t="s">
        <v>2807</v>
      </c>
      <c r="C1389" s="22" t="s">
        <v>294</v>
      </c>
      <c r="D1389" s="26">
        <v>45992.0</v>
      </c>
      <c r="E1389" s="22" t="s">
        <v>1572</v>
      </c>
      <c r="F1389" s="22" t="s">
        <v>83</v>
      </c>
      <c r="G1389" s="22" t="s">
        <v>2808</v>
      </c>
      <c r="H1389" s="22" t="s">
        <v>96</v>
      </c>
      <c r="I1389" s="22">
        <v>1.0468789977411E13</v>
      </c>
      <c r="J1389" s="22" t="s">
        <v>2809</v>
      </c>
      <c r="K1389" s="24"/>
      <c r="L1389" s="22" t="s">
        <v>98</v>
      </c>
      <c r="M1389" s="22">
        <v>1.0</v>
      </c>
      <c r="N1389" s="22" t="s">
        <v>87</v>
      </c>
      <c r="O1389" s="22" t="s">
        <v>88</v>
      </c>
      <c r="P1389" s="24"/>
      <c r="Q1389" s="22" t="s">
        <v>90</v>
      </c>
      <c r="R1389" s="22">
        <v>3.2773311299907E13</v>
      </c>
      <c r="S1389" s="24"/>
      <c r="T1389" s="24"/>
      <c r="U1389" s="24"/>
      <c r="V1389" s="30" t="s">
        <v>55</v>
      </c>
      <c r="W1389" s="33"/>
      <c r="X1389" s="33"/>
      <c r="Y1389" s="30"/>
      <c r="Z1389" s="30"/>
      <c r="AA1389" s="33"/>
      <c r="AB1389" s="33"/>
      <c r="AC1389" s="30"/>
      <c r="AD1389" s="30"/>
      <c r="AE1389" s="33"/>
      <c r="AF1389" s="31"/>
      <c r="AG1389" s="30"/>
      <c r="AH1389" s="30"/>
      <c r="AI1389" s="31"/>
      <c r="AJ1389" s="31"/>
      <c r="AK1389" s="32"/>
    </row>
    <row r="1390">
      <c r="A1390" s="21" t="s">
        <v>515</v>
      </c>
      <c r="B1390" s="22" t="s">
        <v>471</v>
      </c>
      <c r="C1390" s="22" t="s">
        <v>82</v>
      </c>
      <c r="D1390" s="26">
        <v>45997.0</v>
      </c>
      <c r="E1390" s="22" t="s">
        <v>134</v>
      </c>
      <c r="F1390" s="22" t="s">
        <v>472</v>
      </c>
      <c r="G1390" s="22" t="s">
        <v>2810</v>
      </c>
      <c r="H1390" s="22" t="s">
        <v>515</v>
      </c>
      <c r="I1390" s="22">
        <v>1.0468810359107E13</v>
      </c>
      <c r="J1390" s="22" t="s">
        <v>474</v>
      </c>
      <c r="K1390" s="24"/>
      <c r="L1390" s="22" t="s">
        <v>519</v>
      </c>
      <c r="M1390" s="22">
        <v>1.0</v>
      </c>
      <c r="N1390" s="22" t="s">
        <v>476</v>
      </c>
      <c r="O1390" s="22" t="s">
        <v>477</v>
      </c>
      <c r="P1390" s="24"/>
      <c r="Q1390" s="22" t="s">
        <v>90</v>
      </c>
      <c r="R1390" s="22">
        <v>3.2773354881347E13</v>
      </c>
      <c r="S1390" s="24"/>
      <c r="T1390" s="24"/>
      <c r="U1390" s="24"/>
      <c r="V1390" s="30" t="s">
        <v>55</v>
      </c>
      <c r="W1390" s="33"/>
      <c r="X1390" s="33"/>
      <c r="Y1390" s="30"/>
      <c r="Z1390" s="30"/>
      <c r="AA1390" s="33"/>
      <c r="AB1390" s="33"/>
      <c r="AC1390" s="30"/>
      <c r="AD1390" s="30"/>
      <c r="AE1390" s="33"/>
      <c r="AF1390" s="31"/>
      <c r="AG1390" s="30"/>
      <c r="AH1390" s="30"/>
      <c r="AI1390" s="31"/>
      <c r="AJ1390" s="31"/>
      <c r="AK1390" s="32"/>
    </row>
    <row r="1391">
      <c r="A1391" s="21" t="s">
        <v>822</v>
      </c>
      <c r="B1391" s="22" t="s">
        <v>1367</v>
      </c>
      <c r="C1391" s="22" t="s">
        <v>82</v>
      </c>
      <c r="D1391" s="26">
        <v>45997.0</v>
      </c>
      <c r="E1391" s="22" t="s">
        <v>841</v>
      </c>
      <c r="F1391" s="22" t="s">
        <v>634</v>
      </c>
      <c r="G1391" s="22" t="s">
        <v>2811</v>
      </c>
      <c r="H1391" s="22" t="s">
        <v>822</v>
      </c>
      <c r="I1391" s="22">
        <v>1.0468818878787E13</v>
      </c>
      <c r="J1391" s="22" t="s">
        <v>1369</v>
      </c>
      <c r="K1391" s="24"/>
      <c r="L1391" s="22" t="s">
        <v>826</v>
      </c>
      <c r="M1391" s="22">
        <v>1.0</v>
      </c>
      <c r="N1391" s="22" t="s">
        <v>638</v>
      </c>
      <c r="O1391" s="22" t="s">
        <v>639</v>
      </c>
      <c r="P1391" s="24"/>
      <c r="Q1391" s="22" t="s">
        <v>90</v>
      </c>
      <c r="R1391" s="22">
        <v>3.2773375426883E13</v>
      </c>
      <c r="S1391" s="24"/>
      <c r="T1391" s="24"/>
      <c r="U1391" s="24"/>
      <c r="V1391" s="30" t="s">
        <v>55</v>
      </c>
      <c r="W1391" s="33"/>
      <c r="X1391" s="33"/>
      <c r="Y1391" s="30"/>
      <c r="Z1391" s="30"/>
      <c r="AA1391" s="33"/>
      <c r="AB1391" s="33"/>
      <c r="AC1391" s="30"/>
      <c r="AD1391" s="30"/>
      <c r="AE1391" s="33"/>
      <c r="AF1391" s="31"/>
      <c r="AG1391" s="30"/>
      <c r="AH1391" s="30"/>
      <c r="AI1391" s="31"/>
      <c r="AJ1391" s="31"/>
      <c r="AK1391" s="32"/>
    </row>
    <row r="1392">
      <c r="A1392" s="21" t="s">
        <v>696</v>
      </c>
      <c r="B1392" s="22" t="s">
        <v>1019</v>
      </c>
      <c r="C1392" s="22" t="s">
        <v>82</v>
      </c>
      <c r="D1392" s="26">
        <v>45997.0</v>
      </c>
      <c r="E1392" s="22" t="s">
        <v>975</v>
      </c>
      <c r="F1392" s="22" t="s">
        <v>698</v>
      </c>
      <c r="G1392" s="22" t="s">
        <v>2812</v>
      </c>
      <c r="H1392" s="22" t="s">
        <v>696</v>
      </c>
      <c r="I1392" s="22">
        <v>1.0468844208451E13</v>
      </c>
      <c r="J1392" s="22" t="s">
        <v>1021</v>
      </c>
      <c r="K1392" s="24"/>
      <c r="L1392" s="22" t="s">
        <v>701</v>
      </c>
      <c r="M1392" s="22">
        <v>1.0</v>
      </c>
      <c r="N1392" s="22" t="s">
        <v>702</v>
      </c>
      <c r="O1392" s="22" t="s">
        <v>703</v>
      </c>
      <c r="P1392" s="24"/>
      <c r="Q1392" s="22" t="s">
        <v>90</v>
      </c>
      <c r="R1392" s="22">
        <v>3.2773431886147E13</v>
      </c>
      <c r="S1392" s="24"/>
      <c r="T1392" s="24"/>
      <c r="U1392" s="24"/>
      <c r="V1392" s="30" t="s">
        <v>55</v>
      </c>
      <c r="W1392" s="33"/>
      <c r="X1392" s="33"/>
      <c r="Y1392" s="30"/>
      <c r="Z1392" s="30"/>
      <c r="AA1392" s="33"/>
      <c r="AB1392" s="33"/>
      <c r="AC1392" s="30"/>
      <c r="AD1392" s="30"/>
      <c r="AE1392" s="33"/>
      <c r="AF1392" s="31"/>
      <c r="AG1392" s="30"/>
      <c r="AH1392" s="30"/>
      <c r="AI1392" s="31"/>
      <c r="AJ1392" s="31"/>
      <c r="AK1392" s="32"/>
    </row>
    <row r="1393">
      <c r="A1393" s="21" t="s">
        <v>495</v>
      </c>
      <c r="B1393" s="22" t="s">
        <v>1138</v>
      </c>
      <c r="C1393" s="22" t="s">
        <v>273</v>
      </c>
      <c r="D1393" s="23">
        <v>45991.0</v>
      </c>
      <c r="E1393" s="22" t="s">
        <v>145</v>
      </c>
      <c r="F1393" s="22" t="s">
        <v>329</v>
      </c>
      <c r="G1393" s="22" t="s">
        <v>2813</v>
      </c>
      <c r="H1393" s="22" t="s">
        <v>495</v>
      </c>
      <c r="I1393" s="22">
        <v>1.0468855447875E13</v>
      </c>
      <c r="J1393" s="22" t="s">
        <v>1140</v>
      </c>
      <c r="K1393" s="24"/>
      <c r="L1393" s="22" t="s">
        <v>500</v>
      </c>
      <c r="M1393" s="22">
        <v>1.0</v>
      </c>
      <c r="N1393" s="22" t="s">
        <v>333</v>
      </c>
      <c r="O1393" s="22" t="s">
        <v>334</v>
      </c>
      <c r="P1393" s="24"/>
      <c r="Q1393" s="22" t="s">
        <v>90</v>
      </c>
      <c r="R1393" s="22">
        <v>3.2773457117507E13</v>
      </c>
      <c r="S1393" s="24"/>
      <c r="T1393" s="24"/>
      <c r="U1393" s="24"/>
      <c r="V1393" s="30" t="s">
        <v>54</v>
      </c>
      <c r="W1393" s="33"/>
      <c r="X1393" s="33"/>
      <c r="Y1393" s="30"/>
      <c r="Z1393" s="30"/>
      <c r="AA1393" s="33"/>
      <c r="AB1393" s="33"/>
      <c r="AC1393" s="30"/>
      <c r="AD1393" s="30"/>
      <c r="AE1393" s="33"/>
      <c r="AF1393" s="31"/>
      <c r="AG1393" s="30"/>
      <c r="AH1393" s="30"/>
      <c r="AI1393" s="31"/>
      <c r="AJ1393" s="31"/>
      <c r="AK1393" s="32"/>
    </row>
    <row r="1394">
      <c r="A1394" s="21" t="s">
        <v>96</v>
      </c>
      <c r="B1394" s="22" t="s">
        <v>1373</v>
      </c>
      <c r="C1394" s="22" t="s">
        <v>273</v>
      </c>
      <c r="D1394" s="23">
        <v>45991.0</v>
      </c>
      <c r="E1394" s="22" t="s">
        <v>149</v>
      </c>
      <c r="F1394" s="22" t="s">
        <v>83</v>
      </c>
      <c r="G1394" s="22" t="s">
        <v>2814</v>
      </c>
      <c r="H1394" s="22" t="s">
        <v>96</v>
      </c>
      <c r="I1394" s="22">
        <v>1.0468862918979E13</v>
      </c>
      <c r="J1394" s="22" t="s">
        <v>1375</v>
      </c>
      <c r="K1394" s="24"/>
      <c r="L1394" s="22" t="s">
        <v>98</v>
      </c>
      <c r="M1394" s="22">
        <v>1.0</v>
      </c>
      <c r="N1394" s="22" t="s">
        <v>87</v>
      </c>
      <c r="O1394" s="22" t="s">
        <v>88</v>
      </c>
      <c r="P1394" s="24"/>
      <c r="Q1394" s="22" t="s">
        <v>90</v>
      </c>
      <c r="R1394" s="22">
        <v>3.2773472977219E13</v>
      </c>
      <c r="S1394" s="24"/>
      <c r="T1394" s="24"/>
      <c r="U1394" s="24"/>
      <c r="V1394" s="30" t="s">
        <v>55</v>
      </c>
      <c r="W1394" s="33"/>
      <c r="X1394" s="33"/>
      <c r="Y1394" s="30"/>
      <c r="Z1394" s="30"/>
      <c r="AA1394" s="33"/>
      <c r="AB1394" s="33"/>
      <c r="AC1394" s="30"/>
      <c r="AD1394" s="30"/>
      <c r="AE1394" s="33"/>
      <c r="AF1394" s="31"/>
      <c r="AG1394" s="30"/>
      <c r="AH1394" s="30"/>
      <c r="AI1394" s="31"/>
      <c r="AJ1394" s="31"/>
      <c r="AK1394" s="32"/>
    </row>
    <row r="1395">
      <c r="A1395" s="21" t="s">
        <v>643</v>
      </c>
      <c r="B1395" s="22" t="s">
        <v>2815</v>
      </c>
      <c r="C1395" s="22" t="s">
        <v>273</v>
      </c>
      <c r="D1395" s="23">
        <v>46005.0</v>
      </c>
      <c r="E1395" s="22" t="s">
        <v>219</v>
      </c>
      <c r="F1395" s="22" t="s">
        <v>634</v>
      </c>
      <c r="G1395" s="22" t="s">
        <v>2816</v>
      </c>
      <c r="H1395" s="22" t="s">
        <v>643</v>
      </c>
      <c r="I1395" s="22">
        <v>1.0468878090563E13</v>
      </c>
      <c r="J1395" s="22" t="s">
        <v>2817</v>
      </c>
      <c r="K1395" s="24"/>
      <c r="L1395" s="22" t="s">
        <v>647</v>
      </c>
      <c r="M1395" s="22">
        <v>1.0</v>
      </c>
      <c r="N1395" s="22" t="s">
        <v>638</v>
      </c>
      <c r="O1395" s="22" t="s">
        <v>639</v>
      </c>
      <c r="P1395" s="24"/>
      <c r="Q1395" s="22" t="s">
        <v>90</v>
      </c>
      <c r="R1395" s="22">
        <v>3.2773506105667E13</v>
      </c>
      <c r="S1395" s="24"/>
      <c r="T1395" s="24"/>
      <c r="U1395" s="24"/>
      <c r="V1395" s="30" t="s">
        <v>54</v>
      </c>
      <c r="W1395" s="33"/>
      <c r="X1395" s="33"/>
      <c r="Y1395" s="30"/>
      <c r="Z1395" s="30"/>
      <c r="AA1395" s="33"/>
      <c r="AB1395" s="33"/>
      <c r="AC1395" s="30"/>
      <c r="AD1395" s="30"/>
      <c r="AE1395" s="33"/>
      <c r="AF1395" s="31"/>
      <c r="AG1395" s="30"/>
      <c r="AH1395" s="30"/>
      <c r="AI1395" s="31"/>
      <c r="AJ1395" s="31"/>
      <c r="AK1395" s="32"/>
    </row>
    <row r="1396">
      <c r="A1396" s="21" t="s">
        <v>1200</v>
      </c>
      <c r="B1396" s="22" t="s">
        <v>2818</v>
      </c>
      <c r="C1396" s="22" t="s">
        <v>82</v>
      </c>
      <c r="D1396" s="26">
        <v>45997.0</v>
      </c>
      <c r="E1396" s="22" t="s">
        <v>934</v>
      </c>
      <c r="F1396" s="22" t="s">
        <v>278</v>
      </c>
      <c r="G1396" s="22" t="s">
        <v>2819</v>
      </c>
      <c r="H1396" s="22" t="s">
        <v>1200</v>
      </c>
      <c r="I1396" s="22">
        <v>1.0468434084163E13</v>
      </c>
      <c r="J1396" s="22" t="s">
        <v>2820</v>
      </c>
      <c r="K1396" s="24"/>
      <c r="L1396" s="22" t="s">
        <v>1203</v>
      </c>
      <c r="M1396" s="22">
        <v>1.0</v>
      </c>
      <c r="N1396" s="22" t="s">
        <v>282</v>
      </c>
      <c r="O1396" s="22" t="s">
        <v>283</v>
      </c>
      <c r="P1396" s="24"/>
      <c r="Q1396" s="22" t="s">
        <v>90</v>
      </c>
      <c r="R1396" s="22">
        <v>3.2772530667843E13</v>
      </c>
      <c r="S1396" s="24"/>
      <c r="T1396" s="24"/>
      <c r="U1396" s="24"/>
      <c r="V1396" s="30" t="s">
        <v>91</v>
      </c>
      <c r="W1396" s="33"/>
      <c r="X1396" s="33"/>
      <c r="Y1396" s="30"/>
      <c r="Z1396" s="30"/>
      <c r="AA1396" s="33"/>
      <c r="AB1396" s="33"/>
      <c r="AC1396" s="30"/>
      <c r="AD1396" s="30"/>
      <c r="AE1396" s="33"/>
      <c r="AF1396" s="31"/>
      <c r="AG1396" s="30"/>
      <c r="AH1396" s="30"/>
      <c r="AI1396" s="31"/>
      <c r="AJ1396" s="31"/>
      <c r="AK1396" s="32"/>
    </row>
    <row r="1397">
      <c r="A1397" s="21" t="s">
        <v>2309</v>
      </c>
      <c r="B1397" s="22" t="s">
        <v>2798</v>
      </c>
      <c r="C1397" s="22" t="s">
        <v>273</v>
      </c>
      <c r="D1397" s="26">
        <v>45998.0</v>
      </c>
      <c r="E1397" s="22" t="s">
        <v>1117</v>
      </c>
      <c r="F1397" s="22" t="s">
        <v>869</v>
      </c>
      <c r="G1397" s="22" t="s">
        <v>2821</v>
      </c>
      <c r="H1397" s="22" t="s">
        <v>2309</v>
      </c>
      <c r="I1397" s="22">
        <v>1.0468491592003E13</v>
      </c>
      <c r="J1397" s="22" t="s">
        <v>2800</v>
      </c>
      <c r="K1397" s="24"/>
      <c r="L1397" s="22" t="s">
        <v>2311</v>
      </c>
      <c r="M1397" s="22">
        <v>1.0</v>
      </c>
      <c r="N1397" s="22" t="s">
        <v>873</v>
      </c>
      <c r="O1397" s="22" t="s">
        <v>874</v>
      </c>
      <c r="P1397" s="24"/>
      <c r="Q1397" s="22" t="s">
        <v>90</v>
      </c>
      <c r="R1397" s="22">
        <v>3.2772663869763E13</v>
      </c>
      <c r="S1397" s="24"/>
      <c r="T1397" s="24"/>
      <c r="U1397" s="24"/>
      <c r="V1397" s="30" t="s">
        <v>95</v>
      </c>
      <c r="W1397" s="33"/>
      <c r="X1397" s="33"/>
      <c r="Y1397" s="30"/>
      <c r="Z1397" s="30"/>
      <c r="AA1397" s="33"/>
      <c r="AB1397" s="33"/>
      <c r="AC1397" s="30"/>
      <c r="AD1397" s="30"/>
      <c r="AE1397" s="33"/>
      <c r="AF1397" s="31"/>
      <c r="AG1397" s="30"/>
      <c r="AH1397" s="30"/>
      <c r="AI1397" s="31"/>
      <c r="AJ1397" s="31"/>
      <c r="AK1397" s="32"/>
    </row>
    <row r="1398">
      <c r="A1398" s="21" t="s">
        <v>979</v>
      </c>
      <c r="B1398" s="22" t="s">
        <v>1498</v>
      </c>
      <c r="C1398" s="22" t="s">
        <v>82</v>
      </c>
      <c r="D1398" s="26">
        <v>45997.0</v>
      </c>
      <c r="E1398" s="22" t="s">
        <v>522</v>
      </c>
      <c r="F1398" s="22" t="s">
        <v>605</v>
      </c>
      <c r="G1398" s="22" t="s">
        <v>2822</v>
      </c>
      <c r="H1398" s="22" t="s">
        <v>979</v>
      </c>
      <c r="I1398" s="22">
        <v>1.0468883366211E13</v>
      </c>
      <c r="J1398" s="22" t="s">
        <v>1500</v>
      </c>
      <c r="K1398" s="24"/>
      <c r="L1398" s="22" t="s">
        <v>984</v>
      </c>
      <c r="M1398" s="22">
        <v>1.0</v>
      </c>
      <c r="N1398" s="22" t="s">
        <v>609</v>
      </c>
      <c r="O1398" s="22" t="s">
        <v>610</v>
      </c>
      <c r="P1398" s="24"/>
      <c r="Q1398" s="22" t="s">
        <v>90</v>
      </c>
      <c r="R1398" s="22">
        <v>3.2773515837763E13</v>
      </c>
      <c r="S1398" s="24"/>
      <c r="T1398" s="24"/>
      <c r="U1398" s="24"/>
      <c r="V1398" s="30" t="s">
        <v>55</v>
      </c>
      <c r="W1398" s="33"/>
      <c r="X1398" s="33"/>
      <c r="Y1398" s="30"/>
      <c r="Z1398" s="30"/>
      <c r="AA1398" s="33"/>
      <c r="AB1398" s="33"/>
      <c r="AC1398" s="30"/>
      <c r="AD1398" s="30"/>
      <c r="AE1398" s="33"/>
      <c r="AF1398" s="31"/>
      <c r="AG1398" s="30"/>
      <c r="AH1398" s="30"/>
      <c r="AI1398" s="31"/>
      <c r="AJ1398" s="31"/>
      <c r="AK1398" s="32"/>
    </row>
    <row r="1399">
      <c r="A1399" s="21" t="s">
        <v>924</v>
      </c>
      <c r="B1399" s="22" t="s">
        <v>2823</v>
      </c>
      <c r="C1399" s="22" t="s">
        <v>82</v>
      </c>
      <c r="D1399" s="26">
        <v>45997.0</v>
      </c>
      <c r="E1399" s="22" t="s">
        <v>1073</v>
      </c>
      <c r="F1399" s="22" t="s">
        <v>623</v>
      </c>
      <c r="G1399" s="22" t="s">
        <v>2824</v>
      </c>
      <c r="H1399" s="22" t="s">
        <v>924</v>
      </c>
      <c r="I1399" s="22">
        <v>1.0469053923651E13</v>
      </c>
      <c r="J1399" s="22" t="s">
        <v>2825</v>
      </c>
      <c r="K1399" s="24"/>
      <c r="L1399" s="22" t="s">
        <v>926</v>
      </c>
      <c r="M1399" s="22">
        <v>1.0</v>
      </c>
      <c r="N1399" s="22" t="s">
        <v>627</v>
      </c>
      <c r="O1399" s="22" t="s">
        <v>628</v>
      </c>
      <c r="P1399" s="24"/>
      <c r="Q1399" s="22" t="s">
        <v>90</v>
      </c>
      <c r="R1399" s="22">
        <v>3.2773898436931E13</v>
      </c>
      <c r="S1399" s="24"/>
      <c r="T1399" s="24"/>
      <c r="U1399" s="24"/>
      <c r="V1399" s="30" t="s">
        <v>55</v>
      </c>
      <c r="W1399" s="33"/>
      <c r="X1399" s="33"/>
      <c r="Y1399" s="30"/>
      <c r="Z1399" s="30"/>
      <c r="AA1399" s="33"/>
      <c r="AB1399" s="33"/>
      <c r="AC1399" s="30"/>
      <c r="AD1399" s="30"/>
      <c r="AE1399" s="33"/>
      <c r="AF1399" s="31"/>
      <c r="AG1399" s="30"/>
      <c r="AH1399" s="30"/>
      <c r="AI1399" s="31"/>
      <c r="AJ1399" s="31"/>
      <c r="AK1399" s="32"/>
    </row>
    <row r="1400">
      <c r="A1400" s="21" t="s">
        <v>979</v>
      </c>
      <c r="B1400" s="22" t="s">
        <v>2105</v>
      </c>
      <c r="C1400" s="22" t="s">
        <v>82</v>
      </c>
      <c r="D1400" s="26">
        <v>45997.0</v>
      </c>
      <c r="E1400" s="22" t="s">
        <v>192</v>
      </c>
      <c r="F1400" s="22" t="s">
        <v>605</v>
      </c>
      <c r="G1400" s="22" t="s">
        <v>2826</v>
      </c>
      <c r="H1400" s="22" t="s">
        <v>979</v>
      </c>
      <c r="I1400" s="22">
        <v>1.0469058773315E13</v>
      </c>
      <c r="J1400" s="22" t="s">
        <v>2107</v>
      </c>
      <c r="K1400" s="24"/>
      <c r="L1400" s="22" t="s">
        <v>984</v>
      </c>
      <c r="M1400" s="22">
        <v>1.0</v>
      </c>
      <c r="N1400" s="22" t="s">
        <v>609</v>
      </c>
      <c r="O1400" s="22" t="s">
        <v>610</v>
      </c>
      <c r="P1400" s="24"/>
      <c r="Q1400" s="22" t="s">
        <v>90</v>
      </c>
      <c r="R1400" s="22">
        <v>3.2773909283139E13</v>
      </c>
      <c r="S1400" s="24"/>
      <c r="T1400" s="24"/>
      <c r="U1400" s="24"/>
      <c r="V1400" s="30" t="s">
        <v>55</v>
      </c>
      <c r="W1400" s="33"/>
      <c r="X1400" s="33"/>
      <c r="Y1400" s="30"/>
      <c r="Z1400" s="30"/>
      <c r="AA1400" s="33"/>
      <c r="AB1400" s="33"/>
      <c r="AC1400" s="30"/>
      <c r="AD1400" s="30"/>
      <c r="AE1400" s="33"/>
      <c r="AF1400" s="31"/>
      <c r="AG1400" s="30"/>
      <c r="AH1400" s="30"/>
      <c r="AI1400" s="31"/>
      <c r="AJ1400" s="31"/>
      <c r="AK1400" s="32"/>
    </row>
    <row r="1401">
      <c r="A1401" s="21" t="s">
        <v>912</v>
      </c>
      <c r="B1401" s="22" t="s">
        <v>653</v>
      </c>
      <c r="C1401" s="22" t="s">
        <v>82</v>
      </c>
      <c r="D1401" s="26">
        <v>45997.0</v>
      </c>
      <c r="E1401" s="22" t="s">
        <v>138</v>
      </c>
      <c r="F1401" s="22" t="s">
        <v>377</v>
      </c>
      <c r="G1401" s="22" t="s">
        <v>2827</v>
      </c>
      <c r="H1401" s="22" t="s">
        <v>912</v>
      </c>
      <c r="I1401" s="22">
        <v>1.0469082857795E13</v>
      </c>
      <c r="J1401" s="22" t="s">
        <v>655</v>
      </c>
      <c r="K1401" s="24"/>
      <c r="L1401" s="22" t="s">
        <v>914</v>
      </c>
      <c r="M1401" s="22">
        <v>1.0</v>
      </c>
      <c r="N1401" s="22" t="s">
        <v>381</v>
      </c>
      <c r="O1401" s="22" t="s">
        <v>382</v>
      </c>
      <c r="P1401" s="24"/>
      <c r="Q1401" s="22" t="s">
        <v>90</v>
      </c>
      <c r="R1401" s="22">
        <v>3.2773967413571E13</v>
      </c>
      <c r="S1401" s="24"/>
      <c r="T1401" s="24"/>
      <c r="U1401" s="24"/>
      <c r="V1401" s="30" t="s">
        <v>54</v>
      </c>
      <c r="W1401" s="33"/>
      <c r="X1401" s="33"/>
      <c r="Y1401" s="30"/>
      <c r="Z1401" s="30"/>
      <c r="AA1401" s="33"/>
      <c r="AB1401" s="33"/>
      <c r="AC1401" s="30"/>
      <c r="AD1401" s="30"/>
      <c r="AE1401" s="33"/>
      <c r="AF1401" s="31"/>
      <c r="AG1401" s="30"/>
      <c r="AH1401" s="30"/>
      <c r="AI1401" s="31"/>
      <c r="AJ1401" s="31"/>
      <c r="AK1401" s="32"/>
    </row>
    <row r="1402">
      <c r="A1402" s="21" t="s">
        <v>696</v>
      </c>
      <c r="B1402" s="22" t="s">
        <v>815</v>
      </c>
      <c r="C1402" s="22" t="s">
        <v>82</v>
      </c>
      <c r="D1402" s="26">
        <v>45997.0</v>
      </c>
      <c r="E1402" s="22" t="s">
        <v>187</v>
      </c>
      <c r="F1402" s="22" t="s">
        <v>698</v>
      </c>
      <c r="G1402" s="22" t="s">
        <v>2828</v>
      </c>
      <c r="H1402" s="22" t="s">
        <v>696</v>
      </c>
      <c r="I1402" s="22">
        <v>1.0469112578371E13</v>
      </c>
      <c r="J1402" s="22" t="s">
        <v>817</v>
      </c>
      <c r="K1402" s="24"/>
      <c r="L1402" s="22" t="s">
        <v>701</v>
      </c>
      <c r="M1402" s="22">
        <v>1.0</v>
      </c>
      <c r="N1402" s="22" t="s">
        <v>702</v>
      </c>
      <c r="O1402" s="22" t="s">
        <v>703</v>
      </c>
      <c r="P1402" s="24"/>
      <c r="Q1402" s="22" t="s">
        <v>90</v>
      </c>
      <c r="R1402" s="22">
        <v>3.2774038094147E13</v>
      </c>
      <c r="S1402" s="24"/>
      <c r="T1402" s="24"/>
      <c r="U1402" s="24"/>
      <c r="V1402" s="30" t="s">
        <v>55</v>
      </c>
      <c r="W1402" s="33"/>
      <c r="X1402" s="33"/>
      <c r="Y1402" s="30"/>
      <c r="Z1402" s="30"/>
      <c r="AA1402" s="33"/>
      <c r="AB1402" s="33"/>
      <c r="AC1402" s="30"/>
      <c r="AD1402" s="30"/>
      <c r="AE1402" s="33"/>
      <c r="AF1402" s="31"/>
      <c r="AG1402" s="30"/>
      <c r="AH1402" s="30"/>
      <c r="AI1402" s="31"/>
      <c r="AJ1402" s="31"/>
      <c r="AK1402" s="32"/>
    </row>
    <row r="1403">
      <c r="A1403" s="21" t="s">
        <v>124</v>
      </c>
      <c r="B1403" s="22" t="s">
        <v>1388</v>
      </c>
      <c r="C1403" s="22" t="s">
        <v>202</v>
      </c>
      <c r="D1403" s="26">
        <v>45996.0</v>
      </c>
      <c r="E1403" s="22" t="s">
        <v>480</v>
      </c>
      <c r="F1403" s="22" t="s">
        <v>83</v>
      </c>
      <c r="G1403" s="22" t="s">
        <v>2829</v>
      </c>
      <c r="H1403" s="22" t="s">
        <v>124</v>
      </c>
      <c r="I1403" s="22">
        <v>1.0469125652803E13</v>
      </c>
      <c r="J1403" s="22" t="s">
        <v>1390</v>
      </c>
      <c r="K1403" s="24"/>
      <c r="L1403" s="22" t="s">
        <v>126</v>
      </c>
      <c r="M1403" s="22">
        <v>1.0</v>
      </c>
      <c r="N1403" s="22" t="s">
        <v>103</v>
      </c>
      <c r="O1403" s="22" t="s">
        <v>104</v>
      </c>
      <c r="P1403" s="24"/>
      <c r="Q1403" s="22" t="s">
        <v>90</v>
      </c>
      <c r="R1403" s="22">
        <v>3.2774068994371E13</v>
      </c>
      <c r="S1403" s="24"/>
      <c r="T1403" s="24"/>
      <c r="U1403" s="24"/>
      <c r="V1403" s="30" t="s">
        <v>127</v>
      </c>
      <c r="W1403" s="33"/>
      <c r="X1403" s="33"/>
      <c r="Y1403" s="30"/>
      <c r="Z1403" s="30"/>
      <c r="AA1403" s="33"/>
      <c r="AB1403" s="33"/>
      <c r="AC1403" s="30"/>
      <c r="AD1403" s="30"/>
      <c r="AE1403" s="33"/>
      <c r="AF1403" s="31"/>
      <c r="AG1403" s="30"/>
      <c r="AH1403" s="30"/>
      <c r="AI1403" s="31"/>
      <c r="AJ1403" s="31"/>
      <c r="AK1403" s="32"/>
    </row>
    <row r="1404">
      <c r="A1404" s="21" t="s">
        <v>2181</v>
      </c>
      <c r="B1404" s="22" t="s">
        <v>741</v>
      </c>
      <c r="C1404" s="22" t="s">
        <v>82</v>
      </c>
      <c r="D1404" s="26">
        <v>45997.0</v>
      </c>
      <c r="E1404" s="22" t="s">
        <v>134</v>
      </c>
      <c r="F1404" s="22" t="s">
        <v>303</v>
      </c>
      <c r="G1404" s="22" t="s">
        <v>2830</v>
      </c>
      <c r="H1404" s="22" t="s">
        <v>2181</v>
      </c>
      <c r="I1404" s="22">
        <v>1.0469142036803E13</v>
      </c>
      <c r="J1404" s="22" t="s">
        <v>743</v>
      </c>
      <c r="K1404" s="24"/>
      <c r="L1404" s="22" t="s">
        <v>2183</v>
      </c>
      <c r="M1404" s="22">
        <v>1.0</v>
      </c>
      <c r="N1404" s="22" t="s">
        <v>468</v>
      </c>
      <c r="O1404" s="22" t="s">
        <v>469</v>
      </c>
      <c r="P1404" s="24"/>
      <c r="Q1404" s="22" t="s">
        <v>90</v>
      </c>
      <c r="R1404" s="22">
        <v>3.2774108053827E13</v>
      </c>
      <c r="S1404" s="24"/>
      <c r="T1404" s="24"/>
      <c r="U1404" s="24"/>
      <c r="V1404" s="30" t="s">
        <v>127</v>
      </c>
      <c r="W1404" s="33"/>
      <c r="X1404" s="33"/>
      <c r="Y1404" s="30"/>
      <c r="Z1404" s="30"/>
      <c r="AA1404" s="33"/>
      <c r="AB1404" s="33"/>
      <c r="AC1404" s="30"/>
      <c r="AD1404" s="30"/>
      <c r="AE1404" s="33"/>
      <c r="AF1404" s="31"/>
      <c r="AG1404" s="30"/>
      <c r="AH1404" s="30"/>
      <c r="AI1404" s="31"/>
      <c r="AJ1404" s="31"/>
      <c r="AK1404" s="32"/>
    </row>
    <row r="1405">
      <c r="A1405" s="21" t="s">
        <v>158</v>
      </c>
      <c r="B1405" s="22" t="s">
        <v>393</v>
      </c>
      <c r="C1405" s="22" t="s">
        <v>82</v>
      </c>
      <c r="D1405" s="26">
        <v>45997.0</v>
      </c>
      <c r="E1405" s="22" t="s">
        <v>187</v>
      </c>
      <c r="F1405" s="22" t="s">
        <v>111</v>
      </c>
      <c r="G1405" s="22" t="s">
        <v>2831</v>
      </c>
      <c r="H1405" s="22" t="s">
        <v>158</v>
      </c>
      <c r="I1405" s="22">
        <v>1.0469157044547E13</v>
      </c>
      <c r="J1405" s="22" t="s">
        <v>395</v>
      </c>
      <c r="K1405" s="24"/>
      <c r="L1405" s="22" t="s">
        <v>163</v>
      </c>
      <c r="M1405" s="22">
        <v>1.0</v>
      </c>
      <c r="N1405" s="22" t="s">
        <v>164</v>
      </c>
      <c r="O1405" s="22" t="s">
        <v>165</v>
      </c>
      <c r="P1405" s="24"/>
      <c r="Q1405" s="22" t="s">
        <v>90</v>
      </c>
      <c r="R1405" s="22">
        <v>3.2774145179971E13</v>
      </c>
      <c r="S1405" s="24"/>
      <c r="T1405" s="24"/>
      <c r="U1405" s="24"/>
      <c r="V1405" s="30" t="s">
        <v>127</v>
      </c>
      <c r="W1405" s="33"/>
      <c r="X1405" s="33"/>
      <c r="Y1405" s="30"/>
      <c r="Z1405" s="30"/>
      <c r="AA1405" s="33"/>
      <c r="AB1405" s="33"/>
      <c r="AC1405" s="30"/>
      <c r="AD1405" s="30"/>
      <c r="AE1405" s="33"/>
      <c r="AF1405" s="31"/>
      <c r="AG1405" s="30"/>
      <c r="AH1405" s="30"/>
      <c r="AI1405" s="31"/>
      <c r="AJ1405" s="31"/>
      <c r="AK1405" s="32"/>
    </row>
    <row r="1406">
      <c r="A1406" s="21" t="s">
        <v>1151</v>
      </c>
      <c r="B1406" s="22" t="s">
        <v>434</v>
      </c>
      <c r="C1406" s="22" t="s">
        <v>273</v>
      </c>
      <c r="D1406" s="26">
        <v>45998.0</v>
      </c>
      <c r="E1406" s="22" t="s">
        <v>134</v>
      </c>
      <c r="F1406" s="22" t="s">
        <v>303</v>
      </c>
      <c r="G1406" s="22" t="s">
        <v>2832</v>
      </c>
      <c r="H1406" s="22" t="s">
        <v>1151</v>
      </c>
      <c r="I1406" s="22">
        <v>1.0469168447811E13</v>
      </c>
      <c r="J1406" s="22" t="s">
        <v>582</v>
      </c>
      <c r="K1406" s="24"/>
      <c r="L1406" s="22" t="s">
        <v>1155</v>
      </c>
      <c r="M1406" s="22">
        <v>1.0</v>
      </c>
      <c r="N1406" s="22" t="s">
        <v>307</v>
      </c>
      <c r="O1406" s="22" t="s">
        <v>308</v>
      </c>
      <c r="P1406" s="24"/>
      <c r="Q1406" s="22" t="s">
        <v>90</v>
      </c>
      <c r="R1406" s="22">
        <v>3.2774172672323E13</v>
      </c>
      <c r="S1406" s="24"/>
      <c r="T1406" s="24"/>
      <c r="U1406" s="24"/>
      <c r="V1406" s="30" t="s">
        <v>54</v>
      </c>
      <c r="W1406" s="33"/>
      <c r="X1406" s="33"/>
      <c r="Y1406" s="30"/>
      <c r="Z1406" s="30"/>
      <c r="AA1406" s="33"/>
      <c r="AB1406" s="33"/>
      <c r="AC1406" s="30"/>
      <c r="AD1406" s="30"/>
      <c r="AE1406" s="33"/>
      <c r="AF1406" s="31"/>
      <c r="AG1406" s="30"/>
      <c r="AH1406" s="30"/>
      <c r="AI1406" s="31"/>
      <c r="AJ1406" s="31"/>
      <c r="AK1406" s="32"/>
    </row>
    <row r="1407">
      <c r="A1407" s="21" t="s">
        <v>2037</v>
      </c>
      <c r="B1407" s="22" t="s">
        <v>2098</v>
      </c>
      <c r="C1407" s="22" t="s">
        <v>273</v>
      </c>
      <c r="D1407" s="26">
        <v>45998.0</v>
      </c>
      <c r="E1407" s="22" t="s">
        <v>266</v>
      </c>
      <c r="F1407" s="22" t="s">
        <v>869</v>
      </c>
      <c r="G1407" s="22" t="s">
        <v>2833</v>
      </c>
      <c r="H1407" s="22" t="s">
        <v>2037</v>
      </c>
      <c r="I1407" s="22">
        <v>1.0469171888451E13</v>
      </c>
      <c r="J1407" s="22" t="s">
        <v>2100</v>
      </c>
      <c r="K1407" s="24"/>
      <c r="L1407" s="22" t="s">
        <v>2039</v>
      </c>
      <c r="M1407" s="22">
        <v>1.0</v>
      </c>
      <c r="N1407" s="22" t="s">
        <v>882</v>
      </c>
      <c r="O1407" s="22" t="s">
        <v>883</v>
      </c>
      <c r="P1407" s="24"/>
      <c r="Q1407" s="22" t="s">
        <v>90</v>
      </c>
      <c r="R1407" s="22">
        <v>3.2774180929859E13</v>
      </c>
      <c r="S1407" s="24"/>
      <c r="T1407" s="24"/>
      <c r="U1407" s="24"/>
      <c r="V1407" s="30" t="s">
        <v>105</v>
      </c>
      <c r="W1407" s="33"/>
      <c r="X1407" s="33"/>
      <c r="Y1407" s="30"/>
      <c r="Z1407" s="30"/>
      <c r="AA1407" s="33"/>
      <c r="AB1407" s="33"/>
      <c r="AC1407" s="30"/>
      <c r="AD1407" s="30"/>
      <c r="AE1407" s="33"/>
      <c r="AF1407" s="31"/>
      <c r="AG1407" s="30"/>
      <c r="AH1407" s="30"/>
      <c r="AI1407" s="31"/>
      <c r="AJ1407" s="31"/>
      <c r="AK1407" s="32"/>
    </row>
    <row r="1408">
      <c r="A1408" s="21" t="s">
        <v>367</v>
      </c>
      <c r="B1408" s="22" t="s">
        <v>424</v>
      </c>
      <c r="C1408" s="22" t="s">
        <v>273</v>
      </c>
      <c r="D1408" s="26">
        <v>45998.0</v>
      </c>
      <c r="E1408" s="22" t="s">
        <v>134</v>
      </c>
      <c r="F1408" s="22" t="s">
        <v>369</v>
      </c>
      <c r="G1408" s="22" t="s">
        <v>2834</v>
      </c>
      <c r="H1408" s="22" t="s">
        <v>367</v>
      </c>
      <c r="I1408" s="22">
        <v>1.0469200855363E13</v>
      </c>
      <c r="J1408" s="22" t="s">
        <v>426</v>
      </c>
      <c r="K1408" s="24"/>
      <c r="L1408" s="22" t="s">
        <v>372</v>
      </c>
      <c r="M1408" s="22">
        <v>1.0</v>
      </c>
      <c r="N1408" s="22" t="s">
        <v>373</v>
      </c>
      <c r="O1408" s="22" t="s">
        <v>374</v>
      </c>
      <c r="P1408" s="24"/>
      <c r="Q1408" s="22" t="s">
        <v>90</v>
      </c>
      <c r="R1408" s="22">
        <v>3.2774252462403E13</v>
      </c>
      <c r="S1408" s="24"/>
      <c r="T1408" s="24"/>
      <c r="U1408" s="24"/>
      <c r="V1408" s="30" t="s">
        <v>55</v>
      </c>
      <c r="W1408" s="33"/>
      <c r="X1408" s="33"/>
      <c r="Y1408" s="30"/>
      <c r="Z1408" s="30"/>
      <c r="AA1408" s="33"/>
      <c r="AB1408" s="33"/>
      <c r="AC1408" s="30"/>
      <c r="AD1408" s="30"/>
      <c r="AE1408" s="33"/>
      <c r="AF1408" s="31"/>
      <c r="AG1408" s="30"/>
      <c r="AH1408" s="30"/>
      <c r="AI1408" s="31"/>
      <c r="AJ1408" s="31"/>
      <c r="AK1408" s="32"/>
    </row>
    <row r="1409">
      <c r="A1409" s="21" t="s">
        <v>1423</v>
      </c>
      <c r="B1409" s="22" t="s">
        <v>2835</v>
      </c>
      <c r="C1409" s="22" t="s">
        <v>1284</v>
      </c>
      <c r="D1409" s="26">
        <v>45993.0</v>
      </c>
      <c r="E1409" s="22" t="s">
        <v>153</v>
      </c>
      <c r="F1409" s="22" t="s">
        <v>717</v>
      </c>
      <c r="G1409" s="22" t="s">
        <v>2836</v>
      </c>
      <c r="H1409" s="22" t="s">
        <v>1423</v>
      </c>
      <c r="I1409" s="22">
        <v>1.0469214683459E13</v>
      </c>
      <c r="J1409" s="22" t="s">
        <v>2837</v>
      </c>
      <c r="K1409" s="24"/>
      <c r="L1409" s="22" t="s">
        <v>1427</v>
      </c>
      <c r="M1409" s="22">
        <v>1.0</v>
      </c>
      <c r="N1409" s="22" t="s">
        <v>721</v>
      </c>
      <c r="O1409" s="22" t="s">
        <v>722</v>
      </c>
      <c r="P1409" s="24"/>
      <c r="Q1409" s="22" t="s">
        <v>90</v>
      </c>
      <c r="R1409" s="22">
        <v>3.2774286770499E13</v>
      </c>
      <c r="S1409" s="24"/>
      <c r="T1409" s="24"/>
      <c r="U1409" s="24"/>
      <c r="V1409" s="30" t="s">
        <v>95</v>
      </c>
      <c r="W1409" s="33"/>
      <c r="X1409" s="33"/>
      <c r="Y1409" s="30"/>
      <c r="Z1409" s="30"/>
      <c r="AA1409" s="33"/>
      <c r="AB1409" s="33"/>
      <c r="AC1409" s="30"/>
      <c r="AD1409" s="30"/>
      <c r="AE1409" s="33"/>
      <c r="AF1409" s="31"/>
      <c r="AG1409" s="30"/>
      <c r="AH1409" s="30"/>
      <c r="AI1409" s="31"/>
      <c r="AJ1409" s="31"/>
      <c r="AK1409" s="32"/>
    </row>
    <row r="1410">
      <c r="A1410" s="21" t="s">
        <v>595</v>
      </c>
      <c r="B1410" s="22" t="s">
        <v>424</v>
      </c>
      <c r="C1410" s="22" t="s">
        <v>273</v>
      </c>
      <c r="D1410" s="26">
        <v>45998.0</v>
      </c>
      <c r="E1410" s="22" t="s">
        <v>134</v>
      </c>
      <c r="F1410" s="22" t="s">
        <v>369</v>
      </c>
      <c r="G1410" s="22" t="s">
        <v>2838</v>
      </c>
      <c r="H1410" s="22" t="s">
        <v>595</v>
      </c>
      <c r="I1410" s="22">
        <v>1.0469216387395E13</v>
      </c>
      <c r="J1410" s="22" t="s">
        <v>426</v>
      </c>
      <c r="K1410" s="24"/>
      <c r="L1410" s="22" t="s">
        <v>599</v>
      </c>
      <c r="M1410" s="22">
        <v>1.0</v>
      </c>
      <c r="N1410" s="22" t="s">
        <v>600</v>
      </c>
      <c r="O1410" s="22" t="s">
        <v>601</v>
      </c>
      <c r="P1410" s="24"/>
      <c r="Q1410" s="22" t="s">
        <v>90</v>
      </c>
      <c r="R1410" s="22">
        <v>3.2774292275523E13</v>
      </c>
      <c r="S1410" s="24"/>
      <c r="T1410" s="24"/>
      <c r="U1410" s="24"/>
      <c r="V1410" s="30" t="s">
        <v>127</v>
      </c>
      <c r="W1410" s="33"/>
      <c r="X1410" s="33"/>
      <c r="Y1410" s="30"/>
      <c r="Z1410" s="30"/>
      <c r="AA1410" s="33"/>
      <c r="AB1410" s="33"/>
      <c r="AC1410" s="30"/>
      <c r="AD1410" s="30"/>
      <c r="AE1410" s="33"/>
      <c r="AF1410" s="31"/>
      <c r="AG1410" s="30"/>
      <c r="AH1410" s="30"/>
      <c r="AI1410" s="31"/>
      <c r="AJ1410" s="31"/>
      <c r="AK1410" s="32"/>
    </row>
    <row r="1411">
      <c r="A1411" s="21" t="s">
        <v>401</v>
      </c>
      <c r="B1411" s="22" t="s">
        <v>770</v>
      </c>
      <c r="C1411" s="22" t="s">
        <v>82</v>
      </c>
      <c r="D1411" s="26">
        <v>45997.0</v>
      </c>
      <c r="E1411" s="22" t="s">
        <v>181</v>
      </c>
      <c r="F1411" s="22" t="s">
        <v>319</v>
      </c>
      <c r="G1411" s="22" t="s">
        <v>2839</v>
      </c>
      <c r="H1411" s="22" t="s">
        <v>401</v>
      </c>
      <c r="I1411" s="22">
        <v>1.0469323047235E13</v>
      </c>
      <c r="J1411" s="22" t="s">
        <v>772</v>
      </c>
      <c r="K1411" s="24"/>
      <c r="L1411" s="22" t="s">
        <v>403</v>
      </c>
      <c r="M1411" s="22">
        <v>1.0</v>
      </c>
      <c r="N1411" s="22" t="s">
        <v>404</v>
      </c>
      <c r="O1411" s="22" t="s">
        <v>405</v>
      </c>
      <c r="P1411" s="24"/>
      <c r="Q1411" s="22" t="s">
        <v>90</v>
      </c>
      <c r="R1411" s="22">
        <v>3.2774546489667E13</v>
      </c>
      <c r="S1411" s="24"/>
      <c r="T1411" s="24"/>
      <c r="U1411" s="24"/>
      <c r="V1411" s="30" t="s">
        <v>127</v>
      </c>
      <c r="W1411" s="33"/>
      <c r="X1411" s="33"/>
      <c r="Y1411" s="30"/>
      <c r="Z1411" s="30"/>
      <c r="AA1411" s="33"/>
      <c r="AB1411" s="33"/>
      <c r="AC1411" s="30"/>
      <c r="AD1411" s="30"/>
      <c r="AE1411" s="33"/>
      <c r="AF1411" s="31"/>
      <c r="AG1411" s="30"/>
      <c r="AH1411" s="30"/>
      <c r="AI1411" s="31"/>
      <c r="AJ1411" s="31"/>
      <c r="AK1411" s="32"/>
    </row>
    <row r="1412">
      <c r="A1412" s="21" t="s">
        <v>99</v>
      </c>
      <c r="B1412" s="22" t="s">
        <v>2419</v>
      </c>
      <c r="C1412" s="22" t="s">
        <v>273</v>
      </c>
      <c r="D1412" s="23">
        <v>45991.0</v>
      </c>
      <c r="E1412" s="22" t="s">
        <v>1400</v>
      </c>
      <c r="F1412" s="22" t="s">
        <v>83</v>
      </c>
      <c r="G1412" s="22" t="s">
        <v>2840</v>
      </c>
      <c r="H1412" s="22" t="s">
        <v>99</v>
      </c>
      <c r="I1412" s="22">
        <v>1.0469360664899E13</v>
      </c>
      <c r="J1412" s="22" t="s">
        <v>2421</v>
      </c>
      <c r="K1412" s="24"/>
      <c r="L1412" s="22" t="s">
        <v>102</v>
      </c>
      <c r="M1412" s="22">
        <v>1.0</v>
      </c>
      <c r="N1412" s="22" t="s">
        <v>103</v>
      </c>
      <c r="O1412" s="22" t="s">
        <v>104</v>
      </c>
      <c r="P1412" s="24"/>
      <c r="Q1412" s="22" t="s">
        <v>90</v>
      </c>
      <c r="R1412" s="22">
        <v>3.2774639452483E13</v>
      </c>
      <c r="S1412" s="24"/>
      <c r="T1412" s="24"/>
      <c r="U1412" s="24"/>
      <c r="V1412" s="30" t="s">
        <v>105</v>
      </c>
      <c r="W1412" s="33"/>
      <c r="X1412" s="33"/>
      <c r="Y1412" s="30"/>
      <c r="Z1412" s="30"/>
      <c r="AA1412" s="33"/>
      <c r="AB1412" s="33"/>
      <c r="AC1412" s="30"/>
      <c r="AD1412" s="30"/>
      <c r="AE1412" s="33"/>
      <c r="AF1412" s="31"/>
      <c r="AG1412" s="30"/>
      <c r="AH1412" s="30"/>
      <c r="AI1412" s="31"/>
      <c r="AJ1412" s="31"/>
      <c r="AK1412" s="32"/>
    </row>
    <row r="1413">
      <c r="A1413" s="21" t="s">
        <v>979</v>
      </c>
      <c r="B1413" s="22" t="s">
        <v>1498</v>
      </c>
      <c r="C1413" s="22" t="s">
        <v>82</v>
      </c>
      <c r="D1413" s="26">
        <v>45997.0</v>
      </c>
      <c r="E1413" s="22" t="s">
        <v>522</v>
      </c>
      <c r="F1413" s="22" t="s">
        <v>605</v>
      </c>
      <c r="G1413" s="22" t="s">
        <v>2841</v>
      </c>
      <c r="H1413" s="22" t="s">
        <v>979</v>
      </c>
      <c r="I1413" s="22">
        <v>1.0469374329155E13</v>
      </c>
      <c r="J1413" s="22" t="s">
        <v>1500</v>
      </c>
      <c r="K1413" s="24"/>
      <c r="L1413" s="22" t="s">
        <v>984</v>
      </c>
      <c r="M1413" s="22">
        <v>1.0</v>
      </c>
      <c r="N1413" s="22" t="s">
        <v>609</v>
      </c>
      <c r="O1413" s="22" t="s">
        <v>610</v>
      </c>
      <c r="P1413" s="24"/>
      <c r="Q1413" s="22" t="s">
        <v>90</v>
      </c>
      <c r="R1413" s="22">
        <v>3.2774672974147E13</v>
      </c>
      <c r="S1413" s="24"/>
      <c r="T1413" s="24"/>
      <c r="U1413" s="24"/>
      <c r="V1413" s="30" t="s">
        <v>55</v>
      </c>
      <c r="W1413" s="33"/>
      <c r="X1413" s="33"/>
      <c r="Y1413" s="30"/>
      <c r="Z1413" s="30"/>
      <c r="AA1413" s="33"/>
      <c r="AB1413" s="33"/>
      <c r="AC1413" s="30"/>
      <c r="AD1413" s="30"/>
      <c r="AE1413" s="33"/>
      <c r="AF1413" s="31"/>
      <c r="AG1413" s="30"/>
      <c r="AH1413" s="30"/>
      <c r="AI1413" s="31"/>
      <c r="AJ1413" s="31"/>
      <c r="AK1413" s="32"/>
    </row>
    <row r="1414">
      <c r="A1414" s="21" t="s">
        <v>732</v>
      </c>
      <c r="B1414" s="22" t="s">
        <v>1367</v>
      </c>
      <c r="C1414" s="22" t="s">
        <v>82</v>
      </c>
      <c r="D1414" s="26">
        <v>45997.0</v>
      </c>
      <c r="E1414" s="22" t="s">
        <v>841</v>
      </c>
      <c r="F1414" s="22" t="s">
        <v>634</v>
      </c>
      <c r="G1414" s="22" t="s">
        <v>2842</v>
      </c>
      <c r="H1414" s="22" t="s">
        <v>732</v>
      </c>
      <c r="I1414" s="22">
        <v>1.0469375705411E13</v>
      </c>
      <c r="J1414" s="22" t="s">
        <v>1369</v>
      </c>
      <c r="K1414" s="24"/>
      <c r="L1414" s="22" t="s">
        <v>737</v>
      </c>
      <c r="M1414" s="22">
        <v>1.0</v>
      </c>
      <c r="N1414" s="22" t="s">
        <v>738</v>
      </c>
      <c r="O1414" s="22" t="s">
        <v>739</v>
      </c>
      <c r="P1414" s="24"/>
      <c r="Q1414" s="22" t="s">
        <v>90</v>
      </c>
      <c r="R1414" s="22">
        <v>3.2774677430595E13</v>
      </c>
      <c r="S1414" s="24"/>
      <c r="T1414" s="24"/>
      <c r="U1414" s="24"/>
      <c r="V1414" s="30" t="s">
        <v>105</v>
      </c>
      <c r="W1414" s="33"/>
      <c r="X1414" s="33"/>
      <c r="Y1414" s="30"/>
      <c r="Z1414" s="30"/>
      <c r="AA1414" s="33"/>
      <c r="AB1414" s="33"/>
      <c r="AC1414" s="30"/>
      <c r="AD1414" s="30"/>
      <c r="AE1414" s="33"/>
      <c r="AF1414" s="31"/>
      <c r="AG1414" s="30"/>
      <c r="AH1414" s="30"/>
      <c r="AI1414" s="31"/>
      <c r="AJ1414" s="31"/>
      <c r="AK1414" s="32"/>
    </row>
    <row r="1415">
      <c r="A1415" s="21" t="s">
        <v>375</v>
      </c>
      <c r="B1415" s="22" t="s">
        <v>1382</v>
      </c>
      <c r="C1415" s="22" t="s">
        <v>82</v>
      </c>
      <c r="D1415" s="26">
        <v>45997.0</v>
      </c>
      <c r="E1415" s="22" t="s">
        <v>248</v>
      </c>
      <c r="F1415" s="22" t="s">
        <v>377</v>
      </c>
      <c r="G1415" s="22" t="s">
        <v>2843</v>
      </c>
      <c r="H1415" s="22" t="s">
        <v>375</v>
      </c>
      <c r="I1415" s="22">
        <v>1.0469377474883E13</v>
      </c>
      <c r="J1415" s="22" t="s">
        <v>1384</v>
      </c>
      <c r="K1415" s="24"/>
      <c r="L1415" s="22" t="s">
        <v>380</v>
      </c>
      <c r="M1415" s="22">
        <v>1.0</v>
      </c>
      <c r="N1415" s="22" t="s">
        <v>381</v>
      </c>
      <c r="O1415" s="22" t="s">
        <v>382</v>
      </c>
      <c r="P1415" s="24"/>
      <c r="Q1415" s="22" t="s">
        <v>90</v>
      </c>
      <c r="R1415" s="22">
        <v>3.2774682378563E13</v>
      </c>
      <c r="S1415" s="24"/>
      <c r="T1415" s="24"/>
      <c r="U1415" s="24"/>
      <c r="V1415" s="30" t="s">
        <v>55</v>
      </c>
      <c r="W1415" s="33"/>
      <c r="X1415" s="33"/>
      <c r="Y1415" s="30"/>
      <c r="Z1415" s="30"/>
      <c r="AA1415" s="33"/>
      <c r="AB1415" s="33"/>
      <c r="AC1415" s="30"/>
      <c r="AD1415" s="30"/>
      <c r="AE1415" s="33"/>
      <c r="AF1415" s="31"/>
      <c r="AG1415" s="30"/>
      <c r="AH1415" s="30"/>
      <c r="AI1415" s="31"/>
      <c r="AJ1415" s="31"/>
      <c r="AK1415" s="32"/>
    </row>
    <row r="1416">
      <c r="A1416" s="21" t="s">
        <v>484</v>
      </c>
      <c r="B1416" s="22" t="s">
        <v>2844</v>
      </c>
      <c r="C1416" s="22" t="s">
        <v>202</v>
      </c>
      <c r="D1416" s="23">
        <v>46003.0</v>
      </c>
      <c r="E1416" s="22" t="s">
        <v>266</v>
      </c>
      <c r="F1416" s="22" t="s">
        <v>311</v>
      </c>
      <c r="G1416" s="22" t="s">
        <v>2845</v>
      </c>
      <c r="H1416" s="22" t="s">
        <v>484</v>
      </c>
      <c r="I1416" s="22">
        <v>1.0469401493827E13</v>
      </c>
      <c r="J1416" s="22" t="s">
        <v>2846</v>
      </c>
      <c r="K1416" s="24"/>
      <c r="L1416" s="22" t="s">
        <v>487</v>
      </c>
      <c r="M1416" s="22">
        <v>1.0</v>
      </c>
      <c r="N1416" s="22" t="s">
        <v>315</v>
      </c>
      <c r="O1416" s="22" t="s">
        <v>316</v>
      </c>
      <c r="P1416" s="24"/>
      <c r="Q1416" s="22" t="s">
        <v>90</v>
      </c>
      <c r="R1416" s="22">
        <v>3.2774740181315E13</v>
      </c>
      <c r="S1416" s="24"/>
      <c r="T1416" s="24"/>
      <c r="U1416" s="24"/>
      <c r="V1416" s="30" t="s">
        <v>127</v>
      </c>
      <c r="W1416" s="33"/>
      <c r="X1416" s="33"/>
      <c r="Y1416" s="30"/>
      <c r="Z1416" s="30"/>
      <c r="AA1416" s="33"/>
      <c r="AB1416" s="33"/>
      <c r="AC1416" s="30"/>
      <c r="AD1416" s="30"/>
      <c r="AE1416" s="33"/>
      <c r="AF1416" s="31"/>
      <c r="AG1416" s="30"/>
      <c r="AH1416" s="30"/>
      <c r="AI1416" s="31"/>
      <c r="AJ1416" s="31"/>
      <c r="AK1416" s="32"/>
    </row>
    <row r="1417">
      <c r="A1417" s="21" t="s">
        <v>778</v>
      </c>
      <c r="B1417" s="22" t="s">
        <v>438</v>
      </c>
      <c r="C1417" s="22" t="s">
        <v>273</v>
      </c>
      <c r="D1417" s="26">
        <v>45998.0</v>
      </c>
      <c r="E1417" s="22" t="s">
        <v>439</v>
      </c>
      <c r="F1417" s="22" t="s">
        <v>440</v>
      </c>
      <c r="G1417" s="22" t="s">
        <v>2847</v>
      </c>
      <c r="H1417" s="22" t="s">
        <v>778</v>
      </c>
      <c r="I1417" s="22">
        <v>1.0469406310723E13</v>
      </c>
      <c r="J1417" s="22" t="s">
        <v>1767</v>
      </c>
      <c r="K1417" s="24"/>
      <c r="L1417" s="22" t="s">
        <v>780</v>
      </c>
      <c r="M1417" s="22">
        <v>1.0</v>
      </c>
      <c r="N1417" s="22" t="s">
        <v>781</v>
      </c>
      <c r="O1417" s="22" t="s">
        <v>782</v>
      </c>
      <c r="P1417" s="24"/>
      <c r="Q1417" s="22" t="s">
        <v>90</v>
      </c>
      <c r="R1417" s="22">
        <v>3.2774751682883E13</v>
      </c>
      <c r="S1417" s="24"/>
      <c r="T1417" s="24"/>
      <c r="U1417" s="24"/>
      <c r="V1417" s="30" t="s">
        <v>127</v>
      </c>
      <c r="W1417" s="33"/>
      <c r="X1417" s="33"/>
      <c r="Y1417" s="30"/>
      <c r="Z1417" s="30"/>
      <c r="AA1417" s="33"/>
      <c r="AB1417" s="33"/>
      <c r="AC1417" s="30"/>
      <c r="AD1417" s="30"/>
      <c r="AE1417" s="33"/>
      <c r="AF1417" s="31"/>
      <c r="AG1417" s="30"/>
      <c r="AH1417" s="30"/>
      <c r="AI1417" s="31"/>
      <c r="AJ1417" s="31"/>
      <c r="AK1417" s="32"/>
    </row>
    <row r="1418">
      <c r="A1418" s="21" t="s">
        <v>124</v>
      </c>
      <c r="B1418" s="22" t="s">
        <v>1486</v>
      </c>
      <c r="C1418" s="22" t="s">
        <v>82</v>
      </c>
      <c r="D1418" s="26">
        <v>45997.0</v>
      </c>
      <c r="E1418" s="22" t="s">
        <v>134</v>
      </c>
      <c r="F1418" s="22" t="s">
        <v>83</v>
      </c>
      <c r="G1418" s="22" t="s">
        <v>2848</v>
      </c>
      <c r="H1418" s="22" t="s">
        <v>124</v>
      </c>
      <c r="I1418" s="22">
        <v>1.0469443928387E13</v>
      </c>
      <c r="J1418" s="22" t="s">
        <v>1488</v>
      </c>
      <c r="K1418" s="24"/>
      <c r="L1418" s="22" t="s">
        <v>126</v>
      </c>
      <c r="M1418" s="22">
        <v>1.0</v>
      </c>
      <c r="N1418" s="22" t="s">
        <v>103</v>
      </c>
      <c r="O1418" s="22" t="s">
        <v>104</v>
      </c>
      <c r="P1418" s="24"/>
      <c r="Q1418" s="22" t="s">
        <v>90</v>
      </c>
      <c r="R1418" s="22">
        <v>3.2774852804931E13</v>
      </c>
      <c r="S1418" s="24"/>
      <c r="T1418" s="24"/>
      <c r="U1418" s="24"/>
      <c r="V1418" s="30" t="s">
        <v>127</v>
      </c>
      <c r="W1418" s="33"/>
      <c r="X1418" s="33"/>
      <c r="Y1418" s="30"/>
      <c r="Z1418" s="30"/>
      <c r="AA1418" s="33"/>
      <c r="AB1418" s="33"/>
      <c r="AC1418" s="30"/>
      <c r="AD1418" s="30"/>
      <c r="AE1418" s="33"/>
      <c r="AF1418" s="31"/>
      <c r="AG1418" s="30"/>
      <c r="AH1418" s="30"/>
      <c r="AI1418" s="31"/>
      <c r="AJ1418" s="31"/>
      <c r="AK1418" s="32"/>
    </row>
    <row r="1419">
      <c r="A1419" s="21" t="s">
        <v>962</v>
      </c>
      <c r="B1419" s="22" t="s">
        <v>1367</v>
      </c>
      <c r="C1419" s="22" t="s">
        <v>82</v>
      </c>
      <c r="D1419" s="26">
        <v>45997.0</v>
      </c>
      <c r="E1419" s="22" t="s">
        <v>841</v>
      </c>
      <c r="F1419" s="22" t="s">
        <v>634</v>
      </c>
      <c r="G1419" s="22" t="s">
        <v>2849</v>
      </c>
      <c r="H1419" s="22" t="s">
        <v>962</v>
      </c>
      <c r="I1419" s="22">
        <v>1.0469475451203E13</v>
      </c>
      <c r="J1419" s="22" t="s">
        <v>1369</v>
      </c>
      <c r="K1419" s="24"/>
      <c r="L1419" s="22" t="s">
        <v>966</v>
      </c>
      <c r="M1419" s="22">
        <v>1.0</v>
      </c>
      <c r="N1419" s="22" t="s">
        <v>738</v>
      </c>
      <c r="O1419" s="22" t="s">
        <v>739</v>
      </c>
      <c r="P1419" s="24"/>
      <c r="Q1419" s="22" t="s">
        <v>90</v>
      </c>
      <c r="R1419" s="22">
        <v>3.2774940459331E13</v>
      </c>
      <c r="S1419" s="24"/>
      <c r="T1419" s="24"/>
      <c r="U1419" s="24"/>
      <c r="V1419" s="30" t="s">
        <v>127</v>
      </c>
      <c r="W1419" s="33"/>
      <c r="X1419" s="33"/>
      <c r="Y1419" s="30"/>
      <c r="Z1419" s="30"/>
      <c r="AA1419" s="33"/>
      <c r="AB1419" s="33"/>
      <c r="AC1419" s="30"/>
      <c r="AD1419" s="30"/>
      <c r="AE1419" s="33"/>
      <c r="AF1419" s="31"/>
      <c r="AG1419" s="30"/>
      <c r="AH1419" s="30"/>
      <c r="AI1419" s="31"/>
      <c r="AJ1419" s="31"/>
      <c r="AK1419" s="32"/>
    </row>
    <row r="1420">
      <c r="A1420" s="21" t="s">
        <v>859</v>
      </c>
      <c r="B1420" s="22" t="s">
        <v>1498</v>
      </c>
      <c r="C1420" s="22" t="s">
        <v>82</v>
      </c>
      <c r="D1420" s="26">
        <v>45997.0</v>
      </c>
      <c r="E1420" s="22" t="s">
        <v>522</v>
      </c>
      <c r="F1420" s="22" t="s">
        <v>605</v>
      </c>
      <c r="G1420" s="22" t="s">
        <v>2850</v>
      </c>
      <c r="H1420" s="22" t="s">
        <v>859</v>
      </c>
      <c r="I1420" s="22">
        <v>1.0469692506435E13</v>
      </c>
      <c r="J1420" s="22" t="s">
        <v>1500</v>
      </c>
      <c r="K1420" s="24"/>
      <c r="L1420" s="22" t="s">
        <v>861</v>
      </c>
      <c r="M1420" s="22">
        <v>1.0</v>
      </c>
      <c r="N1420" s="22" t="s">
        <v>609</v>
      </c>
      <c r="O1420" s="22" t="s">
        <v>610</v>
      </c>
      <c r="P1420" s="24"/>
      <c r="Q1420" s="22" t="s">
        <v>90</v>
      </c>
      <c r="R1420" s="22">
        <v>3.2775410712899E13</v>
      </c>
      <c r="S1420" s="24"/>
      <c r="T1420" s="24"/>
      <c r="U1420" s="24"/>
      <c r="V1420" s="30" t="s">
        <v>95</v>
      </c>
      <c r="W1420" s="33"/>
      <c r="X1420" s="33"/>
      <c r="Y1420" s="30"/>
      <c r="Z1420" s="30"/>
      <c r="AA1420" s="33"/>
      <c r="AB1420" s="33"/>
      <c r="AC1420" s="30"/>
      <c r="AD1420" s="30"/>
      <c r="AE1420" s="33"/>
      <c r="AF1420" s="31"/>
      <c r="AG1420" s="30"/>
      <c r="AH1420" s="30"/>
      <c r="AI1420" s="31"/>
      <c r="AJ1420" s="31"/>
      <c r="AK1420" s="32"/>
    </row>
    <row r="1421">
      <c r="A1421" s="21" t="s">
        <v>80</v>
      </c>
      <c r="B1421" s="22" t="s">
        <v>2251</v>
      </c>
      <c r="C1421" s="22" t="s">
        <v>273</v>
      </c>
      <c r="D1421" s="23">
        <v>45991.0</v>
      </c>
      <c r="E1421" s="22" t="s">
        <v>192</v>
      </c>
      <c r="F1421" s="22" t="s">
        <v>83</v>
      </c>
      <c r="G1421" s="22" t="s">
        <v>2851</v>
      </c>
      <c r="H1421" s="22" t="s">
        <v>80</v>
      </c>
      <c r="I1421" s="22">
        <v>1.0469740577091E13</v>
      </c>
      <c r="J1421" s="22" t="s">
        <v>2253</v>
      </c>
      <c r="K1421" s="24"/>
      <c r="L1421" s="22" t="s">
        <v>86</v>
      </c>
      <c r="M1421" s="22">
        <v>1.0</v>
      </c>
      <c r="N1421" s="22" t="s">
        <v>87</v>
      </c>
      <c r="O1421" s="22" t="s">
        <v>88</v>
      </c>
      <c r="P1421" s="24"/>
      <c r="Q1421" s="22" t="s">
        <v>90</v>
      </c>
      <c r="R1421" s="22">
        <v>3.2775511441731E13</v>
      </c>
      <c r="S1421" s="24"/>
      <c r="T1421" s="24"/>
      <c r="U1421" s="24"/>
      <c r="V1421" s="30" t="s">
        <v>91</v>
      </c>
      <c r="W1421" s="33"/>
      <c r="X1421" s="33"/>
      <c r="Y1421" s="30"/>
      <c r="Z1421" s="30"/>
      <c r="AA1421" s="33"/>
      <c r="AB1421" s="33"/>
      <c r="AC1421" s="30"/>
      <c r="AD1421" s="30"/>
      <c r="AE1421" s="33"/>
      <c r="AF1421" s="31"/>
      <c r="AG1421" s="30"/>
      <c r="AH1421" s="30"/>
      <c r="AI1421" s="31"/>
      <c r="AJ1421" s="31"/>
      <c r="AK1421" s="32"/>
    </row>
    <row r="1422">
      <c r="A1422" s="21" t="s">
        <v>96</v>
      </c>
      <c r="B1422" s="22" t="s">
        <v>2395</v>
      </c>
      <c r="C1422" s="22" t="s">
        <v>294</v>
      </c>
      <c r="D1422" s="26">
        <v>45992.0</v>
      </c>
      <c r="E1422" s="22" t="s">
        <v>981</v>
      </c>
      <c r="F1422" s="22" t="s">
        <v>83</v>
      </c>
      <c r="G1422" s="22" t="s">
        <v>2852</v>
      </c>
      <c r="H1422" s="22" t="s">
        <v>96</v>
      </c>
      <c r="I1422" s="22">
        <v>1.0469776884035E13</v>
      </c>
      <c r="J1422" s="22" t="s">
        <v>2397</v>
      </c>
      <c r="K1422" s="24"/>
      <c r="L1422" s="22" t="s">
        <v>98</v>
      </c>
      <c r="M1422" s="22">
        <v>1.0</v>
      </c>
      <c r="N1422" s="22" t="s">
        <v>87</v>
      </c>
      <c r="O1422" s="22" t="s">
        <v>88</v>
      </c>
      <c r="P1422" s="24"/>
      <c r="Q1422" s="22" t="s">
        <v>90</v>
      </c>
      <c r="R1422" s="22">
        <v>3.2775589822787E13</v>
      </c>
      <c r="S1422" s="24"/>
      <c r="T1422" s="24"/>
      <c r="U1422" s="24"/>
      <c r="V1422" s="30" t="s">
        <v>55</v>
      </c>
      <c r="W1422" s="33"/>
      <c r="X1422" s="33"/>
      <c r="Y1422" s="30"/>
      <c r="Z1422" s="30"/>
      <c r="AA1422" s="33"/>
      <c r="AB1422" s="33"/>
      <c r="AC1422" s="30"/>
      <c r="AD1422" s="30"/>
      <c r="AE1422" s="33"/>
      <c r="AF1422" s="31"/>
      <c r="AG1422" s="30"/>
      <c r="AH1422" s="30"/>
      <c r="AI1422" s="31"/>
      <c r="AJ1422" s="31"/>
      <c r="AK1422" s="32"/>
    </row>
    <row r="1423">
      <c r="A1423" s="21" t="s">
        <v>1832</v>
      </c>
      <c r="B1423" s="22" t="s">
        <v>1532</v>
      </c>
      <c r="C1423" s="22" t="s">
        <v>82</v>
      </c>
      <c r="D1423" s="26">
        <v>45997.0</v>
      </c>
      <c r="E1423" s="22" t="s">
        <v>211</v>
      </c>
      <c r="F1423" s="22" t="s">
        <v>698</v>
      </c>
      <c r="G1423" s="22" t="s">
        <v>2853</v>
      </c>
      <c r="H1423" s="22" t="s">
        <v>1832</v>
      </c>
      <c r="I1423" s="22">
        <v>1.0469810897219E13</v>
      </c>
      <c r="J1423" s="22" t="s">
        <v>1534</v>
      </c>
      <c r="K1423" s="24"/>
      <c r="L1423" s="22" t="s">
        <v>1834</v>
      </c>
      <c r="M1423" s="22">
        <v>1.0</v>
      </c>
      <c r="N1423" s="22" t="s">
        <v>702</v>
      </c>
      <c r="O1423" s="22" t="s">
        <v>703</v>
      </c>
      <c r="P1423" s="24"/>
      <c r="Q1423" s="22" t="s">
        <v>90</v>
      </c>
      <c r="R1423" s="22">
        <v>3.2775664140611E13</v>
      </c>
      <c r="S1423" s="24"/>
      <c r="T1423" s="24"/>
      <c r="U1423" s="24"/>
      <c r="V1423" s="30" t="s">
        <v>91</v>
      </c>
      <c r="W1423" s="33"/>
      <c r="X1423" s="33"/>
      <c r="Y1423" s="30"/>
      <c r="Z1423" s="30"/>
      <c r="AA1423" s="33"/>
      <c r="AB1423" s="33"/>
      <c r="AC1423" s="30"/>
      <c r="AD1423" s="30"/>
      <c r="AE1423" s="33"/>
      <c r="AF1423" s="31"/>
      <c r="AG1423" s="30"/>
      <c r="AH1423" s="30"/>
      <c r="AI1423" s="31"/>
      <c r="AJ1423" s="31"/>
      <c r="AK1423" s="32"/>
    </row>
    <row r="1424">
      <c r="A1424" s="21" t="s">
        <v>484</v>
      </c>
      <c r="B1424" s="22" t="s">
        <v>2854</v>
      </c>
      <c r="C1424" s="22" t="s">
        <v>287</v>
      </c>
      <c r="D1424" s="26">
        <v>45994.0</v>
      </c>
      <c r="E1424" s="22" t="s">
        <v>2155</v>
      </c>
      <c r="F1424" s="22" t="s">
        <v>311</v>
      </c>
      <c r="G1424" s="22" t="s">
        <v>2855</v>
      </c>
      <c r="H1424" s="22" t="s">
        <v>484</v>
      </c>
      <c r="I1424" s="22">
        <v>1.0469834162499E13</v>
      </c>
      <c r="J1424" s="22" t="s">
        <v>2856</v>
      </c>
      <c r="K1424" s="24"/>
      <c r="L1424" s="22" t="s">
        <v>487</v>
      </c>
      <c r="M1424" s="22">
        <v>1.0</v>
      </c>
      <c r="N1424" s="22" t="s">
        <v>315</v>
      </c>
      <c r="O1424" s="22" t="s">
        <v>316</v>
      </c>
      <c r="P1424" s="24"/>
      <c r="Q1424" s="22" t="s">
        <v>90</v>
      </c>
      <c r="R1424" s="22">
        <v>3.2775712375107E13</v>
      </c>
      <c r="S1424" s="24"/>
      <c r="T1424" s="24"/>
      <c r="U1424" s="24"/>
      <c r="V1424" s="30" t="s">
        <v>127</v>
      </c>
      <c r="W1424" s="33"/>
      <c r="X1424" s="33"/>
      <c r="Y1424" s="30"/>
      <c r="Z1424" s="30"/>
      <c r="AA1424" s="33"/>
      <c r="AB1424" s="33"/>
      <c r="AC1424" s="30"/>
      <c r="AD1424" s="30"/>
      <c r="AE1424" s="33"/>
      <c r="AF1424" s="31"/>
      <c r="AG1424" s="30"/>
      <c r="AH1424" s="30"/>
      <c r="AI1424" s="31"/>
      <c r="AJ1424" s="31"/>
      <c r="AK1424" s="32"/>
    </row>
    <row r="1425">
      <c r="A1425" s="21" t="s">
        <v>96</v>
      </c>
      <c r="B1425" s="22" t="s">
        <v>1479</v>
      </c>
      <c r="C1425" s="22" t="s">
        <v>82</v>
      </c>
      <c r="D1425" s="26">
        <v>45997.0</v>
      </c>
      <c r="E1425" s="22" t="s">
        <v>138</v>
      </c>
      <c r="F1425" s="22" t="s">
        <v>83</v>
      </c>
      <c r="G1425" s="22" t="s">
        <v>2857</v>
      </c>
      <c r="H1425" s="22" t="s">
        <v>96</v>
      </c>
      <c r="I1425" s="22">
        <v>1.0469846483267E13</v>
      </c>
      <c r="J1425" s="22" t="s">
        <v>1481</v>
      </c>
      <c r="K1425" s="24"/>
      <c r="L1425" s="22" t="s">
        <v>98</v>
      </c>
      <c r="M1425" s="22">
        <v>2.0</v>
      </c>
      <c r="N1425" s="22" t="s">
        <v>87</v>
      </c>
      <c r="O1425" s="22" t="s">
        <v>88</v>
      </c>
      <c r="P1425" s="24"/>
      <c r="Q1425" s="22" t="s">
        <v>90</v>
      </c>
      <c r="R1425" s="22">
        <v>3.2775741243715E13</v>
      </c>
      <c r="S1425" s="24"/>
      <c r="T1425" s="24"/>
      <c r="U1425" s="24"/>
      <c r="V1425" s="30" t="s">
        <v>55</v>
      </c>
      <c r="W1425" s="33"/>
      <c r="X1425" s="33"/>
      <c r="Y1425" s="30"/>
      <c r="Z1425" s="30"/>
      <c r="AA1425" s="33"/>
      <c r="AB1425" s="33"/>
      <c r="AC1425" s="30"/>
      <c r="AD1425" s="30"/>
      <c r="AE1425" s="33"/>
      <c r="AF1425" s="31"/>
      <c r="AG1425" s="30"/>
      <c r="AH1425" s="30"/>
      <c r="AI1425" s="31"/>
      <c r="AJ1425" s="31"/>
      <c r="AK1425" s="32"/>
    </row>
    <row r="1426">
      <c r="A1426" s="21" t="s">
        <v>692</v>
      </c>
      <c r="B1426" s="22" t="s">
        <v>587</v>
      </c>
      <c r="C1426" s="22" t="s">
        <v>273</v>
      </c>
      <c r="D1426" s="26">
        <v>45998.0</v>
      </c>
      <c r="E1426" s="22" t="s">
        <v>153</v>
      </c>
      <c r="F1426" s="22" t="s">
        <v>369</v>
      </c>
      <c r="G1426" s="22" t="s">
        <v>2858</v>
      </c>
      <c r="H1426" s="22" t="s">
        <v>692</v>
      </c>
      <c r="I1426" s="22">
        <v>1.0469858738499E13</v>
      </c>
      <c r="J1426" s="22" t="s">
        <v>589</v>
      </c>
      <c r="K1426" s="24"/>
      <c r="L1426" s="22" t="s">
        <v>694</v>
      </c>
      <c r="M1426" s="22">
        <v>1.0</v>
      </c>
      <c r="N1426" s="22" t="s">
        <v>373</v>
      </c>
      <c r="O1426" s="22" t="s">
        <v>374</v>
      </c>
      <c r="P1426" s="24"/>
      <c r="Q1426" s="22" t="s">
        <v>90</v>
      </c>
      <c r="R1426" s="22">
        <v>3.2775767949635E13</v>
      </c>
      <c r="S1426" s="24"/>
      <c r="T1426" s="24"/>
      <c r="U1426" s="24"/>
      <c r="V1426" s="30" t="s">
        <v>54</v>
      </c>
      <c r="W1426" s="33"/>
      <c r="X1426" s="33"/>
      <c r="Y1426" s="30"/>
      <c r="Z1426" s="30"/>
      <c r="AA1426" s="33"/>
      <c r="AB1426" s="33"/>
      <c r="AC1426" s="30"/>
      <c r="AD1426" s="30"/>
      <c r="AE1426" s="33"/>
      <c r="AF1426" s="31"/>
      <c r="AG1426" s="30"/>
      <c r="AH1426" s="30"/>
      <c r="AI1426" s="31"/>
      <c r="AJ1426" s="31"/>
      <c r="AK1426" s="32"/>
    </row>
    <row r="1427">
      <c r="A1427" s="21" t="s">
        <v>124</v>
      </c>
      <c r="B1427" s="22" t="s">
        <v>1557</v>
      </c>
      <c r="C1427" s="22" t="s">
        <v>1284</v>
      </c>
      <c r="D1427" s="26">
        <v>45993.0</v>
      </c>
      <c r="E1427" s="22" t="s">
        <v>235</v>
      </c>
      <c r="F1427" s="22" t="s">
        <v>83</v>
      </c>
      <c r="G1427" s="22" t="s">
        <v>2859</v>
      </c>
      <c r="H1427" s="22" t="s">
        <v>124</v>
      </c>
      <c r="I1427" s="22">
        <v>1.0469868798275E13</v>
      </c>
      <c r="J1427" s="22" t="s">
        <v>1559</v>
      </c>
      <c r="K1427" s="24"/>
      <c r="L1427" s="22" t="s">
        <v>126</v>
      </c>
      <c r="M1427" s="22">
        <v>1.0</v>
      </c>
      <c r="N1427" s="22" t="s">
        <v>103</v>
      </c>
      <c r="O1427" s="22" t="s">
        <v>104</v>
      </c>
      <c r="P1427" s="24"/>
      <c r="Q1427" s="22" t="s">
        <v>90</v>
      </c>
      <c r="R1427" s="22">
        <v>3.2775791411523E13</v>
      </c>
      <c r="S1427" s="24"/>
      <c r="T1427" s="24"/>
      <c r="U1427" s="24"/>
      <c r="V1427" s="30" t="s">
        <v>127</v>
      </c>
      <c r="W1427" s="33"/>
      <c r="X1427" s="33"/>
      <c r="Y1427" s="30"/>
      <c r="Z1427" s="30"/>
      <c r="AA1427" s="33"/>
      <c r="AB1427" s="33"/>
      <c r="AC1427" s="30"/>
      <c r="AD1427" s="30"/>
      <c r="AE1427" s="33"/>
      <c r="AF1427" s="31"/>
      <c r="AG1427" s="30"/>
      <c r="AH1427" s="30"/>
      <c r="AI1427" s="31"/>
      <c r="AJ1427" s="31"/>
      <c r="AK1427" s="32"/>
    </row>
    <row r="1428">
      <c r="A1428" s="21" t="s">
        <v>96</v>
      </c>
      <c r="B1428" s="22" t="s">
        <v>2860</v>
      </c>
      <c r="C1428" s="22" t="s">
        <v>294</v>
      </c>
      <c r="D1428" s="26">
        <v>45992.0</v>
      </c>
      <c r="E1428" s="22" t="s">
        <v>196</v>
      </c>
      <c r="F1428" s="22" t="s">
        <v>83</v>
      </c>
      <c r="G1428" s="22" t="s">
        <v>2861</v>
      </c>
      <c r="H1428" s="22" t="s">
        <v>96</v>
      </c>
      <c r="I1428" s="22">
        <v>1.0469877219651E13</v>
      </c>
      <c r="J1428" s="22" t="s">
        <v>2862</v>
      </c>
      <c r="K1428" s="24"/>
      <c r="L1428" s="22" t="s">
        <v>98</v>
      </c>
      <c r="M1428" s="22">
        <v>1.0</v>
      </c>
      <c r="N1428" s="22" t="s">
        <v>87</v>
      </c>
      <c r="O1428" s="22" t="s">
        <v>88</v>
      </c>
      <c r="P1428" s="24"/>
      <c r="Q1428" s="22" t="s">
        <v>90</v>
      </c>
      <c r="R1428" s="22">
        <v>3.2775810580803E13</v>
      </c>
      <c r="S1428" s="24"/>
      <c r="T1428" s="24"/>
      <c r="U1428" s="24"/>
      <c r="V1428" s="30" t="s">
        <v>55</v>
      </c>
      <c r="W1428" s="33"/>
      <c r="X1428" s="33"/>
      <c r="Y1428" s="30"/>
      <c r="Z1428" s="30"/>
      <c r="AA1428" s="33"/>
      <c r="AB1428" s="33"/>
      <c r="AC1428" s="30"/>
      <c r="AD1428" s="30"/>
      <c r="AE1428" s="33"/>
      <c r="AF1428" s="31"/>
      <c r="AG1428" s="30"/>
      <c r="AH1428" s="30"/>
      <c r="AI1428" s="31"/>
      <c r="AJ1428" s="31"/>
      <c r="AK1428" s="32"/>
    </row>
    <row r="1429">
      <c r="A1429" s="21" t="s">
        <v>538</v>
      </c>
      <c r="B1429" s="22" t="s">
        <v>1364</v>
      </c>
      <c r="C1429" s="22" t="s">
        <v>273</v>
      </c>
      <c r="D1429" s="26">
        <v>45998.0</v>
      </c>
      <c r="E1429" s="22" t="s">
        <v>138</v>
      </c>
      <c r="F1429" s="22" t="s">
        <v>369</v>
      </c>
      <c r="G1429" s="22" t="s">
        <v>2863</v>
      </c>
      <c r="H1429" s="22" t="s">
        <v>538</v>
      </c>
      <c r="I1429" s="22">
        <v>1.0469918507331E13</v>
      </c>
      <c r="J1429" s="22" t="s">
        <v>1366</v>
      </c>
      <c r="K1429" s="24"/>
      <c r="L1429" s="22" t="s">
        <v>542</v>
      </c>
      <c r="M1429" s="22">
        <v>1.0</v>
      </c>
      <c r="N1429" s="22" t="s">
        <v>373</v>
      </c>
      <c r="O1429" s="22" t="s">
        <v>374</v>
      </c>
      <c r="P1429" s="24"/>
      <c r="Q1429" s="22" t="s">
        <v>90</v>
      </c>
      <c r="R1429" s="22">
        <v>3.2775905149251E13</v>
      </c>
      <c r="S1429" s="24"/>
      <c r="T1429" s="24"/>
      <c r="U1429" s="24"/>
      <c r="V1429" s="30" t="s">
        <v>91</v>
      </c>
      <c r="W1429" s="33"/>
      <c r="X1429" s="33"/>
      <c r="Y1429" s="30"/>
      <c r="Z1429" s="30"/>
      <c r="AA1429" s="33"/>
      <c r="AB1429" s="33"/>
      <c r="AC1429" s="30"/>
      <c r="AD1429" s="30"/>
      <c r="AE1429" s="33"/>
      <c r="AF1429" s="31"/>
      <c r="AG1429" s="30"/>
      <c r="AH1429" s="30"/>
      <c r="AI1429" s="31"/>
      <c r="AJ1429" s="31"/>
      <c r="AK1429" s="32"/>
    </row>
    <row r="1430">
      <c r="A1430" s="21" t="s">
        <v>686</v>
      </c>
      <c r="B1430" s="22" t="s">
        <v>450</v>
      </c>
      <c r="C1430" s="22" t="s">
        <v>82</v>
      </c>
      <c r="D1430" s="26">
        <v>45997.0</v>
      </c>
      <c r="E1430" s="22" t="s">
        <v>134</v>
      </c>
      <c r="F1430" s="22" t="s">
        <v>451</v>
      </c>
      <c r="G1430" s="22" t="s">
        <v>2864</v>
      </c>
      <c r="H1430" s="22" t="s">
        <v>686</v>
      </c>
      <c r="I1430" s="22">
        <v>1.0469938921795E13</v>
      </c>
      <c r="J1430" s="22" t="s">
        <v>453</v>
      </c>
      <c r="K1430" s="24"/>
      <c r="L1430" s="22" t="s">
        <v>688</v>
      </c>
      <c r="M1430" s="22">
        <v>2.0</v>
      </c>
      <c r="N1430" s="22" t="s">
        <v>455</v>
      </c>
      <c r="O1430" s="22" t="s">
        <v>456</v>
      </c>
      <c r="P1430" s="24"/>
      <c r="Q1430" s="22" t="s">
        <v>90</v>
      </c>
      <c r="R1430" s="22">
        <v>3.2775949615427E13</v>
      </c>
      <c r="S1430" s="24"/>
      <c r="T1430" s="24"/>
      <c r="U1430" s="24"/>
      <c r="V1430" s="30" t="s">
        <v>91</v>
      </c>
      <c r="W1430" s="33"/>
      <c r="X1430" s="33"/>
      <c r="Y1430" s="30"/>
      <c r="Z1430" s="30"/>
      <c r="AA1430" s="33"/>
      <c r="AB1430" s="33"/>
      <c r="AC1430" s="30"/>
      <c r="AD1430" s="30"/>
      <c r="AE1430" s="33"/>
      <c r="AF1430" s="31"/>
      <c r="AG1430" s="30"/>
      <c r="AH1430" s="30"/>
      <c r="AI1430" s="31"/>
      <c r="AJ1430" s="31"/>
      <c r="AK1430" s="32"/>
    </row>
    <row r="1431">
      <c r="A1431" s="28"/>
      <c r="B1431" s="22" t="s">
        <v>450</v>
      </c>
      <c r="C1431" s="22" t="s">
        <v>82</v>
      </c>
      <c r="D1431" s="26">
        <v>45997.0</v>
      </c>
      <c r="E1431" s="22" t="s">
        <v>134</v>
      </c>
      <c r="F1431" s="22" t="s">
        <v>451</v>
      </c>
      <c r="G1431" s="22" t="s">
        <v>2864</v>
      </c>
      <c r="H1431" s="29"/>
      <c r="I1431" s="22">
        <v>1.0469938921795E13</v>
      </c>
      <c r="J1431" s="22" t="s">
        <v>453</v>
      </c>
      <c r="K1431" s="24"/>
      <c r="L1431" s="22" t="s">
        <v>2865</v>
      </c>
      <c r="M1431" s="24"/>
      <c r="N1431" s="24"/>
      <c r="O1431" s="22" t="s">
        <v>1806</v>
      </c>
      <c r="P1431" s="24"/>
      <c r="Q1431" s="22" t="s">
        <v>769</v>
      </c>
      <c r="R1431" s="24"/>
      <c r="S1431" s="24"/>
      <c r="T1431" s="24"/>
      <c r="U1431" s="24"/>
      <c r="V1431" s="30"/>
      <c r="W1431" s="33"/>
      <c r="X1431" s="33"/>
      <c r="Y1431" s="30"/>
      <c r="Z1431" s="30"/>
      <c r="AA1431" s="33"/>
      <c r="AB1431" s="33"/>
      <c r="AC1431" s="30"/>
      <c r="AD1431" s="30"/>
      <c r="AE1431" s="33"/>
      <c r="AF1431" s="31"/>
      <c r="AG1431" s="30"/>
      <c r="AH1431" s="30"/>
      <c r="AI1431" s="31"/>
      <c r="AJ1431" s="31"/>
      <c r="AK1431" s="32"/>
    </row>
    <row r="1432">
      <c r="A1432" s="21" t="s">
        <v>375</v>
      </c>
      <c r="B1432" s="22" t="s">
        <v>512</v>
      </c>
      <c r="C1432" s="22" t="s">
        <v>82</v>
      </c>
      <c r="D1432" s="26">
        <v>45997.0</v>
      </c>
      <c r="E1432" s="22" t="s">
        <v>153</v>
      </c>
      <c r="F1432" s="22" t="s">
        <v>377</v>
      </c>
      <c r="G1432" s="22" t="s">
        <v>2866</v>
      </c>
      <c r="H1432" s="22" t="s">
        <v>375</v>
      </c>
      <c r="I1432" s="22">
        <v>1.0468903289155E13</v>
      </c>
      <c r="J1432" s="22" t="s">
        <v>514</v>
      </c>
      <c r="K1432" s="24"/>
      <c r="L1432" s="22" t="s">
        <v>380</v>
      </c>
      <c r="M1432" s="22">
        <v>1.0</v>
      </c>
      <c r="N1432" s="22" t="s">
        <v>381</v>
      </c>
      <c r="O1432" s="22" t="s">
        <v>382</v>
      </c>
      <c r="P1432" s="24"/>
      <c r="Q1432" s="22" t="s">
        <v>90</v>
      </c>
      <c r="R1432" s="22">
        <v>3.2773557059907E13</v>
      </c>
      <c r="S1432" s="24"/>
      <c r="T1432" s="24"/>
      <c r="U1432" s="24"/>
      <c r="V1432" s="30" t="s">
        <v>55</v>
      </c>
      <c r="W1432" s="33"/>
      <c r="X1432" s="33"/>
      <c r="Y1432" s="30"/>
      <c r="Z1432" s="30"/>
      <c r="AA1432" s="33"/>
      <c r="AB1432" s="33"/>
      <c r="AC1432" s="30"/>
      <c r="AD1432" s="30"/>
      <c r="AE1432" s="33"/>
      <c r="AF1432" s="31"/>
      <c r="AG1432" s="30"/>
      <c r="AH1432" s="30"/>
      <c r="AI1432" s="31"/>
      <c r="AJ1432" s="31"/>
      <c r="AK1432" s="32"/>
    </row>
    <row r="1433">
      <c r="A1433" s="28"/>
      <c r="B1433" s="22" t="s">
        <v>512</v>
      </c>
      <c r="C1433" s="22" t="s">
        <v>82</v>
      </c>
      <c r="D1433" s="26">
        <v>45997.0</v>
      </c>
      <c r="E1433" s="22" t="s">
        <v>153</v>
      </c>
      <c r="F1433" s="22" t="s">
        <v>377</v>
      </c>
      <c r="G1433" s="22" t="s">
        <v>2866</v>
      </c>
      <c r="H1433" s="29"/>
      <c r="I1433" s="22">
        <v>1.0468903289155E13</v>
      </c>
      <c r="J1433" s="22" t="s">
        <v>514</v>
      </c>
      <c r="K1433" s="24"/>
      <c r="L1433" s="22" t="s">
        <v>767</v>
      </c>
      <c r="M1433" s="24"/>
      <c r="N1433" s="24"/>
      <c r="O1433" s="22" t="s">
        <v>768</v>
      </c>
      <c r="P1433" s="24"/>
      <c r="Q1433" s="22" t="s">
        <v>769</v>
      </c>
      <c r="R1433" s="24"/>
      <c r="S1433" s="24"/>
      <c r="T1433" s="24"/>
      <c r="U1433" s="24"/>
      <c r="V1433" s="30"/>
      <c r="W1433" s="33"/>
      <c r="X1433" s="33"/>
      <c r="Y1433" s="30"/>
      <c r="Z1433" s="30"/>
      <c r="AA1433" s="33"/>
      <c r="AB1433" s="33"/>
      <c r="AC1433" s="30"/>
      <c r="AD1433" s="30"/>
      <c r="AE1433" s="33"/>
      <c r="AF1433" s="31"/>
      <c r="AG1433" s="30"/>
      <c r="AH1433" s="30"/>
      <c r="AI1433" s="31"/>
      <c r="AJ1433" s="31"/>
      <c r="AK1433" s="32"/>
    </row>
    <row r="1434">
      <c r="A1434" s="21" t="s">
        <v>806</v>
      </c>
      <c r="B1434" s="22" t="s">
        <v>2415</v>
      </c>
      <c r="C1434" s="22" t="s">
        <v>82</v>
      </c>
      <c r="D1434" s="26">
        <v>45997.0</v>
      </c>
      <c r="E1434" s="22" t="s">
        <v>975</v>
      </c>
      <c r="F1434" s="22" t="s">
        <v>278</v>
      </c>
      <c r="G1434" s="22" t="s">
        <v>2867</v>
      </c>
      <c r="H1434" s="22" t="s">
        <v>806</v>
      </c>
      <c r="I1434" s="22">
        <v>1.0468968956227E13</v>
      </c>
      <c r="J1434" s="22" t="s">
        <v>2417</v>
      </c>
      <c r="K1434" s="24"/>
      <c r="L1434" s="22" t="s">
        <v>809</v>
      </c>
      <c r="M1434" s="22">
        <v>1.0</v>
      </c>
      <c r="N1434" s="22" t="s">
        <v>282</v>
      </c>
      <c r="O1434" s="22" t="s">
        <v>283</v>
      </c>
      <c r="P1434" s="24"/>
      <c r="Q1434" s="22" t="s">
        <v>90</v>
      </c>
      <c r="R1434" s="22">
        <v>3.2773700845891E13</v>
      </c>
      <c r="S1434" s="24"/>
      <c r="T1434" s="24"/>
      <c r="U1434" s="24"/>
      <c r="V1434" s="30" t="s">
        <v>95</v>
      </c>
      <c r="W1434" s="33"/>
      <c r="X1434" s="33"/>
      <c r="Y1434" s="30"/>
      <c r="Z1434" s="30"/>
      <c r="AA1434" s="33"/>
      <c r="AB1434" s="33"/>
      <c r="AC1434" s="30"/>
      <c r="AD1434" s="30"/>
      <c r="AE1434" s="33"/>
      <c r="AF1434" s="31"/>
      <c r="AG1434" s="30"/>
      <c r="AH1434" s="30"/>
      <c r="AI1434" s="31"/>
      <c r="AJ1434" s="31"/>
      <c r="AK1434" s="32"/>
    </row>
    <row r="1435">
      <c r="A1435" s="21" t="s">
        <v>401</v>
      </c>
      <c r="B1435" s="22" t="s">
        <v>318</v>
      </c>
      <c r="C1435" s="22" t="s">
        <v>82</v>
      </c>
      <c r="D1435" s="26">
        <v>45997.0</v>
      </c>
      <c r="E1435" s="22" t="s">
        <v>196</v>
      </c>
      <c r="F1435" s="22" t="s">
        <v>319</v>
      </c>
      <c r="G1435" s="22" t="s">
        <v>2868</v>
      </c>
      <c r="H1435" s="22" t="s">
        <v>401</v>
      </c>
      <c r="I1435" s="22">
        <v>1.0470003081539E13</v>
      </c>
      <c r="J1435" s="22" t="s">
        <v>527</v>
      </c>
      <c r="K1435" s="24"/>
      <c r="L1435" s="22" t="s">
        <v>403</v>
      </c>
      <c r="M1435" s="22">
        <v>1.0</v>
      </c>
      <c r="N1435" s="22" t="s">
        <v>404</v>
      </c>
      <c r="O1435" s="22" t="s">
        <v>405</v>
      </c>
      <c r="P1435" s="24"/>
      <c r="Q1435" s="22" t="s">
        <v>90</v>
      </c>
      <c r="R1435" s="22">
        <v>3.2776095531331E13</v>
      </c>
      <c r="S1435" s="24"/>
      <c r="T1435" s="24"/>
      <c r="U1435" s="24"/>
      <c r="V1435" s="30" t="s">
        <v>127</v>
      </c>
      <c r="W1435" s="33"/>
      <c r="X1435" s="33"/>
      <c r="Y1435" s="30"/>
      <c r="Z1435" s="30"/>
      <c r="AA1435" s="33"/>
      <c r="AB1435" s="33"/>
      <c r="AC1435" s="30"/>
      <c r="AD1435" s="30"/>
      <c r="AE1435" s="33"/>
      <c r="AF1435" s="31"/>
      <c r="AG1435" s="30"/>
      <c r="AH1435" s="30"/>
      <c r="AI1435" s="31"/>
      <c r="AJ1435" s="31"/>
      <c r="AK1435" s="32"/>
    </row>
    <row r="1436">
      <c r="A1436" s="21" t="s">
        <v>592</v>
      </c>
      <c r="B1436" s="22" t="s">
        <v>1538</v>
      </c>
      <c r="C1436" s="22" t="s">
        <v>287</v>
      </c>
      <c r="D1436" s="26">
        <v>45994.0</v>
      </c>
      <c r="E1436" s="22" t="s">
        <v>192</v>
      </c>
      <c r="F1436" s="22" t="s">
        <v>311</v>
      </c>
      <c r="G1436" s="22" t="s">
        <v>2869</v>
      </c>
      <c r="H1436" s="22" t="s">
        <v>592</v>
      </c>
      <c r="I1436" s="22">
        <v>1.0470157386051E13</v>
      </c>
      <c r="J1436" s="22" t="s">
        <v>1540</v>
      </c>
      <c r="K1436" s="24"/>
      <c r="L1436" s="22" t="s">
        <v>594</v>
      </c>
      <c r="M1436" s="22">
        <v>1.0</v>
      </c>
      <c r="N1436" s="22" t="s">
        <v>391</v>
      </c>
      <c r="O1436" s="22" t="s">
        <v>392</v>
      </c>
      <c r="P1436" s="24"/>
      <c r="Q1436" s="22" t="s">
        <v>90</v>
      </c>
      <c r="R1436" s="22">
        <v>3.2776441233731E13</v>
      </c>
      <c r="S1436" s="24"/>
      <c r="T1436" s="24"/>
      <c r="U1436" s="24"/>
      <c r="V1436" s="30" t="s">
        <v>54</v>
      </c>
      <c r="W1436" s="33"/>
      <c r="X1436" s="33"/>
      <c r="Y1436" s="30"/>
      <c r="Z1436" s="30"/>
      <c r="AA1436" s="33"/>
      <c r="AB1436" s="33"/>
      <c r="AC1436" s="30"/>
      <c r="AD1436" s="30"/>
      <c r="AE1436" s="33"/>
      <c r="AF1436" s="31"/>
      <c r="AG1436" s="30"/>
      <c r="AH1436" s="30"/>
      <c r="AI1436" s="31"/>
      <c r="AJ1436" s="31"/>
      <c r="AK1436" s="32"/>
    </row>
    <row r="1437">
      <c r="A1437" s="21" t="s">
        <v>979</v>
      </c>
      <c r="B1437" s="22" t="s">
        <v>1498</v>
      </c>
      <c r="C1437" s="22" t="s">
        <v>82</v>
      </c>
      <c r="D1437" s="26">
        <v>45997.0</v>
      </c>
      <c r="E1437" s="22" t="s">
        <v>522</v>
      </c>
      <c r="F1437" s="22" t="s">
        <v>605</v>
      </c>
      <c r="G1437" s="22" t="s">
        <v>2870</v>
      </c>
      <c r="H1437" s="22" t="s">
        <v>979</v>
      </c>
      <c r="I1437" s="22">
        <v>1.0470182060355E13</v>
      </c>
      <c r="J1437" s="22" t="s">
        <v>1500</v>
      </c>
      <c r="K1437" s="24"/>
      <c r="L1437" s="22" t="s">
        <v>984</v>
      </c>
      <c r="M1437" s="22">
        <v>1.0</v>
      </c>
      <c r="N1437" s="22" t="s">
        <v>609</v>
      </c>
      <c r="O1437" s="22" t="s">
        <v>610</v>
      </c>
      <c r="P1437" s="24"/>
      <c r="Q1437" s="22" t="s">
        <v>90</v>
      </c>
      <c r="R1437" s="22">
        <v>3.2776494743875E13</v>
      </c>
      <c r="S1437" s="24"/>
      <c r="T1437" s="24"/>
      <c r="U1437" s="24"/>
      <c r="V1437" s="30" t="s">
        <v>55</v>
      </c>
      <c r="W1437" s="33"/>
      <c r="X1437" s="33"/>
      <c r="Y1437" s="30"/>
      <c r="Z1437" s="30"/>
      <c r="AA1437" s="33"/>
      <c r="AB1437" s="33"/>
      <c r="AC1437" s="30"/>
      <c r="AD1437" s="30"/>
      <c r="AE1437" s="33"/>
      <c r="AF1437" s="31"/>
      <c r="AG1437" s="30"/>
      <c r="AH1437" s="30"/>
      <c r="AI1437" s="31"/>
      <c r="AJ1437" s="31"/>
      <c r="AK1437" s="32"/>
    </row>
    <row r="1438">
      <c r="A1438" s="21" t="s">
        <v>375</v>
      </c>
      <c r="B1438" s="22" t="s">
        <v>653</v>
      </c>
      <c r="C1438" s="22" t="s">
        <v>82</v>
      </c>
      <c r="D1438" s="26">
        <v>45997.0</v>
      </c>
      <c r="E1438" s="22" t="s">
        <v>138</v>
      </c>
      <c r="F1438" s="22" t="s">
        <v>377</v>
      </c>
      <c r="G1438" s="22" t="s">
        <v>2871</v>
      </c>
      <c r="H1438" s="22" t="s">
        <v>375</v>
      </c>
      <c r="I1438" s="22">
        <v>1.0470224560451E13</v>
      </c>
      <c r="J1438" s="22" t="s">
        <v>655</v>
      </c>
      <c r="K1438" s="24"/>
      <c r="L1438" s="22" t="s">
        <v>380</v>
      </c>
      <c r="M1438" s="22">
        <v>1.0</v>
      </c>
      <c r="N1438" s="22" t="s">
        <v>381</v>
      </c>
      <c r="O1438" s="22" t="s">
        <v>382</v>
      </c>
      <c r="P1438" s="24"/>
      <c r="Q1438" s="22" t="s">
        <v>90</v>
      </c>
      <c r="R1438" s="22">
        <v>3.2776591409475E13</v>
      </c>
      <c r="S1438" s="24"/>
      <c r="T1438" s="24"/>
      <c r="U1438" s="24"/>
      <c r="V1438" s="30" t="s">
        <v>55</v>
      </c>
      <c r="W1438" s="33"/>
      <c r="X1438" s="33"/>
      <c r="Y1438" s="30"/>
      <c r="Z1438" s="30"/>
      <c r="AA1438" s="33"/>
      <c r="AB1438" s="33"/>
      <c r="AC1438" s="30"/>
      <c r="AD1438" s="30"/>
      <c r="AE1438" s="33"/>
      <c r="AF1438" s="31"/>
      <c r="AG1438" s="30"/>
      <c r="AH1438" s="30"/>
      <c r="AI1438" s="31"/>
      <c r="AJ1438" s="31"/>
      <c r="AK1438" s="32"/>
    </row>
    <row r="1439">
      <c r="A1439" s="21" t="s">
        <v>367</v>
      </c>
      <c r="B1439" s="22" t="s">
        <v>539</v>
      </c>
      <c r="C1439" s="22" t="s">
        <v>273</v>
      </c>
      <c r="D1439" s="26">
        <v>45998.0</v>
      </c>
      <c r="E1439" s="22" t="s">
        <v>149</v>
      </c>
      <c r="F1439" s="22" t="s">
        <v>369</v>
      </c>
      <c r="G1439" s="22" t="s">
        <v>2872</v>
      </c>
      <c r="H1439" s="22" t="s">
        <v>367</v>
      </c>
      <c r="I1439" s="22">
        <v>1.0470237143363E13</v>
      </c>
      <c r="J1439" s="22" t="s">
        <v>541</v>
      </c>
      <c r="K1439" s="24"/>
      <c r="L1439" s="22" t="s">
        <v>372</v>
      </c>
      <c r="M1439" s="22">
        <v>1.0</v>
      </c>
      <c r="N1439" s="22" t="s">
        <v>373</v>
      </c>
      <c r="O1439" s="22" t="s">
        <v>374</v>
      </c>
      <c r="P1439" s="24"/>
      <c r="Q1439" s="22" t="s">
        <v>90</v>
      </c>
      <c r="R1439" s="22">
        <v>3.2776620212547E13</v>
      </c>
      <c r="S1439" s="24"/>
      <c r="T1439" s="24"/>
      <c r="U1439" s="24"/>
      <c r="V1439" s="30" t="s">
        <v>55</v>
      </c>
      <c r="W1439" s="33"/>
      <c r="X1439" s="33"/>
      <c r="Y1439" s="30"/>
      <c r="Z1439" s="30"/>
      <c r="AA1439" s="33"/>
      <c r="AB1439" s="33"/>
      <c r="AC1439" s="30"/>
      <c r="AD1439" s="30"/>
      <c r="AE1439" s="33"/>
      <c r="AF1439" s="31"/>
      <c r="AG1439" s="30"/>
      <c r="AH1439" s="30"/>
      <c r="AI1439" s="31"/>
      <c r="AJ1439" s="31"/>
      <c r="AK1439" s="32"/>
    </row>
    <row r="1440">
      <c r="A1440" s="21" t="s">
        <v>124</v>
      </c>
      <c r="B1440" s="22" t="s">
        <v>1489</v>
      </c>
      <c r="C1440" s="22" t="s">
        <v>82</v>
      </c>
      <c r="D1440" s="26">
        <v>45997.0</v>
      </c>
      <c r="E1440" s="22" t="s">
        <v>266</v>
      </c>
      <c r="F1440" s="22" t="s">
        <v>83</v>
      </c>
      <c r="G1440" s="22" t="s">
        <v>2873</v>
      </c>
      <c r="H1440" s="22" t="s">
        <v>124</v>
      </c>
      <c r="I1440" s="22">
        <v>1.0470265717059E13</v>
      </c>
      <c r="J1440" s="22" t="s">
        <v>1491</v>
      </c>
      <c r="K1440" s="24"/>
      <c r="L1440" s="22" t="s">
        <v>126</v>
      </c>
      <c r="M1440" s="22">
        <v>1.0</v>
      </c>
      <c r="N1440" s="22" t="s">
        <v>103</v>
      </c>
      <c r="O1440" s="22" t="s">
        <v>104</v>
      </c>
      <c r="P1440" s="24"/>
      <c r="Q1440" s="22" t="s">
        <v>90</v>
      </c>
      <c r="R1440" s="22">
        <v>3.2776679096643E13</v>
      </c>
      <c r="S1440" s="24"/>
      <c r="T1440" s="24"/>
      <c r="U1440" s="24"/>
      <c r="V1440" s="30" t="s">
        <v>127</v>
      </c>
      <c r="W1440" s="33"/>
      <c r="X1440" s="33"/>
      <c r="Y1440" s="30"/>
      <c r="Z1440" s="30"/>
      <c r="AA1440" s="33"/>
      <c r="AB1440" s="33"/>
      <c r="AC1440" s="30"/>
      <c r="AD1440" s="30"/>
      <c r="AE1440" s="33"/>
      <c r="AF1440" s="31"/>
      <c r="AG1440" s="30"/>
      <c r="AH1440" s="30"/>
      <c r="AI1440" s="31"/>
      <c r="AJ1440" s="31"/>
      <c r="AK1440" s="32"/>
    </row>
    <row r="1441">
      <c r="A1441" s="21" t="s">
        <v>724</v>
      </c>
      <c r="B1441" s="22" t="s">
        <v>318</v>
      </c>
      <c r="C1441" s="22" t="s">
        <v>82</v>
      </c>
      <c r="D1441" s="26">
        <v>45997.0</v>
      </c>
      <c r="E1441" s="22" t="s">
        <v>196</v>
      </c>
      <c r="F1441" s="22" t="s">
        <v>319</v>
      </c>
      <c r="G1441" s="22" t="s">
        <v>2874</v>
      </c>
      <c r="H1441" s="22" t="s">
        <v>724</v>
      </c>
      <c r="I1441" s="22">
        <v>1.0470299664707E13</v>
      </c>
      <c r="J1441" s="22" t="s">
        <v>527</v>
      </c>
      <c r="K1441" s="24"/>
      <c r="L1441" s="22" t="s">
        <v>726</v>
      </c>
      <c r="M1441" s="22">
        <v>1.0</v>
      </c>
      <c r="N1441" s="22" t="s">
        <v>323</v>
      </c>
      <c r="O1441" s="22" t="s">
        <v>324</v>
      </c>
      <c r="P1441" s="24"/>
      <c r="Q1441" s="22" t="s">
        <v>90</v>
      </c>
      <c r="R1441" s="22">
        <v>3.2776747450691E13</v>
      </c>
      <c r="S1441" s="24"/>
      <c r="T1441" s="24"/>
      <c r="U1441" s="24"/>
      <c r="V1441" s="30" t="s">
        <v>95</v>
      </c>
      <c r="W1441" s="33"/>
      <c r="X1441" s="33"/>
      <c r="Y1441" s="30"/>
      <c r="Z1441" s="30"/>
      <c r="AA1441" s="33"/>
      <c r="AB1441" s="33"/>
      <c r="AC1441" s="30"/>
      <c r="AD1441" s="30"/>
      <c r="AE1441" s="33"/>
      <c r="AF1441" s="31"/>
      <c r="AG1441" s="30"/>
      <c r="AH1441" s="30"/>
      <c r="AI1441" s="31"/>
      <c r="AJ1441" s="31"/>
      <c r="AK1441" s="32"/>
    </row>
    <row r="1442">
      <c r="A1442" s="28"/>
      <c r="B1442" s="22" t="s">
        <v>318</v>
      </c>
      <c r="C1442" s="22" t="s">
        <v>82</v>
      </c>
      <c r="D1442" s="26">
        <v>45997.0</v>
      </c>
      <c r="E1442" s="22" t="s">
        <v>196</v>
      </c>
      <c r="F1442" s="22" t="s">
        <v>319</v>
      </c>
      <c r="G1442" s="22" t="s">
        <v>2874</v>
      </c>
      <c r="H1442" s="29"/>
      <c r="I1442" s="22">
        <v>1.0470299664707E13</v>
      </c>
      <c r="J1442" s="22" t="s">
        <v>527</v>
      </c>
      <c r="K1442" s="24"/>
      <c r="L1442" s="22" t="s">
        <v>2875</v>
      </c>
      <c r="M1442" s="24"/>
      <c r="N1442" s="24"/>
      <c r="O1442" s="22" t="s">
        <v>768</v>
      </c>
      <c r="P1442" s="24"/>
      <c r="Q1442" s="22" t="s">
        <v>769</v>
      </c>
      <c r="R1442" s="24"/>
      <c r="S1442" s="24"/>
      <c r="T1442" s="24"/>
      <c r="U1442" s="24"/>
      <c r="V1442" s="30"/>
      <c r="W1442" s="33"/>
      <c r="X1442" s="33"/>
      <c r="Y1442" s="30"/>
      <c r="Z1442" s="30"/>
      <c r="AA1442" s="33"/>
      <c r="AB1442" s="33"/>
      <c r="AC1442" s="30"/>
      <c r="AD1442" s="30"/>
      <c r="AE1442" s="33"/>
      <c r="AF1442" s="31"/>
      <c r="AG1442" s="30"/>
      <c r="AH1442" s="30"/>
      <c r="AI1442" s="31"/>
      <c r="AJ1442" s="31"/>
      <c r="AK1442" s="32"/>
    </row>
    <row r="1443">
      <c r="A1443" s="21" t="s">
        <v>867</v>
      </c>
      <c r="B1443" s="22" t="s">
        <v>2798</v>
      </c>
      <c r="C1443" s="22" t="s">
        <v>273</v>
      </c>
      <c r="D1443" s="26">
        <v>45998.0</v>
      </c>
      <c r="E1443" s="22" t="s">
        <v>1117</v>
      </c>
      <c r="F1443" s="22" t="s">
        <v>869</v>
      </c>
      <c r="G1443" s="22" t="s">
        <v>2876</v>
      </c>
      <c r="H1443" s="22" t="s">
        <v>867</v>
      </c>
      <c r="I1443" s="22">
        <v>1.0470319784259E13</v>
      </c>
      <c r="J1443" s="22" t="s">
        <v>2800</v>
      </c>
      <c r="K1443" s="24"/>
      <c r="L1443" s="22" t="s">
        <v>872</v>
      </c>
      <c r="M1443" s="22">
        <v>1.0</v>
      </c>
      <c r="N1443" s="22" t="s">
        <v>873</v>
      </c>
      <c r="O1443" s="22" t="s">
        <v>874</v>
      </c>
      <c r="P1443" s="24"/>
      <c r="Q1443" s="22" t="s">
        <v>90</v>
      </c>
      <c r="R1443" s="22">
        <v>3.2776792113475E13</v>
      </c>
      <c r="S1443" s="24"/>
      <c r="T1443" s="24"/>
      <c r="U1443" s="24"/>
      <c r="V1443" s="30" t="s">
        <v>55</v>
      </c>
      <c r="W1443" s="33"/>
      <c r="X1443" s="33"/>
      <c r="Y1443" s="30"/>
      <c r="Z1443" s="30"/>
      <c r="AA1443" s="33"/>
      <c r="AB1443" s="33"/>
      <c r="AC1443" s="30"/>
      <c r="AD1443" s="30"/>
      <c r="AE1443" s="33"/>
      <c r="AF1443" s="31"/>
      <c r="AG1443" s="30"/>
      <c r="AH1443" s="30"/>
      <c r="AI1443" s="31"/>
      <c r="AJ1443" s="31"/>
      <c r="AK1443" s="32"/>
    </row>
    <row r="1444">
      <c r="A1444" s="21" t="s">
        <v>99</v>
      </c>
      <c r="B1444" s="22" t="s">
        <v>1408</v>
      </c>
      <c r="C1444" s="22" t="s">
        <v>273</v>
      </c>
      <c r="D1444" s="26">
        <v>45998.0</v>
      </c>
      <c r="E1444" s="22" t="s">
        <v>153</v>
      </c>
      <c r="F1444" s="22" t="s">
        <v>83</v>
      </c>
      <c r="G1444" s="22" t="s">
        <v>2877</v>
      </c>
      <c r="H1444" s="22" t="s">
        <v>99</v>
      </c>
      <c r="I1444" s="22">
        <v>1.0470373130563E13</v>
      </c>
      <c r="J1444" s="22" t="s">
        <v>1410</v>
      </c>
      <c r="K1444" s="24"/>
      <c r="L1444" s="22" t="s">
        <v>102</v>
      </c>
      <c r="M1444" s="22">
        <v>1.0</v>
      </c>
      <c r="N1444" s="22" t="s">
        <v>103</v>
      </c>
      <c r="O1444" s="22" t="s">
        <v>104</v>
      </c>
      <c r="P1444" s="24"/>
      <c r="Q1444" s="22" t="s">
        <v>90</v>
      </c>
      <c r="R1444" s="22">
        <v>3.2776917123395E13</v>
      </c>
      <c r="S1444" s="24"/>
      <c r="T1444" s="24"/>
      <c r="U1444" s="24"/>
      <c r="V1444" s="30" t="s">
        <v>105</v>
      </c>
      <c r="W1444" s="33"/>
      <c r="X1444" s="33"/>
      <c r="Y1444" s="30"/>
      <c r="Z1444" s="30"/>
      <c r="AA1444" s="33"/>
      <c r="AB1444" s="33"/>
      <c r="AC1444" s="30"/>
      <c r="AD1444" s="30"/>
      <c r="AE1444" s="33"/>
      <c r="AF1444" s="31"/>
      <c r="AG1444" s="30"/>
      <c r="AH1444" s="30"/>
      <c r="AI1444" s="31"/>
      <c r="AJ1444" s="31"/>
      <c r="AK1444" s="32"/>
    </row>
    <row r="1445">
      <c r="A1445" s="21" t="s">
        <v>560</v>
      </c>
      <c r="B1445" s="22" t="s">
        <v>2878</v>
      </c>
      <c r="C1445" s="22" t="s">
        <v>273</v>
      </c>
      <c r="D1445" s="23">
        <v>45991.0</v>
      </c>
      <c r="E1445" s="22" t="s">
        <v>149</v>
      </c>
      <c r="F1445" s="22" t="s">
        <v>356</v>
      </c>
      <c r="G1445" s="22" t="s">
        <v>2879</v>
      </c>
      <c r="H1445" s="22" t="s">
        <v>560</v>
      </c>
      <c r="I1445" s="22">
        <v>1.0470502170947E13</v>
      </c>
      <c r="J1445" s="22" t="s">
        <v>562</v>
      </c>
      <c r="K1445" s="24"/>
      <c r="L1445" s="22" t="s">
        <v>563</v>
      </c>
      <c r="M1445" s="22">
        <v>1.0</v>
      </c>
      <c r="N1445" s="22" t="s">
        <v>360</v>
      </c>
      <c r="O1445" s="22" t="s">
        <v>361</v>
      </c>
      <c r="P1445" s="24"/>
      <c r="Q1445" s="22" t="s">
        <v>90</v>
      </c>
      <c r="R1445" s="22">
        <v>3.2777206726979E13</v>
      </c>
      <c r="S1445" s="24"/>
      <c r="T1445" s="24"/>
      <c r="U1445" s="24"/>
      <c r="V1445" s="30" t="s">
        <v>91</v>
      </c>
      <c r="W1445" s="33"/>
      <c r="X1445" s="33"/>
      <c r="Y1445" s="30"/>
      <c r="Z1445" s="30"/>
      <c r="AA1445" s="33"/>
      <c r="AB1445" s="33"/>
      <c r="AC1445" s="30"/>
      <c r="AD1445" s="30"/>
      <c r="AE1445" s="33"/>
      <c r="AF1445" s="31"/>
      <c r="AG1445" s="30"/>
      <c r="AH1445" s="30"/>
      <c r="AI1445" s="31"/>
      <c r="AJ1445" s="31"/>
      <c r="AK1445" s="32"/>
    </row>
    <row r="1446">
      <c r="A1446" s="21" t="s">
        <v>375</v>
      </c>
      <c r="B1446" s="22" t="s">
        <v>512</v>
      </c>
      <c r="C1446" s="22" t="s">
        <v>82</v>
      </c>
      <c r="D1446" s="26">
        <v>45997.0</v>
      </c>
      <c r="E1446" s="22" t="s">
        <v>153</v>
      </c>
      <c r="F1446" s="22" t="s">
        <v>377</v>
      </c>
      <c r="G1446" s="22" t="s">
        <v>2880</v>
      </c>
      <c r="H1446" s="22" t="s">
        <v>375</v>
      </c>
      <c r="I1446" s="22">
        <v>1.0470513279299E13</v>
      </c>
      <c r="J1446" s="22" t="s">
        <v>514</v>
      </c>
      <c r="K1446" s="24"/>
      <c r="L1446" s="22" t="s">
        <v>380</v>
      </c>
      <c r="M1446" s="22">
        <v>1.0</v>
      </c>
      <c r="N1446" s="22" t="s">
        <v>381</v>
      </c>
      <c r="O1446" s="22" t="s">
        <v>382</v>
      </c>
      <c r="P1446" s="24"/>
      <c r="Q1446" s="22" t="s">
        <v>90</v>
      </c>
      <c r="R1446" s="22">
        <v>3.2777232974147E13</v>
      </c>
      <c r="S1446" s="24"/>
      <c r="T1446" s="24"/>
      <c r="U1446" s="24"/>
      <c r="V1446" s="30" t="s">
        <v>55</v>
      </c>
      <c r="W1446" s="33"/>
      <c r="X1446" s="33"/>
      <c r="Y1446" s="30"/>
      <c r="Z1446" s="30"/>
      <c r="AA1446" s="33"/>
      <c r="AB1446" s="33"/>
      <c r="AC1446" s="30"/>
      <c r="AD1446" s="30"/>
      <c r="AE1446" s="33"/>
      <c r="AF1446" s="31"/>
      <c r="AG1446" s="30"/>
      <c r="AH1446" s="30"/>
      <c r="AI1446" s="31"/>
      <c r="AJ1446" s="31"/>
      <c r="AK1446" s="32"/>
    </row>
    <row r="1447">
      <c r="A1447" s="21" t="s">
        <v>386</v>
      </c>
      <c r="B1447" s="22" t="s">
        <v>1000</v>
      </c>
      <c r="C1447" s="22" t="s">
        <v>273</v>
      </c>
      <c r="D1447" s="26">
        <v>45998.0</v>
      </c>
      <c r="E1447" s="22" t="s">
        <v>134</v>
      </c>
      <c r="F1447" s="22" t="s">
        <v>311</v>
      </c>
      <c r="G1447" s="22" t="s">
        <v>2881</v>
      </c>
      <c r="H1447" s="22" t="s">
        <v>386</v>
      </c>
      <c r="I1447" s="22">
        <v>1.0470517047619E13</v>
      </c>
      <c r="J1447" s="22" t="s">
        <v>1002</v>
      </c>
      <c r="K1447" s="24"/>
      <c r="L1447" s="22" t="s">
        <v>390</v>
      </c>
      <c r="M1447" s="22">
        <v>1.0</v>
      </c>
      <c r="N1447" s="22" t="s">
        <v>391</v>
      </c>
      <c r="O1447" s="22" t="s">
        <v>392</v>
      </c>
      <c r="P1447" s="24"/>
      <c r="Q1447" s="22" t="s">
        <v>90</v>
      </c>
      <c r="R1447" s="22">
        <v>3.2777241559363E13</v>
      </c>
      <c r="S1447" s="24"/>
      <c r="T1447" s="24"/>
      <c r="U1447" s="24"/>
      <c r="V1447" s="30" t="s">
        <v>55</v>
      </c>
      <c r="W1447" s="33"/>
      <c r="X1447" s="33"/>
      <c r="Y1447" s="30"/>
      <c r="Z1447" s="30"/>
      <c r="AA1447" s="33"/>
      <c r="AB1447" s="33"/>
      <c r="AC1447" s="30"/>
      <c r="AD1447" s="30"/>
      <c r="AE1447" s="33"/>
      <c r="AF1447" s="31"/>
      <c r="AG1447" s="30"/>
      <c r="AH1447" s="30"/>
      <c r="AI1447" s="31"/>
      <c r="AJ1447" s="31"/>
      <c r="AK1447" s="32"/>
    </row>
    <row r="1448">
      <c r="A1448" s="21" t="s">
        <v>276</v>
      </c>
      <c r="B1448" s="22" t="s">
        <v>2237</v>
      </c>
      <c r="C1448" s="22" t="s">
        <v>82</v>
      </c>
      <c r="D1448" s="26">
        <v>45997.0</v>
      </c>
      <c r="E1448" s="22" t="s">
        <v>439</v>
      </c>
      <c r="F1448" s="22" t="s">
        <v>278</v>
      </c>
      <c r="G1448" s="22" t="s">
        <v>2882</v>
      </c>
      <c r="H1448" s="22" t="s">
        <v>276</v>
      </c>
      <c r="I1448" s="22">
        <v>1.0470560760131E13</v>
      </c>
      <c r="J1448" s="22" t="s">
        <v>2239</v>
      </c>
      <c r="K1448" s="24"/>
      <c r="L1448" s="22" t="s">
        <v>281</v>
      </c>
      <c r="M1448" s="22">
        <v>1.0</v>
      </c>
      <c r="N1448" s="22" t="s">
        <v>282</v>
      </c>
      <c r="O1448" s="22" t="s">
        <v>283</v>
      </c>
      <c r="P1448" s="24"/>
      <c r="Q1448" s="22" t="s">
        <v>90</v>
      </c>
      <c r="R1448" s="22">
        <v>3.2777331474755E13</v>
      </c>
      <c r="S1448" s="24"/>
      <c r="T1448" s="24"/>
      <c r="U1448" s="24"/>
      <c r="V1448" s="30" t="s">
        <v>55</v>
      </c>
      <c r="W1448" s="33"/>
      <c r="X1448" s="33"/>
      <c r="Y1448" s="30"/>
      <c r="Z1448" s="30"/>
      <c r="AA1448" s="33"/>
      <c r="AB1448" s="33"/>
      <c r="AC1448" s="30"/>
      <c r="AD1448" s="30"/>
      <c r="AE1448" s="33"/>
      <c r="AF1448" s="31"/>
      <c r="AG1448" s="30"/>
      <c r="AH1448" s="30"/>
      <c r="AI1448" s="31"/>
      <c r="AJ1448" s="31"/>
      <c r="AK1448" s="32"/>
    </row>
    <row r="1449">
      <c r="A1449" s="21" t="s">
        <v>1180</v>
      </c>
      <c r="B1449" s="22" t="s">
        <v>2514</v>
      </c>
      <c r="C1449" s="22" t="s">
        <v>82</v>
      </c>
      <c r="D1449" s="26">
        <v>45997.0</v>
      </c>
      <c r="E1449" s="22" t="s">
        <v>196</v>
      </c>
      <c r="F1449" s="22" t="s">
        <v>623</v>
      </c>
      <c r="G1449" s="22" t="s">
        <v>2883</v>
      </c>
      <c r="H1449" s="22" t="s">
        <v>1180</v>
      </c>
      <c r="I1449" s="22">
        <v>1.0470593265987E13</v>
      </c>
      <c r="J1449" s="22" t="s">
        <v>2516</v>
      </c>
      <c r="K1449" s="24"/>
      <c r="L1449" s="22" t="s">
        <v>1182</v>
      </c>
      <c r="M1449" s="22">
        <v>1.0</v>
      </c>
      <c r="N1449" s="22" t="s">
        <v>1088</v>
      </c>
      <c r="O1449" s="22" t="s">
        <v>1089</v>
      </c>
      <c r="P1449" s="24"/>
      <c r="Q1449" s="22" t="s">
        <v>90</v>
      </c>
      <c r="R1449" s="22">
        <v>3.2777400123715E13</v>
      </c>
      <c r="S1449" s="24"/>
      <c r="T1449" s="24"/>
      <c r="U1449" s="24"/>
      <c r="V1449" s="30" t="s">
        <v>105</v>
      </c>
      <c r="W1449" s="33"/>
      <c r="X1449" s="33"/>
      <c r="Y1449" s="30"/>
      <c r="Z1449" s="30"/>
      <c r="AA1449" s="33"/>
      <c r="AB1449" s="33"/>
      <c r="AC1449" s="30"/>
      <c r="AD1449" s="30"/>
      <c r="AE1449" s="33"/>
      <c r="AF1449" s="31"/>
      <c r="AG1449" s="30"/>
      <c r="AH1449" s="30"/>
      <c r="AI1449" s="31"/>
      <c r="AJ1449" s="31"/>
      <c r="AK1449" s="32"/>
    </row>
    <row r="1450">
      <c r="A1450" s="21" t="s">
        <v>584</v>
      </c>
      <c r="B1450" s="22" t="s">
        <v>512</v>
      </c>
      <c r="C1450" s="22" t="s">
        <v>82</v>
      </c>
      <c r="D1450" s="26">
        <v>45997.0</v>
      </c>
      <c r="E1450" s="22" t="s">
        <v>153</v>
      </c>
      <c r="F1450" s="22" t="s">
        <v>377</v>
      </c>
      <c r="G1450" s="22" t="s">
        <v>2884</v>
      </c>
      <c r="H1450" s="22" t="s">
        <v>584</v>
      </c>
      <c r="I1450" s="22">
        <v>1.0470716604739E13</v>
      </c>
      <c r="J1450" s="22" t="s">
        <v>514</v>
      </c>
      <c r="K1450" s="24"/>
      <c r="L1450" s="22" t="s">
        <v>586</v>
      </c>
      <c r="M1450" s="22">
        <v>1.0</v>
      </c>
      <c r="N1450" s="22" t="s">
        <v>413</v>
      </c>
      <c r="O1450" s="22" t="s">
        <v>414</v>
      </c>
      <c r="P1450" s="24"/>
      <c r="Q1450" s="22" t="s">
        <v>90</v>
      </c>
      <c r="R1450" s="22">
        <v>3.2777670787395E13</v>
      </c>
      <c r="S1450" s="24"/>
      <c r="T1450" s="24"/>
      <c r="U1450" s="24"/>
      <c r="V1450" s="30" t="s">
        <v>105</v>
      </c>
      <c r="W1450" s="33"/>
      <c r="X1450" s="33"/>
      <c r="Y1450" s="30"/>
      <c r="Z1450" s="30"/>
      <c r="AA1450" s="33"/>
      <c r="AB1450" s="33"/>
      <c r="AC1450" s="30"/>
      <c r="AD1450" s="30"/>
      <c r="AE1450" s="33"/>
      <c r="AF1450" s="31"/>
      <c r="AG1450" s="30"/>
      <c r="AH1450" s="30"/>
      <c r="AI1450" s="31"/>
      <c r="AJ1450" s="31"/>
      <c r="AK1450" s="32"/>
    </row>
    <row r="1451">
      <c r="A1451" s="28"/>
      <c r="B1451" s="22" t="s">
        <v>512</v>
      </c>
      <c r="C1451" s="22" t="s">
        <v>82</v>
      </c>
      <c r="D1451" s="26">
        <v>45997.0</v>
      </c>
      <c r="E1451" s="22" t="s">
        <v>153</v>
      </c>
      <c r="F1451" s="22" t="s">
        <v>377</v>
      </c>
      <c r="G1451" s="22" t="s">
        <v>2884</v>
      </c>
      <c r="H1451" s="29"/>
      <c r="I1451" s="22">
        <v>1.0470716604739E13</v>
      </c>
      <c r="J1451" s="22" t="s">
        <v>514</v>
      </c>
      <c r="K1451" s="24"/>
      <c r="L1451" s="22" t="s">
        <v>2885</v>
      </c>
      <c r="M1451" s="24"/>
      <c r="N1451" s="24"/>
      <c r="O1451" s="22" t="s">
        <v>1806</v>
      </c>
      <c r="P1451" s="24"/>
      <c r="Q1451" s="22" t="s">
        <v>769</v>
      </c>
      <c r="R1451" s="24"/>
      <c r="S1451" s="24"/>
      <c r="T1451" s="24"/>
      <c r="U1451" s="24"/>
      <c r="V1451" s="30"/>
      <c r="W1451" s="33"/>
      <c r="X1451" s="33"/>
      <c r="Y1451" s="30"/>
      <c r="Z1451" s="30"/>
      <c r="AA1451" s="33"/>
      <c r="AB1451" s="33"/>
      <c r="AC1451" s="30"/>
      <c r="AD1451" s="30"/>
      <c r="AE1451" s="33"/>
      <c r="AF1451" s="31"/>
      <c r="AG1451" s="30"/>
      <c r="AH1451" s="30"/>
      <c r="AI1451" s="31"/>
      <c r="AJ1451" s="31"/>
      <c r="AK1451" s="32"/>
    </row>
    <row r="1452">
      <c r="A1452" s="21" t="s">
        <v>141</v>
      </c>
      <c r="B1452" s="22" t="s">
        <v>2886</v>
      </c>
      <c r="C1452" s="22" t="s">
        <v>273</v>
      </c>
      <c r="D1452" s="26">
        <v>45998.0</v>
      </c>
      <c r="E1452" s="22" t="s">
        <v>497</v>
      </c>
      <c r="F1452" s="22" t="s">
        <v>83</v>
      </c>
      <c r="G1452" s="22" t="s">
        <v>2887</v>
      </c>
      <c r="H1452" s="22" t="s">
        <v>141</v>
      </c>
      <c r="I1452" s="22">
        <v>1.0470730268995E13</v>
      </c>
      <c r="J1452" s="22" t="s">
        <v>2888</v>
      </c>
      <c r="K1452" s="24"/>
      <c r="L1452" s="22" t="s">
        <v>143</v>
      </c>
      <c r="M1452" s="22">
        <v>1.0</v>
      </c>
      <c r="N1452" s="22" t="s">
        <v>87</v>
      </c>
      <c r="O1452" s="22" t="s">
        <v>88</v>
      </c>
      <c r="P1452" s="24"/>
      <c r="Q1452" s="22" t="s">
        <v>90</v>
      </c>
      <c r="R1452" s="22">
        <v>3.2777698804035E13</v>
      </c>
      <c r="S1452" s="24"/>
      <c r="T1452" s="24"/>
      <c r="U1452" s="24"/>
      <c r="V1452" s="30" t="s">
        <v>54</v>
      </c>
      <c r="W1452" s="33"/>
      <c r="X1452" s="33"/>
      <c r="Y1452" s="30"/>
      <c r="Z1452" s="30"/>
      <c r="AA1452" s="33"/>
      <c r="AB1452" s="33"/>
      <c r="AC1452" s="30"/>
      <c r="AD1452" s="30"/>
      <c r="AE1452" s="33"/>
      <c r="AF1452" s="31"/>
      <c r="AG1452" s="30"/>
      <c r="AH1452" s="30"/>
      <c r="AI1452" s="31"/>
      <c r="AJ1452" s="31"/>
      <c r="AK1452" s="32"/>
    </row>
    <row r="1453">
      <c r="A1453" s="21" t="s">
        <v>1370</v>
      </c>
      <c r="B1453" s="22" t="s">
        <v>1176</v>
      </c>
      <c r="C1453" s="22" t="s">
        <v>273</v>
      </c>
      <c r="D1453" s="23">
        <v>45991.0</v>
      </c>
      <c r="E1453" s="22" t="s">
        <v>138</v>
      </c>
      <c r="F1453" s="22" t="s">
        <v>329</v>
      </c>
      <c r="G1453" s="22" t="s">
        <v>2889</v>
      </c>
      <c r="H1453" s="22" t="s">
        <v>1370</v>
      </c>
      <c r="I1453" s="22">
        <v>1.0470763233603E13</v>
      </c>
      <c r="J1453" s="22" t="s">
        <v>1178</v>
      </c>
      <c r="K1453" s="24"/>
      <c r="L1453" s="22" t="s">
        <v>1372</v>
      </c>
      <c r="M1453" s="22">
        <v>1.0</v>
      </c>
      <c r="N1453" s="22" t="s">
        <v>333</v>
      </c>
      <c r="O1453" s="22" t="s">
        <v>334</v>
      </c>
      <c r="P1453" s="24"/>
      <c r="Q1453" s="22" t="s">
        <v>90</v>
      </c>
      <c r="R1453" s="22">
        <v>3.2777771024707E13</v>
      </c>
      <c r="S1453" s="24"/>
      <c r="T1453" s="24"/>
      <c r="U1453" s="24"/>
      <c r="V1453" s="30" t="s">
        <v>91</v>
      </c>
      <c r="W1453" s="33"/>
      <c r="X1453" s="33"/>
      <c r="Y1453" s="30"/>
      <c r="Z1453" s="30"/>
      <c r="AA1453" s="33"/>
      <c r="AB1453" s="33"/>
      <c r="AC1453" s="30"/>
      <c r="AD1453" s="30"/>
      <c r="AE1453" s="33"/>
      <c r="AF1453" s="31"/>
      <c r="AG1453" s="30"/>
      <c r="AH1453" s="30"/>
      <c r="AI1453" s="31"/>
      <c r="AJ1453" s="31"/>
      <c r="AK1453" s="32"/>
    </row>
    <row r="1454">
      <c r="A1454" s="21" t="s">
        <v>584</v>
      </c>
      <c r="B1454" s="22" t="s">
        <v>416</v>
      </c>
      <c r="C1454" s="22" t="s">
        <v>82</v>
      </c>
      <c r="D1454" s="26">
        <v>45997.0</v>
      </c>
      <c r="E1454" s="22" t="s">
        <v>134</v>
      </c>
      <c r="F1454" s="22" t="s">
        <v>377</v>
      </c>
      <c r="G1454" s="22" t="s">
        <v>2890</v>
      </c>
      <c r="H1454" s="22" t="s">
        <v>584</v>
      </c>
      <c r="I1454" s="22">
        <v>1.0470780797251E13</v>
      </c>
      <c r="J1454" s="22" t="s">
        <v>1017</v>
      </c>
      <c r="K1454" s="24"/>
      <c r="L1454" s="22" t="s">
        <v>586</v>
      </c>
      <c r="M1454" s="22">
        <v>1.0</v>
      </c>
      <c r="N1454" s="22" t="s">
        <v>413</v>
      </c>
      <c r="O1454" s="22" t="s">
        <v>414</v>
      </c>
      <c r="P1454" s="24"/>
      <c r="Q1454" s="22" t="s">
        <v>90</v>
      </c>
      <c r="R1454" s="22">
        <v>3.2777808544067E13</v>
      </c>
      <c r="S1454" s="24"/>
      <c r="T1454" s="24"/>
      <c r="U1454" s="24"/>
      <c r="V1454" s="30" t="s">
        <v>105</v>
      </c>
      <c r="W1454" s="33"/>
      <c r="X1454" s="33"/>
      <c r="Y1454" s="30"/>
      <c r="Z1454" s="30"/>
      <c r="AA1454" s="33"/>
      <c r="AB1454" s="33"/>
      <c r="AC1454" s="30"/>
      <c r="AD1454" s="30"/>
      <c r="AE1454" s="33"/>
      <c r="AF1454" s="31"/>
      <c r="AG1454" s="30"/>
      <c r="AH1454" s="30"/>
      <c r="AI1454" s="31"/>
      <c r="AJ1454" s="31"/>
      <c r="AK1454" s="32"/>
    </row>
    <row r="1455">
      <c r="A1455" s="21" t="s">
        <v>2140</v>
      </c>
      <c r="B1455" s="22" t="s">
        <v>770</v>
      </c>
      <c r="C1455" s="22" t="s">
        <v>82</v>
      </c>
      <c r="D1455" s="26">
        <v>45997.0</v>
      </c>
      <c r="E1455" s="22" t="s">
        <v>181</v>
      </c>
      <c r="F1455" s="22" t="s">
        <v>319</v>
      </c>
      <c r="G1455" s="22" t="s">
        <v>2891</v>
      </c>
      <c r="H1455" s="22" t="s">
        <v>2140</v>
      </c>
      <c r="I1455" s="22">
        <v>1.0470786138435E13</v>
      </c>
      <c r="J1455" s="22" t="s">
        <v>772</v>
      </c>
      <c r="K1455" s="24"/>
      <c r="L1455" s="22" t="s">
        <v>2142</v>
      </c>
      <c r="M1455" s="22">
        <v>1.0</v>
      </c>
      <c r="N1455" s="22" t="s">
        <v>323</v>
      </c>
      <c r="O1455" s="22" t="s">
        <v>324</v>
      </c>
      <c r="P1455" s="24"/>
      <c r="Q1455" s="22" t="s">
        <v>90</v>
      </c>
      <c r="R1455" s="22">
        <v>3.2777818964291E13</v>
      </c>
      <c r="S1455" s="24"/>
      <c r="T1455" s="24"/>
      <c r="U1455" s="24"/>
      <c r="V1455" s="30" t="s">
        <v>54</v>
      </c>
      <c r="W1455" s="33"/>
      <c r="X1455" s="33"/>
      <c r="Y1455" s="30"/>
      <c r="Z1455" s="30"/>
      <c r="AA1455" s="33"/>
      <c r="AB1455" s="33"/>
      <c r="AC1455" s="30"/>
      <c r="AD1455" s="30"/>
      <c r="AE1455" s="33"/>
      <c r="AF1455" s="31"/>
      <c r="AG1455" s="30"/>
      <c r="AH1455" s="30"/>
      <c r="AI1455" s="31"/>
      <c r="AJ1455" s="31"/>
      <c r="AK1455" s="32"/>
    </row>
    <row r="1456">
      <c r="A1456" s="21" t="s">
        <v>99</v>
      </c>
      <c r="B1456" s="22" t="s">
        <v>1857</v>
      </c>
      <c r="C1456" s="22" t="s">
        <v>202</v>
      </c>
      <c r="D1456" s="26">
        <v>45996.0</v>
      </c>
      <c r="E1456" s="22" t="s">
        <v>149</v>
      </c>
      <c r="F1456" s="22" t="s">
        <v>83</v>
      </c>
      <c r="G1456" s="22" t="s">
        <v>2892</v>
      </c>
      <c r="H1456" s="22" t="s">
        <v>99</v>
      </c>
      <c r="I1456" s="22">
        <v>1.0470798000451E13</v>
      </c>
      <c r="J1456" s="22" t="s">
        <v>1859</v>
      </c>
      <c r="K1456" s="24"/>
      <c r="L1456" s="22" t="s">
        <v>102</v>
      </c>
      <c r="M1456" s="22">
        <v>1.0</v>
      </c>
      <c r="N1456" s="22" t="s">
        <v>103</v>
      </c>
      <c r="O1456" s="22" t="s">
        <v>104</v>
      </c>
      <c r="P1456" s="24"/>
      <c r="Q1456" s="22" t="s">
        <v>90</v>
      </c>
      <c r="R1456" s="22">
        <v>3.2777845342531E13</v>
      </c>
      <c r="S1456" s="24"/>
      <c r="T1456" s="24"/>
      <c r="U1456" s="24"/>
      <c r="V1456" s="30" t="s">
        <v>105</v>
      </c>
      <c r="W1456" s="33"/>
      <c r="X1456" s="33"/>
      <c r="Y1456" s="30"/>
      <c r="Z1456" s="30"/>
      <c r="AA1456" s="33"/>
      <c r="AB1456" s="33"/>
      <c r="AC1456" s="30"/>
      <c r="AD1456" s="30"/>
      <c r="AE1456" s="33"/>
      <c r="AF1456" s="31"/>
      <c r="AG1456" s="30"/>
      <c r="AH1456" s="30"/>
      <c r="AI1456" s="31"/>
      <c r="AJ1456" s="31"/>
      <c r="AK1456" s="32"/>
    </row>
    <row r="1457">
      <c r="A1457" s="21" t="s">
        <v>1527</v>
      </c>
      <c r="B1457" s="22" t="s">
        <v>2893</v>
      </c>
      <c r="C1457" s="22" t="s">
        <v>273</v>
      </c>
      <c r="D1457" s="26">
        <v>45998.0</v>
      </c>
      <c r="E1457" s="22" t="s">
        <v>134</v>
      </c>
      <c r="F1457" s="22" t="s">
        <v>451</v>
      </c>
      <c r="G1457" s="22" t="s">
        <v>2894</v>
      </c>
      <c r="H1457" s="22" t="s">
        <v>1527</v>
      </c>
      <c r="I1457" s="22">
        <v>1.0470872875331E13</v>
      </c>
      <c r="J1457" s="22" t="s">
        <v>2895</v>
      </c>
      <c r="K1457" s="24"/>
      <c r="L1457" s="22" t="s">
        <v>1531</v>
      </c>
      <c r="M1457" s="22">
        <v>1.0</v>
      </c>
      <c r="N1457" s="22" t="s">
        <v>1277</v>
      </c>
      <c r="O1457" s="22" t="s">
        <v>1278</v>
      </c>
      <c r="P1457" s="24"/>
      <c r="Q1457" s="22" t="s">
        <v>90</v>
      </c>
      <c r="R1457" s="22">
        <v>3.2778001776963E13</v>
      </c>
      <c r="S1457" s="24"/>
      <c r="T1457" s="24"/>
      <c r="U1457" s="24"/>
      <c r="V1457" s="30" t="s">
        <v>105</v>
      </c>
      <c r="W1457" s="33"/>
      <c r="X1457" s="33"/>
      <c r="Y1457" s="30"/>
      <c r="Z1457" s="30"/>
      <c r="AA1457" s="33"/>
      <c r="AB1457" s="33"/>
      <c r="AC1457" s="30"/>
      <c r="AD1457" s="30"/>
      <c r="AE1457" s="33"/>
      <c r="AF1457" s="31"/>
      <c r="AG1457" s="30"/>
      <c r="AH1457" s="30"/>
      <c r="AI1457" s="31"/>
      <c r="AJ1457" s="31"/>
      <c r="AK1457" s="32"/>
    </row>
    <row r="1458">
      <c r="A1458" s="21" t="s">
        <v>867</v>
      </c>
      <c r="B1458" s="22" t="s">
        <v>2896</v>
      </c>
      <c r="C1458" s="22" t="s">
        <v>273</v>
      </c>
      <c r="D1458" s="26">
        <v>45998.0</v>
      </c>
      <c r="E1458" s="22" t="s">
        <v>1117</v>
      </c>
      <c r="F1458" s="22" t="s">
        <v>869</v>
      </c>
      <c r="G1458" s="22" t="s">
        <v>2897</v>
      </c>
      <c r="H1458" s="22" t="s">
        <v>867</v>
      </c>
      <c r="I1458" s="22">
        <v>1.0471000572227E13</v>
      </c>
      <c r="J1458" s="22" t="s">
        <v>2800</v>
      </c>
      <c r="K1458" s="24"/>
      <c r="L1458" s="22" t="s">
        <v>872</v>
      </c>
      <c r="M1458" s="22">
        <v>1.0</v>
      </c>
      <c r="N1458" s="22" t="s">
        <v>873</v>
      </c>
      <c r="O1458" s="22" t="s">
        <v>874</v>
      </c>
      <c r="P1458" s="24"/>
      <c r="Q1458" s="22" t="s">
        <v>90</v>
      </c>
      <c r="R1458" s="22">
        <v>3.2778264510787E13</v>
      </c>
      <c r="S1458" s="24"/>
      <c r="T1458" s="24"/>
      <c r="U1458" s="24"/>
      <c r="V1458" s="30" t="s">
        <v>55</v>
      </c>
      <c r="W1458" s="33"/>
      <c r="X1458" s="33"/>
      <c r="Y1458" s="30"/>
      <c r="Z1458" s="30"/>
      <c r="AA1458" s="33"/>
      <c r="AB1458" s="33"/>
      <c r="AC1458" s="30"/>
      <c r="AD1458" s="30"/>
      <c r="AE1458" s="33"/>
      <c r="AF1458" s="31"/>
      <c r="AG1458" s="30"/>
      <c r="AH1458" s="30"/>
      <c r="AI1458" s="31"/>
      <c r="AJ1458" s="31"/>
      <c r="AK1458" s="32"/>
    </row>
    <row r="1459">
      <c r="A1459" s="21" t="s">
        <v>141</v>
      </c>
      <c r="B1459" s="22" t="s">
        <v>1294</v>
      </c>
      <c r="C1459" s="22" t="s">
        <v>82</v>
      </c>
      <c r="D1459" s="26">
        <v>45997.0</v>
      </c>
      <c r="E1459" s="22" t="s">
        <v>145</v>
      </c>
      <c r="F1459" s="22" t="s">
        <v>83</v>
      </c>
      <c r="G1459" s="22" t="s">
        <v>2898</v>
      </c>
      <c r="H1459" s="22" t="s">
        <v>141</v>
      </c>
      <c r="I1459" s="22">
        <v>1.0471002997059E13</v>
      </c>
      <c r="J1459" s="22" t="s">
        <v>1296</v>
      </c>
      <c r="K1459" s="24"/>
      <c r="L1459" s="22" t="s">
        <v>143</v>
      </c>
      <c r="M1459" s="22">
        <v>1.0</v>
      </c>
      <c r="N1459" s="22" t="s">
        <v>87</v>
      </c>
      <c r="O1459" s="22" t="s">
        <v>88</v>
      </c>
      <c r="P1459" s="24"/>
      <c r="Q1459" s="22" t="s">
        <v>90</v>
      </c>
      <c r="R1459" s="22">
        <v>3.2778268803395E13</v>
      </c>
      <c r="S1459" s="24"/>
      <c r="T1459" s="24"/>
      <c r="U1459" s="24"/>
      <c r="V1459" s="30" t="s">
        <v>54</v>
      </c>
      <c r="W1459" s="33"/>
      <c r="X1459" s="33"/>
      <c r="Y1459" s="30"/>
      <c r="Z1459" s="30"/>
      <c r="AA1459" s="33"/>
      <c r="AB1459" s="33"/>
      <c r="AC1459" s="30"/>
      <c r="AD1459" s="30"/>
      <c r="AE1459" s="33"/>
      <c r="AF1459" s="31"/>
      <c r="AG1459" s="30"/>
      <c r="AH1459" s="30"/>
      <c r="AI1459" s="31"/>
      <c r="AJ1459" s="31"/>
      <c r="AK1459" s="32"/>
    </row>
    <row r="1460">
      <c r="A1460" s="21" t="s">
        <v>879</v>
      </c>
      <c r="B1460" s="22" t="s">
        <v>1022</v>
      </c>
      <c r="C1460" s="22" t="s">
        <v>273</v>
      </c>
      <c r="D1460" s="26">
        <v>45998.0</v>
      </c>
      <c r="E1460" s="22" t="s">
        <v>196</v>
      </c>
      <c r="F1460" s="22" t="s">
        <v>869</v>
      </c>
      <c r="G1460" s="22" t="s">
        <v>2899</v>
      </c>
      <c r="H1460" s="22" t="s">
        <v>879</v>
      </c>
      <c r="I1460" s="22">
        <v>1.0471011615043E13</v>
      </c>
      <c r="J1460" s="22" t="s">
        <v>1024</v>
      </c>
      <c r="K1460" s="24"/>
      <c r="L1460" s="22" t="s">
        <v>881</v>
      </c>
      <c r="M1460" s="22">
        <v>1.0</v>
      </c>
      <c r="N1460" s="22" t="s">
        <v>882</v>
      </c>
      <c r="O1460" s="22" t="s">
        <v>883</v>
      </c>
      <c r="P1460" s="24"/>
      <c r="Q1460" s="22" t="s">
        <v>90</v>
      </c>
      <c r="R1460" s="22">
        <v>3.2778286596419E13</v>
      </c>
      <c r="S1460" s="24"/>
      <c r="T1460" s="24"/>
      <c r="U1460" s="24"/>
      <c r="V1460" s="30" t="s">
        <v>127</v>
      </c>
      <c r="W1460" s="33"/>
      <c r="X1460" s="33"/>
      <c r="Y1460" s="30"/>
      <c r="Z1460" s="30"/>
      <c r="AA1460" s="33"/>
      <c r="AB1460" s="33"/>
      <c r="AC1460" s="30"/>
      <c r="AD1460" s="30"/>
      <c r="AE1460" s="33"/>
      <c r="AF1460" s="31"/>
      <c r="AG1460" s="30"/>
      <c r="AH1460" s="30"/>
      <c r="AI1460" s="31"/>
      <c r="AJ1460" s="31"/>
      <c r="AK1460" s="32"/>
    </row>
    <row r="1461">
      <c r="A1461" s="21" t="s">
        <v>141</v>
      </c>
      <c r="B1461" s="22" t="s">
        <v>1964</v>
      </c>
      <c r="C1461" s="22" t="s">
        <v>273</v>
      </c>
      <c r="D1461" s="23">
        <v>45991.0</v>
      </c>
      <c r="E1461" s="22" t="s">
        <v>196</v>
      </c>
      <c r="F1461" s="22" t="s">
        <v>83</v>
      </c>
      <c r="G1461" s="22" t="s">
        <v>2900</v>
      </c>
      <c r="H1461" s="22" t="s">
        <v>141</v>
      </c>
      <c r="I1461" s="22">
        <v>1.0471141704003E13</v>
      </c>
      <c r="J1461" s="22" t="s">
        <v>1966</v>
      </c>
      <c r="K1461" s="24"/>
      <c r="L1461" s="22" t="s">
        <v>143</v>
      </c>
      <c r="M1461" s="22">
        <v>1.0</v>
      </c>
      <c r="N1461" s="22" t="s">
        <v>87</v>
      </c>
      <c r="O1461" s="22" t="s">
        <v>88</v>
      </c>
      <c r="P1461" s="24"/>
      <c r="Q1461" s="22" t="s">
        <v>90</v>
      </c>
      <c r="R1461" s="22">
        <v>3.2778558374211E13</v>
      </c>
      <c r="S1461" s="24"/>
      <c r="T1461" s="24"/>
      <c r="U1461" s="24"/>
      <c r="V1461" s="30" t="s">
        <v>54</v>
      </c>
      <c r="W1461" s="33"/>
      <c r="X1461" s="33"/>
      <c r="Y1461" s="30"/>
      <c r="Z1461" s="30"/>
      <c r="AA1461" s="33"/>
      <c r="AB1461" s="33"/>
      <c r="AC1461" s="30"/>
      <c r="AD1461" s="30"/>
      <c r="AE1461" s="33"/>
      <c r="AF1461" s="31"/>
      <c r="AG1461" s="30"/>
      <c r="AH1461" s="30"/>
      <c r="AI1461" s="31"/>
      <c r="AJ1461" s="31"/>
      <c r="AK1461" s="32"/>
    </row>
    <row r="1462">
      <c r="A1462" s="21" t="s">
        <v>979</v>
      </c>
      <c r="B1462" s="22" t="s">
        <v>1498</v>
      </c>
      <c r="C1462" s="22" t="s">
        <v>82</v>
      </c>
      <c r="D1462" s="26">
        <v>45997.0</v>
      </c>
      <c r="E1462" s="22" t="s">
        <v>522</v>
      </c>
      <c r="F1462" s="22" t="s">
        <v>605</v>
      </c>
      <c r="G1462" s="22" t="s">
        <v>2901</v>
      </c>
      <c r="H1462" s="22" t="s">
        <v>979</v>
      </c>
      <c r="I1462" s="22">
        <v>1.0471188496707E13</v>
      </c>
      <c r="J1462" s="22" t="s">
        <v>1500</v>
      </c>
      <c r="K1462" s="24"/>
      <c r="L1462" s="22" t="s">
        <v>984</v>
      </c>
      <c r="M1462" s="22">
        <v>1.0</v>
      </c>
      <c r="N1462" s="22" t="s">
        <v>609</v>
      </c>
      <c r="O1462" s="22" t="s">
        <v>610</v>
      </c>
      <c r="P1462" s="24"/>
      <c r="Q1462" s="22" t="s">
        <v>90</v>
      </c>
      <c r="R1462" s="22">
        <v>3.2778652811587E13</v>
      </c>
      <c r="S1462" s="24"/>
      <c r="T1462" s="24"/>
      <c r="U1462" s="24"/>
      <c r="V1462" s="30" t="s">
        <v>55</v>
      </c>
      <c r="W1462" s="33"/>
      <c r="X1462" s="33"/>
      <c r="Y1462" s="30"/>
      <c r="Z1462" s="30"/>
      <c r="AA1462" s="33"/>
      <c r="AB1462" s="33"/>
      <c r="AC1462" s="30"/>
      <c r="AD1462" s="30"/>
      <c r="AE1462" s="33"/>
      <c r="AF1462" s="31"/>
      <c r="AG1462" s="30"/>
      <c r="AH1462" s="30"/>
      <c r="AI1462" s="31"/>
      <c r="AJ1462" s="31"/>
      <c r="AK1462" s="32"/>
    </row>
    <row r="1463">
      <c r="A1463" s="21" t="s">
        <v>367</v>
      </c>
      <c r="B1463" s="22" t="s">
        <v>539</v>
      </c>
      <c r="C1463" s="22" t="s">
        <v>273</v>
      </c>
      <c r="D1463" s="26">
        <v>45998.0</v>
      </c>
      <c r="E1463" s="22" t="s">
        <v>149</v>
      </c>
      <c r="F1463" s="22" t="s">
        <v>369</v>
      </c>
      <c r="G1463" s="22" t="s">
        <v>2902</v>
      </c>
      <c r="H1463" s="22" t="s">
        <v>367</v>
      </c>
      <c r="I1463" s="22">
        <v>1.0471203701059E13</v>
      </c>
      <c r="J1463" s="22" t="s">
        <v>541</v>
      </c>
      <c r="K1463" s="24"/>
      <c r="L1463" s="22" t="s">
        <v>372</v>
      </c>
      <c r="M1463" s="22">
        <v>1.0</v>
      </c>
      <c r="N1463" s="22" t="s">
        <v>373</v>
      </c>
      <c r="O1463" s="22" t="s">
        <v>374</v>
      </c>
      <c r="P1463" s="24"/>
      <c r="Q1463" s="22" t="s">
        <v>90</v>
      </c>
      <c r="R1463" s="22">
        <v>3.2778680992067E13</v>
      </c>
      <c r="S1463" s="24"/>
      <c r="T1463" s="24"/>
      <c r="U1463" s="24"/>
      <c r="V1463" s="30" t="s">
        <v>55</v>
      </c>
      <c r="W1463" s="33"/>
      <c r="X1463" s="33"/>
      <c r="Y1463" s="30"/>
      <c r="Z1463" s="30"/>
      <c r="AA1463" s="33"/>
      <c r="AB1463" s="33"/>
      <c r="AC1463" s="30"/>
      <c r="AD1463" s="30"/>
      <c r="AE1463" s="33"/>
      <c r="AF1463" s="31"/>
      <c r="AG1463" s="30"/>
      <c r="AH1463" s="30"/>
      <c r="AI1463" s="31"/>
      <c r="AJ1463" s="31"/>
      <c r="AK1463" s="32"/>
    </row>
    <row r="1464">
      <c r="A1464" s="21" t="s">
        <v>643</v>
      </c>
      <c r="B1464" s="22" t="s">
        <v>1413</v>
      </c>
      <c r="C1464" s="22" t="s">
        <v>273</v>
      </c>
      <c r="D1464" s="23">
        <v>46005.0</v>
      </c>
      <c r="E1464" s="22" t="s">
        <v>177</v>
      </c>
      <c r="F1464" s="22" t="s">
        <v>634</v>
      </c>
      <c r="G1464" s="22" t="s">
        <v>2903</v>
      </c>
      <c r="H1464" s="22" t="s">
        <v>643</v>
      </c>
      <c r="I1464" s="22">
        <v>1.0471215464771E13</v>
      </c>
      <c r="J1464" s="22" t="s">
        <v>1415</v>
      </c>
      <c r="K1464" s="24"/>
      <c r="L1464" s="22" t="s">
        <v>647</v>
      </c>
      <c r="M1464" s="22">
        <v>1.0</v>
      </c>
      <c r="N1464" s="22" t="s">
        <v>638</v>
      </c>
      <c r="O1464" s="22" t="s">
        <v>639</v>
      </c>
      <c r="P1464" s="24"/>
      <c r="Q1464" s="22" t="s">
        <v>90</v>
      </c>
      <c r="R1464" s="22">
        <v>3.2778704781635E13</v>
      </c>
      <c r="S1464" s="24"/>
      <c r="T1464" s="24"/>
      <c r="U1464" s="24"/>
      <c r="V1464" s="30" t="s">
        <v>54</v>
      </c>
      <c r="W1464" s="33"/>
      <c r="X1464" s="33"/>
      <c r="Y1464" s="30"/>
      <c r="Z1464" s="30"/>
      <c r="AA1464" s="33"/>
      <c r="AB1464" s="33"/>
      <c r="AC1464" s="30"/>
      <c r="AD1464" s="30"/>
      <c r="AE1464" s="33"/>
      <c r="AF1464" s="31"/>
      <c r="AG1464" s="30"/>
      <c r="AH1464" s="30"/>
      <c r="AI1464" s="31"/>
      <c r="AJ1464" s="31"/>
      <c r="AK1464" s="32"/>
    </row>
    <row r="1465">
      <c r="A1465" s="21" t="s">
        <v>124</v>
      </c>
      <c r="B1465" s="22" t="s">
        <v>1352</v>
      </c>
      <c r="C1465" s="22" t="s">
        <v>82</v>
      </c>
      <c r="D1465" s="26">
        <v>45997.0</v>
      </c>
      <c r="E1465" s="22" t="s">
        <v>153</v>
      </c>
      <c r="F1465" s="22" t="s">
        <v>83</v>
      </c>
      <c r="G1465" s="22" t="s">
        <v>2904</v>
      </c>
      <c r="H1465" s="22" t="s">
        <v>124</v>
      </c>
      <c r="I1465" s="22">
        <v>1.0471288897859E13</v>
      </c>
      <c r="J1465" s="22" t="s">
        <v>1354</v>
      </c>
      <c r="K1465" s="24"/>
      <c r="L1465" s="22" t="s">
        <v>126</v>
      </c>
      <c r="M1465" s="22">
        <v>1.0</v>
      </c>
      <c r="N1465" s="22" t="s">
        <v>103</v>
      </c>
      <c r="O1465" s="22" t="s">
        <v>104</v>
      </c>
      <c r="P1465" s="24"/>
      <c r="Q1465" s="22" t="s">
        <v>90</v>
      </c>
      <c r="R1465" s="22">
        <v>3.2778860265795E13</v>
      </c>
      <c r="S1465" s="24"/>
      <c r="T1465" s="24"/>
      <c r="U1465" s="24"/>
      <c r="V1465" s="30" t="s">
        <v>127</v>
      </c>
      <c r="W1465" s="33"/>
      <c r="X1465" s="33"/>
      <c r="Y1465" s="30"/>
      <c r="Z1465" s="30"/>
      <c r="AA1465" s="33"/>
      <c r="AB1465" s="33"/>
      <c r="AC1465" s="30"/>
      <c r="AD1465" s="30"/>
      <c r="AE1465" s="33"/>
      <c r="AF1465" s="31"/>
      <c r="AG1465" s="30"/>
      <c r="AH1465" s="30"/>
      <c r="AI1465" s="31"/>
      <c r="AJ1465" s="31"/>
      <c r="AK1465" s="32"/>
    </row>
    <row r="1466">
      <c r="A1466" s="21" t="s">
        <v>415</v>
      </c>
      <c r="B1466" s="22" t="s">
        <v>2905</v>
      </c>
      <c r="C1466" s="22" t="s">
        <v>82</v>
      </c>
      <c r="D1466" s="23">
        <v>46004.0</v>
      </c>
      <c r="E1466" s="22" t="s">
        <v>266</v>
      </c>
      <c r="F1466" s="22" t="s">
        <v>377</v>
      </c>
      <c r="G1466" s="22" t="s">
        <v>2906</v>
      </c>
      <c r="H1466" s="22" t="s">
        <v>415</v>
      </c>
      <c r="I1466" s="22">
        <v>1.0471304954179E13</v>
      </c>
      <c r="J1466" s="22" t="s">
        <v>2907</v>
      </c>
      <c r="K1466" s="24"/>
      <c r="L1466" s="22" t="s">
        <v>419</v>
      </c>
      <c r="M1466" s="22">
        <v>1.0</v>
      </c>
      <c r="N1466" s="22" t="s">
        <v>381</v>
      </c>
      <c r="O1466" s="22" t="s">
        <v>382</v>
      </c>
      <c r="P1466" s="24"/>
      <c r="Q1466" s="22" t="s">
        <v>90</v>
      </c>
      <c r="R1466" s="22">
        <v>3.2778893492547E13</v>
      </c>
      <c r="S1466" s="24"/>
      <c r="T1466" s="24"/>
      <c r="U1466" s="24"/>
      <c r="V1466" s="30" t="s">
        <v>91</v>
      </c>
      <c r="W1466" s="33"/>
      <c r="X1466" s="33"/>
      <c r="Y1466" s="30"/>
      <c r="Z1466" s="30"/>
      <c r="AA1466" s="33"/>
      <c r="AB1466" s="33"/>
      <c r="AC1466" s="30"/>
      <c r="AD1466" s="30"/>
      <c r="AE1466" s="33"/>
      <c r="AF1466" s="31"/>
      <c r="AG1466" s="30"/>
      <c r="AH1466" s="30"/>
      <c r="AI1466" s="31"/>
      <c r="AJ1466" s="31"/>
      <c r="AK1466" s="32"/>
    </row>
    <row r="1467">
      <c r="A1467" s="21" t="s">
        <v>96</v>
      </c>
      <c r="B1467" s="22" t="s">
        <v>2908</v>
      </c>
      <c r="C1467" s="22" t="s">
        <v>202</v>
      </c>
      <c r="D1467" s="26">
        <v>45996.0</v>
      </c>
      <c r="E1467" s="22" t="s">
        <v>181</v>
      </c>
      <c r="F1467" s="22" t="s">
        <v>83</v>
      </c>
      <c r="G1467" s="22" t="s">
        <v>2909</v>
      </c>
      <c r="H1467" s="22" t="s">
        <v>96</v>
      </c>
      <c r="I1467" s="22">
        <v>1.0471319404867E13</v>
      </c>
      <c r="J1467" s="22" t="s">
        <v>2910</v>
      </c>
      <c r="K1467" s="24"/>
      <c r="L1467" s="22" t="s">
        <v>98</v>
      </c>
      <c r="M1467" s="22">
        <v>1.0</v>
      </c>
      <c r="N1467" s="22" t="s">
        <v>87</v>
      </c>
      <c r="O1467" s="22" t="s">
        <v>88</v>
      </c>
      <c r="P1467" s="24"/>
      <c r="Q1467" s="22" t="s">
        <v>90</v>
      </c>
      <c r="R1467" s="22">
        <v>3.2778924556611E13</v>
      </c>
      <c r="S1467" s="24"/>
      <c r="T1467" s="24"/>
      <c r="U1467" s="24"/>
      <c r="V1467" s="30" t="s">
        <v>55</v>
      </c>
      <c r="W1467" s="33"/>
      <c r="X1467" s="33"/>
      <c r="Y1467" s="30"/>
      <c r="Z1467" s="30"/>
      <c r="AA1467" s="33"/>
      <c r="AB1467" s="33"/>
      <c r="AC1467" s="30"/>
      <c r="AD1467" s="30"/>
      <c r="AE1467" s="33"/>
      <c r="AF1467" s="31"/>
      <c r="AG1467" s="30"/>
      <c r="AH1467" s="30"/>
      <c r="AI1467" s="31"/>
      <c r="AJ1467" s="31"/>
      <c r="AK1467" s="32"/>
    </row>
    <row r="1468">
      <c r="A1468" s="21" t="s">
        <v>709</v>
      </c>
      <c r="B1468" s="22" t="s">
        <v>1042</v>
      </c>
      <c r="C1468" s="22" t="s">
        <v>287</v>
      </c>
      <c r="D1468" s="26">
        <v>45994.0</v>
      </c>
      <c r="E1468" s="22" t="s">
        <v>134</v>
      </c>
      <c r="F1468" s="22" t="s">
        <v>311</v>
      </c>
      <c r="G1468" s="22" t="s">
        <v>2911</v>
      </c>
      <c r="H1468" s="22" t="s">
        <v>709</v>
      </c>
      <c r="I1468" s="22">
        <v>1.0471339098435E13</v>
      </c>
      <c r="J1468" s="22" t="s">
        <v>1044</v>
      </c>
      <c r="K1468" s="24"/>
      <c r="L1468" s="22" t="s">
        <v>713</v>
      </c>
      <c r="M1468" s="22">
        <v>1.0</v>
      </c>
      <c r="N1468" s="22" t="s">
        <v>391</v>
      </c>
      <c r="O1468" s="22" t="s">
        <v>392</v>
      </c>
      <c r="P1468" s="24"/>
      <c r="Q1468" s="22" t="s">
        <v>90</v>
      </c>
      <c r="R1468" s="22">
        <v>3.2778965483843E13</v>
      </c>
      <c r="S1468" s="24"/>
      <c r="T1468" s="24"/>
      <c r="U1468" s="24"/>
      <c r="V1468" s="30" t="s">
        <v>91</v>
      </c>
      <c r="W1468" s="33"/>
      <c r="X1468" s="33"/>
      <c r="Y1468" s="30"/>
      <c r="Z1468" s="30"/>
      <c r="AA1468" s="33"/>
      <c r="AB1468" s="33"/>
      <c r="AC1468" s="30"/>
      <c r="AD1468" s="30"/>
      <c r="AE1468" s="33"/>
      <c r="AF1468" s="31"/>
      <c r="AG1468" s="30"/>
      <c r="AH1468" s="30"/>
      <c r="AI1468" s="31"/>
      <c r="AJ1468" s="31"/>
      <c r="AK1468" s="32"/>
    </row>
    <row r="1469">
      <c r="A1469" s="21" t="s">
        <v>470</v>
      </c>
      <c r="B1469" s="22" t="s">
        <v>471</v>
      </c>
      <c r="C1469" s="22" t="s">
        <v>82</v>
      </c>
      <c r="D1469" s="26">
        <v>45997.0</v>
      </c>
      <c r="E1469" s="22" t="s">
        <v>134</v>
      </c>
      <c r="F1469" s="22" t="s">
        <v>472</v>
      </c>
      <c r="G1469" s="22" t="s">
        <v>2912</v>
      </c>
      <c r="H1469" s="22" t="s">
        <v>470</v>
      </c>
      <c r="I1469" s="22">
        <v>1.0471344996675E13</v>
      </c>
      <c r="J1469" s="22" t="s">
        <v>474</v>
      </c>
      <c r="K1469" s="24"/>
      <c r="L1469" s="22" t="s">
        <v>475</v>
      </c>
      <c r="M1469" s="22">
        <v>1.0</v>
      </c>
      <c r="N1469" s="22" t="s">
        <v>476</v>
      </c>
      <c r="O1469" s="22" t="s">
        <v>477</v>
      </c>
      <c r="P1469" s="24"/>
      <c r="Q1469" s="22" t="s">
        <v>90</v>
      </c>
      <c r="R1469" s="22">
        <v>3.2778978197827E13</v>
      </c>
      <c r="S1469" s="24"/>
      <c r="T1469" s="24"/>
      <c r="U1469" s="24"/>
      <c r="V1469" s="30" t="s">
        <v>91</v>
      </c>
      <c r="W1469" s="33"/>
      <c r="X1469" s="33"/>
      <c r="Y1469" s="30"/>
      <c r="Z1469" s="30"/>
      <c r="AA1469" s="33"/>
      <c r="AB1469" s="33"/>
      <c r="AC1469" s="30"/>
      <c r="AD1469" s="30"/>
      <c r="AE1469" s="33"/>
      <c r="AF1469" s="31"/>
      <c r="AG1469" s="30"/>
      <c r="AH1469" s="30"/>
      <c r="AI1469" s="31"/>
      <c r="AJ1469" s="31"/>
      <c r="AK1469" s="32"/>
    </row>
    <row r="1470">
      <c r="A1470" s="28"/>
      <c r="B1470" s="22" t="s">
        <v>471</v>
      </c>
      <c r="C1470" s="22" t="s">
        <v>82</v>
      </c>
      <c r="D1470" s="26">
        <v>45997.0</v>
      </c>
      <c r="E1470" s="22" t="s">
        <v>134</v>
      </c>
      <c r="F1470" s="22" t="s">
        <v>472</v>
      </c>
      <c r="G1470" s="22" t="s">
        <v>2912</v>
      </c>
      <c r="H1470" s="29"/>
      <c r="I1470" s="22">
        <v>1.0471344996675E13</v>
      </c>
      <c r="J1470" s="22" t="s">
        <v>474</v>
      </c>
      <c r="K1470" s="24"/>
      <c r="L1470" s="22" t="s">
        <v>2913</v>
      </c>
      <c r="M1470" s="24"/>
      <c r="N1470" s="24"/>
      <c r="O1470" s="22" t="s">
        <v>768</v>
      </c>
      <c r="P1470" s="24"/>
      <c r="Q1470" s="22" t="s">
        <v>769</v>
      </c>
      <c r="R1470" s="24"/>
      <c r="S1470" s="24"/>
      <c r="T1470" s="24"/>
      <c r="U1470" s="24"/>
      <c r="V1470" s="30"/>
      <c r="W1470" s="33"/>
      <c r="X1470" s="33"/>
      <c r="Y1470" s="30"/>
      <c r="Z1470" s="30"/>
      <c r="AA1470" s="33"/>
      <c r="AB1470" s="33"/>
      <c r="AC1470" s="30"/>
      <c r="AD1470" s="30"/>
      <c r="AE1470" s="33"/>
      <c r="AF1470" s="31"/>
      <c r="AG1470" s="30"/>
      <c r="AH1470" s="30"/>
      <c r="AI1470" s="31"/>
      <c r="AJ1470" s="31"/>
      <c r="AK1470" s="32"/>
    </row>
    <row r="1471">
      <c r="A1471" s="21" t="s">
        <v>484</v>
      </c>
      <c r="B1471" s="22" t="s">
        <v>1031</v>
      </c>
      <c r="C1471" s="22" t="s">
        <v>273</v>
      </c>
      <c r="D1471" s="26">
        <v>45998.0</v>
      </c>
      <c r="E1471" s="22" t="s">
        <v>149</v>
      </c>
      <c r="F1471" s="22" t="s">
        <v>311</v>
      </c>
      <c r="G1471" s="22" t="s">
        <v>2914</v>
      </c>
      <c r="H1471" s="22" t="s">
        <v>484</v>
      </c>
      <c r="I1471" s="22">
        <v>1.0471362232643E13</v>
      </c>
      <c r="J1471" s="22" t="s">
        <v>1033</v>
      </c>
      <c r="K1471" s="24"/>
      <c r="L1471" s="22" t="s">
        <v>487</v>
      </c>
      <c r="M1471" s="22">
        <v>1.0</v>
      </c>
      <c r="N1471" s="22" t="s">
        <v>315</v>
      </c>
      <c r="O1471" s="22" t="s">
        <v>316</v>
      </c>
      <c r="P1471" s="24"/>
      <c r="Q1471" s="22" t="s">
        <v>90</v>
      </c>
      <c r="R1471" s="22">
        <v>3.2779013161283E13</v>
      </c>
      <c r="S1471" s="24"/>
      <c r="T1471" s="24"/>
      <c r="U1471" s="24"/>
      <c r="V1471" s="30" t="s">
        <v>127</v>
      </c>
      <c r="W1471" s="33"/>
      <c r="X1471" s="33"/>
      <c r="Y1471" s="30"/>
      <c r="Z1471" s="30"/>
      <c r="AA1471" s="33"/>
      <c r="AB1471" s="33"/>
      <c r="AC1471" s="30"/>
      <c r="AD1471" s="30"/>
      <c r="AE1471" s="33"/>
      <c r="AF1471" s="31"/>
      <c r="AG1471" s="30"/>
      <c r="AH1471" s="30"/>
      <c r="AI1471" s="31"/>
      <c r="AJ1471" s="31"/>
      <c r="AK1471" s="32"/>
    </row>
    <row r="1472">
      <c r="A1472" s="21" t="s">
        <v>141</v>
      </c>
      <c r="B1472" s="22" t="s">
        <v>2915</v>
      </c>
      <c r="C1472" s="22" t="s">
        <v>287</v>
      </c>
      <c r="D1472" s="26">
        <v>45994.0</v>
      </c>
      <c r="E1472" s="22" t="s">
        <v>149</v>
      </c>
      <c r="F1472" s="22" t="s">
        <v>83</v>
      </c>
      <c r="G1472" s="22" t="s">
        <v>2916</v>
      </c>
      <c r="H1472" s="22" t="s">
        <v>141</v>
      </c>
      <c r="I1472" s="22">
        <v>1.0471370621251E13</v>
      </c>
      <c r="J1472" s="22" t="s">
        <v>2917</v>
      </c>
      <c r="K1472" s="24"/>
      <c r="L1472" s="22" t="s">
        <v>143</v>
      </c>
      <c r="M1472" s="22">
        <v>1.0</v>
      </c>
      <c r="N1472" s="22" t="s">
        <v>87</v>
      </c>
      <c r="O1472" s="22" t="s">
        <v>88</v>
      </c>
      <c r="P1472" s="24"/>
      <c r="Q1472" s="22" t="s">
        <v>90</v>
      </c>
      <c r="R1472" s="22">
        <v>3.2779032035651E13</v>
      </c>
      <c r="S1472" s="24"/>
      <c r="T1472" s="24"/>
      <c r="U1472" s="24"/>
      <c r="V1472" s="30" t="s">
        <v>54</v>
      </c>
      <c r="W1472" s="33"/>
      <c r="X1472" s="33"/>
      <c r="Y1472" s="30"/>
      <c r="Z1472" s="30"/>
      <c r="AA1472" s="33"/>
      <c r="AB1472" s="33"/>
      <c r="AC1472" s="30"/>
      <c r="AD1472" s="30"/>
      <c r="AE1472" s="33"/>
      <c r="AF1472" s="31"/>
      <c r="AG1472" s="30"/>
      <c r="AH1472" s="30"/>
      <c r="AI1472" s="31"/>
      <c r="AJ1472" s="31"/>
      <c r="AK1472" s="32"/>
    </row>
    <row r="1473">
      <c r="A1473" s="21" t="s">
        <v>692</v>
      </c>
      <c r="B1473" s="22" t="s">
        <v>539</v>
      </c>
      <c r="C1473" s="22" t="s">
        <v>273</v>
      </c>
      <c r="D1473" s="26">
        <v>45998.0</v>
      </c>
      <c r="E1473" s="22" t="s">
        <v>149</v>
      </c>
      <c r="F1473" s="22" t="s">
        <v>369</v>
      </c>
      <c r="G1473" s="22" t="s">
        <v>2918</v>
      </c>
      <c r="H1473" s="22" t="s">
        <v>692</v>
      </c>
      <c r="I1473" s="22">
        <v>1.0471387201859E13</v>
      </c>
      <c r="J1473" s="22" t="s">
        <v>541</v>
      </c>
      <c r="K1473" s="24"/>
      <c r="L1473" s="22" t="s">
        <v>694</v>
      </c>
      <c r="M1473" s="22">
        <v>1.0</v>
      </c>
      <c r="N1473" s="22" t="s">
        <v>373</v>
      </c>
      <c r="O1473" s="22" t="s">
        <v>374</v>
      </c>
      <c r="P1473" s="24"/>
      <c r="Q1473" s="22" t="s">
        <v>90</v>
      </c>
      <c r="R1473" s="22">
        <v>3.2779065983299E13</v>
      </c>
      <c r="S1473" s="24"/>
      <c r="T1473" s="24"/>
      <c r="U1473" s="24"/>
      <c r="V1473" s="30" t="s">
        <v>54</v>
      </c>
      <c r="W1473" s="33"/>
      <c r="X1473" s="33"/>
      <c r="Y1473" s="30"/>
      <c r="Z1473" s="30"/>
      <c r="AA1473" s="33"/>
      <c r="AB1473" s="33"/>
      <c r="AC1473" s="30"/>
      <c r="AD1473" s="30"/>
      <c r="AE1473" s="33"/>
      <c r="AF1473" s="31"/>
      <c r="AG1473" s="30"/>
      <c r="AH1473" s="30"/>
      <c r="AI1473" s="31"/>
      <c r="AJ1473" s="31"/>
      <c r="AK1473" s="32"/>
    </row>
    <row r="1474">
      <c r="A1474" s="21" t="s">
        <v>2097</v>
      </c>
      <c r="B1474" s="22" t="s">
        <v>2798</v>
      </c>
      <c r="C1474" s="22" t="s">
        <v>273</v>
      </c>
      <c r="D1474" s="26">
        <v>45998.0</v>
      </c>
      <c r="E1474" s="22" t="s">
        <v>1117</v>
      </c>
      <c r="F1474" s="22" t="s">
        <v>869</v>
      </c>
      <c r="G1474" s="22" t="s">
        <v>2919</v>
      </c>
      <c r="H1474" s="22" t="s">
        <v>2097</v>
      </c>
      <c r="I1474" s="22">
        <v>1.0471387955523E13</v>
      </c>
      <c r="J1474" s="22" t="s">
        <v>2800</v>
      </c>
      <c r="K1474" s="24"/>
      <c r="L1474" s="22" t="s">
        <v>2101</v>
      </c>
      <c r="M1474" s="22">
        <v>1.0</v>
      </c>
      <c r="N1474" s="22" t="s">
        <v>873</v>
      </c>
      <c r="O1474" s="22" t="s">
        <v>874</v>
      </c>
      <c r="P1474" s="24"/>
      <c r="Q1474" s="22" t="s">
        <v>90</v>
      </c>
      <c r="R1474" s="22">
        <v>3.2779067097411E13</v>
      </c>
      <c r="S1474" s="24"/>
      <c r="T1474" s="24"/>
      <c r="U1474" s="24"/>
      <c r="V1474" s="30" t="s">
        <v>91</v>
      </c>
      <c r="W1474" s="33"/>
      <c r="X1474" s="33"/>
      <c r="Y1474" s="30"/>
      <c r="Z1474" s="30"/>
      <c r="AA1474" s="33"/>
      <c r="AB1474" s="33"/>
      <c r="AC1474" s="30"/>
      <c r="AD1474" s="30"/>
      <c r="AE1474" s="33"/>
      <c r="AF1474" s="31"/>
      <c r="AG1474" s="30"/>
      <c r="AH1474" s="30"/>
      <c r="AI1474" s="31"/>
      <c r="AJ1474" s="31"/>
      <c r="AK1474" s="32"/>
    </row>
    <row r="1475">
      <c r="A1475" s="21" t="s">
        <v>912</v>
      </c>
      <c r="B1475" s="22" t="s">
        <v>416</v>
      </c>
      <c r="C1475" s="22" t="s">
        <v>82</v>
      </c>
      <c r="D1475" s="26">
        <v>45997.0</v>
      </c>
      <c r="E1475" s="22" t="s">
        <v>134</v>
      </c>
      <c r="F1475" s="22" t="s">
        <v>377</v>
      </c>
      <c r="G1475" s="22" t="s">
        <v>2920</v>
      </c>
      <c r="H1475" s="22" t="s">
        <v>912</v>
      </c>
      <c r="I1475" s="22">
        <v>1.0471390478659E13</v>
      </c>
      <c r="J1475" s="22" t="s">
        <v>1017</v>
      </c>
      <c r="K1475" s="24"/>
      <c r="L1475" s="22" t="s">
        <v>914</v>
      </c>
      <c r="M1475" s="22">
        <v>1.0</v>
      </c>
      <c r="N1475" s="22" t="s">
        <v>381</v>
      </c>
      <c r="O1475" s="22" t="s">
        <v>382</v>
      </c>
      <c r="P1475" s="24"/>
      <c r="Q1475" s="22" t="s">
        <v>90</v>
      </c>
      <c r="R1475" s="22">
        <v>3.2779071684931E13</v>
      </c>
      <c r="S1475" s="24"/>
      <c r="T1475" s="24"/>
      <c r="U1475" s="24"/>
      <c r="V1475" s="30" t="s">
        <v>54</v>
      </c>
      <c r="W1475" s="33"/>
      <c r="X1475" s="33"/>
      <c r="Y1475" s="30"/>
      <c r="Z1475" s="30"/>
      <c r="AA1475" s="33"/>
      <c r="AB1475" s="33"/>
      <c r="AC1475" s="30"/>
      <c r="AD1475" s="30"/>
      <c r="AE1475" s="33"/>
      <c r="AF1475" s="31"/>
      <c r="AG1475" s="30"/>
      <c r="AH1475" s="30"/>
      <c r="AI1475" s="31"/>
      <c r="AJ1475" s="31"/>
      <c r="AK1475" s="32"/>
    </row>
    <row r="1476">
      <c r="A1476" s="21" t="s">
        <v>649</v>
      </c>
      <c r="B1476" s="22" t="s">
        <v>318</v>
      </c>
      <c r="C1476" s="22" t="s">
        <v>82</v>
      </c>
      <c r="D1476" s="26">
        <v>45997.0</v>
      </c>
      <c r="E1476" s="22" t="s">
        <v>196</v>
      </c>
      <c r="F1476" s="22" t="s">
        <v>319</v>
      </c>
      <c r="G1476" s="22" t="s">
        <v>2921</v>
      </c>
      <c r="H1476" s="22" t="s">
        <v>649</v>
      </c>
      <c r="I1476" s="22">
        <v>1.0470018154819E13</v>
      </c>
      <c r="J1476" s="22" t="s">
        <v>527</v>
      </c>
      <c r="K1476" s="24"/>
      <c r="L1476" s="22" t="s">
        <v>651</v>
      </c>
      <c r="M1476" s="22">
        <v>1.0</v>
      </c>
      <c r="N1476" s="22" t="s">
        <v>323</v>
      </c>
      <c r="O1476" s="22" t="s">
        <v>324</v>
      </c>
      <c r="P1476" s="24"/>
      <c r="Q1476" s="22" t="s">
        <v>90</v>
      </c>
      <c r="R1476" s="22">
        <v>3.2776130756931E13</v>
      </c>
      <c r="S1476" s="24"/>
      <c r="T1476" s="24"/>
      <c r="U1476" s="24"/>
      <c r="V1476" s="30" t="s">
        <v>91</v>
      </c>
      <c r="W1476" s="33"/>
      <c r="X1476" s="33"/>
      <c r="Y1476" s="30"/>
      <c r="Z1476" s="30"/>
      <c r="AA1476" s="33"/>
      <c r="AB1476" s="33"/>
      <c r="AC1476" s="30"/>
      <c r="AD1476" s="30"/>
      <c r="AE1476" s="33"/>
      <c r="AF1476" s="31"/>
      <c r="AG1476" s="30"/>
      <c r="AH1476" s="30"/>
      <c r="AI1476" s="31"/>
      <c r="AJ1476" s="31"/>
      <c r="AK1476" s="32"/>
    </row>
    <row r="1477">
      <c r="A1477" s="21" t="s">
        <v>300</v>
      </c>
      <c r="B1477" s="22" t="s">
        <v>2922</v>
      </c>
      <c r="C1477" s="22" t="s">
        <v>273</v>
      </c>
      <c r="D1477" s="26">
        <v>45998.0</v>
      </c>
      <c r="E1477" s="22" t="s">
        <v>1073</v>
      </c>
      <c r="F1477" s="22" t="s">
        <v>303</v>
      </c>
      <c r="G1477" s="22" t="s">
        <v>2923</v>
      </c>
      <c r="H1477" s="22" t="s">
        <v>300</v>
      </c>
      <c r="I1477" s="22">
        <v>1.0470021660995E13</v>
      </c>
      <c r="J1477" s="22" t="s">
        <v>2924</v>
      </c>
      <c r="K1477" s="24"/>
      <c r="L1477" s="22" t="s">
        <v>306</v>
      </c>
      <c r="M1477" s="22">
        <v>1.0</v>
      </c>
      <c r="N1477" s="22" t="s">
        <v>307</v>
      </c>
      <c r="O1477" s="22" t="s">
        <v>308</v>
      </c>
      <c r="P1477" s="24"/>
      <c r="Q1477" s="22" t="s">
        <v>90</v>
      </c>
      <c r="R1477" s="22">
        <v>3.2776138424643E13</v>
      </c>
      <c r="S1477" s="24"/>
      <c r="T1477" s="24"/>
      <c r="U1477" s="24"/>
      <c r="V1477" s="30" t="s">
        <v>55</v>
      </c>
      <c r="W1477" s="33"/>
      <c r="X1477" s="33"/>
      <c r="Y1477" s="30"/>
      <c r="Z1477" s="30"/>
      <c r="AA1477" s="33"/>
      <c r="AB1477" s="33"/>
      <c r="AC1477" s="30"/>
      <c r="AD1477" s="30"/>
      <c r="AE1477" s="33"/>
      <c r="AF1477" s="31"/>
      <c r="AG1477" s="30"/>
      <c r="AH1477" s="30"/>
      <c r="AI1477" s="31"/>
      <c r="AJ1477" s="31"/>
      <c r="AK1477" s="32"/>
    </row>
    <row r="1478">
      <c r="A1478" s="21" t="s">
        <v>867</v>
      </c>
      <c r="B1478" s="22" t="s">
        <v>2798</v>
      </c>
      <c r="C1478" s="22" t="s">
        <v>273</v>
      </c>
      <c r="D1478" s="26">
        <v>45998.0</v>
      </c>
      <c r="E1478" s="22" t="s">
        <v>1117</v>
      </c>
      <c r="F1478" s="22" t="s">
        <v>869</v>
      </c>
      <c r="G1478" s="22" t="s">
        <v>2925</v>
      </c>
      <c r="H1478" s="22" t="s">
        <v>867</v>
      </c>
      <c r="I1478" s="22">
        <v>1.0470046662979E13</v>
      </c>
      <c r="J1478" s="22" t="s">
        <v>2800</v>
      </c>
      <c r="K1478" s="24"/>
      <c r="L1478" s="22" t="s">
        <v>872</v>
      </c>
      <c r="M1478" s="22">
        <v>1.0</v>
      </c>
      <c r="N1478" s="22" t="s">
        <v>873</v>
      </c>
      <c r="O1478" s="22" t="s">
        <v>874</v>
      </c>
      <c r="P1478" s="24"/>
      <c r="Q1478" s="22" t="s">
        <v>90</v>
      </c>
      <c r="R1478" s="22">
        <v>3.2776193671491E13</v>
      </c>
      <c r="S1478" s="24"/>
      <c r="T1478" s="24"/>
      <c r="U1478" s="24"/>
      <c r="V1478" s="30" t="s">
        <v>55</v>
      </c>
      <c r="W1478" s="33"/>
      <c r="X1478" s="33"/>
      <c r="Y1478" s="30"/>
      <c r="Z1478" s="30"/>
      <c r="AA1478" s="33"/>
      <c r="AB1478" s="33"/>
      <c r="AC1478" s="30"/>
      <c r="AD1478" s="30"/>
      <c r="AE1478" s="33"/>
      <c r="AF1478" s="31"/>
      <c r="AG1478" s="30"/>
      <c r="AH1478" s="30"/>
      <c r="AI1478" s="31"/>
      <c r="AJ1478" s="31"/>
      <c r="AK1478" s="32"/>
    </row>
    <row r="1479">
      <c r="A1479" s="21" t="s">
        <v>96</v>
      </c>
      <c r="B1479" s="22" t="s">
        <v>2926</v>
      </c>
      <c r="C1479" s="22" t="s">
        <v>294</v>
      </c>
      <c r="D1479" s="26">
        <v>45992.0</v>
      </c>
      <c r="E1479" s="22" t="s">
        <v>252</v>
      </c>
      <c r="F1479" s="22" t="s">
        <v>83</v>
      </c>
      <c r="G1479" s="22" t="s">
        <v>2927</v>
      </c>
      <c r="H1479" s="22" t="s">
        <v>96</v>
      </c>
      <c r="I1479" s="22">
        <v>1.0471449755971E13</v>
      </c>
      <c r="J1479" s="22" t="s">
        <v>2928</v>
      </c>
      <c r="K1479" s="24"/>
      <c r="L1479" s="22" t="s">
        <v>98</v>
      </c>
      <c r="M1479" s="22">
        <v>1.0</v>
      </c>
      <c r="N1479" s="22" t="s">
        <v>87</v>
      </c>
      <c r="O1479" s="22" t="s">
        <v>88</v>
      </c>
      <c r="P1479" s="24"/>
      <c r="Q1479" s="22" t="s">
        <v>90</v>
      </c>
      <c r="R1479" s="22">
        <v>3.2779209834819E13</v>
      </c>
      <c r="S1479" s="24"/>
      <c r="T1479" s="24"/>
      <c r="U1479" s="24"/>
      <c r="V1479" s="30" t="s">
        <v>55</v>
      </c>
      <c r="W1479" s="33"/>
      <c r="X1479" s="33"/>
      <c r="Y1479" s="30"/>
      <c r="Z1479" s="30"/>
      <c r="AA1479" s="33"/>
      <c r="AB1479" s="33"/>
      <c r="AC1479" s="30"/>
      <c r="AD1479" s="30"/>
      <c r="AE1479" s="33"/>
      <c r="AF1479" s="31"/>
      <c r="AG1479" s="30"/>
      <c r="AH1479" s="30"/>
      <c r="AI1479" s="31"/>
      <c r="AJ1479" s="31"/>
      <c r="AK1479" s="32"/>
    </row>
    <row r="1480">
      <c r="A1480" s="21" t="s">
        <v>1192</v>
      </c>
      <c r="B1480" s="22" t="s">
        <v>2667</v>
      </c>
      <c r="C1480" s="22" t="s">
        <v>273</v>
      </c>
      <c r="D1480" s="26">
        <v>45998.0</v>
      </c>
      <c r="E1480" s="22" t="s">
        <v>153</v>
      </c>
      <c r="F1480" s="22" t="s">
        <v>717</v>
      </c>
      <c r="G1480" s="22" t="s">
        <v>2929</v>
      </c>
      <c r="H1480" s="22" t="s">
        <v>1192</v>
      </c>
      <c r="I1480" s="22">
        <v>1.0471627620675E13</v>
      </c>
      <c r="J1480" s="22" t="s">
        <v>1855</v>
      </c>
      <c r="K1480" s="24"/>
      <c r="L1480" s="22" t="s">
        <v>1196</v>
      </c>
      <c r="M1480" s="22">
        <v>1.0</v>
      </c>
      <c r="N1480" s="22" t="s">
        <v>1083</v>
      </c>
      <c r="O1480" s="22" t="s">
        <v>1084</v>
      </c>
      <c r="P1480" s="24"/>
      <c r="Q1480" s="22" t="s">
        <v>90</v>
      </c>
      <c r="R1480" s="22">
        <v>3.2779603706179E13</v>
      </c>
      <c r="S1480" s="24"/>
      <c r="T1480" s="24"/>
      <c r="U1480" s="24"/>
      <c r="V1480" s="30" t="s">
        <v>127</v>
      </c>
      <c r="W1480" s="33"/>
      <c r="X1480" s="33"/>
      <c r="Y1480" s="30"/>
      <c r="Z1480" s="30"/>
      <c r="AA1480" s="33"/>
      <c r="AB1480" s="33"/>
      <c r="AC1480" s="30"/>
      <c r="AD1480" s="30"/>
      <c r="AE1480" s="33"/>
      <c r="AF1480" s="31"/>
      <c r="AG1480" s="30"/>
      <c r="AH1480" s="30"/>
      <c r="AI1480" s="31"/>
      <c r="AJ1480" s="31"/>
      <c r="AK1480" s="32"/>
    </row>
    <row r="1481">
      <c r="A1481" s="21" t="s">
        <v>408</v>
      </c>
      <c r="B1481" s="22" t="s">
        <v>512</v>
      </c>
      <c r="C1481" s="22" t="s">
        <v>82</v>
      </c>
      <c r="D1481" s="26">
        <v>45997.0</v>
      </c>
      <c r="E1481" s="22" t="s">
        <v>153</v>
      </c>
      <c r="F1481" s="22" t="s">
        <v>377</v>
      </c>
      <c r="G1481" s="22" t="s">
        <v>2930</v>
      </c>
      <c r="H1481" s="22" t="s">
        <v>408</v>
      </c>
      <c r="I1481" s="22">
        <v>1.0471631782211E13</v>
      </c>
      <c r="J1481" s="22" t="s">
        <v>514</v>
      </c>
      <c r="K1481" s="24"/>
      <c r="L1481" s="22" t="s">
        <v>412</v>
      </c>
      <c r="M1481" s="22">
        <v>1.0</v>
      </c>
      <c r="N1481" s="22" t="s">
        <v>413</v>
      </c>
      <c r="O1481" s="22" t="s">
        <v>414</v>
      </c>
      <c r="P1481" s="24"/>
      <c r="Q1481" s="22" t="s">
        <v>90</v>
      </c>
      <c r="R1481" s="22">
        <v>3.2779614191939E13</v>
      </c>
      <c r="S1481" s="24"/>
      <c r="T1481" s="24"/>
      <c r="U1481" s="24"/>
      <c r="V1481" s="30" t="s">
        <v>127</v>
      </c>
      <c r="W1481" s="33"/>
      <c r="X1481" s="33"/>
      <c r="Y1481" s="30"/>
      <c r="Z1481" s="30"/>
      <c r="AA1481" s="33"/>
      <c r="AB1481" s="33"/>
      <c r="AC1481" s="30"/>
      <c r="AD1481" s="30"/>
      <c r="AE1481" s="33"/>
      <c r="AF1481" s="31"/>
      <c r="AG1481" s="30"/>
      <c r="AH1481" s="30"/>
      <c r="AI1481" s="31"/>
      <c r="AJ1481" s="31"/>
      <c r="AK1481" s="32"/>
    </row>
    <row r="1482">
      <c r="A1482" s="21" t="s">
        <v>515</v>
      </c>
      <c r="B1482" s="22" t="s">
        <v>2931</v>
      </c>
      <c r="C1482" s="22" t="s">
        <v>273</v>
      </c>
      <c r="D1482" s="26">
        <v>45998.0</v>
      </c>
      <c r="E1482" s="22" t="s">
        <v>248</v>
      </c>
      <c r="F1482" s="22" t="s">
        <v>472</v>
      </c>
      <c r="G1482" s="22" t="s">
        <v>2932</v>
      </c>
      <c r="H1482" s="22" t="s">
        <v>515</v>
      </c>
      <c r="I1482" s="22">
        <v>1.0471679164739E13</v>
      </c>
      <c r="J1482" s="22" t="s">
        <v>2933</v>
      </c>
      <c r="K1482" s="24"/>
      <c r="L1482" s="22" t="s">
        <v>519</v>
      </c>
      <c r="M1482" s="22">
        <v>1.0</v>
      </c>
      <c r="N1482" s="22" t="s">
        <v>476</v>
      </c>
      <c r="O1482" s="22" t="s">
        <v>477</v>
      </c>
      <c r="P1482" s="24"/>
      <c r="Q1482" s="22" t="s">
        <v>90</v>
      </c>
      <c r="R1482" s="22">
        <v>3.2779725439299E13</v>
      </c>
      <c r="S1482" s="24"/>
      <c r="T1482" s="24"/>
      <c r="U1482" s="24"/>
      <c r="V1482" s="30" t="s">
        <v>55</v>
      </c>
      <c r="W1482" s="33"/>
      <c r="X1482" s="33"/>
      <c r="Y1482" s="30"/>
      <c r="Z1482" s="30"/>
      <c r="AA1482" s="33"/>
      <c r="AB1482" s="33"/>
      <c r="AC1482" s="30"/>
      <c r="AD1482" s="30"/>
      <c r="AE1482" s="33"/>
      <c r="AF1482" s="31"/>
      <c r="AG1482" s="30"/>
      <c r="AH1482" s="30"/>
      <c r="AI1482" s="31"/>
      <c r="AJ1482" s="31"/>
      <c r="AK1482" s="32"/>
    </row>
    <row r="1483">
      <c r="A1483" s="21" t="s">
        <v>124</v>
      </c>
      <c r="B1483" s="22" t="s">
        <v>1348</v>
      </c>
      <c r="C1483" s="22" t="s">
        <v>287</v>
      </c>
      <c r="D1483" s="26">
        <v>45994.0</v>
      </c>
      <c r="E1483" s="22" t="s">
        <v>153</v>
      </c>
      <c r="F1483" s="22" t="s">
        <v>83</v>
      </c>
      <c r="G1483" s="22" t="s">
        <v>2934</v>
      </c>
      <c r="H1483" s="22" t="s">
        <v>124</v>
      </c>
      <c r="I1483" s="22">
        <v>1.0471683522883E13</v>
      </c>
      <c r="J1483" s="22" t="s">
        <v>2935</v>
      </c>
      <c r="K1483" s="24"/>
      <c r="L1483" s="22" t="s">
        <v>126</v>
      </c>
      <c r="M1483" s="22">
        <v>1.0</v>
      </c>
      <c r="N1483" s="22" t="s">
        <v>103</v>
      </c>
      <c r="O1483" s="22" t="s">
        <v>104</v>
      </c>
      <c r="P1483" s="24"/>
      <c r="Q1483" s="22" t="s">
        <v>90</v>
      </c>
      <c r="R1483" s="22">
        <v>3.2779735204163E13</v>
      </c>
      <c r="S1483" s="24"/>
      <c r="T1483" s="24"/>
      <c r="U1483" s="24"/>
      <c r="V1483" s="30" t="s">
        <v>127</v>
      </c>
      <c r="W1483" s="33"/>
      <c r="X1483" s="33"/>
      <c r="Y1483" s="30"/>
      <c r="Z1483" s="30"/>
      <c r="AA1483" s="33"/>
      <c r="AB1483" s="33"/>
      <c r="AC1483" s="30"/>
      <c r="AD1483" s="30"/>
      <c r="AE1483" s="33"/>
      <c r="AF1483" s="31"/>
      <c r="AG1483" s="30"/>
      <c r="AH1483" s="30"/>
      <c r="AI1483" s="31"/>
      <c r="AJ1483" s="31"/>
      <c r="AK1483" s="32"/>
    </row>
    <row r="1484">
      <c r="A1484" s="21" t="s">
        <v>375</v>
      </c>
      <c r="B1484" s="22" t="s">
        <v>2525</v>
      </c>
      <c r="C1484" s="22" t="s">
        <v>82</v>
      </c>
      <c r="D1484" s="23">
        <v>46004.0</v>
      </c>
      <c r="E1484" s="22" t="s">
        <v>138</v>
      </c>
      <c r="F1484" s="22" t="s">
        <v>377</v>
      </c>
      <c r="G1484" s="22" t="s">
        <v>2936</v>
      </c>
      <c r="H1484" s="22" t="s">
        <v>375</v>
      </c>
      <c r="I1484" s="22">
        <v>1.0471736639811E13</v>
      </c>
      <c r="J1484" s="22" t="s">
        <v>2937</v>
      </c>
      <c r="K1484" s="24"/>
      <c r="L1484" s="22" t="s">
        <v>380</v>
      </c>
      <c r="M1484" s="22">
        <v>1.0</v>
      </c>
      <c r="N1484" s="22" t="s">
        <v>381</v>
      </c>
      <c r="O1484" s="22" t="s">
        <v>382</v>
      </c>
      <c r="P1484" s="24"/>
      <c r="Q1484" s="22" t="s">
        <v>90</v>
      </c>
      <c r="R1484" s="22">
        <v>3.2779855659331E13</v>
      </c>
      <c r="S1484" s="24"/>
      <c r="T1484" s="24"/>
      <c r="U1484" s="24"/>
      <c r="V1484" s="30" t="s">
        <v>55</v>
      </c>
      <c r="W1484" s="33"/>
      <c r="X1484" s="33"/>
      <c r="Y1484" s="30"/>
      <c r="Z1484" s="30"/>
      <c r="AA1484" s="33"/>
      <c r="AB1484" s="33"/>
      <c r="AC1484" s="30"/>
      <c r="AD1484" s="30"/>
      <c r="AE1484" s="33"/>
      <c r="AF1484" s="31"/>
      <c r="AG1484" s="30"/>
      <c r="AH1484" s="30"/>
      <c r="AI1484" s="31"/>
      <c r="AJ1484" s="31"/>
      <c r="AK1484" s="32"/>
    </row>
    <row r="1485">
      <c r="A1485" s="21" t="s">
        <v>99</v>
      </c>
      <c r="B1485" s="22" t="s">
        <v>1348</v>
      </c>
      <c r="C1485" s="22" t="s">
        <v>287</v>
      </c>
      <c r="D1485" s="26">
        <v>45994.0</v>
      </c>
      <c r="E1485" s="22" t="s">
        <v>153</v>
      </c>
      <c r="F1485" s="22" t="s">
        <v>83</v>
      </c>
      <c r="G1485" s="22" t="s">
        <v>2938</v>
      </c>
      <c r="H1485" s="22" t="s">
        <v>99</v>
      </c>
      <c r="I1485" s="22">
        <v>1.0471738573123E13</v>
      </c>
      <c r="J1485" s="22" t="s">
        <v>2935</v>
      </c>
      <c r="K1485" s="24"/>
      <c r="L1485" s="22" t="s">
        <v>102</v>
      </c>
      <c r="M1485" s="22">
        <v>1.0</v>
      </c>
      <c r="N1485" s="22" t="s">
        <v>103</v>
      </c>
      <c r="O1485" s="22" t="s">
        <v>104</v>
      </c>
      <c r="P1485" s="24"/>
      <c r="Q1485" s="22" t="s">
        <v>90</v>
      </c>
      <c r="R1485" s="22">
        <v>3.2779860181315E13</v>
      </c>
      <c r="S1485" s="24"/>
      <c r="T1485" s="24"/>
      <c r="U1485" s="24"/>
      <c r="V1485" s="30" t="s">
        <v>105</v>
      </c>
      <c r="W1485" s="33"/>
      <c r="X1485" s="33"/>
      <c r="Y1485" s="30"/>
      <c r="Z1485" s="30"/>
      <c r="AA1485" s="33"/>
      <c r="AB1485" s="33"/>
      <c r="AC1485" s="30"/>
      <c r="AD1485" s="30"/>
      <c r="AE1485" s="33"/>
      <c r="AF1485" s="31"/>
      <c r="AG1485" s="30"/>
      <c r="AH1485" s="30"/>
      <c r="AI1485" s="31"/>
      <c r="AJ1485" s="31"/>
      <c r="AK1485" s="32"/>
    </row>
    <row r="1486">
      <c r="A1486" s="21" t="s">
        <v>758</v>
      </c>
      <c r="B1486" s="22" t="s">
        <v>1193</v>
      </c>
      <c r="C1486" s="22" t="s">
        <v>287</v>
      </c>
      <c r="D1486" s="26">
        <v>45994.0</v>
      </c>
      <c r="E1486" s="22" t="s">
        <v>134</v>
      </c>
      <c r="F1486" s="22" t="s">
        <v>717</v>
      </c>
      <c r="G1486" s="22" t="s">
        <v>2939</v>
      </c>
      <c r="H1486" s="22" t="s">
        <v>758</v>
      </c>
      <c r="I1486" s="22">
        <v>1.0471753777475E13</v>
      </c>
      <c r="J1486" s="22" t="s">
        <v>2940</v>
      </c>
      <c r="K1486" s="24"/>
      <c r="L1486" s="22" t="s">
        <v>762</v>
      </c>
      <c r="M1486" s="22">
        <v>1.0</v>
      </c>
      <c r="N1486" s="22" t="s">
        <v>721</v>
      </c>
      <c r="O1486" s="22" t="s">
        <v>722</v>
      </c>
      <c r="P1486" s="24"/>
      <c r="Q1486" s="22" t="s">
        <v>90</v>
      </c>
      <c r="R1486" s="22">
        <v>3.2779897078083E13</v>
      </c>
      <c r="S1486" s="24"/>
      <c r="T1486" s="24"/>
      <c r="U1486" s="24"/>
      <c r="V1486" s="30" t="s">
        <v>54</v>
      </c>
      <c r="W1486" s="33"/>
      <c r="X1486" s="33"/>
      <c r="Y1486" s="30"/>
      <c r="Z1486" s="30"/>
      <c r="AA1486" s="33"/>
      <c r="AB1486" s="33"/>
      <c r="AC1486" s="30"/>
      <c r="AD1486" s="30"/>
      <c r="AE1486" s="33"/>
      <c r="AF1486" s="31"/>
      <c r="AG1486" s="30"/>
      <c r="AH1486" s="30"/>
      <c r="AI1486" s="31"/>
      <c r="AJ1486" s="31"/>
      <c r="AK1486" s="32"/>
    </row>
    <row r="1487">
      <c r="A1487" s="21" t="s">
        <v>99</v>
      </c>
      <c r="B1487" s="22" t="s">
        <v>2941</v>
      </c>
      <c r="C1487" s="22" t="s">
        <v>294</v>
      </c>
      <c r="D1487" s="26">
        <v>45992.0</v>
      </c>
      <c r="E1487" s="22" t="s">
        <v>1400</v>
      </c>
      <c r="F1487" s="22" t="s">
        <v>83</v>
      </c>
      <c r="G1487" s="22" t="s">
        <v>2942</v>
      </c>
      <c r="H1487" s="22" t="s">
        <v>99</v>
      </c>
      <c r="I1487" s="22">
        <v>1.0471756202307E13</v>
      </c>
      <c r="J1487" s="22" t="s">
        <v>2943</v>
      </c>
      <c r="K1487" s="24"/>
      <c r="L1487" s="22" t="s">
        <v>102</v>
      </c>
      <c r="M1487" s="22">
        <v>1.0</v>
      </c>
      <c r="N1487" s="22" t="s">
        <v>103</v>
      </c>
      <c r="O1487" s="22" t="s">
        <v>104</v>
      </c>
      <c r="P1487" s="24"/>
      <c r="Q1487" s="22" t="s">
        <v>90</v>
      </c>
      <c r="R1487" s="22">
        <v>3.2779902681411E13</v>
      </c>
      <c r="S1487" s="24"/>
      <c r="T1487" s="24"/>
      <c r="U1487" s="24"/>
      <c r="V1487" s="30" t="s">
        <v>105</v>
      </c>
      <c r="W1487" s="33"/>
      <c r="X1487" s="33"/>
      <c r="Y1487" s="30"/>
      <c r="Z1487" s="30"/>
      <c r="AA1487" s="33"/>
      <c r="AB1487" s="33"/>
      <c r="AC1487" s="30"/>
      <c r="AD1487" s="30"/>
      <c r="AE1487" s="33"/>
      <c r="AF1487" s="31"/>
      <c r="AG1487" s="30"/>
      <c r="AH1487" s="30"/>
      <c r="AI1487" s="31"/>
      <c r="AJ1487" s="31"/>
      <c r="AK1487" s="32"/>
    </row>
    <row r="1488">
      <c r="A1488" s="21" t="s">
        <v>1554</v>
      </c>
      <c r="B1488" s="22" t="s">
        <v>2944</v>
      </c>
      <c r="C1488" s="22" t="s">
        <v>82</v>
      </c>
      <c r="D1488" s="26">
        <v>45997.0</v>
      </c>
      <c r="E1488" s="22" t="s">
        <v>138</v>
      </c>
      <c r="F1488" s="22" t="s">
        <v>1466</v>
      </c>
      <c r="G1488" s="22" t="s">
        <v>2945</v>
      </c>
      <c r="H1488" s="22" t="s">
        <v>1554</v>
      </c>
      <c r="I1488" s="22">
        <v>1.0471759970627E13</v>
      </c>
      <c r="J1488" s="22" t="s">
        <v>2946</v>
      </c>
      <c r="K1488" s="24"/>
      <c r="L1488" s="22" t="s">
        <v>1556</v>
      </c>
      <c r="M1488" s="22">
        <v>1.0</v>
      </c>
      <c r="N1488" s="22" t="s">
        <v>1470</v>
      </c>
      <c r="O1488" s="22" t="s">
        <v>1471</v>
      </c>
      <c r="P1488" s="24"/>
      <c r="Q1488" s="22" t="s">
        <v>90</v>
      </c>
      <c r="R1488" s="22">
        <v>3.2779911364931E13</v>
      </c>
      <c r="S1488" s="24"/>
      <c r="T1488" s="24"/>
      <c r="U1488" s="24"/>
      <c r="V1488" s="30" t="s">
        <v>91</v>
      </c>
      <c r="W1488" s="33"/>
      <c r="X1488" s="33"/>
      <c r="Y1488" s="30"/>
      <c r="Z1488" s="30"/>
      <c r="AA1488" s="33"/>
      <c r="AB1488" s="33"/>
      <c r="AC1488" s="30"/>
      <c r="AD1488" s="30"/>
      <c r="AE1488" s="33"/>
      <c r="AF1488" s="31"/>
      <c r="AG1488" s="30"/>
      <c r="AH1488" s="30"/>
      <c r="AI1488" s="31"/>
      <c r="AJ1488" s="31"/>
      <c r="AK1488" s="32"/>
    </row>
    <row r="1489">
      <c r="A1489" s="21" t="s">
        <v>367</v>
      </c>
      <c r="B1489" s="22" t="s">
        <v>424</v>
      </c>
      <c r="C1489" s="22" t="s">
        <v>273</v>
      </c>
      <c r="D1489" s="26">
        <v>45998.0</v>
      </c>
      <c r="E1489" s="22" t="s">
        <v>134</v>
      </c>
      <c r="F1489" s="22" t="s">
        <v>369</v>
      </c>
      <c r="G1489" s="22" t="s">
        <v>2947</v>
      </c>
      <c r="H1489" s="22" t="s">
        <v>367</v>
      </c>
      <c r="I1489" s="22">
        <v>1.0471777239363E13</v>
      </c>
      <c r="J1489" s="22" t="s">
        <v>2948</v>
      </c>
      <c r="K1489" s="24"/>
      <c r="L1489" s="22" t="s">
        <v>372</v>
      </c>
      <c r="M1489" s="22">
        <v>1.0</v>
      </c>
      <c r="N1489" s="22" t="s">
        <v>373</v>
      </c>
      <c r="O1489" s="22" t="s">
        <v>374</v>
      </c>
      <c r="P1489" s="24"/>
      <c r="Q1489" s="22" t="s">
        <v>90</v>
      </c>
      <c r="R1489" s="22">
        <v>3.2779952259395E13</v>
      </c>
      <c r="S1489" s="24"/>
      <c r="T1489" s="24"/>
      <c r="U1489" s="24"/>
      <c r="V1489" s="30" t="s">
        <v>55</v>
      </c>
      <c r="W1489" s="33"/>
      <c r="X1489" s="33"/>
      <c r="Y1489" s="30"/>
      <c r="Z1489" s="30"/>
      <c r="AA1489" s="33"/>
      <c r="AB1489" s="33"/>
      <c r="AC1489" s="30"/>
      <c r="AD1489" s="30"/>
      <c r="AE1489" s="33"/>
      <c r="AF1489" s="31"/>
      <c r="AG1489" s="30"/>
      <c r="AH1489" s="30"/>
      <c r="AI1489" s="31"/>
      <c r="AJ1489" s="31"/>
      <c r="AK1489" s="32"/>
    </row>
    <row r="1490">
      <c r="A1490" s="21" t="s">
        <v>124</v>
      </c>
      <c r="B1490" s="22" t="s">
        <v>1352</v>
      </c>
      <c r="C1490" s="22" t="s">
        <v>82</v>
      </c>
      <c r="D1490" s="26">
        <v>45997.0</v>
      </c>
      <c r="E1490" s="22" t="s">
        <v>153</v>
      </c>
      <c r="F1490" s="22" t="s">
        <v>83</v>
      </c>
      <c r="G1490" s="22" t="s">
        <v>2949</v>
      </c>
      <c r="H1490" s="22" t="s">
        <v>124</v>
      </c>
      <c r="I1490" s="22">
        <v>1.0471820132675E13</v>
      </c>
      <c r="J1490" s="22" t="s">
        <v>2950</v>
      </c>
      <c r="K1490" s="24"/>
      <c r="L1490" s="22" t="s">
        <v>126</v>
      </c>
      <c r="M1490" s="22">
        <v>1.0</v>
      </c>
      <c r="N1490" s="22" t="s">
        <v>103</v>
      </c>
      <c r="O1490" s="22" t="s">
        <v>104</v>
      </c>
      <c r="P1490" s="24"/>
      <c r="Q1490" s="22" t="s">
        <v>90</v>
      </c>
      <c r="R1490" s="22">
        <v>3.2780053020995E13</v>
      </c>
      <c r="S1490" s="24"/>
      <c r="T1490" s="24"/>
      <c r="U1490" s="24"/>
      <c r="V1490" s="30" t="s">
        <v>127</v>
      </c>
      <c r="W1490" s="33"/>
      <c r="X1490" s="33"/>
      <c r="Y1490" s="30"/>
      <c r="Z1490" s="30"/>
      <c r="AA1490" s="33"/>
      <c r="AB1490" s="33"/>
      <c r="AC1490" s="30"/>
      <c r="AD1490" s="30"/>
      <c r="AE1490" s="33"/>
      <c r="AF1490" s="31"/>
      <c r="AG1490" s="30"/>
      <c r="AH1490" s="30"/>
      <c r="AI1490" s="31"/>
      <c r="AJ1490" s="31"/>
      <c r="AK1490" s="32"/>
    </row>
    <row r="1491">
      <c r="A1491" s="21" t="s">
        <v>437</v>
      </c>
      <c r="B1491" s="22" t="s">
        <v>574</v>
      </c>
      <c r="C1491" s="22" t="s">
        <v>273</v>
      </c>
      <c r="D1491" s="26">
        <v>45998.0</v>
      </c>
      <c r="E1491" s="22" t="s">
        <v>187</v>
      </c>
      <c r="F1491" s="22" t="s">
        <v>440</v>
      </c>
      <c r="G1491" s="22" t="s">
        <v>2951</v>
      </c>
      <c r="H1491" s="22" t="s">
        <v>437</v>
      </c>
      <c r="I1491" s="22">
        <v>1.0471840743747E13</v>
      </c>
      <c r="J1491" s="22" t="s">
        <v>2952</v>
      </c>
      <c r="K1491" s="24"/>
      <c r="L1491" s="22" t="s">
        <v>443</v>
      </c>
      <c r="M1491" s="22">
        <v>1.0</v>
      </c>
      <c r="N1491" s="22" t="s">
        <v>444</v>
      </c>
      <c r="O1491" s="22" t="s">
        <v>445</v>
      </c>
      <c r="P1491" s="24"/>
      <c r="Q1491" s="22" t="s">
        <v>90</v>
      </c>
      <c r="R1491" s="22">
        <v>3.2780101517635E13</v>
      </c>
      <c r="S1491" s="24"/>
      <c r="T1491" s="24"/>
      <c r="U1491" s="24"/>
      <c r="V1491" s="30" t="s">
        <v>91</v>
      </c>
      <c r="W1491" s="33"/>
      <c r="X1491" s="33"/>
      <c r="Y1491" s="30"/>
      <c r="Z1491" s="30"/>
      <c r="AA1491" s="33"/>
      <c r="AB1491" s="33"/>
      <c r="AC1491" s="30"/>
      <c r="AD1491" s="30"/>
      <c r="AE1491" s="33"/>
      <c r="AF1491" s="31"/>
      <c r="AG1491" s="30"/>
      <c r="AH1491" s="30"/>
      <c r="AI1491" s="31"/>
      <c r="AJ1491" s="31"/>
      <c r="AK1491" s="32"/>
    </row>
    <row r="1492">
      <c r="A1492" s="21" t="s">
        <v>96</v>
      </c>
      <c r="B1492" s="22" t="s">
        <v>2953</v>
      </c>
      <c r="C1492" s="22" t="s">
        <v>273</v>
      </c>
      <c r="D1492" s="23">
        <v>45991.0</v>
      </c>
      <c r="E1492" s="22" t="s">
        <v>149</v>
      </c>
      <c r="F1492" s="22" t="s">
        <v>83</v>
      </c>
      <c r="G1492" s="22" t="s">
        <v>2954</v>
      </c>
      <c r="H1492" s="22" t="s">
        <v>96</v>
      </c>
      <c r="I1492" s="22">
        <v>1.0471853261123E13</v>
      </c>
      <c r="J1492" s="22" t="s">
        <v>2955</v>
      </c>
      <c r="K1492" s="24"/>
      <c r="L1492" s="22" t="s">
        <v>98</v>
      </c>
      <c r="M1492" s="22">
        <v>1.0</v>
      </c>
      <c r="N1492" s="22" t="s">
        <v>87</v>
      </c>
      <c r="O1492" s="22" t="s">
        <v>88</v>
      </c>
      <c r="P1492" s="24"/>
      <c r="Q1492" s="22" t="s">
        <v>90</v>
      </c>
      <c r="R1492" s="22">
        <v>3.2780129206595E13</v>
      </c>
      <c r="S1492" s="24"/>
      <c r="T1492" s="24"/>
      <c r="U1492" s="24"/>
      <c r="V1492" s="30" t="s">
        <v>55</v>
      </c>
      <c r="W1492" s="33"/>
      <c r="X1492" s="33"/>
      <c r="Y1492" s="30"/>
      <c r="Z1492" s="30"/>
      <c r="AA1492" s="33"/>
      <c r="AB1492" s="33"/>
      <c r="AC1492" s="30"/>
      <c r="AD1492" s="30"/>
      <c r="AE1492" s="33"/>
      <c r="AF1492" s="31"/>
      <c r="AG1492" s="30"/>
      <c r="AH1492" s="30"/>
      <c r="AI1492" s="31"/>
      <c r="AJ1492" s="31"/>
      <c r="AK1492" s="32"/>
    </row>
    <row r="1493">
      <c r="A1493" s="21" t="s">
        <v>96</v>
      </c>
      <c r="B1493" s="22" t="s">
        <v>2251</v>
      </c>
      <c r="C1493" s="22" t="s">
        <v>273</v>
      </c>
      <c r="D1493" s="23">
        <v>45991.0</v>
      </c>
      <c r="E1493" s="22" t="s">
        <v>192</v>
      </c>
      <c r="F1493" s="22" t="s">
        <v>83</v>
      </c>
      <c r="G1493" s="22" t="s">
        <v>2956</v>
      </c>
      <c r="H1493" s="22" t="s">
        <v>96</v>
      </c>
      <c r="I1493" s="22">
        <v>1.0471873872195E13</v>
      </c>
      <c r="J1493" s="22" t="s">
        <v>2957</v>
      </c>
      <c r="K1493" s="24"/>
      <c r="L1493" s="22" t="s">
        <v>98</v>
      </c>
      <c r="M1493" s="22">
        <v>1.0</v>
      </c>
      <c r="N1493" s="22" t="s">
        <v>87</v>
      </c>
      <c r="O1493" s="22" t="s">
        <v>88</v>
      </c>
      <c r="P1493" s="24"/>
      <c r="Q1493" s="22" t="s">
        <v>90</v>
      </c>
      <c r="R1493" s="22">
        <v>3.2780181832003E13</v>
      </c>
      <c r="S1493" s="24"/>
      <c r="T1493" s="24"/>
      <c r="U1493" s="24"/>
      <c r="V1493" s="30" t="s">
        <v>55</v>
      </c>
      <c r="W1493" s="33"/>
      <c r="X1493" s="33"/>
      <c r="Y1493" s="30"/>
      <c r="Z1493" s="30"/>
      <c r="AA1493" s="33"/>
      <c r="AB1493" s="33"/>
      <c r="AC1493" s="30"/>
      <c r="AD1493" s="30"/>
      <c r="AE1493" s="33"/>
      <c r="AF1493" s="31"/>
      <c r="AG1493" s="30"/>
      <c r="AH1493" s="30"/>
      <c r="AI1493" s="31"/>
      <c r="AJ1493" s="31"/>
      <c r="AK1493" s="32"/>
    </row>
    <row r="1494">
      <c r="A1494" s="21" t="s">
        <v>96</v>
      </c>
      <c r="B1494" s="22" t="s">
        <v>2958</v>
      </c>
      <c r="C1494" s="22" t="s">
        <v>336</v>
      </c>
      <c r="D1494" s="26">
        <v>45995.0</v>
      </c>
      <c r="E1494" s="22" t="s">
        <v>1400</v>
      </c>
      <c r="F1494" s="22" t="s">
        <v>83</v>
      </c>
      <c r="G1494" s="22" t="s">
        <v>2959</v>
      </c>
      <c r="H1494" s="22" t="s">
        <v>96</v>
      </c>
      <c r="I1494" s="22">
        <v>1.0471910113603E13</v>
      </c>
      <c r="J1494" s="22" t="s">
        <v>2960</v>
      </c>
      <c r="K1494" s="24"/>
      <c r="L1494" s="22" t="s">
        <v>98</v>
      </c>
      <c r="M1494" s="22">
        <v>1.0</v>
      </c>
      <c r="N1494" s="22" t="s">
        <v>87</v>
      </c>
      <c r="O1494" s="22" t="s">
        <v>88</v>
      </c>
      <c r="P1494" s="24"/>
      <c r="Q1494" s="22" t="s">
        <v>90</v>
      </c>
      <c r="R1494" s="22">
        <v>3.2780264702275E13</v>
      </c>
      <c r="S1494" s="24"/>
      <c r="T1494" s="24"/>
      <c r="U1494" s="24"/>
      <c r="V1494" s="30" t="s">
        <v>55</v>
      </c>
      <c r="W1494" s="33"/>
      <c r="X1494" s="33"/>
      <c r="Y1494" s="30"/>
      <c r="Z1494" s="30"/>
      <c r="AA1494" s="33"/>
      <c r="AB1494" s="33"/>
      <c r="AC1494" s="30"/>
      <c r="AD1494" s="30"/>
      <c r="AE1494" s="33"/>
      <c r="AF1494" s="31"/>
      <c r="AG1494" s="30"/>
      <c r="AH1494" s="30"/>
      <c r="AI1494" s="31"/>
      <c r="AJ1494" s="31"/>
      <c r="AK1494" s="32"/>
    </row>
    <row r="1495">
      <c r="A1495" s="21" t="s">
        <v>327</v>
      </c>
      <c r="B1495" s="22" t="s">
        <v>1356</v>
      </c>
      <c r="C1495" s="22" t="s">
        <v>273</v>
      </c>
      <c r="D1495" s="23">
        <v>45991.0</v>
      </c>
      <c r="E1495" s="22" t="s">
        <v>153</v>
      </c>
      <c r="F1495" s="22" t="s">
        <v>329</v>
      </c>
      <c r="G1495" s="22" t="s">
        <v>2961</v>
      </c>
      <c r="H1495" s="22" t="s">
        <v>327</v>
      </c>
      <c r="I1495" s="22">
        <v>1.0472166392131E13</v>
      </c>
      <c r="J1495" s="22" t="s">
        <v>2962</v>
      </c>
      <c r="K1495" s="24"/>
      <c r="L1495" s="22" t="s">
        <v>332</v>
      </c>
      <c r="M1495" s="22">
        <v>1.0</v>
      </c>
      <c r="N1495" s="22" t="s">
        <v>333</v>
      </c>
      <c r="O1495" s="22" t="s">
        <v>334</v>
      </c>
      <c r="P1495" s="24"/>
      <c r="Q1495" s="22" t="s">
        <v>90</v>
      </c>
      <c r="R1495" s="22">
        <v>3.2780783223107E13</v>
      </c>
      <c r="S1495" s="24"/>
      <c r="T1495" s="24"/>
      <c r="U1495" s="24"/>
      <c r="V1495" s="30" t="s">
        <v>55</v>
      </c>
      <c r="W1495" s="33"/>
      <c r="X1495" s="33"/>
      <c r="Y1495" s="30"/>
      <c r="Z1495" s="30"/>
      <c r="AA1495" s="33"/>
      <c r="AB1495" s="33"/>
      <c r="AC1495" s="30"/>
      <c r="AD1495" s="30"/>
      <c r="AE1495" s="33"/>
      <c r="AF1495" s="31"/>
      <c r="AG1495" s="30"/>
      <c r="AH1495" s="30"/>
      <c r="AI1495" s="31"/>
      <c r="AJ1495" s="31"/>
      <c r="AK1495" s="32"/>
    </row>
    <row r="1496">
      <c r="A1496" s="21" t="s">
        <v>902</v>
      </c>
      <c r="B1496" s="22" t="s">
        <v>1356</v>
      </c>
      <c r="C1496" s="22" t="s">
        <v>273</v>
      </c>
      <c r="D1496" s="23">
        <v>45991.0</v>
      </c>
      <c r="E1496" s="22" t="s">
        <v>153</v>
      </c>
      <c r="F1496" s="22" t="s">
        <v>329</v>
      </c>
      <c r="G1496" s="22" t="s">
        <v>2963</v>
      </c>
      <c r="H1496" s="22" t="s">
        <v>902</v>
      </c>
      <c r="I1496" s="22">
        <v>1.0472227504451E13</v>
      </c>
      <c r="J1496" s="22" t="s">
        <v>2962</v>
      </c>
      <c r="K1496" s="24"/>
      <c r="L1496" s="22" t="s">
        <v>906</v>
      </c>
      <c r="M1496" s="22">
        <v>1.0</v>
      </c>
      <c r="N1496" s="22" t="s">
        <v>907</v>
      </c>
      <c r="O1496" s="22" t="s">
        <v>908</v>
      </c>
      <c r="P1496" s="24"/>
      <c r="Q1496" s="22" t="s">
        <v>90</v>
      </c>
      <c r="R1496" s="22">
        <v>3.2780908069187E13</v>
      </c>
      <c r="S1496" s="24"/>
      <c r="T1496" s="24"/>
      <c r="U1496" s="24"/>
      <c r="V1496" s="30" t="s">
        <v>105</v>
      </c>
      <c r="W1496" s="33"/>
      <c r="X1496" s="33"/>
      <c r="Y1496" s="30"/>
      <c r="Z1496" s="30"/>
      <c r="AA1496" s="33"/>
      <c r="AB1496" s="33"/>
      <c r="AC1496" s="30"/>
      <c r="AD1496" s="30"/>
      <c r="AE1496" s="33"/>
      <c r="AF1496" s="31"/>
      <c r="AG1496" s="30"/>
      <c r="AH1496" s="30"/>
      <c r="AI1496" s="31"/>
      <c r="AJ1496" s="31"/>
      <c r="AK1496" s="32"/>
    </row>
    <row r="1497">
      <c r="A1497" s="21" t="s">
        <v>845</v>
      </c>
      <c r="B1497" s="22" t="s">
        <v>2964</v>
      </c>
      <c r="C1497" s="22" t="s">
        <v>82</v>
      </c>
      <c r="D1497" s="26">
        <v>45997.0</v>
      </c>
      <c r="E1497" s="22" t="s">
        <v>1117</v>
      </c>
      <c r="F1497" s="22" t="s">
        <v>451</v>
      </c>
      <c r="G1497" s="22" t="s">
        <v>2965</v>
      </c>
      <c r="H1497" s="22" t="s">
        <v>845</v>
      </c>
      <c r="I1497" s="22">
        <v>1.0472264728899E13</v>
      </c>
      <c r="J1497" s="22" t="s">
        <v>2966</v>
      </c>
      <c r="K1497" s="24"/>
      <c r="L1497" s="22" t="s">
        <v>847</v>
      </c>
      <c r="M1497" s="22">
        <v>1.0</v>
      </c>
      <c r="N1497" s="22" t="s">
        <v>455</v>
      </c>
      <c r="O1497" s="22" t="s">
        <v>456</v>
      </c>
      <c r="P1497" s="24"/>
      <c r="Q1497" s="22" t="s">
        <v>90</v>
      </c>
      <c r="R1497" s="22">
        <v>3.2781005062467E13</v>
      </c>
      <c r="S1497" s="24"/>
      <c r="T1497" s="24"/>
      <c r="U1497" s="24"/>
      <c r="V1497" s="30" t="s">
        <v>55</v>
      </c>
      <c r="W1497" s="33"/>
      <c r="X1497" s="33"/>
      <c r="Y1497" s="30"/>
      <c r="Z1497" s="30"/>
      <c r="AA1497" s="33"/>
      <c r="AB1497" s="33"/>
      <c r="AC1497" s="30"/>
      <c r="AD1497" s="30"/>
      <c r="AE1497" s="33"/>
      <c r="AF1497" s="31"/>
      <c r="AG1497" s="30"/>
      <c r="AH1497" s="30"/>
      <c r="AI1497" s="31"/>
      <c r="AJ1497" s="31"/>
      <c r="AK1497" s="32"/>
    </row>
    <row r="1498">
      <c r="A1498" s="21" t="s">
        <v>1472</v>
      </c>
      <c r="B1498" s="22" t="s">
        <v>2967</v>
      </c>
      <c r="C1498" s="22" t="s">
        <v>82</v>
      </c>
      <c r="D1498" s="26">
        <v>45997.0</v>
      </c>
      <c r="E1498" s="22" t="s">
        <v>134</v>
      </c>
      <c r="F1498" s="22" t="s">
        <v>1466</v>
      </c>
      <c r="G1498" s="22" t="s">
        <v>2968</v>
      </c>
      <c r="H1498" s="22" t="s">
        <v>1472</v>
      </c>
      <c r="I1498" s="22">
        <v>1.0472309784899E13</v>
      </c>
      <c r="J1498" s="22" t="s">
        <v>2969</v>
      </c>
      <c r="K1498" s="24"/>
      <c r="L1498" s="22" t="s">
        <v>1474</v>
      </c>
      <c r="M1498" s="22">
        <v>1.0</v>
      </c>
      <c r="N1498" s="22" t="s">
        <v>1470</v>
      </c>
      <c r="O1498" s="22" t="s">
        <v>1471</v>
      </c>
      <c r="P1498" s="24"/>
      <c r="Q1498" s="22" t="s">
        <v>90</v>
      </c>
      <c r="R1498" s="22">
        <v>3.2781117915459E13</v>
      </c>
      <c r="S1498" s="24"/>
      <c r="T1498" s="24"/>
      <c r="U1498" s="24"/>
      <c r="V1498" s="30" t="s">
        <v>54</v>
      </c>
      <c r="W1498" s="33"/>
      <c r="X1498" s="33"/>
      <c r="Y1498" s="30"/>
      <c r="Z1498" s="30"/>
      <c r="AA1498" s="33"/>
      <c r="AB1498" s="33"/>
      <c r="AC1498" s="30"/>
      <c r="AD1498" s="30"/>
      <c r="AE1498" s="33"/>
      <c r="AF1498" s="31"/>
      <c r="AG1498" s="30"/>
      <c r="AH1498" s="30"/>
      <c r="AI1498" s="31"/>
      <c r="AJ1498" s="31"/>
      <c r="AK1498" s="32"/>
    </row>
    <row r="1499">
      <c r="A1499" s="21" t="s">
        <v>538</v>
      </c>
      <c r="B1499" s="22" t="s">
        <v>587</v>
      </c>
      <c r="C1499" s="22" t="s">
        <v>273</v>
      </c>
      <c r="D1499" s="26">
        <v>45998.0</v>
      </c>
      <c r="E1499" s="22" t="s">
        <v>153</v>
      </c>
      <c r="F1499" s="22" t="s">
        <v>369</v>
      </c>
      <c r="G1499" s="22" t="s">
        <v>2970</v>
      </c>
      <c r="H1499" s="22" t="s">
        <v>538</v>
      </c>
      <c r="I1499" s="22">
        <v>1.0472362180931E13</v>
      </c>
      <c r="J1499" s="22" t="s">
        <v>2971</v>
      </c>
      <c r="K1499" s="24"/>
      <c r="L1499" s="22" t="s">
        <v>542</v>
      </c>
      <c r="M1499" s="22">
        <v>1.0</v>
      </c>
      <c r="N1499" s="22" t="s">
        <v>373</v>
      </c>
      <c r="O1499" s="22" t="s">
        <v>374</v>
      </c>
      <c r="P1499" s="24"/>
      <c r="Q1499" s="22" t="s">
        <v>90</v>
      </c>
      <c r="R1499" s="22">
        <v>3.2781238272323E13</v>
      </c>
      <c r="S1499" s="24"/>
      <c r="T1499" s="24"/>
      <c r="U1499" s="24"/>
      <c r="V1499" s="30" t="s">
        <v>91</v>
      </c>
      <c r="W1499" s="33"/>
      <c r="X1499" s="33"/>
      <c r="Y1499" s="30"/>
      <c r="Z1499" s="30"/>
      <c r="AA1499" s="33"/>
      <c r="AB1499" s="33"/>
      <c r="AC1499" s="30"/>
      <c r="AD1499" s="30"/>
      <c r="AE1499" s="33"/>
      <c r="AF1499" s="31"/>
      <c r="AG1499" s="30"/>
      <c r="AH1499" s="30"/>
      <c r="AI1499" s="31"/>
      <c r="AJ1499" s="31"/>
      <c r="AK1499" s="32"/>
    </row>
    <row r="1500">
      <c r="A1500" s="21" t="s">
        <v>696</v>
      </c>
      <c r="B1500" s="22" t="s">
        <v>2169</v>
      </c>
      <c r="C1500" s="22" t="s">
        <v>82</v>
      </c>
      <c r="D1500" s="26">
        <v>45997.0</v>
      </c>
      <c r="E1500" s="22" t="s">
        <v>177</v>
      </c>
      <c r="F1500" s="22" t="s">
        <v>698</v>
      </c>
      <c r="G1500" s="22" t="s">
        <v>2972</v>
      </c>
      <c r="H1500" s="22" t="s">
        <v>696</v>
      </c>
      <c r="I1500" s="22">
        <v>1.0472364081475E13</v>
      </c>
      <c r="J1500" s="22" t="s">
        <v>2973</v>
      </c>
      <c r="K1500" s="24"/>
      <c r="L1500" s="22" t="s">
        <v>701</v>
      </c>
      <c r="M1500" s="22">
        <v>2.0</v>
      </c>
      <c r="N1500" s="22" t="s">
        <v>702</v>
      </c>
      <c r="O1500" s="22" t="s">
        <v>703</v>
      </c>
      <c r="P1500" s="24"/>
      <c r="Q1500" s="22" t="s">
        <v>90</v>
      </c>
      <c r="R1500" s="22">
        <v>3.2781241909571E13</v>
      </c>
      <c r="S1500" s="24"/>
      <c r="T1500" s="24"/>
      <c r="U1500" s="24"/>
      <c r="V1500" s="30" t="s">
        <v>55</v>
      </c>
      <c r="W1500" s="33"/>
      <c r="X1500" s="33"/>
      <c r="Y1500" s="30"/>
      <c r="Z1500" s="30"/>
      <c r="AA1500" s="33"/>
      <c r="AB1500" s="33"/>
      <c r="AC1500" s="30"/>
      <c r="AD1500" s="30"/>
      <c r="AE1500" s="33"/>
      <c r="AF1500" s="31"/>
      <c r="AG1500" s="30"/>
      <c r="AH1500" s="30"/>
      <c r="AI1500" s="31"/>
      <c r="AJ1500" s="31"/>
      <c r="AK1500" s="32"/>
    </row>
    <row r="1501">
      <c r="A1501" s="21" t="s">
        <v>458</v>
      </c>
      <c r="B1501" s="22" t="s">
        <v>2974</v>
      </c>
      <c r="C1501" s="22" t="s">
        <v>82</v>
      </c>
      <c r="D1501" s="23">
        <v>46004.0</v>
      </c>
      <c r="E1501" s="22" t="s">
        <v>1631</v>
      </c>
      <c r="F1501" s="22" t="s">
        <v>341</v>
      </c>
      <c r="G1501" s="22" t="s">
        <v>2975</v>
      </c>
      <c r="H1501" s="22" t="s">
        <v>458</v>
      </c>
      <c r="I1501" s="22">
        <v>1.0471510409539E13</v>
      </c>
      <c r="J1501" s="22" t="s">
        <v>2976</v>
      </c>
      <c r="K1501" s="24"/>
      <c r="L1501" s="22" t="s">
        <v>462</v>
      </c>
      <c r="M1501" s="22">
        <v>1.0</v>
      </c>
      <c r="N1501" s="22" t="s">
        <v>345</v>
      </c>
      <c r="O1501" s="22" t="s">
        <v>346</v>
      </c>
      <c r="P1501" s="24"/>
      <c r="Q1501" s="22" t="s">
        <v>90</v>
      </c>
      <c r="R1501" s="22">
        <v>3.2779343626563E13</v>
      </c>
      <c r="S1501" s="24"/>
      <c r="T1501" s="24"/>
      <c r="U1501" s="24"/>
      <c r="V1501" s="30" t="s">
        <v>91</v>
      </c>
      <c r="W1501" s="33"/>
      <c r="X1501" s="33"/>
      <c r="Y1501" s="30"/>
      <c r="Z1501" s="30"/>
      <c r="AA1501" s="33"/>
      <c r="AB1501" s="33"/>
      <c r="AC1501" s="30"/>
      <c r="AD1501" s="30"/>
      <c r="AE1501" s="33"/>
      <c r="AF1501" s="31"/>
      <c r="AG1501" s="30"/>
      <c r="AH1501" s="30"/>
      <c r="AI1501" s="31"/>
      <c r="AJ1501" s="31"/>
      <c r="AK1501" s="32"/>
    </row>
    <row r="1502">
      <c r="A1502" s="21" t="s">
        <v>309</v>
      </c>
      <c r="B1502" s="22" t="s">
        <v>2977</v>
      </c>
      <c r="C1502" s="22" t="s">
        <v>82</v>
      </c>
      <c r="D1502" s="26">
        <v>45997.0</v>
      </c>
      <c r="E1502" s="22" t="s">
        <v>134</v>
      </c>
      <c r="F1502" s="22" t="s">
        <v>311</v>
      </c>
      <c r="G1502" s="22" t="s">
        <v>2978</v>
      </c>
      <c r="H1502" s="22" t="s">
        <v>309</v>
      </c>
      <c r="I1502" s="22">
        <v>1.0471543177539E13</v>
      </c>
      <c r="J1502" s="22" t="s">
        <v>544</v>
      </c>
      <c r="K1502" s="24"/>
      <c r="L1502" s="22" t="s">
        <v>314</v>
      </c>
      <c r="M1502" s="22">
        <v>1.0</v>
      </c>
      <c r="N1502" s="22" t="s">
        <v>315</v>
      </c>
      <c r="O1502" s="22" t="s">
        <v>316</v>
      </c>
      <c r="P1502" s="24"/>
      <c r="Q1502" s="22" t="s">
        <v>90</v>
      </c>
      <c r="R1502" s="22">
        <v>3.2779417551171E13</v>
      </c>
      <c r="S1502" s="24"/>
      <c r="T1502" s="24"/>
      <c r="U1502" s="24"/>
      <c r="V1502" s="30" t="s">
        <v>105</v>
      </c>
      <c r="W1502" s="33"/>
      <c r="X1502" s="33"/>
      <c r="Y1502" s="30"/>
      <c r="Z1502" s="30"/>
      <c r="AA1502" s="33"/>
      <c r="AB1502" s="33"/>
      <c r="AC1502" s="30"/>
      <c r="AD1502" s="30"/>
      <c r="AE1502" s="33"/>
      <c r="AF1502" s="31"/>
      <c r="AG1502" s="30"/>
      <c r="AH1502" s="30"/>
      <c r="AI1502" s="31"/>
      <c r="AJ1502" s="31"/>
      <c r="AK1502" s="32"/>
    </row>
    <row r="1503">
      <c r="A1503" s="21" t="s">
        <v>814</v>
      </c>
      <c r="B1503" s="22" t="s">
        <v>2979</v>
      </c>
      <c r="C1503" s="22" t="s">
        <v>82</v>
      </c>
      <c r="D1503" s="26">
        <v>45997.0</v>
      </c>
      <c r="E1503" s="22" t="s">
        <v>219</v>
      </c>
      <c r="F1503" s="22" t="s">
        <v>698</v>
      </c>
      <c r="G1503" s="22" t="s">
        <v>2980</v>
      </c>
      <c r="H1503" s="22" t="s">
        <v>814</v>
      </c>
      <c r="I1503" s="22">
        <v>1.0471449198915E13</v>
      </c>
      <c r="J1503" s="22" t="s">
        <v>2981</v>
      </c>
      <c r="K1503" s="24"/>
      <c r="L1503" s="22" t="s">
        <v>818</v>
      </c>
      <c r="M1503" s="22">
        <v>1.0</v>
      </c>
      <c r="N1503" s="22" t="s">
        <v>819</v>
      </c>
      <c r="O1503" s="22" t="s">
        <v>820</v>
      </c>
      <c r="P1503" s="24"/>
      <c r="Q1503" s="22" t="s">
        <v>90</v>
      </c>
      <c r="R1503" s="22">
        <v>3.2779208786243E13</v>
      </c>
      <c r="S1503" s="24"/>
      <c r="T1503" s="24"/>
      <c r="U1503" s="24"/>
      <c r="V1503" s="30" t="s">
        <v>127</v>
      </c>
      <c r="W1503" s="33"/>
      <c r="X1503" s="33"/>
      <c r="Y1503" s="30"/>
      <c r="Z1503" s="30"/>
      <c r="AA1503" s="33"/>
      <c r="AB1503" s="33"/>
      <c r="AC1503" s="30"/>
      <c r="AD1503" s="30"/>
      <c r="AE1503" s="33"/>
      <c r="AF1503" s="31"/>
      <c r="AG1503" s="30"/>
      <c r="AH1503" s="30"/>
      <c r="AI1503" s="31"/>
      <c r="AJ1503" s="31"/>
      <c r="AK1503" s="32"/>
    </row>
    <row r="1504">
      <c r="A1504" s="21" t="s">
        <v>317</v>
      </c>
      <c r="B1504" s="22" t="s">
        <v>318</v>
      </c>
      <c r="C1504" s="22" t="s">
        <v>82</v>
      </c>
      <c r="D1504" s="26">
        <v>45997.0</v>
      </c>
      <c r="E1504" s="22" t="s">
        <v>196</v>
      </c>
      <c r="F1504" s="22" t="s">
        <v>319</v>
      </c>
      <c r="G1504" s="22" t="s">
        <v>2982</v>
      </c>
      <c r="H1504" s="22" t="s">
        <v>317</v>
      </c>
      <c r="I1504" s="22">
        <v>1.0472458617155E13</v>
      </c>
      <c r="J1504" s="22" t="s">
        <v>321</v>
      </c>
      <c r="K1504" s="24"/>
      <c r="L1504" s="22" t="s">
        <v>322</v>
      </c>
      <c r="M1504" s="22">
        <v>1.0</v>
      </c>
      <c r="N1504" s="22" t="s">
        <v>323</v>
      </c>
      <c r="O1504" s="22" t="s">
        <v>324</v>
      </c>
      <c r="P1504" s="24"/>
      <c r="Q1504" s="22" t="s">
        <v>90</v>
      </c>
      <c r="R1504" s="22">
        <v>3.2781450248515E13</v>
      </c>
      <c r="S1504" s="24"/>
      <c r="T1504" s="24"/>
      <c r="U1504" s="24"/>
      <c r="V1504" s="30" t="s">
        <v>55</v>
      </c>
      <c r="W1504" s="33"/>
      <c r="X1504" s="33"/>
      <c r="Y1504" s="30"/>
      <c r="Z1504" s="30"/>
      <c r="AA1504" s="33"/>
      <c r="AB1504" s="33"/>
      <c r="AC1504" s="30"/>
      <c r="AD1504" s="30"/>
      <c r="AE1504" s="33"/>
      <c r="AF1504" s="31"/>
      <c r="AG1504" s="30"/>
      <c r="AH1504" s="30"/>
      <c r="AI1504" s="31"/>
      <c r="AJ1504" s="31"/>
      <c r="AK1504" s="32"/>
    </row>
    <row r="1505">
      <c r="A1505" s="21" t="s">
        <v>367</v>
      </c>
      <c r="B1505" s="22" t="s">
        <v>587</v>
      </c>
      <c r="C1505" s="22" t="s">
        <v>273</v>
      </c>
      <c r="D1505" s="26">
        <v>45998.0</v>
      </c>
      <c r="E1505" s="22" t="s">
        <v>153</v>
      </c>
      <c r="F1505" s="22" t="s">
        <v>369</v>
      </c>
      <c r="G1505" s="22" t="s">
        <v>2983</v>
      </c>
      <c r="H1505" s="22" t="s">
        <v>367</v>
      </c>
      <c r="I1505" s="22">
        <v>1.0472459206979E13</v>
      </c>
      <c r="J1505" s="22" t="s">
        <v>2971</v>
      </c>
      <c r="K1505" s="24"/>
      <c r="L1505" s="22" t="s">
        <v>372</v>
      </c>
      <c r="M1505" s="22">
        <v>1.0</v>
      </c>
      <c r="N1505" s="22" t="s">
        <v>373</v>
      </c>
      <c r="O1505" s="22" t="s">
        <v>374</v>
      </c>
      <c r="P1505" s="24"/>
      <c r="Q1505" s="22" t="s">
        <v>90</v>
      </c>
      <c r="R1505" s="22">
        <v>3.2781451657539E13</v>
      </c>
      <c r="S1505" s="24"/>
      <c r="T1505" s="24"/>
      <c r="U1505" s="24"/>
      <c r="V1505" s="30" t="s">
        <v>55</v>
      </c>
      <c r="W1505" s="33"/>
      <c r="X1505" s="33"/>
      <c r="Y1505" s="30"/>
      <c r="Z1505" s="30"/>
      <c r="AA1505" s="33"/>
      <c r="AB1505" s="33"/>
      <c r="AC1505" s="30"/>
      <c r="AD1505" s="30"/>
      <c r="AE1505" s="33"/>
      <c r="AF1505" s="31"/>
      <c r="AG1505" s="30"/>
      <c r="AH1505" s="30"/>
      <c r="AI1505" s="31"/>
      <c r="AJ1505" s="31"/>
      <c r="AK1505" s="32"/>
    </row>
    <row r="1506">
      <c r="A1506" s="21" t="s">
        <v>386</v>
      </c>
      <c r="B1506" s="22" t="s">
        <v>2984</v>
      </c>
      <c r="C1506" s="22" t="s">
        <v>273</v>
      </c>
      <c r="D1506" s="26">
        <v>45998.0</v>
      </c>
      <c r="E1506" s="22" t="s">
        <v>1993</v>
      </c>
      <c r="F1506" s="22" t="s">
        <v>311</v>
      </c>
      <c r="G1506" s="22" t="s">
        <v>2985</v>
      </c>
      <c r="H1506" s="22" t="s">
        <v>386</v>
      </c>
      <c r="I1506" s="22">
        <v>1.0472493252931E13</v>
      </c>
      <c r="J1506" s="22" t="s">
        <v>2986</v>
      </c>
      <c r="K1506" s="24"/>
      <c r="L1506" s="22" t="s">
        <v>390</v>
      </c>
      <c r="M1506" s="22">
        <v>1.0</v>
      </c>
      <c r="N1506" s="22" t="s">
        <v>391</v>
      </c>
      <c r="O1506" s="22" t="s">
        <v>392</v>
      </c>
      <c r="P1506" s="24"/>
      <c r="Q1506" s="22" t="s">
        <v>90</v>
      </c>
      <c r="R1506" s="22">
        <v>3.2781525483843E13</v>
      </c>
      <c r="S1506" s="24"/>
      <c r="T1506" s="24"/>
      <c r="U1506" s="24"/>
      <c r="V1506" s="30" t="s">
        <v>55</v>
      </c>
      <c r="W1506" s="33"/>
      <c r="X1506" s="33"/>
      <c r="Y1506" s="30"/>
      <c r="Z1506" s="30"/>
      <c r="AA1506" s="33"/>
      <c r="AB1506" s="33"/>
      <c r="AC1506" s="30"/>
      <c r="AD1506" s="30"/>
      <c r="AE1506" s="33"/>
      <c r="AF1506" s="31"/>
      <c r="AG1506" s="30"/>
      <c r="AH1506" s="30"/>
      <c r="AI1506" s="31"/>
      <c r="AJ1506" s="31"/>
      <c r="AK1506" s="32"/>
    </row>
    <row r="1507">
      <c r="A1507" s="21" t="s">
        <v>1200</v>
      </c>
      <c r="B1507" s="22" t="s">
        <v>1502</v>
      </c>
      <c r="C1507" s="22" t="s">
        <v>82</v>
      </c>
      <c r="D1507" s="26">
        <v>45997.0</v>
      </c>
      <c r="E1507" s="22" t="s">
        <v>134</v>
      </c>
      <c r="F1507" s="22" t="s">
        <v>278</v>
      </c>
      <c r="G1507" s="22" t="s">
        <v>2987</v>
      </c>
      <c r="H1507" s="22" t="s">
        <v>1200</v>
      </c>
      <c r="I1507" s="22">
        <v>1.0472574812483E13</v>
      </c>
      <c r="J1507" s="22" t="s">
        <v>2988</v>
      </c>
      <c r="K1507" s="24"/>
      <c r="L1507" s="22" t="s">
        <v>1203</v>
      </c>
      <c r="M1507" s="22">
        <v>1.0</v>
      </c>
      <c r="N1507" s="22" t="s">
        <v>282</v>
      </c>
      <c r="O1507" s="22" t="s">
        <v>283</v>
      </c>
      <c r="P1507" s="24"/>
      <c r="Q1507" s="22" t="s">
        <v>90</v>
      </c>
      <c r="R1507" s="22">
        <v>3.2781707051331E13</v>
      </c>
      <c r="S1507" s="24"/>
      <c r="T1507" s="24"/>
      <c r="U1507" s="24"/>
      <c r="V1507" s="30" t="s">
        <v>91</v>
      </c>
      <c r="W1507" s="33"/>
      <c r="X1507" s="33"/>
      <c r="Y1507" s="30"/>
      <c r="Z1507" s="30"/>
      <c r="AA1507" s="33"/>
      <c r="AB1507" s="33"/>
      <c r="AC1507" s="30"/>
      <c r="AD1507" s="30"/>
      <c r="AE1507" s="33"/>
      <c r="AF1507" s="31"/>
      <c r="AG1507" s="30"/>
      <c r="AH1507" s="30"/>
      <c r="AI1507" s="31"/>
      <c r="AJ1507" s="31"/>
      <c r="AK1507" s="32"/>
    </row>
    <row r="1508">
      <c r="A1508" s="21" t="s">
        <v>620</v>
      </c>
      <c r="B1508" s="22" t="s">
        <v>763</v>
      </c>
      <c r="C1508" s="22" t="s">
        <v>82</v>
      </c>
      <c r="D1508" s="26">
        <v>45997.0</v>
      </c>
      <c r="E1508" s="22" t="s">
        <v>149</v>
      </c>
      <c r="F1508" s="22" t="s">
        <v>623</v>
      </c>
      <c r="G1508" s="22" t="s">
        <v>2989</v>
      </c>
      <c r="H1508" s="22" t="s">
        <v>620</v>
      </c>
      <c r="I1508" s="22">
        <v>1.0472575172931E13</v>
      </c>
      <c r="J1508" s="22" t="s">
        <v>2990</v>
      </c>
      <c r="K1508" s="24"/>
      <c r="L1508" s="22" t="s">
        <v>626</v>
      </c>
      <c r="M1508" s="22">
        <v>1.0</v>
      </c>
      <c r="N1508" s="22" t="s">
        <v>627</v>
      </c>
      <c r="O1508" s="22" t="s">
        <v>628</v>
      </c>
      <c r="P1508" s="24"/>
      <c r="Q1508" s="22" t="s">
        <v>90</v>
      </c>
      <c r="R1508" s="22">
        <v>3.2781707706691E13</v>
      </c>
      <c r="S1508" s="24"/>
      <c r="T1508" s="24"/>
      <c r="U1508" s="24"/>
      <c r="V1508" s="30" t="s">
        <v>54</v>
      </c>
      <c r="W1508" s="33"/>
      <c r="X1508" s="33"/>
      <c r="Y1508" s="30"/>
      <c r="Z1508" s="30"/>
      <c r="AA1508" s="33"/>
      <c r="AB1508" s="33"/>
      <c r="AC1508" s="30"/>
      <c r="AD1508" s="30"/>
      <c r="AE1508" s="33"/>
      <c r="AF1508" s="31"/>
      <c r="AG1508" s="30"/>
      <c r="AH1508" s="30"/>
      <c r="AI1508" s="31"/>
      <c r="AJ1508" s="31"/>
      <c r="AK1508" s="32"/>
    </row>
    <row r="1509">
      <c r="A1509" s="21" t="s">
        <v>611</v>
      </c>
      <c r="B1509" s="22" t="s">
        <v>1364</v>
      </c>
      <c r="C1509" s="22" t="s">
        <v>273</v>
      </c>
      <c r="D1509" s="26">
        <v>45998.0</v>
      </c>
      <c r="E1509" s="22" t="s">
        <v>138</v>
      </c>
      <c r="F1509" s="22" t="s">
        <v>369</v>
      </c>
      <c r="G1509" s="22" t="s">
        <v>2991</v>
      </c>
      <c r="H1509" s="22" t="s">
        <v>611</v>
      </c>
      <c r="I1509" s="22">
        <v>1.0472582840643E13</v>
      </c>
      <c r="J1509" s="22" t="s">
        <v>2992</v>
      </c>
      <c r="K1509" s="24"/>
      <c r="L1509" s="22" t="s">
        <v>613</v>
      </c>
      <c r="M1509" s="22">
        <v>1.0</v>
      </c>
      <c r="N1509" s="22" t="s">
        <v>600</v>
      </c>
      <c r="O1509" s="22" t="s">
        <v>601</v>
      </c>
      <c r="P1509" s="24"/>
      <c r="Q1509" s="22" t="s">
        <v>90</v>
      </c>
      <c r="R1509" s="22">
        <v>3.2781724221763E13</v>
      </c>
      <c r="S1509" s="24"/>
      <c r="T1509" s="24"/>
      <c r="U1509" s="24"/>
      <c r="V1509" s="30" t="s">
        <v>105</v>
      </c>
      <c r="W1509" s="33"/>
      <c r="X1509" s="33"/>
      <c r="Y1509" s="30"/>
      <c r="Z1509" s="30"/>
      <c r="AA1509" s="33"/>
      <c r="AB1509" s="33"/>
      <c r="AC1509" s="30"/>
      <c r="AD1509" s="30"/>
      <c r="AE1509" s="33"/>
      <c r="AF1509" s="31"/>
      <c r="AG1509" s="30"/>
      <c r="AH1509" s="30"/>
      <c r="AI1509" s="31"/>
      <c r="AJ1509" s="31"/>
      <c r="AK1509" s="32"/>
    </row>
    <row r="1510">
      <c r="A1510" s="21" t="s">
        <v>2659</v>
      </c>
      <c r="B1510" s="22" t="s">
        <v>355</v>
      </c>
      <c r="C1510" s="22" t="s">
        <v>273</v>
      </c>
      <c r="D1510" s="23">
        <v>45991.0</v>
      </c>
      <c r="E1510" s="22" t="s">
        <v>149</v>
      </c>
      <c r="F1510" s="22" t="s">
        <v>356</v>
      </c>
      <c r="G1510" s="22" t="s">
        <v>2993</v>
      </c>
      <c r="H1510" s="22" t="s">
        <v>2659</v>
      </c>
      <c r="I1510" s="22">
        <v>1.0472585888067E13</v>
      </c>
      <c r="J1510" s="22" t="s">
        <v>358</v>
      </c>
      <c r="K1510" s="24"/>
      <c r="L1510" s="22" t="s">
        <v>2662</v>
      </c>
      <c r="M1510" s="22">
        <v>1.0</v>
      </c>
      <c r="N1510" s="22" t="s">
        <v>1272</v>
      </c>
      <c r="O1510" s="22" t="s">
        <v>1273</v>
      </c>
      <c r="P1510" s="24"/>
      <c r="Q1510" s="22" t="s">
        <v>90</v>
      </c>
      <c r="R1510" s="22">
        <v>3.2781730054467E13</v>
      </c>
      <c r="S1510" s="24"/>
      <c r="T1510" s="24"/>
      <c r="U1510" s="24"/>
      <c r="V1510" s="30" t="s">
        <v>127</v>
      </c>
      <c r="W1510" s="33"/>
      <c r="X1510" s="33"/>
      <c r="Y1510" s="30"/>
      <c r="Z1510" s="30"/>
      <c r="AA1510" s="33"/>
      <c r="AB1510" s="33"/>
      <c r="AC1510" s="30"/>
      <c r="AD1510" s="30"/>
      <c r="AE1510" s="33"/>
      <c r="AF1510" s="31"/>
      <c r="AG1510" s="30"/>
      <c r="AH1510" s="30"/>
      <c r="AI1510" s="31"/>
      <c r="AJ1510" s="31"/>
      <c r="AK1510" s="32"/>
    </row>
    <row r="1511">
      <c r="A1511" s="21" t="s">
        <v>814</v>
      </c>
      <c r="B1511" s="22" t="s">
        <v>815</v>
      </c>
      <c r="C1511" s="22" t="s">
        <v>82</v>
      </c>
      <c r="D1511" s="26">
        <v>45997.0</v>
      </c>
      <c r="E1511" s="22" t="s">
        <v>187</v>
      </c>
      <c r="F1511" s="22" t="s">
        <v>698</v>
      </c>
      <c r="G1511" s="22" t="s">
        <v>2994</v>
      </c>
      <c r="H1511" s="22" t="s">
        <v>814</v>
      </c>
      <c r="I1511" s="22">
        <v>1.0472624062787E13</v>
      </c>
      <c r="J1511" s="22" t="s">
        <v>2995</v>
      </c>
      <c r="K1511" s="24"/>
      <c r="L1511" s="22" t="s">
        <v>818</v>
      </c>
      <c r="M1511" s="22">
        <v>1.0</v>
      </c>
      <c r="N1511" s="22" t="s">
        <v>819</v>
      </c>
      <c r="O1511" s="22" t="s">
        <v>820</v>
      </c>
      <c r="P1511" s="24"/>
      <c r="Q1511" s="22" t="s">
        <v>90</v>
      </c>
      <c r="R1511" s="22">
        <v>3.2781815021891E13</v>
      </c>
      <c r="S1511" s="24"/>
      <c r="T1511" s="24"/>
      <c r="U1511" s="24"/>
      <c r="V1511" s="30" t="s">
        <v>127</v>
      </c>
      <c r="W1511" s="33"/>
      <c r="X1511" s="33"/>
      <c r="Y1511" s="30"/>
      <c r="Z1511" s="30"/>
      <c r="AA1511" s="33"/>
      <c r="AB1511" s="33"/>
      <c r="AC1511" s="30"/>
      <c r="AD1511" s="30"/>
      <c r="AE1511" s="33"/>
      <c r="AF1511" s="31"/>
      <c r="AG1511" s="30"/>
      <c r="AH1511" s="30"/>
      <c r="AI1511" s="31"/>
      <c r="AJ1511" s="31"/>
      <c r="AK1511" s="32"/>
    </row>
    <row r="1512">
      <c r="A1512" s="28"/>
      <c r="B1512" s="22" t="s">
        <v>815</v>
      </c>
      <c r="C1512" s="22" t="s">
        <v>82</v>
      </c>
      <c r="D1512" s="26">
        <v>45997.0</v>
      </c>
      <c r="E1512" s="22" t="s">
        <v>187</v>
      </c>
      <c r="F1512" s="22" t="s">
        <v>698</v>
      </c>
      <c r="G1512" s="22" t="s">
        <v>2994</v>
      </c>
      <c r="H1512" s="29"/>
      <c r="I1512" s="22">
        <v>1.0472624062787E13</v>
      </c>
      <c r="J1512" s="22" t="s">
        <v>2995</v>
      </c>
      <c r="K1512" s="24"/>
      <c r="L1512" s="22" t="s">
        <v>2996</v>
      </c>
      <c r="M1512" s="24"/>
      <c r="N1512" s="24"/>
      <c r="O1512" s="22" t="s">
        <v>1806</v>
      </c>
      <c r="P1512" s="24"/>
      <c r="Q1512" s="22" t="s">
        <v>769</v>
      </c>
      <c r="R1512" s="24"/>
      <c r="S1512" s="24"/>
      <c r="T1512" s="24"/>
      <c r="U1512" s="24"/>
      <c r="V1512" s="30"/>
      <c r="W1512" s="33"/>
      <c r="X1512" s="33"/>
      <c r="Y1512" s="30"/>
      <c r="Z1512" s="30"/>
      <c r="AA1512" s="33"/>
      <c r="AB1512" s="33"/>
      <c r="AC1512" s="30"/>
      <c r="AD1512" s="30"/>
      <c r="AE1512" s="33"/>
      <c r="AF1512" s="31"/>
      <c r="AG1512" s="30"/>
      <c r="AH1512" s="30"/>
      <c r="AI1512" s="31"/>
      <c r="AJ1512" s="31"/>
      <c r="AK1512" s="32"/>
    </row>
    <row r="1513">
      <c r="A1513" s="21" t="s">
        <v>437</v>
      </c>
      <c r="B1513" s="22" t="s">
        <v>438</v>
      </c>
      <c r="C1513" s="22" t="s">
        <v>273</v>
      </c>
      <c r="D1513" s="26">
        <v>45998.0</v>
      </c>
      <c r="E1513" s="22" t="s">
        <v>439</v>
      </c>
      <c r="F1513" s="22" t="s">
        <v>440</v>
      </c>
      <c r="G1513" s="22" t="s">
        <v>2997</v>
      </c>
      <c r="H1513" s="22" t="s">
        <v>437</v>
      </c>
      <c r="I1513" s="22">
        <v>1.0472686092611E13</v>
      </c>
      <c r="J1513" s="22" t="s">
        <v>442</v>
      </c>
      <c r="K1513" s="24"/>
      <c r="L1513" s="22" t="s">
        <v>443</v>
      </c>
      <c r="M1513" s="22">
        <v>1.0</v>
      </c>
      <c r="N1513" s="22" t="s">
        <v>444</v>
      </c>
      <c r="O1513" s="22" t="s">
        <v>445</v>
      </c>
      <c r="P1513" s="24"/>
      <c r="Q1513" s="22" t="s">
        <v>90</v>
      </c>
      <c r="R1513" s="22">
        <v>3.2781951238467E13</v>
      </c>
      <c r="S1513" s="24"/>
      <c r="T1513" s="24"/>
      <c r="U1513" s="24"/>
      <c r="V1513" s="30" t="s">
        <v>91</v>
      </c>
      <c r="W1513" s="33"/>
      <c r="X1513" s="33"/>
      <c r="Y1513" s="30"/>
      <c r="Z1513" s="30"/>
      <c r="AA1513" s="33"/>
      <c r="AB1513" s="33"/>
      <c r="AC1513" s="30"/>
      <c r="AD1513" s="30"/>
      <c r="AE1513" s="33"/>
      <c r="AF1513" s="31"/>
      <c r="AG1513" s="30"/>
      <c r="AH1513" s="30"/>
      <c r="AI1513" s="31"/>
      <c r="AJ1513" s="31"/>
      <c r="AK1513" s="32"/>
    </row>
    <row r="1514">
      <c r="A1514" s="21" t="s">
        <v>602</v>
      </c>
      <c r="B1514" s="22" t="s">
        <v>1498</v>
      </c>
      <c r="C1514" s="22" t="s">
        <v>82</v>
      </c>
      <c r="D1514" s="26">
        <v>45997.0</v>
      </c>
      <c r="E1514" s="22" t="s">
        <v>522</v>
      </c>
      <c r="F1514" s="22" t="s">
        <v>605</v>
      </c>
      <c r="G1514" s="22" t="s">
        <v>2998</v>
      </c>
      <c r="H1514" s="22" t="s">
        <v>602</v>
      </c>
      <c r="I1514" s="22">
        <v>1.0472691401027E13</v>
      </c>
      <c r="J1514" s="22" t="s">
        <v>2999</v>
      </c>
      <c r="K1514" s="24"/>
      <c r="L1514" s="22" t="s">
        <v>608</v>
      </c>
      <c r="M1514" s="22">
        <v>1.0</v>
      </c>
      <c r="N1514" s="22" t="s">
        <v>609</v>
      </c>
      <c r="O1514" s="22" t="s">
        <v>610</v>
      </c>
      <c r="P1514" s="24"/>
      <c r="Q1514" s="22" t="s">
        <v>90</v>
      </c>
      <c r="R1514" s="22">
        <v>3.2781963329859E13</v>
      </c>
      <c r="S1514" s="24"/>
      <c r="T1514" s="24"/>
      <c r="U1514" s="24"/>
      <c r="V1514" s="30" t="s">
        <v>54</v>
      </c>
      <c r="W1514" s="33"/>
      <c r="X1514" s="33"/>
      <c r="Y1514" s="30"/>
      <c r="Z1514" s="30"/>
      <c r="AA1514" s="33"/>
      <c r="AB1514" s="33"/>
      <c r="AC1514" s="30"/>
      <c r="AD1514" s="30"/>
      <c r="AE1514" s="33"/>
      <c r="AF1514" s="31"/>
      <c r="AG1514" s="30"/>
      <c r="AH1514" s="30"/>
      <c r="AI1514" s="31"/>
      <c r="AJ1514" s="31"/>
      <c r="AK1514" s="32"/>
    </row>
    <row r="1515">
      <c r="A1515" s="21" t="s">
        <v>470</v>
      </c>
      <c r="B1515" s="22" t="s">
        <v>530</v>
      </c>
      <c r="C1515" s="22" t="s">
        <v>82</v>
      </c>
      <c r="D1515" s="26">
        <v>45997.0</v>
      </c>
      <c r="E1515" s="22" t="s">
        <v>149</v>
      </c>
      <c r="F1515" s="22" t="s">
        <v>472</v>
      </c>
      <c r="G1515" s="22" t="s">
        <v>3000</v>
      </c>
      <c r="H1515" s="22" t="s">
        <v>470</v>
      </c>
      <c r="I1515" s="22">
        <v>1.0472694481219E13</v>
      </c>
      <c r="J1515" s="22" t="s">
        <v>532</v>
      </c>
      <c r="K1515" s="24"/>
      <c r="L1515" s="22" t="s">
        <v>475</v>
      </c>
      <c r="M1515" s="22">
        <v>1.0</v>
      </c>
      <c r="N1515" s="22" t="s">
        <v>476</v>
      </c>
      <c r="O1515" s="22" t="s">
        <v>477</v>
      </c>
      <c r="P1515" s="24"/>
      <c r="Q1515" s="22" t="s">
        <v>90</v>
      </c>
      <c r="R1515" s="22">
        <v>3.2781970604355E13</v>
      </c>
      <c r="S1515" s="24"/>
      <c r="T1515" s="24"/>
      <c r="U1515" s="24"/>
      <c r="V1515" s="30" t="s">
        <v>91</v>
      </c>
      <c r="W1515" s="33"/>
      <c r="X1515" s="33"/>
      <c r="Y1515" s="30"/>
      <c r="Z1515" s="30"/>
      <c r="AA1515" s="33"/>
      <c r="AB1515" s="33"/>
      <c r="AC1515" s="30"/>
      <c r="AD1515" s="30"/>
      <c r="AE1515" s="33"/>
      <c r="AF1515" s="31"/>
      <c r="AG1515" s="30"/>
      <c r="AH1515" s="30"/>
      <c r="AI1515" s="31"/>
      <c r="AJ1515" s="31"/>
      <c r="AK1515" s="32"/>
    </row>
    <row r="1516">
      <c r="A1516" s="21" t="s">
        <v>354</v>
      </c>
      <c r="B1516" s="22" t="s">
        <v>1923</v>
      </c>
      <c r="C1516" s="22" t="s">
        <v>273</v>
      </c>
      <c r="D1516" s="23">
        <v>45991.0</v>
      </c>
      <c r="E1516" s="22" t="s">
        <v>252</v>
      </c>
      <c r="F1516" s="22" t="s">
        <v>356</v>
      </c>
      <c r="G1516" s="22" t="s">
        <v>3001</v>
      </c>
      <c r="H1516" s="22" t="s">
        <v>354</v>
      </c>
      <c r="I1516" s="22">
        <v>1.0472787870019E13</v>
      </c>
      <c r="J1516" s="22" t="s">
        <v>3002</v>
      </c>
      <c r="K1516" s="24"/>
      <c r="L1516" s="22" t="s">
        <v>359</v>
      </c>
      <c r="M1516" s="22">
        <v>1.0</v>
      </c>
      <c r="N1516" s="22" t="s">
        <v>360</v>
      </c>
      <c r="O1516" s="22" t="s">
        <v>361</v>
      </c>
      <c r="P1516" s="24"/>
      <c r="Q1516" s="22" t="s">
        <v>90</v>
      </c>
      <c r="R1516" s="22">
        <v>3.2782180581699E13</v>
      </c>
      <c r="S1516" s="24"/>
      <c r="T1516" s="24"/>
      <c r="U1516" s="24"/>
      <c r="V1516" s="30" t="s">
        <v>54</v>
      </c>
      <c r="W1516" s="33"/>
      <c r="X1516" s="33"/>
      <c r="Y1516" s="30"/>
      <c r="Z1516" s="30"/>
      <c r="AA1516" s="33"/>
      <c r="AB1516" s="33"/>
      <c r="AC1516" s="30"/>
      <c r="AD1516" s="30"/>
      <c r="AE1516" s="33"/>
      <c r="AF1516" s="31"/>
      <c r="AG1516" s="30"/>
      <c r="AH1516" s="30"/>
      <c r="AI1516" s="31"/>
      <c r="AJ1516" s="31"/>
      <c r="AK1516" s="32"/>
    </row>
    <row r="1517">
      <c r="A1517" s="21" t="s">
        <v>709</v>
      </c>
      <c r="B1517" s="22" t="s">
        <v>3003</v>
      </c>
      <c r="C1517" s="22" t="s">
        <v>202</v>
      </c>
      <c r="D1517" s="23">
        <v>46003.0</v>
      </c>
      <c r="E1517" s="22" t="s">
        <v>134</v>
      </c>
      <c r="F1517" s="22" t="s">
        <v>311</v>
      </c>
      <c r="G1517" s="22" t="s">
        <v>3004</v>
      </c>
      <c r="H1517" s="22" t="s">
        <v>709</v>
      </c>
      <c r="I1517" s="22">
        <v>1.0472836792643E13</v>
      </c>
      <c r="J1517" s="22" t="s">
        <v>3005</v>
      </c>
      <c r="K1517" s="24"/>
      <c r="L1517" s="22" t="s">
        <v>713</v>
      </c>
      <c r="M1517" s="22">
        <v>1.0</v>
      </c>
      <c r="N1517" s="22" t="s">
        <v>391</v>
      </c>
      <c r="O1517" s="22" t="s">
        <v>392</v>
      </c>
      <c r="P1517" s="24"/>
      <c r="Q1517" s="22" t="s">
        <v>90</v>
      </c>
      <c r="R1517" s="22">
        <v>3.2782287077699E13</v>
      </c>
      <c r="S1517" s="24"/>
      <c r="T1517" s="24"/>
      <c r="U1517" s="24"/>
      <c r="V1517" s="30" t="s">
        <v>91</v>
      </c>
      <c r="W1517" s="33"/>
      <c r="X1517" s="33"/>
      <c r="Y1517" s="30"/>
      <c r="Z1517" s="30"/>
      <c r="AA1517" s="33"/>
      <c r="AB1517" s="33"/>
      <c r="AC1517" s="30"/>
      <c r="AD1517" s="30"/>
      <c r="AE1517" s="33"/>
      <c r="AF1517" s="31"/>
      <c r="AG1517" s="30"/>
      <c r="AH1517" s="30"/>
      <c r="AI1517" s="31"/>
      <c r="AJ1517" s="31"/>
      <c r="AK1517" s="32"/>
    </row>
    <row r="1518">
      <c r="A1518" s="21" t="s">
        <v>1370</v>
      </c>
      <c r="B1518" s="22" t="s">
        <v>1176</v>
      </c>
      <c r="C1518" s="22" t="s">
        <v>273</v>
      </c>
      <c r="D1518" s="23">
        <v>45991.0</v>
      </c>
      <c r="E1518" s="22" t="s">
        <v>138</v>
      </c>
      <c r="F1518" s="22" t="s">
        <v>329</v>
      </c>
      <c r="G1518" s="22" t="s">
        <v>3006</v>
      </c>
      <c r="H1518" s="22" t="s">
        <v>1370</v>
      </c>
      <c r="I1518" s="22">
        <v>1.0472886370627E13</v>
      </c>
      <c r="J1518" s="22" t="s">
        <v>3007</v>
      </c>
      <c r="K1518" s="24"/>
      <c r="L1518" s="22" t="s">
        <v>1372</v>
      </c>
      <c r="M1518" s="22">
        <v>1.0</v>
      </c>
      <c r="N1518" s="22" t="s">
        <v>333</v>
      </c>
      <c r="O1518" s="22" t="s">
        <v>334</v>
      </c>
      <c r="P1518" s="24"/>
      <c r="Q1518" s="22" t="s">
        <v>90</v>
      </c>
      <c r="R1518" s="22">
        <v>3.2782397374787E13</v>
      </c>
      <c r="S1518" s="24"/>
      <c r="T1518" s="24"/>
      <c r="U1518" s="24"/>
      <c r="V1518" s="30" t="s">
        <v>91</v>
      </c>
      <c r="W1518" s="33"/>
      <c r="X1518" s="33"/>
      <c r="Y1518" s="30"/>
      <c r="Z1518" s="30"/>
      <c r="AA1518" s="33"/>
      <c r="AB1518" s="33"/>
      <c r="AC1518" s="30"/>
      <c r="AD1518" s="30"/>
      <c r="AE1518" s="33"/>
      <c r="AF1518" s="31"/>
      <c r="AG1518" s="30"/>
      <c r="AH1518" s="30"/>
      <c r="AI1518" s="31"/>
      <c r="AJ1518" s="31"/>
      <c r="AK1518" s="32"/>
    </row>
    <row r="1519">
      <c r="A1519" s="21" t="s">
        <v>611</v>
      </c>
      <c r="B1519" s="22" t="s">
        <v>587</v>
      </c>
      <c r="C1519" s="22" t="s">
        <v>273</v>
      </c>
      <c r="D1519" s="26">
        <v>45998.0</v>
      </c>
      <c r="E1519" s="22" t="s">
        <v>153</v>
      </c>
      <c r="F1519" s="22" t="s">
        <v>369</v>
      </c>
      <c r="G1519" s="22" t="s">
        <v>3008</v>
      </c>
      <c r="H1519" s="22" t="s">
        <v>611</v>
      </c>
      <c r="I1519" s="22">
        <v>1.0472961343811E13</v>
      </c>
      <c r="J1519" s="22" t="s">
        <v>2971</v>
      </c>
      <c r="K1519" s="24"/>
      <c r="L1519" s="22" t="s">
        <v>613</v>
      </c>
      <c r="M1519" s="22">
        <v>1.0</v>
      </c>
      <c r="N1519" s="22" t="s">
        <v>600</v>
      </c>
      <c r="O1519" s="22" t="s">
        <v>601</v>
      </c>
      <c r="P1519" s="24"/>
      <c r="Q1519" s="22" t="s">
        <v>90</v>
      </c>
      <c r="R1519" s="22">
        <v>3.2782563606851E13</v>
      </c>
      <c r="S1519" s="24"/>
      <c r="T1519" s="24"/>
      <c r="U1519" s="24"/>
      <c r="V1519" s="30" t="s">
        <v>105</v>
      </c>
      <c r="W1519" s="33"/>
      <c r="X1519" s="33"/>
      <c r="Y1519" s="30"/>
      <c r="Z1519" s="30"/>
      <c r="AA1519" s="33"/>
      <c r="AB1519" s="33"/>
      <c r="AC1519" s="30"/>
      <c r="AD1519" s="30"/>
      <c r="AE1519" s="33"/>
      <c r="AF1519" s="31"/>
      <c r="AG1519" s="30"/>
      <c r="AH1519" s="30"/>
      <c r="AI1519" s="31"/>
      <c r="AJ1519" s="31"/>
      <c r="AK1519" s="32"/>
    </row>
    <row r="1520">
      <c r="A1520" s="21" t="s">
        <v>408</v>
      </c>
      <c r="B1520" s="22" t="s">
        <v>512</v>
      </c>
      <c r="C1520" s="22" t="s">
        <v>82</v>
      </c>
      <c r="D1520" s="26">
        <v>45997.0</v>
      </c>
      <c r="E1520" s="22" t="s">
        <v>153</v>
      </c>
      <c r="F1520" s="22" t="s">
        <v>377</v>
      </c>
      <c r="G1520" s="22" t="s">
        <v>3009</v>
      </c>
      <c r="H1520" s="22" t="s">
        <v>408</v>
      </c>
      <c r="I1520" s="22">
        <v>1.0472983003459E13</v>
      </c>
      <c r="J1520" s="22" t="s">
        <v>411</v>
      </c>
      <c r="K1520" s="24"/>
      <c r="L1520" s="22" t="s">
        <v>412</v>
      </c>
      <c r="M1520" s="22">
        <v>1.0</v>
      </c>
      <c r="N1520" s="22" t="s">
        <v>413</v>
      </c>
      <c r="O1520" s="22" t="s">
        <v>414</v>
      </c>
      <c r="P1520" s="24"/>
      <c r="Q1520" s="22" t="s">
        <v>90</v>
      </c>
      <c r="R1520" s="22">
        <v>3.2782607647043E13</v>
      </c>
      <c r="S1520" s="24"/>
      <c r="T1520" s="24"/>
      <c r="U1520" s="24"/>
      <c r="V1520" s="30" t="s">
        <v>127</v>
      </c>
      <c r="W1520" s="33"/>
      <c r="X1520" s="33"/>
      <c r="Y1520" s="30"/>
      <c r="Z1520" s="30"/>
      <c r="AA1520" s="33"/>
      <c r="AB1520" s="33"/>
      <c r="AC1520" s="30"/>
      <c r="AD1520" s="30"/>
      <c r="AE1520" s="33"/>
      <c r="AF1520" s="31"/>
      <c r="AG1520" s="30"/>
      <c r="AH1520" s="30"/>
      <c r="AI1520" s="31"/>
      <c r="AJ1520" s="31"/>
      <c r="AK1520" s="32"/>
    </row>
    <row r="1521">
      <c r="A1521" s="21" t="s">
        <v>354</v>
      </c>
      <c r="B1521" s="22" t="s">
        <v>355</v>
      </c>
      <c r="C1521" s="22" t="s">
        <v>273</v>
      </c>
      <c r="D1521" s="23">
        <v>45991.0</v>
      </c>
      <c r="E1521" s="22" t="s">
        <v>149</v>
      </c>
      <c r="F1521" s="22" t="s">
        <v>356</v>
      </c>
      <c r="G1521" s="22" t="s">
        <v>3010</v>
      </c>
      <c r="H1521" s="22" t="s">
        <v>354</v>
      </c>
      <c r="I1521" s="22">
        <v>1.0473082028355E13</v>
      </c>
      <c r="J1521" s="22" t="s">
        <v>358</v>
      </c>
      <c r="K1521" s="24"/>
      <c r="L1521" s="22" t="s">
        <v>359</v>
      </c>
      <c r="M1521" s="22">
        <v>1.0</v>
      </c>
      <c r="N1521" s="22" t="s">
        <v>360</v>
      </c>
      <c r="O1521" s="22" t="s">
        <v>361</v>
      </c>
      <c r="P1521" s="24"/>
      <c r="Q1521" s="22" t="s">
        <v>90</v>
      </c>
      <c r="R1521" s="22">
        <v>3.2782815560003E13</v>
      </c>
      <c r="S1521" s="24"/>
      <c r="T1521" s="24"/>
      <c r="U1521" s="24"/>
      <c r="V1521" s="30" t="s">
        <v>54</v>
      </c>
      <c r="W1521" s="33"/>
      <c r="X1521" s="33"/>
      <c r="Y1521" s="30"/>
      <c r="Z1521" s="30"/>
      <c r="AA1521" s="33"/>
      <c r="AB1521" s="33"/>
      <c r="AC1521" s="30"/>
      <c r="AD1521" s="30"/>
      <c r="AE1521" s="33"/>
      <c r="AF1521" s="31"/>
      <c r="AG1521" s="30"/>
      <c r="AH1521" s="30"/>
      <c r="AI1521" s="31"/>
      <c r="AJ1521" s="31"/>
      <c r="AK1521" s="32"/>
    </row>
    <row r="1522">
      <c r="A1522" s="21" t="s">
        <v>602</v>
      </c>
      <c r="B1522" s="22" t="s">
        <v>1498</v>
      </c>
      <c r="C1522" s="22" t="s">
        <v>82</v>
      </c>
      <c r="D1522" s="26">
        <v>45997.0</v>
      </c>
      <c r="E1522" s="22" t="s">
        <v>522</v>
      </c>
      <c r="F1522" s="22" t="s">
        <v>605</v>
      </c>
      <c r="G1522" s="22" t="s">
        <v>3011</v>
      </c>
      <c r="H1522" s="22" t="s">
        <v>602</v>
      </c>
      <c r="I1522" s="22">
        <v>1.0473082454339E13</v>
      </c>
      <c r="J1522" s="22" t="s">
        <v>2999</v>
      </c>
      <c r="K1522" s="24"/>
      <c r="L1522" s="22" t="s">
        <v>608</v>
      </c>
      <c r="M1522" s="22">
        <v>1.0</v>
      </c>
      <c r="N1522" s="22" t="s">
        <v>609</v>
      </c>
      <c r="O1522" s="22" t="s">
        <v>610</v>
      </c>
      <c r="P1522" s="24"/>
      <c r="Q1522" s="22" t="s">
        <v>90</v>
      </c>
      <c r="R1522" s="22">
        <v>3.2782816379203E13</v>
      </c>
      <c r="S1522" s="24"/>
      <c r="T1522" s="24"/>
      <c r="U1522" s="24"/>
      <c r="V1522" s="30" t="s">
        <v>54</v>
      </c>
      <c r="W1522" s="33"/>
      <c r="X1522" s="33"/>
      <c r="Y1522" s="30"/>
      <c r="Z1522" s="30"/>
      <c r="AA1522" s="33"/>
      <c r="AB1522" s="33"/>
      <c r="AC1522" s="30"/>
      <c r="AD1522" s="30"/>
      <c r="AE1522" s="33"/>
      <c r="AF1522" s="31"/>
      <c r="AG1522" s="30"/>
      <c r="AH1522" s="30"/>
      <c r="AI1522" s="31"/>
      <c r="AJ1522" s="31"/>
      <c r="AK1522" s="32"/>
    </row>
    <row r="1523">
      <c r="A1523" s="21" t="s">
        <v>1204</v>
      </c>
      <c r="B1523" s="22" t="s">
        <v>763</v>
      </c>
      <c r="C1523" s="22" t="s">
        <v>82</v>
      </c>
      <c r="D1523" s="26">
        <v>45997.0</v>
      </c>
      <c r="E1523" s="22" t="s">
        <v>149</v>
      </c>
      <c r="F1523" s="22" t="s">
        <v>623</v>
      </c>
      <c r="G1523" s="22" t="s">
        <v>3012</v>
      </c>
      <c r="H1523" s="22" t="s">
        <v>1204</v>
      </c>
      <c r="I1523" s="22">
        <v>1.0473136488771E13</v>
      </c>
      <c r="J1523" s="22" t="s">
        <v>2990</v>
      </c>
      <c r="K1523" s="24"/>
      <c r="L1523" s="22" t="s">
        <v>1208</v>
      </c>
      <c r="M1523" s="22">
        <v>1.0</v>
      </c>
      <c r="N1523" s="22" t="s">
        <v>627</v>
      </c>
      <c r="O1523" s="22" t="s">
        <v>628</v>
      </c>
      <c r="P1523" s="24"/>
      <c r="Q1523" s="22" t="s">
        <v>90</v>
      </c>
      <c r="R1523" s="22">
        <v>3.2782933360963E13</v>
      </c>
      <c r="S1523" s="24"/>
      <c r="T1523" s="24"/>
      <c r="U1523" s="24"/>
      <c r="V1523" s="30" t="s">
        <v>91</v>
      </c>
      <c r="W1523" s="33"/>
      <c r="X1523" s="33"/>
      <c r="Y1523" s="30"/>
      <c r="Z1523" s="30"/>
      <c r="AA1523" s="33"/>
      <c r="AB1523" s="33"/>
      <c r="AC1523" s="30"/>
      <c r="AD1523" s="30"/>
      <c r="AE1523" s="33"/>
      <c r="AF1523" s="31"/>
      <c r="AG1523" s="30"/>
      <c r="AH1523" s="30"/>
      <c r="AI1523" s="31"/>
      <c r="AJ1523" s="31"/>
      <c r="AK1523" s="32"/>
    </row>
    <row r="1524">
      <c r="A1524" s="21" t="s">
        <v>560</v>
      </c>
      <c r="B1524" s="22" t="s">
        <v>355</v>
      </c>
      <c r="C1524" s="22" t="s">
        <v>273</v>
      </c>
      <c r="D1524" s="23">
        <v>45991.0</v>
      </c>
      <c r="E1524" s="22" t="s">
        <v>149</v>
      </c>
      <c r="F1524" s="22" t="s">
        <v>356</v>
      </c>
      <c r="G1524" s="22" t="s">
        <v>3013</v>
      </c>
      <c r="H1524" s="22" t="s">
        <v>560</v>
      </c>
      <c r="I1524" s="22">
        <v>1.0473182232899E13</v>
      </c>
      <c r="J1524" s="22" t="s">
        <v>358</v>
      </c>
      <c r="K1524" s="24"/>
      <c r="L1524" s="22" t="s">
        <v>563</v>
      </c>
      <c r="M1524" s="22">
        <v>1.0</v>
      </c>
      <c r="N1524" s="22" t="s">
        <v>360</v>
      </c>
      <c r="O1524" s="22" t="s">
        <v>361</v>
      </c>
      <c r="P1524" s="24"/>
      <c r="Q1524" s="22" t="s">
        <v>90</v>
      </c>
      <c r="R1524" s="22">
        <v>3.2783031599427E13</v>
      </c>
      <c r="S1524" s="24"/>
      <c r="T1524" s="24"/>
      <c r="U1524" s="24"/>
      <c r="V1524" s="30" t="s">
        <v>91</v>
      </c>
      <c r="W1524" s="33"/>
      <c r="X1524" s="33"/>
      <c r="Y1524" s="30"/>
      <c r="Z1524" s="30"/>
      <c r="AA1524" s="33"/>
      <c r="AB1524" s="33"/>
      <c r="AC1524" s="30"/>
      <c r="AD1524" s="30"/>
      <c r="AE1524" s="33"/>
      <c r="AF1524" s="31"/>
      <c r="AG1524" s="30"/>
      <c r="AH1524" s="30"/>
      <c r="AI1524" s="31"/>
      <c r="AJ1524" s="31"/>
      <c r="AK1524" s="32"/>
    </row>
    <row r="1525">
      <c r="A1525" s="21" t="s">
        <v>141</v>
      </c>
      <c r="B1525" s="22" t="s">
        <v>1486</v>
      </c>
      <c r="C1525" s="22" t="s">
        <v>82</v>
      </c>
      <c r="D1525" s="26">
        <v>45997.0</v>
      </c>
      <c r="E1525" s="22" t="s">
        <v>134</v>
      </c>
      <c r="F1525" s="22" t="s">
        <v>83</v>
      </c>
      <c r="G1525" s="22" t="s">
        <v>3014</v>
      </c>
      <c r="H1525" s="22" t="s">
        <v>141</v>
      </c>
      <c r="I1525" s="22">
        <v>1.0473321365827E13</v>
      </c>
      <c r="J1525" s="22" t="s">
        <v>3015</v>
      </c>
      <c r="K1525" s="24"/>
      <c r="L1525" s="22" t="s">
        <v>143</v>
      </c>
      <c r="M1525" s="22">
        <v>1.0</v>
      </c>
      <c r="N1525" s="22" t="s">
        <v>87</v>
      </c>
      <c r="O1525" s="22" t="s">
        <v>88</v>
      </c>
      <c r="P1525" s="24"/>
      <c r="Q1525" s="22" t="s">
        <v>90</v>
      </c>
      <c r="R1525" s="22">
        <v>3.2783339389251E13</v>
      </c>
      <c r="S1525" s="24"/>
      <c r="T1525" s="24"/>
      <c r="U1525" s="24"/>
      <c r="V1525" s="30" t="s">
        <v>54</v>
      </c>
      <c r="W1525" s="33"/>
      <c r="X1525" s="33"/>
      <c r="Y1525" s="30"/>
      <c r="Z1525" s="30"/>
      <c r="AA1525" s="33"/>
      <c r="AB1525" s="33"/>
      <c r="AC1525" s="30"/>
      <c r="AD1525" s="30"/>
      <c r="AE1525" s="33"/>
      <c r="AF1525" s="31"/>
      <c r="AG1525" s="30"/>
      <c r="AH1525" s="30"/>
      <c r="AI1525" s="31"/>
      <c r="AJ1525" s="31"/>
      <c r="AK1525" s="32"/>
    </row>
    <row r="1526">
      <c r="A1526" s="21" t="s">
        <v>789</v>
      </c>
      <c r="B1526" s="22" t="s">
        <v>1498</v>
      </c>
      <c r="C1526" s="22" t="s">
        <v>82</v>
      </c>
      <c r="D1526" s="26">
        <v>45997.0</v>
      </c>
      <c r="E1526" s="22" t="s">
        <v>522</v>
      </c>
      <c r="F1526" s="22" t="s">
        <v>605</v>
      </c>
      <c r="G1526" s="22" t="s">
        <v>3016</v>
      </c>
      <c r="H1526" s="22" t="s">
        <v>789</v>
      </c>
      <c r="I1526" s="22">
        <v>1.0473322381635E13</v>
      </c>
      <c r="J1526" s="22" t="s">
        <v>2999</v>
      </c>
      <c r="K1526" s="24"/>
      <c r="L1526" s="22" t="s">
        <v>794</v>
      </c>
      <c r="M1526" s="22">
        <v>1.0</v>
      </c>
      <c r="N1526" s="22" t="s">
        <v>795</v>
      </c>
      <c r="O1526" s="22" t="s">
        <v>796</v>
      </c>
      <c r="P1526" s="24"/>
      <c r="Q1526" s="22" t="s">
        <v>90</v>
      </c>
      <c r="R1526" s="22">
        <v>3.2783341289795E13</v>
      </c>
      <c r="S1526" s="24"/>
      <c r="T1526" s="24"/>
      <c r="U1526" s="24"/>
      <c r="V1526" s="30" t="s">
        <v>105</v>
      </c>
      <c r="W1526" s="33"/>
      <c r="X1526" s="33"/>
      <c r="Y1526" s="30"/>
      <c r="Z1526" s="30"/>
      <c r="AA1526" s="33"/>
      <c r="AB1526" s="33"/>
      <c r="AC1526" s="30"/>
      <c r="AD1526" s="30"/>
      <c r="AE1526" s="33"/>
      <c r="AF1526" s="31"/>
      <c r="AG1526" s="30"/>
      <c r="AH1526" s="30"/>
      <c r="AI1526" s="31"/>
      <c r="AJ1526" s="31"/>
      <c r="AK1526" s="32"/>
    </row>
    <row r="1527">
      <c r="A1527" s="21" t="s">
        <v>1175</v>
      </c>
      <c r="B1527" s="22" t="s">
        <v>1356</v>
      </c>
      <c r="C1527" s="22" t="s">
        <v>273</v>
      </c>
      <c r="D1527" s="23">
        <v>45991.0</v>
      </c>
      <c r="E1527" s="22" t="s">
        <v>153</v>
      </c>
      <c r="F1527" s="22" t="s">
        <v>329</v>
      </c>
      <c r="G1527" s="22" t="s">
        <v>3017</v>
      </c>
      <c r="H1527" s="22" t="s">
        <v>1175</v>
      </c>
      <c r="I1527" s="22">
        <v>1.0473355084099E13</v>
      </c>
      <c r="J1527" s="22" t="s">
        <v>2962</v>
      </c>
      <c r="K1527" s="24"/>
      <c r="L1527" s="22" t="s">
        <v>1179</v>
      </c>
      <c r="M1527" s="22">
        <v>1.0</v>
      </c>
      <c r="N1527" s="22" t="s">
        <v>907</v>
      </c>
      <c r="O1527" s="22" t="s">
        <v>908</v>
      </c>
      <c r="P1527" s="24"/>
      <c r="Q1527" s="22" t="s">
        <v>90</v>
      </c>
      <c r="R1527" s="22">
        <v>3.2783409774915E13</v>
      </c>
      <c r="S1527" s="24"/>
      <c r="T1527" s="24"/>
      <c r="U1527" s="24"/>
      <c r="V1527" s="30" t="s">
        <v>127</v>
      </c>
      <c r="W1527" s="33"/>
      <c r="X1527" s="33"/>
      <c r="Y1527" s="30"/>
      <c r="Z1527" s="30"/>
      <c r="AA1527" s="33"/>
      <c r="AB1527" s="33"/>
      <c r="AC1527" s="30"/>
      <c r="AD1527" s="30"/>
      <c r="AE1527" s="33"/>
      <c r="AF1527" s="31"/>
      <c r="AG1527" s="30"/>
      <c r="AH1527" s="30"/>
      <c r="AI1527" s="31"/>
      <c r="AJ1527" s="31"/>
      <c r="AK1527" s="32"/>
    </row>
    <row r="1528">
      <c r="A1528" s="21" t="s">
        <v>529</v>
      </c>
      <c r="B1528" s="22" t="s">
        <v>471</v>
      </c>
      <c r="C1528" s="22" t="s">
        <v>82</v>
      </c>
      <c r="D1528" s="26">
        <v>45997.0</v>
      </c>
      <c r="E1528" s="22" t="s">
        <v>134</v>
      </c>
      <c r="F1528" s="22" t="s">
        <v>472</v>
      </c>
      <c r="G1528" s="22" t="s">
        <v>3018</v>
      </c>
      <c r="H1528" s="22" t="s">
        <v>529</v>
      </c>
      <c r="I1528" s="22">
        <v>1.0473387688259E13</v>
      </c>
      <c r="J1528" s="22" t="s">
        <v>3019</v>
      </c>
      <c r="K1528" s="24"/>
      <c r="L1528" s="22" t="s">
        <v>533</v>
      </c>
      <c r="M1528" s="22">
        <v>1.0</v>
      </c>
      <c r="N1528" s="22" t="s">
        <v>534</v>
      </c>
      <c r="O1528" s="22" t="s">
        <v>535</v>
      </c>
      <c r="P1528" s="24"/>
      <c r="Q1528" s="22" t="s">
        <v>90</v>
      </c>
      <c r="R1528" s="22">
        <v>3.2783475212611E13</v>
      </c>
      <c r="S1528" s="24"/>
      <c r="T1528" s="24"/>
      <c r="U1528" s="24"/>
      <c r="V1528" s="30" t="s">
        <v>127</v>
      </c>
      <c r="W1528" s="33"/>
      <c r="X1528" s="33"/>
      <c r="Y1528" s="30"/>
      <c r="Z1528" s="30"/>
      <c r="AA1528" s="33"/>
      <c r="AB1528" s="33"/>
      <c r="AC1528" s="30"/>
      <c r="AD1528" s="30"/>
      <c r="AE1528" s="33"/>
      <c r="AF1528" s="31"/>
      <c r="AG1528" s="30"/>
      <c r="AH1528" s="30"/>
      <c r="AI1528" s="31"/>
      <c r="AJ1528" s="31"/>
      <c r="AK1528" s="32"/>
    </row>
    <row r="1529">
      <c r="A1529" s="21" t="s">
        <v>408</v>
      </c>
      <c r="B1529" s="22" t="s">
        <v>1120</v>
      </c>
      <c r="C1529" s="22" t="s">
        <v>82</v>
      </c>
      <c r="D1529" s="23">
        <v>46004.0</v>
      </c>
      <c r="E1529" s="22" t="s">
        <v>153</v>
      </c>
      <c r="F1529" s="22" t="s">
        <v>377</v>
      </c>
      <c r="G1529" s="22" t="s">
        <v>3020</v>
      </c>
      <c r="H1529" s="22" t="s">
        <v>408</v>
      </c>
      <c r="I1529" s="22">
        <v>1.0473410101571E13</v>
      </c>
      <c r="J1529" s="22" t="s">
        <v>3021</v>
      </c>
      <c r="K1529" s="24"/>
      <c r="L1529" s="22" t="s">
        <v>412</v>
      </c>
      <c r="M1529" s="22">
        <v>1.0</v>
      </c>
      <c r="N1529" s="22" t="s">
        <v>413</v>
      </c>
      <c r="O1529" s="22" t="s">
        <v>414</v>
      </c>
      <c r="P1529" s="24"/>
      <c r="Q1529" s="22" t="s">
        <v>90</v>
      </c>
      <c r="R1529" s="22">
        <v>3.2783522005315E13</v>
      </c>
      <c r="S1529" s="24"/>
      <c r="T1529" s="24"/>
      <c r="U1529" s="24"/>
      <c r="V1529" s="30" t="s">
        <v>127</v>
      </c>
      <c r="W1529" s="33"/>
      <c r="X1529" s="33"/>
      <c r="Y1529" s="30"/>
      <c r="Z1529" s="30"/>
      <c r="AA1529" s="33"/>
      <c r="AB1529" s="33"/>
      <c r="AC1529" s="30"/>
      <c r="AD1529" s="30"/>
      <c r="AE1529" s="33"/>
      <c r="AF1529" s="31"/>
      <c r="AG1529" s="30"/>
      <c r="AH1529" s="30"/>
      <c r="AI1529" s="31"/>
      <c r="AJ1529" s="31"/>
      <c r="AK1529" s="32"/>
    </row>
    <row r="1530">
      <c r="A1530" s="21" t="s">
        <v>649</v>
      </c>
      <c r="B1530" s="22" t="s">
        <v>318</v>
      </c>
      <c r="C1530" s="22" t="s">
        <v>82</v>
      </c>
      <c r="D1530" s="26">
        <v>45997.0</v>
      </c>
      <c r="E1530" s="22" t="s">
        <v>196</v>
      </c>
      <c r="F1530" s="22" t="s">
        <v>319</v>
      </c>
      <c r="G1530" s="22" t="s">
        <v>3022</v>
      </c>
      <c r="H1530" s="22" t="s">
        <v>649</v>
      </c>
      <c r="I1530" s="22">
        <v>1.0473573581123E13</v>
      </c>
      <c r="J1530" s="22" t="s">
        <v>321</v>
      </c>
      <c r="K1530" s="24"/>
      <c r="L1530" s="22" t="s">
        <v>651</v>
      </c>
      <c r="M1530" s="22">
        <v>1.0</v>
      </c>
      <c r="N1530" s="22" t="s">
        <v>323</v>
      </c>
      <c r="O1530" s="22" t="s">
        <v>324</v>
      </c>
      <c r="P1530" s="24"/>
      <c r="Q1530" s="22" t="s">
        <v>90</v>
      </c>
      <c r="R1530" s="22">
        <v>3.2783839985987E13</v>
      </c>
      <c r="S1530" s="24"/>
      <c r="T1530" s="24"/>
      <c r="U1530" s="24"/>
      <c r="V1530" s="30" t="s">
        <v>91</v>
      </c>
      <c r="W1530" s="33"/>
      <c r="X1530" s="33"/>
      <c r="Y1530" s="30"/>
      <c r="Z1530" s="30"/>
      <c r="AA1530" s="33"/>
      <c r="AB1530" s="33"/>
      <c r="AC1530" s="30"/>
      <c r="AD1530" s="30"/>
      <c r="AE1530" s="33"/>
      <c r="AF1530" s="31"/>
      <c r="AG1530" s="30"/>
      <c r="AH1530" s="30"/>
      <c r="AI1530" s="31"/>
      <c r="AJ1530" s="31"/>
      <c r="AK1530" s="32"/>
    </row>
    <row r="1531">
      <c r="A1531" s="28"/>
      <c r="B1531" s="22" t="s">
        <v>318</v>
      </c>
      <c r="C1531" s="22" t="s">
        <v>82</v>
      </c>
      <c r="D1531" s="26">
        <v>45997.0</v>
      </c>
      <c r="E1531" s="22" t="s">
        <v>196</v>
      </c>
      <c r="F1531" s="22" t="s">
        <v>319</v>
      </c>
      <c r="G1531" s="22" t="s">
        <v>3022</v>
      </c>
      <c r="H1531" s="29"/>
      <c r="I1531" s="22">
        <v>1.0473573581123E13</v>
      </c>
      <c r="J1531" s="22" t="s">
        <v>321</v>
      </c>
      <c r="K1531" s="24"/>
      <c r="L1531" s="22" t="s">
        <v>3023</v>
      </c>
      <c r="M1531" s="24"/>
      <c r="N1531" s="24"/>
      <c r="O1531" s="22" t="s">
        <v>768</v>
      </c>
      <c r="P1531" s="24"/>
      <c r="Q1531" s="22" t="s">
        <v>769</v>
      </c>
      <c r="R1531" s="24"/>
      <c r="S1531" s="24"/>
      <c r="T1531" s="24"/>
      <c r="U1531" s="24"/>
      <c r="V1531" s="30"/>
      <c r="W1531" s="33"/>
      <c r="X1531" s="33"/>
      <c r="Y1531" s="30"/>
      <c r="Z1531" s="30"/>
      <c r="AA1531" s="33"/>
      <c r="AB1531" s="33"/>
      <c r="AC1531" s="30"/>
      <c r="AD1531" s="30"/>
      <c r="AE1531" s="33"/>
      <c r="AF1531" s="31"/>
      <c r="AG1531" s="30"/>
      <c r="AH1531" s="30"/>
      <c r="AI1531" s="31"/>
      <c r="AJ1531" s="31"/>
      <c r="AK1531" s="32"/>
    </row>
    <row r="1532">
      <c r="A1532" s="21" t="s">
        <v>714</v>
      </c>
      <c r="B1532" s="22" t="s">
        <v>3024</v>
      </c>
      <c r="C1532" s="22" t="s">
        <v>82</v>
      </c>
      <c r="D1532" s="26">
        <v>45997.0</v>
      </c>
      <c r="E1532" s="22" t="s">
        <v>3025</v>
      </c>
      <c r="F1532" s="22" t="s">
        <v>717</v>
      </c>
      <c r="G1532" s="22" t="s">
        <v>3026</v>
      </c>
      <c r="H1532" s="22" t="s">
        <v>714</v>
      </c>
      <c r="I1532" s="22">
        <v>1.0473592619331E13</v>
      </c>
      <c r="J1532" s="22" t="s">
        <v>3027</v>
      </c>
      <c r="K1532" s="24"/>
      <c r="L1532" s="22" t="s">
        <v>720</v>
      </c>
      <c r="M1532" s="22">
        <v>1.0</v>
      </c>
      <c r="N1532" s="22" t="s">
        <v>721</v>
      </c>
      <c r="O1532" s="22" t="s">
        <v>722</v>
      </c>
      <c r="P1532" s="24"/>
      <c r="Q1532" s="22" t="s">
        <v>90</v>
      </c>
      <c r="R1532" s="22">
        <v>3.2783873507651E13</v>
      </c>
      <c r="S1532" s="24"/>
      <c r="T1532" s="24"/>
      <c r="U1532" s="24"/>
      <c r="V1532" s="30" t="s">
        <v>55</v>
      </c>
      <c r="W1532" s="33"/>
      <c r="X1532" s="33"/>
      <c r="Y1532" s="30"/>
      <c r="Z1532" s="30"/>
      <c r="AA1532" s="33"/>
      <c r="AB1532" s="33"/>
      <c r="AC1532" s="30"/>
      <c r="AD1532" s="30"/>
      <c r="AE1532" s="33"/>
      <c r="AF1532" s="31"/>
      <c r="AG1532" s="30"/>
      <c r="AH1532" s="30"/>
      <c r="AI1532" s="31"/>
      <c r="AJ1532" s="31"/>
      <c r="AK1532" s="32"/>
    </row>
    <row r="1533">
      <c r="A1533" s="21" t="s">
        <v>347</v>
      </c>
      <c r="B1533" s="22" t="s">
        <v>1502</v>
      </c>
      <c r="C1533" s="22" t="s">
        <v>82</v>
      </c>
      <c r="D1533" s="26">
        <v>45997.0</v>
      </c>
      <c r="E1533" s="22" t="s">
        <v>134</v>
      </c>
      <c r="F1533" s="22" t="s">
        <v>278</v>
      </c>
      <c r="G1533" s="22" t="s">
        <v>3028</v>
      </c>
      <c r="H1533" s="22" t="s">
        <v>347</v>
      </c>
      <c r="I1533" s="22">
        <v>1.0472379351363E13</v>
      </c>
      <c r="J1533" s="22" t="s">
        <v>2988</v>
      </c>
      <c r="K1533" s="24"/>
      <c r="L1533" s="22" t="s">
        <v>350</v>
      </c>
      <c r="M1533" s="22">
        <v>1.0</v>
      </c>
      <c r="N1533" s="22" t="s">
        <v>351</v>
      </c>
      <c r="O1533" s="22" t="s">
        <v>352</v>
      </c>
      <c r="P1533" s="24"/>
      <c r="Q1533" s="22" t="s">
        <v>90</v>
      </c>
      <c r="R1533" s="22">
        <v>3.2781275562307E13</v>
      </c>
      <c r="S1533" s="24"/>
      <c r="T1533" s="24"/>
      <c r="U1533" s="24"/>
      <c r="V1533" s="30" t="s">
        <v>127</v>
      </c>
      <c r="W1533" s="33"/>
      <c r="X1533" s="33"/>
      <c r="Y1533" s="30"/>
      <c r="Z1533" s="30"/>
      <c r="AA1533" s="33"/>
      <c r="AB1533" s="33"/>
      <c r="AC1533" s="30"/>
      <c r="AD1533" s="30"/>
      <c r="AE1533" s="33"/>
      <c r="AF1533" s="31"/>
      <c r="AG1533" s="30"/>
      <c r="AH1533" s="30"/>
      <c r="AI1533" s="31"/>
      <c r="AJ1533" s="31"/>
      <c r="AK1533" s="32"/>
    </row>
    <row r="1534">
      <c r="A1534" s="21" t="s">
        <v>515</v>
      </c>
      <c r="B1534" s="22" t="s">
        <v>516</v>
      </c>
      <c r="C1534" s="22" t="s">
        <v>273</v>
      </c>
      <c r="D1534" s="26">
        <v>45998.0</v>
      </c>
      <c r="E1534" s="22" t="s">
        <v>134</v>
      </c>
      <c r="F1534" s="22" t="s">
        <v>472</v>
      </c>
      <c r="G1534" s="22" t="s">
        <v>3029</v>
      </c>
      <c r="H1534" s="22" t="s">
        <v>515</v>
      </c>
      <c r="I1534" s="22">
        <v>1.0472399176003E13</v>
      </c>
      <c r="J1534" s="22" t="s">
        <v>3030</v>
      </c>
      <c r="K1534" s="24"/>
      <c r="L1534" s="22" t="s">
        <v>519</v>
      </c>
      <c r="M1534" s="22">
        <v>1.0</v>
      </c>
      <c r="N1534" s="22" t="s">
        <v>476</v>
      </c>
      <c r="O1534" s="22" t="s">
        <v>477</v>
      </c>
      <c r="P1534" s="24"/>
      <c r="Q1534" s="22" t="s">
        <v>90</v>
      </c>
      <c r="R1534" s="22">
        <v>3.2781319504195E13</v>
      </c>
      <c r="S1534" s="24"/>
      <c r="T1534" s="24"/>
      <c r="U1534" s="24"/>
      <c r="V1534" s="30" t="s">
        <v>55</v>
      </c>
      <c r="W1534" s="33"/>
      <c r="X1534" s="33"/>
      <c r="Y1534" s="30"/>
      <c r="Z1534" s="30"/>
      <c r="AA1534" s="33"/>
      <c r="AB1534" s="33"/>
      <c r="AC1534" s="30"/>
      <c r="AD1534" s="30"/>
      <c r="AE1534" s="33"/>
      <c r="AF1534" s="31"/>
      <c r="AG1534" s="30"/>
      <c r="AH1534" s="30"/>
      <c r="AI1534" s="31"/>
      <c r="AJ1534" s="31"/>
      <c r="AK1534" s="32"/>
    </row>
    <row r="1535">
      <c r="A1535" s="21" t="s">
        <v>108</v>
      </c>
      <c r="B1535" s="22" t="s">
        <v>398</v>
      </c>
      <c r="C1535" s="22" t="s">
        <v>273</v>
      </c>
      <c r="D1535" s="26">
        <v>45998.0</v>
      </c>
      <c r="E1535" s="22" t="s">
        <v>110</v>
      </c>
      <c r="F1535" s="22" t="s">
        <v>111</v>
      </c>
      <c r="G1535" s="22" t="s">
        <v>3031</v>
      </c>
      <c r="H1535" s="22" t="s">
        <v>108</v>
      </c>
      <c r="I1535" s="22">
        <v>1.0472438333763E13</v>
      </c>
      <c r="J1535" s="22" t="s">
        <v>400</v>
      </c>
      <c r="K1535" s="24"/>
      <c r="L1535" s="22" t="s">
        <v>114</v>
      </c>
      <c r="M1535" s="22">
        <v>1.0</v>
      </c>
      <c r="N1535" s="22" t="s">
        <v>115</v>
      </c>
      <c r="O1535" s="22" t="s">
        <v>116</v>
      </c>
      <c r="P1535" s="24"/>
      <c r="Q1535" s="22" t="s">
        <v>90</v>
      </c>
      <c r="R1535" s="22">
        <v>3.2781401850179E13</v>
      </c>
      <c r="S1535" s="24"/>
      <c r="T1535" s="24"/>
      <c r="U1535" s="24"/>
      <c r="V1535" s="30" t="s">
        <v>54</v>
      </c>
      <c r="W1535" s="33"/>
      <c r="X1535" s="33"/>
      <c r="Y1535" s="30"/>
      <c r="Z1535" s="30"/>
      <c r="AA1535" s="33"/>
      <c r="AB1535" s="33"/>
      <c r="AC1535" s="30"/>
      <c r="AD1535" s="30"/>
      <c r="AE1535" s="33"/>
      <c r="AF1535" s="31"/>
      <c r="AG1535" s="30"/>
      <c r="AH1535" s="30"/>
      <c r="AI1535" s="31"/>
      <c r="AJ1535" s="31"/>
      <c r="AK1535" s="32"/>
    </row>
    <row r="1536">
      <c r="A1536" s="21" t="s">
        <v>560</v>
      </c>
      <c r="B1536" s="22" t="s">
        <v>1305</v>
      </c>
      <c r="C1536" s="22" t="s">
        <v>273</v>
      </c>
      <c r="D1536" s="23">
        <v>45991.0</v>
      </c>
      <c r="E1536" s="22" t="s">
        <v>196</v>
      </c>
      <c r="F1536" s="22" t="s">
        <v>356</v>
      </c>
      <c r="G1536" s="22" t="s">
        <v>3032</v>
      </c>
      <c r="H1536" s="22" t="s">
        <v>560</v>
      </c>
      <c r="I1536" s="22">
        <v>1.0473628500291E13</v>
      </c>
      <c r="J1536" s="22" t="s">
        <v>3033</v>
      </c>
      <c r="K1536" s="24"/>
      <c r="L1536" s="22" t="s">
        <v>563</v>
      </c>
      <c r="M1536" s="22">
        <v>1.0</v>
      </c>
      <c r="N1536" s="22" t="s">
        <v>360</v>
      </c>
      <c r="O1536" s="22" t="s">
        <v>361</v>
      </c>
      <c r="P1536" s="24"/>
      <c r="Q1536" s="22" t="s">
        <v>90</v>
      </c>
      <c r="R1536" s="22">
        <v>3.2783936160067E13</v>
      </c>
      <c r="S1536" s="24"/>
      <c r="T1536" s="24"/>
      <c r="U1536" s="24"/>
      <c r="V1536" s="30" t="s">
        <v>91</v>
      </c>
      <c r="W1536" s="33"/>
      <c r="X1536" s="33"/>
      <c r="Y1536" s="30"/>
      <c r="Z1536" s="30"/>
      <c r="AA1536" s="33"/>
      <c r="AB1536" s="33"/>
      <c r="AC1536" s="30"/>
      <c r="AD1536" s="30"/>
      <c r="AE1536" s="33"/>
      <c r="AF1536" s="31"/>
      <c r="AG1536" s="30"/>
      <c r="AH1536" s="30"/>
      <c r="AI1536" s="31"/>
      <c r="AJ1536" s="31"/>
      <c r="AK1536" s="32"/>
    </row>
    <row r="1537">
      <c r="A1537" s="21" t="s">
        <v>484</v>
      </c>
      <c r="B1537" s="22" t="s">
        <v>3034</v>
      </c>
      <c r="C1537" s="22" t="s">
        <v>202</v>
      </c>
      <c r="D1537" s="26">
        <v>45996.0</v>
      </c>
      <c r="E1537" s="22" t="s">
        <v>1073</v>
      </c>
      <c r="F1537" s="22" t="s">
        <v>311</v>
      </c>
      <c r="G1537" s="22" t="s">
        <v>3035</v>
      </c>
      <c r="H1537" s="22" t="s">
        <v>484</v>
      </c>
      <c r="I1537" s="22">
        <v>1.0473719038275E13</v>
      </c>
      <c r="J1537" s="22" t="s">
        <v>3036</v>
      </c>
      <c r="K1537" s="24"/>
      <c r="L1537" s="22" t="s">
        <v>487</v>
      </c>
      <c r="M1537" s="22">
        <v>1.0</v>
      </c>
      <c r="N1537" s="22" t="s">
        <v>315</v>
      </c>
      <c r="O1537" s="22" t="s">
        <v>316</v>
      </c>
      <c r="P1537" s="24"/>
      <c r="Q1537" s="22" t="s">
        <v>90</v>
      </c>
      <c r="R1537" s="22">
        <v>3.2784122577219E13</v>
      </c>
      <c r="S1537" s="24"/>
      <c r="T1537" s="24"/>
      <c r="U1537" s="24"/>
      <c r="V1537" s="30" t="s">
        <v>127</v>
      </c>
      <c r="W1537" s="33"/>
      <c r="X1537" s="33"/>
      <c r="Y1537" s="30"/>
      <c r="Z1537" s="30"/>
      <c r="AA1537" s="33"/>
      <c r="AB1537" s="33"/>
      <c r="AC1537" s="30"/>
      <c r="AD1537" s="30"/>
      <c r="AE1537" s="33"/>
      <c r="AF1537" s="31"/>
      <c r="AG1537" s="30"/>
      <c r="AH1537" s="30"/>
      <c r="AI1537" s="31"/>
      <c r="AJ1537" s="31"/>
      <c r="AK1537" s="32"/>
    </row>
    <row r="1538">
      <c r="A1538" s="21" t="s">
        <v>902</v>
      </c>
      <c r="B1538" s="22" t="s">
        <v>1356</v>
      </c>
      <c r="C1538" s="22" t="s">
        <v>273</v>
      </c>
      <c r="D1538" s="23">
        <v>45991.0</v>
      </c>
      <c r="E1538" s="22" t="s">
        <v>153</v>
      </c>
      <c r="F1538" s="22" t="s">
        <v>329</v>
      </c>
      <c r="G1538" s="22" t="s">
        <v>3037</v>
      </c>
      <c r="H1538" s="22" t="s">
        <v>902</v>
      </c>
      <c r="I1538" s="22">
        <v>1.0473723199811E13</v>
      </c>
      <c r="J1538" s="22" t="s">
        <v>2962</v>
      </c>
      <c r="K1538" s="24"/>
      <c r="L1538" s="22" t="s">
        <v>906</v>
      </c>
      <c r="M1538" s="22">
        <v>1.0</v>
      </c>
      <c r="N1538" s="22" t="s">
        <v>907</v>
      </c>
      <c r="O1538" s="22" t="s">
        <v>908</v>
      </c>
      <c r="P1538" s="24"/>
      <c r="Q1538" s="22" t="s">
        <v>90</v>
      </c>
      <c r="R1538" s="22">
        <v>3.2784131752259E13</v>
      </c>
      <c r="S1538" s="24"/>
      <c r="T1538" s="24"/>
      <c r="U1538" s="24"/>
      <c r="V1538" s="30" t="s">
        <v>105</v>
      </c>
      <c r="W1538" s="33"/>
      <c r="X1538" s="33"/>
      <c r="Y1538" s="30"/>
      <c r="Z1538" s="30"/>
      <c r="AA1538" s="33"/>
      <c r="AB1538" s="33"/>
      <c r="AC1538" s="30"/>
      <c r="AD1538" s="30"/>
      <c r="AE1538" s="33"/>
      <c r="AF1538" s="31"/>
      <c r="AG1538" s="30"/>
      <c r="AH1538" s="30"/>
      <c r="AI1538" s="31"/>
      <c r="AJ1538" s="31"/>
      <c r="AK1538" s="32"/>
    </row>
    <row r="1539">
      <c r="A1539" s="21" t="s">
        <v>124</v>
      </c>
      <c r="B1539" s="22" t="s">
        <v>1960</v>
      </c>
      <c r="C1539" s="22" t="s">
        <v>202</v>
      </c>
      <c r="D1539" s="26">
        <v>45996.0</v>
      </c>
      <c r="E1539" s="22" t="s">
        <v>266</v>
      </c>
      <c r="F1539" s="22" t="s">
        <v>83</v>
      </c>
      <c r="G1539" s="22" t="s">
        <v>3038</v>
      </c>
      <c r="H1539" s="22" t="s">
        <v>124</v>
      </c>
      <c r="I1539" s="22">
        <v>1.0473745088835E13</v>
      </c>
      <c r="J1539" s="22" t="s">
        <v>3039</v>
      </c>
      <c r="K1539" s="24"/>
      <c r="L1539" s="22" t="s">
        <v>126</v>
      </c>
      <c r="M1539" s="22">
        <v>1.0</v>
      </c>
      <c r="N1539" s="22" t="s">
        <v>103</v>
      </c>
      <c r="O1539" s="22" t="s">
        <v>104</v>
      </c>
      <c r="P1539" s="24"/>
      <c r="Q1539" s="22" t="s">
        <v>90</v>
      </c>
      <c r="R1539" s="22">
        <v>3.2784179888451E13</v>
      </c>
      <c r="S1539" s="24"/>
      <c r="T1539" s="24"/>
      <c r="U1539" s="24"/>
      <c r="V1539" s="30" t="s">
        <v>127</v>
      </c>
      <c r="W1539" s="33"/>
      <c r="X1539" s="33"/>
      <c r="Y1539" s="30"/>
      <c r="Z1539" s="30"/>
      <c r="AA1539" s="33"/>
      <c r="AB1539" s="33"/>
      <c r="AC1539" s="30"/>
      <c r="AD1539" s="30"/>
      <c r="AE1539" s="33"/>
      <c r="AF1539" s="31"/>
      <c r="AG1539" s="30"/>
      <c r="AH1539" s="30"/>
      <c r="AI1539" s="31"/>
      <c r="AJ1539" s="31"/>
      <c r="AK1539" s="32"/>
    </row>
    <row r="1540">
      <c r="A1540" s="21" t="s">
        <v>124</v>
      </c>
      <c r="B1540" s="22" t="s">
        <v>1666</v>
      </c>
      <c r="C1540" s="22" t="s">
        <v>273</v>
      </c>
      <c r="D1540" s="26">
        <v>45998.0</v>
      </c>
      <c r="E1540" s="22" t="s">
        <v>149</v>
      </c>
      <c r="F1540" s="22" t="s">
        <v>83</v>
      </c>
      <c r="G1540" s="22" t="s">
        <v>3040</v>
      </c>
      <c r="H1540" s="22" t="s">
        <v>124</v>
      </c>
      <c r="I1540" s="22">
        <v>1.0473766060355E13</v>
      </c>
      <c r="J1540" s="22" t="s">
        <v>3041</v>
      </c>
      <c r="K1540" s="24"/>
      <c r="L1540" s="22" t="s">
        <v>126</v>
      </c>
      <c r="M1540" s="22">
        <v>1.0</v>
      </c>
      <c r="N1540" s="22" t="s">
        <v>103</v>
      </c>
      <c r="O1540" s="22" t="s">
        <v>104</v>
      </c>
      <c r="P1540" s="24"/>
      <c r="Q1540" s="22" t="s">
        <v>90</v>
      </c>
      <c r="R1540" s="22">
        <v>3.2784222814531E13</v>
      </c>
      <c r="S1540" s="24"/>
      <c r="T1540" s="24"/>
      <c r="U1540" s="24"/>
      <c r="V1540" s="30" t="s">
        <v>127</v>
      </c>
      <c r="W1540" s="33"/>
      <c r="X1540" s="33"/>
      <c r="Y1540" s="30"/>
      <c r="Z1540" s="30"/>
      <c r="AA1540" s="33"/>
      <c r="AB1540" s="33"/>
      <c r="AC1540" s="30"/>
      <c r="AD1540" s="30"/>
      <c r="AE1540" s="33"/>
      <c r="AF1540" s="31"/>
      <c r="AG1540" s="30"/>
      <c r="AH1540" s="30"/>
      <c r="AI1540" s="31"/>
      <c r="AJ1540" s="31"/>
      <c r="AK1540" s="32"/>
    </row>
    <row r="1541">
      <c r="A1541" s="21" t="s">
        <v>141</v>
      </c>
      <c r="B1541" s="22" t="s">
        <v>1666</v>
      </c>
      <c r="C1541" s="22" t="s">
        <v>273</v>
      </c>
      <c r="D1541" s="26">
        <v>45998.0</v>
      </c>
      <c r="E1541" s="22" t="s">
        <v>149</v>
      </c>
      <c r="F1541" s="22" t="s">
        <v>83</v>
      </c>
      <c r="G1541" s="22" t="s">
        <v>3042</v>
      </c>
      <c r="H1541" s="22" t="s">
        <v>141</v>
      </c>
      <c r="I1541" s="22">
        <v>1.0473782444355E13</v>
      </c>
      <c r="J1541" s="22" t="s">
        <v>3041</v>
      </c>
      <c r="K1541" s="24"/>
      <c r="L1541" s="22" t="s">
        <v>143</v>
      </c>
      <c r="M1541" s="22">
        <v>1.0</v>
      </c>
      <c r="N1541" s="22" t="s">
        <v>87</v>
      </c>
      <c r="O1541" s="22" t="s">
        <v>88</v>
      </c>
      <c r="P1541" s="24"/>
      <c r="Q1541" s="22" t="s">
        <v>90</v>
      </c>
      <c r="R1541" s="22">
        <v>3.2784256565571E13</v>
      </c>
      <c r="S1541" s="24"/>
      <c r="T1541" s="24"/>
      <c r="U1541" s="24"/>
      <c r="V1541" s="30" t="s">
        <v>54</v>
      </c>
      <c r="W1541" s="33"/>
      <c r="X1541" s="33"/>
      <c r="Y1541" s="30"/>
      <c r="Z1541" s="30"/>
      <c r="AA1541" s="33"/>
      <c r="AB1541" s="33"/>
      <c r="AC1541" s="30"/>
      <c r="AD1541" s="30"/>
      <c r="AE1541" s="33"/>
      <c r="AF1541" s="31"/>
      <c r="AG1541" s="30"/>
      <c r="AH1541" s="30"/>
      <c r="AI1541" s="31"/>
      <c r="AJ1541" s="31"/>
      <c r="AK1541" s="32"/>
    </row>
    <row r="1542">
      <c r="A1542" s="21" t="s">
        <v>686</v>
      </c>
      <c r="B1542" s="22" t="s">
        <v>450</v>
      </c>
      <c r="C1542" s="22" t="s">
        <v>82</v>
      </c>
      <c r="D1542" s="26">
        <v>45997.0</v>
      </c>
      <c r="E1542" s="22" t="s">
        <v>134</v>
      </c>
      <c r="F1542" s="22" t="s">
        <v>451</v>
      </c>
      <c r="G1542" s="22" t="s">
        <v>3043</v>
      </c>
      <c r="H1542" s="22" t="s">
        <v>686</v>
      </c>
      <c r="I1542" s="22">
        <v>1.0473786573123E13</v>
      </c>
      <c r="J1542" s="22" t="s">
        <v>3044</v>
      </c>
      <c r="K1542" s="24"/>
      <c r="L1542" s="22" t="s">
        <v>688</v>
      </c>
      <c r="M1542" s="22">
        <v>1.0</v>
      </c>
      <c r="N1542" s="22" t="s">
        <v>455</v>
      </c>
      <c r="O1542" s="22" t="s">
        <v>456</v>
      </c>
      <c r="P1542" s="24"/>
      <c r="Q1542" s="22" t="s">
        <v>90</v>
      </c>
      <c r="R1542" s="22">
        <v>3.2784264167747E13</v>
      </c>
      <c r="S1542" s="24"/>
      <c r="T1542" s="24"/>
      <c r="U1542" s="24"/>
      <c r="V1542" s="30" t="s">
        <v>91</v>
      </c>
      <c r="W1542" s="33"/>
      <c r="X1542" s="33"/>
      <c r="Y1542" s="30"/>
      <c r="Z1542" s="30"/>
      <c r="AA1542" s="33"/>
      <c r="AB1542" s="33"/>
      <c r="AC1542" s="30"/>
      <c r="AD1542" s="30"/>
      <c r="AE1542" s="33"/>
      <c r="AF1542" s="31"/>
      <c r="AG1542" s="30"/>
      <c r="AH1542" s="30"/>
      <c r="AI1542" s="31"/>
      <c r="AJ1542" s="31"/>
      <c r="AK1542" s="32"/>
    </row>
    <row r="1543">
      <c r="A1543" s="21" t="s">
        <v>209</v>
      </c>
      <c r="B1543" s="22" t="s">
        <v>393</v>
      </c>
      <c r="C1543" s="22" t="s">
        <v>82</v>
      </c>
      <c r="D1543" s="26">
        <v>45997.0</v>
      </c>
      <c r="E1543" s="22" t="s">
        <v>187</v>
      </c>
      <c r="F1543" s="22" t="s">
        <v>111</v>
      </c>
      <c r="G1543" s="22" t="s">
        <v>3045</v>
      </c>
      <c r="H1543" s="22" t="s">
        <v>209</v>
      </c>
      <c r="I1543" s="22">
        <v>1.0473812721987E13</v>
      </c>
      <c r="J1543" s="22" t="s">
        <v>3046</v>
      </c>
      <c r="K1543" s="24"/>
      <c r="L1543" s="22" t="s">
        <v>214</v>
      </c>
      <c r="M1543" s="22">
        <v>1.0</v>
      </c>
      <c r="N1543" s="22" t="s">
        <v>115</v>
      </c>
      <c r="O1543" s="22" t="s">
        <v>116</v>
      </c>
      <c r="P1543" s="24"/>
      <c r="Q1543" s="22" t="s">
        <v>90</v>
      </c>
      <c r="R1543" s="22">
        <v>3.2784318038339E13</v>
      </c>
      <c r="S1543" s="24"/>
      <c r="T1543" s="24"/>
      <c r="U1543" s="24"/>
      <c r="V1543" s="30" t="s">
        <v>91</v>
      </c>
      <c r="W1543" s="33"/>
      <c r="X1543" s="33"/>
      <c r="Y1543" s="30"/>
      <c r="Z1543" s="30"/>
      <c r="AA1543" s="33"/>
      <c r="AB1543" s="33"/>
      <c r="AC1543" s="30"/>
      <c r="AD1543" s="30"/>
      <c r="AE1543" s="33"/>
      <c r="AF1543" s="31"/>
      <c r="AG1543" s="30"/>
      <c r="AH1543" s="30"/>
      <c r="AI1543" s="31"/>
      <c r="AJ1543" s="31"/>
      <c r="AK1543" s="32"/>
    </row>
    <row r="1544">
      <c r="A1544" s="21" t="s">
        <v>166</v>
      </c>
      <c r="B1544" s="22" t="s">
        <v>1655</v>
      </c>
      <c r="C1544" s="22" t="s">
        <v>82</v>
      </c>
      <c r="D1544" s="26">
        <v>45997.0</v>
      </c>
      <c r="E1544" s="22" t="s">
        <v>211</v>
      </c>
      <c r="F1544" s="22" t="s">
        <v>111</v>
      </c>
      <c r="G1544" s="22" t="s">
        <v>3047</v>
      </c>
      <c r="H1544" s="22" t="s">
        <v>166</v>
      </c>
      <c r="I1544" s="22">
        <v>1.0473828680003E13</v>
      </c>
      <c r="J1544" s="22" t="s">
        <v>3048</v>
      </c>
      <c r="K1544" s="24"/>
      <c r="L1544" s="22" t="s">
        <v>171</v>
      </c>
      <c r="M1544" s="22">
        <v>1.0</v>
      </c>
      <c r="N1544" s="22" t="s">
        <v>115</v>
      </c>
      <c r="O1544" s="22" t="s">
        <v>116</v>
      </c>
      <c r="P1544" s="24"/>
      <c r="Q1544" s="22" t="s">
        <v>90</v>
      </c>
      <c r="R1544" s="22">
        <v>3.2784346120515E13</v>
      </c>
      <c r="S1544" s="24"/>
      <c r="T1544" s="24"/>
      <c r="U1544" s="24"/>
      <c r="V1544" s="30" t="s">
        <v>55</v>
      </c>
      <c r="W1544" s="33"/>
      <c r="X1544" s="33"/>
      <c r="Y1544" s="30"/>
      <c r="Z1544" s="30"/>
      <c r="AA1544" s="33"/>
      <c r="AB1544" s="33"/>
      <c r="AC1544" s="30"/>
      <c r="AD1544" s="30"/>
      <c r="AE1544" s="33"/>
      <c r="AF1544" s="31"/>
      <c r="AG1544" s="30"/>
      <c r="AH1544" s="30"/>
      <c r="AI1544" s="31"/>
      <c r="AJ1544" s="31"/>
      <c r="AK1544" s="32"/>
    </row>
    <row r="1545">
      <c r="A1545" s="21" t="s">
        <v>354</v>
      </c>
      <c r="B1545" s="22" t="s">
        <v>1923</v>
      </c>
      <c r="C1545" s="22" t="s">
        <v>273</v>
      </c>
      <c r="D1545" s="23">
        <v>45991.0</v>
      </c>
      <c r="E1545" s="22" t="s">
        <v>252</v>
      </c>
      <c r="F1545" s="22" t="s">
        <v>356</v>
      </c>
      <c r="G1545" s="22" t="s">
        <v>3049</v>
      </c>
      <c r="H1545" s="22" t="s">
        <v>354</v>
      </c>
      <c r="I1545" s="22">
        <v>1.0473837822275E13</v>
      </c>
      <c r="J1545" s="22" t="s">
        <v>3002</v>
      </c>
      <c r="K1545" s="24"/>
      <c r="L1545" s="22" t="s">
        <v>359</v>
      </c>
      <c r="M1545" s="22">
        <v>1.0</v>
      </c>
      <c r="N1545" s="22" t="s">
        <v>360</v>
      </c>
      <c r="O1545" s="22" t="s">
        <v>361</v>
      </c>
      <c r="P1545" s="24"/>
      <c r="Q1545" s="22" t="s">
        <v>90</v>
      </c>
      <c r="R1545" s="22">
        <v>3.2784363159875E13</v>
      </c>
      <c r="S1545" s="24"/>
      <c r="T1545" s="24"/>
      <c r="U1545" s="24"/>
      <c r="V1545" s="30" t="s">
        <v>54</v>
      </c>
      <c r="W1545" s="33"/>
      <c r="X1545" s="33"/>
      <c r="Y1545" s="30"/>
      <c r="Z1545" s="30"/>
      <c r="AA1545" s="33"/>
      <c r="AB1545" s="33"/>
      <c r="AC1545" s="30"/>
      <c r="AD1545" s="30"/>
      <c r="AE1545" s="33"/>
      <c r="AF1545" s="31"/>
      <c r="AG1545" s="30"/>
      <c r="AH1545" s="30"/>
      <c r="AI1545" s="31"/>
      <c r="AJ1545" s="31"/>
      <c r="AK1545" s="32"/>
    </row>
    <row r="1546">
      <c r="A1546" s="21" t="s">
        <v>885</v>
      </c>
      <c r="B1546" s="22" t="s">
        <v>1498</v>
      </c>
      <c r="C1546" s="22" t="s">
        <v>82</v>
      </c>
      <c r="D1546" s="26">
        <v>45997.0</v>
      </c>
      <c r="E1546" s="22" t="s">
        <v>522</v>
      </c>
      <c r="F1546" s="22" t="s">
        <v>605</v>
      </c>
      <c r="G1546" s="22" t="s">
        <v>3050</v>
      </c>
      <c r="H1546" s="22" t="s">
        <v>885</v>
      </c>
      <c r="I1546" s="22">
        <v>1.0473914270019E13</v>
      </c>
      <c r="J1546" s="22" t="s">
        <v>2999</v>
      </c>
      <c r="K1546" s="24"/>
      <c r="L1546" s="22" t="s">
        <v>890</v>
      </c>
      <c r="M1546" s="22">
        <v>1.0</v>
      </c>
      <c r="N1546" s="22" t="s">
        <v>795</v>
      </c>
      <c r="O1546" s="22" t="s">
        <v>796</v>
      </c>
      <c r="P1546" s="24"/>
      <c r="Q1546" s="22" t="s">
        <v>90</v>
      </c>
      <c r="R1546" s="22">
        <v>3.2784516317507E13</v>
      </c>
      <c r="S1546" s="24"/>
      <c r="T1546" s="24"/>
      <c r="U1546" s="24"/>
      <c r="V1546" s="30" t="s">
        <v>127</v>
      </c>
      <c r="W1546" s="33"/>
      <c r="X1546" s="33"/>
      <c r="Y1546" s="30"/>
      <c r="Z1546" s="30"/>
      <c r="AA1546" s="33"/>
      <c r="AB1546" s="33"/>
      <c r="AC1546" s="30"/>
      <c r="AD1546" s="30"/>
      <c r="AE1546" s="33"/>
      <c r="AF1546" s="31"/>
      <c r="AG1546" s="30"/>
      <c r="AH1546" s="30"/>
      <c r="AI1546" s="31"/>
      <c r="AJ1546" s="31"/>
      <c r="AK1546" s="32"/>
    </row>
    <row r="1547">
      <c r="A1547" s="21" t="s">
        <v>124</v>
      </c>
      <c r="B1547" s="22" t="s">
        <v>2908</v>
      </c>
      <c r="C1547" s="22" t="s">
        <v>202</v>
      </c>
      <c r="D1547" s="26">
        <v>45996.0</v>
      </c>
      <c r="E1547" s="22" t="s">
        <v>181</v>
      </c>
      <c r="F1547" s="22" t="s">
        <v>83</v>
      </c>
      <c r="G1547" s="22" t="s">
        <v>3051</v>
      </c>
      <c r="H1547" s="22" t="s">
        <v>124</v>
      </c>
      <c r="I1547" s="22">
        <v>1.0474009592131E13</v>
      </c>
      <c r="J1547" s="22" t="s">
        <v>3052</v>
      </c>
      <c r="K1547" s="24"/>
      <c r="L1547" s="22" t="s">
        <v>126</v>
      </c>
      <c r="M1547" s="22">
        <v>1.0</v>
      </c>
      <c r="N1547" s="22" t="s">
        <v>103</v>
      </c>
      <c r="O1547" s="22" t="s">
        <v>104</v>
      </c>
      <c r="P1547" s="24"/>
      <c r="Q1547" s="22" t="s">
        <v>90</v>
      </c>
      <c r="R1547" s="22">
        <v>3.2784712597827E13</v>
      </c>
      <c r="S1547" s="24"/>
      <c r="T1547" s="24"/>
      <c r="U1547" s="24"/>
      <c r="V1547" s="30" t="s">
        <v>127</v>
      </c>
      <c r="W1547" s="33"/>
      <c r="X1547" s="33"/>
      <c r="Y1547" s="30"/>
      <c r="Z1547" s="30"/>
      <c r="AA1547" s="33"/>
      <c r="AB1547" s="33"/>
      <c r="AC1547" s="30"/>
      <c r="AD1547" s="30"/>
      <c r="AE1547" s="33"/>
      <c r="AF1547" s="31"/>
      <c r="AG1547" s="30"/>
      <c r="AH1547" s="30"/>
      <c r="AI1547" s="31"/>
      <c r="AJ1547" s="31"/>
      <c r="AK1547" s="32"/>
    </row>
    <row r="1548">
      <c r="A1548" s="21" t="s">
        <v>96</v>
      </c>
      <c r="B1548" s="22" t="s">
        <v>1352</v>
      </c>
      <c r="C1548" s="22" t="s">
        <v>82</v>
      </c>
      <c r="D1548" s="26">
        <v>45997.0</v>
      </c>
      <c r="E1548" s="22" t="s">
        <v>153</v>
      </c>
      <c r="F1548" s="22" t="s">
        <v>83</v>
      </c>
      <c r="G1548" s="22" t="s">
        <v>3053</v>
      </c>
      <c r="H1548" s="22" t="s">
        <v>96</v>
      </c>
      <c r="I1548" s="22">
        <v>1.0474014671171E13</v>
      </c>
      <c r="J1548" s="22" t="s">
        <v>2950</v>
      </c>
      <c r="K1548" s="24"/>
      <c r="L1548" s="22" t="s">
        <v>98</v>
      </c>
      <c r="M1548" s="22">
        <v>1.0</v>
      </c>
      <c r="N1548" s="22" t="s">
        <v>87</v>
      </c>
      <c r="O1548" s="22" t="s">
        <v>88</v>
      </c>
      <c r="P1548" s="24"/>
      <c r="Q1548" s="22" t="s">
        <v>90</v>
      </c>
      <c r="R1548" s="22">
        <v>3.2784723968323E13</v>
      </c>
      <c r="S1548" s="24"/>
      <c r="T1548" s="24"/>
      <c r="U1548" s="24"/>
      <c r="V1548" s="30" t="s">
        <v>55</v>
      </c>
      <c r="W1548" s="33"/>
      <c r="X1548" s="33"/>
      <c r="Y1548" s="30"/>
      <c r="Z1548" s="30"/>
      <c r="AA1548" s="33"/>
      <c r="AB1548" s="33"/>
      <c r="AC1548" s="30"/>
      <c r="AD1548" s="30"/>
      <c r="AE1548" s="33"/>
      <c r="AF1548" s="31"/>
      <c r="AG1548" s="30"/>
      <c r="AH1548" s="30"/>
      <c r="AI1548" s="31"/>
      <c r="AJ1548" s="31"/>
      <c r="AK1548" s="32"/>
    </row>
    <row r="1549">
      <c r="A1549" s="21" t="s">
        <v>879</v>
      </c>
      <c r="B1549" s="22" t="s">
        <v>2798</v>
      </c>
      <c r="C1549" s="22" t="s">
        <v>273</v>
      </c>
      <c r="D1549" s="26">
        <v>45998.0</v>
      </c>
      <c r="E1549" s="22" t="s">
        <v>1117</v>
      </c>
      <c r="F1549" s="22" t="s">
        <v>869</v>
      </c>
      <c r="G1549" s="22" t="s">
        <v>3054</v>
      </c>
      <c r="H1549" s="22" t="s">
        <v>879</v>
      </c>
      <c r="I1549" s="22">
        <v>1.0474029941059E13</v>
      </c>
      <c r="J1549" s="22" t="s">
        <v>3055</v>
      </c>
      <c r="K1549" s="24"/>
      <c r="L1549" s="22" t="s">
        <v>881</v>
      </c>
      <c r="M1549" s="22">
        <v>1.0</v>
      </c>
      <c r="N1549" s="22" t="s">
        <v>882</v>
      </c>
      <c r="O1549" s="22" t="s">
        <v>883</v>
      </c>
      <c r="P1549" s="24"/>
      <c r="Q1549" s="22" t="s">
        <v>90</v>
      </c>
      <c r="R1549" s="22">
        <v>3.2784756801859E13</v>
      </c>
      <c r="S1549" s="24"/>
      <c r="T1549" s="24"/>
      <c r="U1549" s="24"/>
      <c r="V1549" s="30" t="s">
        <v>127</v>
      </c>
      <c r="W1549" s="33"/>
      <c r="X1549" s="33"/>
      <c r="Y1549" s="30"/>
      <c r="Z1549" s="30"/>
      <c r="AA1549" s="33"/>
      <c r="AB1549" s="33"/>
      <c r="AC1549" s="30"/>
      <c r="AD1549" s="30"/>
      <c r="AE1549" s="33"/>
      <c r="AF1549" s="31"/>
      <c r="AG1549" s="30"/>
      <c r="AH1549" s="30"/>
      <c r="AI1549" s="31"/>
      <c r="AJ1549" s="31"/>
      <c r="AK1549" s="32"/>
    </row>
    <row r="1550">
      <c r="A1550" s="21" t="s">
        <v>1527</v>
      </c>
      <c r="B1550" s="22" t="s">
        <v>450</v>
      </c>
      <c r="C1550" s="22" t="s">
        <v>82</v>
      </c>
      <c r="D1550" s="26">
        <v>45997.0</v>
      </c>
      <c r="E1550" s="22" t="s">
        <v>134</v>
      </c>
      <c r="F1550" s="22" t="s">
        <v>451</v>
      </c>
      <c r="G1550" s="22" t="s">
        <v>3056</v>
      </c>
      <c r="H1550" s="22" t="s">
        <v>1527</v>
      </c>
      <c r="I1550" s="22">
        <v>1.0473653240131E13</v>
      </c>
      <c r="J1550" s="22" t="s">
        <v>3044</v>
      </c>
      <c r="K1550" s="24"/>
      <c r="L1550" s="22" t="s">
        <v>1531</v>
      </c>
      <c r="M1550" s="22">
        <v>1.0</v>
      </c>
      <c r="N1550" s="22" t="s">
        <v>1277</v>
      </c>
      <c r="O1550" s="22" t="s">
        <v>1278</v>
      </c>
      <c r="P1550" s="24"/>
      <c r="Q1550" s="22" t="s">
        <v>90</v>
      </c>
      <c r="R1550" s="22">
        <v>3.2783983214915E13</v>
      </c>
      <c r="S1550" s="24"/>
      <c r="T1550" s="24"/>
      <c r="U1550" s="24"/>
      <c r="V1550" s="30" t="s">
        <v>105</v>
      </c>
      <c r="W1550" s="33"/>
      <c r="X1550" s="33"/>
      <c r="Y1550" s="30"/>
      <c r="Z1550" s="30"/>
      <c r="AA1550" s="33"/>
      <c r="AB1550" s="33"/>
      <c r="AC1550" s="30"/>
      <c r="AD1550" s="30"/>
      <c r="AE1550" s="33"/>
      <c r="AF1550" s="31"/>
      <c r="AG1550" s="30"/>
      <c r="AH1550" s="30"/>
      <c r="AI1550" s="31"/>
      <c r="AJ1550" s="31"/>
      <c r="AK1550" s="32"/>
    </row>
    <row r="1551">
      <c r="A1551" s="21" t="s">
        <v>124</v>
      </c>
      <c r="B1551" s="22" t="s">
        <v>1352</v>
      </c>
      <c r="C1551" s="22" t="s">
        <v>82</v>
      </c>
      <c r="D1551" s="26">
        <v>45997.0</v>
      </c>
      <c r="E1551" s="22" t="s">
        <v>153</v>
      </c>
      <c r="F1551" s="22" t="s">
        <v>83</v>
      </c>
      <c r="G1551" s="22" t="s">
        <v>3057</v>
      </c>
      <c r="H1551" s="22" t="s">
        <v>124</v>
      </c>
      <c r="I1551" s="22">
        <v>1.0473698558275E13</v>
      </c>
      <c r="J1551" s="22" t="s">
        <v>2950</v>
      </c>
      <c r="K1551" s="24"/>
      <c r="L1551" s="22" t="s">
        <v>126</v>
      </c>
      <c r="M1551" s="22">
        <v>1.0</v>
      </c>
      <c r="N1551" s="22" t="s">
        <v>103</v>
      </c>
      <c r="O1551" s="22" t="s">
        <v>104</v>
      </c>
      <c r="P1551" s="24"/>
      <c r="Q1551" s="22" t="s">
        <v>90</v>
      </c>
      <c r="R1551" s="22">
        <v>3.2784080666947E13</v>
      </c>
      <c r="S1551" s="24"/>
      <c r="T1551" s="24"/>
      <c r="U1551" s="24"/>
      <c r="V1551" s="30" t="s">
        <v>127</v>
      </c>
      <c r="W1551" s="33"/>
      <c r="X1551" s="33"/>
      <c r="Y1551" s="30"/>
      <c r="Z1551" s="30"/>
      <c r="AA1551" s="33"/>
      <c r="AB1551" s="33"/>
      <c r="AC1551" s="30"/>
      <c r="AD1551" s="30"/>
      <c r="AE1551" s="33"/>
      <c r="AF1551" s="31"/>
      <c r="AG1551" s="30"/>
      <c r="AH1551" s="30"/>
      <c r="AI1551" s="31"/>
      <c r="AJ1551" s="31"/>
      <c r="AK1551" s="32"/>
    </row>
    <row r="1552">
      <c r="A1552" s="21" t="s">
        <v>458</v>
      </c>
      <c r="B1552" s="22" t="s">
        <v>3058</v>
      </c>
      <c r="C1552" s="22" t="s">
        <v>82</v>
      </c>
      <c r="D1552" s="23">
        <v>46004.0</v>
      </c>
      <c r="E1552" s="22" t="s">
        <v>149</v>
      </c>
      <c r="F1552" s="22" t="s">
        <v>341</v>
      </c>
      <c r="G1552" s="22" t="s">
        <v>3059</v>
      </c>
      <c r="H1552" s="22" t="s">
        <v>458</v>
      </c>
      <c r="I1552" s="22">
        <v>1.0473705537859E13</v>
      </c>
      <c r="J1552" s="22" t="s">
        <v>3060</v>
      </c>
      <c r="K1552" s="24"/>
      <c r="L1552" s="22" t="s">
        <v>462</v>
      </c>
      <c r="M1552" s="22">
        <v>1.0</v>
      </c>
      <c r="N1552" s="22" t="s">
        <v>345</v>
      </c>
      <c r="O1552" s="22" t="s">
        <v>346</v>
      </c>
      <c r="P1552" s="24"/>
      <c r="Q1552" s="22" t="s">
        <v>90</v>
      </c>
      <c r="R1552" s="22">
        <v>3.2784094855491E13</v>
      </c>
      <c r="S1552" s="24"/>
      <c r="T1552" s="24"/>
      <c r="U1552" s="24"/>
      <c r="V1552" s="30" t="s">
        <v>91</v>
      </c>
      <c r="W1552" s="33"/>
      <c r="X1552" s="33"/>
      <c r="Y1552" s="30"/>
      <c r="Z1552" s="30"/>
      <c r="AA1552" s="33"/>
      <c r="AB1552" s="33"/>
      <c r="AC1552" s="30"/>
      <c r="AD1552" s="30"/>
      <c r="AE1552" s="33"/>
      <c r="AF1552" s="31"/>
      <c r="AG1552" s="30"/>
      <c r="AH1552" s="30"/>
      <c r="AI1552" s="31"/>
      <c r="AJ1552" s="31"/>
      <c r="AK1552" s="32"/>
    </row>
    <row r="1553">
      <c r="A1553" s="21" t="s">
        <v>1180</v>
      </c>
      <c r="B1553" s="22" t="s">
        <v>1756</v>
      </c>
      <c r="C1553" s="22" t="s">
        <v>273</v>
      </c>
      <c r="D1553" s="26">
        <v>45998.0</v>
      </c>
      <c r="E1553" s="22" t="s">
        <v>196</v>
      </c>
      <c r="F1553" s="22" t="s">
        <v>623</v>
      </c>
      <c r="G1553" s="22" t="s">
        <v>3061</v>
      </c>
      <c r="H1553" s="22" t="s">
        <v>1180</v>
      </c>
      <c r="I1553" s="22">
        <v>1.0474035413315E13</v>
      </c>
      <c r="J1553" s="22" t="s">
        <v>3062</v>
      </c>
      <c r="K1553" s="24"/>
      <c r="L1553" s="22" t="s">
        <v>1182</v>
      </c>
      <c r="M1553" s="22">
        <v>1.0</v>
      </c>
      <c r="N1553" s="22" t="s">
        <v>1088</v>
      </c>
      <c r="O1553" s="22" t="s">
        <v>1089</v>
      </c>
      <c r="P1553" s="24"/>
      <c r="Q1553" s="22" t="s">
        <v>90</v>
      </c>
      <c r="R1553" s="22">
        <v>3.2784770924867E13</v>
      </c>
      <c r="S1553" s="24"/>
      <c r="T1553" s="24"/>
      <c r="U1553" s="24"/>
      <c r="V1553" s="30" t="s">
        <v>105</v>
      </c>
      <c r="W1553" s="33"/>
      <c r="X1553" s="33"/>
      <c r="Y1553" s="30"/>
      <c r="Z1553" s="30"/>
      <c r="AA1553" s="33"/>
      <c r="AB1553" s="33"/>
      <c r="AC1553" s="30"/>
      <c r="AD1553" s="30"/>
      <c r="AE1553" s="33"/>
      <c r="AF1553" s="31"/>
      <c r="AG1553" s="30"/>
      <c r="AH1553" s="30"/>
      <c r="AI1553" s="31"/>
      <c r="AJ1553" s="31"/>
      <c r="AK1553" s="32"/>
    </row>
    <row r="1554">
      <c r="A1554" s="21" t="s">
        <v>529</v>
      </c>
      <c r="B1554" s="22" t="s">
        <v>516</v>
      </c>
      <c r="C1554" s="22" t="s">
        <v>273</v>
      </c>
      <c r="D1554" s="26">
        <v>45998.0</v>
      </c>
      <c r="E1554" s="22" t="s">
        <v>134</v>
      </c>
      <c r="F1554" s="22" t="s">
        <v>472</v>
      </c>
      <c r="G1554" s="22" t="s">
        <v>3063</v>
      </c>
      <c r="H1554" s="22" t="s">
        <v>529</v>
      </c>
      <c r="I1554" s="22">
        <v>1.0474106356035E13</v>
      </c>
      <c r="J1554" s="22" t="s">
        <v>3030</v>
      </c>
      <c r="K1554" s="24"/>
      <c r="L1554" s="22" t="s">
        <v>533</v>
      </c>
      <c r="M1554" s="22">
        <v>1.0</v>
      </c>
      <c r="N1554" s="22" t="s">
        <v>534</v>
      </c>
      <c r="O1554" s="22" t="s">
        <v>535</v>
      </c>
      <c r="P1554" s="24"/>
      <c r="Q1554" s="22" t="s">
        <v>90</v>
      </c>
      <c r="R1554" s="22">
        <v>3.2784931488067E13</v>
      </c>
      <c r="S1554" s="24"/>
      <c r="T1554" s="24"/>
      <c r="U1554" s="24"/>
      <c r="V1554" s="30" t="s">
        <v>127</v>
      </c>
      <c r="W1554" s="33"/>
      <c r="X1554" s="33"/>
      <c r="Y1554" s="30"/>
      <c r="Z1554" s="30"/>
      <c r="AA1554" s="33"/>
      <c r="AB1554" s="33"/>
      <c r="AC1554" s="30"/>
      <c r="AD1554" s="30"/>
      <c r="AE1554" s="33"/>
      <c r="AF1554" s="31"/>
      <c r="AG1554" s="30"/>
      <c r="AH1554" s="30"/>
      <c r="AI1554" s="31"/>
      <c r="AJ1554" s="31"/>
      <c r="AK1554" s="32"/>
    </row>
    <row r="1555">
      <c r="A1555" s="21" t="s">
        <v>166</v>
      </c>
      <c r="B1555" s="22" t="s">
        <v>1298</v>
      </c>
      <c r="C1555" s="22" t="s">
        <v>82</v>
      </c>
      <c r="D1555" s="26">
        <v>45997.0</v>
      </c>
      <c r="E1555" s="22" t="s">
        <v>1299</v>
      </c>
      <c r="F1555" s="22" t="s">
        <v>111</v>
      </c>
      <c r="G1555" s="22" t="s">
        <v>3064</v>
      </c>
      <c r="H1555" s="22" t="s">
        <v>166</v>
      </c>
      <c r="I1555" s="22">
        <v>1.0474136895811E13</v>
      </c>
      <c r="J1555" s="22" t="s">
        <v>3065</v>
      </c>
      <c r="K1555" s="24"/>
      <c r="L1555" s="22" t="s">
        <v>171</v>
      </c>
      <c r="M1555" s="22">
        <v>1.0</v>
      </c>
      <c r="N1555" s="22" t="s">
        <v>115</v>
      </c>
      <c r="O1555" s="22" t="s">
        <v>116</v>
      </c>
      <c r="P1555" s="24"/>
      <c r="Q1555" s="22" t="s">
        <v>90</v>
      </c>
      <c r="R1555" s="22">
        <v>3.2784999874883E13</v>
      </c>
      <c r="S1555" s="24"/>
      <c r="T1555" s="24"/>
      <c r="U1555" s="24"/>
      <c r="V1555" s="30" t="s">
        <v>55</v>
      </c>
      <c r="W1555" s="33"/>
      <c r="X1555" s="33"/>
      <c r="Y1555" s="30"/>
      <c r="Z1555" s="30"/>
      <c r="AA1555" s="33"/>
      <c r="AB1555" s="33"/>
      <c r="AC1555" s="30"/>
      <c r="AD1555" s="30"/>
      <c r="AE1555" s="33"/>
      <c r="AF1555" s="31"/>
      <c r="AG1555" s="30"/>
      <c r="AH1555" s="30"/>
      <c r="AI1555" s="31"/>
      <c r="AJ1555" s="31"/>
      <c r="AK1555" s="32"/>
    </row>
    <row r="1556">
      <c r="A1556" s="21" t="s">
        <v>938</v>
      </c>
      <c r="B1556" s="22" t="s">
        <v>516</v>
      </c>
      <c r="C1556" s="22" t="s">
        <v>273</v>
      </c>
      <c r="D1556" s="26">
        <v>45998.0</v>
      </c>
      <c r="E1556" s="22" t="s">
        <v>134</v>
      </c>
      <c r="F1556" s="22" t="s">
        <v>472</v>
      </c>
      <c r="G1556" s="22" t="s">
        <v>3066</v>
      </c>
      <c r="H1556" s="22" t="s">
        <v>938</v>
      </c>
      <c r="I1556" s="22">
        <v>1.0474152067395E13</v>
      </c>
      <c r="J1556" s="22" t="s">
        <v>3030</v>
      </c>
      <c r="K1556" s="24"/>
      <c r="L1556" s="22" t="s">
        <v>940</v>
      </c>
      <c r="M1556" s="22">
        <v>1.0</v>
      </c>
      <c r="N1556" s="22" t="s">
        <v>476</v>
      </c>
      <c r="O1556" s="22" t="s">
        <v>477</v>
      </c>
      <c r="P1556" s="24"/>
      <c r="Q1556" s="22" t="s">
        <v>90</v>
      </c>
      <c r="R1556" s="22">
        <v>3.2785033855299E13</v>
      </c>
      <c r="S1556" s="24"/>
      <c r="T1556" s="24"/>
      <c r="U1556" s="24"/>
      <c r="V1556" s="30" t="s">
        <v>54</v>
      </c>
      <c r="W1556" s="33"/>
      <c r="X1556" s="33"/>
      <c r="Y1556" s="30"/>
      <c r="Z1556" s="30"/>
      <c r="AA1556" s="33"/>
      <c r="AB1556" s="33"/>
      <c r="AC1556" s="30"/>
      <c r="AD1556" s="30"/>
      <c r="AE1556" s="33"/>
      <c r="AF1556" s="31"/>
      <c r="AG1556" s="30"/>
      <c r="AH1556" s="30"/>
      <c r="AI1556" s="31"/>
      <c r="AJ1556" s="31"/>
      <c r="AK1556" s="32"/>
    </row>
    <row r="1557">
      <c r="A1557" s="21" t="s">
        <v>696</v>
      </c>
      <c r="B1557" s="22" t="s">
        <v>1903</v>
      </c>
      <c r="C1557" s="22" t="s">
        <v>82</v>
      </c>
      <c r="D1557" s="26">
        <v>45997.0</v>
      </c>
      <c r="E1557" s="22" t="s">
        <v>734</v>
      </c>
      <c r="F1557" s="22" t="s">
        <v>698</v>
      </c>
      <c r="G1557" s="22" t="s">
        <v>3067</v>
      </c>
      <c r="H1557" s="22" t="s">
        <v>696</v>
      </c>
      <c r="I1557" s="22">
        <v>1.0474180837699E13</v>
      </c>
      <c r="J1557" s="22" t="s">
        <v>3068</v>
      </c>
      <c r="K1557" s="24"/>
      <c r="L1557" s="22" t="s">
        <v>701</v>
      </c>
      <c r="M1557" s="22">
        <v>1.0</v>
      </c>
      <c r="N1557" s="22" t="s">
        <v>702</v>
      </c>
      <c r="O1557" s="22" t="s">
        <v>703</v>
      </c>
      <c r="P1557" s="24"/>
      <c r="Q1557" s="22" t="s">
        <v>90</v>
      </c>
      <c r="R1557" s="22">
        <v>3.2785100276035E13</v>
      </c>
      <c r="S1557" s="24"/>
      <c r="T1557" s="24"/>
      <c r="U1557" s="24"/>
      <c r="V1557" s="30" t="s">
        <v>55</v>
      </c>
      <c r="W1557" s="33"/>
      <c r="X1557" s="33"/>
      <c r="Y1557" s="30"/>
      <c r="Z1557" s="30"/>
      <c r="AA1557" s="33"/>
      <c r="AB1557" s="33"/>
      <c r="AC1557" s="30"/>
      <c r="AD1557" s="30"/>
      <c r="AE1557" s="33"/>
      <c r="AF1557" s="31"/>
      <c r="AG1557" s="30"/>
      <c r="AH1557" s="30"/>
      <c r="AI1557" s="31"/>
      <c r="AJ1557" s="31"/>
      <c r="AK1557" s="32"/>
    </row>
    <row r="1558">
      <c r="A1558" s="21" t="s">
        <v>529</v>
      </c>
      <c r="B1558" s="22" t="s">
        <v>471</v>
      </c>
      <c r="C1558" s="22" t="s">
        <v>82</v>
      </c>
      <c r="D1558" s="26">
        <v>45997.0</v>
      </c>
      <c r="E1558" s="22" t="s">
        <v>134</v>
      </c>
      <c r="F1558" s="22" t="s">
        <v>472</v>
      </c>
      <c r="G1558" s="22" t="s">
        <v>3069</v>
      </c>
      <c r="H1558" s="22" t="s">
        <v>529</v>
      </c>
      <c r="I1558" s="22">
        <v>1.0474249912643E13</v>
      </c>
      <c r="J1558" s="22" t="s">
        <v>3019</v>
      </c>
      <c r="K1558" s="24"/>
      <c r="L1558" s="22" t="s">
        <v>533</v>
      </c>
      <c r="M1558" s="22">
        <v>1.0</v>
      </c>
      <c r="N1558" s="22" t="s">
        <v>534</v>
      </c>
      <c r="O1558" s="22" t="s">
        <v>535</v>
      </c>
      <c r="P1558" s="24"/>
      <c r="Q1558" s="22" t="s">
        <v>90</v>
      </c>
      <c r="R1558" s="22">
        <v>3.2785254220099E13</v>
      </c>
      <c r="S1558" s="24"/>
      <c r="T1558" s="24"/>
      <c r="U1558" s="24"/>
      <c r="V1558" s="30" t="s">
        <v>127</v>
      </c>
      <c r="W1558" s="33"/>
      <c r="X1558" s="33"/>
      <c r="Y1558" s="30"/>
      <c r="Z1558" s="30"/>
      <c r="AA1558" s="33"/>
      <c r="AB1558" s="33"/>
      <c r="AC1558" s="30"/>
      <c r="AD1558" s="30"/>
      <c r="AE1558" s="33"/>
      <c r="AF1558" s="31"/>
      <c r="AG1558" s="30"/>
      <c r="AH1558" s="30"/>
      <c r="AI1558" s="31"/>
      <c r="AJ1558" s="31"/>
      <c r="AK1558" s="32"/>
    </row>
    <row r="1559">
      <c r="A1559" s="21" t="s">
        <v>408</v>
      </c>
      <c r="B1559" s="22" t="s">
        <v>416</v>
      </c>
      <c r="C1559" s="22" t="s">
        <v>82</v>
      </c>
      <c r="D1559" s="26">
        <v>45997.0</v>
      </c>
      <c r="E1559" s="22" t="s">
        <v>134</v>
      </c>
      <c r="F1559" s="22" t="s">
        <v>377</v>
      </c>
      <c r="G1559" s="22" t="s">
        <v>3070</v>
      </c>
      <c r="H1559" s="22" t="s">
        <v>408</v>
      </c>
      <c r="I1559" s="22">
        <v>1.0474256302403E13</v>
      </c>
      <c r="J1559" s="22" t="s">
        <v>418</v>
      </c>
      <c r="K1559" s="24"/>
      <c r="L1559" s="22" t="s">
        <v>412</v>
      </c>
      <c r="M1559" s="22">
        <v>1.0</v>
      </c>
      <c r="N1559" s="22" t="s">
        <v>413</v>
      </c>
      <c r="O1559" s="22" t="s">
        <v>414</v>
      </c>
      <c r="P1559" s="24"/>
      <c r="Q1559" s="22" t="s">
        <v>90</v>
      </c>
      <c r="R1559" s="22">
        <v>3.2785269162307E13</v>
      </c>
      <c r="S1559" s="24"/>
      <c r="T1559" s="24"/>
      <c r="U1559" s="24"/>
      <c r="V1559" s="30" t="s">
        <v>127</v>
      </c>
      <c r="W1559" s="33"/>
      <c r="X1559" s="33"/>
      <c r="Y1559" s="30"/>
      <c r="Z1559" s="30"/>
      <c r="AA1559" s="33"/>
      <c r="AB1559" s="33"/>
      <c r="AC1559" s="30"/>
      <c r="AD1559" s="30"/>
      <c r="AE1559" s="33"/>
      <c r="AF1559" s="31"/>
      <c r="AG1559" s="30"/>
      <c r="AH1559" s="30"/>
      <c r="AI1559" s="31"/>
      <c r="AJ1559" s="31"/>
      <c r="AK1559" s="32"/>
    </row>
    <row r="1560">
      <c r="A1560" s="21" t="s">
        <v>529</v>
      </c>
      <c r="B1560" s="22" t="s">
        <v>471</v>
      </c>
      <c r="C1560" s="22" t="s">
        <v>82</v>
      </c>
      <c r="D1560" s="26">
        <v>45997.0</v>
      </c>
      <c r="E1560" s="22" t="s">
        <v>134</v>
      </c>
      <c r="F1560" s="22" t="s">
        <v>472</v>
      </c>
      <c r="G1560" s="22" t="s">
        <v>3071</v>
      </c>
      <c r="H1560" s="22" t="s">
        <v>529</v>
      </c>
      <c r="I1560" s="22">
        <v>1.0474256859459E13</v>
      </c>
      <c r="J1560" s="22" t="s">
        <v>3019</v>
      </c>
      <c r="K1560" s="24"/>
      <c r="L1560" s="22" t="s">
        <v>533</v>
      </c>
      <c r="M1560" s="22">
        <v>1.0</v>
      </c>
      <c r="N1560" s="22" t="s">
        <v>534</v>
      </c>
      <c r="O1560" s="22" t="s">
        <v>535</v>
      </c>
      <c r="P1560" s="24"/>
      <c r="Q1560" s="22" t="s">
        <v>90</v>
      </c>
      <c r="R1560" s="22">
        <v>3.2785270964547E13</v>
      </c>
      <c r="S1560" s="24"/>
      <c r="T1560" s="24"/>
      <c r="U1560" s="24"/>
      <c r="V1560" s="30" t="s">
        <v>127</v>
      </c>
      <c r="W1560" s="33"/>
      <c r="X1560" s="33"/>
      <c r="Y1560" s="30"/>
      <c r="Z1560" s="30"/>
      <c r="AA1560" s="33"/>
      <c r="AB1560" s="33"/>
      <c r="AC1560" s="30"/>
      <c r="AD1560" s="30"/>
      <c r="AE1560" s="33"/>
      <c r="AF1560" s="31"/>
      <c r="AG1560" s="30"/>
      <c r="AH1560" s="30"/>
      <c r="AI1560" s="31"/>
      <c r="AJ1560" s="31"/>
      <c r="AK1560" s="32"/>
    </row>
    <row r="1561">
      <c r="A1561" s="21" t="s">
        <v>740</v>
      </c>
      <c r="B1561" s="22" t="s">
        <v>741</v>
      </c>
      <c r="C1561" s="22" t="s">
        <v>82</v>
      </c>
      <c r="D1561" s="26">
        <v>45997.0</v>
      </c>
      <c r="E1561" s="22" t="s">
        <v>134</v>
      </c>
      <c r="F1561" s="22" t="s">
        <v>303</v>
      </c>
      <c r="G1561" s="22" t="s">
        <v>3072</v>
      </c>
      <c r="H1561" s="22" t="s">
        <v>740</v>
      </c>
      <c r="I1561" s="22">
        <v>1.0474292871491E13</v>
      </c>
      <c r="J1561" s="22" t="s">
        <v>3073</v>
      </c>
      <c r="K1561" s="24"/>
      <c r="L1561" s="22" t="s">
        <v>744</v>
      </c>
      <c r="M1561" s="22">
        <v>1.0</v>
      </c>
      <c r="N1561" s="22" t="s">
        <v>307</v>
      </c>
      <c r="O1561" s="22" t="s">
        <v>308</v>
      </c>
      <c r="P1561" s="24"/>
      <c r="Q1561" s="22" t="s">
        <v>90</v>
      </c>
      <c r="R1561" s="22">
        <v>3.2785350000963E13</v>
      </c>
      <c r="S1561" s="24"/>
      <c r="T1561" s="24"/>
      <c r="U1561" s="24"/>
      <c r="V1561" s="30" t="s">
        <v>91</v>
      </c>
      <c r="W1561" s="33"/>
      <c r="X1561" s="33"/>
      <c r="Y1561" s="30"/>
      <c r="Z1561" s="30"/>
      <c r="AA1561" s="33"/>
      <c r="AB1561" s="33"/>
      <c r="AC1561" s="30"/>
      <c r="AD1561" s="30"/>
      <c r="AE1561" s="33"/>
      <c r="AF1561" s="31"/>
      <c r="AG1561" s="30"/>
      <c r="AH1561" s="30"/>
      <c r="AI1561" s="31"/>
      <c r="AJ1561" s="31"/>
      <c r="AK1561" s="32"/>
    </row>
    <row r="1562">
      <c r="A1562" s="21" t="s">
        <v>124</v>
      </c>
      <c r="B1562" s="22" t="s">
        <v>1666</v>
      </c>
      <c r="C1562" s="22" t="s">
        <v>273</v>
      </c>
      <c r="D1562" s="26">
        <v>45998.0</v>
      </c>
      <c r="E1562" s="22" t="s">
        <v>149</v>
      </c>
      <c r="F1562" s="22" t="s">
        <v>83</v>
      </c>
      <c r="G1562" s="22" t="s">
        <v>3074</v>
      </c>
      <c r="H1562" s="22" t="s">
        <v>124</v>
      </c>
      <c r="I1562" s="22">
        <v>1.0474322198851E13</v>
      </c>
      <c r="J1562" s="22" t="s">
        <v>3041</v>
      </c>
      <c r="K1562" s="24"/>
      <c r="L1562" s="22" t="s">
        <v>126</v>
      </c>
      <c r="M1562" s="22">
        <v>1.0</v>
      </c>
      <c r="N1562" s="22" t="s">
        <v>103</v>
      </c>
      <c r="O1562" s="22" t="s">
        <v>104</v>
      </c>
      <c r="P1562" s="24"/>
      <c r="Q1562" s="22" t="s">
        <v>90</v>
      </c>
      <c r="R1562" s="22">
        <v>3.2785420812611E13</v>
      </c>
      <c r="S1562" s="24"/>
      <c r="T1562" s="24"/>
      <c r="U1562" s="24"/>
      <c r="V1562" s="30" t="s">
        <v>127</v>
      </c>
      <c r="W1562" s="33"/>
      <c r="X1562" s="33"/>
      <c r="Y1562" s="30"/>
      <c r="Z1562" s="30"/>
      <c r="AA1562" s="33"/>
      <c r="AB1562" s="33"/>
      <c r="AC1562" s="30"/>
      <c r="AD1562" s="30"/>
      <c r="AE1562" s="33"/>
      <c r="AF1562" s="31"/>
      <c r="AG1562" s="30"/>
      <c r="AH1562" s="30"/>
      <c r="AI1562" s="31"/>
      <c r="AJ1562" s="31"/>
      <c r="AK1562" s="32"/>
    </row>
    <row r="1563">
      <c r="A1563" s="21" t="s">
        <v>845</v>
      </c>
      <c r="B1563" s="22" t="s">
        <v>1045</v>
      </c>
      <c r="C1563" s="22" t="s">
        <v>273</v>
      </c>
      <c r="D1563" s="26">
        <v>45998.0</v>
      </c>
      <c r="E1563" s="22" t="s">
        <v>149</v>
      </c>
      <c r="F1563" s="22" t="s">
        <v>451</v>
      </c>
      <c r="G1563" s="22" t="s">
        <v>3075</v>
      </c>
      <c r="H1563" s="22" t="s">
        <v>845</v>
      </c>
      <c r="I1563" s="22">
        <v>1.0474328719683E13</v>
      </c>
      <c r="J1563" s="22" t="s">
        <v>3076</v>
      </c>
      <c r="K1563" s="24"/>
      <c r="L1563" s="22" t="s">
        <v>847</v>
      </c>
      <c r="M1563" s="22">
        <v>1.0</v>
      </c>
      <c r="N1563" s="22" t="s">
        <v>455</v>
      </c>
      <c r="O1563" s="22" t="s">
        <v>456</v>
      </c>
      <c r="P1563" s="24"/>
      <c r="Q1563" s="22" t="s">
        <v>90</v>
      </c>
      <c r="R1563" s="22">
        <v>3.2785436606787E13</v>
      </c>
      <c r="S1563" s="24"/>
      <c r="T1563" s="24"/>
      <c r="U1563" s="24"/>
      <c r="V1563" s="30" t="s">
        <v>55</v>
      </c>
      <c r="W1563" s="33"/>
      <c r="X1563" s="33"/>
      <c r="Y1563" s="30"/>
      <c r="Z1563" s="30"/>
      <c r="AA1563" s="33"/>
      <c r="AB1563" s="33"/>
      <c r="AC1563" s="30"/>
      <c r="AD1563" s="30"/>
      <c r="AE1563" s="33"/>
      <c r="AF1563" s="31"/>
      <c r="AG1563" s="30"/>
      <c r="AH1563" s="30"/>
      <c r="AI1563" s="31"/>
      <c r="AJ1563" s="31"/>
      <c r="AK1563" s="32"/>
    </row>
    <row r="1564">
      <c r="A1564" s="21" t="s">
        <v>560</v>
      </c>
      <c r="B1564" s="22" t="s">
        <v>355</v>
      </c>
      <c r="C1564" s="22" t="s">
        <v>273</v>
      </c>
      <c r="D1564" s="23">
        <v>45991.0</v>
      </c>
      <c r="E1564" s="22" t="s">
        <v>149</v>
      </c>
      <c r="F1564" s="22" t="s">
        <v>356</v>
      </c>
      <c r="G1564" s="22" t="s">
        <v>3077</v>
      </c>
      <c r="H1564" s="22" t="s">
        <v>560</v>
      </c>
      <c r="I1564" s="22">
        <v>1.0474340548931E13</v>
      </c>
      <c r="J1564" s="22" t="s">
        <v>358</v>
      </c>
      <c r="K1564" s="24"/>
      <c r="L1564" s="22" t="s">
        <v>563</v>
      </c>
      <c r="M1564" s="22">
        <v>1.0</v>
      </c>
      <c r="N1564" s="22" t="s">
        <v>360</v>
      </c>
      <c r="O1564" s="22" t="s">
        <v>361</v>
      </c>
      <c r="P1564" s="24"/>
      <c r="Q1564" s="22" t="s">
        <v>90</v>
      </c>
      <c r="R1564" s="22">
        <v>3.2785461805379E13</v>
      </c>
      <c r="S1564" s="24"/>
      <c r="T1564" s="24"/>
      <c r="U1564" s="24"/>
      <c r="V1564" s="30" t="s">
        <v>91</v>
      </c>
      <c r="W1564" s="33"/>
      <c r="X1564" s="33"/>
      <c r="Y1564" s="30"/>
      <c r="Z1564" s="30"/>
      <c r="AA1564" s="33"/>
      <c r="AB1564" s="33"/>
      <c r="AC1564" s="30"/>
      <c r="AD1564" s="30"/>
      <c r="AE1564" s="33"/>
      <c r="AF1564" s="31"/>
      <c r="AG1564" s="30"/>
      <c r="AH1564" s="30"/>
      <c r="AI1564" s="31"/>
      <c r="AJ1564" s="31"/>
      <c r="AK1564" s="32"/>
    </row>
    <row r="1565">
      <c r="A1565" s="21" t="s">
        <v>408</v>
      </c>
      <c r="B1565" s="22" t="s">
        <v>512</v>
      </c>
      <c r="C1565" s="22" t="s">
        <v>82</v>
      </c>
      <c r="D1565" s="26">
        <v>45997.0</v>
      </c>
      <c r="E1565" s="22" t="s">
        <v>153</v>
      </c>
      <c r="F1565" s="22" t="s">
        <v>377</v>
      </c>
      <c r="G1565" s="22" t="s">
        <v>3078</v>
      </c>
      <c r="H1565" s="22" t="s">
        <v>408</v>
      </c>
      <c r="I1565" s="22">
        <v>1.0474385867075E13</v>
      </c>
      <c r="J1565" s="22" t="s">
        <v>411</v>
      </c>
      <c r="K1565" s="24"/>
      <c r="L1565" s="22" t="s">
        <v>412</v>
      </c>
      <c r="M1565" s="22">
        <v>1.0</v>
      </c>
      <c r="N1565" s="22" t="s">
        <v>413</v>
      </c>
      <c r="O1565" s="22" t="s">
        <v>414</v>
      </c>
      <c r="P1565" s="24"/>
      <c r="Q1565" s="22" t="s">
        <v>90</v>
      </c>
      <c r="R1565" s="22">
        <v>3.2785565385027E13</v>
      </c>
      <c r="S1565" s="24"/>
      <c r="T1565" s="24"/>
      <c r="U1565" s="24"/>
      <c r="V1565" s="30" t="s">
        <v>127</v>
      </c>
      <c r="W1565" s="33"/>
      <c r="X1565" s="33"/>
      <c r="Y1565" s="30"/>
      <c r="Z1565" s="30"/>
      <c r="AA1565" s="33"/>
      <c r="AB1565" s="33"/>
      <c r="AC1565" s="30"/>
      <c r="AD1565" s="30"/>
      <c r="AE1565" s="33"/>
      <c r="AF1565" s="31"/>
      <c r="AG1565" s="30"/>
      <c r="AH1565" s="30"/>
      <c r="AI1565" s="31"/>
      <c r="AJ1565" s="31"/>
      <c r="AK1565" s="32"/>
    </row>
    <row r="1566">
      <c r="A1566" s="21" t="s">
        <v>124</v>
      </c>
      <c r="B1566" s="22" t="s">
        <v>3079</v>
      </c>
      <c r="C1566" s="22" t="s">
        <v>202</v>
      </c>
      <c r="D1566" s="26">
        <v>45996.0</v>
      </c>
      <c r="E1566" s="22" t="s">
        <v>243</v>
      </c>
      <c r="F1566" s="22" t="s">
        <v>83</v>
      </c>
      <c r="G1566" s="22" t="s">
        <v>3080</v>
      </c>
      <c r="H1566" s="22" t="s">
        <v>124</v>
      </c>
      <c r="I1566" s="22">
        <v>1.0474400776515E13</v>
      </c>
      <c r="J1566" s="22" t="s">
        <v>3081</v>
      </c>
      <c r="K1566" s="24"/>
      <c r="L1566" s="22" t="s">
        <v>126</v>
      </c>
      <c r="M1566" s="22">
        <v>1.0</v>
      </c>
      <c r="N1566" s="22" t="s">
        <v>103</v>
      </c>
      <c r="O1566" s="22" t="s">
        <v>104</v>
      </c>
      <c r="P1566" s="24"/>
      <c r="Q1566" s="22" t="s">
        <v>90</v>
      </c>
      <c r="R1566" s="22">
        <v>3.2785602773315E13</v>
      </c>
      <c r="S1566" s="24"/>
      <c r="T1566" s="24"/>
      <c r="U1566" s="24"/>
      <c r="V1566" s="30" t="s">
        <v>127</v>
      </c>
      <c r="W1566" s="33"/>
      <c r="X1566" s="33"/>
      <c r="Y1566" s="30"/>
      <c r="Z1566" s="30"/>
      <c r="AA1566" s="33"/>
      <c r="AB1566" s="33"/>
      <c r="AC1566" s="30"/>
      <c r="AD1566" s="30"/>
      <c r="AE1566" s="33"/>
      <c r="AF1566" s="31"/>
      <c r="AG1566" s="30"/>
      <c r="AH1566" s="30"/>
      <c r="AI1566" s="31"/>
      <c r="AJ1566" s="31"/>
      <c r="AK1566" s="32"/>
    </row>
    <row r="1567">
      <c r="A1567" s="21" t="s">
        <v>1085</v>
      </c>
      <c r="B1567" s="22" t="s">
        <v>1205</v>
      </c>
      <c r="C1567" s="22" t="s">
        <v>273</v>
      </c>
      <c r="D1567" s="26">
        <v>45998.0</v>
      </c>
      <c r="E1567" s="22" t="s">
        <v>149</v>
      </c>
      <c r="F1567" s="22" t="s">
        <v>623</v>
      </c>
      <c r="G1567" s="22" t="s">
        <v>3082</v>
      </c>
      <c r="H1567" s="22" t="s">
        <v>1085</v>
      </c>
      <c r="I1567" s="22">
        <v>1.0474408182083E13</v>
      </c>
      <c r="J1567" s="22" t="s">
        <v>3083</v>
      </c>
      <c r="K1567" s="24"/>
      <c r="L1567" s="22" t="s">
        <v>1087</v>
      </c>
      <c r="M1567" s="22">
        <v>1.0</v>
      </c>
      <c r="N1567" s="22" t="s">
        <v>1088</v>
      </c>
      <c r="O1567" s="22" t="s">
        <v>1089</v>
      </c>
      <c r="P1567" s="24"/>
      <c r="Q1567" s="22" t="s">
        <v>90</v>
      </c>
      <c r="R1567" s="22">
        <v>3.2785620238659E13</v>
      </c>
      <c r="S1567" s="24"/>
      <c r="T1567" s="24"/>
      <c r="U1567" s="24"/>
      <c r="V1567" s="30" t="s">
        <v>127</v>
      </c>
      <c r="W1567" s="33"/>
      <c r="X1567" s="33"/>
      <c r="Y1567" s="30"/>
      <c r="Z1567" s="30"/>
      <c r="AA1567" s="33"/>
      <c r="AB1567" s="33"/>
      <c r="AC1567" s="30"/>
      <c r="AD1567" s="30"/>
      <c r="AE1567" s="33"/>
      <c r="AF1567" s="31"/>
      <c r="AG1567" s="30"/>
      <c r="AH1567" s="30"/>
      <c r="AI1567" s="31"/>
      <c r="AJ1567" s="31"/>
      <c r="AK1567" s="32"/>
    </row>
    <row r="1568">
      <c r="A1568" s="21" t="s">
        <v>1204</v>
      </c>
      <c r="B1568" s="22" t="s">
        <v>763</v>
      </c>
      <c r="C1568" s="22" t="s">
        <v>82</v>
      </c>
      <c r="D1568" s="26">
        <v>45997.0</v>
      </c>
      <c r="E1568" s="22" t="s">
        <v>149</v>
      </c>
      <c r="F1568" s="22" t="s">
        <v>623</v>
      </c>
      <c r="G1568" s="22" t="s">
        <v>3084</v>
      </c>
      <c r="H1568" s="22" t="s">
        <v>1204</v>
      </c>
      <c r="I1568" s="22">
        <v>1.0474466378051E13</v>
      </c>
      <c r="J1568" s="22" t="s">
        <v>2990</v>
      </c>
      <c r="K1568" s="24"/>
      <c r="L1568" s="22" t="s">
        <v>1208</v>
      </c>
      <c r="M1568" s="22">
        <v>1.0</v>
      </c>
      <c r="N1568" s="22" t="s">
        <v>627</v>
      </c>
      <c r="O1568" s="22" t="s">
        <v>628</v>
      </c>
      <c r="P1568" s="24"/>
      <c r="Q1568" s="22" t="s">
        <v>90</v>
      </c>
      <c r="R1568" s="22">
        <v>3.2785758486851E13</v>
      </c>
      <c r="S1568" s="24"/>
      <c r="T1568" s="24"/>
      <c r="U1568" s="24"/>
      <c r="V1568" s="30" t="s">
        <v>91</v>
      </c>
      <c r="W1568" s="33"/>
      <c r="X1568" s="33"/>
      <c r="Y1568" s="30"/>
      <c r="Z1568" s="30"/>
      <c r="AA1568" s="33"/>
      <c r="AB1568" s="33"/>
      <c r="AC1568" s="30"/>
      <c r="AD1568" s="30"/>
      <c r="AE1568" s="33"/>
      <c r="AF1568" s="31"/>
      <c r="AG1568" s="30"/>
      <c r="AH1568" s="30"/>
      <c r="AI1568" s="31"/>
      <c r="AJ1568" s="31"/>
      <c r="AK1568" s="32"/>
    </row>
    <row r="1569">
      <c r="A1569" s="21" t="s">
        <v>679</v>
      </c>
      <c r="B1569" s="22" t="s">
        <v>629</v>
      </c>
      <c r="C1569" s="22" t="s">
        <v>82</v>
      </c>
      <c r="D1569" s="26">
        <v>45997.0</v>
      </c>
      <c r="E1569" s="22" t="s">
        <v>230</v>
      </c>
      <c r="F1569" s="22" t="s">
        <v>111</v>
      </c>
      <c r="G1569" s="22" t="s">
        <v>3085</v>
      </c>
      <c r="H1569" s="22" t="s">
        <v>679</v>
      </c>
      <c r="I1569" s="22">
        <v>1.0474510909763E13</v>
      </c>
      <c r="J1569" s="22" t="s">
        <v>3086</v>
      </c>
      <c r="K1569" s="24"/>
      <c r="L1569" s="22" t="s">
        <v>683</v>
      </c>
      <c r="M1569" s="22">
        <v>1.0</v>
      </c>
      <c r="N1569" s="22" t="s">
        <v>164</v>
      </c>
      <c r="O1569" s="22" t="s">
        <v>165</v>
      </c>
      <c r="P1569" s="24"/>
      <c r="Q1569" s="22" t="s">
        <v>90</v>
      </c>
      <c r="R1569" s="22">
        <v>3.2785862295875E13</v>
      </c>
      <c r="S1569" s="24"/>
      <c r="T1569" s="24"/>
      <c r="U1569" s="24"/>
      <c r="V1569" s="30" t="s">
        <v>105</v>
      </c>
      <c r="W1569" s="33"/>
      <c r="X1569" s="33"/>
      <c r="Y1569" s="30"/>
      <c r="Z1569" s="30"/>
      <c r="AA1569" s="33"/>
      <c r="AB1569" s="33"/>
      <c r="AC1569" s="30"/>
      <c r="AD1569" s="30"/>
      <c r="AE1569" s="33"/>
      <c r="AF1569" s="31"/>
      <c r="AG1569" s="30"/>
      <c r="AH1569" s="30"/>
      <c r="AI1569" s="31"/>
      <c r="AJ1569" s="31"/>
      <c r="AK1569" s="32"/>
    </row>
    <row r="1570">
      <c r="A1570" s="21" t="s">
        <v>2140</v>
      </c>
      <c r="B1570" s="22" t="s">
        <v>318</v>
      </c>
      <c r="C1570" s="22" t="s">
        <v>82</v>
      </c>
      <c r="D1570" s="26">
        <v>45997.0</v>
      </c>
      <c r="E1570" s="22" t="s">
        <v>196</v>
      </c>
      <c r="F1570" s="22" t="s">
        <v>319</v>
      </c>
      <c r="G1570" s="22" t="s">
        <v>3087</v>
      </c>
      <c r="H1570" s="22" t="s">
        <v>2140</v>
      </c>
      <c r="I1570" s="22">
        <v>1.0474520412483E13</v>
      </c>
      <c r="J1570" s="22" t="s">
        <v>321</v>
      </c>
      <c r="K1570" s="24"/>
      <c r="L1570" s="22" t="s">
        <v>2142</v>
      </c>
      <c r="M1570" s="22">
        <v>1.0</v>
      </c>
      <c r="N1570" s="22" t="s">
        <v>323</v>
      </c>
      <c r="O1570" s="22" t="s">
        <v>324</v>
      </c>
      <c r="P1570" s="24"/>
      <c r="Q1570" s="22" t="s">
        <v>90</v>
      </c>
      <c r="R1570" s="22">
        <v>3.2785885659459E13</v>
      </c>
      <c r="S1570" s="24"/>
      <c r="T1570" s="24"/>
      <c r="U1570" s="24"/>
      <c r="V1570" s="30" t="s">
        <v>54</v>
      </c>
      <c r="W1570" s="33"/>
      <c r="X1570" s="33"/>
      <c r="Y1570" s="30"/>
      <c r="Z1570" s="30"/>
      <c r="AA1570" s="33"/>
      <c r="AB1570" s="33"/>
      <c r="AC1570" s="30"/>
      <c r="AD1570" s="30"/>
      <c r="AE1570" s="33"/>
      <c r="AF1570" s="31"/>
      <c r="AG1570" s="30"/>
      <c r="AH1570" s="30"/>
      <c r="AI1570" s="31"/>
      <c r="AJ1570" s="31"/>
      <c r="AK1570" s="32"/>
    </row>
    <row r="1571">
      <c r="A1571" s="21" t="s">
        <v>408</v>
      </c>
      <c r="B1571" s="22" t="s">
        <v>512</v>
      </c>
      <c r="C1571" s="22" t="s">
        <v>82</v>
      </c>
      <c r="D1571" s="26">
        <v>45997.0</v>
      </c>
      <c r="E1571" s="22" t="s">
        <v>153</v>
      </c>
      <c r="F1571" s="22" t="s">
        <v>377</v>
      </c>
      <c r="G1571" s="22" t="s">
        <v>3088</v>
      </c>
      <c r="H1571" s="22" t="s">
        <v>408</v>
      </c>
      <c r="I1571" s="22">
        <v>1.0474826367299E13</v>
      </c>
      <c r="J1571" s="22" t="s">
        <v>411</v>
      </c>
      <c r="K1571" s="24"/>
      <c r="L1571" s="22" t="s">
        <v>412</v>
      </c>
      <c r="M1571" s="22">
        <v>1.0</v>
      </c>
      <c r="N1571" s="22" t="s">
        <v>413</v>
      </c>
      <c r="O1571" s="22" t="s">
        <v>414</v>
      </c>
      <c r="P1571" s="24"/>
      <c r="Q1571" s="22" t="s">
        <v>90</v>
      </c>
      <c r="R1571" s="22">
        <v>3.2786485903683E13</v>
      </c>
      <c r="S1571" s="24"/>
      <c r="T1571" s="24"/>
      <c r="U1571" s="24"/>
      <c r="V1571" s="30" t="s">
        <v>127</v>
      </c>
      <c r="W1571" s="33"/>
      <c r="X1571" s="33"/>
      <c r="Y1571" s="30"/>
      <c r="Z1571" s="30"/>
      <c r="AA1571" s="33"/>
      <c r="AB1571" s="33"/>
      <c r="AC1571" s="30"/>
      <c r="AD1571" s="30"/>
      <c r="AE1571" s="33"/>
      <c r="AF1571" s="31"/>
      <c r="AG1571" s="30"/>
      <c r="AH1571" s="30"/>
      <c r="AI1571" s="31"/>
      <c r="AJ1571" s="31"/>
      <c r="AK1571" s="32"/>
    </row>
    <row r="1572">
      <c r="A1572" s="21" t="s">
        <v>538</v>
      </c>
      <c r="B1572" s="22" t="s">
        <v>587</v>
      </c>
      <c r="C1572" s="22" t="s">
        <v>273</v>
      </c>
      <c r="D1572" s="26">
        <v>45998.0</v>
      </c>
      <c r="E1572" s="22" t="s">
        <v>153</v>
      </c>
      <c r="F1572" s="22" t="s">
        <v>369</v>
      </c>
      <c r="G1572" s="22" t="s">
        <v>3089</v>
      </c>
      <c r="H1572" s="22" t="s">
        <v>538</v>
      </c>
      <c r="I1572" s="22">
        <v>1.0474830725443E13</v>
      </c>
      <c r="J1572" s="22" t="s">
        <v>2971</v>
      </c>
      <c r="K1572" s="24"/>
      <c r="L1572" s="22" t="s">
        <v>542</v>
      </c>
      <c r="M1572" s="22">
        <v>1.0</v>
      </c>
      <c r="N1572" s="22" t="s">
        <v>373</v>
      </c>
      <c r="O1572" s="22" t="s">
        <v>374</v>
      </c>
      <c r="P1572" s="24"/>
      <c r="Q1572" s="22" t="s">
        <v>90</v>
      </c>
      <c r="R1572" s="22">
        <v>3.2786494193987E13</v>
      </c>
      <c r="S1572" s="24"/>
      <c r="T1572" s="24"/>
      <c r="U1572" s="24"/>
      <c r="V1572" s="30" t="s">
        <v>91</v>
      </c>
      <c r="W1572" s="33"/>
      <c r="X1572" s="33"/>
      <c r="Y1572" s="30"/>
      <c r="Z1572" s="30"/>
      <c r="AA1572" s="33"/>
      <c r="AB1572" s="33"/>
      <c r="AC1572" s="30"/>
      <c r="AD1572" s="30"/>
      <c r="AE1572" s="33"/>
      <c r="AF1572" s="31"/>
      <c r="AG1572" s="30"/>
      <c r="AH1572" s="30"/>
      <c r="AI1572" s="31"/>
      <c r="AJ1572" s="31"/>
      <c r="AK1572" s="32"/>
    </row>
    <row r="1573">
      <c r="A1573" s="21" t="s">
        <v>569</v>
      </c>
      <c r="B1573" s="22" t="s">
        <v>943</v>
      </c>
      <c r="C1573" s="22" t="s">
        <v>82</v>
      </c>
      <c r="D1573" s="26">
        <v>45997.0</v>
      </c>
      <c r="E1573" s="22" t="s">
        <v>145</v>
      </c>
      <c r="F1573" s="22" t="s">
        <v>472</v>
      </c>
      <c r="G1573" s="22" t="s">
        <v>3090</v>
      </c>
      <c r="H1573" s="22" t="s">
        <v>569</v>
      </c>
      <c r="I1573" s="22">
        <v>1.0474879222083E13</v>
      </c>
      <c r="J1573" s="22" t="s">
        <v>3091</v>
      </c>
      <c r="K1573" s="24"/>
      <c r="L1573" s="22" t="s">
        <v>571</v>
      </c>
      <c r="M1573" s="22">
        <v>1.0</v>
      </c>
      <c r="N1573" s="22" t="s">
        <v>534</v>
      </c>
      <c r="O1573" s="22" t="s">
        <v>535</v>
      </c>
      <c r="P1573" s="24"/>
      <c r="Q1573" s="22" t="s">
        <v>90</v>
      </c>
      <c r="R1573" s="22">
        <v>3.2786597642563E13</v>
      </c>
      <c r="S1573" s="24"/>
      <c r="T1573" s="24"/>
      <c r="U1573" s="24"/>
      <c r="V1573" s="30" t="s">
        <v>105</v>
      </c>
      <c r="W1573" s="33"/>
      <c r="X1573" s="33"/>
      <c r="Y1573" s="30"/>
      <c r="Z1573" s="30"/>
      <c r="AA1573" s="33"/>
      <c r="AB1573" s="33"/>
      <c r="AC1573" s="30"/>
      <c r="AD1573" s="30"/>
      <c r="AE1573" s="33"/>
      <c r="AF1573" s="31"/>
      <c r="AG1573" s="30"/>
      <c r="AH1573" s="30"/>
      <c r="AI1573" s="31"/>
      <c r="AJ1573" s="31"/>
      <c r="AK1573" s="32"/>
    </row>
    <row r="1574">
      <c r="A1574" s="21" t="s">
        <v>789</v>
      </c>
      <c r="B1574" s="22" t="s">
        <v>3092</v>
      </c>
      <c r="C1574" s="22" t="s">
        <v>82</v>
      </c>
      <c r="D1574" s="26">
        <v>45997.0</v>
      </c>
      <c r="E1574" s="22" t="s">
        <v>522</v>
      </c>
      <c r="F1574" s="22" t="s">
        <v>605</v>
      </c>
      <c r="G1574" s="22" t="s">
        <v>3093</v>
      </c>
      <c r="H1574" s="22" t="s">
        <v>789</v>
      </c>
      <c r="I1574" s="22">
        <v>1.0474904453443E13</v>
      </c>
      <c r="J1574" s="22" t="s">
        <v>2999</v>
      </c>
      <c r="K1574" s="24"/>
      <c r="L1574" s="22" t="s">
        <v>794</v>
      </c>
      <c r="M1574" s="22">
        <v>1.0</v>
      </c>
      <c r="N1574" s="22" t="s">
        <v>795</v>
      </c>
      <c r="O1574" s="22" t="s">
        <v>796</v>
      </c>
      <c r="P1574" s="24"/>
      <c r="Q1574" s="22" t="s">
        <v>90</v>
      </c>
      <c r="R1574" s="22">
        <v>3.2786653217091E13</v>
      </c>
      <c r="S1574" s="24"/>
      <c r="T1574" s="24"/>
      <c r="U1574" s="24"/>
      <c r="V1574" s="30" t="s">
        <v>105</v>
      </c>
      <c r="W1574" s="33"/>
      <c r="X1574" s="33"/>
      <c r="Y1574" s="30"/>
      <c r="Z1574" s="30"/>
      <c r="AA1574" s="33"/>
      <c r="AB1574" s="33"/>
      <c r="AC1574" s="30"/>
      <c r="AD1574" s="30"/>
      <c r="AE1574" s="33"/>
      <c r="AF1574" s="31"/>
      <c r="AG1574" s="30"/>
      <c r="AH1574" s="30"/>
      <c r="AI1574" s="31"/>
      <c r="AJ1574" s="31"/>
      <c r="AK1574" s="32"/>
    </row>
    <row r="1575">
      <c r="A1575" s="21" t="s">
        <v>300</v>
      </c>
      <c r="B1575" s="22" t="s">
        <v>3094</v>
      </c>
      <c r="C1575" s="22" t="s">
        <v>82</v>
      </c>
      <c r="D1575" s="26">
        <v>45997.0</v>
      </c>
      <c r="E1575" s="22" t="s">
        <v>1442</v>
      </c>
      <c r="F1575" s="22" t="s">
        <v>303</v>
      </c>
      <c r="G1575" s="22" t="s">
        <v>3095</v>
      </c>
      <c r="H1575" s="22" t="s">
        <v>300</v>
      </c>
      <c r="I1575" s="22">
        <v>1.0474910384451E13</v>
      </c>
      <c r="J1575" s="22" t="s">
        <v>3096</v>
      </c>
      <c r="K1575" s="24"/>
      <c r="L1575" s="22" t="s">
        <v>306</v>
      </c>
      <c r="M1575" s="22">
        <v>1.0</v>
      </c>
      <c r="N1575" s="22" t="s">
        <v>307</v>
      </c>
      <c r="O1575" s="22" t="s">
        <v>308</v>
      </c>
      <c r="P1575" s="24"/>
      <c r="Q1575" s="22" t="s">
        <v>90</v>
      </c>
      <c r="R1575" s="22">
        <v>3.2786667897155E13</v>
      </c>
      <c r="S1575" s="24"/>
      <c r="T1575" s="24"/>
      <c r="U1575" s="24"/>
      <c r="V1575" s="30" t="s">
        <v>55</v>
      </c>
      <c r="W1575" s="33"/>
      <c r="X1575" s="33"/>
      <c r="Y1575" s="30"/>
      <c r="Z1575" s="30"/>
      <c r="AA1575" s="33"/>
      <c r="AB1575" s="33"/>
      <c r="AC1575" s="30"/>
      <c r="AD1575" s="30"/>
      <c r="AE1575" s="33"/>
      <c r="AF1575" s="31"/>
      <c r="AG1575" s="30"/>
      <c r="AH1575" s="30"/>
      <c r="AI1575" s="31"/>
      <c r="AJ1575" s="31"/>
      <c r="AK1575" s="32"/>
    </row>
    <row r="1576">
      <c r="A1576" s="21" t="s">
        <v>415</v>
      </c>
      <c r="B1576" s="22" t="s">
        <v>512</v>
      </c>
      <c r="C1576" s="22" t="s">
        <v>82</v>
      </c>
      <c r="D1576" s="26">
        <v>45997.0</v>
      </c>
      <c r="E1576" s="22" t="s">
        <v>153</v>
      </c>
      <c r="F1576" s="22" t="s">
        <v>377</v>
      </c>
      <c r="G1576" s="22" t="s">
        <v>3097</v>
      </c>
      <c r="H1576" s="22" t="s">
        <v>415</v>
      </c>
      <c r="I1576" s="22">
        <v>1.0474925490499E13</v>
      </c>
      <c r="J1576" s="22" t="s">
        <v>411</v>
      </c>
      <c r="K1576" s="24"/>
      <c r="L1576" s="22" t="s">
        <v>419</v>
      </c>
      <c r="M1576" s="22">
        <v>1.0</v>
      </c>
      <c r="N1576" s="22" t="s">
        <v>381</v>
      </c>
      <c r="O1576" s="22" t="s">
        <v>382</v>
      </c>
      <c r="P1576" s="24"/>
      <c r="Q1576" s="22" t="s">
        <v>90</v>
      </c>
      <c r="R1576" s="22">
        <v>3.2786700992835E13</v>
      </c>
      <c r="S1576" s="24"/>
      <c r="T1576" s="24"/>
      <c r="U1576" s="24"/>
      <c r="V1576" s="30" t="s">
        <v>91</v>
      </c>
      <c r="W1576" s="33"/>
      <c r="X1576" s="33"/>
      <c r="Y1576" s="30"/>
      <c r="Z1576" s="30"/>
      <c r="AA1576" s="33"/>
      <c r="AB1576" s="33"/>
      <c r="AC1576" s="30"/>
      <c r="AD1576" s="30"/>
      <c r="AE1576" s="33"/>
      <c r="AF1576" s="31"/>
      <c r="AG1576" s="30"/>
      <c r="AH1576" s="30"/>
      <c r="AI1576" s="31"/>
      <c r="AJ1576" s="31"/>
      <c r="AK1576" s="32"/>
    </row>
    <row r="1577">
      <c r="A1577" s="21" t="s">
        <v>1269</v>
      </c>
      <c r="B1577" s="22" t="s">
        <v>355</v>
      </c>
      <c r="C1577" s="22" t="s">
        <v>273</v>
      </c>
      <c r="D1577" s="23">
        <v>45991.0</v>
      </c>
      <c r="E1577" s="22" t="s">
        <v>149</v>
      </c>
      <c r="F1577" s="22" t="s">
        <v>356</v>
      </c>
      <c r="G1577" s="22" t="s">
        <v>3098</v>
      </c>
      <c r="H1577" s="22" t="s">
        <v>1269</v>
      </c>
      <c r="I1577" s="22">
        <v>1.0474947248451E13</v>
      </c>
      <c r="J1577" s="22" t="s">
        <v>358</v>
      </c>
      <c r="K1577" s="24"/>
      <c r="L1577" s="22" t="s">
        <v>1271</v>
      </c>
      <c r="M1577" s="22">
        <v>1.0</v>
      </c>
      <c r="N1577" s="22" t="s">
        <v>1272</v>
      </c>
      <c r="O1577" s="22" t="s">
        <v>1273</v>
      </c>
      <c r="P1577" s="24"/>
      <c r="Q1577" s="22" t="s">
        <v>90</v>
      </c>
      <c r="R1577" s="22">
        <v>3.2786747490627E13</v>
      </c>
      <c r="S1577" s="24"/>
      <c r="T1577" s="24"/>
      <c r="U1577" s="24"/>
      <c r="V1577" s="30" t="s">
        <v>105</v>
      </c>
      <c r="W1577" s="33"/>
      <c r="X1577" s="33"/>
      <c r="Y1577" s="30"/>
      <c r="Z1577" s="30"/>
      <c r="AA1577" s="33"/>
      <c r="AB1577" s="33"/>
      <c r="AC1577" s="30"/>
      <c r="AD1577" s="30"/>
      <c r="AE1577" s="33"/>
      <c r="AF1577" s="31"/>
      <c r="AG1577" s="30"/>
      <c r="AH1577" s="30"/>
      <c r="AI1577" s="31"/>
      <c r="AJ1577" s="31"/>
      <c r="AK1577" s="32"/>
    </row>
    <row r="1578">
      <c r="A1578" s="21" t="s">
        <v>386</v>
      </c>
      <c r="B1578" s="22" t="s">
        <v>310</v>
      </c>
      <c r="C1578" s="22" t="s">
        <v>82</v>
      </c>
      <c r="D1578" s="26">
        <v>45997.0</v>
      </c>
      <c r="E1578" s="22" t="s">
        <v>134</v>
      </c>
      <c r="F1578" s="22" t="s">
        <v>311</v>
      </c>
      <c r="G1578" s="22" t="s">
        <v>3099</v>
      </c>
      <c r="H1578" s="22" t="s">
        <v>386</v>
      </c>
      <c r="I1578" s="22">
        <v>1.0474958848323E13</v>
      </c>
      <c r="J1578" s="22" t="s">
        <v>313</v>
      </c>
      <c r="K1578" s="24"/>
      <c r="L1578" s="22" t="s">
        <v>390</v>
      </c>
      <c r="M1578" s="22">
        <v>1.0</v>
      </c>
      <c r="N1578" s="22" t="s">
        <v>391</v>
      </c>
      <c r="O1578" s="22" t="s">
        <v>392</v>
      </c>
      <c r="P1578" s="24"/>
      <c r="Q1578" s="22" t="s">
        <v>90</v>
      </c>
      <c r="R1578" s="22">
        <v>3.2786772853059E13</v>
      </c>
      <c r="S1578" s="24"/>
      <c r="T1578" s="24"/>
      <c r="U1578" s="24"/>
      <c r="V1578" s="30" t="s">
        <v>55</v>
      </c>
      <c r="W1578" s="33"/>
      <c r="X1578" s="33"/>
      <c r="Y1578" s="30"/>
      <c r="Z1578" s="30"/>
      <c r="AA1578" s="33"/>
      <c r="AB1578" s="33"/>
      <c r="AC1578" s="30"/>
      <c r="AD1578" s="30"/>
      <c r="AE1578" s="33"/>
      <c r="AF1578" s="31"/>
      <c r="AG1578" s="30"/>
      <c r="AH1578" s="30"/>
      <c r="AI1578" s="31"/>
      <c r="AJ1578" s="31"/>
      <c r="AK1578" s="32"/>
    </row>
    <row r="1579">
      <c r="A1579" s="21" t="s">
        <v>124</v>
      </c>
      <c r="B1579" s="22" t="s">
        <v>1309</v>
      </c>
      <c r="C1579" s="22" t="s">
        <v>273</v>
      </c>
      <c r="D1579" s="26">
        <v>45998.0</v>
      </c>
      <c r="E1579" s="22" t="s">
        <v>134</v>
      </c>
      <c r="F1579" s="22" t="s">
        <v>83</v>
      </c>
      <c r="G1579" s="22" t="s">
        <v>3100</v>
      </c>
      <c r="H1579" s="22" t="s">
        <v>124</v>
      </c>
      <c r="I1579" s="22">
        <v>1.0474962878787E13</v>
      </c>
      <c r="J1579" s="22" t="s">
        <v>3101</v>
      </c>
      <c r="K1579" s="24"/>
      <c r="L1579" s="22" t="s">
        <v>126</v>
      </c>
      <c r="M1579" s="22">
        <v>1.0</v>
      </c>
      <c r="N1579" s="22" t="s">
        <v>103</v>
      </c>
      <c r="O1579" s="22" t="s">
        <v>104</v>
      </c>
      <c r="P1579" s="24"/>
      <c r="Q1579" s="22" t="s">
        <v>90</v>
      </c>
      <c r="R1579" s="22">
        <v>3.2786782257475E13</v>
      </c>
      <c r="S1579" s="24"/>
      <c r="T1579" s="24"/>
      <c r="U1579" s="24"/>
      <c r="V1579" s="30" t="s">
        <v>127</v>
      </c>
      <c r="W1579" s="33"/>
      <c r="X1579" s="33"/>
      <c r="Y1579" s="30"/>
      <c r="Z1579" s="30"/>
      <c r="AA1579" s="33"/>
      <c r="AB1579" s="33"/>
      <c r="AC1579" s="30"/>
      <c r="AD1579" s="30"/>
      <c r="AE1579" s="33"/>
      <c r="AF1579" s="31"/>
      <c r="AG1579" s="30"/>
      <c r="AH1579" s="30"/>
      <c r="AI1579" s="31"/>
      <c r="AJ1579" s="31"/>
      <c r="AK1579" s="32"/>
    </row>
    <row r="1580">
      <c r="A1580" s="21" t="s">
        <v>141</v>
      </c>
      <c r="B1580" s="22" t="s">
        <v>2761</v>
      </c>
      <c r="C1580" s="22" t="s">
        <v>202</v>
      </c>
      <c r="D1580" s="26">
        <v>45996.0</v>
      </c>
      <c r="E1580" s="22" t="s">
        <v>138</v>
      </c>
      <c r="F1580" s="22" t="s">
        <v>83</v>
      </c>
      <c r="G1580" s="22" t="s">
        <v>3102</v>
      </c>
      <c r="H1580" s="22" t="s">
        <v>141</v>
      </c>
      <c r="I1580" s="22">
        <v>1.0475149033795E13</v>
      </c>
      <c r="J1580" s="22" t="s">
        <v>3103</v>
      </c>
      <c r="K1580" s="24"/>
      <c r="L1580" s="22" t="s">
        <v>143</v>
      </c>
      <c r="M1580" s="22">
        <v>1.0</v>
      </c>
      <c r="N1580" s="22" t="s">
        <v>87</v>
      </c>
      <c r="O1580" s="22" t="s">
        <v>88</v>
      </c>
      <c r="P1580" s="24"/>
      <c r="Q1580" s="22" t="s">
        <v>90</v>
      </c>
      <c r="R1580" s="22">
        <v>3.2787191923011E13</v>
      </c>
      <c r="S1580" s="24"/>
      <c r="T1580" s="24"/>
      <c r="U1580" s="24"/>
      <c r="V1580" s="30" t="s">
        <v>54</v>
      </c>
      <c r="W1580" s="33"/>
      <c r="X1580" s="33"/>
      <c r="Y1580" s="30"/>
      <c r="Z1580" s="30"/>
      <c r="AA1580" s="33"/>
      <c r="AB1580" s="33"/>
      <c r="AC1580" s="30"/>
      <c r="AD1580" s="30"/>
      <c r="AE1580" s="33"/>
      <c r="AF1580" s="31"/>
      <c r="AG1580" s="30"/>
      <c r="AH1580" s="30"/>
      <c r="AI1580" s="31"/>
      <c r="AJ1580" s="31"/>
      <c r="AK1580" s="32"/>
    </row>
    <row r="1581">
      <c r="A1581" s="21" t="s">
        <v>592</v>
      </c>
      <c r="B1581" s="22" t="s">
        <v>3104</v>
      </c>
      <c r="C1581" s="22" t="s">
        <v>287</v>
      </c>
      <c r="D1581" s="26">
        <v>45994.0</v>
      </c>
      <c r="E1581" s="22" t="s">
        <v>196</v>
      </c>
      <c r="F1581" s="22" t="s">
        <v>311</v>
      </c>
      <c r="G1581" s="22" t="s">
        <v>3105</v>
      </c>
      <c r="H1581" s="22" t="s">
        <v>592</v>
      </c>
      <c r="I1581" s="22">
        <v>1.0475163287875E13</v>
      </c>
      <c r="J1581" s="22" t="s">
        <v>3106</v>
      </c>
      <c r="K1581" s="24"/>
      <c r="L1581" s="22" t="s">
        <v>594</v>
      </c>
      <c r="M1581" s="22">
        <v>1.0</v>
      </c>
      <c r="N1581" s="22" t="s">
        <v>391</v>
      </c>
      <c r="O1581" s="22" t="s">
        <v>392</v>
      </c>
      <c r="P1581" s="24"/>
      <c r="Q1581" s="22" t="s">
        <v>90</v>
      </c>
      <c r="R1581" s="22">
        <v>3.2787227607363E13</v>
      </c>
      <c r="S1581" s="24"/>
      <c r="T1581" s="24"/>
      <c r="U1581" s="24"/>
      <c r="V1581" s="30" t="s">
        <v>54</v>
      </c>
      <c r="W1581" s="33"/>
      <c r="X1581" s="33"/>
      <c r="Y1581" s="30"/>
      <c r="Z1581" s="30"/>
      <c r="AA1581" s="33"/>
      <c r="AB1581" s="33"/>
      <c r="AC1581" s="30"/>
      <c r="AD1581" s="30"/>
      <c r="AE1581" s="33"/>
      <c r="AF1581" s="31"/>
      <c r="AG1581" s="30"/>
      <c r="AH1581" s="30"/>
      <c r="AI1581" s="31"/>
      <c r="AJ1581" s="31"/>
      <c r="AK1581" s="32"/>
    </row>
    <row r="1582">
      <c r="A1582" s="21" t="s">
        <v>732</v>
      </c>
      <c r="B1582" s="22" t="s">
        <v>3107</v>
      </c>
      <c r="C1582" s="22" t="s">
        <v>273</v>
      </c>
      <c r="D1582" s="26">
        <v>45998.0</v>
      </c>
      <c r="E1582" s="22" t="s">
        <v>149</v>
      </c>
      <c r="F1582" s="22" t="s">
        <v>634</v>
      </c>
      <c r="G1582" s="22" t="s">
        <v>3108</v>
      </c>
      <c r="H1582" s="22" t="s">
        <v>732</v>
      </c>
      <c r="I1582" s="22">
        <v>1.0474054746435E13</v>
      </c>
      <c r="J1582" s="22" t="s">
        <v>3109</v>
      </c>
      <c r="K1582" s="24"/>
      <c r="L1582" s="22" t="s">
        <v>737</v>
      </c>
      <c r="M1582" s="22">
        <v>1.0</v>
      </c>
      <c r="N1582" s="22" t="s">
        <v>738</v>
      </c>
      <c r="O1582" s="22" t="s">
        <v>739</v>
      </c>
      <c r="P1582" s="24"/>
      <c r="Q1582" s="22" t="s">
        <v>90</v>
      </c>
      <c r="R1582" s="22">
        <v>3.2784814506307E13</v>
      </c>
      <c r="S1582" s="24"/>
      <c r="T1582" s="24"/>
      <c r="U1582" s="24"/>
      <c r="V1582" s="30" t="s">
        <v>105</v>
      </c>
      <c r="W1582" s="33"/>
      <c r="X1582" s="33"/>
      <c r="Y1582" s="30"/>
      <c r="Z1582" s="30"/>
      <c r="AA1582" s="33"/>
      <c r="AB1582" s="33"/>
      <c r="AC1582" s="30"/>
      <c r="AD1582" s="30"/>
      <c r="AE1582" s="33"/>
      <c r="AF1582" s="31"/>
      <c r="AG1582" s="30"/>
      <c r="AH1582" s="30"/>
      <c r="AI1582" s="31"/>
      <c r="AJ1582" s="31"/>
      <c r="AK1582" s="32"/>
    </row>
    <row r="1583">
      <c r="A1583" s="21" t="s">
        <v>602</v>
      </c>
      <c r="B1583" s="22" t="s">
        <v>1510</v>
      </c>
      <c r="C1583" s="22" t="s">
        <v>82</v>
      </c>
      <c r="D1583" s="26">
        <v>45997.0</v>
      </c>
      <c r="E1583" s="22" t="s">
        <v>266</v>
      </c>
      <c r="F1583" s="22" t="s">
        <v>605</v>
      </c>
      <c r="G1583" s="22" t="s">
        <v>3110</v>
      </c>
      <c r="H1583" s="22" t="s">
        <v>602</v>
      </c>
      <c r="I1583" s="22">
        <v>1.0474081255747E13</v>
      </c>
      <c r="J1583" s="22" t="s">
        <v>3111</v>
      </c>
      <c r="K1583" s="24"/>
      <c r="L1583" s="22" t="s">
        <v>608</v>
      </c>
      <c r="M1583" s="22">
        <v>1.0</v>
      </c>
      <c r="N1583" s="22" t="s">
        <v>609</v>
      </c>
      <c r="O1583" s="22" t="s">
        <v>610</v>
      </c>
      <c r="P1583" s="24"/>
      <c r="Q1583" s="22" t="s">
        <v>90</v>
      </c>
      <c r="R1583" s="22">
        <v>3.2784876798275E13</v>
      </c>
      <c r="S1583" s="24"/>
      <c r="T1583" s="24"/>
      <c r="U1583" s="24"/>
      <c r="V1583" s="30" t="s">
        <v>54</v>
      </c>
      <c r="W1583" s="33"/>
      <c r="X1583" s="33"/>
      <c r="Y1583" s="30"/>
      <c r="Z1583" s="30"/>
      <c r="AA1583" s="33"/>
      <c r="AB1583" s="33"/>
      <c r="AC1583" s="30"/>
      <c r="AD1583" s="30"/>
      <c r="AE1583" s="33"/>
      <c r="AF1583" s="31"/>
      <c r="AG1583" s="30"/>
      <c r="AH1583" s="30"/>
      <c r="AI1583" s="31"/>
      <c r="AJ1583" s="31"/>
      <c r="AK1583" s="32"/>
    </row>
    <row r="1584">
      <c r="A1584" s="21" t="s">
        <v>415</v>
      </c>
      <c r="B1584" s="22" t="s">
        <v>512</v>
      </c>
      <c r="C1584" s="22" t="s">
        <v>82</v>
      </c>
      <c r="D1584" s="26">
        <v>45997.0</v>
      </c>
      <c r="E1584" s="22" t="s">
        <v>153</v>
      </c>
      <c r="F1584" s="22" t="s">
        <v>377</v>
      </c>
      <c r="G1584" s="22" t="s">
        <v>3112</v>
      </c>
      <c r="H1584" s="22" t="s">
        <v>415</v>
      </c>
      <c r="I1584" s="22">
        <v>1.0474083320131E13</v>
      </c>
      <c r="J1584" s="22" t="s">
        <v>411</v>
      </c>
      <c r="K1584" s="24"/>
      <c r="L1584" s="22" t="s">
        <v>419</v>
      </c>
      <c r="M1584" s="22">
        <v>1.0</v>
      </c>
      <c r="N1584" s="22" t="s">
        <v>381</v>
      </c>
      <c r="O1584" s="22" t="s">
        <v>382</v>
      </c>
      <c r="P1584" s="24"/>
      <c r="Q1584" s="22" t="s">
        <v>90</v>
      </c>
      <c r="R1584" s="22">
        <v>3.2784882106691E13</v>
      </c>
      <c r="S1584" s="24"/>
      <c r="T1584" s="24"/>
      <c r="U1584" s="24"/>
      <c r="V1584" s="30" t="s">
        <v>91</v>
      </c>
      <c r="W1584" s="33"/>
      <c r="X1584" s="33"/>
      <c r="Y1584" s="30"/>
      <c r="Z1584" s="30"/>
      <c r="AA1584" s="33"/>
      <c r="AB1584" s="33"/>
      <c r="AC1584" s="30"/>
      <c r="AD1584" s="30"/>
      <c r="AE1584" s="33"/>
      <c r="AF1584" s="31"/>
      <c r="AG1584" s="30"/>
      <c r="AH1584" s="30"/>
      <c r="AI1584" s="31"/>
      <c r="AJ1584" s="31"/>
      <c r="AK1584" s="32"/>
    </row>
    <row r="1585">
      <c r="A1585" s="21" t="s">
        <v>814</v>
      </c>
      <c r="B1585" s="22" t="s">
        <v>815</v>
      </c>
      <c r="C1585" s="22" t="s">
        <v>82</v>
      </c>
      <c r="D1585" s="26">
        <v>45997.0</v>
      </c>
      <c r="E1585" s="22" t="s">
        <v>187</v>
      </c>
      <c r="F1585" s="22" t="s">
        <v>698</v>
      </c>
      <c r="G1585" s="22" t="s">
        <v>3113</v>
      </c>
      <c r="H1585" s="22" t="s">
        <v>814</v>
      </c>
      <c r="I1585" s="22">
        <v>1.0475180818755E13</v>
      </c>
      <c r="J1585" s="22" t="s">
        <v>2995</v>
      </c>
      <c r="K1585" s="24"/>
      <c r="L1585" s="22" t="s">
        <v>818</v>
      </c>
      <c r="M1585" s="22">
        <v>1.0</v>
      </c>
      <c r="N1585" s="22" t="s">
        <v>819</v>
      </c>
      <c r="O1585" s="22" t="s">
        <v>820</v>
      </c>
      <c r="P1585" s="24"/>
      <c r="Q1585" s="22" t="s">
        <v>90</v>
      </c>
      <c r="R1585" s="22">
        <v>3.2787266109763E13</v>
      </c>
      <c r="S1585" s="24"/>
      <c r="T1585" s="24"/>
      <c r="U1585" s="24"/>
      <c r="V1585" s="30" t="s">
        <v>127</v>
      </c>
      <c r="W1585" s="33"/>
      <c r="X1585" s="33"/>
      <c r="Y1585" s="30"/>
      <c r="Z1585" s="30"/>
      <c r="AA1585" s="33"/>
      <c r="AB1585" s="33"/>
      <c r="AC1585" s="30"/>
      <c r="AD1585" s="30"/>
      <c r="AE1585" s="33"/>
      <c r="AF1585" s="31"/>
      <c r="AG1585" s="30"/>
      <c r="AH1585" s="30"/>
      <c r="AI1585" s="31"/>
      <c r="AJ1585" s="31"/>
      <c r="AK1585" s="32"/>
    </row>
    <row r="1586">
      <c r="A1586" s="21" t="s">
        <v>1217</v>
      </c>
      <c r="B1586" s="22" t="s">
        <v>1498</v>
      </c>
      <c r="C1586" s="22" t="s">
        <v>82</v>
      </c>
      <c r="D1586" s="26">
        <v>45997.0</v>
      </c>
      <c r="E1586" s="22" t="s">
        <v>522</v>
      </c>
      <c r="F1586" s="22" t="s">
        <v>605</v>
      </c>
      <c r="G1586" s="22" t="s">
        <v>3114</v>
      </c>
      <c r="H1586" s="22" t="s">
        <v>1217</v>
      </c>
      <c r="I1586" s="22">
        <v>1.0475478647107E13</v>
      </c>
      <c r="J1586" s="22" t="s">
        <v>2999</v>
      </c>
      <c r="K1586" s="24"/>
      <c r="L1586" s="22" t="s">
        <v>1219</v>
      </c>
      <c r="M1586" s="22">
        <v>1.0</v>
      </c>
      <c r="N1586" s="22" t="s">
        <v>609</v>
      </c>
      <c r="O1586" s="22" t="s">
        <v>610</v>
      </c>
      <c r="P1586" s="24"/>
      <c r="Q1586" s="22" t="s">
        <v>90</v>
      </c>
      <c r="R1586" s="22">
        <v>3.2787915407683E13</v>
      </c>
      <c r="S1586" s="24"/>
      <c r="T1586" s="24"/>
      <c r="U1586" s="24"/>
      <c r="V1586" s="30" t="s">
        <v>91</v>
      </c>
      <c r="W1586" s="33"/>
      <c r="X1586" s="33"/>
      <c r="Y1586" s="30"/>
      <c r="Z1586" s="30"/>
      <c r="AA1586" s="33"/>
      <c r="AB1586" s="33"/>
      <c r="AC1586" s="30"/>
      <c r="AD1586" s="30"/>
      <c r="AE1586" s="33"/>
      <c r="AF1586" s="31"/>
      <c r="AG1586" s="30"/>
      <c r="AH1586" s="30"/>
      <c r="AI1586" s="31"/>
      <c r="AJ1586" s="31"/>
      <c r="AK1586" s="32"/>
    </row>
    <row r="1587">
      <c r="A1587" s="21" t="s">
        <v>96</v>
      </c>
      <c r="B1587" s="22" t="s">
        <v>1912</v>
      </c>
      <c r="C1587" s="22" t="s">
        <v>202</v>
      </c>
      <c r="D1587" s="26">
        <v>45996.0</v>
      </c>
      <c r="E1587" s="22" t="s">
        <v>153</v>
      </c>
      <c r="F1587" s="22" t="s">
        <v>83</v>
      </c>
      <c r="G1587" s="22" t="s">
        <v>3115</v>
      </c>
      <c r="H1587" s="22" t="s">
        <v>96</v>
      </c>
      <c r="I1587" s="22">
        <v>1.0475483627843E13</v>
      </c>
      <c r="J1587" s="22" t="s">
        <v>757</v>
      </c>
      <c r="K1587" s="24"/>
      <c r="L1587" s="22" t="s">
        <v>98</v>
      </c>
      <c r="M1587" s="22">
        <v>1.0</v>
      </c>
      <c r="N1587" s="22" t="s">
        <v>87</v>
      </c>
      <c r="O1587" s="22" t="s">
        <v>88</v>
      </c>
      <c r="P1587" s="24"/>
      <c r="Q1587" s="22" t="s">
        <v>90</v>
      </c>
      <c r="R1587" s="22">
        <v>3.2787926090051E13</v>
      </c>
      <c r="S1587" s="24"/>
      <c r="T1587" s="24"/>
      <c r="U1587" s="24"/>
      <c r="V1587" s="30" t="s">
        <v>55</v>
      </c>
      <c r="W1587" s="33"/>
      <c r="X1587" s="33"/>
      <c r="Y1587" s="30"/>
      <c r="Z1587" s="30"/>
      <c r="AA1587" s="33"/>
      <c r="AB1587" s="33"/>
      <c r="AC1587" s="30"/>
      <c r="AD1587" s="30"/>
      <c r="AE1587" s="33"/>
      <c r="AF1587" s="31"/>
      <c r="AG1587" s="30"/>
      <c r="AH1587" s="30"/>
      <c r="AI1587" s="31"/>
      <c r="AJ1587" s="31"/>
      <c r="AK1587" s="32"/>
    </row>
    <row r="1588">
      <c r="A1588" s="21" t="s">
        <v>924</v>
      </c>
      <c r="B1588" s="22" t="s">
        <v>763</v>
      </c>
      <c r="C1588" s="22" t="s">
        <v>82</v>
      </c>
      <c r="D1588" s="26">
        <v>45997.0</v>
      </c>
      <c r="E1588" s="22" t="s">
        <v>149</v>
      </c>
      <c r="F1588" s="22" t="s">
        <v>623</v>
      </c>
      <c r="G1588" s="22" t="s">
        <v>3116</v>
      </c>
      <c r="H1588" s="22" t="s">
        <v>924</v>
      </c>
      <c r="I1588" s="22">
        <v>1.0475523113283E13</v>
      </c>
      <c r="J1588" s="22" t="s">
        <v>2990</v>
      </c>
      <c r="K1588" s="24"/>
      <c r="L1588" s="22" t="s">
        <v>926</v>
      </c>
      <c r="M1588" s="22">
        <v>1.0</v>
      </c>
      <c r="N1588" s="22" t="s">
        <v>627</v>
      </c>
      <c r="O1588" s="22" t="s">
        <v>628</v>
      </c>
      <c r="P1588" s="24"/>
      <c r="Q1588" s="22" t="s">
        <v>90</v>
      </c>
      <c r="R1588" s="22">
        <v>3.2788012335427E13</v>
      </c>
      <c r="S1588" s="24"/>
      <c r="T1588" s="24"/>
      <c r="U1588" s="24"/>
      <c r="V1588" s="30" t="s">
        <v>55</v>
      </c>
      <c r="W1588" s="33"/>
      <c r="X1588" s="33"/>
      <c r="Y1588" s="30"/>
      <c r="Z1588" s="30"/>
      <c r="AA1588" s="33"/>
      <c r="AB1588" s="33"/>
      <c r="AC1588" s="30"/>
      <c r="AD1588" s="30"/>
      <c r="AE1588" s="33"/>
      <c r="AF1588" s="31"/>
      <c r="AG1588" s="30"/>
      <c r="AH1588" s="30"/>
      <c r="AI1588" s="31"/>
      <c r="AJ1588" s="31"/>
      <c r="AK1588" s="32"/>
    </row>
    <row r="1589">
      <c r="A1589" s="21" t="s">
        <v>1640</v>
      </c>
      <c r="B1589" s="22" t="s">
        <v>2944</v>
      </c>
      <c r="C1589" s="22" t="s">
        <v>82</v>
      </c>
      <c r="D1589" s="26">
        <v>45997.0</v>
      </c>
      <c r="E1589" s="22" t="s">
        <v>138</v>
      </c>
      <c r="F1589" s="22" t="s">
        <v>1466</v>
      </c>
      <c r="G1589" s="22" t="s">
        <v>3117</v>
      </c>
      <c r="H1589" s="22" t="s">
        <v>1640</v>
      </c>
      <c r="I1589" s="22">
        <v>1.0475533271363E13</v>
      </c>
      <c r="J1589" s="22" t="s">
        <v>2946</v>
      </c>
      <c r="K1589" s="24"/>
      <c r="L1589" s="22" t="s">
        <v>1642</v>
      </c>
      <c r="M1589" s="22">
        <v>1.0</v>
      </c>
      <c r="N1589" s="22" t="s">
        <v>1628</v>
      </c>
      <c r="O1589" s="22" t="s">
        <v>1629</v>
      </c>
      <c r="P1589" s="24"/>
      <c r="Q1589" s="22" t="s">
        <v>90</v>
      </c>
      <c r="R1589" s="22">
        <v>3.2788033372483E13</v>
      </c>
      <c r="S1589" s="24"/>
      <c r="T1589" s="24"/>
      <c r="U1589" s="24"/>
      <c r="V1589" s="30" t="s">
        <v>127</v>
      </c>
      <c r="W1589" s="33"/>
      <c r="X1589" s="33"/>
      <c r="Y1589" s="30"/>
      <c r="Z1589" s="30"/>
      <c r="AA1589" s="33"/>
      <c r="AB1589" s="33"/>
      <c r="AC1589" s="30"/>
      <c r="AD1589" s="30"/>
      <c r="AE1589" s="33"/>
      <c r="AF1589" s="31"/>
      <c r="AG1589" s="30"/>
      <c r="AH1589" s="30"/>
      <c r="AI1589" s="31"/>
      <c r="AJ1589" s="31"/>
      <c r="AK1589" s="32"/>
    </row>
    <row r="1590">
      <c r="A1590" s="21" t="s">
        <v>789</v>
      </c>
      <c r="B1590" s="22" t="s">
        <v>1498</v>
      </c>
      <c r="C1590" s="22" t="s">
        <v>82</v>
      </c>
      <c r="D1590" s="26">
        <v>45997.0</v>
      </c>
      <c r="E1590" s="22" t="s">
        <v>522</v>
      </c>
      <c r="F1590" s="22" t="s">
        <v>605</v>
      </c>
      <c r="G1590" s="22" t="s">
        <v>3118</v>
      </c>
      <c r="H1590" s="22" t="s">
        <v>789</v>
      </c>
      <c r="I1590" s="22">
        <v>1.0475599561027E13</v>
      </c>
      <c r="J1590" s="22" t="s">
        <v>2999</v>
      </c>
      <c r="K1590" s="24"/>
      <c r="L1590" s="22" t="s">
        <v>794</v>
      </c>
      <c r="M1590" s="22">
        <v>1.0</v>
      </c>
      <c r="N1590" s="22" t="s">
        <v>795</v>
      </c>
      <c r="O1590" s="22" t="s">
        <v>796</v>
      </c>
      <c r="P1590" s="24"/>
      <c r="Q1590" s="22" t="s">
        <v>90</v>
      </c>
      <c r="R1590" s="22">
        <v>3.2788173488451E13</v>
      </c>
      <c r="S1590" s="24"/>
      <c r="T1590" s="24"/>
      <c r="U1590" s="24"/>
      <c r="V1590" s="30" t="s">
        <v>105</v>
      </c>
      <c r="W1590" s="33"/>
      <c r="X1590" s="33"/>
      <c r="Y1590" s="30"/>
      <c r="Z1590" s="30"/>
      <c r="AA1590" s="33"/>
      <c r="AB1590" s="33"/>
      <c r="AC1590" s="30"/>
      <c r="AD1590" s="30"/>
      <c r="AE1590" s="33"/>
      <c r="AF1590" s="31"/>
      <c r="AG1590" s="30"/>
      <c r="AH1590" s="30"/>
      <c r="AI1590" s="31"/>
      <c r="AJ1590" s="31"/>
      <c r="AK1590" s="32"/>
    </row>
    <row r="1591">
      <c r="A1591" s="21" t="s">
        <v>569</v>
      </c>
      <c r="B1591" s="22" t="s">
        <v>516</v>
      </c>
      <c r="C1591" s="22" t="s">
        <v>273</v>
      </c>
      <c r="D1591" s="26">
        <v>45998.0</v>
      </c>
      <c r="E1591" s="22" t="s">
        <v>134</v>
      </c>
      <c r="F1591" s="22" t="s">
        <v>472</v>
      </c>
      <c r="G1591" s="22" t="s">
        <v>3119</v>
      </c>
      <c r="H1591" s="22" t="s">
        <v>569</v>
      </c>
      <c r="I1591" s="22">
        <v>1.0475614536003E13</v>
      </c>
      <c r="J1591" s="22" t="s">
        <v>3030</v>
      </c>
      <c r="K1591" s="24"/>
      <c r="L1591" s="22" t="s">
        <v>571</v>
      </c>
      <c r="M1591" s="22">
        <v>1.0</v>
      </c>
      <c r="N1591" s="22" t="s">
        <v>534</v>
      </c>
      <c r="O1591" s="22" t="s">
        <v>535</v>
      </c>
      <c r="P1591" s="24"/>
      <c r="Q1591" s="22" t="s">
        <v>90</v>
      </c>
      <c r="R1591" s="22">
        <v>3.2788201701699E13</v>
      </c>
      <c r="S1591" s="24"/>
      <c r="T1591" s="24"/>
      <c r="U1591" s="24"/>
      <c r="V1591" s="30" t="s">
        <v>105</v>
      </c>
      <c r="W1591" s="33"/>
      <c r="X1591" s="33"/>
      <c r="Y1591" s="30"/>
      <c r="Z1591" s="30"/>
      <c r="AA1591" s="33"/>
      <c r="AB1591" s="33"/>
      <c r="AC1591" s="30"/>
      <c r="AD1591" s="30"/>
      <c r="AE1591" s="33"/>
      <c r="AF1591" s="31"/>
      <c r="AG1591" s="30"/>
      <c r="AH1591" s="30"/>
      <c r="AI1591" s="31"/>
      <c r="AJ1591" s="31"/>
      <c r="AK1591" s="32"/>
    </row>
    <row r="1592">
      <c r="A1592" s="21" t="s">
        <v>158</v>
      </c>
      <c r="B1592" s="22" t="s">
        <v>3120</v>
      </c>
      <c r="C1592" s="22" t="s">
        <v>82</v>
      </c>
      <c r="D1592" s="26">
        <v>45997.0</v>
      </c>
      <c r="E1592" s="22" t="s">
        <v>110</v>
      </c>
      <c r="F1592" s="22" t="s">
        <v>111</v>
      </c>
      <c r="G1592" s="22" t="s">
        <v>3121</v>
      </c>
      <c r="H1592" s="22" t="s">
        <v>158</v>
      </c>
      <c r="I1592" s="22">
        <v>1.0475694620995E13</v>
      </c>
      <c r="J1592" s="22" t="s">
        <v>448</v>
      </c>
      <c r="K1592" s="24"/>
      <c r="L1592" s="22" t="s">
        <v>163</v>
      </c>
      <c r="M1592" s="22">
        <v>1.0</v>
      </c>
      <c r="N1592" s="22" t="s">
        <v>164</v>
      </c>
      <c r="O1592" s="22" t="s">
        <v>165</v>
      </c>
      <c r="P1592" s="24"/>
      <c r="Q1592" s="22" t="s">
        <v>90</v>
      </c>
      <c r="R1592" s="22">
        <v>3.2788371702083E13</v>
      </c>
      <c r="S1592" s="24"/>
      <c r="T1592" s="24"/>
      <c r="U1592" s="24"/>
      <c r="V1592" s="30" t="s">
        <v>127</v>
      </c>
      <c r="W1592" s="33"/>
      <c r="X1592" s="33"/>
      <c r="Y1592" s="30"/>
      <c r="Z1592" s="30"/>
      <c r="AA1592" s="33"/>
      <c r="AB1592" s="33"/>
      <c r="AC1592" s="30"/>
      <c r="AD1592" s="30"/>
      <c r="AE1592" s="33"/>
      <c r="AF1592" s="31"/>
      <c r="AG1592" s="30"/>
      <c r="AH1592" s="30"/>
      <c r="AI1592" s="31"/>
      <c r="AJ1592" s="31"/>
      <c r="AK1592" s="32"/>
    </row>
    <row r="1593">
      <c r="A1593" s="21" t="s">
        <v>96</v>
      </c>
      <c r="B1593" s="22" t="s">
        <v>1666</v>
      </c>
      <c r="C1593" s="22" t="s">
        <v>273</v>
      </c>
      <c r="D1593" s="26">
        <v>45998.0</v>
      </c>
      <c r="E1593" s="22" t="s">
        <v>149</v>
      </c>
      <c r="F1593" s="22" t="s">
        <v>83</v>
      </c>
      <c r="G1593" s="22" t="s">
        <v>3122</v>
      </c>
      <c r="H1593" s="22" t="s">
        <v>96</v>
      </c>
      <c r="I1593" s="22">
        <v>1.0475713593667E13</v>
      </c>
      <c r="J1593" s="22" t="s">
        <v>3041</v>
      </c>
      <c r="K1593" s="24"/>
      <c r="L1593" s="22" t="s">
        <v>98</v>
      </c>
      <c r="M1593" s="22">
        <v>1.0</v>
      </c>
      <c r="N1593" s="22" t="s">
        <v>87</v>
      </c>
      <c r="O1593" s="22" t="s">
        <v>88</v>
      </c>
      <c r="P1593" s="24"/>
      <c r="Q1593" s="22" t="s">
        <v>90</v>
      </c>
      <c r="R1593" s="22">
        <v>3.2788413481283E13</v>
      </c>
      <c r="S1593" s="24"/>
      <c r="T1593" s="24"/>
      <c r="U1593" s="24"/>
      <c r="V1593" s="30" t="s">
        <v>55</v>
      </c>
      <c r="W1593" s="33"/>
      <c r="X1593" s="33"/>
      <c r="Y1593" s="30"/>
      <c r="Z1593" s="30"/>
      <c r="AA1593" s="33"/>
      <c r="AB1593" s="33"/>
      <c r="AC1593" s="30"/>
      <c r="AD1593" s="30"/>
      <c r="AE1593" s="33"/>
      <c r="AF1593" s="31"/>
      <c r="AG1593" s="30"/>
      <c r="AH1593" s="30"/>
      <c r="AI1593" s="31"/>
      <c r="AJ1593" s="31"/>
      <c r="AK1593" s="32"/>
    </row>
    <row r="1594">
      <c r="A1594" s="21" t="s">
        <v>408</v>
      </c>
      <c r="B1594" s="22" t="s">
        <v>810</v>
      </c>
      <c r="C1594" s="22" t="s">
        <v>82</v>
      </c>
      <c r="D1594" s="23">
        <v>46004.0</v>
      </c>
      <c r="E1594" s="22" t="s">
        <v>134</v>
      </c>
      <c r="F1594" s="22" t="s">
        <v>377</v>
      </c>
      <c r="G1594" s="22" t="s">
        <v>3123</v>
      </c>
      <c r="H1594" s="22" t="s">
        <v>408</v>
      </c>
      <c r="I1594" s="22">
        <v>1.0475719688515E13</v>
      </c>
      <c r="J1594" s="22" t="s">
        <v>3124</v>
      </c>
      <c r="K1594" s="24"/>
      <c r="L1594" s="22" t="s">
        <v>412</v>
      </c>
      <c r="M1594" s="22">
        <v>1.0</v>
      </c>
      <c r="N1594" s="22" t="s">
        <v>413</v>
      </c>
      <c r="O1594" s="22" t="s">
        <v>414</v>
      </c>
      <c r="P1594" s="24"/>
      <c r="Q1594" s="22" t="s">
        <v>90</v>
      </c>
      <c r="R1594" s="22">
        <v>3.2788427997507E13</v>
      </c>
      <c r="S1594" s="24"/>
      <c r="T1594" s="24"/>
      <c r="U1594" s="24"/>
      <c r="V1594" s="30" t="s">
        <v>127</v>
      </c>
      <c r="W1594" s="33"/>
      <c r="X1594" s="33"/>
      <c r="Y1594" s="30"/>
      <c r="Z1594" s="30"/>
      <c r="AA1594" s="33"/>
      <c r="AB1594" s="33"/>
      <c r="AC1594" s="30"/>
      <c r="AD1594" s="30"/>
      <c r="AE1594" s="33"/>
      <c r="AF1594" s="31"/>
      <c r="AG1594" s="30"/>
      <c r="AH1594" s="30"/>
      <c r="AI1594" s="31"/>
      <c r="AJ1594" s="31"/>
      <c r="AK1594" s="32"/>
    </row>
    <row r="1595">
      <c r="A1595" s="21" t="s">
        <v>437</v>
      </c>
      <c r="B1595" s="22" t="s">
        <v>574</v>
      </c>
      <c r="C1595" s="22" t="s">
        <v>273</v>
      </c>
      <c r="D1595" s="26">
        <v>45998.0</v>
      </c>
      <c r="E1595" s="22" t="s">
        <v>187</v>
      </c>
      <c r="F1595" s="22" t="s">
        <v>440</v>
      </c>
      <c r="G1595" s="22" t="s">
        <v>3125</v>
      </c>
      <c r="H1595" s="22" t="s">
        <v>437</v>
      </c>
      <c r="I1595" s="22">
        <v>1.0475849384259E13</v>
      </c>
      <c r="J1595" s="22" t="s">
        <v>2952</v>
      </c>
      <c r="K1595" s="24"/>
      <c r="L1595" s="22" t="s">
        <v>443</v>
      </c>
      <c r="M1595" s="22">
        <v>1.0</v>
      </c>
      <c r="N1595" s="22" t="s">
        <v>444</v>
      </c>
      <c r="O1595" s="22" t="s">
        <v>445</v>
      </c>
      <c r="P1595" s="24"/>
      <c r="Q1595" s="22" t="s">
        <v>90</v>
      </c>
      <c r="R1595" s="22">
        <v>3.2788708229443E13</v>
      </c>
      <c r="S1595" s="24"/>
      <c r="T1595" s="24"/>
      <c r="U1595" s="24"/>
      <c r="V1595" s="30" t="s">
        <v>91</v>
      </c>
      <c r="W1595" s="33"/>
      <c r="X1595" s="33"/>
      <c r="Y1595" s="30"/>
      <c r="Z1595" s="30"/>
      <c r="AA1595" s="33"/>
      <c r="AB1595" s="33"/>
      <c r="AC1595" s="30"/>
      <c r="AD1595" s="30"/>
      <c r="AE1595" s="33"/>
      <c r="AF1595" s="31"/>
      <c r="AG1595" s="30"/>
      <c r="AH1595" s="30"/>
      <c r="AI1595" s="31"/>
      <c r="AJ1595" s="31"/>
      <c r="AK1595" s="32"/>
    </row>
    <row r="1596">
      <c r="A1596" s="21" t="s">
        <v>837</v>
      </c>
      <c r="B1596" s="22" t="s">
        <v>1019</v>
      </c>
      <c r="C1596" s="22" t="s">
        <v>82</v>
      </c>
      <c r="D1596" s="26">
        <v>45997.0</v>
      </c>
      <c r="E1596" s="22" t="s">
        <v>975</v>
      </c>
      <c r="F1596" s="22" t="s">
        <v>698</v>
      </c>
      <c r="G1596" s="22" t="s">
        <v>3126</v>
      </c>
      <c r="H1596" s="22" t="s">
        <v>837</v>
      </c>
      <c r="I1596" s="22">
        <v>1.0475850105155E13</v>
      </c>
      <c r="J1596" s="22" t="s">
        <v>3127</v>
      </c>
      <c r="K1596" s="24"/>
      <c r="L1596" s="22" t="s">
        <v>839</v>
      </c>
      <c r="M1596" s="22">
        <v>1.0</v>
      </c>
      <c r="N1596" s="22" t="s">
        <v>819</v>
      </c>
      <c r="O1596" s="22" t="s">
        <v>820</v>
      </c>
      <c r="P1596" s="24"/>
      <c r="Q1596" s="22" t="s">
        <v>90</v>
      </c>
      <c r="R1596" s="22">
        <v>3.2788709441859E13</v>
      </c>
      <c r="S1596" s="24"/>
      <c r="T1596" s="24"/>
      <c r="U1596" s="24"/>
      <c r="V1596" s="30" t="s">
        <v>105</v>
      </c>
      <c r="W1596" s="33"/>
      <c r="X1596" s="33"/>
      <c r="Y1596" s="30"/>
      <c r="Z1596" s="30"/>
      <c r="AA1596" s="33"/>
      <c r="AB1596" s="33"/>
      <c r="AC1596" s="30"/>
      <c r="AD1596" s="30"/>
      <c r="AE1596" s="33"/>
      <c r="AF1596" s="31"/>
      <c r="AG1596" s="30"/>
      <c r="AH1596" s="30"/>
      <c r="AI1596" s="31"/>
      <c r="AJ1596" s="31"/>
      <c r="AK1596" s="32"/>
    </row>
    <row r="1597">
      <c r="A1597" s="21" t="s">
        <v>276</v>
      </c>
      <c r="B1597" s="22" t="s">
        <v>420</v>
      </c>
      <c r="C1597" s="22" t="s">
        <v>82</v>
      </c>
      <c r="D1597" s="26">
        <v>45997.0</v>
      </c>
      <c r="E1597" s="22" t="s">
        <v>153</v>
      </c>
      <c r="F1597" s="22" t="s">
        <v>278</v>
      </c>
      <c r="G1597" s="22" t="s">
        <v>3128</v>
      </c>
      <c r="H1597" s="22" t="s">
        <v>276</v>
      </c>
      <c r="I1597" s="22">
        <v>1.0475922424131E13</v>
      </c>
      <c r="J1597" s="22" t="s">
        <v>3129</v>
      </c>
      <c r="K1597" s="24"/>
      <c r="L1597" s="22" t="s">
        <v>281</v>
      </c>
      <c r="M1597" s="22">
        <v>1.0</v>
      </c>
      <c r="N1597" s="22" t="s">
        <v>282</v>
      </c>
      <c r="O1597" s="22" t="s">
        <v>283</v>
      </c>
      <c r="P1597" s="24"/>
      <c r="Q1597" s="22" t="s">
        <v>90</v>
      </c>
      <c r="R1597" s="22">
        <v>3.2788871184707E13</v>
      </c>
      <c r="S1597" s="24"/>
      <c r="T1597" s="24"/>
      <c r="U1597" s="24"/>
      <c r="V1597" s="30" t="s">
        <v>55</v>
      </c>
      <c r="W1597" s="33"/>
      <c r="X1597" s="33"/>
      <c r="Y1597" s="30"/>
      <c r="Z1597" s="30"/>
      <c r="AA1597" s="33"/>
      <c r="AB1597" s="33"/>
      <c r="AC1597" s="30"/>
      <c r="AD1597" s="30"/>
      <c r="AE1597" s="33"/>
      <c r="AF1597" s="31"/>
      <c r="AG1597" s="30"/>
      <c r="AH1597" s="30"/>
      <c r="AI1597" s="31"/>
      <c r="AJ1597" s="31"/>
      <c r="AK1597" s="32"/>
    </row>
    <row r="1598">
      <c r="A1598" s="21" t="s">
        <v>96</v>
      </c>
      <c r="B1598" s="22" t="s">
        <v>2546</v>
      </c>
      <c r="C1598" s="22" t="s">
        <v>82</v>
      </c>
      <c r="D1598" s="26">
        <v>45997.0</v>
      </c>
      <c r="E1598" s="22" t="s">
        <v>243</v>
      </c>
      <c r="F1598" s="22" t="s">
        <v>83</v>
      </c>
      <c r="G1598" s="22" t="s">
        <v>3130</v>
      </c>
      <c r="H1598" s="22" t="s">
        <v>96</v>
      </c>
      <c r="I1598" s="22">
        <v>1.0475926323523E13</v>
      </c>
      <c r="J1598" s="22" t="s">
        <v>3131</v>
      </c>
      <c r="K1598" s="24"/>
      <c r="L1598" s="22" t="s">
        <v>98</v>
      </c>
      <c r="M1598" s="22">
        <v>1.0</v>
      </c>
      <c r="N1598" s="22" t="s">
        <v>87</v>
      </c>
      <c r="O1598" s="22" t="s">
        <v>88</v>
      </c>
      <c r="P1598" s="24"/>
      <c r="Q1598" s="22" t="s">
        <v>90</v>
      </c>
      <c r="R1598" s="22">
        <v>3.2788879343939E13</v>
      </c>
      <c r="S1598" s="24"/>
      <c r="T1598" s="24"/>
      <c r="U1598" s="24"/>
      <c r="V1598" s="30" t="s">
        <v>55</v>
      </c>
      <c r="W1598" s="33"/>
      <c r="X1598" s="33"/>
      <c r="Y1598" s="30"/>
      <c r="Z1598" s="30"/>
      <c r="AA1598" s="33"/>
      <c r="AB1598" s="33"/>
      <c r="AC1598" s="30"/>
      <c r="AD1598" s="30"/>
      <c r="AE1598" s="33"/>
      <c r="AF1598" s="31"/>
      <c r="AG1598" s="30"/>
      <c r="AH1598" s="30"/>
      <c r="AI1598" s="31"/>
      <c r="AJ1598" s="31"/>
      <c r="AK1598" s="32"/>
    </row>
    <row r="1599">
      <c r="A1599" s="28"/>
      <c r="B1599" s="22" t="s">
        <v>2546</v>
      </c>
      <c r="C1599" s="22" t="s">
        <v>82</v>
      </c>
      <c r="D1599" s="26">
        <v>45997.0</v>
      </c>
      <c r="E1599" s="22" t="s">
        <v>243</v>
      </c>
      <c r="F1599" s="22" t="s">
        <v>83</v>
      </c>
      <c r="G1599" s="22" t="s">
        <v>3130</v>
      </c>
      <c r="H1599" s="29"/>
      <c r="I1599" s="22">
        <v>1.0475926323523E13</v>
      </c>
      <c r="J1599" s="22" t="s">
        <v>3131</v>
      </c>
      <c r="K1599" s="24"/>
      <c r="L1599" s="22" t="s">
        <v>3132</v>
      </c>
      <c r="M1599" s="24"/>
      <c r="N1599" s="24"/>
      <c r="O1599" s="22" t="s">
        <v>768</v>
      </c>
      <c r="P1599" s="24"/>
      <c r="Q1599" s="22" t="s">
        <v>769</v>
      </c>
      <c r="R1599" s="24"/>
      <c r="S1599" s="24"/>
      <c r="T1599" s="24"/>
      <c r="U1599" s="24"/>
      <c r="V1599" s="30"/>
      <c r="W1599" s="33"/>
      <c r="X1599" s="33"/>
      <c r="Y1599" s="30"/>
      <c r="Z1599" s="30"/>
      <c r="AA1599" s="33"/>
      <c r="AB1599" s="33"/>
      <c r="AC1599" s="30"/>
      <c r="AD1599" s="30"/>
      <c r="AE1599" s="33"/>
      <c r="AF1599" s="31"/>
      <c r="AG1599" s="30"/>
      <c r="AH1599" s="30"/>
      <c r="AI1599" s="31"/>
      <c r="AJ1599" s="31"/>
      <c r="AK1599" s="32"/>
    </row>
    <row r="1600">
      <c r="A1600" s="21" t="s">
        <v>569</v>
      </c>
      <c r="B1600" s="22" t="s">
        <v>665</v>
      </c>
      <c r="C1600" s="22" t="s">
        <v>82</v>
      </c>
      <c r="D1600" s="26">
        <v>45997.0</v>
      </c>
      <c r="E1600" s="22" t="s">
        <v>196</v>
      </c>
      <c r="F1600" s="22" t="s">
        <v>472</v>
      </c>
      <c r="G1600" s="22" t="s">
        <v>3133</v>
      </c>
      <c r="H1600" s="22" t="s">
        <v>569</v>
      </c>
      <c r="I1600" s="22">
        <v>1.0475949195587E13</v>
      </c>
      <c r="J1600" s="22" t="s">
        <v>3134</v>
      </c>
      <c r="K1600" s="24"/>
      <c r="L1600" s="22" t="s">
        <v>571</v>
      </c>
      <c r="M1600" s="22">
        <v>1.0</v>
      </c>
      <c r="N1600" s="22" t="s">
        <v>534</v>
      </c>
      <c r="O1600" s="22" t="s">
        <v>535</v>
      </c>
      <c r="P1600" s="24"/>
      <c r="Q1600" s="22" t="s">
        <v>90</v>
      </c>
      <c r="R1600" s="22">
        <v>3.2788926792003E13</v>
      </c>
      <c r="S1600" s="24"/>
      <c r="T1600" s="24"/>
      <c r="U1600" s="24"/>
      <c r="V1600" s="30" t="s">
        <v>105</v>
      </c>
      <c r="W1600" s="33"/>
      <c r="X1600" s="33"/>
      <c r="Y1600" s="30"/>
      <c r="Z1600" s="30"/>
      <c r="AA1600" s="33"/>
      <c r="AB1600" s="33"/>
      <c r="AC1600" s="30"/>
      <c r="AD1600" s="30"/>
      <c r="AE1600" s="33"/>
      <c r="AF1600" s="31"/>
      <c r="AG1600" s="30"/>
      <c r="AH1600" s="30"/>
      <c r="AI1600" s="31"/>
      <c r="AJ1600" s="31"/>
      <c r="AK1600" s="32"/>
    </row>
    <row r="1601">
      <c r="A1601" s="21" t="s">
        <v>1217</v>
      </c>
      <c r="B1601" s="22" t="s">
        <v>1510</v>
      </c>
      <c r="C1601" s="22" t="s">
        <v>82</v>
      </c>
      <c r="D1601" s="26">
        <v>45997.0</v>
      </c>
      <c r="E1601" s="22" t="s">
        <v>266</v>
      </c>
      <c r="F1601" s="22" t="s">
        <v>605</v>
      </c>
      <c r="G1601" s="22" t="s">
        <v>3135</v>
      </c>
      <c r="H1601" s="22" t="s">
        <v>1217</v>
      </c>
      <c r="I1601" s="22">
        <v>1.0475954471235E13</v>
      </c>
      <c r="J1601" s="22" t="s">
        <v>3111</v>
      </c>
      <c r="K1601" s="24"/>
      <c r="L1601" s="22" t="s">
        <v>1219</v>
      </c>
      <c r="M1601" s="22">
        <v>1.0</v>
      </c>
      <c r="N1601" s="22" t="s">
        <v>609</v>
      </c>
      <c r="O1601" s="22" t="s">
        <v>610</v>
      </c>
      <c r="P1601" s="24"/>
      <c r="Q1601" s="22" t="s">
        <v>90</v>
      </c>
      <c r="R1601" s="22">
        <v>3.2788939374915E13</v>
      </c>
      <c r="S1601" s="24"/>
      <c r="T1601" s="24"/>
      <c r="U1601" s="24"/>
      <c r="V1601" s="30" t="s">
        <v>91</v>
      </c>
      <c r="W1601" s="33"/>
      <c r="X1601" s="33"/>
      <c r="Y1601" s="30"/>
      <c r="Z1601" s="30"/>
      <c r="AA1601" s="33"/>
      <c r="AB1601" s="33"/>
      <c r="AC1601" s="30"/>
      <c r="AD1601" s="30"/>
      <c r="AE1601" s="33"/>
      <c r="AF1601" s="31"/>
      <c r="AG1601" s="30"/>
      <c r="AH1601" s="30"/>
      <c r="AI1601" s="31"/>
      <c r="AJ1601" s="31"/>
      <c r="AK1601" s="32"/>
    </row>
    <row r="1602">
      <c r="A1602" s="21" t="s">
        <v>124</v>
      </c>
      <c r="B1602" s="22" t="s">
        <v>2553</v>
      </c>
      <c r="C1602" s="22" t="s">
        <v>82</v>
      </c>
      <c r="D1602" s="26">
        <v>45997.0</v>
      </c>
      <c r="E1602" s="22" t="s">
        <v>252</v>
      </c>
      <c r="F1602" s="22" t="s">
        <v>83</v>
      </c>
      <c r="G1602" s="22" t="s">
        <v>3136</v>
      </c>
      <c r="H1602" s="22" t="s">
        <v>124</v>
      </c>
      <c r="I1602" s="22">
        <v>1.0476032262467E13</v>
      </c>
      <c r="J1602" s="22" t="s">
        <v>3137</v>
      </c>
      <c r="K1602" s="24"/>
      <c r="L1602" s="22" t="s">
        <v>126</v>
      </c>
      <c r="M1602" s="22">
        <v>1.0</v>
      </c>
      <c r="N1602" s="22" t="s">
        <v>103</v>
      </c>
      <c r="O1602" s="22" t="s">
        <v>104</v>
      </c>
      <c r="P1602" s="24"/>
      <c r="Q1602" s="22" t="s">
        <v>90</v>
      </c>
      <c r="R1602" s="22">
        <v>3.2789104886083E13</v>
      </c>
      <c r="S1602" s="24"/>
      <c r="T1602" s="24"/>
      <c r="U1602" s="24"/>
      <c r="V1602" s="30" t="s">
        <v>127</v>
      </c>
      <c r="W1602" s="33"/>
      <c r="X1602" s="33"/>
      <c r="Y1602" s="30"/>
      <c r="Z1602" s="30"/>
      <c r="AA1602" s="33"/>
      <c r="AB1602" s="33"/>
      <c r="AC1602" s="30"/>
      <c r="AD1602" s="30"/>
      <c r="AE1602" s="33"/>
      <c r="AF1602" s="31"/>
      <c r="AG1602" s="30"/>
      <c r="AH1602" s="30"/>
      <c r="AI1602" s="31"/>
      <c r="AJ1602" s="31"/>
      <c r="AK1602" s="32"/>
    </row>
    <row r="1603">
      <c r="A1603" s="21" t="s">
        <v>495</v>
      </c>
      <c r="B1603" s="22" t="s">
        <v>1356</v>
      </c>
      <c r="C1603" s="22" t="s">
        <v>273</v>
      </c>
      <c r="D1603" s="23">
        <v>45991.0</v>
      </c>
      <c r="E1603" s="22" t="s">
        <v>153</v>
      </c>
      <c r="F1603" s="22" t="s">
        <v>329</v>
      </c>
      <c r="G1603" s="22" t="s">
        <v>3138</v>
      </c>
      <c r="H1603" s="22" t="s">
        <v>495</v>
      </c>
      <c r="I1603" s="22">
        <v>1.0476046352707E13</v>
      </c>
      <c r="J1603" s="22" t="s">
        <v>2962</v>
      </c>
      <c r="K1603" s="24"/>
      <c r="L1603" s="22" t="s">
        <v>500</v>
      </c>
      <c r="M1603" s="22">
        <v>1.0</v>
      </c>
      <c r="N1603" s="22" t="s">
        <v>333</v>
      </c>
      <c r="O1603" s="22" t="s">
        <v>334</v>
      </c>
      <c r="P1603" s="24"/>
      <c r="Q1603" s="22" t="s">
        <v>90</v>
      </c>
      <c r="R1603" s="22">
        <v>3.2789133230403E13</v>
      </c>
      <c r="S1603" s="24"/>
      <c r="T1603" s="24"/>
      <c r="U1603" s="24"/>
      <c r="V1603" s="30" t="s">
        <v>54</v>
      </c>
      <c r="W1603" s="33"/>
      <c r="X1603" s="33"/>
      <c r="Y1603" s="30"/>
      <c r="Z1603" s="30"/>
      <c r="AA1603" s="33"/>
      <c r="AB1603" s="33"/>
      <c r="AC1603" s="30"/>
      <c r="AD1603" s="30"/>
      <c r="AE1603" s="33"/>
      <c r="AF1603" s="31"/>
      <c r="AG1603" s="30"/>
      <c r="AH1603" s="30"/>
      <c r="AI1603" s="31"/>
      <c r="AJ1603" s="31"/>
      <c r="AK1603" s="32"/>
    </row>
    <row r="1604">
      <c r="A1604" s="21" t="s">
        <v>1175</v>
      </c>
      <c r="B1604" s="22" t="s">
        <v>1039</v>
      </c>
      <c r="C1604" s="22" t="s">
        <v>273</v>
      </c>
      <c r="D1604" s="23">
        <v>45991.0</v>
      </c>
      <c r="E1604" s="22" t="s">
        <v>248</v>
      </c>
      <c r="F1604" s="22" t="s">
        <v>329</v>
      </c>
      <c r="G1604" s="22" t="s">
        <v>3139</v>
      </c>
      <c r="H1604" s="22" t="s">
        <v>1175</v>
      </c>
      <c r="I1604" s="22">
        <v>1.0476069749059E13</v>
      </c>
      <c r="J1604" s="22" t="s">
        <v>3140</v>
      </c>
      <c r="K1604" s="24"/>
      <c r="L1604" s="22" t="s">
        <v>1179</v>
      </c>
      <c r="M1604" s="22">
        <v>1.0</v>
      </c>
      <c r="N1604" s="22" t="s">
        <v>907</v>
      </c>
      <c r="O1604" s="22" t="s">
        <v>908</v>
      </c>
      <c r="P1604" s="24"/>
      <c r="Q1604" s="22" t="s">
        <v>90</v>
      </c>
      <c r="R1604" s="22">
        <v>3.2789182742851E13</v>
      </c>
      <c r="S1604" s="24"/>
      <c r="T1604" s="24"/>
      <c r="U1604" s="24"/>
      <c r="V1604" s="30" t="s">
        <v>127</v>
      </c>
      <c r="W1604" s="33"/>
      <c r="X1604" s="33"/>
      <c r="Y1604" s="30"/>
      <c r="Z1604" s="30"/>
      <c r="AA1604" s="33"/>
      <c r="AB1604" s="33"/>
      <c r="AC1604" s="30"/>
      <c r="AD1604" s="30"/>
      <c r="AE1604" s="33"/>
      <c r="AF1604" s="31"/>
      <c r="AG1604" s="30"/>
      <c r="AH1604" s="30"/>
      <c r="AI1604" s="31"/>
      <c r="AJ1604" s="31"/>
      <c r="AK1604" s="32"/>
    </row>
    <row r="1605">
      <c r="A1605" s="21" t="s">
        <v>99</v>
      </c>
      <c r="B1605" s="22" t="s">
        <v>2339</v>
      </c>
      <c r="C1605" s="22" t="s">
        <v>82</v>
      </c>
      <c r="D1605" s="26">
        <v>45997.0</v>
      </c>
      <c r="E1605" s="22" t="s">
        <v>192</v>
      </c>
      <c r="F1605" s="22" t="s">
        <v>83</v>
      </c>
      <c r="G1605" s="22" t="s">
        <v>3141</v>
      </c>
      <c r="H1605" s="22" t="s">
        <v>99</v>
      </c>
      <c r="I1605" s="22">
        <v>1.0476075352387E13</v>
      </c>
      <c r="J1605" s="22" t="s">
        <v>3142</v>
      </c>
      <c r="K1605" s="24"/>
      <c r="L1605" s="22" t="s">
        <v>102</v>
      </c>
      <c r="M1605" s="22">
        <v>1.0</v>
      </c>
      <c r="N1605" s="22" t="s">
        <v>103</v>
      </c>
      <c r="O1605" s="22" t="s">
        <v>104</v>
      </c>
      <c r="P1605" s="24"/>
      <c r="Q1605" s="22" t="s">
        <v>90</v>
      </c>
      <c r="R1605" s="22">
        <v>3.2789194998083E13</v>
      </c>
      <c r="S1605" s="24"/>
      <c r="T1605" s="24"/>
      <c r="U1605" s="24"/>
      <c r="V1605" s="30" t="s">
        <v>105</v>
      </c>
      <c r="W1605" s="33"/>
      <c r="X1605" s="33"/>
      <c r="Y1605" s="30"/>
      <c r="Z1605" s="30"/>
      <c r="AA1605" s="33"/>
      <c r="AB1605" s="33"/>
      <c r="AC1605" s="30"/>
      <c r="AD1605" s="30"/>
      <c r="AE1605" s="33"/>
      <c r="AF1605" s="31"/>
      <c r="AG1605" s="30"/>
      <c r="AH1605" s="30"/>
      <c r="AI1605" s="31"/>
      <c r="AJ1605" s="31"/>
      <c r="AK1605" s="32"/>
    </row>
    <row r="1606">
      <c r="A1606" s="21" t="s">
        <v>367</v>
      </c>
      <c r="B1606" s="22" t="s">
        <v>587</v>
      </c>
      <c r="C1606" s="22" t="s">
        <v>273</v>
      </c>
      <c r="D1606" s="26">
        <v>45998.0</v>
      </c>
      <c r="E1606" s="22" t="s">
        <v>153</v>
      </c>
      <c r="F1606" s="22" t="s">
        <v>369</v>
      </c>
      <c r="G1606" s="22" t="s">
        <v>3143</v>
      </c>
      <c r="H1606" s="22" t="s">
        <v>367</v>
      </c>
      <c r="I1606" s="22">
        <v>1.0476200755523E13</v>
      </c>
      <c r="J1606" s="22" t="s">
        <v>2971</v>
      </c>
      <c r="K1606" s="24"/>
      <c r="L1606" s="22" t="s">
        <v>372</v>
      </c>
      <c r="M1606" s="22">
        <v>1.0</v>
      </c>
      <c r="N1606" s="22" t="s">
        <v>373</v>
      </c>
      <c r="O1606" s="22" t="s">
        <v>374</v>
      </c>
      <c r="P1606" s="24"/>
      <c r="Q1606" s="22" t="s">
        <v>90</v>
      </c>
      <c r="R1606" s="22">
        <v>3.2789463204163E13</v>
      </c>
      <c r="S1606" s="24"/>
      <c r="T1606" s="24"/>
      <c r="U1606" s="24"/>
      <c r="V1606" s="30" t="s">
        <v>55</v>
      </c>
      <c r="W1606" s="33"/>
      <c r="X1606" s="33"/>
      <c r="Y1606" s="30"/>
      <c r="Z1606" s="30"/>
      <c r="AA1606" s="33"/>
      <c r="AB1606" s="33"/>
      <c r="AC1606" s="30"/>
      <c r="AD1606" s="30"/>
      <c r="AE1606" s="33"/>
      <c r="AF1606" s="31"/>
      <c r="AG1606" s="30"/>
      <c r="AH1606" s="30"/>
      <c r="AI1606" s="31"/>
      <c r="AJ1606" s="31"/>
      <c r="AK1606" s="32"/>
    </row>
    <row r="1607">
      <c r="A1607" s="21" t="s">
        <v>1175</v>
      </c>
      <c r="B1607" s="22" t="s">
        <v>1138</v>
      </c>
      <c r="C1607" s="22" t="s">
        <v>273</v>
      </c>
      <c r="D1607" s="23">
        <v>45991.0</v>
      </c>
      <c r="E1607" s="22" t="s">
        <v>145</v>
      </c>
      <c r="F1607" s="22" t="s">
        <v>329</v>
      </c>
      <c r="G1607" s="22" t="s">
        <v>3144</v>
      </c>
      <c r="H1607" s="22" t="s">
        <v>1175</v>
      </c>
      <c r="I1607" s="22">
        <v>1.0476244500803E13</v>
      </c>
      <c r="J1607" s="22" t="s">
        <v>3145</v>
      </c>
      <c r="K1607" s="24"/>
      <c r="L1607" s="22" t="s">
        <v>1179</v>
      </c>
      <c r="M1607" s="22">
        <v>1.0</v>
      </c>
      <c r="N1607" s="22" t="s">
        <v>907</v>
      </c>
      <c r="O1607" s="22" t="s">
        <v>908</v>
      </c>
      <c r="P1607" s="24"/>
      <c r="Q1607" s="22" t="s">
        <v>90</v>
      </c>
      <c r="R1607" s="22">
        <v>3.2789560426819E13</v>
      </c>
      <c r="S1607" s="24"/>
      <c r="T1607" s="24"/>
      <c r="U1607" s="24"/>
      <c r="V1607" s="30" t="s">
        <v>127</v>
      </c>
      <c r="W1607" s="33"/>
      <c r="X1607" s="33"/>
      <c r="Y1607" s="30"/>
      <c r="Z1607" s="30"/>
      <c r="AA1607" s="33"/>
      <c r="AB1607" s="33"/>
      <c r="AC1607" s="30"/>
      <c r="AD1607" s="30"/>
      <c r="AE1607" s="33"/>
      <c r="AF1607" s="31"/>
      <c r="AG1607" s="30"/>
      <c r="AH1607" s="30"/>
      <c r="AI1607" s="31"/>
      <c r="AJ1607" s="31"/>
      <c r="AK1607" s="32"/>
    </row>
    <row r="1608">
      <c r="A1608" s="21" t="s">
        <v>584</v>
      </c>
      <c r="B1608" s="22" t="s">
        <v>1120</v>
      </c>
      <c r="C1608" s="22" t="s">
        <v>82</v>
      </c>
      <c r="D1608" s="23">
        <v>46004.0</v>
      </c>
      <c r="E1608" s="22" t="s">
        <v>153</v>
      </c>
      <c r="F1608" s="22" t="s">
        <v>377</v>
      </c>
      <c r="G1608" s="22" t="s">
        <v>3146</v>
      </c>
      <c r="H1608" s="22" t="s">
        <v>584</v>
      </c>
      <c r="I1608" s="22">
        <v>1.0476268192067E13</v>
      </c>
      <c r="J1608" s="22" t="s">
        <v>3021</v>
      </c>
      <c r="K1608" s="24"/>
      <c r="L1608" s="22" t="s">
        <v>586</v>
      </c>
      <c r="M1608" s="22">
        <v>1.0</v>
      </c>
      <c r="N1608" s="22" t="s">
        <v>413</v>
      </c>
      <c r="O1608" s="22" t="s">
        <v>414</v>
      </c>
      <c r="P1608" s="24"/>
      <c r="Q1608" s="22" t="s">
        <v>90</v>
      </c>
      <c r="R1608" s="22">
        <v>3.2789611610435E13</v>
      </c>
      <c r="S1608" s="24"/>
      <c r="T1608" s="24"/>
      <c r="U1608" s="24"/>
      <c r="V1608" s="30" t="s">
        <v>105</v>
      </c>
      <c r="W1608" s="33"/>
      <c r="X1608" s="33"/>
      <c r="Y1608" s="30"/>
      <c r="Z1608" s="30"/>
      <c r="AA1608" s="33"/>
      <c r="AB1608" s="33"/>
      <c r="AC1608" s="30"/>
      <c r="AD1608" s="30"/>
      <c r="AE1608" s="33"/>
      <c r="AF1608" s="31"/>
      <c r="AG1608" s="30"/>
      <c r="AH1608" s="30"/>
      <c r="AI1608" s="31"/>
      <c r="AJ1608" s="31"/>
      <c r="AK1608" s="32"/>
    </row>
    <row r="1609">
      <c r="A1609" s="21" t="s">
        <v>696</v>
      </c>
      <c r="B1609" s="22" t="s">
        <v>815</v>
      </c>
      <c r="C1609" s="22" t="s">
        <v>82</v>
      </c>
      <c r="D1609" s="26">
        <v>45997.0</v>
      </c>
      <c r="E1609" s="22" t="s">
        <v>187</v>
      </c>
      <c r="F1609" s="22" t="s">
        <v>698</v>
      </c>
      <c r="G1609" s="22" t="s">
        <v>3147</v>
      </c>
      <c r="H1609" s="22" t="s">
        <v>696</v>
      </c>
      <c r="I1609" s="22">
        <v>1.0475185668419E13</v>
      </c>
      <c r="J1609" s="22" t="s">
        <v>2995</v>
      </c>
      <c r="K1609" s="24"/>
      <c r="L1609" s="22" t="s">
        <v>701</v>
      </c>
      <c r="M1609" s="22">
        <v>1.0</v>
      </c>
      <c r="N1609" s="22" t="s">
        <v>702</v>
      </c>
      <c r="O1609" s="22" t="s">
        <v>703</v>
      </c>
      <c r="P1609" s="24"/>
      <c r="Q1609" s="22" t="s">
        <v>90</v>
      </c>
      <c r="R1609" s="22">
        <v>3.2787276759363E13</v>
      </c>
      <c r="S1609" s="24"/>
      <c r="T1609" s="24"/>
      <c r="U1609" s="24"/>
      <c r="V1609" s="30" t="s">
        <v>55</v>
      </c>
      <c r="W1609" s="33"/>
      <c r="X1609" s="33"/>
      <c r="Y1609" s="30"/>
      <c r="Z1609" s="30"/>
      <c r="AA1609" s="33"/>
      <c r="AB1609" s="33"/>
      <c r="AC1609" s="30"/>
      <c r="AD1609" s="30"/>
      <c r="AE1609" s="33"/>
      <c r="AF1609" s="31"/>
      <c r="AG1609" s="30"/>
      <c r="AH1609" s="30"/>
      <c r="AI1609" s="31"/>
      <c r="AJ1609" s="31"/>
      <c r="AK1609" s="32"/>
    </row>
    <row r="1610">
      <c r="A1610" s="21" t="s">
        <v>709</v>
      </c>
      <c r="B1610" s="22" t="s">
        <v>3148</v>
      </c>
      <c r="C1610" s="22" t="s">
        <v>287</v>
      </c>
      <c r="D1610" s="26">
        <v>45994.0</v>
      </c>
      <c r="E1610" s="22" t="s">
        <v>266</v>
      </c>
      <c r="F1610" s="22" t="s">
        <v>311</v>
      </c>
      <c r="G1610" s="22" t="s">
        <v>3149</v>
      </c>
      <c r="H1610" s="22" t="s">
        <v>709</v>
      </c>
      <c r="I1610" s="22">
        <v>1.0476370755907E13</v>
      </c>
      <c r="J1610" s="22" t="s">
        <v>3150</v>
      </c>
      <c r="K1610" s="24"/>
      <c r="L1610" s="22" t="s">
        <v>713</v>
      </c>
      <c r="M1610" s="22">
        <v>1.0</v>
      </c>
      <c r="N1610" s="22" t="s">
        <v>391</v>
      </c>
      <c r="O1610" s="22" t="s">
        <v>392</v>
      </c>
      <c r="P1610" s="24"/>
      <c r="Q1610" s="22" t="s">
        <v>90</v>
      </c>
      <c r="R1610" s="22">
        <v>3.2789830861123E13</v>
      </c>
      <c r="S1610" s="24"/>
      <c r="T1610" s="24"/>
      <c r="U1610" s="24"/>
      <c r="V1610" s="30" t="s">
        <v>91</v>
      </c>
      <c r="W1610" s="33"/>
      <c r="X1610" s="33"/>
      <c r="Y1610" s="30"/>
      <c r="Z1610" s="30"/>
      <c r="AA1610" s="33"/>
      <c r="AB1610" s="33"/>
      <c r="AC1610" s="30"/>
      <c r="AD1610" s="30"/>
      <c r="AE1610" s="33"/>
      <c r="AF1610" s="31"/>
      <c r="AG1610" s="30"/>
      <c r="AH1610" s="30"/>
      <c r="AI1610" s="31"/>
      <c r="AJ1610" s="31"/>
      <c r="AK1610" s="32"/>
    </row>
    <row r="1611">
      <c r="A1611" s="28"/>
      <c r="B1611" s="22" t="s">
        <v>3148</v>
      </c>
      <c r="C1611" s="22" t="s">
        <v>287</v>
      </c>
      <c r="D1611" s="26">
        <v>45994.0</v>
      </c>
      <c r="E1611" s="22" t="s">
        <v>266</v>
      </c>
      <c r="F1611" s="22" t="s">
        <v>311</v>
      </c>
      <c r="G1611" s="22" t="s">
        <v>3149</v>
      </c>
      <c r="H1611" s="29"/>
      <c r="I1611" s="22">
        <v>1.0476370755907E13</v>
      </c>
      <c r="J1611" s="22" t="s">
        <v>3150</v>
      </c>
      <c r="K1611" s="24"/>
      <c r="L1611" s="22" t="s">
        <v>3151</v>
      </c>
      <c r="M1611" s="24"/>
      <c r="N1611" s="24"/>
      <c r="O1611" s="22" t="s">
        <v>768</v>
      </c>
      <c r="P1611" s="24"/>
      <c r="Q1611" s="22" t="s">
        <v>769</v>
      </c>
      <c r="R1611" s="24"/>
      <c r="S1611" s="24"/>
      <c r="T1611" s="24"/>
      <c r="U1611" s="24"/>
      <c r="V1611" s="30"/>
      <c r="W1611" s="33"/>
      <c r="X1611" s="33"/>
      <c r="Y1611" s="30"/>
      <c r="Z1611" s="30"/>
      <c r="AA1611" s="33"/>
      <c r="AB1611" s="33"/>
      <c r="AC1611" s="30"/>
      <c r="AD1611" s="30"/>
      <c r="AE1611" s="33"/>
      <c r="AF1611" s="31"/>
      <c r="AG1611" s="30"/>
      <c r="AH1611" s="30"/>
      <c r="AI1611" s="31"/>
      <c r="AJ1611" s="31"/>
      <c r="AK1611" s="32"/>
    </row>
    <row r="1612">
      <c r="A1612" s="21" t="s">
        <v>1204</v>
      </c>
      <c r="B1612" s="22" t="s">
        <v>763</v>
      </c>
      <c r="C1612" s="22" t="s">
        <v>82</v>
      </c>
      <c r="D1612" s="26">
        <v>45997.0</v>
      </c>
      <c r="E1612" s="22" t="s">
        <v>149</v>
      </c>
      <c r="F1612" s="22" t="s">
        <v>623</v>
      </c>
      <c r="G1612" s="22" t="s">
        <v>3152</v>
      </c>
      <c r="H1612" s="22" t="s">
        <v>1204</v>
      </c>
      <c r="I1612" s="22">
        <v>1.0476483182915E13</v>
      </c>
      <c r="J1612" s="22" t="s">
        <v>2990</v>
      </c>
      <c r="K1612" s="24"/>
      <c r="L1612" s="22" t="s">
        <v>1208</v>
      </c>
      <c r="M1612" s="22">
        <v>1.0</v>
      </c>
      <c r="N1612" s="22" t="s">
        <v>627</v>
      </c>
      <c r="O1612" s="22" t="s">
        <v>628</v>
      </c>
      <c r="P1612" s="24"/>
      <c r="Q1612" s="22" t="s">
        <v>90</v>
      </c>
      <c r="R1612" s="22">
        <v>3.2790067609923E13</v>
      </c>
      <c r="S1612" s="24"/>
      <c r="T1612" s="24"/>
      <c r="U1612" s="24"/>
      <c r="V1612" s="30" t="s">
        <v>91</v>
      </c>
      <c r="W1612" s="33"/>
      <c r="X1612" s="33"/>
      <c r="Y1612" s="30"/>
      <c r="Z1612" s="30"/>
      <c r="AA1612" s="33"/>
      <c r="AB1612" s="33"/>
      <c r="AC1612" s="30"/>
      <c r="AD1612" s="30"/>
      <c r="AE1612" s="33"/>
      <c r="AF1612" s="31"/>
      <c r="AG1612" s="30"/>
      <c r="AH1612" s="30"/>
      <c r="AI1612" s="31"/>
      <c r="AJ1612" s="31"/>
      <c r="AK1612" s="32"/>
    </row>
    <row r="1613">
      <c r="A1613" s="21" t="s">
        <v>1724</v>
      </c>
      <c r="B1613" s="22" t="s">
        <v>596</v>
      </c>
      <c r="C1613" s="22" t="s">
        <v>273</v>
      </c>
      <c r="D1613" s="26">
        <v>45998.0</v>
      </c>
      <c r="E1613" s="22" t="s">
        <v>266</v>
      </c>
      <c r="F1613" s="22" t="s">
        <v>369</v>
      </c>
      <c r="G1613" s="22" t="s">
        <v>3153</v>
      </c>
      <c r="H1613" s="22" t="s">
        <v>1724</v>
      </c>
      <c r="I1613" s="22">
        <v>1.0476526141763E13</v>
      </c>
      <c r="J1613" s="22" t="s">
        <v>3154</v>
      </c>
      <c r="K1613" s="24"/>
      <c r="L1613" s="22" t="s">
        <v>1726</v>
      </c>
      <c r="M1613" s="22">
        <v>1.0</v>
      </c>
      <c r="N1613" s="22" t="s">
        <v>600</v>
      </c>
      <c r="O1613" s="22" t="s">
        <v>601</v>
      </c>
      <c r="P1613" s="24"/>
      <c r="Q1613" s="22" t="s">
        <v>90</v>
      </c>
      <c r="R1613" s="22">
        <v>3.2790156607811E13</v>
      </c>
      <c r="S1613" s="24"/>
      <c r="T1613" s="24"/>
      <c r="U1613" s="24"/>
      <c r="V1613" s="30" t="s">
        <v>175</v>
      </c>
      <c r="W1613" s="33"/>
      <c r="X1613" s="33"/>
      <c r="Y1613" s="30"/>
      <c r="Z1613" s="30"/>
      <c r="AA1613" s="33"/>
      <c r="AB1613" s="33"/>
      <c r="AC1613" s="30"/>
      <c r="AD1613" s="30"/>
      <c r="AE1613" s="33"/>
      <c r="AF1613" s="31"/>
      <c r="AG1613" s="30"/>
      <c r="AH1613" s="30"/>
      <c r="AI1613" s="31"/>
      <c r="AJ1613" s="31"/>
      <c r="AK1613" s="32"/>
    </row>
    <row r="1614">
      <c r="A1614" s="28"/>
      <c r="B1614" s="22" t="s">
        <v>596</v>
      </c>
      <c r="C1614" s="22" t="s">
        <v>273</v>
      </c>
      <c r="D1614" s="26">
        <v>45998.0</v>
      </c>
      <c r="E1614" s="22" t="s">
        <v>266</v>
      </c>
      <c r="F1614" s="22" t="s">
        <v>369</v>
      </c>
      <c r="G1614" s="22" t="s">
        <v>3153</v>
      </c>
      <c r="H1614" s="29"/>
      <c r="I1614" s="22">
        <v>1.0476526141763E13</v>
      </c>
      <c r="J1614" s="22" t="s">
        <v>3154</v>
      </c>
      <c r="K1614" s="24"/>
      <c r="L1614" s="22" t="s">
        <v>3155</v>
      </c>
      <c r="M1614" s="24"/>
      <c r="N1614" s="24"/>
      <c r="O1614" s="22" t="s">
        <v>768</v>
      </c>
      <c r="P1614" s="24"/>
      <c r="Q1614" s="22" t="s">
        <v>769</v>
      </c>
      <c r="R1614" s="24"/>
      <c r="S1614" s="24"/>
      <c r="T1614" s="24"/>
      <c r="U1614" s="24"/>
      <c r="V1614" s="30"/>
      <c r="W1614" s="33"/>
      <c r="X1614" s="33"/>
      <c r="Y1614" s="30"/>
      <c r="Z1614" s="30"/>
      <c r="AA1614" s="33"/>
      <c r="AB1614" s="33"/>
      <c r="AC1614" s="30"/>
      <c r="AD1614" s="30"/>
      <c r="AE1614" s="33"/>
      <c r="AF1614" s="31"/>
      <c r="AG1614" s="30"/>
      <c r="AH1614" s="30"/>
      <c r="AI1614" s="31"/>
      <c r="AJ1614" s="31"/>
      <c r="AK1614" s="32"/>
    </row>
    <row r="1615">
      <c r="A1615" s="21" t="s">
        <v>845</v>
      </c>
      <c r="B1615" s="22" t="s">
        <v>450</v>
      </c>
      <c r="C1615" s="22" t="s">
        <v>82</v>
      </c>
      <c r="D1615" s="26">
        <v>45997.0</v>
      </c>
      <c r="E1615" s="22" t="s">
        <v>134</v>
      </c>
      <c r="F1615" s="22" t="s">
        <v>451</v>
      </c>
      <c r="G1615" s="22" t="s">
        <v>3156</v>
      </c>
      <c r="H1615" s="22" t="s">
        <v>845</v>
      </c>
      <c r="I1615" s="22">
        <v>1.0476561695043E13</v>
      </c>
      <c r="J1615" s="22" t="s">
        <v>3044</v>
      </c>
      <c r="K1615" s="24"/>
      <c r="L1615" s="22" t="s">
        <v>847</v>
      </c>
      <c r="M1615" s="22">
        <v>1.0</v>
      </c>
      <c r="N1615" s="22" t="s">
        <v>455</v>
      </c>
      <c r="O1615" s="22" t="s">
        <v>456</v>
      </c>
      <c r="P1615" s="24"/>
      <c r="Q1615" s="22" t="s">
        <v>90</v>
      </c>
      <c r="R1615" s="22">
        <v>3.2790233284931E13</v>
      </c>
      <c r="S1615" s="24"/>
      <c r="T1615" s="24"/>
      <c r="U1615" s="24"/>
      <c r="V1615" s="30" t="s">
        <v>55</v>
      </c>
      <c r="W1615" s="33"/>
      <c r="X1615" s="33"/>
      <c r="Y1615" s="30"/>
      <c r="Z1615" s="30"/>
      <c r="AA1615" s="33"/>
      <c r="AB1615" s="33"/>
      <c r="AC1615" s="30"/>
      <c r="AD1615" s="30"/>
      <c r="AE1615" s="33"/>
      <c r="AF1615" s="31"/>
      <c r="AG1615" s="30"/>
      <c r="AH1615" s="30"/>
      <c r="AI1615" s="31"/>
      <c r="AJ1615" s="31"/>
      <c r="AK1615" s="32"/>
    </row>
    <row r="1616">
      <c r="A1616" s="21" t="s">
        <v>158</v>
      </c>
      <c r="B1616" s="22" t="s">
        <v>1714</v>
      </c>
      <c r="C1616" s="22" t="s">
        <v>82</v>
      </c>
      <c r="D1616" s="26">
        <v>45997.0</v>
      </c>
      <c r="E1616" s="22" t="s">
        <v>168</v>
      </c>
      <c r="F1616" s="22" t="s">
        <v>111</v>
      </c>
      <c r="G1616" s="22" t="s">
        <v>3157</v>
      </c>
      <c r="H1616" s="22" t="s">
        <v>158</v>
      </c>
      <c r="I1616" s="22">
        <v>1.0476622905667E13</v>
      </c>
      <c r="J1616" s="22" t="s">
        <v>3158</v>
      </c>
      <c r="K1616" s="24"/>
      <c r="L1616" s="22" t="s">
        <v>163</v>
      </c>
      <c r="M1616" s="22">
        <v>1.0</v>
      </c>
      <c r="N1616" s="22" t="s">
        <v>164</v>
      </c>
      <c r="O1616" s="22" t="s">
        <v>165</v>
      </c>
      <c r="P1616" s="24"/>
      <c r="Q1616" s="22" t="s">
        <v>90</v>
      </c>
      <c r="R1616" s="22">
        <v>3.2790358163779E13</v>
      </c>
      <c r="S1616" s="24"/>
      <c r="T1616" s="24"/>
      <c r="U1616" s="24"/>
      <c r="V1616" s="30" t="s">
        <v>127</v>
      </c>
      <c r="W1616" s="33"/>
      <c r="X1616" s="33"/>
      <c r="Y1616" s="30"/>
      <c r="Z1616" s="30"/>
      <c r="AA1616" s="33"/>
      <c r="AB1616" s="33"/>
      <c r="AC1616" s="30"/>
      <c r="AD1616" s="30"/>
      <c r="AE1616" s="33"/>
      <c r="AF1616" s="31"/>
      <c r="AG1616" s="30"/>
      <c r="AH1616" s="30"/>
      <c r="AI1616" s="31"/>
      <c r="AJ1616" s="31"/>
      <c r="AK1616" s="32"/>
    </row>
    <row r="1617">
      <c r="A1617" s="21" t="s">
        <v>1554</v>
      </c>
      <c r="B1617" s="22" t="s">
        <v>2944</v>
      </c>
      <c r="C1617" s="22" t="s">
        <v>82</v>
      </c>
      <c r="D1617" s="26">
        <v>45997.0</v>
      </c>
      <c r="E1617" s="22" t="s">
        <v>138</v>
      </c>
      <c r="F1617" s="22" t="s">
        <v>1466</v>
      </c>
      <c r="G1617" s="22" t="s">
        <v>3159</v>
      </c>
      <c r="H1617" s="22" t="s">
        <v>1554</v>
      </c>
      <c r="I1617" s="22">
        <v>1.0475206672707E13</v>
      </c>
      <c r="J1617" s="22" t="s">
        <v>2946</v>
      </c>
      <c r="K1617" s="24"/>
      <c r="L1617" s="22" t="s">
        <v>1556</v>
      </c>
      <c r="M1617" s="22">
        <v>1.0</v>
      </c>
      <c r="N1617" s="22" t="s">
        <v>1470</v>
      </c>
      <c r="O1617" s="22" t="s">
        <v>1471</v>
      </c>
      <c r="P1617" s="24"/>
      <c r="Q1617" s="22" t="s">
        <v>90</v>
      </c>
      <c r="R1617" s="22">
        <v>3.2787324371267E13</v>
      </c>
      <c r="S1617" s="24"/>
      <c r="T1617" s="24"/>
      <c r="U1617" s="24"/>
      <c r="V1617" s="30" t="s">
        <v>91</v>
      </c>
      <c r="W1617" s="33"/>
      <c r="X1617" s="33"/>
      <c r="Y1617" s="30"/>
      <c r="Z1617" s="30"/>
      <c r="AA1617" s="33"/>
      <c r="AB1617" s="33"/>
      <c r="AC1617" s="30"/>
      <c r="AD1617" s="30"/>
      <c r="AE1617" s="33"/>
      <c r="AF1617" s="31"/>
      <c r="AG1617" s="30"/>
      <c r="AH1617" s="30"/>
      <c r="AI1617" s="31"/>
      <c r="AJ1617" s="31"/>
      <c r="AK1617" s="32"/>
    </row>
    <row r="1618">
      <c r="A1618" s="21" t="s">
        <v>1180</v>
      </c>
      <c r="B1618" s="22" t="s">
        <v>763</v>
      </c>
      <c r="C1618" s="22" t="s">
        <v>82</v>
      </c>
      <c r="D1618" s="26">
        <v>45997.0</v>
      </c>
      <c r="E1618" s="22" t="s">
        <v>149</v>
      </c>
      <c r="F1618" s="22" t="s">
        <v>623</v>
      </c>
      <c r="G1618" s="22" t="s">
        <v>3160</v>
      </c>
      <c r="H1618" s="22" t="s">
        <v>1180</v>
      </c>
      <c r="I1618" s="22">
        <v>1.0475355832643E13</v>
      </c>
      <c r="J1618" s="22" t="s">
        <v>2990</v>
      </c>
      <c r="K1618" s="24"/>
      <c r="L1618" s="22" t="s">
        <v>1182</v>
      </c>
      <c r="M1618" s="22">
        <v>1.0</v>
      </c>
      <c r="N1618" s="22" t="s">
        <v>1088</v>
      </c>
      <c r="O1618" s="22" t="s">
        <v>1089</v>
      </c>
      <c r="P1618" s="24"/>
      <c r="Q1618" s="22" t="s">
        <v>90</v>
      </c>
      <c r="R1618" s="22">
        <v>3.2787650216259E13</v>
      </c>
      <c r="S1618" s="24"/>
      <c r="T1618" s="24"/>
      <c r="U1618" s="24"/>
      <c r="V1618" s="30" t="s">
        <v>105</v>
      </c>
      <c r="W1618" s="33"/>
      <c r="X1618" s="33"/>
      <c r="Y1618" s="30"/>
      <c r="Z1618" s="30"/>
      <c r="AA1618" s="33"/>
      <c r="AB1618" s="33"/>
      <c r="AC1618" s="30"/>
      <c r="AD1618" s="30"/>
      <c r="AE1618" s="33"/>
      <c r="AF1618" s="31"/>
      <c r="AG1618" s="30"/>
      <c r="AH1618" s="30"/>
      <c r="AI1618" s="31"/>
      <c r="AJ1618" s="31"/>
      <c r="AK1618" s="32"/>
    </row>
    <row r="1619">
      <c r="A1619" s="21" t="s">
        <v>484</v>
      </c>
      <c r="B1619" s="22" t="s">
        <v>3161</v>
      </c>
      <c r="C1619" s="22" t="s">
        <v>202</v>
      </c>
      <c r="D1619" s="26">
        <v>45996.0</v>
      </c>
      <c r="E1619" s="22" t="s">
        <v>192</v>
      </c>
      <c r="F1619" s="22" t="s">
        <v>311</v>
      </c>
      <c r="G1619" s="22" t="s">
        <v>3162</v>
      </c>
      <c r="H1619" s="22" t="s">
        <v>484</v>
      </c>
      <c r="I1619" s="22">
        <v>1.0476664455491E13</v>
      </c>
      <c r="J1619" s="22" t="s">
        <v>3163</v>
      </c>
      <c r="K1619" s="24"/>
      <c r="L1619" s="22" t="s">
        <v>487</v>
      </c>
      <c r="M1619" s="22">
        <v>1.0</v>
      </c>
      <c r="N1619" s="22" t="s">
        <v>315</v>
      </c>
      <c r="O1619" s="22" t="s">
        <v>316</v>
      </c>
      <c r="P1619" s="24"/>
      <c r="Q1619" s="22" t="s">
        <v>90</v>
      </c>
      <c r="R1619" s="22">
        <v>3.2790444540227E13</v>
      </c>
      <c r="S1619" s="24"/>
      <c r="T1619" s="24"/>
      <c r="U1619" s="24"/>
      <c r="V1619" s="30" t="s">
        <v>127</v>
      </c>
      <c r="W1619" s="33"/>
      <c r="X1619" s="33"/>
      <c r="Y1619" s="30"/>
      <c r="Z1619" s="30"/>
      <c r="AA1619" s="33"/>
      <c r="AB1619" s="33"/>
      <c r="AC1619" s="30"/>
      <c r="AD1619" s="30"/>
      <c r="AE1619" s="33"/>
      <c r="AF1619" s="31"/>
      <c r="AG1619" s="30"/>
      <c r="AH1619" s="30"/>
      <c r="AI1619" s="31"/>
      <c r="AJ1619" s="31"/>
      <c r="AK1619" s="32"/>
    </row>
    <row r="1620">
      <c r="A1620" s="21" t="s">
        <v>912</v>
      </c>
      <c r="B1620" s="22" t="s">
        <v>512</v>
      </c>
      <c r="C1620" s="22" t="s">
        <v>82</v>
      </c>
      <c r="D1620" s="26">
        <v>45997.0</v>
      </c>
      <c r="E1620" s="22" t="s">
        <v>153</v>
      </c>
      <c r="F1620" s="22" t="s">
        <v>377</v>
      </c>
      <c r="G1620" s="22" t="s">
        <v>3164</v>
      </c>
      <c r="H1620" s="22" t="s">
        <v>912</v>
      </c>
      <c r="I1620" s="22">
        <v>1.0476726812995E13</v>
      </c>
      <c r="J1620" s="22" t="s">
        <v>411</v>
      </c>
      <c r="K1620" s="24"/>
      <c r="L1620" s="22" t="s">
        <v>914</v>
      </c>
      <c r="M1620" s="22">
        <v>1.0</v>
      </c>
      <c r="N1620" s="22" t="s">
        <v>381</v>
      </c>
      <c r="O1620" s="22" t="s">
        <v>382</v>
      </c>
      <c r="P1620" s="24"/>
      <c r="Q1620" s="22" t="s">
        <v>90</v>
      </c>
      <c r="R1620" s="22">
        <v>3.2790574530883E13</v>
      </c>
      <c r="S1620" s="24"/>
      <c r="T1620" s="24"/>
      <c r="U1620" s="24"/>
      <c r="V1620" s="30" t="s">
        <v>54</v>
      </c>
      <c r="W1620" s="33"/>
      <c r="X1620" s="33"/>
      <c r="Y1620" s="30"/>
      <c r="Z1620" s="30"/>
      <c r="AA1620" s="33"/>
      <c r="AB1620" s="33"/>
      <c r="AC1620" s="30"/>
      <c r="AD1620" s="30"/>
      <c r="AE1620" s="33"/>
      <c r="AF1620" s="31"/>
      <c r="AG1620" s="30"/>
      <c r="AH1620" s="30"/>
      <c r="AI1620" s="31"/>
      <c r="AJ1620" s="31"/>
      <c r="AK1620" s="32"/>
    </row>
    <row r="1621">
      <c r="A1621" s="21" t="s">
        <v>108</v>
      </c>
      <c r="B1621" s="22" t="s">
        <v>1655</v>
      </c>
      <c r="C1621" s="22" t="s">
        <v>82</v>
      </c>
      <c r="D1621" s="26">
        <v>45997.0</v>
      </c>
      <c r="E1621" s="22" t="s">
        <v>211</v>
      </c>
      <c r="F1621" s="22" t="s">
        <v>111</v>
      </c>
      <c r="G1621" s="22" t="s">
        <v>3165</v>
      </c>
      <c r="H1621" s="22" t="s">
        <v>108</v>
      </c>
      <c r="I1621" s="22">
        <v>1.0476822135107E13</v>
      </c>
      <c r="J1621" s="22" t="s">
        <v>3048</v>
      </c>
      <c r="K1621" s="24"/>
      <c r="L1621" s="22" t="s">
        <v>114</v>
      </c>
      <c r="M1621" s="22">
        <v>1.0</v>
      </c>
      <c r="N1621" s="22" t="s">
        <v>115</v>
      </c>
      <c r="O1621" s="22" t="s">
        <v>116</v>
      </c>
      <c r="P1621" s="24"/>
      <c r="Q1621" s="22" t="s">
        <v>90</v>
      </c>
      <c r="R1621" s="22">
        <v>3.2790783492419E13</v>
      </c>
      <c r="S1621" s="24"/>
      <c r="T1621" s="24"/>
      <c r="U1621" s="24"/>
      <c r="V1621" s="30" t="s">
        <v>54</v>
      </c>
      <c r="W1621" s="33"/>
      <c r="X1621" s="33"/>
      <c r="Y1621" s="30"/>
      <c r="Z1621" s="30"/>
      <c r="AA1621" s="33"/>
      <c r="AB1621" s="33"/>
      <c r="AC1621" s="30"/>
      <c r="AD1621" s="30"/>
      <c r="AE1621" s="33"/>
      <c r="AF1621" s="31"/>
      <c r="AG1621" s="30"/>
      <c r="AH1621" s="30"/>
      <c r="AI1621" s="31"/>
      <c r="AJ1621" s="31"/>
      <c r="AK1621" s="32"/>
    </row>
    <row r="1622">
      <c r="A1622" s="21" t="s">
        <v>938</v>
      </c>
      <c r="B1622" s="22" t="s">
        <v>1343</v>
      </c>
      <c r="C1622" s="22" t="s">
        <v>273</v>
      </c>
      <c r="D1622" s="26">
        <v>45998.0</v>
      </c>
      <c r="E1622" s="22" t="s">
        <v>266</v>
      </c>
      <c r="F1622" s="22" t="s">
        <v>472</v>
      </c>
      <c r="G1622" s="22" t="s">
        <v>3166</v>
      </c>
      <c r="H1622" s="22" t="s">
        <v>938</v>
      </c>
      <c r="I1622" s="22">
        <v>1.0476824985923E13</v>
      </c>
      <c r="J1622" s="22" t="s">
        <v>3167</v>
      </c>
      <c r="K1622" s="24"/>
      <c r="L1622" s="22" t="s">
        <v>940</v>
      </c>
      <c r="M1622" s="22">
        <v>1.0</v>
      </c>
      <c r="N1622" s="22" t="s">
        <v>476</v>
      </c>
      <c r="O1622" s="22" t="s">
        <v>477</v>
      </c>
      <c r="P1622" s="24"/>
      <c r="Q1622" s="22" t="s">
        <v>90</v>
      </c>
      <c r="R1622" s="22">
        <v>3.2790789816643E13</v>
      </c>
      <c r="S1622" s="24"/>
      <c r="T1622" s="24"/>
      <c r="U1622" s="24"/>
      <c r="V1622" s="30" t="s">
        <v>54</v>
      </c>
      <c r="W1622" s="33"/>
      <c r="X1622" s="33"/>
      <c r="Y1622" s="30"/>
      <c r="Z1622" s="30"/>
      <c r="AA1622" s="33"/>
      <c r="AB1622" s="33"/>
      <c r="AC1622" s="30"/>
      <c r="AD1622" s="30"/>
      <c r="AE1622" s="33"/>
      <c r="AF1622" s="31"/>
      <c r="AG1622" s="30"/>
      <c r="AH1622" s="30"/>
      <c r="AI1622" s="31"/>
      <c r="AJ1622" s="31"/>
      <c r="AK1622" s="32"/>
    </row>
    <row r="1623">
      <c r="A1623" s="21" t="s">
        <v>408</v>
      </c>
      <c r="B1623" s="22" t="s">
        <v>416</v>
      </c>
      <c r="C1623" s="22" t="s">
        <v>82</v>
      </c>
      <c r="D1623" s="26">
        <v>45997.0</v>
      </c>
      <c r="E1623" s="22" t="s">
        <v>134</v>
      </c>
      <c r="F1623" s="22" t="s">
        <v>377</v>
      </c>
      <c r="G1623" s="22" t="s">
        <v>3168</v>
      </c>
      <c r="H1623" s="22" t="s">
        <v>408</v>
      </c>
      <c r="I1623" s="22">
        <v>1.0476838125891E13</v>
      </c>
      <c r="J1623" s="22" t="s">
        <v>418</v>
      </c>
      <c r="K1623" s="24"/>
      <c r="L1623" s="22" t="s">
        <v>412</v>
      </c>
      <c r="M1623" s="22">
        <v>1.0</v>
      </c>
      <c r="N1623" s="22" t="s">
        <v>413</v>
      </c>
      <c r="O1623" s="22" t="s">
        <v>414</v>
      </c>
      <c r="P1623" s="24"/>
      <c r="Q1623" s="22" t="s">
        <v>90</v>
      </c>
      <c r="R1623" s="22">
        <v>3.2790816948547E13</v>
      </c>
      <c r="S1623" s="24"/>
      <c r="T1623" s="24"/>
      <c r="U1623" s="24"/>
      <c r="V1623" s="30" t="s">
        <v>127</v>
      </c>
      <c r="W1623" s="33"/>
      <c r="X1623" s="33"/>
      <c r="Y1623" s="30"/>
      <c r="Z1623" s="30"/>
      <c r="AA1623" s="33"/>
      <c r="AB1623" s="33"/>
      <c r="AC1623" s="30"/>
      <c r="AD1623" s="30"/>
      <c r="AE1623" s="33"/>
      <c r="AF1623" s="31"/>
      <c r="AG1623" s="30"/>
      <c r="AH1623" s="30"/>
      <c r="AI1623" s="31"/>
      <c r="AJ1623" s="31"/>
      <c r="AK1623" s="32"/>
    </row>
    <row r="1624">
      <c r="A1624" s="21" t="s">
        <v>837</v>
      </c>
      <c r="B1624" s="22" t="s">
        <v>3169</v>
      </c>
      <c r="C1624" s="22" t="s">
        <v>82</v>
      </c>
      <c r="D1624" s="26">
        <v>45997.0</v>
      </c>
      <c r="E1624" s="22" t="s">
        <v>1624</v>
      </c>
      <c r="F1624" s="22" t="s">
        <v>698</v>
      </c>
      <c r="G1624" s="22" t="s">
        <v>3170</v>
      </c>
      <c r="H1624" s="22" t="s">
        <v>837</v>
      </c>
      <c r="I1624" s="22">
        <v>1.0476849299779E13</v>
      </c>
      <c r="J1624" s="22" t="s">
        <v>3171</v>
      </c>
      <c r="K1624" s="24"/>
      <c r="L1624" s="22" t="s">
        <v>839</v>
      </c>
      <c r="M1624" s="22">
        <v>1.0</v>
      </c>
      <c r="N1624" s="22" t="s">
        <v>819</v>
      </c>
      <c r="O1624" s="22" t="s">
        <v>820</v>
      </c>
      <c r="P1624" s="24"/>
      <c r="Q1624" s="22" t="s">
        <v>90</v>
      </c>
      <c r="R1624" s="22">
        <v>3.2790842900803E13</v>
      </c>
      <c r="S1624" s="24"/>
      <c r="T1624" s="24"/>
      <c r="U1624" s="24"/>
      <c r="V1624" s="30" t="s">
        <v>105</v>
      </c>
      <c r="W1624" s="33"/>
      <c r="X1624" s="33"/>
      <c r="Y1624" s="30"/>
      <c r="Z1624" s="30"/>
      <c r="AA1624" s="33"/>
      <c r="AB1624" s="33"/>
      <c r="AC1624" s="30"/>
      <c r="AD1624" s="30"/>
      <c r="AE1624" s="33"/>
      <c r="AF1624" s="31"/>
      <c r="AG1624" s="30"/>
      <c r="AH1624" s="30"/>
      <c r="AI1624" s="31"/>
      <c r="AJ1624" s="31"/>
      <c r="AK1624" s="32"/>
    </row>
    <row r="1625">
      <c r="A1625" s="21" t="s">
        <v>912</v>
      </c>
      <c r="B1625" s="22" t="s">
        <v>2525</v>
      </c>
      <c r="C1625" s="22" t="s">
        <v>82</v>
      </c>
      <c r="D1625" s="23">
        <v>46004.0</v>
      </c>
      <c r="E1625" s="22" t="s">
        <v>138</v>
      </c>
      <c r="F1625" s="22" t="s">
        <v>377</v>
      </c>
      <c r="G1625" s="22" t="s">
        <v>3172</v>
      </c>
      <c r="H1625" s="22" t="s">
        <v>912</v>
      </c>
      <c r="I1625" s="22">
        <v>1.0476881314115E13</v>
      </c>
      <c r="J1625" s="22" t="s">
        <v>2937</v>
      </c>
      <c r="K1625" s="24"/>
      <c r="L1625" s="22" t="s">
        <v>914</v>
      </c>
      <c r="M1625" s="22">
        <v>1.0</v>
      </c>
      <c r="N1625" s="22" t="s">
        <v>381</v>
      </c>
      <c r="O1625" s="22" t="s">
        <v>382</v>
      </c>
      <c r="P1625" s="24"/>
      <c r="Q1625" s="22" t="s">
        <v>90</v>
      </c>
      <c r="R1625" s="22">
        <v>3.2790918627651E13</v>
      </c>
      <c r="S1625" s="24"/>
      <c r="T1625" s="24"/>
      <c r="U1625" s="24"/>
      <c r="V1625" s="30" t="s">
        <v>54</v>
      </c>
      <c r="W1625" s="33"/>
      <c r="X1625" s="33"/>
      <c r="Y1625" s="30"/>
      <c r="Z1625" s="30"/>
      <c r="AA1625" s="33"/>
      <c r="AB1625" s="33"/>
      <c r="AC1625" s="30"/>
      <c r="AD1625" s="30"/>
      <c r="AE1625" s="33"/>
      <c r="AF1625" s="31"/>
      <c r="AG1625" s="30"/>
      <c r="AH1625" s="30"/>
      <c r="AI1625" s="31"/>
      <c r="AJ1625" s="31"/>
      <c r="AK1625" s="32"/>
    </row>
    <row r="1626">
      <c r="A1626" s="21" t="s">
        <v>408</v>
      </c>
      <c r="B1626" s="22" t="s">
        <v>1382</v>
      </c>
      <c r="C1626" s="22" t="s">
        <v>82</v>
      </c>
      <c r="D1626" s="26">
        <v>45997.0</v>
      </c>
      <c r="E1626" s="22" t="s">
        <v>248</v>
      </c>
      <c r="F1626" s="22" t="s">
        <v>377</v>
      </c>
      <c r="G1626" s="22" t="s">
        <v>3173</v>
      </c>
      <c r="H1626" s="22" t="s">
        <v>408</v>
      </c>
      <c r="I1626" s="22">
        <v>1.0476897435971E13</v>
      </c>
      <c r="J1626" s="22" t="s">
        <v>3174</v>
      </c>
      <c r="K1626" s="24"/>
      <c r="L1626" s="22" t="s">
        <v>412</v>
      </c>
      <c r="M1626" s="22">
        <v>1.0</v>
      </c>
      <c r="N1626" s="22" t="s">
        <v>413</v>
      </c>
      <c r="O1626" s="22" t="s">
        <v>414</v>
      </c>
      <c r="P1626" s="24"/>
      <c r="Q1626" s="22" t="s">
        <v>90</v>
      </c>
      <c r="R1626" s="22">
        <v>3.2790952968515E13</v>
      </c>
      <c r="S1626" s="24"/>
      <c r="T1626" s="24"/>
      <c r="U1626" s="24"/>
      <c r="V1626" s="30" t="s">
        <v>127</v>
      </c>
      <c r="W1626" s="33"/>
      <c r="X1626" s="33"/>
      <c r="Y1626" s="30"/>
      <c r="Z1626" s="30"/>
      <c r="AA1626" s="33"/>
      <c r="AB1626" s="33"/>
      <c r="AC1626" s="30"/>
      <c r="AD1626" s="30"/>
      <c r="AE1626" s="33"/>
      <c r="AF1626" s="31"/>
      <c r="AG1626" s="30"/>
      <c r="AH1626" s="30"/>
      <c r="AI1626" s="31"/>
      <c r="AJ1626" s="31"/>
      <c r="AK1626" s="32"/>
    </row>
    <row r="1627">
      <c r="A1627" s="21" t="s">
        <v>1224</v>
      </c>
      <c r="B1627" s="22" t="s">
        <v>1079</v>
      </c>
      <c r="C1627" s="22" t="s">
        <v>82</v>
      </c>
      <c r="D1627" s="26">
        <v>45997.0</v>
      </c>
      <c r="E1627" s="22" t="s">
        <v>153</v>
      </c>
      <c r="F1627" s="22" t="s">
        <v>717</v>
      </c>
      <c r="G1627" s="22" t="s">
        <v>3175</v>
      </c>
      <c r="H1627" s="22" t="s">
        <v>1224</v>
      </c>
      <c r="I1627" s="22">
        <v>1.0476939280707E13</v>
      </c>
      <c r="J1627" s="22" t="s">
        <v>3176</v>
      </c>
      <c r="K1627" s="24"/>
      <c r="L1627" s="22" t="s">
        <v>1228</v>
      </c>
      <c r="M1627" s="22">
        <v>1.0</v>
      </c>
      <c r="N1627" s="22" t="s">
        <v>721</v>
      </c>
      <c r="O1627" s="22" t="s">
        <v>722</v>
      </c>
      <c r="P1627" s="24"/>
      <c r="Q1627" s="22" t="s">
        <v>90</v>
      </c>
      <c r="R1627" s="22">
        <v>3.2791041835331E13</v>
      </c>
      <c r="S1627" s="24"/>
      <c r="T1627" s="24"/>
      <c r="U1627" s="24"/>
      <c r="V1627" s="30" t="s">
        <v>91</v>
      </c>
      <c r="W1627" s="33"/>
      <c r="X1627" s="33"/>
      <c r="Y1627" s="30"/>
      <c r="Z1627" s="30"/>
      <c r="AA1627" s="33"/>
      <c r="AB1627" s="33"/>
      <c r="AC1627" s="30"/>
      <c r="AD1627" s="30"/>
      <c r="AE1627" s="33"/>
      <c r="AF1627" s="31"/>
      <c r="AG1627" s="30"/>
      <c r="AH1627" s="30"/>
      <c r="AI1627" s="31"/>
      <c r="AJ1627" s="31"/>
      <c r="AK1627" s="32"/>
    </row>
    <row r="1628">
      <c r="A1628" s="21" t="s">
        <v>569</v>
      </c>
      <c r="B1628" s="22" t="s">
        <v>471</v>
      </c>
      <c r="C1628" s="22" t="s">
        <v>82</v>
      </c>
      <c r="D1628" s="26">
        <v>45997.0</v>
      </c>
      <c r="E1628" s="22" t="s">
        <v>134</v>
      </c>
      <c r="F1628" s="22" t="s">
        <v>472</v>
      </c>
      <c r="G1628" s="22" t="s">
        <v>3177</v>
      </c>
      <c r="H1628" s="22" t="s">
        <v>569</v>
      </c>
      <c r="I1628" s="22">
        <v>1.0476958056771E13</v>
      </c>
      <c r="J1628" s="22" t="s">
        <v>3019</v>
      </c>
      <c r="K1628" s="24"/>
      <c r="L1628" s="22" t="s">
        <v>571</v>
      </c>
      <c r="M1628" s="22">
        <v>1.0</v>
      </c>
      <c r="N1628" s="22" t="s">
        <v>534</v>
      </c>
      <c r="O1628" s="22" t="s">
        <v>535</v>
      </c>
      <c r="P1628" s="24"/>
      <c r="Q1628" s="22" t="s">
        <v>90</v>
      </c>
      <c r="R1628" s="22">
        <v>3.2791080993091E13</v>
      </c>
      <c r="S1628" s="24"/>
      <c r="T1628" s="24"/>
      <c r="U1628" s="24"/>
      <c r="V1628" s="30" t="s">
        <v>105</v>
      </c>
      <c r="W1628" s="33"/>
      <c r="X1628" s="33"/>
      <c r="Y1628" s="30"/>
      <c r="Z1628" s="30"/>
      <c r="AA1628" s="33"/>
      <c r="AB1628" s="33"/>
      <c r="AC1628" s="30"/>
      <c r="AD1628" s="30"/>
      <c r="AE1628" s="33"/>
      <c r="AF1628" s="31"/>
      <c r="AG1628" s="30"/>
      <c r="AH1628" s="30"/>
      <c r="AI1628" s="31"/>
      <c r="AJ1628" s="31"/>
      <c r="AK1628" s="32"/>
    </row>
    <row r="1629">
      <c r="A1629" s="28"/>
      <c r="B1629" s="22" t="s">
        <v>471</v>
      </c>
      <c r="C1629" s="22" t="s">
        <v>82</v>
      </c>
      <c r="D1629" s="26">
        <v>45997.0</v>
      </c>
      <c r="E1629" s="22" t="s">
        <v>134</v>
      </c>
      <c r="F1629" s="22" t="s">
        <v>472</v>
      </c>
      <c r="G1629" s="22" t="s">
        <v>3177</v>
      </c>
      <c r="H1629" s="29"/>
      <c r="I1629" s="22">
        <v>1.0476958056771E13</v>
      </c>
      <c r="J1629" s="22" t="s">
        <v>3019</v>
      </c>
      <c r="K1629" s="24"/>
      <c r="L1629" s="22" t="s">
        <v>2913</v>
      </c>
      <c r="M1629" s="24"/>
      <c r="N1629" s="24"/>
      <c r="O1629" s="22" t="s">
        <v>768</v>
      </c>
      <c r="P1629" s="24"/>
      <c r="Q1629" s="22" t="s">
        <v>769</v>
      </c>
      <c r="R1629" s="24"/>
      <c r="S1629" s="24"/>
      <c r="T1629" s="24"/>
      <c r="U1629" s="24"/>
      <c r="V1629" s="30"/>
      <c r="W1629" s="33"/>
      <c r="X1629" s="33"/>
      <c r="Y1629" s="30"/>
      <c r="Z1629" s="30"/>
      <c r="AA1629" s="33"/>
      <c r="AB1629" s="33"/>
      <c r="AC1629" s="30"/>
      <c r="AD1629" s="30"/>
      <c r="AE1629" s="33"/>
      <c r="AF1629" s="31"/>
      <c r="AG1629" s="30"/>
      <c r="AH1629" s="30"/>
      <c r="AI1629" s="31"/>
      <c r="AJ1629" s="31"/>
      <c r="AK1629" s="32"/>
    </row>
    <row r="1630">
      <c r="A1630" s="21" t="s">
        <v>367</v>
      </c>
      <c r="B1630" s="22" t="s">
        <v>587</v>
      </c>
      <c r="C1630" s="22" t="s">
        <v>273</v>
      </c>
      <c r="D1630" s="26">
        <v>45998.0</v>
      </c>
      <c r="E1630" s="22" t="s">
        <v>153</v>
      </c>
      <c r="F1630" s="22" t="s">
        <v>369</v>
      </c>
      <c r="G1630" s="22" t="s">
        <v>3178</v>
      </c>
      <c r="H1630" s="22" t="s">
        <v>367</v>
      </c>
      <c r="I1630" s="22">
        <v>1.0477032440131E13</v>
      </c>
      <c r="J1630" s="22" t="s">
        <v>2971</v>
      </c>
      <c r="K1630" s="24"/>
      <c r="L1630" s="22" t="s">
        <v>372</v>
      </c>
      <c r="M1630" s="22">
        <v>1.0</v>
      </c>
      <c r="N1630" s="22" t="s">
        <v>373</v>
      </c>
      <c r="O1630" s="22" t="s">
        <v>374</v>
      </c>
      <c r="P1630" s="24"/>
      <c r="Q1630" s="22" t="s">
        <v>90</v>
      </c>
      <c r="R1630" s="22">
        <v>3.2791248863555E13</v>
      </c>
      <c r="S1630" s="24"/>
      <c r="T1630" s="24"/>
      <c r="U1630" s="24"/>
      <c r="V1630" s="30" t="s">
        <v>55</v>
      </c>
      <c r="W1630" s="33"/>
      <c r="X1630" s="33"/>
      <c r="Y1630" s="30"/>
      <c r="Z1630" s="30"/>
      <c r="AA1630" s="33"/>
      <c r="AB1630" s="33"/>
      <c r="AC1630" s="30"/>
      <c r="AD1630" s="30"/>
      <c r="AE1630" s="33"/>
      <c r="AF1630" s="31"/>
      <c r="AG1630" s="30"/>
      <c r="AH1630" s="30"/>
      <c r="AI1630" s="31"/>
      <c r="AJ1630" s="31"/>
      <c r="AK1630" s="32"/>
    </row>
    <row r="1631">
      <c r="A1631" s="21" t="s">
        <v>1224</v>
      </c>
      <c r="B1631" s="22" t="s">
        <v>2145</v>
      </c>
      <c r="C1631" s="22" t="s">
        <v>294</v>
      </c>
      <c r="D1631" s="26">
        <v>45992.0</v>
      </c>
      <c r="E1631" s="22" t="s">
        <v>134</v>
      </c>
      <c r="F1631" s="22" t="s">
        <v>717</v>
      </c>
      <c r="G1631" s="22" t="s">
        <v>3179</v>
      </c>
      <c r="H1631" s="22" t="s">
        <v>1224</v>
      </c>
      <c r="I1631" s="22">
        <v>1.0477067960643E13</v>
      </c>
      <c r="J1631" s="22" t="s">
        <v>3180</v>
      </c>
      <c r="K1631" s="24"/>
      <c r="L1631" s="22" t="s">
        <v>1228</v>
      </c>
      <c r="M1631" s="22">
        <v>1.0</v>
      </c>
      <c r="N1631" s="22" t="s">
        <v>721</v>
      </c>
      <c r="O1631" s="22" t="s">
        <v>722</v>
      </c>
      <c r="P1631" s="24"/>
      <c r="Q1631" s="22" t="s">
        <v>90</v>
      </c>
      <c r="R1631" s="22">
        <v>3.2791328293187E13</v>
      </c>
      <c r="S1631" s="24"/>
      <c r="T1631" s="24"/>
      <c r="U1631" s="24"/>
      <c r="V1631" s="30" t="s">
        <v>91</v>
      </c>
      <c r="W1631" s="33"/>
      <c r="X1631" s="33"/>
      <c r="Y1631" s="30"/>
      <c r="Z1631" s="30"/>
      <c r="AA1631" s="33"/>
      <c r="AB1631" s="33"/>
      <c r="AC1631" s="30"/>
      <c r="AD1631" s="30"/>
      <c r="AE1631" s="33"/>
      <c r="AF1631" s="31"/>
      <c r="AG1631" s="30"/>
      <c r="AH1631" s="30"/>
      <c r="AI1631" s="31"/>
      <c r="AJ1631" s="31"/>
      <c r="AK1631" s="32"/>
    </row>
    <row r="1632">
      <c r="A1632" s="21" t="s">
        <v>885</v>
      </c>
      <c r="B1632" s="22" t="s">
        <v>3181</v>
      </c>
      <c r="C1632" s="22" t="s">
        <v>82</v>
      </c>
      <c r="D1632" s="26">
        <v>45997.0</v>
      </c>
      <c r="E1632" s="22" t="s">
        <v>1073</v>
      </c>
      <c r="F1632" s="22" t="s">
        <v>605</v>
      </c>
      <c r="G1632" s="22" t="s">
        <v>3182</v>
      </c>
      <c r="H1632" s="22" t="s">
        <v>885</v>
      </c>
      <c r="I1632" s="22">
        <v>1.0477069795651E13</v>
      </c>
      <c r="J1632" s="22" t="s">
        <v>3183</v>
      </c>
      <c r="K1632" s="24"/>
      <c r="L1632" s="22" t="s">
        <v>890</v>
      </c>
      <c r="M1632" s="22">
        <v>1.0</v>
      </c>
      <c r="N1632" s="22" t="s">
        <v>795</v>
      </c>
      <c r="O1632" s="22" t="s">
        <v>796</v>
      </c>
      <c r="P1632" s="24"/>
      <c r="Q1632" s="22" t="s">
        <v>90</v>
      </c>
      <c r="R1632" s="22">
        <v>3.2791331799363E13</v>
      </c>
      <c r="S1632" s="24"/>
      <c r="T1632" s="24"/>
      <c r="U1632" s="24"/>
      <c r="V1632" s="30" t="s">
        <v>127</v>
      </c>
      <c r="W1632" s="33"/>
      <c r="X1632" s="33"/>
      <c r="Y1632" s="30"/>
      <c r="Z1632" s="30"/>
      <c r="AA1632" s="33"/>
      <c r="AB1632" s="33"/>
      <c r="AC1632" s="30"/>
      <c r="AD1632" s="30"/>
      <c r="AE1632" s="33"/>
      <c r="AF1632" s="31"/>
      <c r="AG1632" s="30"/>
      <c r="AH1632" s="30"/>
      <c r="AI1632" s="31"/>
      <c r="AJ1632" s="31"/>
      <c r="AK1632" s="32"/>
    </row>
    <row r="1633">
      <c r="A1633" s="21" t="s">
        <v>80</v>
      </c>
      <c r="B1633" s="22" t="s">
        <v>1912</v>
      </c>
      <c r="C1633" s="22" t="s">
        <v>202</v>
      </c>
      <c r="D1633" s="26">
        <v>45996.0</v>
      </c>
      <c r="E1633" s="22" t="s">
        <v>153</v>
      </c>
      <c r="F1633" s="22" t="s">
        <v>83</v>
      </c>
      <c r="G1633" s="22" t="s">
        <v>3184</v>
      </c>
      <c r="H1633" s="22" t="s">
        <v>80</v>
      </c>
      <c r="I1633" s="22">
        <v>1.0477124452675E13</v>
      </c>
      <c r="J1633" s="22" t="s">
        <v>757</v>
      </c>
      <c r="K1633" s="24"/>
      <c r="L1633" s="22" t="s">
        <v>86</v>
      </c>
      <c r="M1633" s="22">
        <v>1.0</v>
      </c>
      <c r="N1633" s="22" t="s">
        <v>87</v>
      </c>
      <c r="O1633" s="22" t="s">
        <v>88</v>
      </c>
      <c r="P1633" s="24"/>
      <c r="Q1633" s="22" t="s">
        <v>90</v>
      </c>
      <c r="R1633" s="22">
        <v>3.2791458316611E13</v>
      </c>
      <c r="S1633" s="24"/>
      <c r="T1633" s="24"/>
      <c r="U1633" s="24"/>
      <c r="V1633" s="30" t="s">
        <v>91</v>
      </c>
      <c r="W1633" s="33"/>
      <c r="X1633" s="33"/>
      <c r="Y1633" s="30"/>
      <c r="Z1633" s="30"/>
      <c r="AA1633" s="33"/>
      <c r="AB1633" s="33"/>
      <c r="AC1633" s="30"/>
      <c r="AD1633" s="30"/>
      <c r="AE1633" s="33"/>
      <c r="AF1633" s="31"/>
      <c r="AG1633" s="30"/>
      <c r="AH1633" s="30"/>
      <c r="AI1633" s="31"/>
      <c r="AJ1633" s="31"/>
      <c r="AK1633" s="32"/>
    </row>
    <row r="1634">
      <c r="A1634" s="21" t="s">
        <v>515</v>
      </c>
      <c r="B1634" s="22" t="s">
        <v>516</v>
      </c>
      <c r="C1634" s="22" t="s">
        <v>273</v>
      </c>
      <c r="D1634" s="26">
        <v>45998.0</v>
      </c>
      <c r="E1634" s="22" t="s">
        <v>134</v>
      </c>
      <c r="F1634" s="22" t="s">
        <v>472</v>
      </c>
      <c r="G1634" s="22" t="s">
        <v>3185</v>
      </c>
      <c r="H1634" s="22" t="s">
        <v>515</v>
      </c>
      <c r="I1634" s="22">
        <v>1.0477125894467E13</v>
      </c>
      <c r="J1634" s="22" t="s">
        <v>3030</v>
      </c>
      <c r="K1634" s="24"/>
      <c r="L1634" s="22" t="s">
        <v>519</v>
      </c>
      <c r="M1634" s="22">
        <v>1.0</v>
      </c>
      <c r="N1634" s="22" t="s">
        <v>476</v>
      </c>
      <c r="O1634" s="22" t="s">
        <v>477</v>
      </c>
      <c r="P1634" s="24"/>
      <c r="Q1634" s="22" t="s">
        <v>90</v>
      </c>
      <c r="R1634" s="22">
        <v>3.2791462510915E13</v>
      </c>
      <c r="S1634" s="24"/>
      <c r="T1634" s="24"/>
      <c r="U1634" s="24"/>
      <c r="V1634" s="30" t="s">
        <v>55</v>
      </c>
      <c r="W1634" s="33"/>
      <c r="X1634" s="33"/>
      <c r="Y1634" s="30"/>
      <c r="Z1634" s="30"/>
      <c r="AA1634" s="33"/>
      <c r="AB1634" s="33"/>
      <c r="AC1634" s="30"/>
      <c r="AD1634" s="30"/>
      <c r="AE1634" s="33"/>
      <c r="AF1634" s="31"/>
      <c r="AG1634" s="30"/>
      <c r="AH1634" s="30"/>
      <c r="AI1634" s="31"/>
      <c r="AJ1634" s="31"/>
      <c r="AK1634" s="32"/>
    </row>
    <row r="1635">
      <c r="A1635" s="21" t="s">
        <v>620</v>
      </c>
      <c r="B1635" s="22" t="s">
        <v>763</v>
      </c>
      <c r="C1635" s="22" t="s">
        <v>82</v>
      </c>
      <c r="D1635" s="26">
        <v>45997.0</v>
      </c>
      <c r="E1635" s="22" t="s">
        <v>149</v>
      </c>
      <c r="F1635" s="22" t="s">
        <v>623</v>
      </c>
      <c r="G1635" s="22" t="s">
        <v>3186</v>
      </c>
      <c r="H1635" s="22" t="s">
        <v>620</v>
      </c>
      <c r="I1635" s="22">
        <v>1.0477147062595E13</v>
      </c>
      <c r="J1635" s="22" t="s">
        <v>2990</v>
      </c>
      <c r="K1635" s="24"/>
      <c r="L1635" s="22" t="s">
        <v>626</v>
      </c>
      <c r="M1635" s="22">
        <v>1.0</v>
      </c>
      <c r="N1635" s="22" t="s">
        <v>627</v>
      </c>
      <c r="O1635" s="22" t="s">
        <v>628</v>
      </c>
      <c r="P1635" s="24"/>
      <c r="Q1635" s="22" t="s">
        <v>90</v>
      </c>
      <c r="R1635" s="22">
        <v>3.2791511138627E13</v>
      </c>
      <c r="S1635" s="24"/>
      <c r="T1635" s="24"/>
      <c r="U1635" s="24"/>
      <c r="V1635" s="30" t="s">
        <v>54</v>
      </c>
      <c r="W1635" s="33"/>
      <c r="X1635" s="33"/>
      <c r="Y1635" s="30"/>
      <c r="Z1635" s="30"/>
      <c r="AA1635" s="33"/>
      <c r="AB1635" s="33"/>
      <c r="AC1635" s="30"/>
      <c r="AD1635" s="30"/>
      <c r="AE1635" s="33"/>
      <c r="AF1635" s="31"/>
      <c r="AG1635" s="30"/>
      <c r="AH1635" s="30"/>
      <c r="AI1635" s="31"/>
      <c r="AJ1635" s="31"/>
      <c r="AK1635" s="32"/>
    </row>
    <row r="1636">
      <c r="A1636" s="21" t="s">
        <v>300</v>
      </c>
      <c r="B1636" s="22" t="s">
        <v>1839</v>
      </c>
      <c r="C1636" s="22" t="s">
        <v>273</v>
      </c>
      <c r="D1636" s="26">
        <v>45998.0</v>
      </c>
      <c r="E1636" s="22" t="s">
        <v>266</v>
      </c>
      <c r="F1636" s="22" t="s">
        <v>303</v>
      </c>
      <c r="G1636" s="22" t="s">
        <v>3187</v>
      </c>
      <c r="H1636" s="22" t="s">
        <v>300</v>
      </c>
      <c r="I1636" s="22">
        <v>1.0477147717955E13</v>
      </c>
      <c r="J1636" s="22" t="s">
        <v>3188</v>
      </c>
      <c r="K1636" s="24"/>
      <c r="L1636" s="22" t="s">
        <v>306</v>
      </c>
      <c r="M1636" s="22">
        <v>1.0</v>
      </c>
      <c r="N1636" s="22" t="s">
        <v>307</v>
      </c>
      <c r="O1636" s="22" t="s">
        <v>308</v>
      </c>
      <c r="P1636" s="24"/>
      <c r="Q1636" s="22" t="s">
        <v>90</v>
      </c>
      <c r="R1636" s="22">
        <v>3.2791512187203E13</v>
      </c>
      <c r="S1636" s="24"/>
      <c r="T1636" s="24"/>
      <c r="U1636" s="24"/>
      <c r="V1636" s="30" t="s">
        <v>55</v>
      </c>
      <c r="W1636" s="33"/>
      <c r="X1636" s="33"/>
      <c r="Y1636" s="30"/>
      <c r="Z1636" s="30"/>
      <c r="AA1636" s="33"/>
      <c r="AB1636" s="33"/>
      <c r="AC1636" s="30"/>
      <c r="AD1636" s="30"/>
      <c r="AE1636" s="33"/>
      <c r="AF1636" s="31"/>
      <c r="AG1636" s="30"/>
      <c r="AH1636" s="30"/>
      <c r="AI1636" s="31"/>
      <c r="AJ1636" s="31"/>
      <c r="AK1636" s="32"/>
    </row>
    <row r="1637">
      <c r="A1637" s="21" t="s">
        <v>1527</v>
      </c>
      <c r="B1637" s="22" t="s">
        <v>450</v>
      </c>
      <c r="C1637" s="22" t="s">
        <v>82</v>
      </c>
      <c r="D1637" s="26">
        <v>45997.0</v>
      </c>
      <c r="E1637" s="22" t="s">
        <v>134</v>
      </c>
      <c r="F1637" s="22" t="s">
        <v>451</v>
      </c>
      <c r="G1637" s="22" t="s">
        <v>3189</v>
      </c>
      <c r="H1637" s="22" t="s">
        <v>1527</v>
      </c>
      <c r="I1637" s="22">
        <v>1.0477198639427E13</v>
      </c>
      <c r="J1637" s="22" t="s">
        <v>3044</v>
      </c>
      <c r="K1637" s="24"/>
      <c r="L1637" s="22" t="s">
        <v>1531</v>
      </c>
      <c r="M1637" s="22">
        <v>1.0</v>
      </c>
      <c r="N1637" s="22" t="s">
        <v>1277</v>
      </c>
      <c r="O1637" s="22" t="s">
        <v>1278</v>
      </c>
      <c r="P1637" s="24"/>
      <c r="Q1637" s="22" t="s">
        <v>90</v>
      </c>
      <c r="R1637" s="22">
        <v>3.2791630053699E13</v>
      </c>
      <c r="S1637" s="24"/>
      <c r="T1637" s="24"/>
      <c r="U1637" s="24"/>
      <c r="V1637" s="30" t="s">
        <v>105</v>
      </c>
      <c r="W1637" s="33"/>
      <c r="X1637" s="33"/>
      <c r="Y1637" s="30"/>
      <c r="Z1637" s="30"/>
      <c r="AA1637" s="33"/>
      <c r="AB1637" s="33"/>
      <c r="AC1637" s="30"/>
      <c r="AD1637" s="30"/>
      <c r="AE1637" s="33"/>
      <c r="AF1637" s="31"/>
      <c r="AG1637" s="30"/>
      <c r="AH1637" s="30"/>
      <c r="AI1637" s="31"/>
      <c r="AJ1637" s="31"/>
      <c r="AK1637" s="32"/>
    </row>
    <row r="1638">
      <c r="A1638" s="21" t="s">
        <v>1200</v>
      </c>
      <c r="B1638" s="22" t="s">
        <v>1502</v>
      </c>
      <c r="C1638" s="22" t="s">
        <v>82</v>
      </c>
      <c r="D1638" s="26">
        <v>45997.0</v>
      </c>
      <c r="E1638" s="22" t="s">
        <v>134</v>
      </c>
      <c r="F1638" s="22" t="s">
        <v>278</v>
      </c>
      <c r="G1638" s="22" t="s">
        <v>3190</v>
      </c>
      <c r="H1638" s="22" t="s">
        <v>1200</v>
      </c>
      <c r="I1638" s="22">
        <v>1.0477245333827E13</v>
      </c>
      <c r="J1638" s="22" t="s">
        <v>2988</v>
      </c>
      <c r="K1638" s="24"/>
      <c r="L1638" s="22" t="s">
        <v>1203</v>
      </c>
      <c r="M1638" s="22">
        <v>1.0</v>
      </c>
      <c r="N1638" s="22" t="s">
        <v>282</v>
      </c>
      <c r="O1638" s="22" t="s">
        <v>283</v>
      </c>
      <c r="P1638" s="24"/>
      <c r="Q1638" s="22" t="s">
        <v>90</v>
      </c>
      <c r="R1638" s="22">
        <v>3.2791734419779E13</v>
      </c>
      <c r="S1638" s="24"/>
      <c r="T1638" s="24"/>
      <c r="U1638" s="24"/>
      <c r="V1638" s="30" t="s">
        <v>91</v>
      </c>
      <c r="W1638" s="33"/>
      <c r="X1638" s="33"/>
      <c r="Y1638" s="30"/>
      <c r="Z1638" s="30"/>
      <c r="AA1638" s="33"/>
      <c r="AB1638" s="33"/>
      <c r="AC1638" s="30"/>
      <c r="AD1638" s="30"/>
      <c r="AE1638" s="33"/>
      <c r="AF1638" s="31"/>
      <c r="AG1638" s="30"/>
      <c r="AH1638" s="30"/>
      <c r="AI1638" s="31"/>
      <c r="AJ1638" s="31"/>
      <c r="AK1638" s="32"/>
    </row>
    <row r="1639">
      <c r="A1639" s="21" t="s">
        <v>885</v>
      </c>
      <c r="B1639" s="22" t="s">
        <v>2149</v>
      </c>
      <c r="C1639" s="22" t="s">
        <v>82</v>
      </c>
      <c r="D1639" s="26">
        <v>45997.0</v>
      </c>
      <c r="E1639" s="22" t="s">
        <v>196</v>
      </c>
      <c r="F1639" s="22" t="s">
        <v>605</v>
      </c>
      <c r="G1639" s="22" t="s">
        <v>3191</v>
      </c>
      <c r="H1639" s="22" t="s">
        <v>885</v>
      </c>
      <c r="I1639" s="22">
        <v>1.0477287440707E13</v>
      </c>
      <c r="J1639" s="22" t="s">
        <v>3192</v>
      </c>
      <c r="K1639" s="24"/>
      <c r="L1639" s="22" t="s">
        <v>890</v>
      </c>
      <c r="M1639" s="22">
        <v>1.0</v>
      </c>
      <c r="N1639" s="22" t="s">
        <v>795</v>
      </c>
      <c r="O1639" s="22" t="s">
        <v>796</v>
      </c>
      <c r="P1639" s="24"/>
      <c r="Q1639" s="22" t="s">
        <v>90</v>
      </c>
      <c r="R1639" s="22">
        <v>3.2791832396099E13</v>
      </c>
      <c r="S1639" s="24"/>
      <c r="T1639" s="24"/>
      <c r="U1639" s="24"/>
      <c r="V1639" s="30" t="s">
        <v>127</v>
      </c>
      <c r="W1639" s="33"/>
      <c r="X1639" s="33"/>
      <c r="Y1639" s="30"/>
      <c r="Z1639" s="30"/>
      <c r="AA1639" s="33"/>
      <c r="AB1639" s="33"/>
      <c r="AC1639" s="30"/>
      <c r="AD1639" s="30"/>
      <c r="AE1639" s="33"/>
      <c r="AF1639" s="31"/>
      <c r="AG1639" s="30"/>
      <c r="AH1639" s="30"/>
      <c r="AI1639" s="31"/>
      <c r="AJ1639" s="31"/>
      <c r="AK1639" s="32"/>
    </row>
    <row r="1640">
      <c r="A1640" s="21" t="s">
        <v>276</v>
      </c>
      <c r="B1640" s="22" t="s">
        <v>420</v>
      </c>
      <c r="C1640" s="22" t="s">
        <v>82</v>
      </c>
      <c r="D1640" s="26">
        <v>45997.0</v>
      </c>
      <c r="E1640" s="22" t="s">
        <v>153</v>
      </c>
      <c r="F1640" s="22" t="s">
        <v>278</v>
      </c>
      <c r="G1640" s="22" t="s">
        <v>3193</v>
      </c>
      <c r="H1640" s="22" t="s">
        <v>276</v>
      </c>
      <c r="I1640" s="22">
        <v>1.0477508198723E13</v>
      </c>
      <c r="J1640" s="22" t="s">
        <v>3129</v>
      </c>
      <c r="K1640" s="24"/>
      <c r="L1640" s="22" t="s">
        <v>281</v>
      </c>
      <c r="M1640" s="22">
        <v>1.0</v>
      </c>
      <c r="N1640" s="22" t="s">
        <v>282</v>
      </c>
      <c r="O1640" s="22" t="s">
        <v>283</v>
      </c>
      <c r="P1640" s="24"/>
      <c r="Q1640" s="22" t="s">
        <v>90</v>
      </c>
      <c r="R1640" s="22">
        <v>3.2792255627587E13</v>
      </c>
      <c r="S1640" s="24"/>
      <c r="T1640" s="24"/>
      <c r="U1640" s="24"/>
      <c r="V1640" s="30" t="s">
        <v>55</v>
      </c>
      <c r="W1640" s="33"/>
      <c r="X1640" s="33"/>
      <c r="Y1640" s="30"/>
      <c r="Z1640" s="30"/>
      <c r="AA1640" s="33"/>
      <c r="AB1640" s="33"/>
      <c r="AC1640" s="30"/>
      <c r="AD1640" s="30"/>
      <c r="AE1640" s="33"/>
      <c r="AF1640" s="31"/>
      <c r="AG1640" s="30"/>
      <c r="AH1640" s="30"/>
      <c r="AI1640" s="31"/>
      <c r="AJ1640" s="31"/>
      <c r="AK1640" s="32"/>
    </row>
    <row r="1641">
      <c r="A1641" s="21" t="s">
        <v>209</v>
      </c>
      <c r="B1641" s="22" t="s">
        <v>2166</v>
      </c>
      <c r="C1641" s="22" t="s">
        <v>273</v>
      </c>
      <c r="D1641" s="26">
        <v>45998.0</v>
      </c>
      <c r="E1641" s="22" t="s">
        <v>211</v>
      </c>
      <c r="F1641" s="22" t="s">
        <v>111</v>
      </c>
      <c r="G1641" s="22" t="s">
        <v>3194</v>
      </c>
      <c r="H1641" s="22" t="s">
        <v>209</v>
      </c>
      <c r="I1641" s="22">
        <v>1.0477638451523E13</v>
      </c>
      <c r="J1641" s="22" t="s">
        <v>3195</v>
      </c>
      <c r="K1641" s="24"/>
      <c r="L1641" s="22" t="s">
        <v>214</v>
      </c>
      <c r="M1641" s="22">
        <v>1.0</v>
      </c>
      <c r="N1641" s="22" t="s">
        <v>115</v>
      </c>
      <c r="O1641" s="22" t="s">
        <v>116</v>
      </c>
      <c r="P1641" s="24"/>
      <c r="Q1641" s="22" t="s">
        <v>90</v>
      </c>
      <c r="R1641" s="22">
        <v>3.2792530780483E13</v>
      </c>
      <c r="S1641" s="24"/>
      <c r="T1641" s="24"/>
      <c r="U1641" s="24"/>
      <c r="V1641" s="30" t="s">
        <v>91</v>
      </c>
      <c r="W1641" s="33"/>
      <c r="X1641" s="33"/>
      <c r="Y1641" s="30"/>
      <c r="Z1641" s="30"/>
      <c r="AA1641" s="33"/>
      <c r="AB1641" s="33"/>
      <c r="AC1641" s="30"/>
      <c r="AD1641" s="30"/>
      <c r="AE1641" s="33"/>
      <c r="AF1641" s="31"/>
      <c r="AG1641" s="30"/>
      <c r="AH1641" s="30"/>
      <c r="AI1641" s="31"/>
      <c r="AJ1641" s="31"/>
      <c r="AK1641" s="32"/>
    </row>
    <row r="1642">
      <c r="A1642" s="21" t="s">
        <v>885</v>
      </c>
      <c r="B1642" s="22" t="s">
        <v>1498</v>
      </c>
      <c r="C1642" s="22" t="s">
        <v>82</v>
      </c>
      <c r="D1642" s="26">
        <v>45997.0</v>
      </c>
      <c r="E1642" s="22" t="s">
        <v>522</v>
      </c>
      <c r="F1642" s="22" t="s">
        <v>605</v>
      </c>
      <c r="G1642" s="22" t="s">
        <v>3196</v>
      </c>
      <c r="H1642" s="22" t="s">
        <v>885</v>
      </c>
      <c r="I1642" s="22">
        <v>1.0477651788099E13</v>
      </c>
      <c r="J1642" s="22" t="s">
        <v>2999</v>
      </c>
      <c r="K1642" s="24"/>
      <c r="L1642" s="22" t="s">
        <v>890</v>
      </c>
      <c r="M1642" s="22">
        <v>1.0</v>
      </c>
      <c r="N1642" s="22" t="s">
        <v>795</v>
      </c>
      <c r="O1642" s="22" t="s">
        <v>796</v>
      </c>
      <c r="P1642" s="24"/>
      <c r="Q1642" s="22" t="s">
        <v>90</v>
      </c>
      <c r="R1642" s="22">
        <v>3.2792560304451E13</v>
      </c>
      <c r="S1642" s="24"/>
      <c r="T1642" s="24"/>
      <c r="U1642" s="24"/>
      <c r="V1642" s="30" t="s">
        <v>127</v>
      </c>
      <c r="W1642" s="33"/>
      <c r="X1642" s="33"/>
      <c r="Y1642" s="30"/>
      <c r="Z1642" s="30"/>
      <c r="AA1642" s="33"/>
      <c r="AB1642" s="33"/>
      <c r="AC1642" s="30"/>
      <c r="AD1642" s="30"/>
      <c r="AE1642" s="33"/>
      <c r="AF1642" s="31"/>
      <c r="AG1642" s="30"/>
      <c r="AH1642" s="30"/>
      <c r="AI1642" s="31"/>
      <c r="AJ1642" s="31"/>
      <c r="AK1642" s="32"/>
    </row>
    <row r="1643">
      <c r="A1643" s="28"/>
      <c r="B1643" s="22" t="s">
        <v>1498</v>
      </c>
      <c r="C1643" s="22" t="s">
        <v>82</v>
      </c>
      <c r="D1643" s="26">
        <v>45997.0</v>
      </c>
      <c r="E1643" s="22" t="s">
        <v>522</v>
      </c>
      <c r="F1643" s="22" t="s">
        <v>605</v>
      </c>
      <c r="G1643" s="22" t="s">
        <v>3196</v>
      </c>
      <c r="H1643" s="29"/>
      <c r="I1643" s="22">
        <v>1.0477651788099E13</v>
      </c>
      <c r="J1643" s="22" t="s">
        <v>2999</v>
      </c>
      <c r="K1643" s="24"/>
      <c r="L1643" s="22" t="s">
        <v>3197</v>
      </c>
      <c r="M1643" s="24"/>
      <c r="N1643" s="24"/>
      <c r="O1643" s="22" t="s">
        <v>1806</v>
      </c>
      <c r="P1643" s="24"/>
      <c r="Q1643" s="22" t="s">
        <v>769</v>
      </c>
      <c r="R1643" s="24"/>
      <c r="S1643" s="24"/>
      <c r="T1643" s="24"/>
      <c r="U1643" s="24"/>
      <c r="V1643" s="30"/>
      <c r="W1643" s="33"/>
      <c r="X1643" s="33"/>
      <c r="Y1643" s="30"/>
      <c r="Z1643" s="30"/>
      <c r="AA1643" s="33"/>
      <c r="AB1643" s="33"/>
      <c r="AC1643" s="30"/>
      <c r="AD1643" s="30"/>
      <c r="AE1643" s="33"/>
      <c r="AF1643" s="31"/>
      <c r="AG1643" s="30"/>
      <c r="AH1643" s="30"/>
      <c r="AI1643" s="31"/>
      <c r="AJ1643" s="31"/>
      <c r="AK1643" s="32"/>
    </row>
    <row r="1644">
      <c r="A1644" s="21" t="s">
        <v>538</v>
      </c>
      <c r="B1644" s="22" t="s">
        <v>587</v>
      </c>
      <c r="C1644" s="22" t="s">
        <v>273</v>
      </c>
      <c r="D1644" s="26">
        <v>45998.0</v>
      </c>
      <c r="E1644" s="22" t="s">
        <v>153</v>
      </c>
      <c r="F1644" s="22" t="s">
        <v>369</v>
      </c>
      <c r="G1644" s="22" t="s">
        <v>3198</v>
      </c>
      <c r="H1644" s="22" t="s">
        <v>538</v>
      </c>
      <c r="I1644" s="22">
        <v>1.0477657522499E13</v>
      </c>
      <c r="J1644" s="22" t="s">
        <v>2971</v>
      </c>
      <c r="K1644" s="24"/>
      <c r="L1644" s="22" t="s">
        <v>542</v>
      </c>
      <c r="M1644" s="22">
        <v>1.0</v>
      </c>
      <c r="N1644" s="22" t="s">
        <v>373</v>
      </c>
      <c r="O1644" s="22" t="s">
        <v>374</v>
      </c>
      <c r="P1644" s="24"/>
      <c r="Q1644" s="22" t="s">
        <v>90</v>
      </c>
      <c r="R1644" s="22">
        <v>3.2792572526915E13</v>
      </c>
      <c r="S1644" s="24"/>
      <c r="T1644" s="24"/>
      <c r="U1644" s="24"/>
      <c r="V1644" s="30" t="s">
        <v>91</v>
      </c>
      <c r="W1644" s="33"/>
      <c r="X1644" s="33"/>
      <c r="Y1644" s="30"/>
      <c r="Z1644" s="30"/>
      <c r="AA1644" s="33"/>
      <c r="AB1644" s="33"/>
      <c r="AC1644" s="30"/>
      <c r="AD1644" s="30"/>
      <c r="AE1644" s="33"/>
      <c r="AF1644" s="31"/>
      <c r="AG1644" s="30"/>
      <c r="AH1644" s="30"/>
      <c r="AI1644" s="31"/>
      <c r="AJ1644" s="31"/>
      <c r="AK1644" s="32"/>
    </row>
    <row r="1645">
      <c r="A1645" s="21" t="s">
        <v>141</v>
      </c>
      <c r="B1645" s="22" t="s">
        <v>1486</v>
      </c>
      <c r="C1645" s="22" t="s">
        <v>82</v>
      </c>
      <c r="D1645" s="26">
        <v>45997.0</v>
      </c>
      <c r="E1645" s="22" t="s">
        <v>134</v>
      </c>
      <c r="F1645" s="22" t="s">
        <v>83</v>
      </c>
      <c r="G1645" s="22" t="s">
        <v>3199</v>
      </c>
      <c r="H1645" s="22" t="s">
        <v>141</v>
      </c>
      <c r="I1645" s="22">
        <v>1.0477696024899E13</v>
      </c>
      <c r="J1645" s="22" t="s">
        <v>3015</v>
      </c>
      <c r="K1645" s="24"/>
      <c r="L1645" s="22" t="s">
        <v>143</v>
      </c>
      <c r="M1645" s="22">
        <v>1.0</v>
      </c>
      <c r="N1645" s="22" t="s">
        <v>87</v>
      </c>
      <c r="O1645" s="22" t="s">
        <v>88</v>
      </c>
      <c r="P1645" s="24"/>
      <c r="Q1645" s="22" t="s">
        <v>90</v>
      </c>
      <c r="R1645" s="22">
        <v>3.2792654643523E13</v>
      </c>
      <c r="S1645" s="24"/>
      <c r="T1645" s="24"/>
      <c r="U1645" s="24"/>
      <c r="V1645" s="30" t="s">
        <v>54</v>
      </c>
      <c r="W1645" s="33"/>
      <c r="X1645" s="33"/>
      <c r="Y1645" s="30"/>
      <c r="Z1645" s="30"/>
      <c r="AA1645" s="33"/>
      <c r="AB1645" s="33"/>
      <c r="AC1645" s="30"/>
      <c r="AD1645" s="30"/>
      <c r="AE1645" s="33"/>
      <c r="AF1645" s="31"/>
      <c r="AG1645" s="30"/>
      <c r="AH1645" s="30"/>
      <c r="AI1645" s="31"/>
      <c r="AJ1645" s="31"/>
      <c r="AK1645" s="32"/>
    </row>
    <row r="1646">
      <c r="A1646" s="21" t="s">
        <v>96</v>
      </c>
      <c r="B1646" s="22" t="s">
        <v>2546</v>
      </c>
      <c r="C1646" s="22" t="s">
        <v>82</v>
      </c>
      <c r="D1646" s="26">
        <v>45997.0</v>
      </c>
      <c r="E1646" s="22" t="s">
        <v>243</v>
      </c>
      <c r="F1646" s="22" t="s">
        <v>83</v>
      </c>
      <c r="G1646" s="22" t="s">
        <v>3200</v>
      </c>
      <c r="H1646" s="22" t="s">
        <v>96</v>
      </c>
      <c r="I1646" s="22">
        <v>1.0476699877699E13</v>
      </c>
      <c r="J1646" s="22" t="s">
        <v>3131</v>
      </c>
      <c r="K1646" s="24"/>
      <c r="L1646" s="22" t="s">
        <v>98</v>
      </c>
      <c r="M1646" s="22">
        <v>1.0</v>
      </c>
      <c r="N1646" s="22" t="s">
        <v>87</v>
      </c>
      <c r="O1646" s="22" t="s">
        <v>88</v>
      </c>
      <c r="P1646" s="24"/>
      <c r="Q1646" s="22" t="s">
        <v>90</v>
      </c>
      <c r="R1646" s="22">
        <v>3.2790518071619E13</v>
      </c>
      <c r="S1646" s="24"/>
      <c r="T1646" s="24"/>
      <c r="U1646" s="24"/>
      <c r="V1646" s="30" t="s">
        <v>55</v>
      </c>
      <c r="W1646" s="33"/>
      <c r="X1646" s="33"/>
      <c r="Y1646" s="30"/>
      <c r="Z1646" s="30"/>
      <c r="AA1646" s="33"/>
      <c r="AB1646" s="33"/>
      <c r="AC1646" s="30"/>
      <c r="AD1646" s="30"/>
      <c r="AE1646" s="33"/>
      <c r="AF1646" s="31"/>
      <c r="AG1646" s="30"/>
      <c r="AH1646" s="30"/>
      <c r="AI1646" s="31"/>
      <c r="AJ1646" s="31"/>
      <c r="AK1646" s="32"/>
    </row>
    <row r="1647">
      <c r="A1647" s="21" t="s">
        <v>80</v>
      </c>
      <c r="B1647" s="22" t="s">
        <v>2320</v>
      </c>
      <c r="C1647" s="22" t="s">
        <v>82</v>
      </c>
      <c r="D1647" s="26">
        <v>45997.0</v>
      </c>
      <c r="E1647" s="22" t="s">
        <v>196</v>
      </c>
      <c r="F1647" s="22" t="s">
        <v>83</v>
      </c>
      <c r="G1647" s="22" t="s">
        <v>3201</v>
      </c>
      <c r="H1647" s="22" t="s">
        <v>80</v>
      </c>
      <c r="I1647" s="22">
        <v>1.0476720587075E13</v>
      </c>
      <c r="J1647" s="22" t="s">
        <v>3202</v>
      </c>
      <c r="K1647" s="24"/>
      <c r="L1647" s="22" t="s">
        <v>86</v>
      </c>
      <c r="M1647" s="22">
        <v>1.0</v>
      </c>
      <c r="N1647" s="22" t="s">
        <v>87</v>
      </c>
      <c r="O1647" s="22" t="s">
        <v>88</v>
      </c>
      <c r="P1647" s="24"/>
      <c r="Q1647" s="22" t="s">
        <v>90</v>
      </c>
      <c r="R1647" s="22">
        <v>3.2790562111811E13</v>
      </c>
      <c r="S1647" s="24"/>
      <c r="T1647" s="24"/>
      <c r="U1647" s="24"/>
      <c r="V1647" s="30" t="s">
        <v>91</v>
      </c>
      <c r="W1647" s="33"/>
      <c r="X1647" s="33"/>
      <c r="Y1647" s="30"/>
      <c r="Z1647" s="30"/>
      <c r="AA1647" s="33"/>
      <c r="AB1647" s="33"/>
      <c r="AC1647" s="30"/>
      <c r="AD1647" s="30"/>
      <c r="AE1647" s="33"/>
      <c r="AF1647" s="31"/>
      <c r="AG1647" s="30"/>
      <c r="AH1647" s="30"/>
      <c r="AI1647" s="31"/>
      <c r="AJ1647" s="31"/>
      <c r="AK1647" s="32"/>
    </row>
    <row r="1648">
      <c r="A1648" s="21" t="s">
        <v>141</v>
      </c>
      <c r="B1648" s="22" t="s">
        <v>3203</v>
      </c>
      <c r="C1648" s="22" t="s">
        <v>273</v>
      </c>
      <c r="D1648" s="23">
        <v>45991.0</v>
      </c>
      <c r="E1648" s="22" t="s">
        <v>181</v>
      </c>
      <c r="F1648" s="22" t="s">
        <v>83</v>
      </c>
      <c r="G1648" s="22" t="s">
        <v>3204</v>
      </c>
      <c r="H1648" s="22" t="s">
        <v>141</v>
      </c>
      <c r="I1648" s="22">
        <v>1.0476367511875E13</v>
      </c>
      <c r="J1648" s="22" t="s">
        <v>3205</v>
      </c>
      <c r="K1648" s="24"/>
      <c r="L1648" s="22" t="s">
        <v>262</v>
      </c>
      <c r="M1648" s="22">
        <v>1.0</v>
      </c>
      <c r="N1648" s="22" t="s">
        <v>263</v>
      </c>
      <c r="O1648" s="22" t="s">
        <v>264</v>
      </c>
      <c r="P1648" s="24"/>
      <c r="Q1648" s="22" t="s">
        <v>90</v>
      </c>
      <c r="R1648" s="22">
        <v>3.2789824831811E13</v>
      </c>
      <c r="S1648" s="24"/>
      <c r="T1648" s="24"/>
      <c r="U1648" s="24"/>
      <c r="V1648" s="30" t="s">
        <v>54</v>
      </c>
      <c r="W1648" s="33"/>
      <c r="X1648" s="33"/>
      <c r="Y1648" s="30"/>
      <c r="Z1648" s="30"/>
      <c r="AA1648" s="33"/>
      <c r="AB1648" s="33"/>
      <c r="AC1648" s="30"/>
      <c r="AD1648" s="30"/>
      <c r="AE1648" s="33"/>
      <c r="AF1648" s="31"/>
      <c r="AG1648" s="30"/>
      <c r="AH1648" s="30"/>
      <c r="AI1648" s="31"/>
      <c r="AJ1648" s="31"/>
      <c r="AK1648" s="32"/>
    </row>
    <row r="1649">
      <c r="A1649" s="21" t="s">
        <v>484</v>
      </c>
      <c r="B1649" s="22" t="s">
        <v>929</v>
      </c>
      <c r="C1649" s="22" t="s">
        <v>287</v>
      </c>
      <c r="D1649" s="23">
        <v>46001.0</v>
      </c>
      <c r="E1649" s="22" t="s">
        <v>134</v>
      </c>
      <c r="F1649" s="22" t="s">
        <v>311</v>
      </c>
      <c r="G1649" s="22" t="s">
        <v>3206</v>
      </c>
      <c r="H1649" s="22" t="s">
        <v>484</v>
      </c>
      <c r="I1649" s="22">
        <v>1.0477795672387E13</v>
      </c>
      <c r="J1649" s="22" t="s">
        <v>3207</v>
      </c>
      <c r="K1649" s="24"/>
      <c r="L1649" s="22" t="s">
        <v>487</v>
      </c>
      <c r="M1649" s="22">
        <v>1.0</v>
      </c>
      <c r="N1649" s="22" t="s">
        <v>315</v>
      </c>
      <c r="O1649" s="22" t="s">
        <v>316</v>
      </c>
      <c r="P1649" s="24"/>
      <c r="Q1649" s="22" t="s">
        <v>90</v>
      </c>
      <c r="R1649" s="22">
        <v>3.2792873533763E13</v>
      </c>
      <c r="S1649" s="24"/>
      <c r="T1649" s="24"/>
      <c r="U1649" s="24"/>
      <c r="V1649" s="30" t="s">
        <v>127</v>
      </c>
      <c r="W1649" s="33"/>
      <c r="X1649" s="33"/>
      <c r="Y1649" s="30"/>
      <c r="Z1649" s="30"/>
      <c r="AA1649" s="33"/>
      <c r="AB1649" s="33"/>
      <c r="AC1649" s="30"/>
      <c r="AD1649" s="30"/>
      <c r="AE1649" s="33"/>
      <c r="AF1649" s="31"/>
      <c r="AG1649" s="30"/>
      <c r="AH1649" s="30"/>
      <c r="AI1649" s="31"/>
      <c r="AJ1649" s="31"/>
      <c r="AK1649" s="32"/>
    </row>
    <row r="1650">
      <c r="A1650" s="21" t="s">
        <v>141</v>
      </c>
      <c r="B1650" s="22" t="s">
        <v>3208</v>
      </c>
      <c r="C1650" s="22" t="s">
        <v>336</v>
      </c>
      <c r="D1650" s="26">
        <v>45995.0</v>
      </c>
      <c r="E1650" s="22" t="s">
        <v>134</v>
      </c>
      <c r="F1650" s="22" t="s">
        <v>83</v>
      </c>
      <c r="G1650" s="22" t="s">
        <v>3209</v>
      </c>
      <c r="H1650" s="22" t="s">
        <v>141</v>
      </c>
      <c r="I1650" s="22">
        <v>1.0477922353475E13</v>
      </c>
      <c r="J1650" s="22" t="s">
        <v>3210</v>
      </c>
      <c r="K1650" s="24"/>
      <c r="L1650" s="22" t="s">
        <v>143</v>
      </c>
      <c r="M1650" s="22">
        <v>1.0</v>
      </c>
      <c r="N1650" s="22" t="s">
        <v>87</v>
      </c>
      <c r="O1650" s="22" t="s">
        <v>88</v>
      </c>
      <c r="P1650" s="24"/>
      <c r="Q1650" s="22" t="s">
        <v>90</v>
      </c>
      <c r="R1650" s="22">
        <v>3.2793156223299E13</v>
      </c>
      <c r="S1650" s="24"/>
      <c r="T1650" s="24"/>
      <c r="U1650" s="24"/>
      <c r="V1650" s="30" t="s">
        <v>54</v>
      </c>
      <c r="W1650" s="33"/>
      <c r="X1650" s="33"/>
      <c r="Y1650" s="30"/>
      <c r="Z1650" s="30"/>
      <c r="AA1650" s="33"/>
      <c r="AB1650" s="33"/>
      <c r="AC1650" s="30"/>
      <c r="AD1650" s="30"/>
      <c r="AE1650" s="33"/>
      <c r="AF1650" s="31"/>
      <c r="AG1650" s="30"/>
      <c r="AH1650" s="30"/>
      <c r="AI1650" s="31"/>
      <c r="AJ1650" s="31"/>
      <c r="AK1650" s="32"/>
    </row>
    <row r="1651">
      <c r="A1651" s="21" t="s">
        <v>584</v>
      </c>
      <c r="B1651" s="22" t="s">
        <v>2905</v>
      </c>
      <c r="C1651" s="22" t="s">
        <v>82</v>
      </c>
      <c r="D1651" s="23">
        <v>46004.0</v>
      </c>
      <c r="E1651" s="22" t="s">
        <v>266</v>
      </c>
      <c r="F1651" s="22" t="s">
        <v>377</v>
      </c>
      <c r="G1651" s="22" t="s">
        <v>3211</v>
      </c>
      <c r="H1651" s="22" t="s">
        <v>584</v>
      </c>
      <c r="I1651" s="22">
        <v>1.0477952041283E13</v>
      </c>
      <c r="J1651" s="22" t="s">
        <v>3212</v>
      </c>
      <c r="K1651" s="24"/>
      <c r="L1651" s="22" t="s">
        <v>586</v>
      </c>
      <c r="M1651" s="22">
        <v>1.0</v>
      </c>
      <c r="N1651" s="22" t="s">
        <v>413</v>
      </c>
      <c r="O1651" s="22" t="s">
        <v>414</v>
      </c>
      <c r="P1651" s="24"/>
      <c r="Q1651" s="22" t="s">
        <v>90</v>
      </c>
      <c r="R1651" s="22">
        <v>3.2793225822531E13</v>
      </c>
      <c r="S1651" s="24"/>
      <c r="T1651" s="24"/>
      <c r="U1651" s="24"/>
      <c r="V1651" s="30" t="s">
        <v>105</v>
      </c>
      <c r="W1651" s="33"/>
      <c r="X1651" s="33"/>
      <c r="Y1651" s="30"/>
      <c r="Z1651" s="30"/>
      <c r="AA1651" s="33"/>
      <c r="AB1651" s="33"/>
      <c r="AC1651" s="30"/>
      <c r="AD1651" s="30"/>
      <c r="AE1651" s="33"/>
      <c r="AF1651" s="31"/>
      <c r="AG1651" s="30"/>
      <c r="AH1651" s="30"/>
      <c r="AI1651" s="31"/>
      <c r="AJ1651" s="31"/>
      <c r="AK1651" s="32"/>
    </row>
    <row r="1652">
      <c r="A1652" s="21" t="s">
        <v>80</v>
      </c>
      <c r="B1652" s="22" t="s">
        <v>3213</v>
      </c>
      <c r="C1652" s="22" t="s">
        <v>202</v>
      </c>
      <c r="D1652" s="26">
        <v>45996.0</v>
      </c>
      <c r="E1652" s="22" t="s">
        <v>252</v>
      </c>
      <c r="F1652" s="22" t="s">
        <v>83</v>
      </c>
      <c r="G1652" s="22" t="s">
        <v>3214</v>
      </c>
      <c r="H1652" s="22" t="s">
        <v>80</v>
      </c>
      <c r="I1652" s="22">
        <v>1.0477980549443E13</v>
      </c>
      <c r="J1652" s="22" t="s">
        <v>3215</v>
      </c>
      <c r="K1652" s="24"/>
      <c r="L1652" s="22" t="s">
        <v>86</v>
      </c>
      <c r="M1652" s="22">
        <v>1.0</v>
      </c>
      <c r="N1652" s="22" t="s">
        <v>87</v>
      </c>
      <c r="O1652" s="22" t="s">
        <v>88</v>
      </c>
      <c r="P1652" s="24"/>
      <c r="Q1652" s="22" t="s">
        <v>90</v>
      </c>
      <c r="R1652" s="22">
        <v>3.2793287164227E13</v>
      </c>
      <c r="S1652" s="24"/>
      <c r="T1652" s="24"/>
      <c r="U1652" s="24"/>
      <c r="V1652" s="30" t="s">
        <v>91</v>
      </c>
      <c r="W1652" s="33"/>
      <c r="X1652" s="33"/>
      <c r="Y1652" s="30"/>
      <c r="Z1652" s="30"/>
      <c r="AA1652" s="33"/>
      <c r="AB1652" s="33"/>
      <c r="AC1652" s="30"/>
      <c r="AD1652" s="30"/>
      <c r="AE1652" s="33"/>
      <c r="AF1652" s="31"/>
      <c r="AG1652" s="30"/>
      <c r="AH1652" s="30"/>
      <c r="AI1652" s="31"/>
      <c r="AJ1652" s="31"/>
      <c r="AK1652" s="32"/>
    </row>
    <row r="1653">
      <c r="A1653" s="21" t="s">
        <v>592</v>
      </c>
      <c r="B1653" s="22" t="s">
        <v>1000</v>
      </c>
      <c r="C1653" s="22" t="s">
        <v>273</v>
      </c>
      <c r="D1653" s="26">
        <v>45998.0</v>
      </c>
      <c r="E1653" s="22" t="s">
        <v>134</v>
      </c>
      <c r="F1653" s="22" t="s">
        <v>311</v>
      </c>
      <c r="G1653" s="22" t="s">
        <v>3216</v>
      </c>
      <c r="H1653" s="22" t="s">
        <v>592</v>
      </c>
      <c r="I1653" s="22">
        <v>1.0478020329795E13</v>
      </c>
      <c r="J1653" s="22" t="s">
        <v>3217</v>
      </c>
      <c r="K1653" s="24"/>
      <c r="L1653" s="22" t="s">
        <v>594</v>
      </c>
      <c r="M1653" s="22">
        <v>1.0</v>
      </c>
      <c r="N1653" s="22" t="s">
        <v>391</v>
      </c>
      <c r="O1653" s="22" t="s">
        <v>392</v>
      </c>
      <c r="P1653" s="24"/>
      <c r="Q1653" s="22" t="s">
        <v>90</v>
      </c>
      <c r="R1653" s="22">
        <v>3.2793369805123E13</v>
      </c>
      <c r="S1653" s="24"/>
      <c r="T1653" s="24"/>
      <c r="U1653" s="24"/>
      <c r="V1653" s="30" t="s">
        <v>54</v>
      </c>
      <c r="W1653" s="33"/>
      <c r="X1653" s="33"/>
      <c r="Y1653" s="30"/>
      <c r="Z1653" s="30"/>
      <c r="AA1653" s="33"/>
      <c r="AB1653" s="33"/>
      <c r="AC1653" s="30"/>
      <c r="AD1653" s="30"/>
      <c r="AE1653" s="33"/>
      <c r="AF1653" s="31"/>
      <c r="AG1653" s="30"/>
      <c r="AH1653" s="30"/>
      <c r="AI1653" s="31"/>
      <c r="AJ1653" s="31"/>
      <c r="AK1653" s="32"/>
    </row>
    <row r="1654">
      <c r="A1654" s="21" t="s">
        <v>740</v>
      </c>
      <c r="B1654" s="22" t="s">
        <v>2497</v>
      </c>
      <c r="C1654" s="22" t="s">
        <v>82</v>
      </c>
      <c r="D1654" s="26">
        <v>45997.0</v>
      </c>
      <c r="E1654" s="22" t="s">
        <v>1895</v>
      </c>
      <c r="F1654" s="22" t="s">
        <v>303</v>
      </c>
      <c r="G1654" s="22" t="s">
        <v>3218</v>
      </c>
      <c r="H1654" s="22" t="s">
        <v>740</v>
      </c>
      <c r="I1654" s="22">
        <v>1.0478020362563E13</v>
      </c>
      <c r="J1654" s="22" t="s">
        <v>3219</v>
      </c>
      <c r="K1654" s="24"/>
      <c r="L1654" s="22" t="s">
        <v>744</v>
      </c>
      <c r="M1654" s="22">
        <v>1.0</v>
      </c>
      <c r="N1654" s="22" t="s">
        <v>307</v>
      </c>
      <c r="O1654" s="22" t="s">
        <v>308</v>
      </c>
      <c r="P1654" s="24"/>
      <c r="Q1654" s="22" t="s">
        <v>90</v>
      </c>
      <c r="R1654" s="22">
        <v>3.2793369903427E13</v>
      </c>
      <c r="S1654" s="24"/>
      <c r="T1654" s="24"/>
      <c r="U1654" s="24"/>
      <c r="V1654" s="30" t="s">
        <v>91</v>
      </c>
      <c r="W1654" s="33"/>
      <c r="X1654" s="33"/>
      <c r="Y1654" s="30"/>
      <c r="Z1654" s="30"/>
      <c r="AA1654" s="33"/>
      <c r="AB1654" s="33"/>
      <c r="AC1654" s="30"/>
      <c r="AD1654" s="30"/>
      <c r="AE1654" s="33"/>
      <c r="AF1654" s="31"/>
      <c r="AG1654" s="30"/>
      <c r="AH1654" s="30"/>
      <c r="AI1654" s="31"/>
      <c r="AJ1654" s="31"/>
      <c r="AK1654" s="32"/>
    </row>
    <row r="1655">
      <c r="A1655" s="21" t="s">
        <v>362</v>
      </c>
      <c r="B1655" s="22" t="s">
        <v>1502</v>
      </c>
      <c r="C1655" s="22" t="s">
        <v>82</v>
      </c>
      <c r="D1655" s="26">
        <v>45997.0</v>
      </c>
      <c r="E1655" s="22" t="s">
        <v>134</v>
      </c>
      <c r="F1655" s="22" t="s">
        <v>278</v>
      </c>
      <c r="G1655" s="22" t="s">
        <v>3220</v>
      </c>
      <c r="H1655" s="22" t="s">
        <v>362</v>
      </c>
      <c r="I1655" s="22">
        <v>1.0478043988291E13</v>
      </c>
      <c r="J1655" s="22" t="s">
        <v>2988</v>
      </c>
      <c r="K1655" s="24"/>
      <c r="L1655" s="22" t="s">
        <v>366</v>
      </c>
      <c r="M1655" s="22">
        <v>1.0</v>
      </c>
      <c r="N1655" s="22" t="s">
        <v>282</v>
      </c>
      <c r="O1655" s="22" t="s">
        <v>283</v>
      </c>
      <c r="P1655" s="24"/>
      <c r="Q1655" s="22" t="s">
        <v>90</v>
      </c>
      <c r="R1655" s="22">
        <v>3.2793422856515E13</v>
      </c>
      <c r="S1655" s="24"/>
      <c r="T1655" s="24"/>
      <c r="U1655" s="24"/>
      <c r="V1655" s="30" t="s">
        <v>54</v>
      </c>
      <c r="W1655" s="33"/>
      <c r="X1655" s="33"/>
      <c r="Y1655" s="30"/>
      <c r="Z1655" s="30"/>
      <c r="AA1655" s="33"/>
      <c r="AB1655" s="33"/>
      <c r="AC1655" s="30"/>
      <c r="AD1655" s="30"/>
      <c r="AE1655" s="33"/>
      <c r="AF1655" s="31"/>
      <c r="AG1655" s="30"/>
      <c r="AH1655" s="30"/>
      <c r="AI1655" s="31"/>
      <c r="AJ1655" s="31"/>
      <c r="AK1655" s="32"/>
    </row>
    <row r="1656">
      <c r="A1656" s="21" t="s">
        <v>1217</v>
      </c>
      <c r="B1656" s="22" t="s">
        <v>1498</v>
      </c>
      <c r="C1656" s="22" t="s">
        <v>82</v>
      </c>
      <c r="D1656" s="26">
        <v>45997.0</v>
      </c>
      <c r="E1656" s="22" t="s">
        <v>522</v>
      </c>
      <c r="F1656" s="22" t="s">
        <v>605</v>
      </c>
      <c r="G1656" s="22" t="s">
        <v>3221</v>
      </c>
      <c r="H1656" s="22" t="s">
        <v>1217</v>
      </c>
      <c r="I1656" s="22">
        <v>1.0478084292931E13</v>
      </c>
      <c r="J1656" s="22" t="s">
        <v>2999</v>
      </c>
      <c r="K1656" s="24"/>
      <c r="L1656" s="22" t="s">
        <v>1219</v>
      </c>
      <c r="M1656" s="22">
        <v>1.0</v>
      </c>
      <c r="N1656" s="22" t="s">
        <v>609</v>
      </c>
      <c r="O1656" s="22" t="s">
        <v>610</v>
      </c>
      <c r="P1656" s="24"/>
      <c r="Q1656" s="22" t="s">
        <v>90</v>
      </c>
      <c r="R1656" s="22">
        <v>3.2793509790019E13</v>
      </c>
      <c r="S1656" s="24"/>
      <c r="T1656" s="24"/>
      <c r="U1656" s="24"/>
      <c r="V1656" s="30" t="s">
        <v>91</v>
      </c>
      <c r="W1656" s="33"/>
      <c r="X1656" s="33"/>
      <c r="Y1656" s="30"/>
      <c r="Z1656" s="30"/>
      <c r="AA1656" s="33"/>
      <c r="AB1656" s="33"/>
      <c r="AC1656" s="30"/>
      <c r="AD1656" s="30"/>
      <c r="AE1656" s="33"/>
      <c r="AF1656" s="31"/>
      <c r="AG1656" s="30"/>
      <c r="AH1656" s="30"/>
      <c r="AI1656" s="31"/>
      <c r="AJ1656" s="31"/>
      <c r="AK1656" s="32"/>
    </row>
    <row r="1657">
      <c r="A1657" s="21" t="s">
        <v>470</v>
      </c>
      <c r="B1657" s="22" t="s">
        <v>943</v>
      </c>
      <c r="C1657" s="22" t="s">
        <v>82</v>
      </c>
      <c r="D1657" s="26">
        <v>45997.0</v>
      </c>
      <c r="E1657" s="22" t="s">
        <v>145</v>
      </c>
      <c r="F1657" s="22" t="s">
        <v>472</v>
      </c>
      <c r="G1657" s="22" t="s">
        <v>3222</v>
      </c>
      <c r="H1657" s="22" t="s">
        <v>470</v>
      </c>
      <c r="I1657" s="22">
        <v>1.0478126235971E13</v>
      </c>
      <c r="J1657" s="22" t="s">
        <v>3091</v>
      </c>
      <c r="K1657" s="24"/>
      <c r="L1657" s="22" t="s">
        <v>475</v>
      </c>
      <c r="M1657" s="22">
        <v>1.0</v>
      </c>
      <c r="N1657" s="22" t="s">
        <v>476</v>
      </c>
      <c r="O1657" s="22" t="s">
        <v>477</v>
      </c>
      <c r="P1657" s="24"/>
      <c r="Q1657" s="22" t="s">
        <v>90</v>
      </c>
      <c r="R1657" s="22">
        <v>3.2793598755139E13</v>
      </c>
      <c r="S1657" s="24"/>
      <c r="T1657" s="24"/>
      <c r="U1657" s="24"/>
      <c r="V1657" s="30" t="s">
        <v>91</v>
      </c>
      <c r="W1657" s="33"/>
      <c r="X1657" s="33"/>
      <c r="Y1657" s="30"/>
      <c r="Z1657" s="30"/>
      <c r="AA1657" s="33"/>
      <c r="AB1657" s="33"/>
      <c r="AC1657" s="30"/>
      <c r="AD1657" s="30"/>
      <c r="AE1657" s="33"/>
      <c r="AF1657" s="31"/>
      <c r="AG1657" s="30"/>
      <c r="AH1657" s="30"/>
      <c r="AI1657" s="31"/>
      <c r="AJ1657" s="31"/>
      <c r="AK1657" s="32"/>
    </row>
    <row r="1658">
      <c r="A1658" s="21" t="s">
        <v>423</v>
      </c>
      <c r="B1658" s="22" t="s">
        <v>587</v>
      </c>
      <c r="C1658" s="22" t="s">
        <v>273</v>
      </c>
      <c r="D1658" s="26">
        <v>45998.0</v>
      </c>
      <c r="E1658" s="22" t="s">
        <v>153</v>
      </c>
      <c r="F1658" s="22" t="s">
        <v>369</v>
      </c>
      <c r="G1658" s="22" t="s">
        <v>3223</v>
      </c>
      <c r="H1658" s="22" t="s">
        <v>423</v>
      </c>
      <c r="I1658" s="22">
        <v>1.0478161822019E13</v>
      </c>
      <c r="J1658" s="22" t="s">
        <v>2971</v>
      </c>
      <c r="K1658" s="24"/>
      <c r="L1658" s="22" t="s">
        <v>427</v>
      </c>
      <c r="M1658" s="22">
        <v>1.0</v>
      </c>
      <c r="N1658" s="22" t="s">
        <v>373</v>
      </c>
      <c r="O1658" s="22" t="s">
        <v>374</v>
      </c>
      <c r="P1658" s="24"/>
      <c r="Q1658" s="22" t="s">
        <v>90</v>
      </c>
      <c r="R1658" s="22">
        <v>3.2793675071811E13</v>
      </c>
      <c r="S1658" s="24"/>
      <c r="T1658" s="24"/>
      <c r="U1658" s="24"/>
      <c r="V1658" s="30" t="s">
        <v>95</v>
      </c>
      <c r="W1658" s="33"/>
      <c r="X1658" s="33"/>
      <c r="Y1658" s="30"/>
      <c r="Z1658" s="30"/>
      <c r="AA1658" s="33"/>
      <c r="AB1658" s="33"/>
      <c r="AC1658" s="30"/>
      <c r="AD1658" s="30"/>
      <c r="AE1658" s="33"/>
      <c r="AF1658" s="31"/>
      <c r="AG1658" s="30"/>
      <c r="AH1658" s="30"/>
      <c r="AI1658" s="31"/>
      <c r="AJ1658" s="31"/>
      <c r="AK1658" s="32"/>
    </row>
    <row r="1659">
      <c r="A1659" s="21" t="s">
        <v>1204</v>
      </c>
      <c r="B1659" s="22" t="s">
        <v>763</v>
      </c>
      <c r="C1659" s="22" t="s">
        <v>82</v>
      </c>
      <c r="D1659" s="26">
        <v>45997.0</v>
      </c>
      <c r="E1659" s="22" t="s">
        <v>149</v>
      </c>
      <c r="F1659" s="22" t="s">
        <v>623</v>
      </c>
      <c r="G1659" s="22" t="s">
        <v>3224</v>
      </c>
      <c r="H1659" s="22" t="s">
        <v>1204</v>
      </c>
      <c r="I1659" s="22">
        <v>1.0478163001667E13</v>
      </c>
      <c r="J1659" s="22" t="s">
        <v>2990</v>
      </c>
      <c r="K1659" s="24"/>
      <c r="L1659" s="22" t="s">
        <v>1208</v>
      </c>
      <c r="M1659" s="22">
        <v>1.0</v>
      </c>
      <c r="N1659" s="22" t="s">
        <v>627</v>
      </c>
      <c r="O1659" s="22" t="s">
        <v>628</v>
      </c>
      <c r="P1659" s="24"/>
      <c r="Q1659" s="22" t="s">
        <v>90</v>
      </c>
      <c r="R1659" s="22">
        <v>3.2793677594947E13</v>
      </c>
      <c r="S1659" s="24"/>
      <c r="T1659" s="24"/>
      <c r="U1659" s="24"/>
      <c r="V1659" s="30" t="s">
        <v>91</v>
      </c>
      <c r="W1659" s="33"/>
      <c r="X1659" s="33"/>
      <c r="Y1659" s="30"/>
      <c r="Z1659" s="30"/>
      <c r="AA1659" s="33"/>
      <c r="AB1659" s="33"/>
      <c r="AC1659" s="30"/>
      <c r="AD1659" s="30"/>
      <c r="AE1659" s="33"/>
      <c r="AF1659" s="31"/>
      <c r="AG1659" s="30"/>
      <c r="AH1659" s="30"/>
      <c r="AI1659" s="31"/>
      <c r="AJ1659" s="31"/>
      <c r="AK1659" s="32"/>
    </row>
    <row r="1660">
      <c r="A1660" s="21" t="s">
        <v>550</v>
      </c>
      <c r="B1660" s="22" t="s">
        <v>512</v>
      </c>
      <c r="C1660" s="22" t="s">
        <v>82</v>
      </c>
      <c r="D1660" s="26">
        <v>45997.0</v>
      </c>
      <c r="E1660" s="22" t="s">
        <v>153</v>
      </c>
      <c r="F1660" s="22" t="s">
        <v>377</v>
      </c>
      <c r="G1660" s="22" t="s">
        <v>3225</v>
      </c>
      <c r="H1660" s="22" t="s">
        <v>550</v>
      </c>
      <c r="I1660" s="22">
        <v>1.0478188298563E13</v>
      </c>
      <c r="J1660" s="22" t="s">
        <v>411</v>
      </c>
      <c r="K1660" s="24"/>
      <c r="L1660" s="22" t="s">
        <v>552</v>
      </c>
      <c r="M1660" s="22">
        <v>1.0</v>
      </c>
      <c r="N1660" s="22" t="s">
        <v>381</v>
      </c>
      <c r="O1660" s="22" t="s">
        <v>382</v>
      </c>
      <c r="P1660" s="24"/>
      <c r="Q1660" s="22" t="s">
        <v>90</v>
      </c>
      <c r="R1660" s="22">
        <v>3.2793732481347E13</v>
      </c>
      <c r="S1660" s="24"/>
      <c r="T1660" s="24"/>
      <c r="U1660" s="24"/>
      <c r="V1660" s="30" t="s">
        <v>95</v>
      </c>
      <c r="W1660" s="33"/>
      <c r="X1660" s="33"/>
      <c r="Y1660" s="30"/>
      <c r="Z1660" s="30"/>
      <c r="AA1660" s="33"/>
      <c r="AB1660" s="33"/>
      <c r="AC1660" s="30"/>
      <c r="AD1660" s="30"/>
      <c r="AE1660" s="33"/>
      <c r="AF1660" s="31"/>
      <c r="AG1660" s="30"/>
      <c r="AH1660" s="30"/>
      <c r="AI1660" s="31"/>
      <c r="AJ1660" s="31"/>
      <c r="AK1660" s="32"/>
    </row>
    <row r="1661">
      <c r="A1661" s="21" t="s">
        <v>141</v>
      </c>
      <c r="B1661" s="22" t="s">
        <v>1309</v>
      </c>
      <c r="C1661" s="22" t="s">
        <v>273</v>
      </c>
      <c r="D1661" s="26">
        <v>45998.0</v>
      </c>
      <c r="E1661" s="22" t="s">
        <v>134</v>
      </c>
      <c r="F1661" s="22" t="s">
        <v>83</v>
      </c>
      <c r="G1661" s="22" t="s">
        <v>3226</v>
      </c>
      <c r="H1661" s="22" t="s">
        <v>141</v>
      </c>
      <c r="I1661" s="22">
        <v>1.0478219854147E13</v>
      </c>
      <c r="J1661" s="22" t="s">
        <v>3101</v>
      </c>
      <c r="K1661" s="24"/>
      <c r="L1661" s="22" t="s">
        <v>143</v>
      </c>
      <c r="M1661" s="22">
        <v>1.0</v>
      </c>
      <c r="N1661" s="22" t="s">
        <v>87</v>
      </c>
      <c r="O1661" s="22" t="s">
        <v>88</v>
      </c>
      <c r="P1661" s="24"/>
      <c r="Q1661" s="22" t="s">
        <v>90</v>
      </c>
      <c r="R1661" s="22">
        <v>3.2793799524675E13</v>
      </c>
      <c r="S1661" s="24"/>
      <c r="T1661" s="24"/>
      <c r="U1661" s="24"/>
      <c r="V1661" s="30" t="s">
        <v>54</v>
      </c>
      <c r="W1661" s="33"/>
      <c r="X1661" s="33"/>
      <c r="Y1661" s="30"/>
      <c r="Z1661" s="30"/>
      <c r="AA1661" s="33"/>
      <c r="AB1661" s="33"/>
      <c r="AC1661" s="30"/>
      <c r="AD1661" s="30"/>
      <c r="AE1661" s="33"/>
      <c r="AF1661" s="31"/>
      <c r="AG1661" s="30"/>
      <c r="AH1661" s="30"/>
      <c r="AI1661" s="31"/>
      <c r="AJ1661" s="31"/>
      <c r="AK1661" s="32"/>
    </row>
    <row r="1662">
      <c r="A1662" s="21" t="s">
        <v>912</v>
      </c>
      <c r="B1662" s="22" t="s">
        <v>653</v>
      </c>
      <c r="C1662" s="22" t="s">
        <v>82</v>
      </c>
      <c r="D1662" s="26">
        <v>45997.0</v>
      </c>
      <c r="E1662" s="22" t="s">
        <v>138</v>
      </c>
      <c r="F1662" s="22" t="s">
        <v>377</v>
      </c>
      <c r="G1662" s="22" t="s">
        <v>3227</v>
      </c>
      <c r="H1662" s="22" t="s">
        <v>912</v>
      </c>
      <c r="I1662" s="22">
        <v>1.0478333067587E13</v>
      </c>
      <c r="J1662" s="22" t="s">
        <v>3228</v>
      </c>
      <c r="K1662" s="24"/>
      <c r="L1662" s="22" t="s">
        <v>914</v>
      </c>
      <c r="M1662" s="22">
        <v>1.0</v>
      </c>
      <c r="N1662" s="22" t="s">
        <v>381</v>
      </c>
      <c r="O1662" s="22" t="s">
        <v>382</v>
      </c>
      <c r="P1662" s="24"/>
      <c r="Q1662" s="22" t="s">
        <v>90</v>
      </c>
      <c r="R1662" s="22">
        <v>3.2794045710659E13</v>
      </c>
      <c r="S1662" s="24"/>
      <c r="T1662" s="24"/>
      <c r="U1662" s="24"/>
      <c r="V1662" s="30" t="s">
        <v>54</v>
      </c>
      <c r="W1662" s="33"/>
      <c r="X1662" s="33"/>
      <c r="Y1662" s="30"/>
      <c r="Z1662" s="30"/>
      <c r="AA1662" s="33"/>
      <c r="AB1662" s="33"/>
      <c r="AC1662" s="30"/>
      <c r="AD1662" s="30"/>
      <c r="AE1662" s="33"/>
      <c r="AF1662" s="31"/>
      <c r="AG1662" s="30"/>
      <c r="AH1662" s="30"/>
      <c r="AI1662" s="31"/>
      <c r="AJ1662" s="31"/>
      <c r="AK1662" s="32"/>
    </row>
    <row r="1663">
      <c r="A1663" s="21" t="s">
        <v>686</v>
      </c>
      <c r="B1663" s="22" t="s">
        <v>450</v>
      </c>
      <c r="C1663" s="22" t="s">
        <v>82</v>
      </c>
      <c r="D1663" s="26">
        <v>45997.0</v>
      </c>
      <c r="E1663" s="22" t="s">
        <v>134</v>
      </c>
      <c r="F1663" s="22" t="s">
        <v>451</v>
      </c>
      <c r="G1663" s="22" t="s">
        <v>3229</v>
      </c>
      <c r="H1663" s="22" t="s">
        <v>686</v>
      </c>
      <c r="I1663" s="22">
        <v>1.0478348304707E13</v>
      </c>
      <c r="J1663" s="22" t="s">
        <v>3044</v>
      </c>
      <c r="K1663" s="24"/>
      <c r="L1663" s="22" t="s">
        <v>688</v>
      </c>
      <c r="M1663" s="22">
        <v>1.0</v>
      </c>
      <c r="N1663" s="22" t="s">
        <v>455</v>
      </c>
      <c r="O1663" s="22" t="s">
        <v>456</v>
      </c>
      <c r="P1663" s="24"/>
      <c r="Q1663" s="22" t="s">
        <v>90</v>
      </c>
      <c r="R1663" s="22">
        <v>3.2794078609731E13</v>
      </c>
      <c r="S1663" s="24"/>
      <c r="T1663" s="24"/>
      <c r="U1663" s="24"/>
      <c r="V1663" s="30" t="s">
        <v>91</v>
      </c>
      <c r="W1663" s="33"/>
      <c r="X1663" s="33"/>
      <c r="Y1663" s="30"/>
      <c r="Z1663" s="30"/>
      <c r="AA1663" s="33"/>
      <c r="AB1663" s="33"/>
      <c r="AC1663" s="30"/>
      <c r="AD1663" s="30"/>
      <c r="AE1663" s="33"/>
      <c r="AF1663" s="31"/>
      <c r="AG1663" s="30"/>
      <c r="AH1663" s="30"/>
      <c r="AI1663" s="31"/>
      <c r="AJ1663" s="31"/>
      <c r="AK1663" s="32"/>
    </row>
    <row r="1664">
      <c r="A1664" s="21" t="s">
        <v>560</v>
      </c>
      <c r="B1664" s="22" t="s">
        <v>546</v>
      </c>
      <c r="C1664" s="22" t="s">
        <v>273</v>
      </c>
      <c r="D1664" s="23">
        <v>45991.0</v>
      </c>
      <c r="E1664" s="22" t="s">
        <v>480</v>
      </c>
      <c r="F1664" s="22" t="s">
        <v>356</v>
      </c>
      <c r="G1664" s="22" t="s">
        <v>3230</v>
      </c>
      <c r="H1664" s="22" t="s">
        <v>560</v>
      </c>
      <c r="I1664" s="22">
        <v>1.0478436352323E13</v>
      </c>
      <c r="J1664" s="22" t="s">
        <v>548</v>
      </c>
      <c r="K1664" s="24"/>
      <c r="L1664" s="22" t="s">
        <v>563</v>
      </c>
      <c r="M1664" s="22">
        <v>1.0</v>
      </c>
      <c r="N1664" s="22" t="s">
        <v>360</v>
      </c>
      <c r="O1664" s="22" t="s">
        <v>361</v>
      </c>
      <c r="P1664" s="24"/>
      <c r="Q1664" s="22" t="s">
        <v>90</v>
      </c>
      <c r="R1664" s="22">
        <v>3.2794266075459E13</v>
      </c>
      <c r="S1664" s="24"/>
      <c r="T1664" s="24"/>
      <c r="U1664" s="24"/>
      <c r="V1664" s="30" t="s">
        <v>91</v>
      </c>
      <c r="W1664" s="33"/>
      <c r="X1664" s="33"/>
      <c r="Y1664" s="30"/>
      <c r="Z1664" s="30"/>
      <c r="AA1664" s="33"/>
      <c r="AB1664" s="33"/>
      <c r="AC1664" s="30"/>
      <c r="AD1664" s="30"/>
      <c r="AE1664" s="33"/>
      <c r="AF1664" s="31"/>
      <c r="AG1664" s="30"/>
      <c r="AH1664" s="30"/>
      <c r="AI1664" s="31"/>
      <c r="AJ1664" s="31"/>
      <c r="AK1664" s="32"/>
    </row>
    <row r="1665">
      <c r="A1665" s="21" t="s">
        <v>778</v>
      </c>
      <c r="B1665" s="22" t="s">
        <v>1675</v>
      </c>
      <c r="C1665" s="22" t="s">
        <v>273</v>
      </c>
      <c r="D1665" s="26">
        <v>45998.0</v>
      </c>
      <c r="E1665" s="22" t="s">
        <v>211</v>
      </c>
      <c r="F1665" s="22" t="s">
        <v>440</v>
      </c>
      <c r="G1665" s="22" t="s">
        <v>3231</v>
      </c>
      <c r="H1665" s="22" t="s">
        <v>778</v>
      </c>
      <c r="I1665" s="22">
        <v>1.0478444970307E13</v>
      </c>
      <c r="J1665" s="22" t="s">
        <v>3232</v>
      </c>
      <c r="K1665" s="24"/>
      <c r="L1665" s="22" t="s">
        <v>780</v>
      </c>
      <c r="M1665" s="22">
        <v>1.0</v>
      </c>
      <c r="N1665" s="22" t="s">
        <v>781</v>
      </c>
      <c r="O1665" s="22" t="s">
        <v>782</v>
      </c>
      <c r="P1665" s="24"/>
      <c r="Q1665" s="22" t="s">
        <v>90</v>
      </c>
      <c r="R1665" s="22">
        <v>3.2794286129475E13</v>
      </c>
      <c r="S1665" s="24"/>
      <c r="T1665" s="24"/>
      <c r="U1665" s="24"/>
      <c r="V1665" s="30" t="s">
        <v>127</v>
      </c>
      <c r="W1665" s="33"/>
      <c r="X1665" s="33"/>
      <c r="Y1665" s="30"/>
      <c r="Z1665" s="30"/>
      <c r="AA1665" s="33"/>
      <c r="AB1665" s="33"/>
      <c r="AC1665" s="30"/>
      <c r="AD1665" s="30"/>
      <c r="AE1665" s="33"/>
      <c r="AF1665" s="31"/>
      <c r="AG1665" s="30"/>
      <c r="AH1665" s="30"/>
      <c r="AI1665" s="31"/>
      <c r="AJ1665" s="31"/>
      <c r="AK1665" s="32"/>
    </row>
    <row r="1666">
      <c r="A1666" s="21" t="s">
        <v>859</v>
      </c>
      <c r="B1666" s="22" t="s">
        <v>1510</v>
      </c>
      <c r="C1666" s="22" t="s">
        <v>82</v>
      </c>
      <c r="D1666" s="26">
        <v>45997.0</v>
      </c>
      <c r="E1666" s="22" t="s">
        <v>266</v>
      </c>
      <c r="F1666" s="22" t="s">
        <v>605</v>
      </c>
      <c r="G1666" s="22" t="s">
        <v>3233</v>
      </c>
      <c r="H1666" s="22" t="s">
        <v>859</v>
      </c>
      <c r="I1666" s="22">
        <v>1.0478509916483E13</v>
      </c>
      <c r="J1666" s="22" t="s">
        <v>3111</v>
      </c>
      <c r="K1666" s="24"/>
      <c r="L1666" s="22" t="s">
        <v>861</v>
      </c>
      <c r="M1666" s="22">
        <v>1.0</v>
      </c>
      <c r="N1666" s="22" t="s">
        <v>609</v>
      </c>
      <c r="O1666" s="22" t="s">
        <v>610</v>
      </c>
      <c r="P1666" s="24"/>
      <c r="Q1666" s="22" t="s">
        <v>90</v>
      </c>
      <c r="R1666" s="22">
        <v>3.2794429751619E13</v>
      </c>
      <c r="S1666" s="24"/>
      <c r="T1666" s="24"/>
      <c r="U1666" s="24"/>
      <c r="V1666" s="30" t="s">
        <v>95</v>
      </c>
      <c r="W1666" s="33"/>
      <c r="X1666" s="33"/>
      <c r="Y1666" s="30"/>
      <c r="Z1666" s="30"/>
      <c r="AA1666" s="33"/>
      <c r="AB1666" s="33"/>
      <c r="AC1666" s="30"/>
      <c r="AD1666" s="30"/>
      <c r="AE1666" s="33"/>
      <c r="AF1666" s="31"/>
      <c r="AG1666" s="30"/>
      <c r="AH1666" s="30"/>
      <c r="AI1666" s="31"/>
      <c r="AJ1666" s="31"/>
      <c r="AK1666" s="32"/>
    </row>
    <row r="1667">
      <c r="A1667" s="21" t="s">
        <v>692</v>
      </c>
      <c r="B1667" s="22" t="s">
        <v>368</v>
      </c>
      <c r="C1667" s="22" t="s">
        <v>273</v>
      </c>
      <c r="D1667" s="26">
        <v>45998.0</v>
      </c>
      <c r="E1667" s="22" t="s">
        <v>196</v>
      </c>
      <c r="F1667" s="22" t="s">
        <v>369</v>
      </c>
      <c r="G1667" s="22" t="s">
        <v>3234</v>
      </c>
      <c r="H1667" s="22" t="s">
        <v>692</v>
      </c>
      <c r="I1667" s="22">
        <v>1.0478664319299E13</v>
      </c>
      <c r="J1667" s="22" t="s">
        <v>371</v>
      </c>
      <c r="K1667" s="24"/>
      <c r="L1667" s="22" t="s">
        <v>694</v>
      </c>
      <c r="M1667" s="22">
        <v>1.0</v>
      </c>
      <c r="N1667" s="22" t="s">
        <v>373</v>
      </c>
      <c r="O1667" s="22" t="s">
        <v>374</v>
      </c>
      <c r="P1667" s="24"/>
      <c r="Q1667" s="22" t="s">
        <v>90</v>
      </c>
      <c r="R1667" s="22">
        <v>3.2794759463235E13</v>
      </c>
      <c r="S1667" s="24"/>
      <c r="T1667" s="24"/>
      <c r="U1667" s="24"/>
      <c r="V1667" s="30" t="s">
        <v>54</v>
      </c>
      <c r="W1667" s="33"/>
      <c r="X1667" s="33"/>
      <c r="Y1667" s="30"/>
      <c r="Z1667" s="30"/>
      <c r="AA1667" s="33"/>
      <c r="AB1667" s="33"/>
      <c r="AC1667" s="30"/>
      <c r="AD1667" s="30"/>
      <c r="AE1667" s="33"/>
      <c r="AF1667" s="31"/>
      <c r="AG1667" s="30"/>
      <c r="AH1667" s="30"/>
      <c r="AI1667" s="31"/>
      <c r="AJ1667" s="31"/>
      <c r="AK1667" s="32"/>
    </row>
    <row r="1668">
      <c r="A1668" s="21" t="s">
        <v>620</v>
      </c>
      <c r="B1668" s="22" t="s">
        <v>1756</v>
      </c>
      <c r="C1668" s="22" t="s">
        <v>273</v>
      </c>
      <c r="D1668" s="26">
        <v>45998.0</v>
      </c>
      <c r="E1668" s="22" t="s">
        <v>196</v>
      </c>
      <c r="F1668" s="22" t="s">
        <v>623</v>
      </c>
      <c r="G1668" s="22" t="s">
        <v>3235</v>
      </c>
      <c r="H1668" s="22" t="s">
        <v>620</v>
      </c>
      <c r="I1668" s="22">
        <v>1.0478740963651E13</v>
      </c>
      <c r="J1668" s="22" t="s">
        <v>3062</v>
      </c>
      <c r="K1668" s="24"/>
      <c r="L1668" s="22" t="s">
        <v>626</v>
      </c>
      <c r="M1668" s="22">
        <v>1.0</v>
      </c>
      <c r="N1668" s="22" t="s">
        <v>627</v>
      </c>
      <c r="O1668" s="22" t="s">
        <v>628</v>
      </c>
      <c r="P1668" s="24"/>
      <c r="Q1668" s="22" t="s">
        <v>90</v>
      </c>
      <c r="R1668" s="22">
        <v>3.2794923696451E13</v>
      </c>
      <c r="S1668" s="24"/>
      <c r="T1668" s="24"/>
      <c r="U1668" s="24"/>
      <c r="V1668" s="30" t="s">
        <v>54</v>
      </c>
      <c r="W1668" s="33"/>
      <c r="X1668" s="33"/>
      <c r="Y1668" s="30"/>
      <c r="Z1668" s="30"/>
      <c r="AA1668" s="33"/>
      <c r="AB1668" s="33"/>
      <c r="AC1668" s="30"/>
      <c r="AD1668" s="30"/>
      <c r="AE1668" s="33"/>
      <c r="AF1668" s="31"/>
      <c r="AG1668" s="30"/>
      <c r="AH1668" s="30"/>
      <c r="AI1668" s="31"/>
      <c r="AJ1668" s="31"/>
      <c r="AK1668" s="32"/>
    </row>
    <row r="1669">
      <c r="A1669" s="21" t="s">
        <v>158</v>
      </c>
      <c r="B1669" s="22" t="s">
        <v>629</v>
      </c>
      <c r="C1669" s="22" t="s">
        <v>82</v>
      </c>
      <c r="D1669" s="26">
        <v>45997.0</v>
      </c>
      <c r="E1669" s="22" t="s">
        <v>230</v>
      </c>
      <c r="F1669" s="22" t="s">
        <v>111</v>
      </c>
      <c r="G1669" s="22" t="s">
        <v>3236</v>
      </c>
      <c r="H1669" s="22" t="s">
        <v>158</v>
      </c>
      <c r="I1669" s="22">
        <v>1.0478753513795E13</v>
      </c>
      <c r="J1669" s="22" t="s">
        <v>3086</v>
      </c>
      <c r="K1669" s="24"/>
      <c r="L1669" s="22" t="s">
        <v>163</v>
      </c>
      <c r="M1669" s="22">
        <v>1.0</v>
      </c>
      <c r="N1669" s="22" t="s">
        <v>164</v>
      </c>
      <c r="O1669" s="22" t="s">
        <v>165</v>
      </c>
      <c r="P1669" s="24"/>
      <c r="Q1669" s="22" t="s">
        <v>90</v>
      </c>
      <c r="R1669" s="22">
        <v>3.2794952171843E13</v>
      </c>
      <c r="S1669" s="24"/>
      <c r="T1669" s="24"/>
      <c r="U1669" s="24"/>
      <c r="V1669" s="30" t="s">
        <v>127</v>
      </c>
      <c r="W1669" s="33"/>
      <c r="X1669" s="33"/>
      <c r="Y1669" s="30"/>
      <c r="Z1669" s="30"/>
      <c r="AA1669" s="33"/>
      <c r="AB1669" s="33"/>
      <c r="AC1669" s="30"/>
      <c r="AD1669" s="30"/>
      <c r="AE1669" s="33"/>
      <c r="AF1669" s="31"/>
      <c r="AG1669" s="30"/>
      <c r="AH1669" s="30"/>
      <c r="AI1669" s="31"/>
      <c r="AJ1669" s="31"/>
      <c r="AK1669" s="32"/>
    </row>
    <row r="1670">
      <c r="A1670" s="21" t="s">
        <v>602</v>
      </c>
      <c r="B1670" s="22" t="s">
        <v>1510</v>
      </c>
      <c r="C1670" s="22" t="s">
        <v>82</v>
      </c>
      <c r="D1670" s="26">
        <v>45997.0</v>
      </c>
      <c r="E1670" s="22" t="s">
        <v>266</v>
      </c>
      <c r="F1670" s="22" t="s">
        <v>605</v>
      </c>
      <c r="G1670" s="22" t="s">
        <v>3237</v>
      </c>
      <c r="H1670" s="22" t="s">
        <v>602</v>
      </c>
      <c r="I1670" s="22">
        <v>1.0478779302211E13</v>
      </c>
      <c r="J1670" s="22" t="s">
        <v>3111</v>
      </c>
      <c r="K1670" s="24"/>
      <c r="L1670" s="22" t="s">
        <v>608</v>
      </c>
      <c r="M1670" s="22">
        <v>1.0</v>
      </c>
      <c r="N1670" s="22" t="s">
        <v>609</v>
      </c>
      <c r="O1670" s="22" t="s">
        <v>610</v>
      </c>
      <c r="P1670" s="24"/>
      <c r="Q1670" s="22" t="s">
        <v>90</v>
      </c>
      <c r="R1670" s="22">
        <v>3.2795005157699E13</v>
      </c>
      <c r="S1670" s="24"/>
      <c r="T1670" s="24"/>
      <c r="U1670" s="24"/>
      <c r="V1670" s="30" t="s">
        <v>54</v>
      </c>
      <c r="W1670" s="33"/>
      <c r="X1670" s="33"/>
      <c r="Y1670" s="30"/>
      <c r="Z1670" s="30"/>
      <c r="AA1670" s="33"/>
      <c r="AB1670" s="33"/>
      <c r="AC1670" s="30"/>
      <c r="AD1670" s="30"/>
      <c r="AE1670" s="33"/>
      <c r="AF1670" s="31"/>
      <c r="AG1670" s="30"/>
      <c r="AH1670" s="30"/>
      <c r="AI1670" s="31"/>
      <c r="AJ1670" s="31"/>
      <c r="AK1670" s="32"/>
    </row>
    <row r="1671">
      <c r="A1671" s="21" t="s">
        <v>529</v>
      </c>
      <c r="B1671" s="22" t="s">
        <v>943</v>
      </c>
      <c r="C1671" s="22" t="s">
        <v>82</v>
      </c>
      <c r="D1671" s="26">
        <v>45997.0</v>
      </c>
      <c r="E1671" s="22" t="s">
        <v>145</v>
      </c>
      <c r="F1671" s="22" t="s">
        <v>472</v>
      </c>
      <c r="G1671" s="22" t="s">
        <v>3238</v>
      </c>
      <c r="H1671" s="22" t="s">
        <v>529</v>
      </c>
      <c r="I1671" s="22">
        <v>1.0478803714371E13</v>
      </c>
      <c r="J1671" s="22" t="s">
        <v>3091</v>
      </c>
      <c r="K1671" s="24"/>
      <c r="L1671" s="22" t="s">
        <v>533</v>
      </c>
      <c r="M1671" s="22">
        <v>1.0</v>
      </c>
      <c r="N1671" s="22" t="s">
        <v>534</v>
      </c>
      <c r="O1671" s="22" t="s">
        <v>535</v>
      </c>
      <c r="P1671" s="24"/>
      <c r="Q1671" s="22" t="s">
        <v>90</v>
      </c>
      <c r="R1671" s="22">
        <v>3.2795056308547E13</v>
      </c>
      <c r="S1671" s="24"/>
      <c r="T1671" s="24"/>
      <c r="U1671" s="24"/>
      <c r="V1671" s="30" t="s">
        <v>127</v>
      </c>
      <c r="W1671" s="33"/>
      <c r="X1671" s="33"/>
      <c r="Y1671" s="30"/>
      <c r="Z1671" s="30"/>
      <c r="AA1671" s="33"/>
      <c r="AB1671" s="33"/>
      <c r="AC1671" s="30"/>
      <c r="AD1671" s="30"/>
      <c r="AE1671" s="33"/>
      <c r="AF1671" s="31"/>
      <c r="AG1671" s="30"/>
      <c r="AH1671" s="30"/>
      <c r="AI1671" s="31"/>
      <c r="AJ1671" s="31"/>
      <c r="AK1671" s="32"/>
    </row>
    <row r="1672">
      <c r="A1672" s="21" t="s">
        <v>96</v>
      </c>
      <c r="B1672" s="22" t="s">
        <v>1547</v>
      </c>
      <c r="C1672" s="22" t="s">
        <v>273</v>
      </c>
      <c r="D1672" s="26">
        <v>45998.0</v>
      </c>
      <c r="E1672" s="22" t="s">
        <v>145</v>
      </c>
      <c r="F1672" s="22" t="s">
        <v>83</v>
      </c>
      <c r="G1672" s="22" t="s">
        <v>3239</v>
      </c>
      <c r="H1672" s="22" t="s">
        <v>96</v>
      </c>
      <c r="I1672" s="22">
        <v>1.0478810726723E13</v>
      </c>
      <c r="J1672" s="22" t="s">
        <v>3240</v>
      </c>
      <c r="K1672" s="24"/>
      <c r="L1672" s="22" t="s">
        <v>98</v>
      </c>
      <c r="M1672" s="22">
        <v>1.0</v>
      </c>
      <c r="N1672" s="22" t="s">
        <v>87</v>
      </c>
      <c r="O1672" s="22" t="s">
        <v>88</v>
      </c>
      <c r="P1672" s="24"/>
      <c r="Q1672" s="22" t="s">
        <v>90</v>
      </c>
      <c r="R1672" s="22">
        <v>3.2795073872195E13</v>
      </c>
      <c r="S1672" s="24"/>
      <c r="T1672" s="24"/>
      <c r="U1672" s="24"/>
      <c r="V1672" s="30" t="s">
        <v>55</v>
      </c>
      <c r="W1672" s="33"/>
      <c r="X1672" s="33"/>
      <c r="Y1672" s="30"/>
      <c r="Z1672" s="30"/>
      <c r="AA1672" s="33"/>
      <c r="AB1672" s="33"/>
      <c r="AC1672" s="30"/>
      <c r="AD1672" s="30"/>
      <c r="AE1672" s="33"/>
      <c r="AF1672" s="31"/>
      <c r="AG1672" s="30"/>
      <c r="AH1672" s="30"/>
      <c r="AI1672" s="31"/>
      <c r="AJ1672" s="31"/>
      <c r="AK1672" s="32"/>
    </row>
    <row r="1673">
      <c r="A1673" s="21" t="s">
        <v>696</v>
      </c>
      <c r="B1673" s="22" t="s">
        <v>2169</v>
      </c>
      <c r="C1673" s="22" t="s">
        <v>82</v>
      </c>
      <c r="D1673" s="26">
        <v>45997.0</v>
      </c>
      <c r="E1673" s="22" t="s">
        <v>177</v>
      </c>
      <c r="F1673" s="22" t="s">
        <v>698</v>
      </c>
      <c r="G1673" s="22" t="s">
        <v>3241</v>
      </c>
      <c r="H1673" s="22" t="s">
        <v>696</v>
      </c>
      <c r="I1673" s="22">
        <v>1.0478822195523E13</v>
      </c>
      <c r="J1673" s="22" t="s">
        <v>2973</v>
      </c>
      <c r="K1673" s="24"/>
      <c r="L1673" s="22" t="s">
        <v>701</v>
      </c>
      <c r="M1673" s="22">
        <v>1.0</v>
      </c>
      <c r="N1673" s="22" t="s">
        <v>702</v>
      </c>
      <c r="O1673" s="22" t="s">
        <v>703</v>
      </c>
      <c r="P1673" s="24"/>
      <c r="Q1673" s="22" t="s">
        <v>90</v>
      </c>
      <c r="R1673" s="22">
        <v>3.2795100578115E13</v>
      </c>
      <c r="S1673" s="24"/>
      <c r="T1673" s="24"/>
      <c r="U1673" s="24"/>
      <c r="V1673" s="30" t="s">
        <v>55</v>
      </c>
      <c r="W1673" s="33"/>
      <c r="X1673" s="33"/>
      <c r="Y1673" s="30"/>
      <c r="Z1673" s="30"/>
      <c r="AA1673" s="33"/>
      <c r="AB1673" s="33"/>
      <c r="AC1673" s="30"/>
      <c r="AD1673" s="30"/>
      <c r="AE1673" s="33"/>
      <c r="AF1673" s="31"/>
      <c r="AG1673" s="30"/>
      <c r="AH1673" s="30"/>
      <c r="AI1673" s="31"/>
      <c r="AJ1673" s="31"/>
      <c r="AK1673" s="32"/>
    </row>
    <row r="1674">
      <c r="A1674" s="21" t="s">
        <v>1217</v>
      </c>
      <c r="B1674" s="22" t="s">
        <v>2149</v>
      </c>
      <c r="C1674" s="22" t="s">
        <v>82</v>
      </c>
      <c r="D1674" s="26">
        <v>45997.0</v>
      </c>
      <c r="E1674" s="22" t="s">
        <v>196</v>
      </c>
      <c r="F1674" s="22" t="s">
        <v>605</v>
      </c>
      <c r="G1674" s="22" t="s">
        <v>3242</v>
      </c>
      <c r="H1674" s="22" t="s">
        <v>1217</v>
      </c>
      <c r="I1674" s="22">
        <v>1.0478892056899E13</v>
      </c>
      <c r="J1674" s="22" t="s">
        <v>3192</v>
      </c>
      <c r="K1674" s="24"/>
      <c r="L1674" s="22" t="s">
        <v>1219</v>
      </c>
      <c r="M1674" s="22">
        <v>1.0</v>
      </c>
      <c r="N1674" s="22" t="s">
        <v>609</v>
      </c>
      <c r="O1674" s="22" t="s">
        <v>610</v>
      </c>
      <c r="P1674" s="24"/>
      <c r="Q1674" s="22" t="s">
        <v>90</v>
      </c>
      <c r="R1674" s="22">
        <v>3.2795248329027E13</v>
      </c>
      <c r="S1674" s="24"/>
      <c r="T1674" s="24"/>
      <c r="U1674" s="24"/>
      <c r="V1674" s="30" t="s">
        <v>91</v>
      </c>
      <c r="W1674" s="33"/>
      <c r="X1674" s="33"/>
      <c r="Y1674" s="30"/>
      <c r="Z1674" s="30"/>
      <c r="AA1674" s="33"/>
      <c r="AB1674" s="33"/>
      <c r="AC1674" s="30"/>
      <c r="AD1674" s="30"/>
      <c r="AE1674" s="33"/>
      <c r="AF1674" s="31"/>
      <c r="AG1674" s="30"/>
      <c r="AH1674" s="30"/>
      <c r="AI1674" s="31"/>
      <c r="AJ1674" s="31"/>
      <c r="AK1674" s="32"/>
    </row>
    <row r="1675">
      <c r="A1675" s="21" t="s">
        <v>822</v>
      </c>
      <c r="B1675" s="22" t="s">
        <v>3243</v>
      </c>
      <c r="C1675" s="22" t="s">
        <v>287</v>
      </c>
      <c r="D1675" s="23">
        <v>46001.0</v>
      </c>
      <c r="E1675" s="22" t="s">
        <v>622</v>
      </c>
      <c r="F1675" s="22" t="s">
        <v>634</v>
      </c>
      <c r="G1675" s="22" t="s">
        <v>3244</v>
      </c>
      <c r="H1675" s="22" t="s">
        <v>822</v>
      </c>
      <c r="I1675" s="22">
        <v>1.0478897463619E13</v>
      </c>
      <c r="J1675" s="22" t="s">
        <v>3245</v>
      </c>
      <c r="K1675" s="24"/>
      <c r="L1675" s="22" t="s">
        <v>826</v>
      </c>
      <c r="M1675" s="22">
        <v>1.0</v>
      </c>
      <c r="N1675" s="22" t="s">
        <v>638</v>
      </c>
      <c r="O1675" s="22" t="s">
        <v>639</v>
      </c>
      <c r="P1675" s="24"/>
      <c r="Q1675" s="22" t="s">
        <v>90</v>
      </c>
      <c r="R1675" s="22">
        <v>3.2795258257731E13</v>
      </c>
      <c r="S1675" s="24"/>
      <c r="T1675" s="24"/>
      <c r="U1675" s="24"/>
      <c r="V1675" s="30" t="s">
        <v>55</v>
      </c>
      <c r="W1675" s="33"/>
      <c r="X1675" s="33"/>
      <c r="Y1675" s="30"/>
      <c r="Z1675" s="30"/>
      <c r="AA1675" s="33"/>
      <c r="AB1675" s="33"/>
      <c r="AC1675" s="30"/>
      <c r="AD1675" s="30"/>
      <c r="AE1675" s="33"/>
      <c r="AF1675" s="31"/>
      <c r="AG1675" s="30"/>
      <c r="AH1675" s="30"/>
      <c r="AI1675" s="31"/>
      <c r="AJ1675" s="31"/>
      <c r="AK1675" s="32"/>
    </row>
    <row r="1676">
      <c r="A1676" s="21" t="s">
        <v>80</v>
      </c>
      <c r="B1676" s="22" t="s">
        <v>1352</v>
      </c>
      <c r="C1676" s="22" t="s">
        <v>82</v>
      </c>
      <c r="D1676" s="26">
        <v>45997.0</v>
      </c>
      <c r="E1676" s="22" t="s">
        <v>153</v>
      </c>
      <c r="F1676" s="22" t="s">
        <v>83</v>
      </c>
      <c r="G1676" s="22" t="s">
        <v>3246</v>
      </c>
      <c r="H1676" s="22" t="s">
        <v>80</v>
      </c>
      <c r="I1676" s="22">
        <v>1.0478937145667E13</v>
      </c>
      <c r="J1676" s="22" t="s">
        <v>2950</v>
      </c>
      <c r="K1676" s="24"/>
      <c r="L1676" s="22" t="s">
        <v>86</v>
      </c>
      <c r="M1676" s="22">
        <v>1.0</v>
      </c>
      <c r="N1676" s="22" t="s">
        <v>87</v>
      </c>
      <c r="O1676" s="22" t="s">
        <v>88</v>
      </c>
      <c r="P1676" s="24"/>
      <c r="Q1676" s="22" t="s">
        <v>90</v>
      </c>
      <c r="R1676" s="22">
        <v>3.2795342242115E13</v>
      </c>
      <c r="S1676" s="24"/>
      <c r="T1676" s="24"/>
      <c r="U1676" s="24"/>
      <c r="V1676" s="30" t="s">
        <v>91</v>
      </c>
      <c r="W1676" s="33"/>
      <c r="X1676" s="33"/>
      <c r="Y1676" s="30"/>
      <c r="Z1676" s="30"/>
      <c r="AA1676" s="33"/>
      <c r="AB1676" s="33"/>
      <c r="AC1676" s="30"/>
      <c r="AD1676" s="30"/>
      <c r="AE1676" s="33"/>
      <c r="AF1676" s="31"/>
      <c r="AG1676" s="30"/>
      <c r="AH1676" s="30"/>
      <c r="AI1676" s="31"/>
      <c r="AJ1676" s="31"/>
      <c r="AK1676" s="32"/>
    </row>
    <row r="1677">
      <c r="A1677" s="21" t="s">
        <v>1108</v>
      </c>
      <c r="B1677" s="22" t="s">
        <v>909</v>
      </c>
      <c r="C1677" s="22" t="s">
        <v>82</v>
      </c>
      <c r="D1677" s="23">
        <v>46004.0</v>
      </c>
      <c r="E1677" s="22" t="s">
        <v>134</v>
      </c>
      <c r="F1677" s="22" t="s">
        <v>203</v>
      </c>
      <c r="G1677" s="22" t="s">
        <v>3247</v>
      </c>
      <c r="H1677" s="22" t="s">
        <v>1108</v>
      </c>
      <c r="I1677" s="22">
        <v>1.0478938161475E13</v>
      </c>
      <c r="J1677" s="22" t="s">
        <v>3248</v>
      </c>
      <c r="K1677" s="24"/>
      <c r="L1677" s="22" t="s">
        <v>1110</v>
      </c>
      <c r="M1677" s="22">
        <v>1.0</v>
      </c>
      <c r="N1677" s="22" t="s">
        <v>207</v>
      </c>
      <c r="O1677" s="22" t="s">
        <v>208</v>
      </c>
      <c r="P1677" s="24"/>
      <c r="Q1677" s="22" t="s">
        <v>90</v>
      </c>
      <c r="R1677" s="22">
        <v>3.2795344503107E13</v>
      </c>
      <c r="S1677" s="24"/>
      <c r="T1677" s="24"/>
      <c r="U1677" s="24"/>
      <c r="V1677" s="30" t="s">
        <v>55</v>
      </c>
      <c r="W1677" s="33"/>
      <c r="X1677" s="33"/>
      <c r="Y1677" s="30"/>
      <c r="Z1677" s="30"/>
      <c r="AA1677" s="33"/>
      <c r="AB1677" s="33"/>
      <c r="AC1677" s="30"/>
      <c r="AD1677" s="30"/>
      <c r="AE1677" s="33"/>
      <c r="AF1677" s="31"/>
      <c r="AG1677" s="30"/>
      <c r="AH1677" s="30"/>
      <c r="AI1677" s="31"/>
      <c r="AJ1677" s="31"/>
      <c r="AK1677" s="32"/>
    </row>
    <row r="1678">
      <c r="A1678" s="21" t="s">
        <v>408</v>
      </c>
      <c r="B1678" s="22" t="s">
        <v>653</v>
      </c>
      <c r="C1678" s="22" t="s">
        <v>82</v>
      </c>
      <c r="D1678" s="26">
        <v>45997.0</v>
      </c>
      <c r="E1678" s="22" t="s">
        <v>138</v>
      </c>
      <c r="F1678" s="22" t="s">
        <v>377</v>
      </c>
      <c r="G1678" s="22" t="s">
        <v>3249</v>
      </c>
      <c r="H1678" s="22" t="s">
        <v>408</v>
      </c>
      <c r="I1678" s="22">
        <v>1.0478966964547E13</v>
      </c>
      <c r="J1678" s="22" t="s">
        <v>3228</v>
      </c>
      <c r="K1678" s="24"/>
      <c r="L1678" s="22" t="s">
        <v>412</v>
      </c>
      <c r="M1678" s="22">
        <v>1.0</v>
      </c>
      <c r="N1678" s="22" t="s">
        <v>413</v>
      </c>
      <c r="O1678" s="22" t="s">
        <v>414</v>
      </c>
      <c r="P1678" s="24"/>
      <c r="Q1678" s="22" t="s">
        <v>90</v>
      </c>
      <c r="R1678" s="22">
        <v>3.2795404960067E13</v>
      </c>
      <c r="S1678" s="24"/>
      <c r="T1678" s="24"/>
      <c r="U1678" s="24"/>
      <c r="V1678" s="30" t="s">
        <v>127</v>
      </c>
      <c r="W1678" s="33"/>
      <c r="X1678" s="33"/>
      <c r="Y1678" s="30"/>
      <c r="Z1678" s="30"/>
      <c r="AA1678" s="33"/>
      <c r="AB1678" s="33"/>
      <c r="AC1678" s="30"/>
      <c r="AD1678" s="30"/>
      <c r="AE1678" s="33"/>
      <c r="AF1678" s="31"/>
      <c r="AG1678" s="30"/>
      <c r="AH1678" s="30"/>
      <c r="AI1678" s="31"/>
      <c r="AJ1678" s="31"/>
      <c r="AK1678" s="32"/>
    </row>
    <row r="1679">
      <c r="A1679" s="21" t="s">
        <v>643</v>
      </c>
      <c r="B1679" s="22" t="s">
        <v>3250</v>
      </c>
      <c r="C1679" s="22" t="s">
        <v>82</v>
      </c>
      <c r="D1679" s="23">
        <v>46004.0</v>
      </c>
      <c r="E1679" s="22" t="s">
        <v>1895</v>
      </c>
      <c r="F1679" s="22" t="s">
        <v>634</v>
      </c>
      <c r="G1679" s="22" t="s">
        <v>3251</v>
      </c>
      <c r="H1679" s="22" t="s">
        <v>643</v>
      </c>
      <c r="I1679" s="22">
        <v>1.0479080210755E13</v>
      </c>
      <c r="J1679" s="22" t="s">
        <v>3252</v>
      </c>
      <c r="K1679" s="24"/>
      <c r="L1679" s="22" t="s">
        <v>647</v>
      </c>
      <c r="M1679" s="22">
        <v>1.0</v>
      </c>
      <c r="N1679" s="22" t="s">
        <v>638</v>
      </c>
      <c r="O1679" s="22" t="s">
        <v>639</v>
      </c>
      <c r="P1679" s="24"/>
      <c r="Q1679" s="22" t="s">
        <v>90</v>
      </c>
      <c r="R1679" s="22">
        <v>3.2795638595907E13</v>
      </c>
      <c r="S1679" s="24"/>
      <c r="T1679" s="24"/>
      <c r="U1679" s="24"/>
      <c r="V1679" s="30" t="s">
        <v>54</v>
      </c>
      <c r="W1679" s="33"/>
      <c r="X1679" s="33"/>
      <c r="Y1679" s="30"/>
      <c r="Z1679" s="30"/>
      <c r="AA1679" s="33"/>
      <c r="AB1679" s="33"/>
      <c r="AC1679" s="30"/>
      <c r="AD1679" s="30"/>
      <c r="AE1679" s="33"/>
      <c r="AF1679" s="31"/>
      <c r="AG1679" s="30"/>
      <c r="AH1679" s="30"/>
      <c r="AI1679" s="31"/>
      <c r="AJ1679" s="31"/>
      <c r="AK1679" s="32"/>
    </row>
    <row r="1680">
      <c r="A1680" s="21" t="s">
        <v>789</v>
      </c>
      <c r="B1680" s="22" t="s">
        <v>1510</v>
      </c>
      <c r="C1680" s="22" t="s">
        <v>82</v>
      </c>
      <c r="D1680" s="26">
        <v>45997.0</v>
      </c>
      <c r="E1680" s="22" t="s">
        <v>266</v>
      </c>
      <c r="F1680" s="22" t="s">
        <v>605</v>
      </c>
      <c r="G1680" s="22" t="s">
        <v>3253</v>
      </c>
      <c r="H1680" s="22" t="s">
        <v>789</v>
      </c>
      <c r="I1680" s="22">
        <v>1.0479157772611E13</v>
      </c>
      <c r="J1680" s="22" t="s">
        <v>3111</v>
      </c>
      <c r="K1680" s="24"/>
      <c r="L1680" s="22" t="s">
        <v>794</v>
      </c>
      <c r="M1680" s="22">
        <v>1.0</v>
      </c>
      <c r="N1680" s="22" t="s">
        <v>795</v>
      </c>
      <c r="O1680" s="22" t="s">
        <v>796</v>
      </c>
      <c r="P1680" s="24"/>
      <c r="Q1680" s="22" t="s">
        <v>90</v>
      </c>
      <c r="R1680" s="22">
        <v>3.2795786903875E13</v>
      </c>
      <c r="S1680" s="24"/>
      <c r="T1680" s="24"/>
      <c r="U1680" s="24"/>
      <c r="V1680" s="30" t="s">
        <v>105</v>
      </c>
      <c r="W1680" s="33"/>
      <c r="X1680" s="33"/>
      <c r="Y1680" s="30"/>
      <c r="Z1680" s="30"/>
      <c r="AA1680" s="33"/>
      <c r="AB1680" s="33"/>
      <c r="AC1680" s="30"/>
      <c r="AD1680" s="30"/>
      <c r="AE1680" s="33"/>
      <c r="AF1680" s="31"/>
      <c r="AG1680" s="30"/>
      <c r="AH1680" s="30"/>
      <c r="AI1680" s="31"/>
      <c r="AJ1680" s="31"/>
      <c r="AK1680" s="32"/>
    </row>
    <row r="1681">
      <c r="A1681" s="21" t="s">
        <v>415</v>
      </c>
      <c r="B1681" s="22" t="s">
        <v>512</v>
      </c>
      <c r="C1681" s="22" t="s">
        <v>82</v>
      </c>
      <c r="D1681" s="26">
        <v>45997.0</v>
      </c>
      <c r="E1681" s="22" t="s">
        <v>153</v>
      </c>
      <c r="F1681" s="22" t="s">
        <v>377</v>
      </c>
      <c r="G1681" s="22" t="s">
        <v>3254</v>
      </c>
      <c r="H1681" s="22" t="s">
        <v>415</v>
      </c>
      <c r="I1681" s="22">
        <v>1.0479163670851E13</v>
      </c>
      <c r="J1681" s="22" t="s">
        <v>411</v>
      </c>
      <c r="K1681" s="24"/>
      <c r="L1681" s="22" t="s">
        <v>419</v>
      </c>
      <c r="M1681" s="22">
        <v>1.0</v>
      </c>
      <c r="N1681" s="22" t="s">
        <v>381</v>
      </c>
      <c r="O1681" s="22" t="s">
        <v>382</v>
      </c>
      <c r="P1681" s="24"/>
      <c r="Q1681" s="22" t="s">
        <v>90</v>
      </c>
      <c r="R1681" s="22">
        <v>3.2795798798659E13</v>
      </c>
      <c r="S1681" s="24"/>
      <c r="T1681" s="24"/>
      <c r="U1681" s="24"/>
      <c r="V1681" s="30" t="s">
        <v>91</v>
      </c>
      <c r="W1681" s="33"/>
      <c r="X1681" s="33"/>
      <c r="Y1681" s="30"/>
      <c r="Z1681" s="30"/>
      <c r="AA1681" s="33"/>
      <c r="AB1681" s="33"/>
      <c r="AC1681" s="30"/>
      <c r="AD1681" s="30"/>
      <c r="AE1681" s="33"/>
      <c r="AF1681" s="31"/>
      <c r="AG1681" s="30"/>
      <c r="AH1681" s="30"/>
      <c r="AI1681" s="31"/>
      <c r="AJ1681" s="31"/>
      <c r="AK1681" s="32"/>
    </row>
    <row r="1682">
      <c r="A1682" s="21" t="s">
        <v>822</v>
      </c>
      <c r="B1682" s="22" t="s">
        <v>3255</v>
      </c>
      <c r="C1682" s="22" t="s">
        <v>82</v>
      </c>
      <c r="D1682" s="26">
        <v>45997.0</v>
      </c>
      <c r="E1682" s="22" t="s">
        <v>134</v>
      </c>
      <c r="F1682" s="22" t="s">
        <v>634</v>
      </c>
      <c r="G1682" s="22" t="s">
        <v>3256</v>
      </c>
      <c r="H1682" s="22" t="s">
        <v>822</v>
      </c>
      <c r="I1682" s="22">
        <v>1.0477826474307E13</v>
      </c>
      <c r="J1682" s="22" t="s">
        <v>3257</v>
      </c>
      <c r="K1682" s="24"/>
      <c r="L1682" s="22" t="s">
        <v>826</v>
      </c>
      <c r="M1682" s="22">
        <v>1.0</v>
      </c>
      <c r="N1682" s="22" t="s">
        <v>638</v>
      </c>
      <c r="O1682" s="22" t="s">
        <v>639</v>
      </c>
      <c r="P1682" s="24"/>
      <c r="Q1682" s="22" t="s">
        <v>90</v>
      </c>
      <c r="R1682" s="22">
        <v>3.2792943329603E13</v>
      </c>
      <c r="S1682" s="24"/>
      <c r="T1682" s="24"/>
      <c r="U1682" s="24"/>
      <c r="V1682" s="30" t="s">
        <v>55</v>
      </c>
      <c r="W1682" s="33"/>
      <c r="X1682" s="33"/>
      <c r="Y1682" s="30"/>
      <c r="Z1682" s="30"/>
      <c r="AA1682" s="33"/>
      <c r="AB1682" s="33"/>
      <c r="AC1682" s="30"/>
      <c r="AD1682" s="30"/>
      <c r="AE1682" s="33"/>
      <c r="AF1682" s="31"/>
      <c r="AG1682" s="30"/>
      <c r="AH1682" s="30"/>
      <c r="AI1682" s="31"/>
      <c r="AJ1682" s="31"/>
      <c r="AK1682" s="32"/>
    </row>
    <row r="1683">
      <c r="A1683" s="21" t="s">
        <v>584</v>
      </c>
      <c r="B1683" s="22" t="s">
        <v>512</v>
      </c>
      <c r="C1683" s="22" t="s">
        <v>82</v>
      </c>
      <c r="D1683" s="26">
        <v>45997.0</v>
      </c>
      <c r="E1683" s="22" t="s">
        <v>153</v>
      </c>
      <c r="F1683" s="22" t="s">
        <v>377</v>
      </c>
      <c r="G1683" s="22" t="s">
        <v>3258</v>
      </c>
      <c r="H1683" s="22" t="s">
        <v>584</v>
      </c>
      <c r="I1683" s="22">
        <v>1.0477841219907E13</v>
      </c>
      <c r="J1683" s="22" t="s">
        <v>411</v>
      </c>
      <c r="K1683" s="24"/>
      <c r="L1683" s="22" t="s">
        <v>586</v>
      </c>
      <c r="M1683" s="22">
        <v>1.0</v>
      </c>
      <c r="N1683" s="22" t="s">
        <v>413</v>
      </c>
      <c r="O1683" s="22" t="s">
        <v>414</v>
      </c>
      <c r="P1683" s="24"/>
      <c r="Q1683" s="22" t="s">
        <v>90</v>
      </c>
      <c r="R1683" s="22">
        <v>3.2792973869379E13</v>
      </c>
      <c r="S1683" s="24"/>
      <c r="T1683" s="24"/>
      <c r="U1683" s="24"/>
      <c r="V1683" s="30" t="s">
        <v>105</v>
      </c>
      <c r="W1683" s="33"/>
      <c r="X1683" s="33"/>
      <c r="Y1683" s="30"/>
      <c r="Z1683" s="30"/>
      <c r="AA1683" s="33"/>
      <c r="AB1683" s="33"/>
      <c r="AC1683" s="30"/>
      <c r="AD1683" s="30"/>
      <c r="AE1683" s="33"/>
      <c r="AF1683" s="31"/>
      <c r="AG1683" s="30"/>
      <c r="AH1683" s="30"/>
      <c r="AI1683" s="31"/>
      <c r="AJ1683" s="31"/>
      <c r="AK1683" s="32"/>
    </row>
    <row r="1684">
      <c r="A1684" s="21" t="s">
        <v>529</v>
      </c>
      <c r="B1684" s="22" t="s">
        <v>471</v>
      </c>
      <c r="C1684" s="22" t="s">
        <v>82</v>
      </c>
      <c r="D1684" s="26">
        <v>45997.0</v>
      </c>
      <c r="E1684" s="22" t="s">
        <v>134</v>
      </c>
      <c r="F1684" s="22" t="s">
        <v>472</v>
      </c>
      <c r="G1684" s="22" t="s">
        <v>3259</v>
      </c>
      <c r="H1684" s="22" t="s">
        <v>529</v>
      </c>
      <c r="I1684" s="22">
        <v>1.0477869203779E13</v>
      </c>
      <c r="J1684" s="22" t="s">
        <v>3019</v>
      </c>
      <c r="K1684" s="24"/>
      <c r="L1684" s="22" t="s">
        <v>533</v>
      </c>
      <c r="M1684" s="22">
        <v>1.0</v>
      </c>
      <c r="N1684" s="22" t="s">
        <v>534</v>
      </c>
      <c r="O1684" s="22" t="s">
        <v>535</v>
      </c>
      <c r="P1684" s="24"/>
      <c r="Q1684" s="22" t="s">
        <v>90</v>
      </c>
      <c r="R1684" s="22">
        <v>3.2793036947779E13</v>
      </c>
      <c r="S1684" s="24"/>
      <c r="T1684" s="24"/>
      <c r="U1684" s="24"/>
      <c r="V1684" s="30" t="s">
        <v>127</v>
      </c>
      <c r="W1684" s="33"/>
      <c r="X1684" s="33"/>
      <c r="Y1684" s="30"/>
      <c r="Z1684" s="30"/>
      <c r="AA1684" s="33"/>
      <c r="AB1684" s="33"/>
      <c r="AC1684" s="30"/>
      <c r="AD1684" s="30"/>
      <c r="AE1684" s="33"/>
      <c r="AF1684" s="31"/>
      <c r="AG1684" s="30"/>
      <c r="AH1684" s="30"/>
      <c r="AI1684" s="31"/>
      <c r="AJ1684" s="31"/>
      <c r="AK1684" s="32"/>
    </row>
    <row r="1685">
      <c r="A1685" s="21" t="s">
        <v>679</v>
      </c>
      <c r="B1685" s="22" t="s">
        <v>393</v>
      </c>
      <c r="C1685" s="22" t="s">
        <v>82</v>
      </c>
      <c r="D1685" s="26">
        <v>45997.0</v>
      </c>
      <c r="E1685" s="22" t="s">
        <v>187</v>
      </c>
      <c r="F1685" s="22" t="s">
        <v>111</v>
      </c>
      <c r="G1685" s="22" t="s">
        <v>3260</v>
      </c>
      <c r="H1685" s="22" t="s">
        <v>679</v>
      </c>
      <c r="I1685" s="22">
        <v>1.0479224291651E13</v>
      </c>
      <c r="J1685" s="22" t="s">
        <v>3046</v>
      </c>
      <c r="K1685" s="24"/>
      <c r="L1685" s="22" t="s">
        <v>683</v>
      </c>
      <c r="M1685" s="22">
        <v>1.0</v>
      </c>
      <c r="N1685" s="22" t="s">
        <v>164</v>
      </c>
      <c r="O1685" s="22" t="s">
        <v>165</v>
      </c>
      <c r="P1685" s="24"/>
      <c r="Q1685" s="22" t="s">
        <v>90</v>
      </c>
      <c r="R1685" s="22">
        <v>3.2795917484355E13</v>
      </c>
      <c r="S1685" s="24"/>
      <c r="T1685" s="24"/>
      <c r="U1685" s="24"/>
      <c r="V1685" s="30" t="s">
        <v>105</v>
      </c>
      <c r="W1685" s="33"/>
      <c r="X1685" s="33"/>
      <c r="Y1685" s="30"/>
      <c r="Z1685" s="30"/>
      <c r="AA1685" s="33"/>
      <c r="AB1685" s="33"/>
      <c r="AC1685" s="30"/>
      <c r="AD1685" s="30"/>
      <c r="AE1685" s="33"/>
      <c r="AF1685" s="31"/>
      <c r="AG1685" s="30"/>
      <c r="AH1685" s="30"/>
      <c r="AI1685" s="31"/>
      <c r="AJ1685" s="31"/>
      <c r="AK1685" s="32"/>
    </row>
    <row r="1686">
      <c r="A1686" s="21" t="s">
        <v>885</v>
      </c>
      <c r="B1686" s="22" t="s">
        <v>2149</v>
      </c>
      <c r="C1686" s="22" t="s">
        <v>82</v>
      </c>
      <c r="D1686" s="26">
        <v>45997.0</v>
      </c>
      <c r="E1686" s="22" t="s">
        <v>196</v>
      </c>
      <c r="F1686" s="22" t="s">
        <v>605</v>
      </c>
      <c r="G1686" s="22" t="s">
        <v>3261</v>
      </c>
      <c r="H1686" s="22" t="s">
        <v>885</v>
      </c>
      <c r="I1686" s="22">
        <v>1.0479409594691E13</v>
      </c>
      <c r="J1686" s="22" t="s">
        <v>3192</v>
      </c>
      <c r="K1686" s="24"/>
      <c r="L1686" s="22" t="s">
        <v>890</v>
      </c>
      <c r="M1686" s="22">
        <v>1.0</v>
      </c>
      <c r="N1686" s="22" t="s">
        <v>795</v>
      </c>
      <c r="O1686" s="22" t="s">
        <v>796</v>
      </c>
      <c r="P1686" s="24"/>
      <c r="Q1686" s="22" t="s">
        <v>90</v>
      </c>
      <c r="R1686" s="22">
        <v>3.2796296184131E13</v>
      </c>
      <c r="S1686" s="24"/>
      <c r="T1686" s="24"/>
      <c r="U1686" s="24"/>
      <c r="V1686" s="30" t="s">
        <v>127</v>
      </c>
      <c r="W1686" s="33"/>
      <c r="X1686" s="33"/>
      <c r="Y1686" s="30"/>
      <c r="Z1686" s="30"/>
      <c r="AA1686" s="33"/>
      <c r="AB1686" s="33"/>
      <c r="AC1686" s="30"/>
      <c r="AD1686" s="30"/>
      <c r="AE1686" s="33"/>
      <c r="AF1686" s="31"/>
      <c r="AG1686" s="30"/>
      <c r="AH1686" s="30"/>
      <c r="AI1686" s="31"/>
      <c r="AJ1686" s="31"/>
      <c r="AK1686" s="32"/>
    </row>
    <row r="1687">
      <c r="A1687" s="21" t="s">
        <v>515</v>
      </c>
      <c r="B1687" s="22" t="s">
        <v>665</v>
      </c>
      <c r="C1687" s="22" t="s">
        <v>82</v>
      </c>
      <c r="D1687" s="26">
        <v>45997.0</v>
      </c>
      <c r="E1687" s="22" t="s">
        <v>196</v>
      </c>
      <c r="F1687" s="22" t="s">
        <v>472</v>
      </c>
      <c r="G1687" s="22" t="s">
        <v>3262</v>
      </c>
      <c r="H1687" s="22" t="s">
        <v>515</v>
      </c>
      <c r="I1687" s="22">
        <v>1.0479415558467E13</v>
      </c>
      <c r="J1687" s="22" t="s">
        <v>3134</v>
      </c>
      <c r="K1687" s="24"/>
      <c r="L1687" s="22" t="s">
        <v>519</v>
      </c>
      <c r="M1687" s="22">
        <v>1.0</v>
      </c>
      <c r="N1687" s="22" t="s">
        <v>476</v>
      </c>
      <c r="O1687" s="22" t="s">
        <v>477</v>
      </c>
      <c r="P1687" s="24"/>
      <c r="Q1687" s="22" t="s">
        <v>90</v>
      </c>
      <c r="R1687" s="22">
        <v>3.2796308111683E13</v>
      </c>
      <c r="S1687" s="24"/>
      <c r="T1687" s="24"/>
      <c r="U1687" s="24"/>
      <c r="V1687" s="30" t="s">
        <v>55</v>
      </c>
      <c r="W1687" s="33"/>
      <c r="X1687" s="33"/>
      <c r="Y1687" s="30"/>
      <c r="Z1687" s="30"/>
      <c r="AA1687" s="33"/>
      <c r="AB1687" s="33"/>
      <c r="AC1687" s="30"/>
      <c r="AD1687" s="30"/>
      <c r="AE1687" s="33"/>
      <c r="AF1687" s="31"/>
      <c r="AG1687" s="30"/>
      <c r="AH1687" s="30"/>
      <c r="AI1687" s="31"/>
      <c r="AJ1687" s="31"/>
      <c r="AK1687" s="32"/>
    </row>
    <row r="1688">
      <c r="A1688" s="21" t="s">
        <v>538</v>
      </c>
      <c r="B1688" s="22" t="s">
        <v>587</v>
      </c>
      <c r="C1688" s="22" t="s">
        <v>273</v>
      </c>
      <c r="D1688" s="26">
        <v>45998.0</v>
      </c>
      <c r="E1688" s="22" t="s">
        <v>153</v>
      </c>
      <c r="F1688" s="22" t="s">
        <v>369</v>
      </c>
      <c r="G1688" s="22" t="s">
        <v>3263</v>
      </c>
      <c r="H1688" s="22" t="s">
        <v>538</v>
      </c>
      <c r="I1688" s="22">
        <v>1.0479422964035E13</v>
      </c>
      <c r="J1688" s="22" t="s">
        <v>2971</v>
      </c>
      <c r="K1688" s="24"/>
      <c r="L1688" s="22" t="s">
        <v>542</v>
      </c>
      <c r="M1688" s="22">
        <v>1.0</v>
      </c>
      <c r="N1688" s="22" t="s">
        <v>373</v>
      </c>
      <c r="O1688" s="22" t="s">
        <v>374</v>
      </c>
      <c r="P1688" s="24"/>
      <c r="Q1688" s="22" t="s">
        <v>90</v>
      </c>
      <c r="R1688" s="22">
        <v>3.2796324036931E13</v>
      </c>
      <c r="S1688" s="24"/>
      <c r="T1688" s="24"/>
      <c r="U1688" s="24"/>
      <c r="V1688" s="30" t="s">
        <v>91</v>
      </c>
      <c r="W1688" s="33"/>
      <c r="X1688" s="33"/>
      <c r="Y1688" s="30"/>
      <c r="Z1688" s="30"/>
      <c r="AA1688" s="33"/>
      <c r="AB1688" s="33"/>
      <c r="AC1688" s="30"/>
      <c r="AD1688" s="30"/>
      <c r="AE1688" s="33"/>
      <c r="AF1688" s="31"/>
      <c r="AG1688" s="30"/>
      <c r="AH1688" s="30"/>
      <c r="AI1688" s="31"/>
      <c r="AJ1688" s="31"/>
      <c r="AK1688" s="32"/>
    </row>
    <row r="1689">
      <c r="A1689" s="21" t="s">
        <v>709</v>
      </c>
      <c r="B1689" s="22" t="s">
        <v>310</v>
      </c>
      <c r="C1689" s="22" t="s">
        <v>82</v>
      </c>
      <c r="D1689" s="26">
        <v>45997.0</v>
      </c>
      <c r="E1689" s="22" t="s">
        <v>134</v>
      </c>
      <c r="F1689" s="22" t="s">
        <v>311</v>
      </c>
      <c r="G1689" s="22" t="s">
        <v>3264</v>
      </c>
      <c r="H1689" s="22" t="s">
        <v>709</v>
      </c>
      <c r="I1689" s="22">
        <v>1.0479451668803E13</v>
      </c>
      <c r="J1689" s="22" t="s">
        <v>313</v>
      </c>
      <c r="K1689" s="24"/>
      <c r="L1689" s="22" t="s">
        <v>713</v>
      </c>
      <c r="M1689" s="22">
        <v>1.0</v>
      </c>
      <c r="N1689" s="22" t="s">
        <v>391</v>
      </c>
      <c r="O1689" s="22" t="s">
        <v>392</v>
      </c>
      <c r="P1689" s="24"/>
      <c r="Q1689" s="22" t="s">
        <v>90</v>
      </c>
      <c r="R1689" s="22">
        <v>3.2796382789955E13</v>
      </c>
      <c r="S1689" s="24"/>
      <c r="T1689" s="24"/>
      <c r="U1689" s="24"/>
      <c r="V1689" s="30" t="s">
        <v>91</v>
      </c>
      <c r="W1689" s="33"/>
      <c r="X1689" s="33"/>
      <c r="Y1689" s="30"/>
      <c r="Z1689" s="30"/>
      <c r="AA1689" s="33"/>
      <c r="AB1689" s="33"/>
      <c r="AC1689" s="30"/>
      <c r="AD1689" s="30"/>
      <c r="AE1689" s="33"/>
      <c r="AF1689" s="31"/>
      <c r="AG1689" s="30"/>
      <c r="AH1689" s="30"/>
      <c r="AI1689" s="31"/>
      <c r="AJ1689" s="31"/>
      <c r="AK1689" s="32"/>
    </row>
    <row r="1690">
      <c r="A1690" s="21" t="s">
        <v>347</v>
      </c>
      <c r="B1690" s="22" t="s">
        <v>420</v>
      </c>
      <c r="C1690" s="22" t="s">
        <v>82</v>
      </c>
      <c r="D1690" s="26">
        <v>45997.0</v>
      </c>
      <c r="E1690" s="22" t="s">
        <v>153</v>
      </c>
      <c r="F1690" s="22" t="s">
        <v>278</v>
      </c>
      <c r="G1690" s="22" t="s">
        <v>3265</v>
      </c>
      <c r="H1690" s="22" t="s">
        <v>347</v>
      </c>
      <c r="I1690" s="22">
        <v>1.0479468708163E13</v>
      </c>
      <c r="J1690" s="22" t="s">
        <v>3129</v>
      </c>
      <c r="K1690" s="24"/>
      <c r="L1690" s="22" t="s">
        <v>350</v>
      </c>
      <c r="M1690" s="22">
        <v>1.0</v>
      </c>
      <c r="N1690" s="22" t="s">
        <v>351</v>
      </c>
      <c r="O1690" s="22" t="s">
        <v>352</v>
      </c>
      <c r="P1690" s="24"/>
      <c r="Q1690" s="22" t="s">
        <v>90</v>
      </c>
      <c r="R1690" s="22">
        <v>3.2796421325123E13</v>
      </c>
      <c r="S1690" s="24"/>
      <c r="T1690" s="24"/>
      <c r="U1690" s="24"/>
      <c r="V1690" s="30" t="s">
        <v>127</v>
      </c>
      <c r="W1690" s="33"/>
      <c r="X1690" s="33"/>
      <c r="Y1690" s="30"/>
      <c r="Z1690" s="30"/>
      <c r="AA1690" s="33"/>
      <c r="AB1690" s="33"/>
      <c r="AC1690" s="30"/>
      <c r="AD1690" s="30"/>
      <c r="AE1690" s="33"/>
      <c r="AF1690" s="31"/>
      <c r="AG1690" s="30"/>
      <c r="AH1690" s="30"/>
      <c r="AI1690" s="31"/>
      <c r="AJ1690" s="31"/>
      <c r="AK1690" s="32"/>
    </row>
    <row r="1691">
      <c r="A1691" s="21" t="s">
        <v>859</v>
      </c>
      <c r="B1691" s="22" t="s">
        <v>1510</v>
      </c>
      <c r="C1691" s="22" t="s">
        <v>82</v>
      </c>
      <c r="D1691" s="26">
        <v>45997.0</v>
      </c>
      <c r="E1691" s="22" t="s">
        <v>266</v>
      </c>
      <c r="F1691" s="22" t="s">
        <v>605</v>
      </c>
      <c r="G1691" s="22" t="s">
        <v>3266</v>
      </c>
      <c r="H1691" s="22" t="s">
        <v>859</v>
      </c>
      <c r="I1691" s="22">
        <v>1.0479478505795E13</v>
      </c>
      <c r="J1691" s="22" t="s">
        <v>3111</v>
      </c>
      <c r="K1691" s="24"/>
      <c r="L1691" s="22" t="s">
        <v>861</v>
      </c>
      <c r="M1691" s="22">
        <v>1.0</v>
      </c>
      <c r="N1691" s="22" t="s">
        <v>609</v>
      </c>
      <c r="O1691" s="22" t="s">
        <v>610</v>
      </c>
      <c r="P1691" s="24"/>
      <c r="Q1691" s="22" t="s">
        <v>90</v>
      </c>
      <c r="R1691" s="22">
        <v>3.2796443181379E13</v>
      </c>
      <c r="S1691" s="24"/>
      <c r="T1691" s="24"/>
      <c r="U1691" s="24"/>
      <c r="V1691" s="30" t="s">
        <v>95</v>
      </c>
      <c r="W1691" s="33"/>
      <c r="X1691" s="33"/>
      <c r="Y1691" s="30"/>
      <c r="Z1691" s="30"/>
      <c r="AA1691" s="33"/>
      <c r="AB1691" s="33"/>
      <c r="AC1691" s="30"/>
      <c r="AD1691" s="30"/>
      <c r="AE1691" s="33"/>
      <c r="AF1691" s="31"/>
      <c r="AG1691" s="30"/>
      <c r="AH1691" s="30"/>
      <c r="AI1691" s="31"/>
      <c r="AJ1691" s="31"/>
      <c r="AK1691" s="32"/>
    </row>
    <row r="1692">
      <c r="A1692" s="21" t="s">
        <v>458</v>
      </c>
      <c r="B1692" s="22" t="s">
        <v>3267</v>
      </c>
      <c r="C1692" s="22" t="s">
        <v>82</v>
      </c>
      <c r="D1692" s="26">
        <v>45997.0</v>
      </c>
      <c r="E1692" s="22" t="s">
        <v>149</v>
      </c>
      <c r="F1692" s="22" t="s">
        <v>341</v>
      </c>
      <c r="G1692" s="22" t="s">
        <v>3268</v>
      </c>
      <c r="H1692" s="22" t="s">
        <v>458</v>
      </c>
      <c r="I1692" s="22">
        <v>1.0479479226691E13</v>
      </c>
      <c r="J1692" s="22" t="s">
        <v>3269</v>
      </c>
      <c r="K1692" s="24"/>
      <c r="L1692" s="22" t="s">
        <v>462</v>
      </c>
      <c r="M1692" s="22">
        <v>1.0</v>
      </c>
      <c r="N1692" s="22" t="s">
        <v>345</v>
      </c>
      <c r="O1692" s="22" t="s">
        <v>346</v>
      </c>
      <c r="P1692" s="24"/>
      <c r="Q1692" s="22" t="s">
        <v>90</v>
      </c>
      <c r="R1692" s="22">
        <v>3.2796444983619E13</v>
      </c>
      <c r="S1692" s="24"/>
      <c r="T1692" s="24"/>
      <c r="U1692" s="24"/>
      <c r="V1692" s="30" t="s">
        <v>91</v>
      </c>
      <c r="W1692" s="33"/>
      <c r="X1692" s="33"/>
      <c r="Y1692" s="30"/>
      <c r="Z1692" s="30"/>
      <c r="AA1692" s="33"/>
      <c r="AB1692" s="33"/>
      <c r="AC1692" s="30"/>
      <c r="AD1692" s="30"/>
      <c r="AE1692" s="33"/>
      <c r="AF1692" s="31"/>
      <c r="AG1692" s="30"/>
      <c r="AH1692" s="30"/>
      <c r="AI1692" s="31"/>
      <c r="AJ1692" s="31"/>
      <c r="AK1692" s="32"/>
    </row>
    <row r="1693">
      <c r="A1693" s="21" t="s">
        <v>80</v>
      </c>
      <c r="B1693" s="22" t="s">
        <v>1309</v>
      </c>
      <c r="C1693" s="22" t="s">
        <v>273</v>
      </c>
      <c r="D1693" s="26">
        <v>45998.0</v>
      </c>
      <c r="E1693" s="22" t="s">
        <v>134</v>
      </c>
      <c r="F1693" s="22" t="s">
        <v>83</v>
      </c>
      <c r="G1693" s="22" t="s">
        <v>3270</v>
      </c>
      <c r="H1693" s="22" t="s">
        <v>80</v>
      </c>
      <c r="I1693" s="22">
        <v>1.0479510749507E13</v>
      </c>
      <c r="J1693" s="22" t="s">
        <v>3101</v>
      </c>
      <c r="K1693" s="24"/>
      <c r="L1693" s="22" t="s">
        <v>86</v>
      </c>
      <c r="M1693" s="22">
        <v>1.0</v>
      </c>
      <c r="N1693" s="22" t="s">
        <v>87</v>
      </c>
      <c r="O1693" s="22" t="s">
        <v>88</v>
      </c>
      <c r="P1693" s="24"/>
      <c r="Q1693" s="22" t="s">
        <v>90</v>
      </c>
      <c r="R1693" s="22">
        <v>3.2796510978371E13</v>
      </c>
      <c r="S1693" s="24"/>
      <c r="T1693" s="24"/>
      <c r="U1693" s="24"/>
      <c r="V1693" s="30" t="s">
        <v>91</v>
      </c>
      <c r="W1693" s="33"/>
      <c r="X1693" s="33"/>
      <c r="Y1693" s="30"/>
      <c r="Z1693" s="30"/>
      <c r="AA1693" s="33"/>
      <c r="AB1693" s="33"/>
      <c r="AC1693" s="30"/>
      <c r="AD1693" s="30"/>
      <c r="AE1693" s="33"/>
      <c r="AF1693" s="31"/>
      <c r="AG1693" s="30"/>
      <c r="AH1693" s="30"/>
      <c r="AI1693" s="31"/>
      <c r="AJ1693" s="31"/>
      <c r="AK1693" s="32"/>
    </row>
    <row r="1694">
      <c r="A1694" s="21" t="s">
        <v>529</v>
      </c>
      <c r="B1694" s="22" t="s">
        <v>665</v>
      </c>
      <c r="C1694" s="22" t="s">
        <v>82</v>
      </c>
      <c r="D1694" s="26">
        <v>45997.0</v>
      </c>
      <c r="E1694" s="22" t="s">
        <v>196</v>
      </c>
      <c r="F1694" s="22" t="s">
        <v>472</v>
      </c>
      <c r="G1694" s="22" t="s">
        <v>3271</v>
      </c>
      <c r="H1694" s="22" t="s">
        <v>529</v>
      </c>
      <c r="I1694" s="22">
        <v>1.0479530213699E13</v>
      </c>
      <c r="J1694" s="22" t="s">
        <v>3134</v>
      </c>
      <c r="K1694" s="24"/>
      <c r="L1694" s="22" t="s">
        <v>533</v>
      </c>
      <c r="M1694" s="22">
        <v>1.0</v>
      </c>
      <c r="N1694" s="22" t="s">
        <v>534</v>
      </c>
      <c r="O1694" s="22" t="s">
        <v>535</v>
      </c>
      <c r="P1694" s="24"/>
      <c r="Q1694" s="22" t="s">
        <v>90</v>
      </c>
      <c r="R1694" s="22">
        <v>3.2796552331587E13</v>
      </c>
      <c r="S1694" s="24"/>
      <c r="T1694" s="24"/>
      <c r="U1694" s="24"/>
      <c r="V1694" s="30" t="s">
        <v>127</v>
      </c>
      <c r="W1694" s="33"/>
      <c r="X1694" s="33"/>
      <c r="Y1694" s="30"/>
      <c r="Z1694" s="30"/>
      <c r="AA1694" s="33"/>
      <c r="AB1694" s="33"/>
      <c r="AC1694" s="30"/>
      <c r="AD1694" s="30"/>
      <c r="AE1694" s="33"/>
      <c r="AF1694" s="31"/>
      <c r="AG1694" s="30"/>
      <c r="AH1694" s="30"/>
      <c r="AI1694" s="31"/>
      <c r="AJ1694" s="31"/>
      <c r="AK1694" s="32"/>
    </row>
    <row r="1695">
      <c r="A1695" s="21" t="s">
        <v>367</v>
      </c>
      <c r="B1695" s="22" t="s">
        <v>1364</v>
      </c>
      <c r="C1695" s="22" t="s">
        <v>273</v>
      </c>
      <c r="D1695" s="26">
        <v>45998.0</v>
      </c>
      <c r="E1695" s="22" t="s">
        <v>138</v>
      </c>
      <c r="F1695" s="22" t="s">
        <v>369</v>
      </c>
      <c r="G1695" s="22" t="s">
        <v>3272</v>
      </c>
      <c r="H1695" s="22" t="s">
        <v>367</v>
      </c>
      <c r="I1695" s="22">
        <v>1.0479540994371E13</v>
      </c>
      <c r="J1695" s="22" t="s">
        <v>2992</v>
      </c>
      <c r="K1695" s="24"/>
      <c r="L1695" s="22" t="s">
        <v>372</v>
      </c>
      <c r="M1695" s="22">
        <v>1.0</v>
      </c>
      <c r="N1695" s="22" t="s">
        <v>373</v>
      </c>
      <c r="O1695" s="22" t="s">
        <v>374</v>
      </c>
      <c r="P1695" s="24"/>
      <c r="Q1695" s="22" t="s">
        <v>90</v>
      </c>
      <c r="R1695" s="22">
        <v>3.2796573794627E13</v>
      </c>
      <c r="S1695" s="24"/>
      <c r="T1695" s="24"/>
      <c r="U1695" s="24"/>
      <c r="V1695" s="30" t="s">
        <v>55</v>
      </c>
      <c r="W1695" s="33"/>
      <c r="X1695" s="33"/>
      <c r="Y1695" s="30"/>
      <c r="Z1695" s="30"/>
      <c r="AA1695" s="33"/>
      <c r="AB1695" s="33"/>
      <c r="AC1695" s="30"/>
      <c r="AD1695" s="30"/>
      <c r="AE1695" s="33"/>
      <c r="AF1695" s="31"/>
      <c r="AG1695" s="30"/>
      <c r="AH1695" s="30"/>
      <c r="AI1695" s="31"/>
      <c r="AJ1695" s="31"/>
      <c r="AK1695" s="32"/>
    </row>
    <row r="1696">
      <c r="A1696" s="21" t="s">
        <v>789</v>
      </c>
      <c r="B1696" s="22" t="s">
        <v>1510</v>
      </c>
      <c r="C1696" s="22" t="s">
        <v>82</v>
      </c>
      <c r="D1696" s="26">
        <v>45997.0</v>
      </c>
      <c r="E1696" s="22" t="s">
        <v>266</v>
      </c>
      <c r="F1696" s="22" t="s">
        <v>605</v>
      </c>
      <c r="G1696" s="22" t="s">
        <v>3273</v>
      </c>
      <c r="H1696" s="22" t="s">
        <v>789</v>
      </c>
      <c r="I1696" s="22">
        <v>1.0479630647619E13</v>
      </c>
      <c r="J1696" s="22" t="s">
        <v>3111</v>
      </c>
      <c r="K1696" s="24"/>
      <c r="L1696" s="22" t="s">
        <v>794</v>
      </c>
      <c r="M1696" s="22">
        <v>1.0</v>
      </c>
      <c r="N1696" s="22" t="s">
        <v>795</v>
      </c>
      <c r="O1696" s="22" t="s">
        <v>796</v>
      </c>
      <c r="P1696" s="24"/>
      <c r="Q1696" s="22" t="s">
        <v>90</v>
      </c>
      <c r="R1696" s="22">
        <v>3.2796777185603E13</v>
      </c>
      <c r="S1696" s="24"/>
      <c r="T1696" s="24"/>
      <c r="U1696" s="24"/>
      <c r="V1696" s="30" t="s">
        <v>105</v>
      </c>
      <c r="W1696" s="33"/>
      <c r="X1696" s="33"/>
      <c r="Y1696" s="30"/>
      <c r="Z1696" s="30"/>
      <c r="AA1696" s="33"/>
      <c r="AB1696" s="33"/>
      <c r="AC1696" s="30"/>
      <c r="AD1696" s="30"/>
      <c r="AE1696" s="33"/>
      <c r="AF1696" s="31"/>
      <c r="AG1696" s="30"/>
      <c r="AH1696" s="30"/>
      <c r="AI1696" s="31"/>
      <c r="AJ1696" s="31"/>
      <c r="AK1696" s="32"/>
    </row>
    <row r="1697">
      <c r="A1697" s="21" t="s">
        <v>592</v>
      </c>
      <c r="B1697" s="22" t="s">
        <v>929</v>
      </c>
      <c r="C1697" s="22" t="s">
        <v>287</v>
      </c>
      <c r="D1697" s="23">
        <v>46001.0</v>
      </c>
      <c r="E1697" s="22" t="s">
        <v>134</v>
      </c>
      <c r="F1697" s="22" t="s">
        <v>311</v>
      </c>
      <c r="G1697" s="22" t="s">
        <v>3274</v>
      </c>
      <c r="H1697" s="22" t="s">
        <v>592</v>
      </c>
      <c r="I1697" s="22">
        <v>1.0479653257539E13</v>
      </c>
      <c r="J1697" s="22" t="s">
        <v>3207</v>
      </c>
      <c r="K1697" s="24"/>
      <c r="L1697" s="22" t="s">
        <v>594</v>
      </c>
      <c r="M1697" s="22">
        <v>1.0</v>
      </c>
      <c r="N1697" s="22" t="s">
        <v>391</v>
      </c>
      <c r="O1697" s="22" t="s">
        <v>392</v>
      </c>
      <c r="P1697" s="24"/>
      <c r="Q1697" s="22" t="s">
        <v>90</v>
      </c>
      <c r="R1697" s="22">
        <v>3.2796827615555E13</v>
      </c>
      <c r="S1697" s="24"/>
      <c r="T1697" s="24"/>
      <c r="U1697" s="24"/>
      <c r="V1697" s="30" t="s">
        <v>54</v>
      </c>
      <c r="W1697" s="33"/>
      <c r="X1697" s="33"/>
      <c r="Y1697" s="30"/>
      <c r="Z1697" s="30"/>
      <c r="AA1697" s="33"/>
      <c r="AB1697" s="33"/>
      <c r="AC1697" s="30"/>
      <c r="AD1697" s="30"/>
      <c r="AE1697" s="33"/>
      <c r="AF1697" s="31"/>
      <c r="AG1697" s="30"/>
      <c r="AH1697" s="30"/>
      <c r="AI1697" s="31"/>
      <c r="AJ1697" s="31"/>
      <c r="AK1697" s="32"/>
    </row>
    <row r="1698">
      <c r="A1698" s="21" t="s">
        <v>1703</v>
      </c>
      <c r="B1698" s="22" t="s">
        <v>1097</v>
      </c>
      <c r="C1698" s="22" t="s">
        <v>82</v>
      </c>
      <c r="D1698" s="26">
        <v>45997.0</v>
      </c>
      <c r="E1698" s="22" t="s">
        <v>145</v>
      </c>
      <c r="F1698" s="22" t="s">
        <v>278</v>
      </c>
      <c r="G1698" s="22" t="s">
        <v>3275</v>
      </c>
      <c r="H1698" s="22" t="s">
        <v>1703</v>
      </c>
      <c r="I1698" s="22">
        <v>1.0479653388611E13</v>
      </c>
      <c r="J1698" s="22" t="s">
        <v>3276</v>
      </c>
      <c r="K1698" s="24"/>
      <c r="L1698" s="22" t="s">
        <v>1705</v>
      </c>
      <c r="M1698" s="22">
        <v>1.0</v>
      </c>
      <c r="N1698" s="22" t="s">
        <v>351</v>
      </c>
      <c r="O1698" s="22" t="s">
        <v>352</v>
      </c>
      <c r="P1698" s="24"/>
      <c r="Q1698" s="22" t="s">
        <v>90</v>
      </c>
      <c r="R1698" s="22">
        <v>3.2796827058499E13</v>
      </c>
      <c r="S1698" s="24"/>
      <c r="T1698" s="24"/>
      <c r="U1698" s="24"/>
      <c r="V1698" s="30" t="s">
        <v>105</v>
      </c>
      <c r="W1698" s="33"/>
      <c r="X1698" s="33"/>
      <c r="Y1698" s="30"/>
      <c r="Z1698" s="30"/>
      <c r="AA1698" s="33"/>
      <c r="AB1698" s="33"/>
      <c r="AC1698" s="30"/>
      <c r="AD1698" s="30"/>
      <c r="AE1698" s="33"/>
      <c r="AF1698" s="31"/>
      <c r="AG1698" s="30"/>
      <c r="AH1698" s="30"/>
      <c r="AI1698" s="31"/>
      <c r="AJ1698" s="31"/>
      <c r="AK1698" s="32"/>
    </row>
    <row r="1699">
      <c r="A1699" s="21" t="s">
        <v>979</v>
      </c>
      <c r="B1699" s="22" t="s">
        <v>1644</v>
      </c>
      <c r="C1699" s="22" t="s">
        <v>82</v>
      </c>
      <c r="D1699" s="26">
        <v>45997.0</v>
      </c>
      <c r="E1699" s="22" t="s">
        <v>181</v>
      </c>
      <c r="F1699" s="22" t="s">
        <v>605</v>
      </c>
      <c r="G1699" s="22" t="s">
        <v>3277</v>
      </c>
      <c r="H1699" s="22" t="s">
        <v>979</v>
      </c>
      <c r="I1699" s="22">
        <v>1.0479708799299E13</v>
      </c>
      <c r="J1699" s="22" t="s">
        <v>3278</v>
      </c>
      <c r="K1699" s="24"/>
      <c r="L1699" s="22" t="s">
        <v>984</v>
      </c>
      <c r="M1699" s="22">
        <v>1.0</v>
      </c>
      <c r="N1699" s="22" t="s">
        <v>609</v>
      </c>
      <c r="O1699" s="22" t="s">
        <v>610</v>
      </c>
      <c r="P1699" s="24"/>
      <c r="Q1699" s="22" t="s">
        <v>90</v>
      </c>
      <c r="R1699" s="22">
        <v>3.2796948496707E13</v>
      </c>
      <c r="S1699" s="24"/>
      <c r="T1699" s="24"/>
      <c r="U1699" s="24"/>
      <c r="V1699" s="30" t="s">
        <v>55</v>
      </c>
      <c r="W1699" s="33"/>
      <c r="X1699" s="33"/>
      <c r="Y1699" s="30"/>
      <c r="Z1699" s="30"/>
      <c r="AA1699" s="33"/>
      <c r="AB1699" s="33"/>
      <c r="AC1699" s="30"/>
      <c r="AD1699" s="30"/>
      <c r="AE1699" s="33"/>
      <c r="AF1699" s="31"/>
      <c r="AG1699" s="30"/>
      <c r="AH1699" s="30"/>
      <c r="AI1699" s="31"/>
      <c r="AJ1699" s="31"/>
      <c r="AK1699" s="32"/>
    </row>
    <row r="1700">
      <c r="A1700" s="21" t="s">
        <v>124</v>
      </c>
      <c r="B1700" s="22" t="s">
        <v>3279</v>
      </c>
      <c r="C1700" s="22" t="s">
        <v>336</v>
      </c>
      <c r="D1700" s="26">
        <v>45995.0</v>
      </c>
      <c r="E1700" s="22" t="s">
        <v>153</v>
      </c>
      <c r="F1700" s="22" t="s">
        <v>83</v>
      </c>
      <c r="G1700" s="22" t="s">
        <v>3280</v>
      </c>
      <c r="H1700" s="22" t="s">
        <v>124</v>
      </c>
      <c r="I1700" s="22">
        <v>1.0479715680579E13</v>
      </c>
      <c r="J1700" s="22" t="s">
        <v>3281</v>
      </c>
      <c r="K1700" s="24"/>
      <c r="L1700" s="22" t="s">
        <v>126</v>
      </c>
      <c r="M1700" s="22">
        <v>1.0</v>
      </c>
      <c r="N1700" s="22" t="s">
        <v>103</v>
      </c>
      <c r="O1700" s="22" t="s">
        <v>104</v>
      </c>
      <c r="P1700" s="24"/>
      <c r="Q1700" s="22" t="s">
        <v>90</v>
      </c>
      <c r="R1700" s="22">
        <v>3.2796966519107E13</v>
      </c>
      <c r="S1700" s="24"/>
      <c r="T1700" s="24"/>
      <c r="U1700" s="24"/>
      <c r="V1700" s="30" t="s">
        <v>127</v>
      </c>
      <c r="W1700" s="33"/>
      <c r="X1700" s="33"/>
      <c r="Y1700" s="30"/>
      <c r="Z1700" s="30"/>
      <c r="AA1700" s="33"/>
      <c r="AB1700" s="33"/>
      <c r="AC1700" s="30"/>
      <c r="AD1700" s="30"/>
      <c r="AE1700" s="33"/>
      <c r="AF1700" s="31"/>
      <c r="AG1700" s="30"/>
      <c r="AH1700" s="30"/>
      <c r="AI1700" s="31"/>
      <c r="AJ1700" s="31"/>
      <c r="AK1700" s="32"/>
    </row>
    <row r="1701">
      <c r="A1701" s="21" t="s">
        <v>317</v>
      </c>
      <c r="B1701" s="22" t="s">
        <v>318</v>
      </c>
      <c r="C1701" s="22" t="s">
        <v>82</v>
      </c>
      <c r="D1701" s="26">
        <v>45997.0</v>
      </c>
      <c r="E1701" s="22" t="s">
        <v>196</v>
      </c>
      <c r="F1701" s="22" t="s">
        <v>319</v>
      </c>
      <c r="G1701" s="22" t="s">
        <v>3282</v>
      </c>
      <c r="H1701" s="22" t="s">
        <v>317</v>
      </c>
      <c r="I1701" s="22">
        <v>1.0479729639747E13</v>
      </c>
      <c r="J1701" s="22" t="s">
        <v>321</v>
      </c>
      <c r="K1701" s="24"/>
      <c r="L1701" s="22" t="s">
        <v>322</v>
      </c>
      <c r="M1701" s="22">
        <v>1.0</v>
      </c>
      <c r="N1701" s="22" t="s">
        <v>323</v>
      </c>
      <c r="O1701" s="22" t="s">
        <v>324</v>
      </c>
      <c r="P1701" s="24"/>
      <c r="Q1701" s="22" t="s">
        <v>90</v>
      </c>
      <c r="R1701" s="22">
        <v>3.2796998697283E13</v>
      </c>
      <c r="S1701" s="24"/>
      <c r="T1701" s="24"/>
      <c r="U1701" s="24"/>
      <c r="V1701" s="30" t="s">
        <v>55</v>
      </c>
      <c r="W1701" s="33"/>
      <c r="X1701" s="33"/>
      <c r="Y1701" s="30"/>
      <c r="Z1701" s="30"/>
      <c r="AA1701" s="33"/>
      <c r="AB1701" s="33"/>
      <c r="AC1701" s="30"/>
      <c r="AD1701" s="30"/>
      <c r="AE1701" s="33"/>
      <c r="AF1701" s="31"/>
      <c r="AG1701" s="30"/>
      <c r="AH1701" s="30"/>
      <c r="AI1701" s="31"/>
      <c r="AJ1701" s="31"/>
      <c r="AK1701" s="32"/>
    </row>
    <row r="1702">
      <c r="A1702" s="21" t="s">
        <v>885</v>
      </c>
      <c r="B1702" s="22" t="s">
        <v>1510</v>
      </c>
      <c r="C1702" s="22" t="s">
        <v>82</v>
      </c>
      <c r="D1702" s="26">
        <v>45997.0</v>
      </c>
      <c r="E1702" s="22" t="s">
        <v>266</v>
      </c>
      <c r="F1702" s="22" t="s">
        <v>605</v>
      </c>
      <c r="G1702" s="22" t="s">
        <v>3283</v>
      </c>
      <c r="H1702" s="22" t="s">
        <v>885</v>
      </c>
      <c r="I1702" s="22">
        <v>1.0479731736899E13</v>
      </c>
      <c r="J1702" s="22" t="s">
        <v>3111</v>
      </c>
      <c r="K1702" s="24"/>
      <c r="L1702" s="22" t="s">
        <v>890</v>
      </c>
      <c r="M1702" s="22">
        <v>1.0</v>
      </c>
      <c r="N1702" s="22" t="s">
        <v>795</v>
      </c>
      <c r="O1702" s="22" t="s">
        <v>796</v>
      </c>
      <c r="P1702" s="24"/>
      <c r="Q1702" s="22" t="s">
        <v>90</v>
      </c>
      <c r="R1702" s="22">
        <v>3.2797002891587E13</v>
      </c>
      <c r="S1702" s="24"/>
      <c r="T1702" s="24"/>
      <c r="U1702" s="24"/>
      <c r="V1702" s="30" t="s">
        <v>127</v>
      </c>
      <c r="W1702" s="33"/>
      <c r="X1702" s="33"/>
      <c r="Y1702" s="30"/>
      <c r="Z1702" s="30"/>
      <c r="AA1702" s="33"/>
      <c r="AB1702" s="33"/>
      <c r="AC1702" s="30"/>
      <c r="AD1702" s="30"/>
      <c r="AE1702" s="33"/>
      <c r="AF1702" s="31"/>
      <c r="AG1702" s="30"/>
      <c r="AH1702" s="30"/>
      <c r="AI1702" s="31"/>
      <c r="AJ1702" s="31"/>
      <c r="AK1702" s="32"/>
    </row>
    <row r="1703">
      <c r="A1703" s="21" t="s">
        <v>962</v>
      </c>
      <c r="B1703" s="22" t="s">
        <v>3284</v>
      </c>
      <c r="C1703" s="22" t="s">
        <v>273</v>
      </c>
      <c r="D1703" s="26">
        <v>45998.0</v>
      </c>
      <c r="E1703" s="22" t="s">
        <v>134</v>
      </c>
      <c r="F1703" s="22" t="s">
        <v>634</v>
      </c>
      <c r="G1703" s="22" t="s">
        <v>3285</v>
      </c>
      <c r="H1703" s="22" t="s">
        <v>962</v>
      </c>
      <c r="I1703" s="22">
        <v>1.0479799107907E13</v>
      </c>
      <c r="J1703" s="22" t="s">
        <v>3286</v>
      </c>
      <c r="K1703" s="24"/>
      <c r="L1703" s="22" t="s">
        <v>966</v>
      </c>
      <c r="M1703" s="22">
        <v>1.0</v>
      </c>
      <c r="N1703" s="22" t="s">
        <v>738</v>
      </c>
      <c r="O1703" s="22" t="s">
        <v>739</v>
      </c>
      <c r="P1703" s="24"/>
      <c r="Q1703" s="22" t="s">
        <v>90</v>
      </c>
      <c r="R1703" s="22">
        <v>3.2797154607427E13</v>
      </c>
      <c r="S1703" s="24"/>
      <c r="T1703" s="24"/>
      <c r="U1703" s="24"/>
      <c r="V1703" s="30" t="s">
        <v>127</v>
      </c>
      <c r="W1703" s="33"/>
      <c r="X1703" s="33"/>
      <c r="Y1703" s="30"/>
      <c r="Z1703" s="30"/>
      <c r="AA1703" s="33"/>
      <c r="AB1703" s="33"/>
      <c r="AC1703" s="30"/>
      <c r="AD1703" s="30"/>
      <c r="AE1703" s="33"/>
      <c r="AF1703" s="31"/>
      <c r="AG1703" s="30"/>
      <c r="AH1703" s="30"/>
      <c r="AI1703" s="31"/>
      <c r="AJ1703" s="31"/>
      <c r="AK1703" s="32"/>
    </row>
    <row r="1704">
      <c r="A1704" s="28"/>
      <c r="B1704" s="22" t="s">
        <v>3284</v>
      </c>
      <c r="C1704" s="22" t="s">
        <v>273</v>
      </c>
      <c r="D1704" s="26">
        <v>45998.0</v>
      </c>
      <c r="E1704" s="22" t="s">
        <v>134</v>
      </c>
      <c r="F1704" s="22" t="s">
        <v>634</v>
      </c>
      <c r="G1704" s="22" t="s">
        <v>3285</v>
      </c>
      <c r="H1704" s="29"/>
      <c r="I1704" s="22">
        <v>1.0479799107907E13</v>
      </c>
      <c r="J1704" s="22" t="s">
        <v>3286</v>
      </c>
      <c r="K1704" s="24"/>
      <c r="L1704" s="22" t="s">
        <v>3287</v>
      </c>
      <c r="M1704" s="24"/>
      <c r="N1704" s="24"/>
      <c r="O1704" s="22" t="s">
        <v>1806</v>
      </c>
      <c r="P1704" s="24"/>
      <c r="Q1704" s="22" t="s">
        <v>769</v>
      </c>
      <c r="R1704" s="24"/>
      <c r="S1704" s="24"/>
      <c r="T1704" s="24"/>
      <c r="U1704" s="24"/>
      <c r="V1704" s="30"/>
      <c r="W1704" s="33"/>
      <c r="X1704" s="33"/>
      <c r="Y1704" s="30"/>
      <c r="Z1704" s="30"/>
      <c r="AA1704" s="33"/>
      <c r="AB1704" s="33"/>
      <c r="AC1704" s="30"/>
      <c r="AD1704" s="30"/>
      <c r="AE1704" s="33"/>
      <c r="AF1704" s="31"/>
      <c r="AG1704" s="30"/>
      <c r="AH1704" s="30"/>
      <c r="AI1704" s="31"/>
      <c r="AJ1704" s="31"/>
      <c r="AK1704" s="32"/>
    </row>
    <row r="1705">
      <c r="A1705" s="21" t="s">
        <v>658</v>
      </c>
      <c r="B1705" s="22" t="s">
        <v>3288</v>
      </c>
      <c r="C1705" s="22" t="s">
        <v>82</v>
      </c>
      <c r="D1705" s="26">
        <v>45997.0</v>
      </c>
      <c r="E1705" s="22" t="s">
        <v>1073</v>
      </c>
      <c r="F1705" s="22" t="s">
        <v>341</v>
      </c>
      <c r="G1705" s="22" t="s">
        <v>3289</v>
      </c>
      <c r="H1705" s="22" t="s">
        <v>658</v>
      </c>
      <c r="I1705" s="22">
        <v>1.0479834464579E13</v>
      </c>
      <c r="J1705" s="22" t="s">
        <v>3290</v>
      </c>
      <c r="K1705" s="24"/>
      <c r="L1705" s="22" t="s">
        <v>662</v>
      </c>
      <c r="M1705" s="22">
        <v>1.0</v>
      </c>
      <c r="N1705" s="22" t="s">
        <v>345</v>
      </c>
      <c r="O1705" s="22" t="s">
        <v>346</v>
      </c>
      <c r="P1705" s="24"/>
      <c r="Q1705" s="22" t="s">
        <v>90</v>
      </c>
      <c r="R1705" s="22">
        <v>3.2797235609923E13</v>
      </c>
      <c r="S1705" s="24"/>
      <c r="T1705" s="24"/>
      <c r="U1705" s="24"/>
      <c r="V1705" s="30" t="s">
        <v>95</v>
      </c>
      <c r="W1705" s="33"/>
      <c r="X1705" s="33"/>
      <c r="Y1705" s="30"/>
      <c r="Z1705" s="30"/>
      <c r="AA1705" s="33"/>
      <c r="AB1705" s="33"/>
      <c r="AC1705" s="30"/>
      <c r="AD1705" s="30"/>
      <c r="AE1705" s="33"/>
      <c r="AF1705" s="31"/>
      <c r="AG1705" s="30"/>
      <c r="AH1705" s="30"/>
      <c r="AI1705" s="31"/>
      <c r="AJ1705" s="31"/>
      <c r="AK1705" s="32"/>
    </row>
    <row r="1706">
      <c r="A1706" s="21" t="s">
        <v>1217</v>
      </c>
      <c r="B1706" s="22" t="s">
        <v>1510</v>
      </c>
      <c r="C1706" s="22" t="s">
        <v>82</v>
      </c>
      <c r="D1706" s="26">
        <v>45997.0</v>
      </c>
      <c r="E1706" s="22" t="s">
        <v>266</v>
      </c>
      <c r="F1706" s="22" t="s">
        <v>605</v>
      </c>
      <c r="G1706" s="22" t="s">
        <v>3291</v>
      </c>
      <c r="H1706" s="22" t="s">
        <v>1217</v>
      </c>
      <c r="I1706" s="22">
        <v>1.0479852126531E13</v>
      </c>
      <c r="J1706" s="22" t="s">
        <v>3111</v>
      </c>
      <c r="K1706" s="24"/>
      <c r="L1706" s="22" t="s">
        <v>1219</v>
      </c>
      <c r="M1706" s="22">
        <v>1.0</v>
      </c>
      <c r="N1706" s="22" t="s">
        <v>609</v>
      </c>
      <c r="O1706" s="22" t="s">
        <v>610</v>
      </c>
      <c r="P1706" s="24"/>
      <c r="Q1706" s="22" t="s">
        <v>90</v>
      </c>
      <c r="R1706" s="22">
        <v>3.2797275685187E13</v>
      </c>
      <c r="S1706" s="24"/>
      <c r="T1706" s="24"/>
      <c r="U1706" s="24"/>
      <c r="V1706" s="30" t="s">
        <v>91</v>
      </c>
      <c r="W1706" s="33"/>
      <c r="X1706" s="33"/>
      <c r="Y1706" s="30"/>
      <c r="Z1706" s="30"/>
      <c r="AA1706" s="33"/>
      <c r="AB1706" s="33"/>
      <c r="AC1706" s="30"/>
      <c r="AD1706" s="30"/>
      <c r="AE1706" s="33"/>
      <c r="AF1706" s="31"/>
      <c r="AG1706" s="30"/>
      <c r="AH1706" s="30"/>
      <c r="AI1706" s="31"/>
      <c r="AJ1706" s="31"/>
      <c r="AK1706" s="32"/>
    </row>
    <row r="1707">
      <c r="A1707" s="28"/>
      <c r="B1707" s="22" t="s">
        <v>1510</v>
      </c>
      <c r="C1707" s="22" t="s">
        <v>82</v>
      </c>
      <c r="D1707" s="26">
        <v>45997.0</v>
      </c>
      <c r="E1707" s="22" t="s">
        <v>266</v>
      </c>
      <c r="F1707" s="22" t="s">
        <v>605</v>
      </c>
      <c r="G1707" s="22" t="s">
        <v>3291</v>
      </c>
      <c r="H1707" s="29"/>
      <c r="I1707" s="22">
        <v>1.0479852126531E13</v>
      </c>
      <c r="J1707" s="22" t="s">
        <v>3111</v>
      </c>
      <c r="K1707" s="24"/>
      <c r="L1707" s="22" t="s">
        <v>3292</v>
      </c>
      <c r="M1707" s="24"/>
      <c r="N1707" s="24"/>
      <c r="O1707" s="22" t="s">
        <v>768</v>
      </c>
      <c r="P1707" s="24"/>
      <c r="Q1707" s="22" t="s">
        <v>769</v>
      </c>
      <c r="R1707" s="24"/>
      <c r="S1707" s="24"/>
      <c r="T1707" s="24"/>
      <c r="U1707" s="24"/>
      <c r="V1707" s="30"/>
      <c r="W1707" s="33"/>
      <c r="X1707" s="33"/>
      <c r="Y1707" s="30"/>
      <c r="Z1707" s="30"/>
      <c r="AA1707" s="33"/>
      <c r="AB1707" s="33"/>
      <c r="AC1707" s="30"/>
      <c r="AD1707" s="30"/>
      <c r="AE1707" s="33"/>
      <c r="AF1707" s="31"/>
      <c r="AG1707" s="30"/>
      <c r="AH1707" s="30"/>
      <c r="AI1707" s="31"/>
      <c r="AJ1707" s="31"/>
      <c r="AK1707" s="32"/>
    </row>
    <row r="1708">
      <c r="A1708" s="21" t="s">
        <v>885</v>
      </c>
      <c r="B1708" s="22" t="s">
        <v>2105</v>
      </c>
      <c r="C1708" s="22" t="s">
        <v>82</v>
      </c>
      <c r="D1708" s="26">
        <v>45997.0</v>
      </c>
      <c r="E1708" s="22" t="s">
        <v>192</v>
      </c>
      <c r="F1708" s="22" t="s">
        <v>605</v>
      </c>
      <c r="G1708" s="22" t="s">
        <v>3293</v>
      </c>
      <c r="H1708" s="22" t="s">
        <v>885</v>
      </c>
      <c r="I1708" s="22">
        <v>1.0479864119619E13</v>
      </c>
      <c r="J1708" s="22" t="s">
        <v>3294</v>
      </c>
      <c r="K1708" s="24"/>
      <c r="L1708" s="22" t="s">
        <v>890</v>
      </c>
      <c r="M1708" s="22">
        <v>1.0</v>
      </c>
      <c r="N1708" s="22" t="s">
        <v>795</v>
      </c>
      <c r="O1708" s="22" t="s">
        <v>796</v>
      </c>
      <c r="P1708" s="24"/>
      <c r="Q1708" s="22" t="s">
        <v>90</v>
      </c>
      <c r="R1708" s="22">
        <v>3.2797301604675E13</v>
      </c>
      <c r="S1708" s="24"/>
      <c r="T1708" s="24"/>
      <c r="U1708" s="24"/>
      <c r="V1708" s="30" t="s">
        <v>127</v>
      </c>
      <c r="W1708" s="33"/>
      <c r="X1708" s="33"/>
      <c r="Y1708" s="30"/>
      <c r="Z1708" s="30"/>
      <c r="AA1708" s="33"/>
      <c r="AB1708" s="33"/>
      <c r="AC1708" s="30"/>
      <c r="AD1708" s="30"/>
      <c r="AE1708" s="33"/>
      <c r="AF1708" s="31"/>
      <c r="AG1708" s="30"/>
      <c r="AH1708" s="30"/>
      <c r="AI1708" s="31"/>
      <c r="AJ1708" s="31"/>
      <c r="AK1708" s="32"/>
    </row>
    <row r="1709">
      <c r="A1709" s="21" t="s">
        <v>550</v>
      </c>
      <c r="B1709" s="22" t="s">
        <v>416</v>
      </c>
      <c r="C1709" s="22" t="s">
        <v>82</v>
      </c>
      <c r="D1709" s="26">
        <v>45997.0</v>
      </c>
      <c r="E1709" s="22" t="s">
        <v>134</v>
      </c>
      <c r="F1709" s="22" t="s">
        <v>377</v>
      </c>
      <c r="G1709" s="22" t="s">
        <v>3295</v>
      </c>
      <c r="H1709" s="22" t="s">
        <v>550</v>
      </c>
      <c r="I1709" s="22">
        <v>1.0479900459331E13</v>
      </c>
      <c r="J1709" s="22" t="s">
        <v>418</v>
      </c>
      <c r="K1709" s="24"/>
      <c r="L1709" s="22" t="s">
        <v>552</v>
      </c>
      <c r="M1709" s="22">
        <v>1.0</v>
      </c>
      <c r="N1709" s="22" t="s">
        <v>381</v>
      </c>
      <c r="O1709" s="22" t="s">
        <v>382</v>
      </c>
      <c r="P1709" s="24"/>
      <c r="Q1709" s="22" t="s">
        <v>90</v>
      </c>
      <c r="R1709" s="22">
        <v>3.2797387358531E13</v>
      </c>
      <c r="S1709" s="24"/>
      <c r="T1709" s="24"/>
      <c r="U1709" s="24"/>
      <c r="V1709" s="30" t="s">
        <v>95</v>
      </c>
      <c r="W1709" s="33"/>
      <c r="X1709" s="33"/>
      <c r="Y1709" s="30"/>
      <c r="Z1709" s="30"/>
      <c r="AA1709" s="33"/>
      <c r="AB1709" s="33"/>
      <c r="AC1709" s="30"/>
      <c r="AD1709" s="30"/>
      <c r="AE1709" s="33"/>
      <c r="AF1709" s="31"/>
      <c r="AG1709" s="30"/>
      <c r="AH1709" s="30"/>
      <c r="AI1709" s="31"/>
      <c r="AJ1709" s="31"/>
      <c r="AK1709" s="32"/>
    </row>
    <row r="1710">
      <c r="A1710" s="21" t="s">
        <v>375</v>
      </c>
      <c r="B1710" s="22" t="s">
        <v>512</v>
      </c>
      <c r="C1710" s="22" t="s">
        <v>82</v>
      </c>
      <c r="D1710" s="26">
        <v>45997.0</v>
      </c>
      <c r="E1710" s="22" t="s">
        <v>153</v>
      </c>
      <c r="F1710" s="22" t="s">
        <v>377</v>
      </c>
      <c r="G1710" s="22" t="s">
        <v>3296</v>
      </c>
      <c r="H1710" s="22" t="s">
        <v>375</v>
      </c>
      <c r="I1710" s="22">
        <v>1.0479903539523E13</v>
      </c>
      <c r="J1710" s="22" t="s">
        <v>411</v>
      </c>
      <c r="K1710" s="24"/>
      <c r="L1710" s="22" t="s">
        <v>380</v>
      </c>
      <c r="M1710" s="22">
        <v>1.0</v>
      </c>
      <c r="N1710" s="22" t="s">
        <v>381</v>
      </c>
      <c r="O1710" s="22" t="s">
        <v>382</v>
      </c>
      <c r="P1710" s="24"/>
      <c r="Q1710" s="22" t="s">
        <v>90</v>
      </c>
      <c r="R1710" s="22">
        <v>3.2797393551683E13</v>
      </c>
      <c r="S1710" s="24"/>
      <c r="T1710" s="24"/>
      <c r="U1710" s="24"/>
      <c r="V1710" s="30" t="s">
        <v>55</v>
      </c>
      <c r="W1710" s="33"/>
      <c r="X1710" s="33"/>
      <c r="Y1710" s="30"/>
      <c r="Z1710" s="30"/>
      <c r="AA1710" s="33"/>
      <c r="AB1710" s="33"/>
      <c r="AC1710" s="30"/>
      <c r="AD1710" s="30"/>
      <c r="AE1710" s="33"/>
      <c r="AF1710" s="31"/>
      <c r="AG1710" s="30"/>
      <c r="AH1710" s="30"/>
      <c r="AI1710" s="31"/>
      <c r="AJ1710" s="31"/>
      <c r="AK1710" s="32"/>
    </row>
    <row r="1711">
      <c r="A1711" s="21" t="s">
        <v>912</v>
      </c>
      <c r="B1711" s="22" t="s">
        <v>1322</v>
      </c>
      <c r="C1711" s="22" t="s">
        <v>82</v>
      </c>
      <c r="D1711" s="23">
        <v>46004.0</v>
      </c>
      <c r="E1711" s="22" t="s">
        <v>149</v>
      </c>
      <c r="F1711" s="22" t="s">
        <v>377</v>
      </c>
      <c r="G1711" s="22" t="s">
        <v>3297</v>
      </c>
      <c r="H1711" s="22" t="s">
        <v>912</v>
      </c>
      <c r="I1711" s="22">
        <v>1.0479948857667E13</v>
      </c>
      <c r="J1711" s="22" t="s">
        <v>3298</v>
      </c>
      <c r="K1711" s="24"/>
      <c r="L1711" s="22" t="s">
        <v>914</v>
      </c>
      <c r="M1711" s="22">
        <v>1.0</v>
      </c>
      <c r="N1711" s="22" t="s">
        <v>381</v>
      </c>
      <c r="O1711" s="22" t="s">
        <v>382</v>
      </c>
      <c r="P1711" s="24"/>
      <c r="Q1711" s="22" t="s">
        <v>90</v>
      </c>
      <c r="R1711" s="22">
        <v>3.2797497065795E13</v>
      </c>
      <c r="S1711" s="24"/>
      <c r="T1711" s="24"/>
      <c r="U1711" s="24"/>
      <c r="V1711" s="30" t="s">
        <v>54</v>
      </c>
      <c r="W1711" s="33"/>
      <c r="X1711" s="33"/>
      <c r="Y1711" s="30"/>
      <c r="Z1711" s="30"/>
      <c r="AA1711" s="33"/>
      <c r="AB1711" s="33"/>
      <c r="AC1711" s="30"/>
      <c r="AD1711" s="30"/>
      <c r="AE1711" s="33"/>
      <c r="AF1711" s="31"/>
      <c r="AG1711" s="30"/>
      <c r="AH1711" s="30"/>
      <c r="AI1711" s="31"/>
      <c r="AJ1711" s="31"/>
      <c r="AK1711" s="32"/>
    </row>
    <row r="1712">
      <c r="A1712" s="21" t="s">
        <v>108</v>
      </c>
      <c r="B1712" s="22" t="s">
        <v>1328</v>
      </c>
      <c r="C1712" s="22" t="s">
        <v>82</v>
      </c>
      <c r="D1712" s="26">
        <v>45997.0</v>
      </c>
      <c r="E1712" s="22" t="s">
        <v>1329</v>
      </c>
      <c r="F1712" s="22" t="s">
        <v>111</v>
      </c>
      <c r="G1712" s="22" t="s">
        <v>3299</v>
      </c>
      <c r="H1712" s="22" t="s">
        <v>108</v>
      </c>
      <c r="I1712" s="22">
        <v>1.0479972647235E13</v>
      </c>
      <c r="J1712" s="22" t="s">
        <v>3300</v>
      </c>
      <c r="K1712" s="24"/>
      <c r="L1712" s="22" t="s">
        <v>114</v>
      </c>
      <c r="M1712" s="22">
        <v>1.0</v>
      </c>
      <c r="N1712" s="22" t="s">
        <v>115</v>
      </c>
      <c r="O1712" s="22" t="s">
        <v>116</v>
      </c>
      <c r="P1712" s="24"/>
      <c r="Q1712" s="22" t="s">
        <v>90</v>
      </c>
      <c r="R1712" s="22">
        <v>3.2797550018883E13</v>
      </c>
      <c r="S1712" s="24"/>
      <c r="T1712" s="24"/>
      <c r="U1712" s="24"/>
      <c r="V1712" s="30" t="s">
        <v>54</v>
      </c>
      <c r="W1712" s="33"/>
      <c r="X1712" s="33"/>
      <c r="Y1712" s="30"/>
      <c r="Z1712" s="30"/>
      <c r="AA1712" s="33"/>
      <c r="AB1712" s="33"/>
      <c r="AC1712" s="30"/>
      <c r="AD1712" s="30"/>
      <c r="AE1712" s="33"/>
      <c r="AF1712" s="31"/>
      <c r="AG1712" s="30"/>
      <c r="AH1712" s="30"/>
      <c r="AI1712" s="31"/>
      <c r="AJ1712" s="31"/>
      <c r="AK1712" s="32"/>
    </row>
    <row r="1713">
      <c r="A1713" s="21" t="s">
        <v>595</v>
      </c>
      <c r="B1713" s="22" t="s">
        <v>424</v>
      </c>
      <c r="C1713" s="22" t="s">
        <v>273</v>
      </c>
      <c r="D1713" s="26">
        <v>45998.0</v>
      </c>
      <c r="E1713" s="22" t="s">
        <v>134</v>
      </c>
      <c r="F1713" s="22" t="s">
        <v>369</v>
      </c>
      <c r="G1713" s="22" t="s">
        <v>3301</v>
      </c>
      <c r="H1713" s="22" t="s">
        <v>595</v>
      </c>
      <c r="I1713" s="22">
        <v>1.0480319299907E13</v>
      </c>
      <c r="J1713" s="22" t="s">
        <v>2948</v>
      </c>
      <c r="K1713" s="24"/>
      <c r="L1713" s="22" t="s">
        <v>599</v>
      </c>
      <c r="M1713" s="22">
        <v>1.0</v>
      </c>
      <c r="N1713" s="22" t="s">
        <v>600</v>
      </c>
      <c r="O1713" s="22" t="s">
        <v>601</v>
      </c>
      <c r="P1713" s="24"/>
      <c r="Q1713" s="22" t="s">
        <v>90</v>
      </c>
      <c r="R1713" s="22">
        <v>3.2798363484483E13</v>
      </c>
      <c r="S1713" s="24"/>
      <c r="T1713" s="24"/>
      <c r="U1713" s="24"/>
      <c r="V1713" s="30" t="s">
        <v>127</v>
      </c>
      <c r="W1713" s="33"/>
      <c r="X1713" s="33"/>
      <c r="Y1713" s="30"/>
      <c r="Z1713" s="30"/>
      <c r="AA1713" s="33"/>
      <c r="AB1713" s="33"/>
      <c r="AC1713" s="30"/>
      <c r="AD1713" s="30"/>
      <c r="AE1713" s="33"/>
      <c r="AF1713" s="31"/>
      <c r="AG1713" s="30"/>
      <c r="AH1713" s="30"/>
      <c r="AI1713" s="31"/>
      <c r="AJ1713" s="31"/>
      <c r="AK1713" s="32"/>
    </row>
    <row r="1714">
      <c r="A1714" s="21" t="s">
        <v>141</v>
      </c>
      <c r="B1714" s="22" t="s">
        <v>1352</v>
      </c>
      <c r="C1714" s="22" t="s">
        <v>82</v>
      </c>
      <c r="D1714" s="26">
        <v>45997.0</v>
      </c>
      <c r="E1714" s="22" t="s">
        <v>153</v>
      </c>
      <c r="F1714" s="22" t="s">
        <v>83</v>
      </c>
      <c r="G1714" s="22" t="s">
        <v>3302</v>
      </c>
      <c r="H1714" s="22" t="s">
        <v>141</v>
      </c>
      <c r="I1714" s="22">
        <v>1.0480450928963E13</v>
      </c>
      <c r="J1714" s="22" t="s">
        <v>2950</v>
      </c>
      <c r="K1714" s="24"/>
      <c r="L1714" s="22" t="s">
        <v>143</v>
      </c>
      <c r="M1714" s="22">
        <v>1.0</v>
      </c>
      <c r="N1714" s="22" t="s">
        <v>87</v>
      </c>
      <c r="O1714" s="22" t="s">
        <v>88</v>
      </c>
      <c r="P1714" s="24"/>
      <c r="Q1714" s="22" t="s">
        <v>90</v>
      </c>
      <c r="R1714" s="22">
        <v>3.2798642438467E13</v>
      </c>
      <c r="S1714" s="24"/>
      <c r="T1714" s="24"/>
      <c r="U1714" s="24"/>
      <c r="V1714" s="30" t="s">
        <v>54</v>
      </c>
      <c r="W1714" s="33"/>
      <c r="X1714" s="33"/>
      <c r="Y1714" s="30"/>
      <c r="Z1714" s="30"/>
      <c r="AA1714" s="33"/>
      <c r="AB1714" s="33"/>
      <c r="AC1714" s="30"/>
      <c r="AD1714" s="30"/>
      <c r="AE1714" s="33"/>
      <c r="AF1714" s="31"/>
      <c r="AG1714" s="30"/>
      <c r="AH1714" s="30"/>
      <c r="AI1714" s="31"/>
      <c r="AJ1714" s="31"/>
      <c r="AK1714" s="32"/>
    </row>
    <row r="1715">
      <c r="A1715" s="21" t="s">
        <v>458</v>
      </c>
      <c r="B1715" s="22" t="s">
        <v>3267</v>
      </c>
      <c r="C1715" s="22" t="s">
        <v>82</v>
      </c>
      <c r="D1715" s="26">
        <v>45997.0</v>
      </c>
      <c r="E1715" s="22" t="s">
        <v>149</v>
      </c>
      <c r="F1715" s="22" t="s">
        <v>341</v>
      </c>
      <c r="G1715" s="22" t="s">
        <v>3303</v>
      </c>
      <c r="H1715" s="22" t="s">
        <v>458</v>
      </c>
      <c r="I1715" s="22">
        <v>1.0480503357763E13</v>
      </c>
      <c r="J1715" s="22" t="s">
        <v>3269</v>
      </c>
      <c r="K1715" s="24"/>
      <c r="L1715" s="22" t="s">
        <v>462</v>
      </c>
      <c r="M1715" s="22">
        <v>1.0</v>
      </c>
      <c r="N1715" s="22" t="s">
        <v>345</v>
      </c>
      <c r="O1715" s="22" t="s">
        <v>346</v>
      </c>
      <c r="P1715" s="24"/>
      <c r="Q1715" s="22" t="s">
        <v>90</v>
      </c>
      <c r="R1715" s="22">
        <v>3.2798760829251E13</v>
      </c>
      <c r="S1715" s="24"/>
      <c r="T1715" s="24"/>
      <c r="U1715" s="24"/>
      <c r="V1715" s="30" t="s">
        <v>91</v>
      </c>
      <c r="W1715" s="33"/>
      <c r="X1715" s="33"/>
      <c r="Y1715" s="30"/>
      <c r="Z1715" s="30"/>
      <c r="AA1715" s="33"/>
      <c r="AB1715" s="33"/>
      <c r="AC1715" s="30"/>
      <c r="AD1715" s="30"/>
      <c r="AE1715" s="33"/>
      <c r="AF1715" s="31"/>
      <c r="AG1715" s="30"/>
      <c r="AH1715" s="30"/>
      <c r="AI1715" s="31"/>
      <c r="AJ1715" s="31"/>
      <c r="AK1715" s="32"/>
    </row>
    <row r="1716">
      <c r="A1716" s="21" t="s">
        <v>845</v>
      </c>
      <c r="B1716" s="22" t="s">
        <v>450</v>
      </c>
      <c r="C1716" s="22" t="s">
        <v>82</v>
      </c>
      <c r="D1716" s="26">
        <v>45997.0</v>
      </c>
      <c r="E1716" s="22" t="s">
        <v>134</v>
      </c>
      <c r="F1716" s="22" t="s">
        <v>451</v>
      </c>
      <c r="G1716" s="22" t="s">
        <v>3304</v>
      </c>
      <c r="H1716" s="22" t="s">
        <v>845</v>
      </c>
      <c r="I1716" s="22">
        <v>1.0480546447683E13</v>
      </c>
      <c r="J1716" s="22" t="s">
        <v>3044</v>
      </c>
      <c r="K1716" s="24"/>
      <c r="L1716" s="22" t="s">
        <v>847</v>
      </c>
      <c r="M1716" s="22">
        <v>1.0</v>
      </c>
      <c r="N1716" s="22" t="s">
        <v>455</v>
      </c>
      <c r="O1716" s="22" t="s">
        <v>456</v>
      </c>
      <c r="P1716" s="24"/>
      <c r="Q1716" s="22" t="s">
        <v>90</v>
      </c>
      <c r="R1716" s="22">
        <v>3.2798854676803E13</v>
      </c>
      <c r="S1716" s="24"/>
      <c r="T1716" s="24"/>
      <c r="U1716" s="24"/>
      <c r="V1716" s="30" t="s">
        <v>55</v>
      </c>
      <c r="W1716" s="33"/>
      <c r="X1716" s="33"/>
      <c r="Y1716" s="30"/>
      <c r="Z1716" s="30"/>
      <c r="AA1716" s="33"/>
      <c r="AB1716" s="33"/>
      <c r="AC1716" s="30"/>
      <c r="AD1716" s="30"/>
      <c r="AE1716" s="33"/>
      <c r="AF1716" s="31"/>
      <c r="AG1716" s="30"/>
      <c r="AH1716" s="30"/>
      <c r="AI1716" s="31"/>
      <c r="AJ1716" s="31"/>
      <c r="AK1716" s="32"/>
    </row>
    <row r="1717">
      <c r="A1717" s="21" t="s">
        <v>495</v>
      </c>
      <c r="B1717" s="22" t="s">
        <v>1187</v>
      </c>
      <c r="C1717" s="22" t="s">
        <v>273</v>
      </c>
      <c r="D1717" s="23">
        <v>45991.0</v>
      </c>
      <c r="E1717" s="22" t="s">
        <v>134</v>
      </c>
      <c r="F1717" s="22" t="s">
        <v>329</v>
      </c>
      <c r="G1717" s="22" t="s">
        <v>3305</v>
      </c>
      <c r="H1717" s="22" t="s">
        <v>495</v>
      </c>
      <c r="I1717" s="22">
        <v>1.0480578888003E13</v>
      </c>
      <c r="J1717" s="22" t="s">
        <v>1029</v>
      </c>
      <c r="K1717" s="24"/>
      <c r="L1717" s="22" t="s">
        <v>500</v>
      </c>
      <c r="M1717" s="22">
        <v>1.0</v>
      </c>
      <c r="N1717" s="22" t="s">
        <v>333</v>
      </c>
      <c r="O1717" s="22" t="s">
        <v>334</v>
      </c>
      <c r="P1717" s="24"/>
      <c r="Q1717" s="22" t="s">
        <v>90</v>
      </c>
      <c r="R1717" s="22">
        <v>3.2798925553987E13</v>
      </c>
      <c r="S1717" s="24"/>
      <c r="T1717" s="24"/>
      <c r="U1717" s="24"/>
      <c r="V1717" s="30" t="s">
        <v>54</v>
      </c>
      <c r="W1717" s="33"/>
      <c r="X1717" s="33"/>
      <c r="Y1717" s="30"/>
      <c r="Z1717" s="30"/>
      <c r="AA1717" s="33"/>
      <c r="AB1717" s="33"/>
      <c r="AC1717" s="30"/>
      <c r="AD1717" s="30"/>
      <c r="AE1717" s="33"/>
      <c r="AF1717" s="31"/>
      <c r="AG1717" s="30"/>
      <c r="AH1717" s="30"/>
      <c r="AI1717" s="31"/>
      <c r="AJ1717" s="31"/>
      <c r="AK1717" s="32"/>
    </row>
    <row r="1718">
      <c r="A1718" s="21" t="s">
        <v>1242</v>
      </c>
      <c r="B1718" s="22" t="s">
        <v>815</v>
      </c>
      <c r="C1718" s="22" t="s">
        <v>82</v>
      </c>
      <c r="D1718" s="26">
        <v>45997.0</v>
      </c>
      <c r="E1718" s="22" t="s">
        <v>187</v>
      </c>
      <c r="F1718" s="22" t="s">
        <v>698</v>
      </c>
      <c r="G1718" s="22" t="s">
        <v>3306</v>
      </c>
      <c r="H1718" s="22" t="s">
        <v>1242</v>
      </c>
      <c r="I1718" s="22">
        <v>1.0480633479491E13</v>
      </c>
      <c r="J1718" s="22" t="s">
        <v>2995</v>
      </c>
      <c r="K1718" s="24"/>
      <c r="L1718" s="22" t="s">
        <v>1244</v>
      </c>
      <c r="M1718" s="22">
        <v>1.0</v>
      </c>
      <c r="N1718" s="22" t="s">
        <v>702</v>
      </c>
      <c r="O1718" s="22" t="s">
        <v>703</v>
      </c>
      <c r="P1718" s="24"/>
      <c r="Q1718" s="22" t="s">
        <v>90</v>
      </c>
      <c r="R1718" s="22">
        <v>3.2799040799043E13</v>
      </c>
      <c r="S1718" s="24"/>
      <c r="T1718" s="24"/>
      <c r="U1718" s="24"/>
      <c r="V1718" s="30" t="s">
        <v>95</v>
      </c>
      <c r="W1718" s="33"/>
      <c r="X1718" s="33"/>
      <c r="Y1718" s="30"/>
      <c r="Z1718" s="30"/>
      <c r="AA1718" s="33"/>
      <c r="AB1718" s="33"/>
      <c r="AC1718" s="30"/>
      <c r="AD1718" s="30"/>
      <c r="AE1718" s="33"/>
      <c r="AF1718" s="31"/>
      <c r="AG1718" s="30"/>
      <c r="AH1718" s="30"/>
      <c r="AI1718" s="31"/>
      <c r="AJ1718" s="31"/>
      <c r="AK1718" s="32"/>
    </row>
    <row r="1719">
      <c r="A1719" s="21" t="s">
        <v>80</v>
      </c>
      <c r="B1719" s="22" t="s">
        <v>1352</v>
      </c>
      <c r="C1719" s="22" t="s">
        <v>82</v>
      </c>
      <c r="D1719" s="26">
        <v>45997.0</v>
      </c>
      <c r="E1719" s="22" t="s">
        <v>153</v>
      </c>
      <c r="F1719" s="22" t="s">
        <v>83</v>
      </c>
      <c r="G1719" s="22" t="s">
        <v>3307</v>
      </c>
      <c r="H1719" s="22" t="s">
        <v>80</v>
      </c>
      <c r="I1719" s="22">
        <v>1.0480751608131E13</v>
      </c>
      <c r="J1719" s="22" t="s">
        <v>2950</v>
      </c>
      <c r="K1719" s="24"/>
      <c r="L1719" s="22" t="s">
        <v>86</v>
      </c>
      <c r="M1719" s="22">
        <v>1.0</v>
      </c>
      <c r="N1719" s="22" t="s">
        <v>87</v>
      </c>
      <c r="O1719" s="22" t="s">
        <v>88</v>
      </c>
      <c r="P1719" s="24"/>
      <c r="Q1719" s="22" t="s">
        <v>90</v>
      </c>
      <c r="R1719" s="22">
        <v>3.2799296880963E13</v>
      </c>
      <c r="S1719" s="24"/>
      <c r="T1719" s="24"/>
      <c r="U1719" s="24"/>
      <c r="V1719" s="30" t="s">
        <v>91</v>
      </c>
      <c r="W1719" s="33"/>
      <c r="X1719" s="33"/>
      <c r="Y1719" s="30"/>
      <c r="Z1719" s="30"/>
      <c r="AA1719" s="33"/>
      <c r="AB1719" s="33"/>
      <c r="AC1719" s="30"/>
      <c r="AD1719" s="30"/>
      <c r="AE1719" s="33"/>
      <c r="AF1719" s="31"/>
      <c r="AG1719" s="30"/>
      <c r="AH1719" s="30"/>
      <c r="AI1719" s="31"/>
      <c r="AJ1719" s="31"/>
      <c r="AK1719" s="32"/>
    </row>
    <row r="1720">
      <c r="A1720" s="21" t="s">
        <v>632</v>
      </c>
      <c r="B1720" s="22" t="s">
        <v>3308</v>
      </c>
      <c r="C1720" s="22" t="s">
        <v>82</v>
      </c>
      <c r="D1720" s="23">
        <v>46004.0</v>
      </c>
      <c r="E1720" s="22" t="s">
        <v>134</v>
      </c>
      <c r="F1720" s="22" t="s">
        <v>634</v>
      </c>
      <c r="G1720" s="22" t="s">
        <v>3309</v>
      </c>
      <c r="H1720" s="22" t="s">
        <v>632</v>
      </c>
      <c r="I1720" s="22">
        <v>1.0480833626435E13</v>
      </c>
      <c r="J1720" s="22" t="s">
        <v>3310</v>
      </c>
      <c r="K1720" s="24"/>
      <c r="L1720" s="22" t="s">
        <v>637</v>
      </c>
      <c r="M1720" s="22">
        <v>1.0</v>
      </c>
      <c r="N1720" s="22" t="s">
        <v>638</v>
      </c>
      <c r="O1720" s="22" t="s">
        <v>639</v>
      </c>
      <c r="P1720" s="24"/>
      <c r="Q1720" s="22" t="s">
        <v>90</v>
      </c>
      <c r="R1720" s="22">
        <v>3.2799477465411E13</v>
      </c>
      <c r="S1720" s="24"/>
      <c r="T1720" s="24"/>
      <c r="U1720" s="24"/>
      <c r="V1720" s="30" t="s">
        <v>91</v>
      </c>
      <c r="W1720" s="33"/>
      <c r="X1720" s="33"/>
      <c r="Y1720" s="30"/>
      <c r="Z1720" s="30"/>
      <c r="AA1720" s="33"/>
      <c r="AB1720" s="33"/>
      <c r="AC1720" s="30"/>
      <c r="AD1720" s="30"/>
      <c r="AE1720" s="33"/>
      <c r="AF1720" s="31"/>
      <c r="AG1720" s="30"/>
      <c r="AH1720" s="30"/>
      <c r="AI1720" s="31"/>
      <c r="AJ1720" s="31"/>
      <c r="AK1720" s="32"/>
    </row>
    <row r="1721">
      <c r="A1721" s="21" t="s">
        <v>515</v>
      </c>
      <c r="B1721" s="22" t="s">
        <v>516</v>
      </c>
      <c r="C1721" s="22" t="s">
        <v>273</v>
      </c>
      <c r="D1721" s="26">
        <v>45998.0</v>
      </c>
      <c r="E1721" s="22" t="s">
        <v>134</v>
      </c>
      <c r="F1721" s="22" t="s">
        <v>472</v>
      </c>
      <c r="G1721" s="22" t="s">
        <v>3311</v>
      </c>
      <c r="H1721" s="22" t="s">
        <v>515</v>
      </c>
      <c r="I1721" s="22">
        <v>1.0479229174083E13</v>
      </c>
      <c r="J1721" s="22" t="s">
        <v>3030</v>
      </c>
      <c r="K1721" s="24"/>
      <c r="L1721" s="22" t="s">
        <v>519</v>
      </c>
      <c r="M1721" s="22">
        <v>1.0</v>
      </c>
      <c r="N1721" s="22" t="s">
        <v>476</v>
      </c>
      <c r="O1721" s="22" t="s">
        <v>477</v>
      </c>
      <c r="P1721" s="24"/>
      <c r="Q1721" s="22" t="s">
        <v>90</v>
      </c>
      <c r="R1721" s="22">
        <v>3.2795927871811E13</v>
      </c>
      <c r="S1721" s="24"/>
      <c r="T1721" s="24"/>
      <c r="U1721" s="24"/>
      <c r="V1721" s="30" t="s">
        <v>55</v>
      </c>
      <c r="W1721" s="33"/>
      <c r="X1721" s="33"/>
      <c r="Y1721" s="30"/>
      <c r="Z1721" s="30"/>
      <c r="AA1721" s="33"/>
      <c r="AB1721" s="33"/>
      <c r="AC1721" s="30"/>
      <c r="AD1721" s="30"/>
      <c r="AE1721" s="33"/>
      <c r="AF1721" s="31"/>
      <c r="AG1721" s="30"/>
      <c r="AH1721" s="30"/>
      <c r="AI1721" s="31"/>
      <c r="AJ1721" s="31"/>
      <c r="AK1721" s="32"/>
    </row>
    <row r="1722">
      <c r="A1722" s="21" t="s">
        <v>709</v>
      </c>
      <c r="B1722" s="22" t="s">
        <v>3312</v>
      </c>
      <c r="C1722" s="22" t="s">
        <v>82</v>
      </c>
      <c r="D1722" s="26">
        <v>45997.0</v>
      </c>
      <c r="E1722" s="22" t="s">
        <v>1442</v>
      </c>
      <c r="F1722" s="22" t="s">
        <v>311</v>
      </c>
      <c r="G1722" s="22" t="s">
        <v>3313</v>
      </c>
      <c r="H1722" s="22" t="s">
        <v>709</v>
      </c>
      <c r="I1722" s="22">
        <v>1.0479349137731E13</v>
      </c>
      <c r="J1722" s="22" t="s">
        <v>3314</v>
      </c>
      <c r="K1722" s="24"/>
      <c r="L1722" s="22" t="s">
        <v>713</v>
      </c>
      <c r="M1722" s="22">
        <v>1.0</v>
      </c>
      <c r="N1722" s="22" t="s">
        <v>391</v>
      </c>
      <c r="O1722" s="22" t="s">
        <v>392</v>
      </c>
      <c r="P1722" s="24"/>
      <c r="Q1722" s="22" t="s">
        <v>90</v>
      </c>
      <c r="R1722" s="22">
        <v>3.2796164686147E13</v>
      </c>
      <c r="S1722" s="24"/>
      <c r="T1722" s="24"/>
      <c r="U1722" s="24"/>
      <c r="V1722" s="30" t="s">
        <v>91</v>
      </c>
      <c r="W1722" s="33"/>
      <c r="X1722" s="33"/>
      <c r="Y1722" s="30"/>
      <c r="Z1722" s="30"/>
      <c r="AA1722" s="33"/>
      <c r="AB1722" s="33"/>
      <c r="AC1722" s="30"/>
      <c r="AD1722" s="30"/>
      <c r="AE1722" s="33"/>
      <c r="AF1722" s="31"/>
      <c r="AG1722" s="30"/>
      <c r="AH1722" s="30"/>
      <c r="AI1722" s="31"/>
      <c r="AJ1722" s="31"/>
      <c r="AK1722" s="32"/>
    </row>
    <row r="1723">
      <c r="A1723" s="21" t="s">
        <v>979</v>
      </c>
      <c r="B1723" s="22" t="s">
        <v>3315</v>
      </c>
      <c r="C1723" s="22" t="s">
        <v>82</v>
      </c>
      <c r="D1723" s="26">
        <v>45997.0</v>
      </c>
      <c r="E1723" s="22" t="s">
        <v>2155</v>
      </c>
      <c r="F1723" s="22" t="s">
        <v>605</v>
      </c>
      <c r="G1723" s="22" t="s">
        <v>3316</v>
      </c>
      <c r="H1723" s="22" t="s">
        <v>979</v>
      </c>
      <c r="I1723" s="22">
        <v>1.0479362638147E13</v>
      </c>
      <c r="J1723" s="22" t="s">
        <v>3317</v>
      </c>
      <c r="K1723" s="24"/>
      <c r="L1723" s="22" t="s">
        <v>984</v>
      </c>
      <c r="M1723" s="22">
        <v>1.0</v>
      </c>
      <c r="N1723" s="22" t="s">
        <v>609</v>
      </c>
      <c r="O1723" s="22" t="s">
        <v>610</v>
      </c>
      <c r="P1723" s="24"/>
      <c r="Q1723" s="22" t="s">
        <v>90</v>
      </c>
      <c r="R1723" s="22">
        <v>3.2796195258691E13</v>
      </c>
      <c r="S1723" s="24"/>
      <c r="T1723" s="24"/>
      <c r="U1723" s="24"/>
      <c r="V1723" s="30" t="s">
        <v>55</v>
      </c>
      <c r="W1723" s="33"/>
      <c r="X1723" s="33"/>
      <c r="Y1723" s="30"/>
      <c r="Z1723" s="30"/>
      <c r="AA1723" s="33"/>
      <c r="AB1723" s="33"/>
      <c r="AC1723" s="30"/>
      <c r="AD1723" s="30"/>
      <c r="AE1723" s="33"/>
      <c r="AF1723" s="31"/>
      <c r="AG1723" s="30"/>
      <c r="AH1723" s="30"/>
      <c r="AI1723" s="31"/>
      <c r="AJ1723" s="31"/>
      <c r="AK1723" s="32"/>
    </row>
    <row r="1724">
      <c r="A1724" s="21" t="s">
        <v>778</v>
      </c>
      <c r="B1724" s="22" t="s">
        <v>3318</v>
      </c>
      <c r="C1724" s="22" t="s">
        <v>273</v>
      </c>
      <c r="D1724" s="26">
        <v>45998.0</v>
      </c>
      <c r="E1724" s="22" t="s">
        <v>841</v>
      </c>
      <c r="F1724" s="22" t="s">
        <v>440</v>
      </c>
      <c r="G1724" s="22" t="s">
        <v>3319</v>
      </c>
      <c r="H1724" s="22" t="s">
        <v>778</v>
      </c>
      <c r="I1724" s="22">
        <v>1.0480839360835E13</v>
      </c>
      <c r="J1724" s="22" t="s">
        <v>3320</v>
      </c>
      <c r="K1724" s="24"/>
      <c r="L1724" s="22" t="s">
        <v>780</v>
      </c>
      <c r="M1724" s="22">
        <v>1.0</v>
      </c>
      <c r="N1724" s="22" t="s">
        <v>781</v>
      </c>
      <c r="O1724" s="22" t="s">
        <v>782</v>
      </c>
      <c r="P1724" s="24"/>
      <c r="Q1724" s="22" t="s">
        <v>90</v>
      </c>
      <c r="R1724" s="22">
        <v>3.2799491981635E13</v>
      </c>
      <c r="S1724" s="24"/>
      <c r="T1724" s="24"/>
      <c r="U1724" s="24"/>
      <c r="V1724" s="30" t="s">
        <v>127</v>
      </c>
      <c r="W1724" s="33"/>
      <c r="X1724" s="33"/>
      <c r="Y1724" s="30"/>
      <c r="Z1724" s="30"/>
      <c r="AA1724" s="33"/>
      <c r="AB1724" s="33"/>
      <c r="AC1724" s="30"/>
      <c r="AD1724" s="30"/>
      <c r="AE1724" s="33"/>
      <c r="AF1724" s="31"/>
      <c r="AG1724" s="30"/>
      <c r="AH1724" s="30"/>
      <c r="AI1724" s="31"/>
      <c r="AJ1724" s="31"/>
      <c r="AK1724" s="32"/>
    </row>
    <row r="1725">
      <c r="A1725" s="21" t="s">
        <v>484</v>
      </c>
      <c r="B1725" s="22" t="s">
        <v>387</v>
      </c>
      <c r="C1725" s="22" t="s">
        <v>82</v>
      </c>
      <c r="D1725" s="26">
        <v>45997.0</v>
      </c>
      <c r="E1725" s="22" t="s">
        <v>149</v>
      </c>
      <c r="F1725" s="22" t="s">
        <v>311</v>
      </c>
      <c r="G1725" s="22" t="s">
        <v>3321</v>
      </c>
      <c r="H1725" s="22" t="s">
        <v>484</v>
      </c>
      <c r="I1725" s="22">
        <v>1.0480992289091E13</v>
      </c>
      <c r="J1725" s="22" t="s">
        <v>389</v>
      </c>
      <c r="K1725" s="24"/>
      <c r="L1725" s="22" t="s">
        <v>487</v>
      </c>
      <c r="M1725" s="22">
        <v>2.0</v>
      </c>
      <c r="N1725" s="22" t="s">
        <v>315</v>
      </c>
      <c r="O1725" s="22" t="s">
        <v>316</v>
      </c>
      <c r="P1725" s="24"/>
      <c r="Q1725" s="22" t="s">
        <v>90</v>
      </c>
      <c r="R1725" s="22">
        <v>3.2799822217539E13</v>
      </c>
      <c r="S1725" s="24"/>
      <c r="T1725" s="24"/>
      <c r="U1725" s="24"/>
      <c r="V1725" s="30" t="s">
        <v>127</v>
      </c>
      <c r="W1725" s="33"/>
      <c r="X1725" s="33"/>
      <c r="Y1725" s="30"/>
      <c r="Z1725" s="30"/>
      <c r="AA1725" s="33"/>
      <c r="AB1725" s="33"/>
      <c r="AC1725" s="30"/>
      <c r="AD1725" s="30"/>
      <c r="AE1725" s="33"/>
      <c r="AF1725" s="31"/>
      <c r="AG1725" s="30"/>
      <c r="AH1725" s="30"/>
      <c r="AI1725" s="31"/>
      <c r="AJ1725" s="31"/>
      <c r="AK1725" s="32"/>
    </row>
    <row r="1726">
      <c r="A1726" s="21" t="s">
        <v>595</v>
      </c>
      <c r="B1726" s="22" t="s">
        <v>1034</v>
      </c>
      <c r="C1726" s="22" t="s">
        <v>273</v>
      </c>
      <c r="D1726" s="26">
        <v>45998.0</v>
      </c>
      <c r="E1726" s="22" t="s">
        <v>145</v>
      </c>
      <c r="F1726" s="22" t="s">
        <v>369</v>
      </c>
      <c r="G1726" s="22" t="s">
        <v>3322</v>
      </c>
      <c r="H1726" s="22" t="s">
        <v>595</v>
      </c>
      <c r="I1726" s="22">
        <v>1.0481006313795E13</v>
      </c>
      <c r="J1726" s="22" t="s">
        <v>3323</v>
      </c>
      <c r="K1726" s="24"/>
      <c r="L1726" s="22" t="s">
        <v>599</v>
      </c>
      <c r="M1726" s="22">
        <v>1.0</v>
      </c>
      <c r="N1726" s="22" t="s">
        <v>600</v>
      </c>
      <c r="O1726" s="22" t="s">
        <v>601</v>
      </c>
      <c r="P1726" s="24"/>
      <c r="Q1726" s="22" t="s">
        <v>90</v>
      </c>
      <c r="R1726" s="22">
        <v>3.2799851544899E13</v>
      </c>
      <c r="S1726" s="24"/>
      <c r="T1726" s="24"/>
      <c r="U1726" s="24"/>
      <c r="V1726" s="30" t="s">
        <v>127</v>
      </c>
      <c r="W1726" s="33"/>
      <c r="X1726" s="33"/>
      <c r="Y1726" s="30"/>
      <c r="Z1726" s="30"/>
      <c r="AA1726" s="33"/>
      <c r="AB1726" s="33"/>
      <c r="AC1726" s="30"/>
      <c r="AD1726" s="30"/>
      <c r="AE1726" s="33"/>
      <c r="AF1726" s="31"/>
      <c r="AG1726" s="30"/>
      <c r="AH1726" s="30"/>
      <c r="AI1726" s="31"/>
      <c r="AJ1726" s="31"/>
      <c r="AK1726" s="32"/>
    </row>
    <row r="1727">
      <c r="A1727" s="21" t="s">
        <v>96</v>
      </c>
      <c r="B1727" s="22" t="s">
        <v>3324</v>
      </c>
      <c r="C1727" s="22" t="s">
        <v>287</v>
      </c>
      <c r="D1727" s="26">
        <v>45994.0</v>
      </c>
      <c r="E1727" s="22" t="s">
        <v>252</v>
      </c>
      <c r="F1727" s="22" t="s">
        <v>83</v>
      </c>
      <c r="G1727" s="22" t="s">
        <v>3325</v>
      </c>
      <c r="H1727" s="22" t="s">
        <v>96</v>
      </c>
      <c r="I1727" s="22">
        <v>1.0481012179267E13</v>
      </c>
      <c r="J1727" s="22" t="s">
        <v>3326</v>
      </c>
      <c r="K1727" s="24"/>
      <c r="L1727" s="22" t="s">
        <v>269</v>
      </c>
      <c r="M1727" s="22">
        <v>2.0</v>
      </c>
      <c r="N1727" s="22" t="s">
        <v>263</v>
      </c>
      <c r="O1727" s="22" t="s">
        <v>264</v>
      </c>
      <c r="P1727" s="24"/>
      <c r="Q1727" s="22" t="s">
        <v>90</v>
      </c>
      <c r="R1727" s="22">
        <v>3.2799863112003E13</v>
      </c>
      <c r="S1727" s="24"/>
      <c r="T1727" s="24"/>
      <c r="U1727" s="24"/>
      <c r="V1727" s="30" t="s">
        <v>55</v>
      </c>
      <c r="W1727" s="33"/>
      <c r="X1727" s="33"/>
      <c r="Y1727" s="30"/>
      <c r="Z1727" s="30"/>
      <c r="AA1727" s="33"/>
      <c r="AB1727" s="33"/>
      <c r="AC1727" s="30"/>
      <c r="AD1727" s="30"/>
      <c r="AE1727" s="33"/>
      <c r="AF1727" s="31"/>
      <c r="AG1727" s="30"/>
      <c r="AH1727" s="30"/>
      <c r="AI1727" s="31"/>
      <c r="AJ1727" s="31"/>
      <c r="AK1727" s="32"/>
    </row>
    <row r="1728">
      <c r="A1728" s="21" t="s">
        <v>99</v>
      </c>
      <c r="B1728" s="22" t="s">
        <v>1857</v>
      </c>
      <c r="C1728" s="22" t="s">
        <v>202</v>
      </c>
      <c r="D1728" s="26">
        <v>45996.0</v>
      </c>
      <c r="E1728" s="22" t="s">
        <v>149</v>
      </c>
      <c r="F1728" s="22" t="s">
        <v>83</v>
      </c>
      <c r="G1728" s="22" t="s">
        <v>3327</v>
      </c>
      <c r="H1728" s="22" t="s">
        <v>99</v>
      </c>
      <c r="I1728" s="22">
        <v>1.0481070965059E13</v>
      </c>
      <c r="J1728" s="22" t="s">
        <v>3328</v>
      </c>
      <c r="K1728" s="24"/>
      <c r="L1728" s="22" t="s">
        <v>102</v>
      </c>
      <c r="M1728" s="22">
        <v>1.0</v>
      </c>
      <c r="N1728" s="22" t="s">
        <v>103</v>
      </c>
      <c r="O1728" s="22" t="s">
        <v>104</v>
      </c>
      <c r="P1728" s="24"/>
      <c r="Q1728" s="22" t="s">
        <v>90</v>
      </c>
      <c r="R1728" s="22">
        <v>3.2799987335491E13</v>
      </c>
      <c r="S1728" s="24"/>
      <c r="T1728" s="24"/>
      <c r="U1728" s="24"/>
      <c r="V1728" s="30" t="s">
        <v>105</v>
      </c>
      <c r="W1728" s="33"/>
      <c r="X1728" s="33"/>
      <c r="Y1728" s="30"/>
      <c r="Z1728" s="30"/>
      <c r="AA1728" s="33"/>
      <c r="AB1728" s="33"/>
      <c r="AC1728" s="30"/>
      <c r="AD1728" s="30"/>
      <c r="AE1728" s="33"/>
      <c r="AF1728" s="31"/>
      <c r="AG1728" s="30"/>
      <c r="AH1728" s="30"/>
      <c r="AI1728" s="31"/>
      <c r="AJ1728" s="31"/>
      <c r="AK1728" s="32"/>
    </row>
    <row r="1729">
      <c r="A1729" s="21" t="s">
        <v>962</v>
      </c>
      <c r="B1729" s="22" t="s">
        <v>3329</v>
      </c>
      <c r="C1729" s="22" t="s">
        <v>82</v>
      </c>
      <c r="D1729" s="26">
        <v>45997.0</v>
      </c>
      <c r="E1729" s="22" t="s">
        <v>149</v>
      </c>
      <c r="F1729" s="22" t="s">
        <v>634</v>
      </c>
      <c r="G1729" s="22" t="s">
        <v>3330</v>
      </c>
      <c r="H1729" s="22" t="s">
        <v>962</v>
      </c>
      <c r="I1729" s="22">
        <v>1.0481085153603E13</v>
      </c>
      <c r="J1729" s="22" t="s">
        <v>3331</v>
      </c>
      <c r="K1729" s="24"/>
      <c r="L1729" s="22" t="s">
        <v>966</v>
      </c>
      <c r="M1729" s="22">
        <v>1.0</v>
      </c>
      <c r="N1729" s="22" t="s">
        <v>738</v>
      </c>
      <c r="O1729" s="22" t="s">
        <v>739</v>
      </c>
      <c r="P1729" s="24"/>
      <c r="Q1729" s="22" t="s">
        <v>90</v>
      </c>
      <c r="R1729" s="22">
        <v>3.2800019054915E13</v>
      </c>
      <c r="S1729" s="24"/>
      <c r="T1729" s="24"/>
      <c r="U1729" s="24"/>
      <c r="V1729" s="30" t="s">
        <v>127</v>
      </c>
      <c r="W1729" s="33"/>
      <c r="X1729" s="33"/>
      <c r="Y1729" s="30"/>
      <c r="Z1729" s="30"/>
      <c r="AA1729" s="33"/>
      <c r="AB1729" s="33"/>
      <c r="AC1729" s="30"/>
      <c r="AD1729" s="30"/>
      <c r="AE1729" s="33"/>
      <c r="AF1729" s="31"/>
      <c r="AG1729" s="30"/>
      <c r="AH1729" s="30"/>
      <c r="AI1729" s="31"/>
      <c r="AJ1729" s="31"/>
      <c r="AK1729" s="32"/>
    </row>
    <row r="1730">
      <c r="A1730" s="21" t="s">
        <v>962</v>
      </c>
      <c r="B1730" s="22" t="s">
        <v>3255</v>
      </c>
      <c r="C1730" s="22" t="s">
        <v>82</v>
      </c>
      <c r="D1730" s="26">
        <v>45997.0</v>
      </c>
      <c r="E1730" s="22" t="s">
        <v>134</v>
      </c>
      <c r="F1730" s="22" t="s">
        <v>634</v>
      </c>
      <c r="G1730" s="22" t="s">
        <v>3332</v>
      </c>
      <c r="H1730" s="22" t="s">
        <v>962</v>
      </c>
      <c r="I1730" s="22">
        <v>1.0481269375299E13</v>
      </c>
      <c r="J1730" s="22" t="s">
        <v>3257</v>
      </c>
      <c r="K1730" s="24"/>
      <c r="L1730" s="22" t="s">
        <v>966</v>
      </c>
      <c r="M1730" s="22">
        <v>1.0</v>
      </c>
      <c r="N1730" s="22" t="s">
        <v>738</v>
      </c>
      <c r="O1730" s="22" t="s">
        <v>739</v>
      </c>
      <c r="P1730" s="24"/>
      <c r="Q1730" s="22" t="s">
        <v>90</v>
      </c>
      <c r="R1730" s="22">
        <v>3.2800428065091E13</v>
      </c>
      <c r="S1730" s="24"/>
      <c r="T1730" s="24"/>
      <c r="U1730" s="24"/>
      <c r="V1730" s="30" t="s">
        <v>127</v>
      </c>
      <c r="W1730" s="33"/>
      <c r="X1730" s="33"/>
      <c r="Y1730" s="30"/>
      <c r="Z1730" s="30"/>
      <c r="AA1730" s="33"/>
      <c r="AB1730" s="33"/>
      <c r="AC1730" s="30"/>
      <c r="AD1730" s="30"/>
      <c r="AE1730" s="33"/>
      <c r="AF1730" s="31"/>
      <c r="AG1730" s="30"/>
      <c r="AH1730" s="30"/>
      <c r="AI1730" s="31"/>
      <c r="AJ1730" s="31"/>
      <c r="AK1730" s="32"/>
    </row>
    <row r="1731">
      <c r="A1731" s="21" t="s">
        <v>158</v>
      </c>
      <c r="B1731" s="22" t="s">
        <v>393</v>
      </c>
      <c r="C1731" s="22" t="s">
        <v>82</v>
      </c>
      <c r="D1731" s="26">
        <v>45997.0</v>
      </c>
      <c r="E1731" s="22" t="s">
        <v>187</v>
      </c>
      <c r="F1731" s="22" t="s">
        <v>111</v>
      </c>
      <c r="G1731" s="22" t="s">
        <v>3333</v>
      </c>
      <c r="H1731" s="22" t="s">
        <v>158</v>
      </c>
      <c r="I1731" s="22">
        <v>1.0481346806083E13</v>
      </c>
      <c r="J1731" s="22" t="s">
        <v>3046</v>
      </c>
      <c r="K1731" s="24"/>
      <c r="L1731" s="22" t="s">
        <v>163</v>
      </c>
      <c r="M1731" s="22">
        <v>1.0</v>
      </c>
      <c r="N1731" s="22" t="s">
        <v>164</v>
      </c>
      <c r="O1731" s="22" t="s">
        <v>165</v>
      </c>
      <c r="P1731" s="24"/>
      <c r="Q1731" s="22" t="s">
        <v>90</v>
      </c>
      <c r="R1731" s="22">
        <v>3.2800595018051E13</v>
      </c>
      <c r="S1731" s="24"/>
      <c r="T1731" s="24"/>
      <c r="U1731" s="24"/>
      <c r="V1731" s="30" t="s">
        <v>127</v>
      </c>
      <c r="W1731" s="33"/>
      <c r="X1731" s="33"/>
      <c r="Y1731" s="30"/>
      <c r="Z1731" s="30"/>
      <c r="AA1731" s="33"/>
      <c r="AB1731" s="33"/>
      <c r="AC1731" s="30"/>
      <c r="AD1731" s="30"/>
      <c r="AE1731" s="33"/>
      <c r="AF1731" s="31"/>
      <c r="AG1731" s="30"/>
      <c r="AH1731" s="30"/>
      <c r="AI1731" s="31"/>
      <c r="AJ1731" s="31"/>
      <c r="AK1731" s="32"/>
    </row>
    <row r="1732">
      <c r="A1732" s="21" t="s">
        <v>99</v>
      </c>
      <c r="B1732" s="22" t="s">
        <v>1352</v>
      </c>
      <c r="C1732" s="22" t="s">
        <v>82</v>
      </c>
      <c r="D1732" s="26">
        <v>45997.0</v>
      </c>
      <c r="E1732" s="22" t="s">
        <v>153</v>
      </c>
      <c r="F1732" s="22" t="s">
        <v>83</v>
      </c>
      <c r="G1732" s="22" t="s">
        <v>3334</v>
      </c>
      <c r="H1732" s="22" t="s">
        <v>99</v>
      </c>
      <c r="I1732" s="22">
        <v>1.0481389240643E13</v>
      </c>
      <c r="J1732" s="22" t="s">
        <v>2950</v>
      </c>
      <c r="K1732" s="24"/>
      <c r="L1732" s="22" t="s">
        <v>102</v>
      </c>
      <c r="M1732" s="22">
        <v>1.0</v>
      </c>
      <c r="N1732" s="22" t="s">
        <v>103</v>
      </c>
      <c r="O1732" s="22" t="s">
        <v>104</v>
      </c>
      <c r="P1732" s="24"/>
      <c r="Q1732" s="22" t="s">
        <v>90</v>
      </c>
      <c r="R1732" s="22">
        <v>3.2800689750339E13</v>
      </c>
      <c r="S1732" s="24"/>
      <c r="T1732" s="24"/>
      <c r="U1732" s="24"/>
      <c r="V1732" s="30" t="s">
        <v>105</v>
      </c>
      <c r="W1732" s="33"/>
      <c r="X1732" s="33"/>
      <c r="Y1732" s="30"/>
      <c r="Z1732" s="30"/>
      <c r="AA1732" s="33"/>
      <c r="AB1732" s="33"/>
      <c r="AC1732" s="30"/>
      <c r="AD1732" s="30"/>
      <c r="AE1732" s="33"/>
      <c r="AF1732" s="31"/>
      <c r="AG1732" s="30"/>
      <c r="AH1732" s="30"/>
      <c r="AI1732" s="31"/>
      <c r="AJ1732" s="31"/>
      <c r="AK1732" s="32"/>
    </row>
    <row r="1733">
      <c r="A1733" s="21" t="s">
        <v>859</v>
      </c>
      <c r="B1733" s="22" t="s">
        <v>1510</v>
      </c>
      <c r="C1733" s="22" t="s">
        <v>82</v>
      </c>
      <c r="D1733" s="26">
        <v>45997.0</v>
      </c>
      <c r="E1733" s="22" t="s">
        <v>266</v>
      </c>
      <c r="F1733" s="22" t="s">
        <v>605</v>
      </c>
      <c r="G1733" s="22" t="s">
        <v>3335</v>
      </c>
      <c r="H1733" s="22" t="s">
        <v>859</v>
      </c>
      <c r="I1733" s="22">
        <v>1.0481428758851E13</v>
      </c>
      <c r="J1733" s="22" t="s">
        <v>3111</v>
      </c>
      <c r="K1733" s="24"/>
      <c r="L1733" s="22" t="s">
        <v>861</v>
      </c>
      <c r="M1733" s="22">
        <v>1.0</v>
      </c>
      <c r="N1733" s="22" t="s">
        <v>609</v>
      </c>
      <c r="O1733" s="22" t="s">
        <v>610</v>
      </c>
      <c r="P1733" s="24"/>
      <c r="Q1733" s="22" t="s">
        <v>90</v>
      </c>
      <c r="R1733" s="22">
        <v>3.2800776290627E13</v>
      </c>
      <c r="S1733" s="24"/>
      <c r="T1733" s="24"/>
      <c r="U1733" s="24"/>
      <c r="V1733" s="30" t="s">
        <v>95</v>
      </c>
      <c r="W1733" s="33"/>
      <c r="X1733" s="33"/>
      <c r="Y1733" s="30"/>
      <c r="Z1733" s="30"/>
      <c r="AA1733" s="33"/>
      <c r="AB1733" s="33"/>
      <c r="AC1733" s="30"/>
      <c r="AD1733" s="30"/>
      <c r="AE1733" s="33"/>
      <c r="AF1733" s="31"/>
      <c r="AG1733" s="30"/>
      <c r="AH1733" s="30"/>
      <c r="AI1733" s="31"/>
      <c r="AJ1733" s="31"/>
      <c r="AK1733" s="32"/>
    </row>
    <row r="1734">
      <c r="A1734" s="21" t="s">
        <v>1180</v>
      </c>
      <c r="B1734" s="22" t="s">
        <v>763</v>
      </c>
      <c r="C1734" s="22" t="s">
        <v>82</v>
      </c>
      <c r="D1734" s="26">
        <v>45997.0</v>
      </c>
      <c r="E1734" s="22" t="s">
        <v>149</v>
      </c>
      <c r="F1734" s="22" t="s">
        <v>623</v>
      </c>
      <c r="G1734" s="22" t="s">
        <v>3336</v>
      </c>
      <c r="H1734" s="22" t="s">
        <v>1180</v>
      </c>
      <c r="I1734" s="22">
        <v>1.0481429020995E13</v>
      </c>
      <c r="J1734" s="22" t="s">
        <v>2990</v>
      </c>
      <c r="K1734" s="24"/>
      <c r="L1734" s="22" t="s">
        <v>1182</v>
      </c>
      <c r="M1734" s="22">
        <v>1.0</v>
      </c>
      <c r="N1734" s="22" t="s">
        <v>1088</v>
      </c>
      <c r="O1734" s="22" t="s">
        <v>1089</v>
      </c>
      <c r="P1734" s="24"/>
      <c r="Q1734" s="22" t="s">
        <v>90</v>
      </c>
      <c r="R1734" s="22">
        <v>3.2800776552771E13</v>
      </c>
      <c r="S1734" s="24"/>
      <c r="T1734" s="24"/>
      <c r="U1734" s="24"/>
      <c r="V1734" s="30" t="s">
        <v>105</v>
      </c>
      <c r="W1734" s="33"/>
      <c r="X1734" s="33"/>
      <c r="Y1734" s="30"/>
      <c r="Z1734" s="30"/>
      <c r="AA1734" s="33"/>
      <c r="AB1734" s="33"/>
      <c r="AC1734" s="30"/>
      <c r="AD1734" s="30"/>
      <c r="AE1734" s="33"/>
      <c r="AF1734" s="31"/>
      <c r="AG1734" s="30"/>
      <c r="AH1734" s="30"/>
      <c r="AI1734" s="31"/>
      <c r="AJ1734" s="31"/>
      <c r="AK1734" s="32"/>
    </row>
    <row r="1735">
      <c r="A1735" s="28"/>
      <c r="B1735" s="22" t="s">
        <v>763</v>
      </c>
      <c r="C1735" s="22" t="s">
        <v>82</v>
      </c>
      <c r="D1735" s="26">
        <v>45997.0</v>
      </c>
      <c r="E1735" s="22" t="s">
        <v>149</v>
      </c>
      <c r="F1735" s="22" t="s">
        <v>623</v>
      </c>
      <c r="G1735" s="22" t="s">
        <v>3336</v>
      </c>
      <c r="H1735" s="29"/>
      <c r="I1735" s="22">
        <v>1.0481429020995E13</v>
      </c>
      <c r="J1735" s="22" t="s">
        <v>2990</v>
      </c>
      <c r="K1735" s="24"/>
      <c r="L1735" s="22" t="s">
        <v>3337</v>
      </c>
      <c r="M1735" s="24"/>
      <c r="N1735" s="24"/>
      <c r="O1735" s="22" t="s">
        <v>1806</v>
      </c>
      <c r="P1735" s="24"/>
      <c r="Q1735" s="22" t="s">
        <v>769</v>
      </c>
      <c r="R1735" s="24"/>
      <c r="S1735" s="24"/>
      <c r="T1735" s="24"/>
      <c r="U1735" s="24"/>
      <c r="V1735" s="30"/>
      <c r="W1735" s="33"/>
      <c r="X1735" s="33"/>
      <c r="Y1735" s="30"/>
      <c r="Z1735" s="30"/>
      <c r="AA1735" s="33"/>
      <c r="AB1735" s="33"/>
      <c r="AC1735" s="30"/>
      <c r="AD1735" s="30"/>
      <c r="AE1735" s="33"/>
      <c r="AF1735" s="31"/>
      <c r="AG1735" s="30"/>
      <c r="AH1735" s="30"/>
      <c r="AI1735" s="31"/>
      <c r="AJ1735" s="31"/>
      <c r="AK1735" s="32"/>
    </row>
    <row r="1736">
      <c r="A1736" s="21" t="s">
        <v>1200</v>
      </c>
      <c r="B1736" s="22" t="s">
        <v>3338</v>
      </c>
      <c r="C1736" s="22" t="s">
        <v>82</v>
      </c>
      <c r="D1736" s="26">
        <v>45997.0</v>
      </c>
      <c r="E1736" s="22" t="s">
        <v>149</v>
      </c>
      <c r="F1736" s="22" t="s">
        <v>278</v>
      </c>
      <c r="G1736" s="22" t="s">
        <v>3339</v>
      </c>
      <c r="H1736" s="22" t="s">
        <v>1200</v>
      </c>
      <c r="I1736" s="22">
        <v>1.0481475584323E13</v>
      </c>
      <c r="J1736" s="22" t="s">
        <v>3340</v>
      </c>
      <c r="K1736" s="24"/>
      <c r="L1736" s="22" t="s">
        <v>1203</v>
      </c>
      <c r="M1736" s="22">
        <v>1.0</v>
      </c>
      <c r="N1736" s="22" t="s">
        <v>282</v>
      </c>
      <c r="O1736" s="22" t="s">
        <v>283</v>
      </c>
      <c r="P1736" s="24"/>
      <c r="Q1736" s="22" t="s">
        <v>90</v>
      </c>
      <c r="R1736" s="22">
        <v>3.2800874070339E13</v>
      </c>
      <c r="S1736" s="24"/>
      <c r="T1736" s="24"/>
      <c r="U1736" s="24"/>
      <c r="V1736" s="30" t="s">
        <v>91</v>
      </c>
      <c r="W1736" s="33"/>
      <c r="X1736" s="33"/>
      <c r="Y1736" s="30"/>
      <c r="Z1736" s="30"/>
      <c r="AA1736" s="33"/>
      <c r="AB1736" s="33"/>
      <c r="AC1736" s="30"/>
      <c r="AD1736" s="30"/>
      <c r="AE1736" s="33"/>
      <c r="AF1736" s="31"/>
      <c r="AG1736" s="30"/>
      <c r="AH1736" s="30"/>
      <c r="AI1736" s="31"/>
      <c r="AJ1736" s="31"/>
      <c r="AK1736" s="32"/>
    </row>
    <row r="1737">
      <c r="A1737" s="21" t="s">
        <v>437</v>
      </c>
      <c r="B1737" s="22" t="s">
        <v>574</v>
      </c>
      <c r="C1737" s="22" t="s">
        <v>273</v>
      </c>
      <c r="D1737" s="26">
        <v>45998.0</v>
      </c>
      <c r="E1737" s="22" t="s">
        <v>187</v>
      </c>
      <c r="F1737" s="22" t="s">
        <v>440</v>
      </c>
      <c r="G1737" s="22" t="s">
        <v>3341</v>
      </c>
      <c r="H1737" s="22" t="s">
        <v>437</v>
      </c>
      <c r="I1737" s="22">
        <v>1.0481499898179E13</v>
      </c>
      <c r="J1737" s="22" t="s">
        <v>2952</v>
      </c>
      <c r="K1737" s="24"/>
      <c r="L1737" s="22" t="s">
        <v>443</v>
      </c>
      <c r="M1737" s="22">
        <v>1.0</v>
      </c>
      <c r="N1737" s="22" t="s">
        <v>444</v>
      </c>
      <c r="O1737" s="22" t="s">
        <v>445</v>
      </c>
      <c r="P1737" s="24"/>
      <c r="Q1737" s="22" t="s">
        <v>90</v>
      </c>
      <c r="R1737" s="22">
        <v>3.2800926007619E13</v>
      </c>
      <c r="S1737" s="24"/>
      <c r="T1737" s="24"/>
      <c r="U1737" s="24"/>
      <c r="V1737" s="30" t="s">
        <v>91</v>
      </c>
      <c r="W1737" s="33"/>
      <c r="X1737" s="33"/>
      <c r="Y1737" s="30"/>
      <c r="Z1737" s="30"/>
      <c r="AA1737" s="33"/>
      <c r="AB1737" s="33"/>
      <c r="AC1737" s="30"/>
      <c r="AD1737" s="30"/>
      <c r="AE1737" s="33"/>
      <c r="AF1737" s="31"/>
      <c r="AG1737" s="30"/>
      <c r="AH1737" s="30"/>
      <c r="AI1737" s="31"/>
      <c r="AJ1737" s="31"/>
      <c r="AK1737" s="32"/>
    </row>
    <row r="1738">
      <c r="A1738" s="21" t="s">
        <v>620</v>
      </c>
      <c r="B1738" s="22" t="s">
        <v>763</v>
      </c>
      <c r="C1738" s="22" t="s">
        <v>82</v>
      </c>
      <c r="D1738" s="26">
        <v>45997.0</v>
      </c>
      <c r="E1738" s="22" t="s">
        <v>149</v>
      </c>
      <c r="F1738" s="22" t="s">
        <v>623</v>
      </c>
      <c r="G1738" s="22" t="s">
        <v>3342</v>
      </c>
      <c r="H1738" s="22" t="s">
        <v>620</v>
      </c>
      <c r="I1738" s="22">
        <v>1.0480871113027E13</v>
      </c>
      <c r="J1738" s="22" t="s">
        <v>2990</v>
      </c>
      <c r="K1738" s="24"/>
      <c r="L1738" s="22" t="s">
        <v>626</v>
      </c>
      <c r="M1738" s="22">
        <v>1.0</v>
      </c>
      <c r="N1738" s="22" t="s">
        <v>627</v>
      </c>
      <c r="O1738" s="22" t="s">
        <v>628</v>
      </c>
      <c r="P1738" s="24"/>
      <c r="Q1738" s="22" t="s">
        <v>90</v>
      </c>
      <c r="R1738" s="22">
        <v>3.2799559483715E13</v>
      </c>
      <c r="S1738" s="24"/>
      <c r="T1738" s="24"/>
      <c r="U1738" s="24"/>
      <c r="V1738" s="30" t="s">
        <v>54</v>
      </c>
      <c r="W1738" s="33"/>
      <c r="X1738" s="33"/>
      <c r="Y1738" s="30"/>
      <c r="Z1738" s="30"/>
      <c r="AA1738" s="33"/>
      <c r="AB1738" s="33"/>
      <c r="AC1738" s="30"/>
      <c r="AD1738" s="30"/>
      <c r="AE1738" s="33"/>
      <c r="AF1738" s="31"/>
      <c r="AG1738" s="30"/>
      <c r="AH1738" s="30"/>
      <c r="AI1738" s="31"/>
      <c r="AJ1738" s="31"/>
      <c r="AK1738" s="32"/>
    </row>
    <row r="1739">
      <c r="A1739" s="21" t="s">
        <v>709</v>
      </c>
      <c r="B1739" s="22" t="s">
        <v>310</v>
      </c>
      <c r="C1739" s="22" t="s">
        <v>82</v>
      </c>
      <c r="D1739" s="26">
        <v>45997.0</v>
      </c>
      <c r="E1739" s="22" t="s">
        <v>134</v>
      </c>
      <c r="F1739" s="22" t="s">
        <v>311</v>
      </c>
      <c r="G1739" s="22" t="s">
        <v>3343</v>
      </c>
      <c r="H1739" s="22" t="s">
        <v>709</v>
      </c>
      <c r="I1739" s="22">
        <v>1.0480911450435E13</v>
      </c>
      <c r="J1739" s="22" t="s">
        <v>313</v>
      </c>
      <c r="K1739" s="24"/>
      <c r="L1739" s="22" t="s">
        <v>713</v>
      </c>
      <c r="M1739" s="22">
        <v>1.0</v>
      </c>
      <c r="N1739" s="22" t="s">
        <v>391</v>
      </c>
      <c r="O1739" s="22" t="s">
        <v>392</v>
      </c>
      <c r="P1739" s="24"/>
      <c r="Q1739" s="22" t="s">
        <v>90</v>
      </c>
      <c r="R1739" s="22">
        <v>3.2799650644291E13</v>
      </c>
      <c r="S1739" s="24"/>
      <c r="T1739" s="24"/>
      <c r="U1739" s="24"/>
      <c r="V1739" s="30" t="s">
        <v>91</v>
      </c>
      <c r="W1739" s="33"/>
      <c r="X1739" s="33"/>
      <c r="Y1739" s="30"/>
      <c r="Z1739" s="30"/>
      <c r="AA1739" s="33"/>
      <c r="AB1739" s="33"/>
      <c r="AC1739" s="30"/>
      <c r="AD1739" s="30"/>
      <c r="AE1739" s="33"/>
      <c r="AF1739" s="31"/>
      <c r="AG1739" s="30"/>
      <c r="AH1739" s="30"/>
      <c r="AI1739" s="31"/>
      <c r="AJ1739" s="31"/>
      <c r="AK1739" s="32"/>
    </row>
    <row r="1740">
      <c r="A1740" s="21" t="s">
        <v>538</v>
      </c>
      <c r="B1740" s="22" t="s">
        <v>587</v>
      </c>
      <c r="C1740" s="22" t="s">
        <v>273</v>
      </c>
      <c r="D1740" s="26">
        <v>45998.0</v>
      </c>
      <c r="E1740" s="22" t="s">
        <v>153</v>
      </c>
      <c r="F1740" s="22" t="s">
        <v>369</v>
      </c>
      <c r="G1740" s="22" t="s">
        <v>3344</v>
      </c>
      <c r="H1740" s="22" t="s">
        <v>538</v>
      </c>
      <c r="I1740" s="22">
        <v>1.0480922722627E13</v>
      </c>
      <c r="J1740" s="22" t="s">
        <v>2971</v>
      </c>
      <c r="K1740" s="24"/>
      <c r="L1740" s="22" t="s">
        <v>542</v>
      </c>
      <c r="M1740" s="22">
        <v>1.0</v>
      </c>
      <c r="N1740" s="22" t="s">
        <v>373</v>
      </c>
      <c r="O1740" s="22" t="s">
        <v>374</v>
      </c>
      <c r="P1740" s="24"/>
      <c r="Q1740" s="22" t="s">
        <v>90</v>
      </c>
      <c r="R1740" s="22">
        <v>3.2799674696003E13</v>
      </c>
      <c r="S1740" s="24"/>
      <c r="T1740" s="24"/>
      <c r="U1740" s="24"/>
      <c r="V1740" s="30" t="s">
        <v>91</v>
      </c>
      <c r="W1740" s="33"/>
      <c r="X1740" s="33"/>
      <c r="Y1740" s="30"/>
      <c r="Z1740" s="30"/>
      <c r="AA1740" s="33"/>
      <c r="AB1740" s="33"/>
      <c r="AC1740" s="30"/>
      <c r="AD1740" s="30"/>
      <c r="AE1740" s="33"/>
      <c r="AF1740" s="31"/>
      <c r="AG1740" s="30"/>
      <c r="AH1740" s="30"/>
      <c r="AI1740" s="31"/>
      <c r="AJ1740" s="31"/>
      <c r="AK1740" s="32"/>
    </row>
    <row r="1741">
      <c r="A1741" s="28"/>
      <c r="B1741" s="22" t="s">
        <v>587</v>
      </c>
      <c r="C1741" s="22" t="s">
        <v>273</v>
      </c>
      <c r="D1741" s="26">
        <v>45998.0</v>
      </c>
      <c r="E1741" s="22" t="s">
        <v>153</v>
      </c>
      <c r="F1741" s="22" t="s">
        <v>369</v>
      </c>
      <c r="G1741" s="22" t="s">
        <v>3344</v>
      </c>
      <c r="H1741" s="29"/>
      <c r="I1741" s="22">
        <v>1.0480922722627E13</v>
      </c>
      <c r="J1741" s="22" t="s">
        <v>2971</v>
      </c>
      <c r="K1741" s="24"/>
      <c r="L1741" s="22" t="s">
        <v>3345</v>
      </c>
      <c r="M1741" s="24"/>
      <c r="N1741" s="24"/>
      <c r="O1741" s="22" t="s">
        <v>1806</v>
      </c>
      <c r="P1741" s="24"/>
      <c r="Q1741" s="22" t="s">
        <v>769</v>
      </c>
      <c r="R1741" s="24"/>
      <c r="S1741" s="24"/>
      <c r="T1741" s="24"/>
      <c r="U1741" s="24"/>
      <c r="V1741" s="30"/>
      <c r="W1741" s="33"/>
      <c r="X1741" s="33"/>
      <c r="Y1741" s="30"/>
      <c r="Z1741" s="30"/>
      <c r="AA1741" s="33"/>
      <c r="AB1741" s="33"/>
      <c r="AC1741" s="30"/>
      <c r="AD1741" s="30"/>
      <c r="AE1741" s="33"/>
      <c r="AF1741" s="31"/>
      <c r="AG1741" s="30"/>
      <c r="AH1741" s="30"/>
      <c r="AI1741" s="31"/>
      <c r="AJ1741" s="31"/>
      <c r="AK1741" s="32"/>
    </row>
    <row r="1742">
      <c r="A1742" s="21" t="s">
        <v>924</v>
      </c>
      <c r="B1742" s="22" t="s">
        <v>763</v>
      </c>
      <c r="C1742" s="22" t="s">
        <v>82</v>
      </c>
      <c r="D1742" s="26">
        <v>45997.0</v>
      </c>
      <c r="E1742" s="22" t="s">
        <v>149</v>
      </c>
      <c r="F1742" s="22" t="s">
        <v>623</v>
      </c>
      <c r="G1742" s="22" t="s">
        <v>3346</v>
      </c>
      <c r="H1742" s="22" t="s">
        <v>924</v>
      </c>
      <c r="I1742" s="22">
        <v>1.0481728782659E13</v>
      </c>
      <c r="J1742" s="22" t="s">
        <v>2990</v>
      </c>
      <c r="K1742" s="24"/>
      <c r="L1742" s="22" t="s">
        <v>926</v>
      </c>
      <c r="M1742" s="22">
        <v>1.0</v>
      </c>
      <c r="N1742" s="22" t="s">
        <v>627</v>
      </c>
      <c r="O1742" s="22" t="s">
        <v>628</v>
      </c>
      <c r="P1742" s="24"/>
      <c r="Q1742" s="22" t="s">
        <v>90</v>
      </c>
      <c r="R1742" s="22">
        <v>3.2801414185283E13</v>
      </c>
      <c r="S1742" s="24"/>
      <c r="T1742" s="24"/>
      <c r="U1742" s="24"/>
      <c r="V1742" s="30" t="s">
        <v>55</v>
      </c>
      <c r="W1742" s="33"/>
      <c r="X1742" s="33"/>
      <c r="Y1742" s="30"/>
      <c r="Z1742" s="30"/>
      <c r="AA1742" s="33"/>
      <c r="AB1742" s="33"/>
      <c r="AC1742" s="30"/>
      <c r="AD1742" s="30"/>
      <c r="AE1742" s="33"/>
      <c r="AF1742" s="31"/>
      <c r="AG1742" s="30"/>
      <c r="AH1742" s="30"/>
      <c r="AI1742" s="31"/>
      <c r="AJ1742" s="31"/>
      <c r="AK1742" s="32"/>
    </row>
    <row r="1743">
      <c r="A1743" s="28"/>
      <c r="B1743" s="22" t="s">
        <v>763</v>
      </c>
      <c r="C1743" s="22" t="s">
        <v>82</v>
      </c>
      <c r="D1743" s="26">
        <v>45997.0</v>
      </c>
      <c r="E1743" s="22" t="s">
        <v>149</v>
      </c>
      <c r="F1743" s="22" t="s">
        <v>623</v>
      </c>
      <c r="G1743" s="22" t="s">
        <v>3346</v>
      </c>
      <c r="H1743" s="29"/>
      <c r="I1743" s="22">
        <v>1.0481728782659E13</v>
      </c>
      <c r="J1743" s="22" t="s">
        <v>2990</v>
      </c>
      <c r="K1743" s="24"/>
      <c r="L1743" s="22" t="s">
        <v>3337</v>
      </c>
      <c r="M1743" s="24"/>
      <c r="N1743" s="24"/>
      <c r="O1743" s="22" t="s">
        <v>1806</v>
      </c>
      <c r="P1743" s="24"/>
      <c r="Q1743" s="22" t="s">
        <v>769</v>
      </c>
      <c r="R1743" s="24"/>
      <c r="S1743" s="24"/>
      <c r="T1743" s="24"/>
      <c r="U1743" s="24"/>
      <c r="V1743" s="30"/>
      <c r="W1743" s="33"/>
      <c r="X1743" s="33"/>
      <c r="Y1743" s="30"/>
      <c r="Z1743" s="30"/>
      <c r="AA1743" s="33"/>
      <c r="AB1743" s="33"/>
      <c r="AC1743" s="30"/>
      <c r="AD1743" s="30"/>
      <c r="AE1743" s="33"/>
      <c r="AF1743" s="31"/>
      <c r="AG1743" s="30"/>
      <c r="AH1743" s="30"/>
      <c r="AI1743" s="31"/>
      <c r="AJ1743" s="31"/>
      <c r="AK1743" s="32"/>
    </row>
    <row r="1744">
      <c r="A1744" s="21" t="s">
        <v>602</v>
      </c>
      <c r="B1744" s="22" t="s">
        <v>1510</v>
      </c>
      <c r="C1744" s="22" t="s">
        <v>82</v>
      </c>
      <c r="D1744" s="26">
        <v>45997.0</v>
      </c>
      <c r="E1744" s="22" t="s">
        <v>266</v>
      </c>
      <c r="F1744" s="22" t="s">
        <v>605</v>
      </c>
      <c r="G1744" s="22" t="s">
        <v>3347</v>
      </c>
      <c r="H1744" s="22" t="s">
        <v>602</v>
      </c>
      <c r="I1744" s="22">
        <v>1.0481913856323E13</v>
      </c>
      <c r="J1744" s="22" t="s">
        <v>3111</v>
      </c>
      <c r="K1744" s="24"/>
      <c r="L1744" s="22" t="s">
        <v>608</v>
      </c>
      <c r="M1744" s="22">
        <v>1.0</v>
      </c>
      <c r="N1744" s="22" t="s">
        <v>609</v>
      </c>
      <c r="O1744" s="22" t="s">
        <v>610</v>
      </c>
      <c r="P1744" s="24"/>
      <c r="Q1744" s="22" t="s">
        <v>90</v>
      </c>
      <c r="R1744" s="22">
        <v>3.2801819722051E13</v>
      </c>
      <c r="S1744" s="24"/>
      <c r="T1744" s="24"/>
      <c r="U1744" s="24"/>
      <c r="V1744" s="30" t="s">
        <v>54</v>
      </c>
      <c r="W1744" s="33"/>
      <c r="X1744" s="33"/>
      <c r="Y1744" s="30"/>
      <c r="Z1744" s="30"/>
      <c r="AA1744" s="33"/>
      <c r="AB1744" s="33"/>
      <c r="AC1744" s="30"/>
      <c r="AD1744" s="30"/>
      <c r="AE1744" s="33"/>
      <c r="AF1744" s="31"/>
      <c r="AG1744" s="30"/>
      <c r="AH1744" s="30"/>
      <c r="AI1744" s="31"/>
      <c r="AJ1744" s="31"/>
      <c r="AK1744" s="32"/>
    </row>
    <row r="1745">
      <c r="A1745" s="21" t="s">
        <v>569</v>
      </c>
      <c r="B1745" s="22" t="s">
        <v>1058</v>
      </c>
      <c r="C1745" s="22" t="s">
        <v>273</v>
      </c>
      <c r="D1745" s="26">
        <v>45998.0</v>
      </c>
      <c r="E1745" s="22" t="s">
        <v>149</v>
      </c>
      <c r="F1745" s="22" t="s">
        <v>472</v>
      </c>
      <c r="G1745" s="22" t="s">
        <v>3348</v>
      </c>
      <c r="H1745" s="22" t="s">
        <v>569</v>
      </c>
      <c r="I1745" s="22">
        <v>1.0482002788675E13</v>
      </c>
      <c r="J1745" s="22" t="s">
        <v>3349</v>
      </c>
      <c r="K1745" s="24"/>
      <c r="L1745" s="22" t="s">
        <v>571</v>
      </c>
      <c r="M1745" s="22">
        <v>1.0</v>
      </c>
      <c r="N1745" s="22" t="s">
        <v>534</v>
      </c>
      <c r="O1745" s="22" t="s">
        <v>535</v>
      </c>
      <c r="P1745" s="24"/>
      <c r="Q1745" s="22" t="s">
        <v>90</v>
      </c>
      <c r="R1745" s="22">
        <v>3.2802020819267E13</v>
      </c>
      <c r="S1745" s="24"/>
      <c r="T1745" s="24"/>
      <c r="U1745" s="24"/>
      <c r="V1745" s="30" t="s">
        <v>105</v>
      </c>
      <c r="W1745" s="33"/>
      <c r="X1745" s="33"/>
      <c r="Y1745" s="30"/>
      <c r="Z1745" s="30"/>
      <c r="AA1745" s="33"/>
      <c r="AB1745" s="33"/>
      <c r="AC1745" s="30"/>
      <c r="AD1745" s="30"/>
      <c r="AE1745" s="33"/>
      <c r="AF1745" s="31"/>
      <c r="AG1745" s="30"/>
      <c r="AH1745" s="30"/>
      <c r="AI1745" s="31"/>
      <c r="AJ1745" s="31"/>
      <c r="AK1745" s="32"/>
    </row>
    <row r="1746">
      <c r="A1746" s="21" t="s">
        <v>1242</v>
      </c>
      <c r="B1746" s="22" t="s">
        <v>840</v>
      </c>
      <c r="C1746" s="22" t="s">
        <v>82</v>
      </c>
      <c r="D1746" s="26">
        <v>45997.0</v>
      </c>
      <c r="E1746" s="22" t="s">
        <v>841</v>
      </c>
      <c r="F1746" s="22" t="s">
        <v>698</v>
      </c>
      <c r="G1746" s="22" t="s">
        <v>3350</v>
      </c>
      <c r="H1746" s="22" t="s">
        <v>1242</v>
      </c>
      <c r="I1746" s="22">
        <v>1.0482094833987E13</v>
      </c>
      <c r="J1746" s="22" t="s">
        <v>3351</v>
      </c>
      <c r="K1746" s="24"/>
      <c r="L1746" s="22" t="s">
        <v>1244</v>
      </c>
      <c r="M1746" s="22">
        <v>1.0</v>
      </c>
      <c r="N1746" s="22" t="s">
        <v>702</v>
      </c>
      <c r="O1746" s="22" t="s">
        <v>703</v>
      </c>
      <c r="P1746" s="24"/>
      <c r="Q1746" s="22" t="s">
        <v>90</v>
      </c>
      <c r="R1746" s="22">
        <v>3.2802228633923E13</v>
      </c>
      <c r="S1746" s="24"/>
      <c r="T1746" s="24"/>
      <c r="U1746" s="24"/>
      <c r="V1746" s="30" t="s">
        <v>95</v>
      </c>
      <c r="W1746" s="33"/>
      <c r="X1746" s="33"/>
      <c r="Y1746" s="30"/>
      <c r="Z1746" s="30"/>
      <c r="AA1746" s="33"/>
      <c r="AB1746" s="33"/>
      <c r="AC1746" s="30"/>
      <c r="AD1746" s="30"/>
      <c r="AE1746" s="33"/>
      <c r="AF1746" s="31"/>
      <c r="AG1746" s="30"/>
      <c r="AH1746" s="30"/>
      <c r="AI1746" s="31"/>
      <c r="AJ1746" s="31"/>
      <c r="AK1746" s="32"/>
    </row>
    <row r="1747">
      <c r="A1747" s="21" t="s">
        <v>1217</v>
      </c>
      <c r="B1747" s="22" t="s">
        <v>3352</v>
      </c>
      <c r="C1747" s="22" t="s">
        <v>82</v>
      </c>
      <c r="D1747" s="26">
        <v>45997.0</v>
      </c>
      <c r="E1747" s="22" t="s">
        <v>3353</v>
      </c>
      <c r="F1747" s="22" t="s">
        <v>605</v>
      </c>
      <c r="G1747" s="22" t="s">
        <v>3354</v>
      </c>
      <c r="H1747" s="22" t="s">
        <v>1217</v>
      </c>
      <c r="I1747" s="22">
        <v>1.0482105024835E13</v>
      </c>
      <c r="J1747" s="22" t="s">
        <v>3355</v>
      </c>
      <c r="K1747" s="24"/>
      <c r="L1747" s="22" t="s">
        <v>1219</v>
      </c>
      <c r="M1747" s="22">
        <v>1.0</v>
      </c>
      <c r="N1747" s="22" t="s">
        <v>609</v>
      </c>
      <c r="O1747" s="22" t="s">
        <v>610</v>
      </c>
      <c r="P1747" s="24"/>
      <c r="Q1747" s="22" t="s">
        <v>90</v>
      </c>
      <c r="R1747" s="22">
        <v>3.2802250981699E13</v>
      </c>
      <c r="S1747" s="24"/>
      <c r="T1747" s="24"/>
      <c r="U1747" s="24"/>
      <c r="V1747" s="30" t="s">
        <v>91</v>
      </c>
      <c r="W1747" s="33"/>
      <c r="X1747" s="33"/>
      <c r="Y1747" s="30"/>
      <c r="Z1747" s="30"/>
      <c r="AA1747" s="33"/>
      <c r="AB1747" s="33"/>
      <c r="AC1747" s="30"/>
      <c r="AD1747" s="30"/>
      <c r="AE1747" s="33"/>
      <c r="AF1747" s="31"/>
      <c r="AG1747" s="30"/>
      <c r="AH1747" s="30"/>
      <c r="AI1747" s="31"/>
      <c r="AJ1747" s="31"/>
      <c r="AK1747" s="32"/>
    </row>
    <row r="1748">
      <c r="A1748" s="21" t="s">
        <v>488</v>
      </c>
      <c r="B1748" s="22" t="s">
        <v>710</v>
      </c>
      <c r="C1748" s="22" t="s">
        <v>82</v>
      </c>
      <c r="D1748" s="26">
        <v>45997.0</v>
      </c>
      <c r="E1748" s="22" t="s">
        <v>196</v>
      </c>
      <c r="F1748" s="22" t="s">
        <v>311</v>
      </c>
      <c r="G1748" s="22" t="s">
        <v>3356</v>
      </c>
      <c r="H1748" s="22" t="s">
        <v>488</v>
      </c>
      <c r="I1748" s="22">
        <v>1.0482158469443E13</v>
      </c>
      <c r="J1748" s="22" t="s">
        <v>3357</v>
      </c>
      <c r="K1748" s="24"/>
      <c r="L1748" s="22" t="s">
        <v>492</v>
      </c>
      <c r="M1748" s="22">
        <v>1.0</v>
      </c>
      <c r="N1748" s="22" t="s">
        <v>391</v>
      </c>
      <c r="O1748" s="22" t="s">
        <v>392</v>
      </c>
      <c r="P1748" s="24"/>
      <c r="Q1748" s="22" t="s">
        <v>90</v>
      </c>
      <c r="R1748" s="22">
        <v>3.2802366325059E13</v>
      </c>
      <c r="S1748" s="24"/>
      <c r="T1748" s="24"/>
      <c r="U1748" s="24"/>
      <c r="V1748" s="30" t="s">
        <v>95</v>
      </c>
      <c r="W1748" s="33"/>
      <c r="X1748" s="33"/>
      <c r="Y1748" s="30"/>
      <c r="Z1748" s="30"/>
      <c r="AA1748" s="33"/>
      <c r="AB1748" s="33"/>
      <c r="AC1748" s="30"/>
      <c r="AD1748" s="30"/>
      <c r="AE1748" s="33"/>
      <c r="AF1748" s="31"/>
      <c r="AG1748" s="30"/>
      <c r="AH1748" s="30"/>
      <c r="AI1748" s="31"/>
      <c r="AJ1748" s="31"/>
      <c r="AK1748" s="32"/>
    </row>
    <row r="1749">
      <c r="A1749" s="21" t="s">
        <v>973</v>
      </c>
      <c r="B1749" s="22" t="s">
        <v>574</v>
      </c>
      <c r="C1749" s="22" t="s">
        <v>273</v>
      </c>
      <c r="D1749" s="26">
        <v>45998.0</v>
      </c>
      <c r="E1749" s="22" t="s">
        <v>187</v>
      </c>
      <c r="F1749" s="22" t="s">
        <v>440</v>
      </c>
      <c r="G1749" s="22" t="s">
        <v>3358</v>
      </c>
      <c r="H1749" s="22" t="s">
        <v>973</v>
      </c>
      <c r="I1749" s="22">
        <v>1.0482194907459E13</v>
      </c>
      <c r="J1749" s="22" t="s">
        <v>2952</v>
      </c>
      <c r="K1749" s="24"/>
      <c r="L1749" s="22" t="s">
        <v>978</v>
      </c>
      <c r="M1749" s="22">
        <v>1.0</v>
      </c>
      <c r="N1749" s="22" t="s">
        <v>781</v>
      </c>
      <c r="O1749" s="22" t="s">
        <v>782</v>
      </c>
      <c r="P1749" s="24"/>
      <c r="Q1749" s="22" t="s">
        <v>90</v>
      </c>
      <c r="R1749" s="22">
        <v>3.2802443034947E13</v>
      </c>
      <c r="S1749" s="24"/>
      <c r="T1749" s="24"/>
      <c r="U1749" s="24"/>
      <c r="V1749" s="30" t="s">
        <v>105</v>
      </c>
      <c r="W1749" s="33"/>
      <c r="X1749" s="33"/>
      <c r="Y1749" s="30"/>
      <c r="Z1749" s="30"/>
      <c r="AA1749" s="33"/>
      <c r="AB1749" s="33"/>
      <c r="AC1749" s="30"/>
      <c r="AD1749" s="30"/>
      <c r="AE1749" s="33"/>
      <c r="AF1749" s="31"/>
      <c r="AG1749" s="30"/>
      <c r="AH1749" s="30"/>
      <c r="AI1749" s="31"/>
      <c r="AJ1749" s="31"/>
      <c r="AK1749" s="32"/>
    </row>
    <row r="1750">
      <c r="A1750" s="21" t="s">
        <v>124</v>
      </c>
      <c r="B1750" s="22" t="s">
        <v>3359</v>
      </c>
      <c r="C1750" s="22" t="s">
        <v>273</v>
      </c>
      <c r="D1750" s="26">
        <v>45998.0</v>
      </c>
      <c r="E1750" s="22" t="s">
        <v>1400</v>
      </c>
      <c r="F1750" s="22" t="s">
        <v>83</v>
      </c>
      <c r="G1750" s="22" t="s">
        <v>3360</v>
      </c>
      <c r="H1750" s="22" t="s">
        <v>124</v>
      </c>
      <c r="I1750" s="22">
        <v>1.0482232852803E13</v>
      </c>
      <c r="J1750" s="22" t="s">
        <v>3361</v>
      </c>
      <c r="K1750" s="24"/>
      <c r="L1750" s="22" t="s">
        <v>126</v>
      </c>
      <c r="M1750" s="22">
        <v>1.0</v>
      </c>
      <c r="N1750" s="22" t="s">
        <v>103</v>
      </c>
      <c r="O1750" s="22" t="s">
        <v>104</v>
      </c>
      <c r="P1750" s="24"/>
      <c r="Q1750" s="22" t="s">
        <v>90</v>
      </c>
      <c r="R1750" s="22">
        <v>3.2802524889411E13</v>
      </c>
      <c r="S1750" s="24"/>
      <c r="T1750" s="24"/>
      <c r="U1750" s="24"/>
      <c r="V1750" s="30" t="s">
        <v>127</v>
      </c>
      <c r="W1750" s="33"/>
      <c r="X1750" s="33"/>
      <c r="Y1750" s="30"/>
      <c r="Z1750" s="30"/>
      <c r="AA1750" s="33"/>
      <c r="AB1750" s="33"/>
      <c r="AC1750" s="30"/>
      <c r="AD1750" s="30"/>
      <c r="AE1750" s="33"/>
      <c r="AF1750" s="31"/>
      <c r="AG1750" s="30"/>
      <c r="AH1750" s="30"/>
      <c r="AI1750" s="31"/>
      <c r="AJ1750" s="31"/>
      <c r="AK1750" s="32"/>
    </row>
    <row r="1751">
      <c r="A1751" s="21" t="s">
        <v>1085</v>
      </c>
      <c r="B1751" s="22" t="s">
        <v>763</v>
      </c>
      <c r="C1751" s="22" t="s">
        <v>82</v>
      </c>
      <c r="D1751" s="26">
        <v>45997.0</v>
      </c>
      <c r="E1751" s="22" t="s">
        <v>149</v>
      </c>
      <c r="F1751" s="22" t="s">
        <v>623</v>
      </c>
      <c r="G1751" s="22" t="s">
        <v>3362</v>
      </c>
      <c r="H1751" s="22" t="s">
        <v>1085</v>
      </c>
      <c r="I1751" s="22">
        <v>1.0482233409859E13</v>
      </c>
      <c r="J1751" s="22" t="s">
        <v>2990</v>
      </c>
      <c r="K1751" s="24"/>
      <c r="L1751" s="22" t="s">
        <v>1087</v>
      </c>
      <c r="M1751" s="22">
        <v>1.0</v>
      </c>
      <c r="N1751" s="22" t="s">
        <v>1088</v>
      </c>
      <c r="O1751" s="22" t="s">
        <v>1089</v>
      </c>
      <c r="P1751" s="24"/>
      <c r="Q1751" s="22" t="s">
        <v>90</v>
      </c>
      <c r="R1751" s="22">
        <v>3.2802525446467E13</v>
      </c>
      <c r="S1751" s="24"/>
      <c r="T1751" s="24"/>
      <c r="U1751" s="24"/>
      <c r="V1751" s="30" t="s">
        <v>127</v>
      </c>
      <c r="W1751" s="33"/>
      <c r="X1751" s="33"/>
      <c r="Y1751" s="30"/>
      <c r="Z1751" s="30"/>
      <c r="AA1751" s="33"/>
      <c r="AB1751" s="33"/>
      <c r="AC1751" s="30"/>
      <c r="AD1751" s="30"/>
      <c r="AE1751" s="33"/>
      <c r="AF1751" s="31"/>
      <c r="AG1751" s="30"/>
      <c r="AH1751" s="30"/>
      <c r="AI1751" s="31"/>
      <c r="AJ1751" s="31"/>
      <c r="AK1751" s="32"/>
    </row>
    <row r="1752">
      <c r="A1752" s="28"/>
      <c r="B1752" s="22" t="s">
        <v>763</v>
      </c>
      <c r="C1752" s="22" t="s">
        <v>82</v>
      </c>
      <c r="D1752" s="26">
        <v>45997.0</v>
      </c>
      <c r="E1752" s="22" t="s">
        <v>149</v>
      </c>
      <c r="F1752" s="22" t="s">
        <v>623</v>
      </c>
      <c r="G1752" s="22" t="s">
        <v>3362</v>
      </c>
      <c r="H1752" s="29"/>
      <c r="I1752" s="22">
        <v>1.0482233409859E13</v>
      </c>
      <c r="J1752" s="22" t="s">
        <v>2990</v>
      </c>
      <c r="K1752" s="24"/>
      <c r="L1752" s="22" t="s">
        <v>3363</v>
      </c>
      <c r="M1752" s="24"/>
      <c r="N1752" s="24"/>
      <c r="O1752" s="22" t="s">
        <v>768</v>
      </c>
      <c r="P1752" s="24"/>
      <c r="Q1752" s="22" t="s">
        <v>769</v>
      </c>
      <c r="R1752" s="24"/>
      <c r="S1752" s="24"/>
      <c r="T1752" s="24"/>
      <c r="U1752" s="24"/>
      <c r="V1752" s="30"/>
      <c r="W1752" s="33"/>
      <c r="X1752" s="33"/>
      <c r="Y1752" s="30"/>
      <c r="Z1752" s="30"/>
      <c r="AA1752" s="33"/>
      <c r="AB1752" s="33"/>
      <c r="AC1752" s="30"/>
      <c r="AD1752" s="30"/>
      <c r="AE1752" s="33"/>
      <c r="AF1752" s="31"/>
      <c r="AG1752" s="30"/>
      <c r="AH1752" s="30"/>
      <c r="AI1752" s="31"/>
      <c r="AJ1752" s="31"/>
      <c r="AK1752" s="32"/>
    </row>
    <row r="1753">
      <c r="A1753" s="21" t="s">
        <v>80</v>
      </c>
      <c r="B1753" s="22" t="s">
        <v>3364</v>
      </c>
      <c r="C1753" s="22" t="s">
        <v>202</v>
      </c>
      <c r="D1753" s="26">
        <v>45996.0</v>
      </c>
      <c r="E1753" s="22" t="s">
        <v>196</v>
      </c>
      <c r="F1753" s="22" t="s">
        <v>83</v>
      </c>
      <c r="G1753" s="22" t="s">
        <v>3365</v>
      </c>
      <c r="H1753" s="22" t="s">
        <v>80</v>
      </c>
      <c r="I1753" s="22">
        <v>1.0482236752195E13</v>
      </c>
      <c r="J1753" s="22" t="s">
        <v>3366</v>
      </c>
      <c r="K1753" s="24"/>
      <c r="L1753" s="22" t="s">
        <v>86</v>
      </c>
      <c r="M1753" s="22">
        <v>1.0</v>
      </c>
      <c r="N1753" s="22" t="s">
        <v>87</v>
      </c>
      <c r="O1753" s="22" t="s">
        <v>88</v>
      </c>
      <c r="P1753" s="24"/>
      <c r="Q1753" s="22" t="s">
        <v>90</v>
      </c>
      <c r="R1753" s="22">
        <v>3.2802532655427E13</v>
      </c>
      <c r="S1753" s="24"/>
      <c r="T1753" s="24"/>
      <c r="U1753" s="24"/>
      <c r="V1753" s="30" t="s">
        <v>91</v>
      </c>
      <c r="W1753" s="33"/>
      <c r="X1753" s="33"/>
      <c r="Y1753" s="30"/>
      <c r="Z1753" s="30"/>
      <c r="AA1753" s="33"/>
      <c r="AB1753" s="33"/>
      <c r="AC1753" s="30"/>
      <c r="AD1753" s="30"/>
      <c r="AE1753" s="33"/>
      <c r="AF1753" s="31"/>
      <c r="AG1753" s="30"/>
      <c r="AH1753" s="30"/>
      <c r="AI1753" s="31"/>
      <c r="AJ1753" s="31"/>
      <c r="AK1753" s="32"/>
    </row>
    <row r="1754">
      <c r="A1754" s="21" t="s">
        <v>80</v>
      </c>
      <c r="B1754" s="22" t="s">
        <v>2391</v>
      </c>
      <c r="C1754" s="22" t="s">
        <v>202</v>
      </c>
      <c r="D1754" s="26">
        <v>45996.0</v>
      </c>
      <c r="E1754" s="22" t="s">
        <v>134</v>
      </c>
      <c r="F1754" s="22" t="s">
        <v>83</v>
      </c>
      <c r="G1754" s="22" t="s">
        <v>3367</v>
      </c>
      <c r="H1754" s="22" t="s">
        <v>80</v>
      </c>
      <c r="I1754" s="22">
        <v>1.0482243338563E13</v>
      </c>
      <c r="J1754" s="22" t="s">
        <v>3368</v>
      </c>
      <c r="K1754" s="24"/>
      <c r="L1754" s="22" t="s">
        <v>86</v>
      </c>
      <c r="M1754" s="22">
        <v>1.0</v>
      </c>
      <c r="N1754" s="22" t="s">
        <v>87</v>
      </c>
      <c r="O1754" s="22" t="s">
        <v>88</v>
      </c>
      <c r="P1754" s="24"/>
      <c r="Q1754" s="22" t="s">
        <v>90</v>
      </c>
      <c r="R1754" s="22">
        <v>3.2802549006659E13</v>
      </c>
      <c r="S1754" s="24"/>
      <c r="T1754" s="24"/>
      <c r="U1754" s="24"/>
      <c r="V1754" s="30" t="s">
        <v>91</v>
      </c>
      <c r="W1754" s="33"/>
      <c r="X1754" s="33"/>
      <c r="Y1754" s="30"/>
      <c r="Z1754" s="30"/>
      <c r="AA1754" s="33"/>
      <c r="AB1754" s="33"/>
      <c r="AC1754" s="30"/>
      <c r="AD1754" s="30"/>
      <c r="AE1754" s="33"/>
      <c r="AF1754" s="31"/>
      <c r="AG1754" s="30"/>
      <c r="AH1754" s="30"/>
      <c r="AI1754" s="31"/>
      <c r="AJ1754" s="31"/>
      <c r="AK1754" s="32"/>
    </row>
    <row r="1755">
      <c r="A1755" s="21" t="s">
        <v>124</v>
      </c>
      <c r="B1755" s="22" t="s">
        <v>2712</v>
      </c>
      <c r="C1755" s="22" t="s">
        <v>273</v>
      </c>
      <c r="D1755" s="26">
        <v>45998.0</v>
      </c>
      <c r="E1755" s="22" t="s">
        <v>181</v>
      </c>
      <c r="F1755" s="22" t="s">
        <v>83</v>
      </c>
      <c r="G1755" s="22" t="s">
        <v>3369</v>
      </c>
      <c r="H1755" s="22" t="s">
        <v>124</v>
      </c>
      <c r="I1755" s="22">
        <v>1.0482283282755E13</v>
      </c>
      <c r="J1755" s="22" t="s">
        <v>3370</v>
      </c>
      <c r="K1755" s="24"/>
      <c r="L1755" s="22" t="s">
        <v>126</v>
      </c>
      <c r="M1755" s="22">
        <v>1.0</v>
      </c>
      <c r="N1755" s="22" t="s">
        <v>103</v>
      </c>
      <c r="O1755" s="22" t="s">
        <v>104</v>
      </c>
      <c r="P1755" s="24"/>
      <c r="Q1755" s="22" t="s">
        <v>90</v>
      </c>
      <c r="R1755" s="22">
        <v>3.2802642592067E13</v>
      </c>
      <c r="S1755" s="24"/>
      <c r="T1755" s="24"/>
      <c r="U1755" s="24"/>
      <c r="V1755" s="30" t="s">
        <v>127</v>
      </c>
      <c r="W1755" s="33"/>
      <c r="X1755" s="33"/>
      <c r="Y1755" s="30"/>
      <c r="Z1755" s="30"/>
      <c r="AA1755" s="33"/>
      <c r="AB1755" s="33"/>
      <c r="AC1755" s="30"/>
      <c r="AD1755" s="30"/>
      <c r="AE1755" s="33"/>
      <c r="AF1755" s="31"/>
      <c r="AG1755" s="30"/>
      <c r="AH1755" s="30"/>
      <c r="AI1755" s="31"/>
      <c r="AJ1755" s="31"/>
      <c r="AK1755" s="32"/>
    </row>
    <row r="1756">
      <c r="A1756" s="28"/>
      <c r="B1756" s="22" t="s">
        <v>2712</v>
      </c>
      <c r="C1756" s="22" t="s">
        <v>273</v>
      </c>
      <c r="D1756" s="26">
        <v>45998.0</v>
      </c>
      <c r="E1756" s="22" t="s">
        <v>181</v>
      </c>
      <c r="F1756" s="22" t="s">
        <v>83</v>
      </c>
      <c r="G1756" s="22" t="s">
        <v>3369</v>
      </c>
      <c r="H1756" s="29"/>
      <c r="I1756" s="22">
        <v>1.0482283282755E13</v>
      </c>
      <c r="J1756" s="22" t="s">
        <v>3370</v>
      </c>
      <c r="K1756" s="24"/>
      <c r="L1756" s="22" t="s">
        <v>3371</v>
      </c>
      <c r="M1756" s="24"/>
      <c r="N1756" s="24"/>
      <c r="O1756" s="22" t="s">
        <v>1806</v>
      </c>
      <c r="P1756" s="24"/>
      <c r="Q1756" s="22" t="s">
        <v>769</v>
      </c>
      <c r="R1756" s="24"/>
      <c r="S1756" s="24"/>
      <c r="T1756" s="24"/>
      <c r="U1756" s="24"/>
      <c r="V1756" s="30"/>
      <c r="W1756" s="33"/>
      <c r="X1756" s="33"/>
      <c r="Y1756" s="30"/>
      <c r="Z1756" s="30"/>
      <c r="AA1756" s="33"/>
      <c r="AB1756" s="33"/>
      <c r="AC1756" s="30"/>
      <c r="AD1756" s="30"/>
      <c r="AE1756" s="33"/>
      <c r="AF1756" s="31"/>
      <c r="AG1756" s="30"/>
      <c r="AH1756" s="30"/>
      <c r="AI1756" s="31"/>
      <c r="AJ1756" s="31"/>
      <c r="AK1756" s="32"/>
    </row>
    <row r="1757">
      <c r="A1757" s="21" t="s">
        <v>1151</v>
      </c>
      <c r="B1757" s="22" t="s">
        <v>741</v>
      </c>
      <c r="C1757" s="22" t="s">
        <v>82</v>
      </c>
      <c r="D1757" s="26">
        <v>45997.0</v>
      </c>
      <c r="E1757" s="22" t="s">
        <v>134</v>
      </c>
      <c r="F1757" s="22" t="s">
        <v>303</v>
      </c>
      <c r="G1757" s="22" t="s">
        <v>3372</v>
      </c>
      <c r="H1757" s="22" t="s">
        <v>1151</v>
      </c>
      <c r="I1757" s="22">
        <v>1.0482322243907E13</v>
      </c>
      <c r="J1757" s="22" t="s">
        <v>3073</v>
      </c>
      <c r="K1757" s="24"/>
      <c r="L1757" s="22" t="s">
        <v>1155</v>
      </c>
      <c r="M1757" s="22">
        <v>1.0</v>
      </c>
      <c r="N1757" s="22" t="s">
        <v>307</v>
      </c>
      <c r="O1757" s="22" t="s">
        <v>308</v>
      </c>
      <c r="P1757" s="24"/>
      <c r="Q1757" s="22" t="s">
        <v>90</v>
      </c>
      <c r="R1757" s="22">
        <v>3.2802732081475E13</v>
      </c>
      <c r="S1757" s="24"/>
      <c r="T1757" s="24"/>
      <c r="U1757" s="24"/>
      <c r="V1757" s="30" t="s">
        <v>54</v>
      </c>
      <c r="W1757" s="33"/>
      <c r="X1757" s="33"/>
      <c r="Y1757" s="30"/>
      <c r="Z1757" s="30"/>
      <c r="AA1757" s="33"/>
      <c r="AB1757" s="33"/>
      <c r="AC1757" s="30"/>
      <c r="AD1757" s="30"/>
      <c r="AE1757" s="33"/>
      <c r="AF1757" s="31"/>
      <c r="AG1757" s="30"/>
      <c r="AH1757" s="30"/>
      <c r="AI1757" s="31"/>
      <c r="AJ1757" s="31"/>
      <c r="AK1757" s="32"/>
    </row>
    <row r="1758">
      <c r="A1758" s="28"/>
      <c r="B1758" s="22" t="s">
        <v>741</v>
      </c>
      <c r="C1758" s="22" t="s">
        <v>82</v>
      </c>
      <c r="D1758" s="26">
        <v>45997.0</v>
      </c>
      <c r="E1758" s="22" t="s">
        <v>134</v>
      </c>
      <c r="F1758" s="22" t="s">
        <v>303</v>
      </c>
      <c r="G1758" s="22" t="s">
        <v>3372</v>
      </c>
      <c r="H1758" s="29"/>
      <c r="I1758" s="22">
        <v>1.0482322243907E13</v>
      </c>
      <c r="J1758" s="22" t="s">
        <v>3073</v>
      </c>
      <c r="K1758" s="24"/>
      <c r="L1758" s="22" t="s">
        <v>3373</v>
      </c>
      <c r="M1758" s="24"/>
      <c r="N1758" s="24"/>
      <c r="O1758" s="22" t="s">
        <v>1806</v>
      </c>
      <c r="P1758" s="24"/>
      <c r="Q1758" s="22" t="s">
        <v>769</v>
      </c>
      <c r="R1758" s="24"/>
      <c r="S1758" s="24"/>
      <c r="T1758" s="24"/>
      <c r="U1758" s="24"/>
      <c r="V1758" s="30"/>
      <c r="W1758" s="33"/>
      <c r="X1758" s="33"/>
      <c r="Y1758" s="30"/>
      <c r="Z1758" s="30"/>
      <c r="AA1758" s="33"/>
      <c r="AB1758" s="33"/>
      <c r="AC1758" s="30"/>
      <c r="AD1758" s="30"/>
      <c r="AE1758" s="33"/>
      <c r="AF1758" s="31"/>
      <c r="AG1758" s="30"/>
      <c r="AH1758" s="30"/>
      <c r="AI1758" s="31"/>
      <c r="AJ1758" s="31"/>
      <c r="AK1758" s="32"/>
    </row>
    <row r="1759">
      <c r="A1759" s="21" t="s">
        <v>538</v>
      </c>
      <c r="B1759" s="22" t="s">
        <v>587</v>
      </c>
      <c r="C1759" s="22" t="s">
        <v>273</v>
      </c>
      <c r="D1759" s="26">
        <v>45998.0</v>
      </c>
      <c r="E1759" s="22" t="s">
        <v>153</v>
      </c>
      <c r="F1759" s="22" t="s">
        <v>369</v>
      </c>
      <c r="G1759" s="22" t="s">
        <v>3374</v>
      </c>
      <c r="H1759" s="22" t="s">
        <v>538</v>
      </c>
      <c r="I1759" s="22">
        <v>1.0482372378947E13</v>
      </c>
      <c r="J1759" s="22" t="s">
        <v>2971</v>
      </c>
      <c r="K1759" s="24"/>
      <c r="L1759" s="22" t="s">
        <v>542</v>
      </c>
      <c r="M1759" s="22">
        <v>1.0</v>
      </c>
      <c r="N1759" s="22" t="s">
        <v>373</v>
      </c>
      <c r="O1759" s="22" t="s">
        <v>374</v>
      </c>
      <c r="P1759" s="24"/>
      <c r="Q1759" s="22" t="s">
        <v>90</v>
      </c>
      <c r="R1759" s="22">
        <v>3.2802836840771E13</v>
      </c>
      <c r="S1759" s="24"/>
      <c r="T1759" s="24"/>
      <c r="U1759" s="24"/>
      <c r="V1759" s="30" t="s">
        <v>91</v>
      </c>
      <c r="W1759" s="33"/>
      <c r="X1759" s="33"/>
      <c r="Y1759" s="30"/>
      <c r="Z1759" s="30"/>
      <c r="AA1759" s="33"/>
      <c r="AB1759" s="33"/>
      <c r="AC1759" s="30"/>
      <c r="AD1759" s="30"/>
      <c r="AE1759" s="33"/>
      <c r="AF1759" s="31"/>
      <c r="AG1759" s="30"/>
      <c r="AH1759" s="30"/>
      <c r="AI1759" s="31"/>
      <c r="AJ1759" s="31"/>
      <c r="AK1759" s="32"/>
    </row>
    <row r="1760">
      <c r="A1760" s="21" t="s">
        <v>1180</v>
      </c>
      <c r="B1760" s="22" t="s">
        <v>1205</v>
      </c>
      <c r="C1760" s="22" t="s">
        <v>273</v>
      </c>
      <c r="D1760" s="26">
        <v>45998.0</v>
      </c>
      <c r="E1760" s="22" t="s">
        <v>149</v>
      </c>
      <c r="F1760" s="22" t="s">
        <v>623</v>
      </c>
      <c r="G1760" s="22" t="s">
        <v>3375</v>
      </c>
      <c r="H1760" s="22" t="s">
        <v>1180</v>
      </c>
      <c r="I1760" s="22">
        <v>1.0482390466883E13</v>
      </c>
      <c r="J1760" s="22" t="s">
        <v>3083</v>
      </c>
      <c r="K1760" s="24"/>
      <c r="L1760" s="22" t="s">
        <v>1182</v>
      </c>
      <c r="M1760" s="22">
        <v>1.0</v>
      </c>
      <c r="N1760" s="22" t="s">
        <v>1088</v>
      </c>
      <c r="O1760" s="22" t="s">
        <v>1089</v>
      </c>
      <c r="P1760" s="24"/>
      <c r="Q1760" s="22" t="s">
        <v>90</v>
      </c>
      <c r="R1760" s="22">
        <v>3.2802876817731E13</v>
      </c>
      <c r="S1760" s="24"/>
      <c r="T1760" s="24"/>
      <c r="U1760" s="24"/>
      <c r="V1760" s="30" t="s">
        <v>105</v>
      </c>
      <c r="W1760" s="33"/>
      <c r="X1760" s="33"/>
      <c r="Y1760" s="30"/>
      <c r="Z1760" s="30"/>
      <c r="AA1760" s="33"/>
      <c r="AB1760" s="33"/>
      <c r="AC1760" s="30"/>
      <c r="AD1760" s="30"/>
      <c r="AE1760" s="33"/>
      <c r="AF1760" s="31"/>
      <c r="AG1760" s="30"/>
      <c r="AH1760" s="30"/>
      <c r="AI1760" s="31"/>
      <c r="AJ1760" s="31"/>
      <c r="AK1760" s="32"/>
    </row>
    <row r="1761">
      <c r="A1761" s="28"/>
      <c r="B1761" s="22" t="s">
        <v>1205</v>
      </c>
      <c r="C1761" s="22" t="s">
        <v>273</v>
      </c>
      <c r="D1761" s="26">
        <v>45998.0</v>
      </c>
      <c r="E1761" s="22" t="s">
        <v>149</v>
      </c>
      <c r="F1761" s="22" t="s">
        <v>623</v>
      </c>
      <c r="G1761" s="22" t="s">
        <v>3375</v>
      </c>
      <c r="H1761" s="29"/>
      <c r="I1761" s="22">
        <v>1.0482390466883E13</v>
      </c>
      <c r="J1761" s="22" t="s">
        <v>3083</v>
      </c>
      <c r="K1761" s="24"/>
      <c r="L1761" s="22" t="s">
        <v>3337</v>
      </c>
      <c r="M1761" s="24"/>
      <c r="N1761" s="24"/>
      <c r="O1761" s="22" t="s">
        <v>1806</v>
      </c>
      <c r="P1761" s="24"/>
      <c r="Q1761" s="22" t="s">
        <v>769</v>
      </c>
      <c r="R1761" s="24"/>
      <c r="S1761" s="24"/>
      <c r="T1761" s="24"/>
      <c r="U1761" s="24"/>
      <c r="V1761" s="30"/>
      <c r="W1761" s="33"/>
      <c r="X1761" s="33"/>
      <c r="Y1761" s="30"/>
      <c r="Z1761" s="30"/>
      <c r="AA1761" s="33"/>
      <c r="AB1761" s="33"/>
      <c r="AC1761" s="30"/>
      <c r="AD1761" s="30"/>
      <c r="AE1761" s="33"/>
      <c r="AF1761" s="31"/>
      <c r="AG1761" s="30"/>
      <c r="AH1761" s="30"/>
      <c r="AI1761" s="31"/>
      <c r="AJ1761" s="31"/>
      <c r="AK1761" s="32"/>
    </row>
    <row r="1762">
      <c r="A1762" s="21" t="s">
        <v>859</v>
      </c>
      <c r="B1762" s="22" t="s">
        <v>1510</v>
      </c>
      <c r="C1762" s="22" t="s">
        <v>82</v>
      </c>
      <c r="D1762" s="26">
        <v>45997.0</v>
      </c>
      <c r="E1762" s="22" t="s">
        <v>266</v>
      </c>
      <c r="F1762" s="22" t="s">
        <v>605</v>
      </c>
      <c r="G1762" s="22" t="s">
        <v>3376</v>
      </c>
      <c r="H1762" s="22" t="s">
        <v>859</v>
      </c>
      <c r="I1762" s="22">
        <v>1.0482451972419E13</v>
      </c>
      <c r="J1762" s="22" t="s">
        <v>3111</v>
      </c>
      <c r="K1762" s="24"/>
      <c r="L1762" s="22" t="s">
        <v>861</v>
      </c>
      <c r="M1762" s="22">
        <v>1.0</v>
      </c>
      <c r="N1762" s="22" t="s">
        <v>609</v>
      </c>
      <c r="O1762" s="22" t="s">
        <v>610</v>
      </c>
      <c r="P1762" s="24"/>
      <c r="Q1762" s="22" t="s">
        <v>90</v>
      </c>
      <c r="R1762" s="22">
        <v>3.2803009331523E13</v>
      </c>
      <c r="S1762" s="24"/>
      <c r="T1762" s="24"/>
      <c r="U1762" s="24"/>
      <c r="V1762" s="30" t="s">
        <v>95</v>
      </c>
      <c r="W1762" s="33"/>
      <c r="X1762" s="33"/>
      <c r="Y1762" s="30"/>
      <c r="Z1762" s="30"/>
      <c r="AA1762" s="33"/>
      <c r="AB1762" s="33"/>
      <c r="AC1762" s="30"/>
      <c r="AD1762" s="30"/>
      <c r="AE1762" s="33"/>
      <c r="AF1762" s="31"/>
      <c r="AG1762" s="30"/>
      <c r="AH1762" s="30"/>
      <c r="AI1762" s="31"/>
      <c r="AJ1762" s="31"/>
      <c r="AK1762" s="32"/>
    </row>
    <row r="1763">
      <c r="A1763" s="28"/>
      <c r="B1763" s="22" t="s">
        <v>1510</v>
      </c>
      <c r="C1763" s="22" t="s">
        <v>82</v>
      </c>
      <c r="D1763" s="26">
        <v>45997.0</v>
      </c>
      <c r="E1763" s="22" t="s">
        <v>266</v>
      </c>
      <c r="F1763" s="22" t="s">
        <v>605</v>
      </c>
      <c r="G1763" s="22" t="s">
        <v>3376</v>
      </c>
      <c r="H1763" s="29"/>
      <c r="I1763" s="22">
        <v>1.0482451972419E13</v>
      </c>
      <c r="J1763" s="22" t="s">
        <v>3111</v>
      </c>
      <c r="K1763" s="24"/>
      <c r="L1763" s="22" t="s">
        <v>3377</v>
      </c>
      <c r="M1763" s="24"/>
      <c r="N1763" s="24"/>
      <c r="O1763" s="22" t="s">
        <v>1806</v>
      </c>
      <c r="P1763" s="24"/>
      <c r="Q1763" s="22" t="s">
        <v>769</v>
      </c>
      <c r="R1763" s="24"/>
      <c r="S1763" s="24"/>
      <c r="T1763" s="24"/>
      <c r="U1763" s="24"/>
      <c r="V1763" s="30"/>
      <c r="W1763" s="33"/>
      <c r="X1763" s="33"/>
      <c r="Y1763" s="30"/>
      <c r="Z1763" s="30"/>
      <c r="AA1763" s="33"/>
      <c r="AB1763" s="33"/>
      <c r="AC1763" s="30"/>
      <c r="AD1763" s="30"/>
      <c r="AE1763" s="33"/>
      <c r="AF1763" s="31"/>
      <c r="AG1763" s="30"/>
      <c r="AH1763" s="30"/>
      <c r="AI1763" s="31"/>
      <c r="AJ1763" s="31"/>
      <c r="AK1763" s="32"/>
    </row>
    <row r="1764">
      <c r="A1764" s="21" t="s">
        <v>1200</v>
      </c>
      <c r="B1764" s="22" t="s">
        <v>1097</v>
      </c>
      <c r="C1764" s="22" t="s">
        <v>82</v>
      </c>
      <c r="D1764" s="26">
        <v>45997.0</v>
      </c>
      <c r="E1764" s="22" t="s">
        <v>145</v>
      </c>
      <c r="F1764" s="22" t="s">
        <v>278</v>
      </c>
      <c r="G1764" s="22" t="s">
        <v>3378</v>
      </c>
      <c r="H1764" s="22" t="s">
        <v>1200</v>
      </c>
      <c r="I1764" s="22">
        <v>1.0482479628611E13</v>
      </c>
      <c r="J1764" s="22" t="s">
        <v>3276</v>
      </c>
      <c r="K1764" s="24"/>
      <c r="L1764" s="22" t="s">
        <v>1203</v>
      </c>
      <c r="M1764" s="22">
        <v>1.0</v>
      </c>
      <c r="N1764" s="22" t="s">
        <v>282</v>
      </c>
      <c r="O1764" s="22" t="s">
        <v>283</v>
      </c>
      <c r="P1764" s="24"/>
      <c r="Q1764" s="22" t="s">
        <v>90</v>
      </c>
      <c r="R1764" s="22">
        <v>3.2803070411075E13</v>
      </c>
      <c r="S1764" s="24"/>
      <c r="T1764" s="24"/>
      <c r="U1764" s="24"/>
      <c r="V1764" s="30" t="s">
        <v>91</v>
      </c>
      <c r="W1764" s="33"/>
      <c r="X1764" s="33"/>
      <c r="Y1764" s="30"/>
      <c r="Z1764" s="30"/>
      <c r="AA1764" s="33"/>
      <c r="AB1764" s="33"/>
      <c r="AC1764" s="30"/>
      <c r="AD1764" s="30"/>
      <c r="AE1764" s="33"/>
      <c r="AF1764" s="31"/>
      <c r="AG1764" s="30"/>
      <c r="AH1764" s="30"/>
      <c r="AI1764" s="31"/>
      <c r="AJ1764" s="31"/>
      <c r="AK1764" s="32"/>
    </row>
    <row r="1765">
      <c r="A1765" s="21" t="s">
        <v>611</v>
      </c>
      <c r="B1765" s="22" t="s">
        <v>587</v>
      </c>
      <c r="C1765" s="22" t="s">
        <v>273</v>
      </c>
      <c r="D1765" s="26">
        <v>45998.0</v>
      </c>
      <c r="E1765" s="22" t="s">
        <v>153</v>
      </c>
      <c r="F1765" s="22" t="s">
        <v>369</v>
      </c>
      <c r="G1765" s="22" t="s">
        <v>3379</v>
      </c>
      <c r="H1765" s="22" t="s">
        <v>611</v>
      </c>
      <c r="I1765" s="22">
        <v>1.0482558959939E13</v>
      </c>
      <c r="J1765" s="22" t="s">
        <v>2971</v>
      </c>
      <c r="K1765" s="24"/>
      <c r="L1765" s="22" t="s">
        <v>613</v>
      </c>
      <c r="M1765" s="22">
        <v>1.0</v>
      </c>
      <c r="N1765" s="22" t="s">
        <v>600</v>
      </c>
      <c r="O1765" s="22" t="s">
        <v>601</v>
      </c>
      <c r="P1765" s="24"/>
      <c r="Q1765" s="22" t="s">
        <v>90</v>
      </c>
      <c r="R1765" s="22">
        <v>3.2803237003587E13</v>
      </c>
      <c r="S1765" s="24"/>
      <c r="T1765" s="24"/>
      <c r="U1765" s="24"/>
      <c r="V1765" s="30" t="s">
        <v>105</v>
      </c>
      <c r="W1765" s="33"/>
      <c r="X1765" s="33"/>
      <c r="Y1765" s="30"/>
      <c r="Z1765" s="30"/>
      <c r="AA1765" s="33"/>
      <c r="AB1765" s="33"/>
      <c r="AC1765" s="30"/>
      <c r="AD1765" s="30"/>
      <c r="AE1765" s="33"/>
      <c r="AF1765" s="31"/>
      <c r="AG1765" s="30"/>
      <c r="AH1765" s="30"/>
      <c r="AI1765" s="31"/>
      <c r="AJ1765" s="31"/>
      <c r="AK1765" s="32"/>
    </row>
    <row r="1766">
      <c r="A1766" s="21" t="s">
        <v>1217</v>
      </c>
      <c r="B1766" s="22" t="s">
        <v>3380</v>
      </c>
      <c r="C1766" s="22" t="s">
        <v>82</v>
      </c>
      <c r="D1766" s="26">
        <v>45997.0</v>
      </c>
      <c r="E1766" s="22" t="s">
        <v>3381</v>
      </c>
      <c r="F1766" s="22" t="s">
        <v>605</v>
      </c>
      <c r="G1766" s="22" t="s">
        <v>3382</v>
      </c>
      <c r="H1766" s="22" t="s">
        <v>1217</v>
      </c>
      <c r="I1766" s="22">
        <v>1.0482572099907E13</v>
      </c>
      <c r="J1766" s="22" t="s">
        <v>3383</v>
      </c>
      <c r="K1766" s="24"/>
      <c r="L1766" s="22" t="s">
        <v>1219</v>
      </c>
      <c r="M1766" s="22">
        <v>1.0</v>
      </c>
      <c r="N1766" s="22" t="s">
        <v>609</v>
      </c>
      <c r="O1766" s="22" t="s">
        <v>610</v>
      </c>
      <c r="P1766" s="24"/>
      <c r="Q1766" s="22" t="s">
        <v>90</v>
      </c>
      <c r="R1766" s="22">
        <v>3.2803263414595E13</v>
      </c>
      <c r="S1766" s="24"/>
      <c r="T1766" s="24"/>
      <c r="U1766" s="24"/>
      <c r="V1766" s="30" t="s">
        <v>91</v>
      </c>
      <c r="W1766" s="33"/>
      <c r="X1766" s="33"/>
      <c r="Y1766" s="30"/>
      <c r="Z1766" s="30"/>
      <c r="AA1766" s="33"/>
      <c r="AB1766" s="33"/>
      <c r="AC1766" s="30"/>
      <c r="AD1766" s="30"/>
      <c r="AE1766" s="33"/>
      <c r="AF1766" s="31"/>
      <c r="AG1766" s="30"/>
      <c r="AH1766" s="30"/>
      <c r="AI1766" s="31"/>
      <c r="AJ1766" s="31"/>
      <c r="AK1766" s="32"/>
    </row>
    <row r="1767">
      <c r="A1767" s="21" t="s">
        <v>1242</v>
      </c>
      <c r="B1767" s="22" t="s">
        <v>697</v>
      </c>
      <c r="C1767" s="22" t="s">
        <v>82</v>
      </c>
      <c r="D1767" s="26">
        <v>45997.0</v>
      </c>
      <c r="E1767" s="22" t="s">
        <v>439</v>
      </c>
      <c r="F1767" s="22" t="s">
        <v>698</v>
      </c>
      <c r="G1767" s="22" t="s">
        <v>3384</v>
      </c>
      <c r="H1767" s="22" t="s">
        <v>1242</v>
      </c>
      <c r="I1767" s="22">
        <v>1.0482624495939E13</v>
      </c>
      <c r="J1767" s="22" t="s">
        <v>3385</v>
      </c>
      <c r="K1767" s="24"/>
      <c r="L1767" s="22" t="s">
        <v>1244</v>
      </c>
      <c r="M1767" s="22">
        <v>1.0</v>
      </c>
      <c r="N1767" s="22" t="s">
        <v>702</v>
      </c>
      <c r="O1767" s="22" t="s">
        <v>703</v>
      </c>
      <c r="P1767" s="24"/>
      <c r="Q1767" s="22" t="s">
        <v>90</v>
      </c>
      <c r="R1767" s="22">
        <v>3.2803375284547E13</v>
      </c>
      <c r="S1767" s="24"/>
      <c r="T1767" s="24"/>
      <c r="U1767" s="24"/>
      <c r="V1767" s="30" t="s">
        <v>95</v>
      </c>
      <c r="W1767" s="33"/>
      <c r="X1767" s="33"/>
      <c r="Y1767" s="30"/>
      <c r="Z1767" s="30"/>
      <c r="AA1767" s="33"/>
      <c r="AB1767" s="33"/>
      <c r="AC1767" s="30"/>
      <c r="AD1767" s="30"/>
      <c r="AE1767" s="33"/>
      <c r="AF1767" s="31"/>
      <c r="AG1767" s="30"/>
      <c r="AH1767" s="30"/>
      <c r="AI1767" s="31"/>
      <c r="AJ1767" s="31"/>
      <c r="AK1767" s="32"/>
    </row>
    <row r="1768">
      <c r="A1768" s="21" t="s">
        <v>158</v>
      </c>
      <c r="B1768" s="22" t="s">
        <v>680</v>
      </c>
      <c r="C1768" s="22" t="s">
        <v>82</v>
      </c>
      <c r="D1768" s="26">
        <v>45997.0</v>
      </c>
      <c r="E1768" s="22" t="s">
        <v>219</v>
      </c>
      <c r="F1768" s="22" t="s">
        <v>111</v>
      </c>
      <c r="G1768" s="22" t="s">
        <v>3386</v>
      </c>
      <c r="H1768" s="22" t="s">
        <v>158</v>
      </c>
      <c r="I1768" s="22">
        <v>1.0482632458563E13</v>
      </c>
      <c r="J1768" s="22" t="s">
        <v>3387</v>
      </c>
      <c r="K1768" s="24"/>
      <c r="L1768" s="22" t="s">
        <v>163</v>
      </c>
      <c r="M1768" s="22">
        <v>1.0</v>
      </c>
      <c r="N1768" s="22" t="s">
        <v>164</v>
      </c>
      <c r="O1768" s="22" t="s">
        <v>165</v>
      </c>
      <c r="P1768" s="24"/>
      <c r="Q1768" s="22" t="s">
        <v>90</v>
      </c>
      <c r="R1768" s="22">
        <v>3.2803390816579E13</v>
      </c>
      <c r="S1768" s="24"/>
      <c r="T1768" s="24"/>
      <c r="U1768" s="24"/>
      <c r="V1768" s="30" t="s">
        <v>127</v>
      </c>
      <c r="W1768" s="33"/>
      <c r="X1768" s="33"/>
      <c r="Y1768" s="30"/>
      <c r="Z1768" s="30"/>
      <c r="AA1768" s="33"/>
      <c r="AB1768" s="33"/>
      <c r="AC1768" s="30"/>
      <c r="AD1768" s="30"/>
      <c r="AE1768" s="33"/>
      <c r="AF1768" s="31"/>
      <c r="AG1768" s="30"/>
      <c r="AH1768" s="30"/>
      <c r="AI1768" s="31"/>
      <c r="AJ1768" s="31"/>
      <c r="AK1768" s="32"/>
    </row>
    <row r="1769">
      <c r="A1769" s="21" t="s">
        <v>550</v>
      </c>
      <c r="B1769" s="22" t="s">
        <v>810</v>
      </c>
      <c r="C1769" s="22" t="s">
        <v>82</v>
      </c>
      <c r="D1769" s="23">
        <v>46004.0</v>
      </c>
      <c r="E1769" s="22" t="s">
        <v>134</v>
      </c>
      <c r="F1769" s="22" t="s">
        <v>377</v>
      </c>
      <c r="G1769" s="22" t="s">
        <v>3388</v>
      </c>
      <c r="H1769" s="22" t="s">
        <v>550</v>
      </c>
      <c r="I1769" s="22">
        <v>1.0482690654531E13</v>
      </c>
      <c r="J1769" s="22" t="s">
        <v>3124</v>
      </c>
      <c r="K1769" s="24"/>
      <c r="L1769" s="22" t="s">
        <v>552</v>
      </c>
      <c r="M1769" s="22">
        <v>1.0</v>
      </c>
      <c r="N1769" s="22" t="s">
        <v>381</v>
      </c>
      <c r="O1769" s="22" t="s">
        <v>382</v>
      </c>
      <c r="P1769" s="24"/>
      <c r="Q1769" s="22" t="s">
        <v>90</v>
      </c>
      <c r="R1769" s="22">
        <v>3.2803516711235E13</v>
      </c>
      <c r="S1769" s="24"/>
      <c r="T1769" s="24"/>
      <c r="U1769" s="24"/>
      <c r="V1769" s="30" t="s">
        <v>95</v>
      </c>
      <c r="W1769" s="33"/>
      <c r="X1769" s="33"/>
      <c r="Y1769" s="30"/>
      <c r="Z1769" s="30"/>
      <c r="AA1769" s="33"/>
      <c r="AB1769" s="33"/>
      <c r="AC1769" s="30"/>
      <c r="AD1769" s="30"/>
      <c r="AE1769" s="33"/>
      <c r="AF1769" s="31"/>
      <c r="AG1769" s="30"/>
      <c r="AH1769" s="30"/>
      <c r="AI1769" s="31"/>
      <c r="AJ1769" s="31"/>
      <c r="AK1769" s="32"/>
    </row>
    <row r="1770">
      <c r="A1770" s="21" t="s">
        <v>550</v>
      </c>
      <c r="B1770" s="22" t="s">
        <v>512</v>
      </c>
      <c r="C1770" s="22" t="s">
        <v>82</v>
      </c>
      <c r="D1770" s="26">
        <v>45997.0</v>
      </c>
      <c r="E1770" s="22" t="s">
        <v>153</v>
      </c>
      <c r="F1770" s="22" t="s">
        <v>377</v>
      </c>
      <c r="G1770" s="22" t="s">
        <v>3389</v>
      </c>
      <c r="H1770" s="22" t="s">
        <v>550</v>
      </c>
      <c r="I1770" s="22">
        <v>1.0482868650307E13</v>
      </c>
      <c r="J1770" s="22" t="s">
        <v>411</v>
      </c>
      <c r="K1770" s="24"/>
      <c r="L1770" s="22" t="s">
        <v>552</v>
      </c>
      <c r="M1770" s="22">
        <v>1.0</v>
      </c>
      <c r="N1770" s="22" t="s">
        <v>381</v>
      </c>
      <c r="O1770" s="22" t="s">
        <v>382</v>
      </c>
      <c r="P1770" s="24"/>
      <c r="Q1770" s="22" t="s">
        <v>90</v>
      </c>
      <c r="R1770" s="22">
        <v>3.2803898753347E13</v>
      </c>
      <c r="S1770" s="24"/>
      <c r="T1770" s="24"/>
      <c r="U1770" s="24"/>
      <c r="V1770" s="30" t="s">
        <v>95</v>
      </c>
      <c r="W1770" s="33"/>
      <c r="X1770" s="33"/>
      <c r="Y1770" s="30"/>
      <c r="Z1770" s="30"/>
      <c r="AA1770" s="33"/>
      <c r="AB1770" s="33"/>
      <c r="AC1770" s="30"/>
      <c r="AD1770" s="30"/>
      <c r="AE1770" s="33"/>
      <c r="AF1770" s="31"/>
      <c r="AG1770" s="30"/>
      <c r="AH1770" s="30"/>
      <c r="AI1770" s="31"/>
      <c r="AJ1770" s="31"/>
      <c r="AK1770" s="32"/>
    </row>
    <row r="1771">
      <c r="A1771" s="21" t="s">
        <v>1554</v>
      </c>
      <c r="B1771" s="22" t="s">
        <v>3390</v>
      </c>
      <c r="C1771" s="22" t="s">
        <v>82</v>
      </c>
      <c r="D1771" s="26">
        <v>45997.0</v>
      </c>
      <c r="E1771" s="22" t="s">
        <v>145</v>
      </c>
      <c r="F1771" s="22" t="s">
        <v>1466</v>
      </c>
      <c r="G1771" s="22" t="s">
        <v>3391</v>
      </c>
      <c r="H1771" s="22" t="s">
        <v>1554</v>
      </c>
      <c r="I1771" s="22">
        <v>1.0483077808451E13</v>
      </c>
      <c r="J1771" s="22" t="s">
        <v>3392</v>
      </c>
      <c r="K1771" s="24"/>
      <c r="L1771" s="22" t="s">
        <v>1556</v>
      </c>
      <c r="M1771" s="22">
        <v>1.0</v>
      </c>
      <c r="N1771" s="22" t="s">
        <v>1470</v>
      </c>
      <c r="O1771" s="22" t="s">
        <v>1471</v>
      </c>
      <c r="P1771" s="24"/>
      <c r="Q1771" s="22" t="s">
        <v>90</v>
      </c>
      <c r="R1771" s="22">
        <v>3.2804353573187E13</v>
      </c>
      <c r="S1771" s="24"/>
      <c r="T1771" s="24"/>
      <c r="U1771" s="24"/>
      <c r="V1771" s="30" t="s">
        <v>91</v>
      </c>
      <c r="W1771" s="33"/>
      <c r="X1771" s="33"/>
      <c r="Y1771" s="30"/>
      <c r="Z1771" s="30"/>
      <c r="AA1771" s="33"/>
      <c r="AB1771" s="33"/>
      <c r="AC1771" s="30"/>
      <c r="AD1771" s="30"/>
      <c r="AE1771" s="33"/>
      <c r="AF1771" s="31"/>
      <c r="AG1771" s="30"/>
      <c r="AH1771" s="30"/>
      <c r="AI1771" s="31"/>
      <c r="AJ1771" s="31"/>
      <c r="AK1771" s="32"/>
    </row>
    <row r="1772">
      <c r="A1772" s="21" t="s">
        <v>611</v>
      </c>
      <c r="B1772" s="22" t="s">
        <v>587</v>
      </c>
      <c r="C1772" s="22" t="s">
        <v>273</v>
      </c>
      <c r="D1772" s="26">
        <v>45998.0</v>
      </c>
      <c r="E1772" s="22" t="s">
        <v>153</v>
      </c>
      <c r="F1772" s="22" t="s">
        <v>369</v>
      </c>
      <c r="G1772" s="22" t="s">
        <v>3393</v>
      </c>
      <c r="H1772" s="22" t="s">
        <v>611</v>
      </c>
      <c r="I1772" s="22">
        <v>1.0483117982019E13</v>
      </c>
      <c r="J1772" s="22" t="s">
        <v>2971</v>
      </c>
      <c r="K1772" s="24"/>
      <c r="L1772" s="22" t="s">
        <v>613</v>
      </c>
      <c r="M1772" s="22">
        <v>1.0</v>
      </c>
      <c r="N1772" s="22" t="s">
        <v>600</v>
      </c>
      <c r="O1772" s="22" t="s">
        <v>601</v>
      </c>
      <c r="P1772" s="24"/>
      <c r="Q1772" s="22" t="s">
        <v>90</v>
      </c>
      <c r="R1772" s="22">
        <v>3.2804442931523E13</v>
      </c>
      <c r="S1772" s="24"/>
      <c r="T1772" s="24"/>
      <c r="U1772" s="24"/>
      <c r="V1772" s="30" t="s">
        <v>105</v>
      </c>
      <c r="W1772" s="33"/>
      <c r="X1772" s="33"/>
      <c r="Y1772" s="30"/>
      <c r="Z1772" s="30"/>
      <c r="AA1772" s="33"/>
      <c r="AB1772" s="33"/>
      <c r="AC1772" s="30"/>
      <c r="AD1772" s="30"/>
      <c r="AE1772" s="33"/>
      <c r="AF1772" s="31"/>
      <c r="AG1772" s="30"/>
      <c r="AH1772" s="30"/>
      <c r="AI1772" s="31"/>
      <c r="AJ1772" s="31"/>
      <c r="AK1772" s="32"/>
    </row>
    <row r="1773">
      <c r="A1773" s="21" t="s">
        <v>692</v>
      </c>
      <c r="B1773" s="22" t="s">
        <v>539</v>
      </c>
      <c r="C1773" s="22" t="s">
        <v>273</v>
      </c>
      <c r="D1773" s="26">
        <v>45998.0</v>
      </c>
      <c r="E1773" s="22" t="s">
        <v>149</v>
      </c>
      <c r="F1773" s="22" t="s">
        <v>369</v>
      </c>
      <c r="G1773" s="22" t="s">
        <v>3394</v>
      </c>
      <c r="H1773" s="22" t="s">
        <v>692</v>
      </c>
      <c r="I1773" s="22">
        <v>1.0483147800899E13</v>
      </c>
      <c r="J1773" s="22" t="s">
        <v>566</v>
      </c>
      <c r="K1773" s="24"/>
      <c r="L1773" s="22" t="s">
        <v>694</v>
      </c>
      <c r="M1773" s="22">
        <v>1.0</v>
      </c>
      <c r="N1773" s="22" t="s">
        <v>373</v>
      </c>
      <c r="O1773" s="22" t="s">
        <v>374</v>
      </c>
      <c r="P1773" s="24"/>
      <c r="Q1773" s="22" t="s">
        <v>90</v>
      </c>
      <c r="R1773" s="22">
        <v>3.2804509450563E13</v>
      </c>
      <c r="S1773" s="24"/>
      <c r="T1773" s="24"/>
      <c r="U1773" s="24"/>
      <c r="V1773" s="30" t="s">
        <v>54</v>
      </c>
      <c r="W1773" s="33"/>
      <c r="X1773" s="33"/>
      <c r="Y1773" s="30"/>
      <c r="Z1773" s="30"/>
      <c r="AA1773" s="33"/>
      <c r="AB1773" s="33"/>
      <c r="AC1773" s="30"/>
      <c r="AD1773" s="30"/>
      <c r="AE1773" s="33"/>
      <c r="AF1773" s="31"/>
      <c r="AG1773" s="30"/>
      <c r="AH1773" s="30"/>
      <c r="AI1773" s="31"/>
      <c r="AJ1773" s="31"/>
      <c r="AK1773" s="32"/>
    </row>
    <row r="1774">
      <c r="A1774" s="21" t="s">
        <v>96</v>
      </c>
      <c r="B1774" s="22" t="s">
        <v>1348</v>
      </c>
      <c r="C1774" s="22" t="s">
        <v>287</v>
      </c>
      <c r="D1774" s="26">
        <v>45994.0</v>
      </c>
      <c r="E1774" s="22" t="s">
        <v>153</v>
      </c>
      <c r="F1774" s="22" t="s">
        <v>83</v>
      </c>
      <c r="G1774" s="22" t="s">
        <v>3395</v>
      </c>
      <c r="H1774" s="22" t="s">
        <v>96</v>
      </c>
      <c r="I1774" s="22">
        <v>1.0483256852803E13</v>
      </c>
      <c r="J1774" s="22" t="s">
        <v>2935</v>
      </c>
      <c r="K1774" s="24"/>
      <c r="L1774" s="22" t="s">
        <v>269</v>
      </c>
      <c r="M1774" s="22">
        <v>1.0</v>
      </c>
      <c r="N1774" s="22" t="s">
        <v>263</v>
      </c>
      <c r="O1774" s="22" t="s">
        <v>264</v>
      </c>
      <c r="P1774" s="24"/>
      <c r="Q1774" s="22" t="s">
        <v>90</v>
      </c>
      <c r="R1774" s="22">
        <v>3.2804748591427E13</v>
      </c>
      <c r="S1774" s="24"/>
      <c r="T1774" s="24"/>
      <c r="U1774" s="24"/>
      <c r="V1774" s="30" t="s">
        <v>55</v>
      </c>
      <c r="W1774" s="33"/>
      <c r="X1774" s="33"/>
      <c r="Y1774" s="30"/>
      <c r="Z1774" s="30"/>
      <c r="AA1774" s="33"/>
      <c r="AB1774" s="33"/>
      <c r="AC1774" s="30"/>
      <c r="AD1774" s="30"/>
      <c r="AE1774" s="33"/>
      <c r="AF1774" s="31"/>
      <c r="AG1774" s="30"/>
      <c r="AH1774" s="30"/>
      <c r="AI1774" s="31"/>
      <c r="AJ1774" s="31"/>
      <c r="AK1774" s="32"/>
    </row>
    <row r="1775">
      <c r="A1775" s="21" t="s">
        <v>632</v>
      </c>
      <c r="B1775" s="22" t="s">
        <v>3255</v>
      </c>
      <c r="C1775" s="22" t="s">
        <v>82</v>
      </c>
      <c r="D1775" s="26">
        <v>45997.0</v>
      </c>
      <c r="E1775" s="22" t="s">
        <v>134</v>
      </c>
      <c r="F1775" s="22" t="s">
        <v>634</v>
      </c>
      <c r="G1775" s="22" t="s">
        <v>3396</v>
      </c>
      <c r="H1775" s="22" t="s">
        <v>632</v>
      </c>
      <c r="I1775" s="22">
        <v>1.0483300368707E13</v>
      </c>
      <c r="J1775" s="22" t="s">
        <v>3257</v>
      </c>
      <c r="K1775" s="24"/>
      <c r="L1775" s="22" t="s">
        <v>637</v>
      </c>
      <c r="M1775" s="22">
        <v>1.0</v>
      </c>
      <c r="N1775" s="22" t="s">
        <v>638</v>
      </c>
      <c r="O1775" s="22" t="s">
        <v>639</v>
      </c>
      <c r="P1775" s="24"/>
      <c r="Q1775" s="22" t="s">
        <v>90</v>
      </c>
      <c r="R1775" s="22">
        <v>3.2804838801731E13</v>
      </c>
      <c r="S1775" s="24"/>
      <c r="T1775" s="24"/>
      <c r="U1775" s="24"/>
      <c r="V1775" s="30" t="s">
        <v>91</v>
      </c>
      <c r="W1775" s="33"/>
      <c r="X1775" s="33"/>
      <c r="Y1775" s="30"/>
      <c r="Z1775" s="30"/>
      <c r="AA1775" s="33"/>
      <c r="AB1775" s="33"/>
      <c r="AC1775" s="30"/>
      <c r="AD1775" s="30"/>
      <c r="AE1775" s="33"/>
      <c r="AF1775" s="31"/>
      <c r="AG1775" s="30"/>
      <c r="AH1775" s="30"/>
      <c r="AI1775" s="31"/>
      <c r="AJ1775" s="31"/>
      <c r="AK1775" s="32"/>
    </row>
    <row r="1776">
      <c r="A1776" s="21" t="s">
        <v>1376</v>
      </c>
      <c r="B1776" s="22" t="s">
        <v>3397</v>
      </c>
      <c r="C1776" s="22" t="s">
        <v>273</v>
      </c>
      <c r="D1776" s="26">
        <v>45998.0</v>
      </c>
      <c r="E1776" s="22" t="s">
        <v>134</v>
      </c>
      <c r="F1776" s="22" t="s">
        <v>451</v>
      </c>
      <c r="G1776" s="22" t="s">
        <v>3398</v>
      </c>
      <c r="H1776" s="22" t="s">
        <v>1376</v>
      </c>
      <c r="I1776" s="22">
        <v>1.0483347128643E13</v>
      </c>
      <c r="J1776" s="22" t="s">
        <v>3399</v>
      </c>
      <c r="K1776" s="24"/>
      <c r="L1776" s="22" t="s">
        <v>1378</v>
      </c>
      <c r="M1776" s="22">
        <v>1.0</v>
      </c>
      <c r="N1776" s="22" t="s">
        <v>455</v>
      </c>
      <c r="O1776" s="22" t="s">
        <v>456</v>
      </c>
      <c r="P1776" s="24"/>
      <c r="Q1776" s="22" t="s">
        <v>90</v>
      </c>
      <c r="R1776" s="22">
        <v>3.2804941037891E13</v>
      </c>
      <c r="S1776" s="24"/>
      <c r="T1776" s="24"/>
      <c r="U1776" s="24"/>
      <c r="V1776" s="30" t="s">
        <v>95</v>
      </c>
      <c r="W1776" s="33"/>
      <c r="X1776" s="33"/>
      <c r="Y1776" s="30"/>
      <c r="Z1776" s="30"/>
      <c r="AA1776" s="33"/>
      <c r="AB1776" s="33"/>
      <c r="AC1776" s="30"/>
      <c r="AD1776" s="30"/>
      <c r="AE1776" s="33"/>
      <c r="AF1776" s="31"/>
      <c r="AG1776" s="30"/>
      <c r="AH1776" s="30"/>
      <c r="AI1776" s="31"/>
      <c r="AJ1776" s="31"/>
      <c r="AK1776" s="32"/>
    </row>
    <row r="1777">
      <c r="A1777" s="21" t="s">
        <v>912</v>
      </c>
      <c r="B1777" s="22" t="s">
        <v>376</v>
      </c>
      <c r="C1777" s="22" t="s">
        <v>82</v>
      </c>
      <c r="D1777" s="26">
        <v>45997.0</v>
      </c>
      <c r="E1777" s="22" t="s">
        <v>149</v>
      </c>
      <c r="F1777" s="22" t="s">
        <v>377</v>
      </c>
      <c r="G1777" s="22" t="s">
        <v>3400</v>
      </c>
      <c r="H1777" s="22" t="s">
        <v>912</v>
      </c>
      <c r="I1777" s="22">
        <v>1.0483359809859E13</v>
      </c>
      <c r="J1777" s="22" t="s">
        <v>3401</v>
      </c>
      <c r="K1777" s="24"/>
      <c r="L1777" s="22" t="s">
        <v>914</v>
      </c>
      <c r="M1777" s="22">
        <v>1.0</v>
      </c>
      <c r="N1777" s="22" t="s">
        <v>381</v>
      </c>
      <c r="O1777" s="22" t="s">
        <v>382</v>
      </c>
      <c r="P1777" s="24"/>
      <c r="Q1777" s="22" t="s">
        <v>90</v>
      </c>
      <c r="R1777" s="22">
        <v>3.2804969218371E13</v>
      </c>
      <c r="S1777" s="24"/>
      <c r="T1777" s="24"/>
      <c r="U1777" s="24"/>
      <c r="V1777" s="30" t="s">
        <v>54</v>
      </c>
      <c r="W1777" s="33"/>
      <c r="X1777" s="33"/>
      <c r="Y1777" s="30"/>
      <c r="Z1777" s="30"/>
      <c r="AA1777" s="33"/>
      <c r="AB1777" s="33"/>
      <c r="AC1777" s="30"/>
      <c r="AD1777" s="30"/>
      <c r="AE1777" s="33"/>
      <c r="AF1777" s="31"/>
      <c r="AG1777" s="30"/>
      <c r="AH1777" s="30"/>
      <c r="AI1777" s="31"/>
      <c r="AJ1777" s="31"/>
      <c r="AK1777" s="32"/>
    </row>
    <row r="1778">
      <c r="A1778" s="21" t="s">
        <v>423</v>
      </c>
      <c r="B1778" s="22" t="s">
        <v>1364</v>
      </c>
      <c r="C1778" s="22" t="s">
        <v>273</v>
      </c>
      <c r="D1778" s="26">
        <v>45998.0</v>
      </c>
      <c r="E1778" s="22" t="s">
        <v>138</v>
      </c>
      <c r="F1778" s="22" t="s">
        <v>369</v>
      </c>
      <c r="G1778" s="22" t="s">
        <v>3402</v>
      </c>
      <c r="H1778" s="22" t="s">
        <v>423</v>
      </c>
      <c r="I1778" s="22">
        <v>1.0483437699395E13</v>
      </c>
      <c r="J1778" s="22" t="s">
        <v>2992</v>
      </c>
      <c r="K1778" s="24"/>
      <c r="L1778" s="22" t="s">
        <v>427</v>
      </c>
      <c r="M1778" s="22">
        <v>1.0</v>
      </c>
      <c r="N1778" s="22" t="s">
        <v>373</v>
      </c>
      <c r="O1778" s="22" t="s">
        <v>374</v>
      </c>
      <c r="P1778" s="24"/>
      <c r="Q1778" s="22" t="s">
        <v>90</v>
      </c>
      <c r="R1778" s="22">
        <v>3.2805137973571E13</v>
      </c>
      <c r="S1778" s="24"/>
      <c r="T1778" s="24"/>
      <c r="U1778" s="24"/>
      <c r="V1778" s="30" t="s">
        <v>95</v>
      </c>
      <c r="W1778" s="33"/>
      <c r="X1778" s="33"/>
      <c r="Y1778" s="30"/>
      <c r="Z1778" s="30"/>
      <c r="AA1778" s="33"/>
      <c r="AB1778" s="33"/>
      <c r="AC1778" s="30"/>
      <c r="AD1778" s="30"/>
      <c r="AE1778" s="33"/>
      <c r="AF1778" s="31"/>
      <c r="AG1778" s="30"/>
      <c r="AH1778" s="30"/>
      <c r="AI1778" s="31"/>
      <c r="AJ1778" s="31"/>
      <c r="AK1778" s="32"/>
    </row>
    <row r="1779">
      <c r="A1779" s="21" t="s">
        <v>80</v>
      </c>
      <c r="B1779" s="22" t="s">
        <v>1388</v>
      </c>
      <c r="C1779" s="22" t="s">
        <v>202</v>
      </c>
      <c r="D1779" s="26">
        <v>45996.0</v>
      </c>
      <c r="E1779" s="22" t="s">
        <v>480</v>
      </c>
      <c r="F1779" s="22" t="s">
        <v>83</v>
      </c>
      <c r="G1779" s="22" t="s">
        <v>3403</v>
      </c>
      <c r="H1779" s="22" t="s">
        <v>80</v>
      </c>
      <c r="I1779" s="22">
        <v>1.0483467944259E13</v>
      </c>
      <c r="J1779" s="22" t="s">
        <v>3404</v>
      </c>
      <c r="K1779" s="24"/>
      <c r="L1779" s="22" t="s">
        <v>86</v>
      </c>
      <c r="M1779" s="22">
        <v>1.0</v>
      </c>
      <c r="N1779" s="22" t="s">
        <v>87</v>
      </c>
      <c r="O1779" s="22" t="s">
        <v>88</v>
      </c>
      <c r="P1779" s="24"/>
      <c r="Q1779" s="22" t="s">
        <v>90</v>
      </c>
      <c r="R1779" s="22">
        <v>3.2805206589763E13</v>
      </c>
      <c r="S1779" s="24"/>
      <c r="T1779" s="24"/>
      <c r="U1779" s="24"/>
      <c r="V1779" s="30" t="s">
        <v>91</v>
      </c>
      <c r="W1779" s="33"/>
      <c r="X1779" s="33"/>
      <c r="Y1779" s="30"/>
      <c r="Z1779" s="30"/>
      <c r="AA1779" s="33"/>
      <c r="AB1779" s="33"/>
      <c r="AC1779" s="30"/>
      <c r="AD1779" s="30"/>
      <c r="AE1779" s="33"/>
      <c r="AF1779" s="31"/>
      <c r="AG1779" s="30"/>
      <c r="AH1779" s="30"/>
      <c r="AI1779" s="31"/>
      <c r="AJ1779" s="31"/>
      <c r="AK1779" s="32"/>
    </row>
    <row r="1780">
      <c r="A1780" s="21" t="s">
        <v>166</v>
      </c>
      <c r="B1780" s="22" t="s">
        <v>393</v>
      </c>
      <c r="C1780" s="22" t="s">
        <v>82</v>
      </c>
      <c r="D1780" s="26">
        <v>45997.0</v>
      </c>
      <c r="E1780" s="22" t="s">
        <v>187</v>
      </c>
      <c r="F1780" s="22" t="s">
        <v>111</v>
      </c>
      <c r="G1780" s="22" t="s">
        <v>3405</v>
      </c>
      <c r="H1780" s="22" t="s">
        <v>166</v>
      </c>
      <c r="I1780" s="22">
        <v>1.0481784422723E13</v>
      </c>
      <c r="J1780" s="22" t="s">
        <v>3046</v>
      </c>
      <c r="K1780" s="24"/>
      <c r="L1780" s="22" t="s">
        <v>171</v>
      </c>
      <c r="M1780" s="22">
        <v>1.0</v>
      </c>
      <c r="N1780" s="22" t="s">
        <v>115</v>
      </c>
      <c r="O1780" s="22" t="s">
        <v>116</v>
      </c>
      <c r="P1780" s="24"/>
      <c r="Q1780" s="22" t="s">
        <v>90</v>
      </c>
      <c r="R1780" s="22">
        <v>3.2801534148931E13</v>
      </c>
      <c r="S1780" s="24"/>
      <c r="T1780" s="24"/>
      <c r="U1780" s="24"/>
      <c r="V1780" s="30" t="s">
        <v>55</v>
      </c>
      <c r="W1780" s="33"/>
      <c r="X1780" s="33"/>
      <c r="Y1780" s="30"/>
      <c r="Z1780" s="30"/>
      <c r="AA1780" s="33"/>
      <c r="AB1780" s="33"/>
      <c r="AC1780" s="30"/>
      <c r="AD1780" s="30"/>
      <c r="AE1780" s="33"/>
      <c r="AF1780" s="31"/>
      <c r="AG1780" s="30"/>
      <c r="AH1780" s="30"/>
      <c r="AI1780" s="31"/>
      <c r="AJ1780" s="31"/>
      <c r="AK1780" s="32"/>
    </row>
    <row r="1781">
      <c r="A1781" s="21" t="s">
        <v>470</v>
      </c>
      <c r="B1781" s="22" t="s">
        <v>516</v>
      </c>
      <c r="C1781" s="22" t="s">
        <v>273</v>
      </c>
      <c r="D1781" s="26">
        <v>45998.0</v>
      </c>
      <c r="E1781" s="22" t="s">
        <v>134</v>
      </c>
      <c r="F1781" s="22" t="s">
        <v>472</v>
      </c>
      <c r="G1781" s="22" t="s">
        <v>3406</v>
      </c>
      <c r="H1781" s="22" t="s">
        <v>470</v>
      </c>
      <c r="I1781" s="22">
        <v>1.0481836949827E13</v>
      </c>
      <c r="J1781" s="22" t="s">
        <v>3030</v>
      </c>
      <c r="K1781" s="24"/>
      <c r="L1781" s="22" t="s">
        <v>475</v>
      </c>
      <c r="M1781" s="22">
        <v>2.0</v>
      </c>
      <c r="N1781" s="22" t="s">
        <v>476</v>
      </c>
      <c r="O1781" s="22" t="s">
        <v>477</v>
      </c>
      <c r="P1781" s="24"/>
      <c r="Q1781" s="22" t="s">
        <v>90</v>
      </c>
      <c r="R1781" s="22">
        <v>3.2801652277571E13</v>
      </c>
      <c r="S1781" s="24"/>
      <c r="T1781" s="24"/>
      <c r="U1781" s="24"/>
      <c r="V1781" s="30" t="s">
        <v>91</v>
      </c>
      <c r="W1781" s="33"/>
      <c r="X1781" s="33"/>
      <c r="Y1781" s="30"/>
      <c r="Z1781" s="30"/>
      <c r="AA1781" s="33"/>
      <c r="AB1781" s="33"/>
      <c r="AC1781" s="30"/>
      <c r="AD1781" s="30"/>
      <c r="AE1781" s="33"/>
      <c r="AF1781" s="31"/>
      <c r="AG1781" s="30"/>
      <c r="AH1781" s="30"/>
      <c r="AI1781" s="31"/>
      <c r="AJ1781" s="31"/>
      <c r="AK1781" s="32"/>
    </row>
    <row r="1782">
      <c r="A1782" s="21" t="s">
        <v>924</v>
      </c>
      <c r="B1782" s="22" t="s">
        <v>3407</v>
      </c>
      <c r="C1782" s="22" t="s">
        <v>82</v>
      </c>
      <c r="D1782" s="26">
        <v>45997.0</v>
      </c>
      <c r="E1782" s="22" t="s">
        <v>622</v>
      </c>
      <c r="F1782" s="22" t="s">
        <v>623</v>
      </c>
      <c r="G1782" s="22" t="s">
        <v>3408</v>
      </c>
      <c r="H1782" s="22" t="s">
        <v>924</v>
      </c>
      <c r="I1782" s="22">
        <v>1.0481858576707E13</v>
      </c>
      <c r="J1782" s="22" t="s">
        <v>3409</v>
      </c>
      <c r="K1782" s="24"/>
      <c r="L1782" s="22" t="s">
        <v>926</v>
      </c>
      <c r="M1782" s="22">
        <v>1.0</v>
      </c>
      <c r="N1782" s="22" t="s">
        <v>627</v>
      </c>
      <c r="O1782" s="22" t="s">
        <v>628</v>
      </c>
      <c r="P1782" s="24"/>
      <c r="Q1782" s="22" t="s">
        <v>90</v>
      </c>
      <c r="R1782" s="22">
        <v>3.2801700020547E13</v>
      </c>
      <c r="S1782" s="24"/>
      <c r="T1782" s="24"/>
      <c r="U1782" s="24"/>
      <c r="V1782" s="30" t="s">
        <v>55</v>
      </c>
      <c r="W1782" s="33"/>
      <c r="X1782" s="33"/>
      <c r="Y1782" s="30"/>
      <c r="Z1782" s="30"/>
      <c r="AA1782" s="33"/>
      <c r="AB1782" s="33"/>
      <c r="AC1782" s="30"/>
      <c r="AD1782" s="30"/>
      <c r="AE1782" s="33"/>
      <c r="AF1782" s="31"/>
      <c r="AG1782" s="30"/>
      <c r="AH1782" s="30"/>
      <c r="AI1782" s="31"/>
      <c r="AJ1782" s="31"/>
      <c r="AK1782" s="32"/>
    </row>
    <row r="1783">
      <c r="A1783" s="28"/>
      <c r="B1783" s="22" t="s">
        <v>3407</v>
      </c>
      <c r="C1783" s="22" t="s">
        <v>82</v>
      </c>
      <c r="D1783" s="26">
        <v>45997.0</v>
      </c>
      <c r="E1783" s="22" t="s">
        <v>622</v>
      </c>
      <c r="F1783" s="22" t="s">
        <v>623</v>
      </c>
      <c r="G1783" s="22" t="s">
        <v>3408</v>
      </c>
      <c r="H1783" s="29"/>
      <c r="I1783" s="22">
        <v>1.0481858576707E13</v>
      </c>
      <c r="J1783" s="22" t="s">
        <v>3409</v>
      </c>
      <c r="K1783" s="24"/>
      <c r="L1783" s="22" t="s">
        <v>3337</v>
      </c>
      <c r="M1783" s="24"/>
      <c r="N1783" s="24"/>
      <c r="O1783" s="22" t="s">
        <v>1806</v>
      </c>
      <c r="P1783" s="24"/>
      <c r="Q1783" s="22" t="s">
        <v>769</v>
      </c>
      <c r="R1783" s="24"/>
      <c r="S1783" s="24"/>
      <c r="T1783" s="24"/>
      <c r="U1783" s="24"/>
      <c r="V1783" s="30"/>
      <c r="W1783" s="33"/>
      <c r="X1783" s="33"/>
      <c r="Y1783" s="30"/>
      <c r="Z1783" s="30"/>
      <c r="AA1783" s="33"/>
      <c r="AB1783" s="33"/>
      <c r="AC1783" s="30"/>
      <c r="AD1783" s="30"/>
      <c r="AE1783" s="33"/>
      <c r="AF1783" s="31"/>
      <c r="AG1783" s="30"/>
      <c r="AH1783" s="30"/>
      <c r="AI1783" s="31"/>
      <c r="AJ1783" s="31"/>
      <c r="AK1783" s="32"/>
    </row>
    <row r="1784">
      <c r="A1784" s="21" t="s">
        <v>1832</v>
      </c>
      <c r="B1784" s="22" t="s">
        <v>2169</v>
      </c>
      <c r="C1784" s="22" t="s">
        <v>82</v>
      </c>
      <c r="D1784" s="26">
        <v>45997.0</v>
      </c>
      <c r="E1784" s="22" t="s">
        <v>177</v>
      </c>
      <c r="F1784" s="22" t="s">
        <v>698</v>
      </c>
      <c r="G1784" s="22" t="s">
        <v>3410</v>
      </c>
      <c r="H1784" s="22" t="s">
        <v>1832</v>
      </c>
      <c r="I1784" s="22">
        <v>1.0483580404035E13</v>
      </c>
      <c r="J1784" s="22" t="s">
        <v>2973</v>
      </c>
      <c r="K1784" s="24"/>
      <c r="L1784" s="22" t="s">
        <v>1834</v>
      </c>
      <c r="M1784" s="22">
        <v>1.0</v>
      </c>
      <c r="N1784" s="22" t="s">
        <v>702</v>
      </c>
      <c r="O1784" s="22" t="s">
        <v>703</v>
      </c>
      <c r="P1784" s="24"/>
      <c r="Q1784" s="22" t="s">
        <v>90</v>
      </c>
      <c r="R1784" s="22">
        <v>3.2805445337411E13</v>
      </c>
      <c r="S1784" s="24"/>
      <c r="T1784" s="24"/>
      <c r="U1784" s="24"/>
      <c r="V1784" s="30" t="s">
        <v>91</v>
      </c>
      <c r="W1784" s="33"/>
      <c r="X1784" s="33"/>
      <c r="Y1784" s="30"/>
      <c r="Z1784" s="30"/>
      <c r="AA1784" s="33"/>
      <c r="AB1784" s="33"/>
      <c r="AC1784" s="30"/>
      <c r="AD1784" s="30"/>
      <c r="AE1784" s="33"/>
      <c r="AF1784" s="31"/>
      <c r="AG1784" s="30"/>
      <c r="AH1784" s="30"/>
      <c r="AI1784" s="31"/>
      <c r="AJ1784" s="31"/>
      <c r="AK1784" s="32"/>
    </row>
    <row r="1785">
      <c r="A1785" s="21" t="s">
        <v>859</v>
      </c>
      <c r="B1785" s="22" t="s">
        <v>3411</v>
      </c>
      <c r="C1785" s="22" t="s">
        <v>82</v>
      </c>
      <c r="D1785" s="26">
        <v>45997.0</v>
      </c>
      <c r="E1785" s="22" t="s">
        <v>622</v>
      </c>
      <c r="F1785" s="22" t="s">
        <v>605</v>
      </c>
      <c r="G1785" s="22" t="s">
        <v>3412</v>
      </c>
      <c r="H1785" s="22" t="s">
        <v>859</v>
      </c>
      <c r="I1785" s="22">
        <v>1.0483651674435E13</v>
      </c>
      <c r="J1785" s="22" t="s">
        <v>3413</v>
      </c>
      <c r="K1785" s="24"/>
      <c r="L1785" s="22" t="s">
        <v>861</v>
      </c>
      <c r="M1785" s="22">
        <v>1.0</v>
      </c>
      <c r="N1785" s="22" t="s">
        <v>609</v>
      </c>
      <c r="O1785" s="22" t="s">
        <v>610</v>
      </c>
      <c r="P1785" s="24"/>
      <c r="Q1785" s="22" t="s">
        <v>90</v>
      </c>
      <c r="R1785" s="22">
        <v>3.2805594988867E13</v>
      </c>
      <c r="S1785" s="24"/>
      <c r="T1785" s="24"/>
      <c r="U1785" s="24"/>
      <c r="V1785" s="30" t="s">
        <v>95</v>
      </c>
      <c r="W1785" s="33"/>
      <c r="X1785" s="33"/>
      <c r="Y1785" s="30"/>
      <c r="Z1785" s="30"/>
      <c r="AA1785" s="33"/>
      <c r="AB1785" s="33"/>
      <c r="AC1785" s="30"/>
      <c r="AD1785" s="30"/>
      <c r="AE1785" s="33"/>
      <c r="AF1785" s="31"/>
      <c r="AG1785" s="30"/>
      <c r="AH1785" s="30"/>
      <c r="AI1785" s="31"/>
      <c r="AJ1785" s="31"/>
      <c r="AK1785" s="32"/>
    </row>
    <row r="1786">
      <c r="A1786" s="21" t="s">
        <v>538</v>
      </c>
      <c r="B1786" s="22" t="s">
        <v>1364</v>
      </c>
      <c r="C1786" s="22" t="s">
        <v>273</v>
      </c>
      <c r="D1786" s="26">
        <v>45998.0</v>
      </c>
      <c r="E1786" s="22" t="s">
        <v>138</v>
      </c>
      <c r="F1786" s="22" t="s">
        <v>369</v>
      </c>
      <c r="G1786" s="22" t="s">
        <v>3414</v>
      </c>
      <c r="H1786" s="22" t="s">
        <v>538</v>
      </c>
      <c r="I1786" s="22">
        <v>1.0483656393027E13</v>
      </c>
      <c r="J1786" s="22" t="s">
        <v>2992</v>
      </c>
      <c r="K1786" s="24"/>
      <c r="L1786" s="22" t="s">
        <v>542</v>
      </c>
      <c r="M1786" s="22">
        <v>1.0</v>
      </c>
      <c r="N1786" s="22" t="s">
        <v>373</v>
      </c>
      <c r="O1786" s="22" t="s">
        <v>374</v>
      </c>
      <c r="P1786" s="24"/>
      <c r="Q1786" s="22" t="s">
        <v>90</v>
      </c>
      <c r="R1786" s="22">
        <v>3.2805604524355E13</v>
      </c>
      <c r="S1786" s="24"/>
      <c r="T1786" s="24"/>
      <c r="U1786" s="24"/>
      <c r="V1786" s="30" t="s">
        <v>91</v>
      </c>
      <c r="W1786" s="33"/>
      <c r="X1786" s="33"/>
      <c r="Y1786" s="30"/>
      <c r="Z1786" s="30"/>
      <c r="AA1786" s="33"/>
      <c r="AB1786" s="33"/>
      <c r="AC1786" s="30"/>
      <c r="AD1786" s="30"/>
      <c r="AE1786" s="33"/>
      <c r="AF1786" s="31"/>
      <c r="AG1786" s="30"/>
      <c r="AH1786" s="30"/>
      <c r="AI1786" s="31"/>
      <c r="AJ1786" s="31"/>
      <c r="AK1786" s="32"/>
    </row>
    <row r="1787">
      <c r="A1787" s="21" t="s">
        <v>99</v>
      </c>
      <c r="B1787" s="22" t="s">
        <v>2471</v>
      </c>
      <c r="C1787" s="22" t="s">
        <v>202</v>
      </c>
      <c r="D1787" s="26">
        <v>45996.0</v>
      </c>
      <c r="E1787" s="22" t="s">
        <v>248</v>
      </c>
      <c r="F1787" s="22" t="s">
        <v>83</v>
      </c>
      <c r="G1787" s="22" t="s">
        <v>3415</v>
      </c>
      <c r="H1787" s="22" t="s">
        <v>99</v>
      </c>
      <c r="I1787" s="22">
        <v>1.0483657900355E13</v>
      </c>
      <c r="J1787" s="22" t="s">
        <v>3416</v>
      </c>
      <c r="K1787" s="24"/>
      <c r="L1787" s="22" t="s">
        <v>102</v>
      </c>
      <c r="M1787" s="22">
        <v>1.0</v>
      </c>
      <c r="N1787" s="22" t="s">
        <v>103</v>
      </c>
      <c r="O1787" s="22" t="s">
        <v>104</v>
      </c>
      <c r="P1787" s="24"/>
      <c r="Q1787" s="22" t="s">
        <v>90</v>
      </c>
      <c r="R1787" s="22">
        <v>3.2805607899459E13</v>
      </c>
      <c r="S1787" s="24"/>
      <c r="T1787" s="24"/>
      <c r="U1787" s="24"/>
      <c r="V1787" s="30" t="s">
        <v>105</v>
      </c>
      <c r="W1787" s="33"/>
      <c r="X1787" s="33"/>
      <c r="Y1787" s="30"/>
      <c r="Z1787" s="30"/>
      <c r="AA1787" s="33"/>
      <c r="AB1787" s="33"/>
      <c r="AC1787" s="30"/>
      <c r="AD1787" s="30"/>
      <c r="AE1787" s="33"/>
      <c r="AF1787" s="31"/>
      <c r="AG1787" s="30"/>
      <c r="AH1787" s="30"/>
      <c r="AI1787" s="31"/>
      <c r="AJ1787" s="31"/>
      <c r="AK1787" s="32"/>
    </row>
    <row r="1788">
      <c r="A1788" s="21" t="s">
        <v>1617</v>
      </c>
      <c r="B1788" s="22" t="s">
        <v>3417</v>
      </c>
      <c r="C1788" s="22" t="s">
        <v>82</v>
      </c>
      <c r="D1788" s="26">
        <v>45997.0</v>
      </c>
      <c r="E1788" s="22" t="s">
        <v>248</v>
      </c>
      <c r="F1788" s="22" t="s">
        <v>1466</v>
      </c>
      <c r="G1788" s="22" t="s">
        <v>3418</v>
      </c>
      <c r="H1788" s="22" t="s">
        <v>1617</v>
      </c>
      <c r="I1788" s="22">
        <v>1.0483676938563E13</v>
      </c>
      <c r="J1788" s="22" t="s">
        <v>3419</v>
      </c>
      <c r="K1788" s="24"/>
      <c r="L1788" s="22" t="s">
        <v>1621</v>
      </c>
      <c r="M1788" s="22">
        <v>1.0</v>
      </c>
      <c r="N1788" s="22" t="s">
        <v>1470</v>
      </c>
      <c r="O1788" s="22" t="s">
        <v>1471</v>
      </c>
      <c r="P1788" s="24"/>
      <c r="Q1788" s="22" t="s">
        <v>90</v>
      </c>
      <c r="R1788" s="22">
        <v>3.2805650202947E13</v>
      </c>
      <c r="S1788" s="24"/>
      <c r="T1788" s="24"/>
      <c r="U1788" s="24"/>
      <c r="V1788" s="30" t="s">
        <v>95</v>
      </c>
      <c r="W1788" s="33"/>
      <c r="X1788" s="33"/>
      <c r="Y1788" s="30"/>
      <c r="Z1788" s="30"/>
      <c r="AA1788" s="33"/>
      <c r="AB1788" s="33"/>
      <c r="AC1788" s="30"/>
      <c r="AD1788" s="30"/>
      <c r="AE1788" s="33"/>
      <c r="AF1788" s="31"/>
      <c r="AG1788" s="30"/>
      <c r="AH1788" s="30"/>
      <c r="AI1788" s="31"/>
      <c r="AJ1788" s="31"/>
      <c r="AK1788" s="32"/>
    </row>
    <row r="1789">
      <c r="A1789" s="21" t="s">
        <v>569</v>
      </c>
      <c r="B1789" s="22" t="s">
        <v>471</v>
      </c>
      <c r="C1789" s="22" t="s">
        <v>82</v>
      </c>
      <c r="D1789" s="26">
        <v>45997.0</v>
      </c>
      <c r="E1789" s="22" t="s">
        <v>134</v>
      </c>
      <c r="F1789" s="22" t="s">
        <v>472</v>
      </c>
      <c r="G1789" s="22" t="s">
        <v>3420</v>
      </c>
      <c r="H1789" s="22" t="s">
        <v>569</v>
      </c>
      <c r="I1789" s="22">
        <v>1.0483778355523E13</v>
      </c>
      <c r="J1789" s="22" t="s">
        <v>3019</v>
      </c>
      <c r="K1789" s="24"/>
      <c r="L1789" s="22" t="s">
        <v>571</v>
      </c>
      <c r="M1789" s="22">
        <v>1.0</v>
      </c>
      <c r="N1789" s="22" t="s">
        <v>534</v>
      </c>
      <c r="O1789" s="22" t="s">
        <v>535</v>
      </c>
      <c r="P1789" s="24"/>
      <c r="Q1789" s="22" t="s">
        <v>90</v>
      </c>
      <c r="R1789" s="22">
        <v>3.2805870731587E13</v>
      </c>
      <c r="S1789" s="24"/>
      <c r="T1789" s="24"/>
      <c r="U1789" s="24"/>
      <c r="V1789" s="30" t="s">
        <v>105</v>
      </c>
      <c r="W1789" s="33"/>
      <c r="X1789" s="33"/>
      <c r="Y1789" s="30"/>
      <c r="Z1789" s="30"/>
      <c r="AA1789" s="33"/>
      <c r="AB1789" s="33"/>
      <c r="AC1789" s="30"/>
      <c r="AD1789" s="30"/>
      <c r="AE1789" s="33"/>
      <c r="AF1789" s="31"/>
      <c r="AG1789" s="30"/>
      <c r="AH1789" s="30"/>
      <c r="AI1789" s="31"/>
      <c r="AJ1789" s="31"/>
      <c r="AK1789" s="32"/>
    </row>
    <row r="1790">
      <c r="A1790" s="21" t="s">
        <v>470</v>
      </c>
      <c r="B1790" s="22" t="s">
        <v>516</v>
      </c>
      <c r="C1790" s="22" t="s">
        <v>273</v>
      </c>
      <c r="D1790" s="26">
        <v>45998.0</v>
      </c>
      <c r="E1790" s="22" t="s">
        <v>134</v>
      </c>
      <c r="F1790" s="22" t="s">
        <v>472</v>
      </c>
      <c r="G1790" s="22" t="s">
        <v>3421</v>
      </c>
      <c r="H1790" s="22" t="s">
        <v>470</v>
      </c>
      <c r="I1790" s="22">
        <v>1.0483785793859E13</v>
      </c>
      <c r="J1790" s="22" t="s">
        <v>3030</v>
      </c>
      <c r="K1790" s="24"/>
      <c r="L1790" s="22" t="s">
        <v>475</v>
      </c>
      <c r="M1790" s="22">
        <v>1.0</v>
      </c>
      <c r="N1790" s="22" t="s">
        <v>476</v>
      </c>
      <c r="O1790" s="22" t="s">
        <v>477</v>
      </c>
      <c r="P1790" s="24"/>
      <c r="Q1790" s="22" t="s">
        <v>90</v>
      </c>
      <c r="R1790" s="22">
        <v>3.2805886132547E13</v>
      </c>
      <c r="S1790" s="24"/>
      <c r="T1790" s="24"/>
      <c r="U1790" s="24"/>
      <c r="V1790" s="30" t="s">
        <v>91</v>
      </c>
      <c r="W1790" s="33"/>
      <c r="X1790" s="33"/>
      <c r="Y1790" s="30"/>
      <c r="Z1790" s="30"/>
      <c r="AA1790" s="33"/>
      <c r="AB1790" s="33"/>
      <c r="AC1790" s="30"/>
      <c r="AD1790" s="30"/>
      <c r="AE1790" s="33"/>
      <c r="AF1790" s="31"/>
      <c r="AG1790" s="30"/>
      <c r="AH1790" s="30"/>
      <c r="AI1790" s="31"/>
      <c r="AJ1790" s="31"/>
      <c r="AK1790" s="32"/>
    </row>
    <row r="1791">
      <c r="A1791" s="21" t="s">
        <v>611</v>
      </c>
      <c r="B1791" s="22" t="s">
        <v>424</v>
      </c>
      <c r="C1791" s="22" t="s">
        <v>273</v>
      </c>
      <c r="D1791" s="26">
        <v>45998.0</v>
      </c>
      <c r="E1791" s="22" t="s">
        <v>134</v>
      </c>
      <c r="F1791" s="22" t="s">
        <v>369</v>
      </c>
      <c r="G1791" s="22" t="s">
        <v>3422</v>
      </c>
      <c r="H1791" s="22" t="s">
        <v>611</v>
      </c>
      <c r="I1791" s="22">
        <v>1.0483844776259E13</v>
      </c>
      <c r="J1791" s="22" t="s">
        <v>2948</v>
      </c>
      <c r="K1791" s="24"/>
      <c r="L1791" s="22" t="s">
        <v>613</v>
      </c>
      <c r="M1791" s="22">
        <v>1.0</v>
      </c>
      <c r="N1791" s="22" t="s">
        <v>600</v>
      </c>
      <c r="O1791" s="22" t="s">
        <v>601</v>
      </c>
      <c r="P1791" s="24"/>
      <c r="Q1791" s="22" t="s">
        <v>90</v>
      </c>
      <c r="R1791" s="22">
        <v>3.2806013665603E13</v>
      </c>
      <c r="S1791" s="24"/>
      <c r="T1791" s="24"/>
      <c r="U1791" s="24"/>
      <c r="V1791" s="30" t="s">
        <v>105</v>
      </c>
      <c r="W1791" s="33"/>
      <c r="X1791" s="33"/>
      <c r="Y1791" s="30"/>
      <c r="Z1791" s="30"/>
      <c r="AA1791" s="33"/>
      <c r="AB1791" s="33"/>
      <c r="AC1791" s="30"/>
      <c r="AD1791" s="30"/>
      <c r="AE1791" s="33"/>
      <c r="AF1791" s="31"/>
      <c r="AG1791" s="30"/>
      <c r="AH1791" s="30"/>
      <c r="AI1791" s="31"/>
      <c r="AJ1791" s="31"/>
      <c r="AK1791" s="32"/>
    </row>
    <row r="1792">
      <c r="A1792" s="21" t="s">
        <v>488</v>
      </c>
      <c r="B1792" s="22" t="s">
        <v>2456</v>
      </c>
      <c r="C1792" s="22" t="s">
        <v>202</v>
      </c>
      <c r="D1792" s="23">
        <v>46003.0</v>
      </c>
      <c r="E1792" s="22" t="s">
        <v>196</v>
      </c>
      <c r="F1792" s="22" t="s">
        <v>311</v>
      </c>
      <c r="G1792" s="22" t="s">
        <v>3423</v>
      </c>
      <c r="H1792" s="22" t="s">
        <v>488</v>
      </c>
      <c r="I1792" s="22">
        <v>1.0483848708419E13</v>
      </c>
      <c r="J1792" s="22" t="s">
        <v>3424</v>
      </c>
      <c r="K1792" s="24"/>
      <c r="L1792" s="22" t="s">
        <v>492</v>
      </c>
      <c r="M1792" s="22">
        <v>1.0</v>
      </c>
      <c r="N1792" s="22" t="s">
        <v>391</v>
      </c>
      <c r="O1792" s="22" t="s">
        <v>392</v>
      </c>
      <c r="P1792" s="24"/>
      <c r="Q1792" s="22" t="s">
        <v>90</v>
      </c>
      <c r="R1792" s="22">
        <v>3.2806021595459E13</v>
      </c>
      <c r="S1792" s="24"/>
      <c r="T1792" s="24"/>
      <c r="U1792" s="24"/>
      <c r="V1792" s="30" t="s">
        <v>95</v>
      </c>
      <c r="W1792" s="33"/>
      <c r="X1792" s="33"/>
      <c r="Y1792" s="30"/>
      <c r="Z1792" s="30"/>
      <c r="AA1792" s="33"/>
      <c r="AB1792" s="33"/>
      <c r="AC1792" s="30"/>
      <c r="AD1792" s="30"/>
      <c r="AE1792" s="33"/>
      <c r="AF1792" s="31"/>
      <c r="AG1792" s="30"/>
      <c r="AH1792" s="30"/>
      <c r="AI1792" s="31"/>
      <c r="AJ1792" s="31"/>
      <c r="AK1792" s="32"/>
    </row>
    <row r="1793">
      <c r="A1793" s="21" t="s">
        <v>950</v>
      </c>
      <c r="B1793" s="22" t="s">
        <v>697</v>
      </c>
      <c r="C1793" s="22" t="s">
        <v>82</v>
      </c>
      <c r="D1793" s="26">
        <v>45997.0</v>
      </c>
      <c r="E1793" s="22" t="s">
        <v>439</v>
      </c>
      <c r="F1793" s="22" t="s">
        <v>698</v>
      </c>
      <c r="G1793" s="22" t="s">
        <v>3425</v>
      </c>
      <c r="H1793" s="22" t="s">
        <v>950</v>
      </c>
      <c r="I1793" s="22">
        <v>1.0483919814979E13</v>
      </c>
      <c r="J1793" s="22" t="s">
        <v>3385</v>
      </c>
      <c r="K1793" s="24"/>
      <c r="L1793" s="22" t="s">
        <v>952</v>
      </c>
      <c r="M1793" s="22">
        <v>1.0</v>
      </c>
      <c r="N1793" s="22" t="s">
        <v>702</v>
      </c>
      <c r="O1793" s="22" t="s">
        <v>703</v>
      </c>
      <c r="P1793" s="24"/>
      <c r="Q1793" s="22" t="s">
        <v>90</v>
      </c>
      <c r="R1793" s="22">
        <v>3.2806184157507E13</v>
      </c>
      <c r="S1793" s="24"/>
      <c r="T1793" s="24"/>
      <c r="U1793" s="24"/>
      <c r="V1793" s="30" t="s">
        <v>54</v>
      </c>
      <c r="W1793" s="33"/>
      <c r="X1793" s="33"/>
      <c r="Y1793" s="30"/>
      <c r="Z1793" s="30"/>
      <c r="AA1793" s="33"/>
      <c r="AB1793" s="33"/>
      <c r="AC1793" s="30"/>
      <c r="AD1793" s="30"/>
      <c r="AE1793" s="33"/>
      <c r="AF1793" s="31"/>
      <c r="AG1793" s="30"/>
      <c r="AH1793" s="30"/>
      <c r="AI1793" s="31"/>
      <c r="AJ1793" s="31"/>
      <c r="AK1793" s="32"/>
    </row>
    <row r="1794">
      <c r="A1794" s="21" t="s">
        <v>649</v>
      </c>
      <c r="B1794" s="22" t="s">
        <v>3426</v>
      </c>
      <c r="C1794" s="22" t="s">
        <v>82</v>
      </c>
      <c r="D1794" s="26">
        <v>45997.0</v>
      </c>
      <c r="E1794" s="22" t="s">
        <v>2266</v>
      </c>
      <c r="F1794" s="22" t="s">
        <v>319</v>
      </c>
      <c r="G1794" s="22" t="s">
        <v>3427</v>
      </c>
      <c r="H1794" s="22" t="s">
        <v>649</v>
      </c>
      <c r="I1794" s="22">
        <v>1.0484015137091E13</v>
      </c>
      <c r="J1794" s="22" t="s">
        <v>3428</v>
      </c>
      <c r="K1794" s="24"/>
      <c r="L1794" s="22" t="s">
        <v>651</v>
      </c>
      <c r="M1794" s="22">
        <v>1.0</v>
      </c>
      <c r="N1794" s="22" t="s">
        <v>323</v>
      </c>
      <c r="O1794" s="22" t="s">
        <v>324</v>
      </c>
      <c r="P1794" s="24"/>
      <c r="Q1794" s="22" t="s">
        <v>90</v>
      </c>
      <c r="R1794" s="22">
        <v>3.2806398230851E13</v>
      </c>
      <c r="S1794" s="24"/>
      <c r="T1794" s="24"/>
      <c r="U1794" s="24"/>
      <c r="V1794" s="30" t="s">
        <v>91</v>
      </c>
      <c r="W1794" s="33"/>
      <c r="X1794" s="33"/>
      <c r="Y1794" s="30"/>
      <c r="Z1794" s="30"/>
      <c r="AA1794" s="33"/>
      <c r="AB1794" s="33"/>
      <c r="AC1794" s="30"/>
      <c r="AD1794" s="30"/>
      <c r="AE1794" s="33"/>
      <c r="AF1794" s="31"/>
      <c r="AG1794" s="30"/>
      <c r="AH1794" s="30"/>
      <c r="AI1794" s="31"/>
      <c r="AJ1794" s="31"/>
      <c r="AK1794" s="32"/>
    </row>
    <row r="1795">
      <c r="A1795" s="21" t="s">
        <v>141</v>
      </c>
      <c r="B1795" s="22" t="s">
        <v>1352</v>
      </c>
      <c r="C1795" s="22" t="s">
        <v>82</v>
      </c>
      <c r="D1795" s="26">
        <v>45997.0</v>
      </c>
      <c r="E1795" s="22" t="s">
        <v>153</v>
      </c>
      <c r="F1795" s="22" t="s">
        <v>83</v>
      </c>
      <c r="G1795" s="22" t="s">
        <v>3429</v>
      </c>
      <c r="H1795" s="22" t="s">
        <v>141</v>
      </c>
      <c r="I1795" s="22">
        <v>1.0484024508739E13</v>
      </c>
      <c r="J1795" s="22" t="s">
        <v>2950</v>
      </c>
      <c r="K1795" s="24"/>
      <c r="L1795" s="22" t="s">
        <v>143</v>
      </c>
      <c r="M1795" s="22">
        <v>1.0</v>
      </c>
      <c r="N1795" s="22" t="s">
        <v>87</v>
      </c>
      <c r="O1795" s="22" t="s">
        <v>88</v>
      </c>
      <c r="P1795" s="24"/>
      <c r="Q1795" s="22" t="s">
        <v>90</v>
      </c>
      <c r="R1795" s="22">
        <v>3.2806418743619E13</v>
      </c>
      <c r="S1795" s="24"/>
      <c r="T1795" s="24"/>
      <c r="U1795" s="24"/>
      <c r="V1795" s="30" t="s">
        <v>54</v>
      </c>
      <c r="W1795" s="33"/>
      <c r="X1795" s="33"/>
      <c r="Y1795" s="30"/>
      <c r="Z1795" s="30"/>
      <c r="AA1795" s="33"/>
      <c r="AB1795" s="33"/>
      <c r="AC1795" s="30"/>
      <c r="AD1795" s="30"/>
      <c r="AE1795" s="33"/>
      <c r="AF1795" s="31"/>
      <c r="AG1795" s="30"/>
      <c r="AH1795" s="30"/>
      <c r="AI1795" s="31"/>
      <c r="AJ1795" s="31"/>
      <c r="AK1795" s="32"/>
    </row>
    <row r="1796">
      <c r="A1796" s="21" t="s">
        <v>692</v>
      </c>
      <c r="B1796" s="22" t="s">
        <v>539</v>
      </c>
      <c r="C1796" s="22" t="s">
        <v>273</v>
      </c>
      <c r="D1796" s="26">
        <v>45998.0</v>
      </c>
      <c r="E1796" s="22" t="s">
        <v>149</v>
      </c>
      <c r="F1796" s="22" t="s">
        <v>369</v>
      </c>
      <c r="G1796" s="22" t="s">
        <v>3430</v>
      </c>
      <c r="H1796" s="22" t="s">
        <v>692</v>
      </c>
      <c r="I1796" s="22">
        <v>1.0484069466435E13</v>
      </c>
      <c r="J1796" s="22" t="s">
        <v>566</v>
      </c>
      <c r="K1796" s="24"/>
      <c r="L1796" s="22" t="s">
        <v>694</v>
      </c>
      <c r="M1796" s="22">
        <v>1.0</v>
      </c>
      <c r="N1796" s="22" t="s">
        <v>373</v>
      </c>
      <c r="O1796" s="22" t="s">
        <v>374</v>
      </c>
      <c r="P1796" s="24"/>
      <c r="Q1796" s="22" t="s">
        <v>90</v>
      </c>
      <c r="R1796" s="22">
        <v>3.2806520160579E13</v>
      </c>
      <c r="S1796" s="24"/>
      <c r="T1796" s="24"/>
      <c r="U1796" s="24"/>
      <c r="V1796" s="30" t="s">
        <v>54</v>
      </c>
      <c r="W1796" s="33"/>
      <c r="X1796" s="33"/>
      <c r="Y1796" s="30"/>
      <c r="Z1796" s="30"/>
      <c r="AA1796" s="33"/>
      <c r="AB1796" s="33"/>
      <c r="AC1796" s="30"/>
      <c r="AD1796" s="30"/>
      <c r="AE1796" s="33"/>
      <c r="AF1796" s="31"/>
      <c r="AG1796" s="30"/>
      <c r="AH1796" s="30"/>
      <c r="AI1796" s="31"/>
      <c r="AJ1796" s="31"/>
      <c r="AK1796" s="32"/>
    </row>
    <row r="1797">
      <c r="A1797" s="21" t="s">
        <v>141</v>
      </c>
      <c r="B1797" s="22" t="s">
        <v>3431</v>
      </c>
      <c r="C1797" s="22" t="s">
        <v>202</v>
      </c>
      <c r="D1797" s="23">
        <v>46003.0</v>
      </c>
      <c r="E1797" s="22" t="s">
        <v>153</v>
      </c>
      <c r="F1797" s="22" t="s">
        <v>83</v>
      </c>
      <c r="G1797" s="22" t="s">
        <v>3432</v>
      </c>
      <c r="H1797" s="22" t="s">
        <v>141</v>
      </c>
      <c r="I1797" s="22">
        <v>1.0484086341955E13</v>
      </c>
      <c r="J1797" s="22" t="s">
        <v>3433</v>
      </c>
      <c r="K1797" s="24"/>
      <c r="L1797" s="22" t="s">
        <v>143</v>
      </c>
      <c r="M1797" s="22">
        <v>1.0</v>
      </c>
      <c r="N1797" s="22" t="s">
        <v>87</v>
      </c>
      <c r="O1797" s="22" t="s">
        <v>88</v>
      </c>
      <c r="P1797" s="24"/>
      <c r="Q1797" s="22" t="s">
        <v>90</v>
      </c>
      <c r="R1797" s="22">
        <v>3.2806557942083E13</v>
      </c>
      <c r="S1797" s="24"/>
      <c r="T1797" s="24"/>
      <c r="U1797" s="24"/>
      <c r="V1797" s="30" t="s">
        <v>54</v>
      </c>
      <c r="W1797" s="33"/>
      <c r="X1797" s="33"/>
      <c r="Y1797" s="30"/>
      <c r="Z1797" s="30"/>
      <c r="AA1797" s="33"/>
      <c r="AB1797" s="33"/>
      <c r="AC1797" s="30"/>
      <c r="AD1797" s="30"/>
      <c r="AE1797" s="33"/>
      <c r="AF1797" s="31"/>
      <c r="AG1797" s="30"/>
      <c r="AH1797" s="30"/>
      <c r="AI1797" s="31"/>
      <c r="AJ1797" s="31"/>
      <c r="AK1797" s="32"/>
    </row>
    <row r="1798">
      <c r="A1798" s="21" t="s">
        <v>1703</v>
      </c>
      <c r="B1798" s="22" t="s">
        <v>3338</v>
      </c>
      <c r="C1798" s="22" t="s">
        <v>82</v>
      </c>
      <c r="D1798" s="26">
        <v>45997.0</v>
      </c>
      <c r="E1798" s="22" t="s">
        <v>149</v>
      </c>
      <c r="F1798" s="22" t="s">
        <v>278</v>
      </c>
      <c r="G1798" s="22" t="s">
        <v>3434</v>
      </c>
      <c r="H1798" s="22" t="s">
        <v>1703</v>
      </c>
      <c r="I1798" s="22">
        <v>1.0484102955331E13</v>
      </c>
      <c r="J1798" s="22" t="s">
        <v>3340</v>
      </c>
      <c r="K1798" s="24"/>
      <c r="L1798" s="22" t="s">
        <v>1705</v>
      </c>
      <c r="M1798" s="22">
        <v>1.0</v>
      </c>
      <c r="N1798" s="22" t="s">
        <v>351</v>
      </c>
      <c r="O1798" s="22" t="s">
        <v>352</v>
      </c>
      <c r="P1798" s="24"/>
      <c r="Q1798" s="22" t="s">
        <v>90</v>
      </c>
      <c r="R1798" s="22">
        <v>3.2806593462595E13</v>
      </c>
      <c r="S1798" s="24"/>
      <c r="T1798" s="24"/>
      <c r="U1798" s="24"/>
      <c r="V1798" s="30" t="s">
        <v>105</v>
      </c>
      <c r="W1798" s="33"/>
      <c r="X1798" s="33"/>
      <c r="Y1798" s="30"/>
      <c r="Z1798" s="30"/>
      <c r="AA1798" s="33"/>
      <c r="AB1798" s="33"/>
      <c r="AC1798" s="30"/>
      <c r="AD1798" s="30"/>
      <c r="AE1798" s="33"/>
      <c r="AF1798" s="31"/>
      <c r="AG1798" s="30"/>
      <c r="AH1798" s="30"/>
      <c r="AI1798" s="31"/>
      <c r="AJ1798" s="31"/>
      <c r="AK1798" s="32"/>
    </row>
    <row r="1799">
      <c r="A1799" s="21" t="s">
        <v>732</v>
      </c>
      <c r="B1799" s="22" t="s">
        <v>3435</v>
      </c>
      <c r="C1799" s="22" t="s">
        <v>82</v>
      </c>
      <c r="D1799" s="26">
        <v>45997.0</v>
      </c>
      <c r="E1799" s="22" t="s">
        <v>1131</v>
      </c>
      <c r="F1799" s="22" t="s">
        <v>634</v>
      </c>
      <c r="G1799" s="22" t="s">
        <v>3436</v>
      </c>
      <c r="H1799" s="22" t="s">
        <v>732</v>
      </c>
      <c r="I1799" s="22">
        <v>1.0484269613379E13</v>
      </c>
      <c r="J1799" s="22" t="s">
        <v>3437</v>
      </c>
      <c r="K1799" s="24"/>
      <c r="L1799" s="22" t="s">
        <v>737</v>
      </c>
      <c r="M1799" s="22">
        <v>1.0</v>
      </c>
      <c r="N1799" s="22" t="s">
        <v>738</v>
      </c>
      <c r="O1799" s="22" t="s">
        <v>739</v>
      </c>
      <c r="P1799" s="24"/>
      <c r="Q1799" s="22" t="s">
        <v>90</v>
      </c>
      <c r="R1799" s="22">
        <v>3.2806964298051E13</v>
      </c>
      <c r="S1799" s="24"/>
      <c r="T1799" s="24"/>
      <c r="U1799" s="24"/>
      <c r="V1799" s="30" t="s">
        <v>105</v>
      </c>
      <c r="W1799" s="33"/>
      <c r="X1799" s="33"/>
      <c r="Y1799" s="30"/>
      <c r="Z1799" s="30"/>
      <c r="AA1799" s="33"/>
      <c r="AB1799" s="33"/>
      <c r="AC1799" s="30"/>
      <c r="AD1799" s="30"/>
      <c r="AE1799" s="33"/>
      <c r="AF1799" s="31"/>
      <c r="AG1799" s="30"/>
      <c r="AH1799" s="30"/>
      <c r="AI1799" s="31"/>
      <c r="AJ1799" s="31"/>
      <c r="AK1799" s="32"/>
    </row>
    <row r="1800">
      <c r="A1800" s="21" t="s">
        <v>99</v>
      </c>
      <c r="B1800" s="22" t="s">
        <v>3438</v>
      </c>
      <c r="C1800" s="22" t="s">
        <v>287</v>
      </c>
      <c r="D1800" s="23">
        <v>46001.0</v>
      </c>
      <c r="E1800" s="22" t="s">
        <v>192</v>
      </c>
      <c r="F1800" s="22" t="s">
        <v>83</v>
      </c>
      <c r="G1800" s="22" t="s">
        <v>3439</v>
      </c>
      <c r="H1800" s="22" t="s">
        <v>99</v>
      </c>
      <c r="I1800" s="22">
        <v>1.0484300546371E13</v>
      </c>
      <c r="J1800" s="22" t="s">
        <v>3440</v>
      </c>
      <c r="K1800" s="24"/>
      <c r="L1800" s="22" t="s">
        <v>102</v>
      </c>
      <c r="M1800" s="22">
        <v>1.0</v>
      </c>
      <c r="N1800" s="22" t="s">
        <v>103</v>
      </c>
      <c r="O1800" s="22" t="s">
        <v>104</v>
      </c>
      <c r="P1800" s="24"/>
      <c r="Q1800" s="22" t="s">
        <v>90</v>
      </c>
      <c r="R1800" s="22">
        <v>3.2807033798979E13</v>
      </c>
      <c r="S1800" s="24"/>
      <c r="T1800" s="24"/>
      <c r="U1800" s="24"/>
      <c r="V1800" s="30" t="s">
        <v>105</v>
      </c>
      <c r="W1800" s="33"/>
      <c r="X1800" s="33"/>
      <c r="Y1800" s="30"/>
      <c r="Z1800" s="30"/>
      <c r="AA1800" s="33"/>
      <c r="AB1800" s="33"/>
      <c r="AC1800" s="30"/>
      <c r="AD1800" s="30"/>
      <c r="AE1800" s="33"/>
      <c r="AF1800" s="31"/>
      <c r="AG1800" s="30"/>
      <c r="AH1800" s="30"/>
      <c r="AI1800" s="31"/>
      <c r="AJ1800" s="31"/>
      <c r="AK1800" s="32"/>
    </row>
    <row r="1801">
      <c r="A1801" s="21" t="s">
        <v>885</v>
      </c>
      <c r="B1801" s="22" t="s">
        <v>1510</v>
      </c>
      <c r="C1801" s="22" t="s">
        <v>82</v>
      </c>
      <c r="D1801" s="26">
        <v>45997.0</v>
      </c>
      <c r="E1801" s="22" t="s">
        <v>266</v>
      </c>
      <c r="F1801" s="22" t="s">
        <v>605</v>
      </c>
      <c r="G1801" s="22" t="s">
        <v>3441</v>
      </c>
      <c r="H1801" s="22" t="s">
        <v>885</v>
      </c>
      <c r="I1801" s="22">
        <v>1.0484300906819E13</v>
      </c>
      <c r="J1801" s="22" t="s">
        <v>3111</v>
      </c>
      <c r="K1801" s="24"/>
      <c r="L1801" s="22" t="s">
        <v>890</v>
      </c>
      <c r="M1801" s="22">
        <v>1.0</v>
      </c>
      <c r="N1801" s="22" t="s">
        <v>795</v>
      </c>
      <c r="O1801" s="22" t="s">
        <v>796</v>
      </c>
      <c r="P1801" s="24"/>
      <c r="Q1801" s="22" t="s">
        <v>90</v>
      </c>
      <c r="R1801" s="22">
        <v>3.2807034650947E13</v>
      </c>
      <c r="S1801" s="24"/>
      <c r="T1801" s="24"/>
      <c r="U1801" s="24"/>
      <c r="V1801" s="30" t="s">
        <v>127</v>
      </c>
      <c r="W1801" s="33"/>
      <c r="X1801" s="33"/>
      <c r="Y1801" s="30"/>
      <c r="Z1801" s="30"/>
      <c r="AA1801" s="33"/>
      <c r="AB1801" s="33"/>
      <c r="AC1801" s="30"/>
      <c r="AD1801" s="30"/>
      <c r="AE1801" s="33"/>
      <c r="AF1801" s="31"/>
      <c r="AG1801" s="30"/>
      <c r="AH1801" s="30"/>
      <c r="AI1801" s="31"/>
      <c r="AJ1801" s="31"/>
      <c r="AK1801" s="32"/>
    </row>
    <row r="1802">
      <c r="A1802" s="21" t="s">
        <v>124</v>
      </c>
      <c r="B1802" s="22" t="s">
        <v>1912</v>
      </c>
      <c r="C1802" s="22" t="s">
        <v>202</v>
      </c>
      <c r="D1802" s="26">
        <v>45996.0</v>
      </c>
      <c r="E1802" s="22" t="s">
        <v>153</v>
      </c>
      <c r="F1802" s="22" t="s">
        <v>83</v>
      </c>
      <c r="G1802" s="22" t="s">
        <v>3442</v>
      </c>
      <c r="H1802" s="22" t="s">
        <v>124</v>
      </c>
      <c r="I1802" s="22">
        <v>1.0484355137859E13</v>
      </c>
      <c r="J1802" s="22" t="s">
        <v>757</v>
      </c>
      <c r="K1802" s="24"/>
      <c r="L1802" s="22" t="s">
        <v>126</v>
      </c>
      <c r="M1802" s="22">
        <v>1.0</v>
      </c>
      <c r="N1802" s="22" t="s">
        <v>103</v>
      </c>
      <c r="O1802" s="22" t="s">
        <v>104</v>
      </c>
      <c r="P1802" s="24"/>
      <c r="Q1802" s="22" t="s">
        <v>90</v>
      </c>
      <c r="R1802" s="22">
        <v>3.2807161069891E13</v>
      </c>
      <c r="S1802" s="24"/>
      <c r="T1802" s="24"/>
      <c r="U1802" s="24"/>
      <c r="V1802" s="30" t="s">
        <v>127</v>
      </c>
      <c r="W1802" s="33"/>
      <c r="X1802" s="33"/>
      <c r="Y1802" s="30"/>
      <c r="Z1802" s="30"/>
      <c r="AA1802" s="33"/>
      <c r="AB1802" s="33"/>
      <c r="AC1802" s="30"/>
      <c r="AD1802" s="30"/>
      <c r="AE1802" s="33"/>
      <c r="AF1802" s="31"/>
      <c r="AG1802" s="30"/>
      <c r="AH1802" s="30"/>
      <c r="AI1802" s="31"/>
      <c r="AJ1802" s="31"/>
      <c r="AK1802" s="32"/>
    </row>
    <row r="1803">
      <c r="A1803" s="21" t="s">
        <v>1180</v>
      </c>
      <c r="B1803" s="22" t="s">
        <v>1205</v>
      </c>
      <c r="C1803" s="22" t="s">
        <v>273</v>
      </c>
      <c r="D1803" s="26">
        <v>45998.0</v>
      </c>
      <c r="E1803" s="22" t="s">
        <v>149</v>
      </c>
      <c r="F1803" s="22" t="s">
        <v>623</v>
      </c>
      <c r="G1803" s="22" t="s">
        <v>3443</v>
      </c>
      <c r="H1803" s="22" t="s">
        <v>1180</v>
      </c>
      <c r="I1803" s="22">
        <v>1.0484389085507E13</v>
      </c>
      <c r="J1803" s="22" t="s">
        <v>3083</v>
      </c>
      <c r="K1803" s="24"/>
      <c r="L1803" s="22" t="s">
        <v>1182</v>
      </c>
      <c r="M1803" s="22">
        <v>1.0</v>
      </c>
      <c r="N1803" s="22" t="s">
        <v>1088</v>
      </c>
      <c r="O1803" s="22" t="s">
        <v>1089</v>
      </c>
      <c r="P1803" s="24"/>
      <c r="Q1803" s="22" t="s">
        <v>90</v>
      </c>
      <c r="R1803" s="22">
        <v>3.2807238959427E13</v>
      </c>
      <c r="S1803" s="24"/>
      <c r="T1803" s="24"/>
      <c r="U1803" s="24"/>
      <c r="V1803" s="30" t="s">
        <v>105</v>
      </c>
      <c r="W1803" s="33"/>
      <c r="X1803" s="33"/>
      <c r="Y1803" s="30"/>
      <c r="Z1803" s="30"/>
      <c r="AA1803" s="33"/>
      <c r="AB1803" s="33"/>
      <c r="AC1803" s="30"/>
      <c r="AD1803" s="30"/>
      <c r="AE1803" s="33"/>
      <c r="AF1803" s="31"/>
      <c r="AG1803" s="30"/>
      <c r="AH1803" s="30"/>
      <c r="AI1803" s="31"/>
      <c r="AJ1803" s="31"/>
      <c r="AK1803" s="32"/>
    </row>
    <row r="1804">
      <c r="A1804" s="21" t="s">
        <v>484</v>
      </c>
      <c r="B1804" s="22" t="s">
        <v>710</v>
      </c>
      <c r="C1804" s="22" t="s">
        <v>82</v>
      </c>
      <c r="D1804" s="26">
        <v>45997.0</v>
      </c>
      <c r="E1804" s="22" t="s">
        <v>196</v>
      </c>
      <c r="F1804" s="22" t="s">
        <v>311</v>
      </c>
      <c r="G1804" s="22" t="s">
        <v>3444</v>
      </c>
      <c r="H1804" s="22" t="s">
        <v>484</v>
      </c>
      <c r="I1804" s="22">
        <v>1.0484401209667E13</v>
      </c>
      <c r="J1804" s="22" t="s">
        <v>3357</v>
      </c>
      <c r="K1804" s="24"/>
      <c r="L1804" s="22" t="s">
        <v>487</v>
      </c>
      <c r="M1804" s="22">
        <v>1.0</v>
      </c>
      <c r="N1804" s="22" t="s">
        <v>315</v>
      </c>
      <c r="O1804" s="22" t="s">
        <v>316</v>
      </c>
      <c r="P1804" s="24"/>
      <c r="Q1804" s="22" t="s">
        <v>90</v>
      </c>
      <c r="R1804" s="22">
        <v>3.2807268188483E13</v>
      </c>
      <c r="S1804" s="24"/>
      <c r="T1804" s="24"/>
      <c r="U1804" s="24"/>
      <c r="V1804" s="30" t="s">
        <v>127</v>
      </c>
      <c r="W1804" s="33"/>
      <c r="X1804" s="33"/>
      <c r="Y1804" s="30"/>
      <c r="Z1804" s="30"/>
      <c r="AA1804" s="33"/>
      <c r="AB1804" s="33"/>
      <c r="AC1804" s="30"/>
      <c r="AD1804" s="30"/>
      <c r="AE1804" s="33"/>
      <c r="AF1804" s="31"/>
      <c r="AG1804" s="30"/>
      <c r="AH1804" s="30"/>
      <c r="AI1804" s="31"/>
      <c r="AJ1804" s="31"/>
      <c r="AK1804" s="32"/>
    </row>
    <row r="1805">
      <c r="A1805" s="21" t="s">
        <v>1200</v>
      </c>
      <c r="B1805" s="22" t="s">
        <v>277</v>
      </c>
      <c r="C1805" s="22" t="s">
        <v>82</v>
      </c>
      <c r="D1805" s="26">
        <v>45997.0</v>
      </c>
      <c r="E1805" s="22" t="s">
        <v>138</v>
      </c>
      <c r="F1805" s="22" t="s">
        <v>278</v>
      </c>
      <c r="G1805" s="22" t="s">
        <v>3445</v>
      </c>
      <c r="H1805" s="22" t="s">
        <v>1200</v>
      </c>
      <c r="I1805" s="22">
        <v>1.0484519272771E13</v>
      </c>
      <c r="J1805" s="22" t="s">
        <v>554</v>
      </c>
      <c r="K1805" s="24"/>
      <c r="L1805" s="22" t="s">
        <v>1203</v>
      </c>
      <c r="M1805" s="22">
        <v>1.0</v>
      </c>
      <c r="N1805" s="22" t="s">
        <v>282</v>
      </c>
      <c r="O1805" s="22" t="s">
        <v>283</v>
      </c>
      <c r="P1805" s="24"/>
      <c r="Q1805" s="22" t="s">
        <v>90</v>
      </c>
      <c r="R1805" s="22">
        <v>3.2807554482499E13</v>
      </c>
      <c r="S1805" s="24"/>
      <c r="T1805" s="24"/>
      <c r="U1805" s="24"/>
      <c r="V1805" s="30" t="s">
        <v>91</v>
      </c>
      <c r="W1805" s="33"/>
      <c r="X1805" s="33"/>
      <c r="Y1805" s="30"/>
      <c r="Z1805" s="30"/>
      <c r="AA1805" s="33"/>
      <c r="AB1805" s="33"/>
      <c r="AC1805" s="30"/>
      <c r="AD1805" s="30"/>
      <c r="AE1805" s="33"/>
      <c r="AF1805" s="31"/>
      <c r="AG1805" s="30"/>
      <c r="AH1805" s="30"/>
      <c r="AI1805" s="31"/>
      <c r="AJ1805" s="31"/>
      <c r="AK1805" s="32"/>
    </row>
    <row r="1806">
      <c r="A1806" s="21" t="s">
        <v>595</v>
      </c>
      <c r="B1806" s="22" t="s">
        <v>539</v>
      </c>
      <c r="C1806" s="22" t="s">
        <v>273</v>
      </c>
      <c r="D1806" s="26">
        <v>45998.0</v>
      </c>
      <c r="E1806" s="22" t="s">
        <v>149</v>
      </c>
      <c r="F1806" s="22" t="s">
        <v>369</v>
      </c>
      <c r="G1806" s="22" t="s">
        <v>3446</v>
      </c>
      <c r="H1806" s="22" t="s">
        <v>595</v>
      </c>
      <c r="I1806" s="22">
        <v>1.0484573339971E13</v>
      </c>
      <c r="J1806" s="22" t="s">
        <v>566</v>
      </c>
      <c r="K1806" s="24"/>
      <c r="L1806" s="22" t="s">
        <v>599</v>
      </c>
      <c r="M1806" s="22">
        <v>1.0</v>
      </c>
      <c r="N1806" s="22" t="s">
        <v>600</v>
      </c>
      <c r="O1806" s="22" t="s">
        <v>601</v>
      </c>
      <c r="P1806" s="24"/>
      <c r="Q1806" s="22" t="s">
        <v>90</v>
      </c>
      <c r="R1806" s="22">
        <v>3.2807687323971E13</v>
      </c>
      <c r="S1806" s="24"/>
      <c r="T1806" s="24"/>
      <c r="U1806" s="24"/>
      <c r="V1806" s="30" t="s">
        <v>127</v>
      </c>
      <c r="W1806" s="33"/>
      <c r="X1806" s="33"/>
      <c r="Y1806" s="30"/>
      <c r="Z1806" s="30"/>
      <c r="AA1806" s="33"/>
      <c r="AB1806" s="33"/>
      <c r="AC1806" s="30"/>
      <c r="AD1806" s="30"/>
      <c r="AE1806" s="33"/>
      <c r="AF1806" s="31"/>
      <c r="AG1806" s="30"/>
      <c r="AH1806" s="30"/>
      <c r="AI1806" s="31"/>
      <c r="AJ1806" s="31"/>
      <c r="AK1806" s="32"/>
    </row>
    <row r="1807">
      <c r="A1807" s="21" t="s">
        <v>1832</v>
      </c>
      <c r="B1807" s="22" t="s">
        <v>1019</v>
      </c>
      <c r="C1807" s="22" t="s">
        <v>82</v>
      </c>
      <c r="D1807" s="26">
        <v>45997.0</v>
      </c>
      <c r="E1807" s="22" t="s">
        <v>975</v>
      </c>
      <c r="F1807" s="22" t="s">
        <v>698</v>
      </c>
      <c r="G1807" s="22" t="s">
        <v>3447</v>
      </c>
      <c r="H1807" s="22" t="s">
        <v>1832</v>
      </c>
      <c r="I1807" s="22">
        <v>1.0484747239747E13</v>
      </c>
      <c r="J1807" s="22" t="s">
        <v>3127</v>
      </c>
      <c r="K1807" s="24"/>
      <c r="L1807" s="22" t="s">
        <v>1834</v>
      </c>
      <c r="M1807" s="22">
        <v>1.0</v>
      </c>
      <c r="N1807" s="22" t="s">
        <v>702</v>
      </c>
      <c r="O1807" s="22" t="s">
        <v>703</v>
      </c>
      <c r="P1807" s="24"/>
      <c r="Q1807" s="22" t="s">
        <v>90</v>
      </c>
      <c r="R1807" s="22">
        <v>3.2808096104771E13</v>
      </c>
      <c r="S1807" s="24"/>
      <c r="T1807" s="24"/>
      <c r="U1807" s="24"/>
      <c r="V1807" s="30" t="s">
        <v>91</v>
      </c>
      <c r="W1807" s="33"/>
      <c r="X1807" s="33"/>
      <c r="Y1807" s="30"/>
      <c r="Z1807" s="30"/>
      <c r="AA1807" s="33"/>
      <c r="AB1807" s="33"/>
      <c r="AC1807" s="30"/>
      <c r="AD1807" s="30"/>
      <c r="AE1807" s="33"/>
      <c r="AF1807" s="31"/>
      <c r="AG1807" s="30"/>
      <c r="AH1807" s="30"/>
      <c r="AI1807" s="31"/>
      <c r="AJ1807" s="31"/>
      <c r="AK1807" s="32"/>
    </row>
    <row r="1808">
      <c r="A1808" s="21" t="s">
        <v>789</v>
      </c>
      <c r="B1808" s="22" t="s">
        <v>1510</v>
      </c>
      <c r="C1808" s="22" t="s">
        <v>82</v>
      </c>
      <c r="D1808" s="26">
        <v>45997.0</v>
      </c>
      <c r="E1808" s="22" t="s">
        <v>266</v>
      </c>
      <c r="F1808" s="22" t="s">
        <v>605</v>
      </c>
      <c r="G1808" s="22" t="s">
        <v>3448</v>
      </c>
      <c r="H1808" s="22" t="s">
        <v>789</v>
      </c>
      <c r="I1808" s="22">
        <v>1.0484803273027E13</v>
      </c>
      <c r="J1808" s="22" t="s">
        <v>3111</v>
      </c>
      <c r="K1808" s="24"/>
      <c r="L1808" s="22" t="s">
        <v>794</v>
      </c>
      <c r="M1808" s="22">
        <v>1.0</v>
      </c>
      <c r="N1808" s="22" t="s">
        <v>795</v>
      </c>
      <c r="O1808" s="22" t="s">
        <v>796</v>
      </c>
      <c r="P1808" s="24"/>
      <c r="Q1808" s="22" t="s">
        <v>90</v>
      </c>
      <c r="R1808" s="22">
        <v>3.2808225636675E13</v>
      </c>
      <c r="S1808" s="24"/>
      <c r="T1808" s="24"/>
      <c r="U1808" s="24"/>
      <c r="V1808" s="30" t="s">
        <v>105</v>
      </c>
      <c r="W1808" s="33"/>
      <c r="X1808" s="33"/>
      <c r="Y1808" s="30"/>
      <c r="Z1808" s="30"/>
      <c r="AA1808" s="33"/>
      <c r="AB1808" s="33"/>
      <c r="AC1808" s="30"/>
      <c r="AD1808" s="30"/>
      <c r="AE1808" s="33"/>
      <c r="AF1808" s="31"/>
      <c r="AG1808" s="30"/>
      <c r="AH1808" s="30"/>
      <c r="AI1808" s="31"/>
      <c r="AJ1808" s="31"/>
      <c r="AK1808" s="32"/>
    </row>
    <row r="1809">
      <c r="A1809" s="21" t="s">
        <v>692</v>
      </c>
      <c r="B1809" s="22" t="s">
        <v>539</v>
      </c>
      <c r="C1809" s="22" t="s">
        <v>273</v>
      </c>
      <c r="D1809" s="26">
        <v>45998.0</v>
      </c>
      <c r="E1809" s="22" t="s">
        <v>149</v>
      </c>
      <c r="F1809" s="22" t="s">
        <v>369</v>
      </c>
      <c r="G1809" s="22" t="s">
        <v>3449</v>
      </c>
      <c r="H1809" s="22" t="s">
        <v>692</v>
      </c>
      <c r="I1809" s="22">
        <v>1.0485169291587E13</v>
      </c>
      <c r="J1809" s="22" t="s">
        <v>566</v>
      </c>
      <c r="K1809" s="24"/>
      <c r="L1809" s="22" t="s">
        <v>694</v>
      </c>
      <c r="M1809" s="22">
        <v>1.0</v>
      </c>
      <c r="N1809" s="22" t="s">
        <v>373</v>
      </c>
      <c r="O1809" s="22" t="s">
        <v>374</v>
      </c>
      <c r="P1809" s="24"/>
      <c r="Q1809" s="22" t="s">
        <v>90</v>
      </c>
      <c r="R1809" s="22">
        <v>3.2809101427011E13</v>
      </c>
      <c r="S1809" s="24"/>
      <c r="T1809" s="24"/>
      <c r="U1809" s="24"/>
      <c r="V1809" s="30" t="s">
        <v>54</v>
      </c>
      <c r="W1809" s="33"/>
      <c r="X1809" s="33"/>
      <c r="Y1809" s="30"/>
      <c r="Z1809" s="30"/>
      <c r="AA1809" s="33"/>
      <c r="AB1809" s="33"/>
      <c r="AC1809" s="30"/>
      <c r="AD1809" s="30"/>
      <c r="AE1809" s="33"/>
      <c r="AF1809" s="31"/>
      <c r="AG1809" s="30"/>
      <c r="AH1809" s="30"/>
      <c r="AI1809" s="31"/>
      <c r="AJ1809" s="31"/>
      <c r="AK1809" s="32"/>
    </row>
    <row r="1810">
      <c r="A1810" s="21" t="s">
        <v>732</v>
      </c>
      <c r="B1810" s="22" t="s">
        <v>3450</v>
      </c>
      <c r="C1810" s="22" t="s">
        <v>273</v>
      </c>
      <c r="D1810" s="26">
        <v>45998.0</v>
      </c>
      <c r="E1810" s="22" t="s">
        <v>266</v>
      </c>
      <c r="F1810" s="22" t="s">
        <v>634</v>
      </c>
      <c r="G1810" s="22" t="s">
        <v>3451</v>
      </c>
      <c r="H1810" s="22" t="s">
        <v>732</v>
      </c>
      <c r="I1810" s="22">
        <v>1.0485260058947E13</v>
      </c>
      <c r="J1810" s="22" t="s">
        <v>3452</v>
      </c>
      <c r="K1810" s="24"/>
      <c r="L1810" s="22" t="s">
        <v>737</v>
      </c>
      <c r="M1810" s="22">
        <v>1.0</v>
      </c>
      <c r="N1810" s="22" t="s">
        <v>738</v>
      </c>
      <c r="O1810" s="22" t="s">
        <v>739</v>
      </c>
      <c r="P1810" s="24"/>
      <c r="Q1810" s="22" t="s">
        <v>90</v>
      </c>
      <c r="R1810" s="22">
        <v>3.2809296888131E13</v>
      </c>
      <c r="S1810" s="24"/>
      <c r="T1810" s="24"/>
      <c r="U1810" s="24"/>
      <c r="V1810" s="30" t="s">
        <v>105</v>
      </c>
      <c r="W1810" s="33"/>
      <c r="X1810" s="33"/>
      <c r="Y1810" s="30"/>
      <c r="Z1810" s="30"/>
      <c r="AA1810" s="33"/>
      <c r="AB1810" s="33"/>
      <c r="AC1810" s="30"/>
      <c r="AD1810" s="30"/>
      <c r="AE1810" s="33"/>
      <c r="AF1810" s="31"/>
      <c r="AG1810" s="30"/>
      <c r="AH1810" s="30"/>
      <c r="AI1810" s="31"/>
      <c r="AJ1810" s="31"/>
      <c r="AK1810" s="32"/>
    </row>
    <row r="1811">
      <c r="A1811" s="21" t="s">
        <v>401</v>
      </c>
      <c r="B1811" s="22" t="s">
        <v>318</v>
      </c>
      <c r="C1811" s="22" t="s">
        <v>82</v>
      </c>
      <c r="D1811" s="26">
        <v>45997.0</v>
      </c>
      <c r="E1811" s="22" t="s">
        <v>196</v>
      </c>
      <c r="F1811" s="22" t="s">
        <v>319</v>
      </c>
      <c r="G1811" s="22" t="s">
        <v>3453</v>
      </c>
      <c r="H1811" s="22" t="s">
        <v>401</v>
      </c>
      <c r="I1811" s="22">
        <v>1.0485321302339E13</v>
      </c>
      <c r="J1811" s="22" t="s">
        <v>321</v>
      </c>
      <c r="K1811" s="24"/>
      <c r="L1811" s="22" t="s">
        <v>403</v>
      </c>
      <c r="M1811" s="22">
        <v>1.0</v>
      </c>
      <c r="N1811" s="22" t="s">
        <v>404</v>
      </c>
      <c r="O1811" s="22" t="s">
        <v>405</v>
      </c>
      <c r="P1811" s="24"/>
      <c r="Q1811" s="22" t="s">
        <v>90</v>
      </c>
      <c r="R1811" s="22">
        <v>3.2809427632451E13</v>
      </c>
      <c r="S1811" s="24"/>
      <c r="T1811" s="24"/>
      <c r="U1811" s="24"/>
      <c r="V1811" s="30" t="s">
        <v>127</v>
      </c>
      <c r="W1811" s="33"/>
      <c r="X1811" s="33"/>
      <c r="Y1811" s="30"/>
      <c r="Z1811" s="30"/>
      <c r="AA1811" s="33"/>
      <c r="AB1811" s="33"/>
      <c r="AC1811" s="30"/>
      <c r="AD1811" s="30"/>
      <c r="AE1811" s="33"/>
      <c r="AF1811" s="31"/>
      <c r="AG1811" s="30"/>
      <c r="AH1811" s="30"/>
      <c r="AI1811" s="31"/>
      <c r="AJ1811" s="31"/>
      <c r="AK1811" s="32"/>
    </row>
    <row r="1812">
      <c r="A1812" s="21" t="s">
        <v>96</v>
      </c>
      <c r="B1812" s="22" t="s">
        <v>2462</v>
      </c>
      <c r="C1812" s="22" t="s">
        <v>287</v>
      </c>
      <c r="D1812" s="26">
        <v>45994.0</v>
      </c>
      <c r="E1812" s="22" t="s">
        <v>192</v>
      </c>
      <c r="F1812" s="22" t="s">
        <v>83</v>
      </c>
      <c r="G1812" s="22" t="s">
        <v>3454</v>
      </c>
      <c r="H1812" s="22" t="s">
        <v>96</v>
      </c>
      <c r="I1812" s="22">
        <v>1.0485362590019E13</v>
      </c>
      <c r="J1812" s="22" t="s">
        <v>3455</v>
      </c>
      <c r="K1812" s="24"/>
      <c r="L1812" s="22" t="s">
        <v>269</v>
      </c>
      <c r="M1812" s="22">
        <v>1.0</v>
      </c>
      <c r="N1812" s="22" t="s">
        <v>263</v>
      </c>
      <c r="O1812" s="22" t="s">
        <v>264</v>
      </c>
      <c r="P1812" s="24"/>
      <c r="Q1812" s="22" t="s">
        <v>90</v>
      </c>
      <c r="R1812" s="22">
        <v>3.2809509781827E13</v>
      </c>
      <c r="S1812" s="24"/>
      <c r="T1812" s="24"/>
      <c r="U1812" s="24"/>
      <c r="V1812" s="30" t="s">
        <v>55</v>
      </c>
      <c r="W1812" s="33"/>
      <c r="X1812" s="33"/>
      <c r="Y1812" s="30"/>
      <c r="Z1812" s="30"/>
      <c r="AA1812" s="33"/>
      <c r="AB1812" s="33"/>
      <c r="AC1812" s="30"/>
      <c r="AD1812" s="30"/>
      <c r="AE1812" s="33"/>
      <c r="AF1812" s="31"/>
      <c r="AG1812" s="30"/>
      <c r="AH1812" s="30"/>
      <c r="AI1812" s="31"/>
      <c r="AJ1812" s="31"/>
      <c r="AK1812" s="32"/>
    </row>
    <row r="1813">
      <c r="A1813" s="21" t="s">
        <v>488</v>
      </c>
      <c r="B1813" s="22" t="s">
        <v>310</v>
      </c>
      <c r="C1813" s="22" t="s">
        <v>82</v>
      </c>
      <c r="D1813" s="26">
        <v>45997.0</v>
      </c>
      <c r="E1813" s="22" t="s">
        <v>134</v>
      </c>
      <c r="F1813" s="22" t="s">
        <v>311</v>
      </c>
      <c r="G1813" s="22" t="s">
        <v>3456</v>
      </c>
      <c r="H1813" s="22" t="s">
        <v>488</v>
      </c>
      <c r="I1813" s="22">
        <v>1.0485369569603E13</v>
      </c>
      <c r="J1813" s="22" t="s">
        <v>313</v>
      </c>
      <c r="K1813" s="24"/>
      <c r="L1813" s="22" t="s">
        <v>492</v>
      </c>
      <c r="M1813" s="22">
        <v>1.0</v>
      </c>
      <c r="N1813" s="22" t="s">
        <v>391</v>
      </c>
      <c r="O1813" s="22" t="s">
        <v>392</v>
      </c>
      <c r="P1813" s="24"/>
      <c r="Q1813" s="22" t="s">
        <v>90</v>
      </c>
      <c r="R1813" s="22">
        <v>3.2809526559043E13</v>
      </c>
      <c r="S1813" s="24"/>
      <c r="T1813" s="24"/>
      <c r="U1813" s="24"/>
      <c r="V1813" s="30" t="s">
        <v>95</v>
      </c>
      <c r="W1813" s="33"/>
      <c r="X1813" s="33"/>
      <c r="Y1813" s="30"/>
      <c r="Z1813" s="30"/>
      <c r="AA1813" s="33"/>
      <c r="AB1813" s="33"/>
      <c r="AC1813" s="30"/>
      <c r="AD1813" s="30"/>
      <c r="AE1813" s="33"/>
      <c r="AF1813" s="31"/>
      <c r="AG1813" s="30"/>
      <c r="AH1813" s="30"/>
      <c r="AI1813" s="31"/>
      <c r="AJ1813" s="31"/>
      <c r="AK1813" s="32"/>
    </row>
    <row r="1814">
      <c r="A1814" s="21" t="s">
        <v>470</v>
      </c>
      <c r="B1814" s="22" t="s">
        <v>471</v>
      </c>
      <c r="C1814" s="22" t="s">
        <v>82</v>
      </c>
      <c r="D1814" s="26">
        <v>45997.0</v>
      </c>
      <c r="E1814" s="22" t="s">
        <v>134</v>
      </c>
      <c r="F1814" s="22" t="s">
        <v>472</v>
      </c>
      <c r="G1814" s="22" t="s">
        <v>3457</v>
      </c>
      <c r="H1814" s="22" t="s">
        <v>470</v>
      </c>
      <c r="I1814" s="22">
        <v>1.0485376713027E13</v>
      </c>
      <c r="J1814" s="22" t="s">
        <v>3019</v>
      </c>
      <c r="K1814" s="24"/>
      <c r="L1814" s="22" t="s">
        <v>475</v>
      </c>
      <c r="M1814" s="22">
        <v>1.0</v>
      </c>
      <c r="N1814" s="22" t="s">
        <v>476</v>
      </c>
      <c r="O1814" s="22" t="s">
        <v>477</v>
      </c>
      <c r="P1814" s="24"/>
      <c r="Q1814" s="22" t="s">
        <v>90</v>
      </c>
      <c r="R1814" s="22">
        <v>3.2809542091075E13</v>
      </c>
      <c r="S1814" s="24"/>
      <c r="T1814" s="24"/>
      <c r="U1814" s="24"/>
      <c r="V1814" s="30" t="s">
        <v>91</v>
      </c>
      <c r="W1814" s="33"/>
      <c r="X1814" s="33"/>
      <c r="Y1814" s="30"/>
      <c r="Z1814" s="30"/>
      <c r="AA1814" s="33"/>
      <c r="AB1814" s="33"/>
      <c r="AC1814" s="30"/>
      <c r="AD1814" s="30"/>
      <c r="AE1814" s="33"/>
      <c r="AF1814" s="31"/>
      <c r="AG1814" s="30"/>
      <c r="AH1814" s="30"/>
      <c r="AI1814" s="31"/>
      <c r="AJ1814" s="31"/>
      <c r="AK1814" s="32"/>
    </row>
    <row r="1815">
      <c r="A1815" s="21" t="s">
        <v>569</v>
      </c>
      <c r="B1815" s="22" t="s">
        <v>471</v>
      </c>
      <c r="C1815" s="22" t="s">
        <v>82</v>
      </c>
      <c r="D1815" s="26">
        <v>45997.0</v>
      </c>
      <c r="E1815" s="22" t="s">
        <v>134</v>
      </c>
      <c r="F1815" s="22" t="s">
        <v>472</v>
      </c>
      <c r="G1815" s="22" t="s">
        <v>3458</v>
      </c>
      <c r="H1815" s="22" t="s">
        <v>569</v>
      </c>
      <c r="I1815" s="22">
        <v>1.0485394866499E13</v>
      </c>
      <c r="J1815" s="22" t="s">
        <v>3019</v>
      </c>
      <c r="K1815" s="24"/>
      <c r="L1815" s="22" t="s">
        <v>571</v>
      </c>
      <c r="M1815" s="22">
        <v>1.0</v>
      </c>
      <c r="N1815" s="22" t="s">
        <v>534</v>
      </c>
      <c r="O1815" s="22" t="s">
        <v>535</v>
      </c>
      <c r="P1815" s="24"/>
      <c r="Q1815" s="22" t="s">
        <v>90</v>
      </c>
      <c r="R1815" s="22">
        <v>3.2809579708739E13</v>
      </c>
      <c r="S1815" s="24"/>
      <c r="T1815" s="24"/>
      <c r="U1815" s="24"/>
      <c r="V1815" s="30" t="s">
        <v>105</v>
      </c>
      <c r="W1815" s="33"/>
      <c r="X1815" s="33"/>
      <c r="Y1815" s="30"/>
      <c r="Z1815" s="30"/>
      <c r="AA1815" s="33"/>
      <c r="AB1815" s="33"/>
      <c r="AC1815" s="30"/>
      <c r="AD1815" s="30"/>
      <c r="AE1815" s="33"/>
      <c r="AF1815" s="31"/>
      <c r="AG1815" s="30"/>
      <c r="AH1815" s="30"/>
      <c r="AI1815" s="31"/>
      <c r="AJ1815" s="31"/>
      <c r="AK1815" s="32"/>
    </row>
    <row r="1816">
      <c r="A1816" s="21" t="s">
        <v>837</v>
      </c>
      <c r="B1816" s="22" t="s">
        <v>815</v>
      </c>
      <c r="C1816" s="22" t="s">
        <v>82</v>
      </c>
      <c r="D1816" s="26">
        <v>45997.0</v>
      </c>
      <c r="E1816" s="22" t="s">
        <v>187</v>
      </c>
      <c r="F1816" s="22" t="s">
        <v>698</v>
      </c>
      <c r="G1816" s="22" t="s">
        <v>3459</v>
      </c>
      <c r="H1816" s="22" t="s">
        <v>837</v>
      </c>
      <c r="I1816" s="22">
        <v>1.0485397979459E13</v>
      </c>
      <c r="J1816" s="22" t="s">
        <v>2995</v>
      </c>
      <c r="K1816" s="24"/>
      <c r="L1816" s="22" t="s">
        <v>839</v>
      </c>
      <c r="M1816" s="22">
        <v>1.0</v>
      </c>
      <c r="N1816" s="22" t="s">
        <v>819</v>
      </c>
      <c r="O1816" s="22" t="s">
        <v>820</v>
      </c>
      <c r="P1816" s="24"/>
      <c r="Q1816" s="22" t="s">
        <v>90</v>
      </c>
      <c r="R1816" s="22">
        <v>3.2809587081539E13</v>
      </c>
      <c r="S1816" s="24"/>
      <c r="T1816" s="24"/>
      <c r="U1816" s="24"/>
      <c r="V1816" s="30" t="s">
        <v>105</v>
      </c>
      <c r="W1816" s="33"/>
      <c r="X1816" s="33"/>
      <c r="Y1816" s="30"/>
      <c r="Z1816" s="30"/>
      <c r="AA1816" s="33"/>
      <c r="AB1816" s="33"/>
      <c r="AC1816" s="30"/>
      <c r="AD1816" s="30"/>
      <c r="AE1816" s="33"/>
      <c r="AF1816" s="31"/>
      <c r="AG1816" s="30"/>
      <c r="AH1816" s="30"/>
      <c r="AI1816" s="31"/>
      <c r="AJ1816" s="31"/>
      <c r="AK1816" s="32"/>
    </row>
    <row r="1817">
      <c r="A1817" s="21" t="s">
        <v>99</v>
      </c>
      <c r="B1817" s="22" t="s">
        <v>1352</v>
      </c>
      <c r="C1817" s="22" t="s">
        <v>82</v>
      </c>
      <c r="D1817" s="26">
        <v>45997.0</v>
      </c>
      <c r="E1817" s="22" t="s">
        <v>153</v>
      </c>
      <c r="F1817" s="22" t="s">
        <v>83</v>
      </c>
      <c r="G1817" s="22" t="s">
        <v>3460</v>
      </c>
      <c r="H1817" s="22" t="s">
        <v>99</v>
      </c>
      <c r="I1817" s="22">
        <v>1.0485399093571E13</v>
      </c>
      <c r="J1817" s="22" t="s">
        <v>2950</v>
      </c>
      <c r="K1817" s="24"/>
      <c r="L1817" s="22" t="s">
        <v>102</v>
      </c>
      <c r="M1817" s="22">
        <v>1.0</v>
      </c>
      <c r="N1817" s="22" t="s">
        <v>103</v>
      </c>
      <c r="O1817" s="22" t="s">
        <v>104</v>
      </c>
      <c r="P1817" s="24"/>
      <c r="Q1817" s="22" t="s">
        <v>90</v>
      </c>
      <c r="R1817" s="22">
        <v>3.2809589276995E13</v>
      </c>
      <c r="S1817" s="24"/>
      <c r="T1817" s="24"/>
      <c r="U1817" s="24"/>
      <c r="V1817" s="30" t="s">
        <v>105</v>
      </c>
      <c r="W1817" s="33"/>
      <c r="X1817" s="33"/>
      <c r="Y1817" s="30"/>
      <c r="Z1817" s="30"/>
      <c r="AA1817" s="33"/>
      <c r="AB1817" s="33"/>
      <c r="AC1817" s="30"/>
      <c r="AD1817" s="30"/>
      <c r="AE1817" s="33"/>
      <c r="AF1817" s="31"/>
      <c r="AG1817" s="30"/>
      <c r="AH1817" s="30"/>
      <c r="AI1817" s="31"/>
      <c r="AJ1817" s="31"/>
      <c r="AK1817" s="32"/>
    </row>
    <row r="1818">
      <c r="A1818" s="21" t="s">
        <v>309</v>
      </c>
      <c r="B1818" s="22" t="s">
        <v>2655</v>
      </c>
      <c r="C1818" s="22" t="s">
        <v>82</v>
      </c>
      <c r="D1818" s="26">
        <v>45997.0</v>
      </c>
      <c r="E1818" s="22" t="s">
        <v>181</v>
      </c>
      <c r="F1818" s="22" t="s">
        <v>311</v>
      </c>
      <c r="G1818" s="22" t="s">
        <v>3461</v>
      </c>
      <c r="H1818" s="22" t="s">
        <v>309</v>
      </c>
      <c r="I1818" s="22">
        <v>1.0485399454019E13</v>
      </c>
      <c r="J1818" s="22" t="s">
        <v>3462</v>
      </c>
      <c r="K1818" s="24"/>
      <c r="L1818" s="22" t="s">
        <v>314</v>
      </c>
      <c r="M1818" s="22">
        <v>1.0</v>
      </c>
      <c r="N1818" s="22" t="s">
        <v>315</v>
      </c>
      <c r="O1818" s="22" t="s">
        <v>316</v>
      </c>
      <c r="P1818" s="24"/>
      <c r="Q1818" s="22" t="s">
        <v>90</v>
      </c>
      <c r="R1818" s="22">
        <v>3.2809590128963E13</v>
      </c>
      <c r="S1818" s="24"/>
      <c r="T1818" s="24"/>
      <c r="U1818" s="24"/>
      <c r="V1818" s="30" t="s">
        <v>105</v>
      </c>
      <c r="W1818" s="33"/>
      <c r="X1818" s="33"/>
      <c r="Y1818" s="30"/>
      <c r="Z1818" s="30"/>
      <c r="AA1818" s="33"/>
      <c r="AB1818" s="33"/>
      <c r="AC1818" s="30"/>
      <c r="AD1818" s="30"/>
      <c r="AE1818" s="33"/>
      <c r="AF1818" s="31"/>
      <c r="AG1818" s="30"/>
      <c r="AH1818" s="30"/>
      <c r="AI1818" s="31"/>
      <c r="AJ1818" s="31"/>
      <c r="AK1818" s="32"/>
    </row>
    <row r="1819">
      <c r="A1819" s="21" t="s">
        <v>686</v>
      </c>
      <c r="B1819" s="22" t="s">
        <v>450</v>
      </c>
      <c r="C1819" s="22" t="s">
        <v>82</v>
      </c>
      <c r="D1819" s="26">
        <v>45997.0</v>
      </c>
      <c r="E1819" s="22" t="s">
        <v>134</v>
      </c>
      <c r="F1819" s="22" t="s">
        <v>451</v>
      </c>
      <c r="G1819" s="22" t="s">
        <v>3463</v>
      </c>
      <c r="H1819" s="22" t="s">
        <v>686</v>
      </c>
      <c r="I1819" s="22">
        <v>1.0485408072003E13</v>
      </c>
      <c r="J1819" s="22" t="s">
        <v>3044</v>
      </c>
      <c r="K1819" s="24"/>
      <c r="L1819" s="22" t="s">
        <v>688</v>
      </c>
      <c r="M1819" s="22">
        <v>1.0</v>
      </c>
      <c r="N1819" s="22" t="s">
        <v>455</v>
      </c>
      <c r="O1819" s="22" t="s">
        <v>456</v>
      </c>
      <c r="P1819" s="24"/>
      <c r="Q1819" s="22" t="s">
        <v>90</v>
      </c>
      <c r="R1819" s="22">
        <v>3.2809608184131E13</v>
      </c>
      <c r="S1819" s="24"/>
      <c r="T1819" s="24"/>
      <c r="U1819" s="24"/>
      <c r="V1819" s="30" t="s">
        <v>91</v>
      </c>
      <c r="W1819" s="33"/>
      <c r="X1819" s="33"/>
      <c r="Y1819" s="30"/>
      <c r="Z1819" s="30"/>
      <c r="AA1819" s="33"/>
      <c r="AB1819" s="33"/>
      <c r="AC1819" s="30"/>
      <c r="AD1819" s="30"/>
      <c r="AE1819" s="33"/>
      <c r="AF1819" s="31"/>
      <c r="AG1819" s="30"/>
      <c r="AH1819" s="30"/>
      <c r="AI1819" s="31"/>
      <c r="AJ1819" s="31"/>
      <c r="AK1819" s="32"/>
    </row>
    <row r="1820">
      <c r="A1820" s="21" t="s">
        <v>814</v>
      </c>
      <c r="B1820" s="22" t="s">
        <v>1019</v>
      </c>
      <c r="C1820" s="22" t="s">
        <v>82</v>
      </c>
      <c r="D1820" s="26">
        <v>45997.0</v>
      </c>
      <c r="E1820" s="22" t="s">
        <v>975</v>
      </c>
      <c r="F1820" s="22" t="s">
        <v>698</v>
      </c>
      <c r="G1820" s="22" t="s">
        <v>3464</v>
      </c>
      <c r="H1820" s="22" t="s">
        <v>814</v>
      </c>
      <c r="I1820" s="22">
        <v>1.0485416231235E13</v>
      </c>
      <c r="J1820" s="22" t="s">
        <v>3127</v>
      </c>
      <c r="K1820" s="24"/>
      <c r="L1820" s="22" t="s">
        <v>818</v>
      </c>
      <c r="M1820" s="22">
        <v>1.0</v>
      </c>
      <c r="N1820" s="22" t="s">
        <v>819</v>
      </c>
      <c r="O1820" s="22" t="s">
        <v>820</v>
      </c>
      <c r="P1820" s="24"/>
      <c r="Q1820" s="22" t="s">
        <v>90</v>
      </c>
      <c r="R1820" s="22">
        <v>3.2809624666435E13</v>
      </c>
      <c r="S1820" s="24"/>
      <c r="T1820" s="24"/>
      <c r="U1820" s="24"/>
      <c r="V1820" s="30" t="s">
        <v>127</v>
      </c>
      <c r="W1820" s="33"/>
      <c r="X1820" s="33"/>
      <c r="Y1820" s="30"/>
      <c r="Z1820" s="30"/>
      <c r="AA1820" s="33"/>
      <c r="AB1820" s="33"/>
      <c r="AC1820" s="30"/>
      <c r="AD1820" s="30"/>
      <c r="AE1820" s="33"/>
      <c r="AF1820" s="31"/>
      <c r="AG1820" s="30"/>
      <c r="AH1820" s="30"/>
      <c r="AI1820" s="31"/>
      <c r="AJ1820" s="31"/>
      <c r="AK1820" s="32"/>
    </row>
    <row r="1821">
      <c r="A1821" s="21" t="s">
        <v>408</v>
      </c>
      <c r="B1821" s="22" t="s">
        <v>416</v>
      </c>
      <c r="C1821" s="22" t="s">
        <v>82</v>
      </c>
      <c r="D1821" s="26">
        <v>45997.0</v>
      </c>
      <c r="E1821" s="22" t="s">
        <v>134</v>
      </c>
      <c r="F1821" s="22" t="s">
        <v>377</v>
      </c>
      <c r="G1821" s="22" t="s">
        <v>3465</v>
      </c>
      <c r="H1821" s="22" t="s">
        <v>408</v>
      </c>
      <c r="I1821" s="22">
        <v>1.0485419835715E13</v>
      </c>
      <c r="J1821" s="22" t="s">
        <v>418</v>
      </c>
      <c r="K1821" s="24"/>
      <c r="L1821" s="22" t="s">
        <v>412</v>
      </c>
      <c r="M1821" s="22">
        <v>1.0</v>
      </c>
      <c r="N1821" s="22" t="s">
        <v>413</v>
      </c>
      <c r="O1821" s="22" t="s">
        <v>414</v>
      </c>
      <c r="P1821" s="24"/>
      <c r="Q1821" s="22" t="s">
        <v>90</v>
      </c>
      <c r="R1821" s="22">
        <v>3.2809631744323E13</v>
      </c>
      <c r="S1821" s="24"/>
      <c r="T1821" s="24"/>
      <c r="U1821" s="24"/>
      <c r="V1821" s="30" t="s">
        <v>127</v>
      </c>
      <c r="W1821" s="33"/>
      <c r="X1821" s="33"/>
      <c r="Y1821" s="30"/>
      <c r="Z1821" s="30"/>
      <c r="AA1821" s="33"/>
      <c r="AB1821" s="33"/>
      <c r="AC1821" s="30"/>
      <c r="AD1821" s="30"/>
      <c r="AE1821" s="33"/>
      <c r="AF1821" s="31"/>
      <c r="AG1821" s="30"/>
      <c r="AH1821" s="30"/>
      <c r="AI1821" s="31"/>
      <c r="AJ1821" s="31"/>
      <c r="AK1821" s="32"/>
    </row>
    <row r="1822">
      <c r="A1822" s="21" t="s">
        <v>1554</v>
      </c>
      <c r="B1822" s="22" t="s">
        <v>3466</v>
      </c>
      <c r="C1822" s="22" t="s">
        <v>82</v>
      </c>
      <c r="D1822" s="26">
        <v>45997.0</v>
      </c>
      <c r="E1822" s="22" t="s">
        <v>252</v>
      </c>
      <c r="F1822" s="22" t="s">
        <v>1466</v>
      </c>
      <c r="G1822" s="22" t="s">
        <v>3467</v>
      </c>
      <c r="H1822" s="22" t="s">
        <v>1554</v>
      </c>
      <c r="I1822" s="22">
        <v>1.0485421179203E13</v>
      </c>
      <c r="J1822" s="22" t="s">
        <v>3468</v>
      </c>
      <c r="K1822" s="24"/>
      <c r="L1822" s="22" t="s">
        <v>1556</v>
      </c>
      <c r="M1822" s="22">
        <v>1.0</v>
      </c>
      <c r="N1822" s="22" t="s">
        <v>1470</v>
      </c>
      <c r="O1822" s="22" t="s">
        <v>1471</v>
      </c>
      <c r="P1822" s="24"/>
      <c r="Q1822" s="22" t="s">
        <v>90</v>
      </c>
      <c r="R1822" s="22">
        <v>3.2809634595139E13</v>
      </c>
      <c r="S1822" s="24"/>
      <c r="T1822" s="24"/>
      <c r="U1822" s="24"/>
      <c r="V1822" s="30" t="s">
        <v>91</v>
      </c>
      <c r="W1822" s="33"/>
      <c r="X1822" s="33"/>
      <c r="Y1822" s="30"/>
      <c r="Z1822" s="30"/>
      <c r="AA1822" s="33"/>
      <c r="AB1822" s="33"/>
      <c r="AC1822" s="30"/>
      <c r="AD1822" s="30"/>
      <c r="AE1822" s="33"/>
      <c r="AF1822" s="31"/>
      <c r="AG1822" s="30"/>
      <c r="AH1822" s="30"/>
      <c r="AI1822" s="31"/>
      <c r="AJ1822" s="31"/>
      <c r="AK1822" s="32"/>
    </row>
    <row r="1823">
      <c r="A1823" s="21" t="s">
        <v>643</v>
      </c>
      <c r="B1823" s="22" t="s">
        <v>3469</v>
      </c>
      <c r="C1823" s="22" t="s">
        <v>273</v>
      </c>
      <c r="D1823" s="26">
        <v>45998.0</v>
      </c>
      <c r="E1823" s="22" t="s">
        <v>1131</v>
      </c>
      <c r="F1823" s="22" t="s">
        <v>634</v>
      </c>
      <c r="G1823" s="22" t="s">
        <v>3470</v>
      </c>
      <c r="H1823" s="22" t="s">
        <v>643</v>
      </c>
      <c r="I1823" s="22">
        <v>1.0485422620995E13</v>
      </c>
      <c r="J1823" s="22" t="s">
        <v>3471</v>
      </c>
      <c r="K1823" s="24"/>
      <c r="L1823" s="22" t="s">
        <v>647</v>
      </c>
      <c r="M1823" s="22">
        <v>1.0</v>
      </c>
      <c r="N1823" s="22" t="s">
        <v>638</v>
      </c>
      <c r="O1823" s="22" t="s">
        <v>639</v>
      </c>
      <c r="P1823" s="24"/>
      <c r="Q1823" s="22" t="s">
        <v>90</v>
      </c>
      <c r="R1823" s="22">
        <v>3.2809636856131E13</v>
      </c>
      <c r="S1823" s="24"/>
      <c r="T1823" s="24"/>
      <c r="U1823" s="24"/>
      <c r="V1823" s="30" t="s">
        <v>54</v>
      </c>
      <c r="W1823" s="33"/>
      <c r="X1823" s="33"/>
      <c r="Y1823" s="30"/>
      <c r="Z1823" s="30"/>
      <c r="AA1823" s="33"/>
      <c r="AB1823" s="33"/>
      <c r="AC1823" s="30"/>
      <c r="AD1823" s="30"/>
      <c r="AE1823" s="33"/>
      <c r="AF1823" s="31"/>
      <c r="AG1823" s="30"/>
      <c r="AH1823" s="30"/>
      <c r="AI1823" s="31"/>
      <c r="AJ1823" s="31"/>
      <c r="AK1823" s="32"/>
    </row>
    <row r="1824">
      <c r="A1824" s="21" t="s">
        <v>885</v>
      </c>
      <c r="B1824" s="22" t="s">
        <v>3181</v>
      </c>
      <c r="C1824" s="22" t="s">
        <v>82</v>
      </c>
      <c r="D1824" s="26">
        <v>45997.0</v>
      </c>
      <c r="E1824" s="22" t="s">
        <v>1073</v>
      </c>
      <c r="F1824" s="22" t="s">
        <v>605</v>
      </c>
      <c r="G1824" s="22" t="s">
        <v>3472</v>
      </c>
      <c r="H1824" s="22" t="s">
        <v>885</v>
      </c>
      <c r="I1824" s="22">
        <v>1.0485428650307E13</v>
      </c>
      <c r="J1824" s="22" t="s">
        <v>3183</v>
      </c>
      <c r="K1824" s="24"/>
      <c r="L1824" s="22" t="s">
        <v>890</v>
      </c>
      <c r="M1824" s="22">
        <v>1.0</v>
      </c>
      <c r="N1824" s="22" t="s">
        <v>795</v>
      </c>
      <c r="O1824" s="22" t="s">
        <v>796</v>
      </c>
      <c r="P1824" s="24"/>
      <c r="Q1824" s="22" t="s">
        <v>90</v>
      </c>
      <c r="R1824" s="22">
        <v>3.2809649013059E13</v>
      </c>
      <c r="S1824" s="24"/>
      <c r="T1824" s="24"/>
      <c r="U1824" s="24"/>
      <c r="V1824" s="30" t="s">
        <v>127</v>
      </c>
      <c r="W1824" s="33"/>
      <c r="X1824" s="33"/>
      <c r="Y1824" s="30"/>
      <c r="Z1824" s="30"/>
      <c r="AA1824" s="33"/>
      <c r="AB1824" s="33"/>
      <c r="AC1824" s="30"/>
      <c r="AD1824" s="30"/>
      <c r="AE1824" s="33"/>
      <c r="AF1824" s="31"/>
      <c r="AG1824" s="30"/>
      <c r="AH1824" s="30"/>
      <c r="AI1824" s="31"/>
      <c r="AJ1824" s="31"/>
      <c r="AK1824" s="32"/>
    </row>
    <row r="1825">
      <c r="A1825" s="21" t="s">
        <v>1832</v>
      </c>
      <c r="B1825" s="22" t="s">
        <v>1717</v>
      </c>
      <c r="C1825" s="22" t="s">
        <v>82</v>
      </c>
      <c r="D1825" s="26">
        <v>45997.0</v>
      </c>
      <c r="E1825" s="22" t="s">
        <v>970</v>
      </c>
      <c r="F1825" s="22" t="s">
        <v>698</v>
      </c>
      <c r="G1825" s="22" t="s">
        <v>3473</v>
      </c>
      <c r="H1825" s="22" t="s">
        <v>1832</v>
      </c>
      <c r="I1825" s="22">
        <v>1.0483595313475E13</v>
      </c>
      <c r="J1825" s="22" t="s">
        <v>3474</v>
      </c>
      <c r="K1825" s="24"/>
      <c r="L1825" s="22" t="s">
        <v>1834</v>
      </c>
      <c r="M1825" s="22">
        <v>1.0</v>
      </c>
      <c r="N1825" s="22" t="s">
        <v>702</v>
      </c>
      <c r="O1825" s="22" t="s">
        <v>703</v>
      </c>
      <c r="P1825" s="24"/>
      <c r="Q1825" s="22" t="s">
        <v>90</v>
      </c>
      <c r="R1825" s="22">
        <v>3.2805478990147E13</v>
      </c>
      <c r="S1825" s="24"/>
      <c r="T1825" s="24"/>
      <c r="U1825" s="24"/>
      <c r="V1825" s="30" t="s">
        <v>91</v>
      </c>
      <c r="W1825" s="33"/>
      <c r="X1825" s="33"/>
      <c r="Y1825" s="30"/>
      <c r="Z1825" s="30"/>
      <c r="AA1825" s="33"/>
      <c r="AB1825" s="33"/>
      <c r="AC1825" s="30"/>
      <c r="AD1825" s="30"/>
      <c r="AE1825" s="33"/>
      <c r="AF1825" s="31"/>
      <c r="AG1825" s="30"/>
      <c r="AH1825" s="30"/>
      <c r="AI1825" s="31"/>
      <c r="AJ1825" s="31"/>
      <c r="AK1825" s="32"/>
    </row>
    <row r="1826">
      <c r="A1826" s="21" t="s">
        <v>789</v>
      </c>
      <c r="B1826" s="22" t="s">
        <v>1510</v>
      </c>
      <c r="C1826" s="22" t="s">
        <v>82</v>
      </c>
      <c r="D1826" s="26">
        <v>45997.0</v>
      </c>
      <c r="E1826" s="22" t="s">
        <v>266</v>
      </c>
      <c r="F1826" s="22" t="s">
        <v>605</v>
      </c>
      <c r="G1826" s="22" t="s">
        <v>3475</v>
      </c>
      <c r="H1826" s="22" t="s">
        <v>789</v>
      </c>
      <c r="I1826" s="22">
        <v>1.0483611238723E13</v>
      </c>
      <c r="J1826" s="22" t="s">
        <v>3111</v>
      </c>
      <c r="K1826" s="24"/>
      <c r="L1826" s="22" t="s">
        <v>794</v>
      </c>
      <c r="M1826" s="22">
        <v>1.0</v>
      </c>
      <c r="N1826" s="22" t="s">
        <v>795</v>
      </c>
      <c r="O1826" s="22" t="s">
        <v>796</v>
      </c>
      <c r="P1826" s="24"/>
      <c r="Q1826" s="22" t="s">
        <v>90</v>
      </c>
      <c r="R1826" s="22">
        <v>3.2805511856451E13</v>
      </c>
      <c r="S1826" s="24"/>
      <c r="T1826" s="24"/>
      <c r="U1826" s="24"/>
      <c r="V1826" s="30" t="s">
        <v>105</v>
      </c>
      <c r="W1826" s="33"/>
      <c r="X1826" s="33"/>
      <c r="Y1826" s="30"/>
      <c r="Z1826" s="30"/>
      <c r="AA1826" s="33"/>
      <c r="AB1826" s="33"/>
      <c r="AC1826" s="30"/>
      <c r="AD1826" s="30"/>
      <c r="AE1826" s="33"/>
      <c r="AF1826" s="31"/>
      <c r="AG1826" s="30"/>
      <c r="AH1826" s="30"/>
      <c r="AI1826" s="31"/>
      <c r="AJ1826" s="31"/>
      <c r="AK1826" s="32"/>
    </row>
    <row r="1827">
      <c r="A1827" s="21" t="s">
        <v>80</v>
      </c>
      <c r="B1827" s="22" t="s">
        <v>3079</v>
      </c>
      <c r="C1827" s="22" t="s">
        <v>202</v>
      </c>
      <c r="D1827" s="26">
        <v>45996.0</v>
      </c>
      <c r="E1827" s="22" t="s">
        <v>243</v>
      </c>
      <c r="F1827" s="22" t="s">
        <v>83</v>
      </c>
      <c r="G1827" s="22" t="s">
        <v>3476</v>
      </c>
      <c r="H1827" s="22" t="s">
        <v>80</v>
      </c>
      <c r="I1827" s="22">
        <v>1.0483634995523E13</v>
      </c>
      <c r="J1827" s="22" t="s">
        <v>3081</v>
      </c>
      <c r="K1827" s="24"/>
      <c r="L1827" s="22" t="s">
        <v>86</v>
      </c>
      <c r="M1827" s="22">
        <v>2.0</v>
      </c>
      <c r="N1827" s="22" t="s">
        <v>87</v>
      </c>
      <c r="O1827" s="22" t="s">
        <v>88</v>
      </c>
      <c r="P1827" s="24"/>
      <c r="Q1827" s="22" t="s">
        <v>90</v>
      </c>
      <c r="R1827" s="22">
        <v>3.2805561205059E13</v>
      </c>
      <c r="S1827" s="24"/>
      <c r="T1827" s="24"/>
      <c r="U1827" s="24"/>
      <c r="V1827" s="30" t="s">
        <v>91</v>
      </c>
      <c r="W1827" s="33"/>
      <c r="X1827" s="33"/>
      <c r="Y1827" s="30"/>
      <c r="Z1827" s="30"/>
      <c r="AA1827" s="33"/>
      <c r="AB1827" s="33"/>
      <c r="AC1827" s="30"/>
      <c r="AD1827" s="30"/>
      <c r="AE1827" s="33"/>
      <c r="AF1827" s="31"/>
      <c r="AG1827" s="30"/>
      <c r="AH1827" s="30"/>
      <c r="AI1827" s="31"/>
      <c r="AJ1827" s="31"/>
      <c r="AK1827" s="32"/>
    </row>
    <row r="1828">
      <c r="A1828" s="21" t="s">
        <v>1204</v>
      </c>
      <c r="B1828" s="22" t="s">
        <v>621</v>
      </c>
      <c r="C1828" s="22" t="s">
        <v>273</v>
      </c>
      <c r="D1828" s="26">
        <v>45998.0</v>
      </c>
      <c r="E1828" s="22" t="s">
        <v>622</v>
      </c>
      <c r="F1828" s="22" t="s">
        <v>623</v>
      </c>
      <c r="G1828" s="22" t="s">
        <v>3477</v>
      </c>
      <c r="H1828" s="22" t="s">
        <v>1204</v>
      </c>
      <c r="I1828" s="22">
        <v>1.0485430944067E13</v>
      </c>
      <c r="J1828" s="22" t="s">
        <v>3478</v>
      </c>
      <c r="K1828" s="24"/>
      <c r="L1828" s="22" t="s">
        <v>1208</v>
      </c>
      <c r="M1828" s="22">
        <v>1.0</v>
      </c>
      <c r="N1828" s="22" t="s">
        <v>627</v>
      </c>
      <c r="O1828" s="22" t="s">
        <v>628</v>
      </c>
      <c r="P1828" s="24"/>
      <c r="Q1828" s="22" t="s">
        <v>90</v>
      </c>
      <c r="R1828" s="22">
        <v>3.2809653961027E13</v>
      </c>
      <c r="S1828" s="24"/>
      <c r="T1828" s="24"/>
      <c r="U1828" s="24"/>
      <c r="V1828" s="30" t="s">
        <v>91</v>
      </c>
      <c r="W1828" s="33"/>
      <c r="X1828" s="33"/>
      <c r="Y1828" s="30"/>
      <c r="Z1828" s="30"/>
      <c r="AA1828" s="33"/>
      <c r="AB1828" s="33"/>
      <c r="AC1828" s="30"/>
      <c r="AD1828" s="30"/>
      <c r="AE1828" s="33"/>
      <c r="AF1828" s="31"/>
      <c r="AG1828" s="30"/>
      <c r="AH1828" s="30"/>
      <c r="AI1828" s="31"/>
      <c r="AJ1828" s="31"/>
      <c r="AK1828" s="32"/>
    </row>
    <row r="1829">
      <c r="A1829" s="21" t="s">
        <v>470</v>
      </c>
      <c r="B1829" s="22" t="s">
        <v>1058</v>
      </c>
      <c r="C1829" s="22" t="s">
        <v>273</v>
      </c>
      <c r="D1829" s="26">
        <v>45998.0</v>
      </c>
      <c r="E1829" s="22" t="s">
        <v>149</v>
      </c>
      <c r="F1829" s="22" t="s">
        <v>472</v>
      </c>
      <c r="G1829" s="22" t="s">
        <v>3479</v>
      </c>
      <c r="H1829" s="22" t="s">
        <v>470</v>
      </c>
      <c r="I1829" s="22">
        <v>1.0485451456835E13</v>
      </c>
      <c r="J1829" s="22" t="s">
        <v>3349</v>
      </c>
      <c r="K1829" s="24"/>
      <c r="L1829" s="22" t="s">
        <v>475</v>
      </c>
      <c r="M1829" s="22">
        <v>1.0</v>
      </c>
      <c r="N1829" s="22" t="s">
        <v>476</v>
      </c>
      <c r="O1829" s="22" t="s">
        <v>477</v>
      </c>
      <c r="P1829" s="24"/>
      <c r="Q1829" s="22" t="s">
        <v>90</v>
      </c>
      <c r="R1829" s="22">
        <v>3.2809699475779E13</v>
      </c>
      <c r="S1829" s="24"/>
      <c r="T1829" s="24"/>
      <c r="U1829" s="24"/>
      <c r="V1829" s="30" t="s">
        <v>91</v>
      </c>
      <c r="W1829" s="33"/>
      <c r="X1829" s="33"/>
      <c r="Y1829" s="30"/>
      <c r="Z1829" s="30"/>
      <c r="AA1829" s="33"/>
      <c r="AB1829" s="33"/>
      <c r="AC1829" s="30"/>
      <c r="AD1829" s="30"/>
      <c r="AE1829" s="33"/>
      <c r="AF1829" s="31"/>
      <c r="AG1829" s="30"/>
      <c r="AH1829" s="30"/>
      <c r="AI1829" s="31"/>
      <c r="AJ1829" s="31"/>
      <c r="AK1829" s="32"/>
    </row>
    <row r="1830">
      <c r="A1830" s="21" t="s">
        <v>859</v>
      </c>
      <c r="B1830" s="22" t="s">
        <v>2033</v>
      </c>
      <c r="C1830" s="22" t="s">
        <v>82</v>
      </c>
      <c r="D1830" s="26">
        <v>45997.0</v>
      </c>
      <c r="E1830" s="22" t="s">
        <v>1073</v>
      </c>
      <c r="F1830" s="22" t="s">
        <v>605</v>
      </c>
      <c r="G1830" s="22" t="s">
        <v>3480</v>
      </c>
      <c r="H1830" s="22" t="s">
        <v>859</v>
      </c>
      <c r="I1830" s="22">
        <v>1.0485458829635E13</v>
      </c>
      <c r="J1830" s="22" t="s">
        <v>3183</v>
      </c>
      <c r="K1830" s="24"/>
      <c r="L1830" s="22" t="s">
        <v>861</v>
      </c>
      <c r="M1830" s="22">
        <v>1.0</v>
      </c>
      <c r="N1830" s="22" t="s">
        <v>609</v>
      </c>
      <c r="O1830" s="22" t="s">
        <v>610</v>
      </c>
      <c r="P1830" s="24"/>
      <c r="Q1830" s="22" t="s">
        <v>90</v>
      </c>
      <c r="R1830" s="22">
        <v>3.2809714778435E13</v>
      </c>
      <c r="S1830" s="24"/>
      <c r="T1830" s="24"/>
      <c r="U1830" s="24"/>
      <c r="V1830" s="30" t="s">
        <v>95</v>
      </c>
      <c r="W1830" s="33"/>
      <c r="X1830" s="33"/>
      <c r="Y1830" s="30"/>
      <c r="Z1830" s="30"/>
      <c r="AA1830" s="33"/>
      <c r="AB1830" s="33"/>
      <c r="AC1830" s="30"/>
      <c r="AD1830" s="30"/>
      <c r="AE1830" s="33"/>
      <c r="AF1830" s="31"/>
      <c r="AG1830" s="30"/>
      <c r="AH1830" s="30"/>
      <c r="AI1830" s="31"/>
      <c r="AJ1830" s="31"/>
      <c r="AK1830" s="32"/>
    </row>
    <row r="1831">
      <c r="A1831" s="21" t="s">
        <v>1180</v>
      </c>
      <c r="B1831" s="22" t="s">
        <v>2306</v>
      </c>
      <c r="C1831" s="22" t="s">
        <v>273</v>
      </c>
      <c r="D1831" s="26">
        <v>45998.0</v>
      </c>
      <c r="E1831" s="22" t="s">
        <v>266</v>
      </c>
      <c r="F1831" s="22" t="s">
        <v>623</v>
      </c>
      <c r="G1831" s="22" t="s">
        <v>3481</v>
      </c>
      <c r="H1831" s="22" t="s">
        <v>1180</v>
      </c>
      <c r="I1831" s="22">
        <v>1.0485471019331E13</v>
      </c>
      <c r="J1831" s="22" t="s">
        <v>3482</v>
      </c>
      <c r="K1831" s="24"/>
      <c r="L1831" s="22" t="s">
        <v>1182</v>
      </c>
      <c r="M1831" s="22">
        <v>1.0</v>
      </c>
      <c r="N1831" s="22" t="s">
        <v>1088</v>
      </c>
      <c r="O1831" s="22" t="s">
        <v>1089</v>
      </c>
      <c r="P1831" s="24"/>
      <c r="Q1831" s="22" t="s">
        <v>90</v>
      </c>
      <c r="R1831" s="22">
        <v>3.2809739845955E13</v>
      </c>
      <c r="S1831" s="24"/>
      <c r="T1831" s="24"/>
      <c r="U1831" s="24"/>
      <c r="V1831" s="30" t="s">
        <v>105</v>
      </c>
      <c r="W1831" s="33"/>
      <c r="X1831" s="33"/>
      <c r="Y1831" s="30"/>
      <c r="Z1831" s="30"/>
      <c r="AA1831" s="33"/>
      <c r="AB1831" s="33"/>
      <c r="AC1831" s="30"/>
      <c r="AD1831" s="30"/>
      <c r="AE1831" s="33"/>
      <c r="AF1831" s="31"/>
      <c r="AG1831" s="30"/>
      <c r="AH1831" s="30"/>
      <c r="AI1831" s="31"/>
      <c r="AJ1831" s="31"/>
      <c r="AK1831" s="32"/>
    </row>
    <row r="1832">
      <c r="A1832" s="21" t="s">
        <v>550</v>
      </c>
      <c r="B1832" s="22" t="s">
        <v>512</v>
      </c>
      <c r="C1832" s="22" t="s">
        <v>82</v>
      </c>
      <c r="D1832" s="26">
        <v>45997.0</v>
      </c>
      <c r="E1832" s="22" t="s">
        <v>153</v>
      </c>
      <c r="F1832" s="22" t="s">
        <v>377</v>
      </c>
      <c r="G1832" s="22" t="s">
        <v>3483</v>
      </c>
      <c r="H1832" s="22" t="s">
        <v>550</v>
      </c>
      <c r="I1832" s="22">
        <v>1.0485476294979E13</v>
      </c>
      <c r="J1832" s="22" t="s">
        <v>411</v>
      </c>
      <c r="K1832" s="24"/>
      <c r="L1832" s="22" t="s">
        <v>552</v>
      </c>
      <c r="M1832" s="22">
        <v>1.0</v>
      </c>
      <c r="N1832" s="22" t="s">
        <v>381</v>
      </c>
      <c r="O1832" s="22" t="s">
        <v>382</v>
      </c>
      <c r="P1832" s="24"/>
      <c r="Q1832" s="22" t="s">
        <v>90</v>
      </c>
      <c r="R1832" s="22">
        <v>3.2809751052611E13</v>
      </c>
      <c r="S1832" s="24"/>
      <c r="T1832" s="24"/>
      <c r="U1832" s="24"/>
      <c r="V1832" s="30" t="s">
        <v>95</v>
      </c>
      <c r="W1832" s="33"/>
      <c r="X1832" s="33"/>
      <c r="Y1832" s="30"/>
      <c r="Z1832" s="30"/>
      <c r="AA1832" s="33"/>
      <c r="AB1832" s="33"/>
      <c r="AC1832" s="30"/>
      <c r="AD1832" s="30"/>
      <c r="AE1832" s="33"/>
      <c r="AF1832" s="31"/>
      <c r="AG1832" s="30"/>
      <c r="AH1832" s="30"/>
      <c r="AI1832" s="31"/>
      <c r="AJ1832" s="31"/>
      <c r="AK1832" s="32"/>
    </row>
    <row r="1833">
      <c r="A1833" s="21" t="s">
        <v>141</v>
      </c>
      <c r="B1833" s="22" t="s">
        <v>3203</v>
      </c>
      <c r="C1833" s="22" t="s">
        <v>273</v>
      </c>
      <c r="D1833" s="23">
        <v>45991.0</v>
      </c>
      <c r="E1833" s="22" t="s">
        <v>181</v>
      </c>
      <c r="F1833" s="22" t="s">
        <v>83</v>
      </c>
      <c r="G1833" s="22" t="s">
        <v>3484</v>
      </c>
      <c r="H1833" s="22" t="s">
        <v>141</v>
      </c>
      <c r="I1833" s="22">
        <v>1.0485483569475E13</v>
      </c>
      <c r="J1833" s="22" t="s">
        <v>3205</v>
      </c>
      <c r="K1833" s="24"/>
      <c r="L1833" s="22" t="s">
        <v>262</v>
      </c>
      <c r="M1833" s="22">
        <v>1.0</v>
      </c>
      <c r="N1833" s="22" t="s">
        <v>263</v>
      </c>
      <c r="O1833" s="22" t="s">
        <v>264</v>
      </c>
      <c r="P1833" s="24"/>
      <c r="Q1833" s="22" t="s">
        <v>90</v>
      </c>
      <c r="R1833" s="22">
        <v>3.2809767174467E13</v>
      </c>
      <c r="S1833" s="24"/>
      <c r="T1833" s="24"/>
      <c r="U1833" s="24"/>
      <c r="V1833" s="30" t="s">
        <v>54</v>
      </c>
      <c r="W1833" s="33"/>
      <c r="X1833" s="33"/>
      <c r="Y1833" s="30"/>
      <c r="Z1833" s="30"/>
      <c r="AA1833" s="33"/>
      <c r="AB1833" s="33"/>
      <c r="AC1833" s="30"/>
      <c r="AD1833" s="30"/>
      <c r="AE1833" s="33"/>
      <c r="AF1833" s="31"/>
      <c r="AG1833" s="30"/>
      <c r="AH1833" s="30"/>
      <c r="AI1833" s="31"/>
      <c r="AJ1833" s="31"/>
      <c r="AK1833" s="32"/>
    </row>
    <row r="1834">
      <c r="A1834" s="21" t="s">
        <v>1204</v>
      </c>
      <c r="B1834" s="22" t="s">
        <v>1247</v>
      </c>
      <c r="C1834" s="22" t="s">
        <v>82</v>
      </c>
      <c r="D1834" s="26">
        <v>45997.0</v>
      </c>
      <c r="E1834" s="22" t="s">
        <v>266</v>
      </c>
      <c r="F1834" s="22" t="s">
        <v>623</v>
      </c>
      <c r="G1834" s="22" t="s">
        <v>3485</v>
      </c>
      <c r="H1834" s="22" t="s">
        <v>1204</v>
      </c>
      <c r="I1834" s="22">
        <v>1.0485484781891E13</v>
      </c>
      <c r="J1834" s="22" t="s">
        <v>3486</v>
      </c>
      <c r="K1834" s="24"/>
      <c r="L1834" s="22" t="s">
        <v>1208</v>
      </c>
      <c r="M1834" s="22">
        <v>1.0</v>
      </c>
      <c r="N1834" s="22" t="s">
        <v>627</v>
      </c>
      <c r="O1834" s="22" t="s">
        <v>628</v>
      </c>
      <c r="P1834" s="24"/>
      <c r="Q1834" s="22" t="s">
        <v>90</v>
      </c>
      <c r="R1834" s="22">
        <v>3.2809769238851E13</v>
      </c>
      <c r="S1834" s="24"/>
      <c r="T1834" s="24"/>
      <c r="U1834" s="24"/>
      <c r="V1834" s="30" t="s">
        <v>91</v>
      </c>
      <c r="W1834" s="33"/>
      <c r="X1834" s="33"/>
      <c r="Y1834" s="30"/>
      <c r="Z1834" s="30"/>
      <c r="AA1834" s="33"/>
      <c r="AB1834" s="33"/>
      <c r="AC1834" s="30"/>
      <c r="AD1834" s="30"/>
      <c r="AE1834" s="33"/>
      <c r="AF1834" s="31"/>
      <c r="AG1834" s="30"/>
      <c r="AH1834" s="30"/>
      <c r="AI1834" s="31"/>
      <c r="AJ1834" s="31"/>
      <c r="AK1834" s="32"/>
    </row>
    <row r="1835">
      <c r="A1835" s="21" t="s">
        <v>470</v>
      </c>
      <c r="B1835" s="22" t="s">
        <v>1343</v>
      </c>
      <c r="C1835" s="22" t="s">
        <v>273</v>
      </c>
      <c r="D1835" s="26">
        <v>45998.0</v>
      </c>
      <c r="E1835" s="22" t="s">
        <v>266</v>
      </c>
      <c r="F1835" s="22" t="s">
        <v>472</v>
      </c>
      <c r="G1835" s="22" t="s">
        <v>3487</v>
      </c>
      <c r="H1835" s="22" t="s">
        <v>470</v>
      </c>
      <c r="I1835" s="22">
        <v>1.0485444706627E13</v>
      </c>
      <c r="J1835" s="22" t="s">
        <v>3167</v>
      </c>
      <c r="K1835" s="24"/>
      <c r="L1835" s="22" t="s">
        <v>475</v>
      </c>
      <c r="M1835" s="22">
        <v>1.0</v>
      </c>
      <c r="N1835" s="22" t="s">
        <v>476</v>
      </c>
      <c r="O1835" s="22" t="s">
        <v>477</v>
      </c>
      <c r="P1835" s="24"/>
      <c r="Q1835" s="22" t="s">
        <v>90</v>
      </c>
      <c r="R1835" s="22">
        <v>3.2809684533571E13</v>
      </c>
      <c r="S1835" s="24"/>
      <c r="T1835" s="24"/>
      <c r="U1835" s="24"/>
      <c r="V1835" s="30" t="s">
        <v>91</v>
      </c>
      <c r="W1835" s="33"/>
      <c r="X1835" s="33"/>
      <c r="Y1835" s="30"/>
      <c r="Z1835" s="30"/>
      <c r="AA1835" s="33"/>
      <c r="AB1835" s="33"/>
      <c r="AC1835" s="30"/>
      <c r="AD1835" s="30"/>
      <c r="AE1835" s="33"/>
      <c r="AF1835" s="31"/>
      <c r="AG1835" s="30"/>
      <c r="AH1835" s="30"/>
      <c r="AI1835" s="31"/>
      <c r="AJ1835" s="31"/>
      <c r="AK1835" s="32"/>
    </row>
    <row r="1836">
      <c r="A1836" s="21" t="s">
        <v>80</v>
      </c>
      <c r="B1836" s="22" t="s">
        <v>1416</v>
      </c>
      <c r="C1836" s="22" t="s">
        <v>273</v>
      </c>
      <c r="D1836" s="26">
        <v>45998.0</v>
      </c>
      <c r="E1836" s="22" t="s">
        <v>138</v>
      </c>
      <c r="F1836" s="22" t="s">
        <v>83</v>
      </c>
      <c r="G1836" s="22" t="s">
        <v>3488</v>
      </c>
      <c r="H1836" s="22" t="s">
        <v>80</v>
      </c>
      <c r="I1836" s="22">
        <v>1.0485447786819E13</v>
      </c>
      <c r="J1836" s="22" t="s">
        <v>3489</v>
      </c>
      <c r="K1836" s="24"/>
      <c r="L1836" s="22" t="s">
        <v>86</v>
      </c>
      <c r="M1836" s="22">
        <v>1.0</v>
      </c>
      <c r="N1836" s="22" t="s">
        <v>87</v>
      </c>
      <c r="O1836" s="22" t="s">
        <v>88</v>
      </c>
      <c r="P1836" s="24"/>
      <c r="Q1836" s="22" t="s">
        <v>90</v>
      </c>
      <c r="R1836" s="22">
        <v>3.2809692135747E13</v>
      </c>
      <c r="S1836" s="24"/>
      <c r="T1836" s="24"/>
      <c r="U1836" s="24"/>
      <c r="V1836" s="30" t="s">
        <v>91</v>
      </c>
      <c r="W1836" s="33"/>
      <c r="X1836" s="33"/>
      <c r="Y1836" s="30"/>
      <c r="Z1836" s="30"/>
      <c r="AA1836" s="33"/>
      <c r="AB1836" s="33"/>
      <c r="AC1836" s="30"/>
      <c r="AD1836" s="30"/>
      <c r="AE1836" s="33"/>
      <c r="AF1836" s="31"/>
      <c r="AG1836" s="30"/>
      <c r="AH1836" s="30"/>
      <c r="AI1836" s="31"/>
      <c r="AJ1836" s="31"/>
      <c r="AK1836" s="32"/>
    </row>
    <row r="1837">
      <c r="A1837" s="21" t="s">
        <v>415</v>
      </c>
      <c r="B1837" s="22" t="s">
        <v>1382</v>
      </c>
      <c r="C1837" s="22" t="s">
        <v>82</v>
      </c>
      <c r="D1837" s="26">
        <v>45997.0</v>
      </c>
      <c r="E1837" s="22" t="s">
        <v>248</v>
      </c>
      <c r="F1837" s="22" t="s">
        <v>377</v>
      </c>
      <c r="G1837" s="22" t="s">
        <v>3490</v>
      </c>
      <c r="H1837" s="22" t="s">
        <v>415</v>
      </c>
      <c r="I1837" s="22">
        <v>1.0485450408259E13</v>
      </c>
      <c r="J1837" s="22" t="s">
        <v>3174</v>
      </c>
      <c r="K1837" s="24"/>
      <c r="L1837" s="22" t="s">
        <v>419</v>
      </c>
      <c r="M1837" s="22">
        <v>1.0</v>
      </c>
      <c r="N1837" s="22" t="s">
        <v>381</v>
      </c>
      <c r="O1837" s="22" t="s">
        <v>382</v>
      </c>
      <c r="P1837" s="24"/>
      <c r="Q1837" s="22" t="s">
        <v>90</v>
      </c>
      <c r="R1837" s="22">
        <v>3.2809697214787E13</v>
      </c>
      <c r="S1837" s="24"/>
      <c r="T1837" s="24"/>
      <c r="U1837" s="24"/>
      <c r="V1837" s="30" t="s">
        <v>91</v>
      </c>
      <c r="W1837" s="33"/>
      <c r="X1837" s="33"/>
      <c r="Y1837" s="30"/>
      <c r="Z1837" s="30"/>
      <c r="AA1837" s="33"/>
      <c r="AB1837" s="33"/>
      <c r="AC1837" s="30"/>
      <c r="AD1837" s="30"/>
      <c r="AE1837" s="33"/>
      <c r="AF1837" s="31"/>
      <c r="AG1837" s="30"/>
      <c r="AH1837" s="30"/>
      <c r="AI1837" s="31"/>
      <c r="AJ1837" s="31"/>
      <c r="AK1837" s="32"/>
    </row>
    <row r="1838">
      <c r="A1838" s="21" t="s">
        <v>1200</v>
      </c>
      <c r="B1838" s="22" t="s">
        <v>277</v>
      </c>
      <c r="C1838" s="22" t="s">
        <v>82</v>
      </c>
      <c r="D1838" s="26">
        <v>45997.0</v>
      </c>
      <c r="E1838" s="22" t="s">
        <v>138</v>
      </c>
      <c r="F1838" s="22" t="s">
        <v>278</v>
      </c>
      <c r="G1838" s="22" t="s">
        <v>3491</v>
      </c>
      <c r="H1838" s="22" t="s">
        <v>1200</v>
      </c>
      <c r="I1838" s="22">
        <v>1.0485485535555E13</v>
      </c>
      <c r="J1838" s="22" t="s">
        <v>554</v>
      </c>
      <c r="K1838" s="24"/>
      <c r="L1838" s="22" t="s">
        <v>1203</v>
      </c>
      <c r="M1838" s="22">
        <v>1.0</v>
      </c>
      <c r="N1838" s="22" t="s">
        <v>282</v>
      </c>
      <c r="O1838" s="22" t="s">
        <v>283</v>
      </c>
      <c r="P1838" s="24"/>
      <c r="Q1838" s="22" t="s">
        <v>90</v>
      </c>
      <c r="R1838" s="22">
        <v>3.2809771041091E13</v>
      </c>
      <c r="S1838" s="24"/>
      <c r="T1838" s="24"/>
      <c r="U1838" s="24"/>
      <c r="V1838" s="30" t="s">
        <v>91</v>
      </c>
      <c r="W1838" s="33"/>
      <c r="X1838" s="33"/>
      <c r="Y1838" s="30"/>
      <c r="Z1838" s="30"/>
      <c r="AA1838" s="33"/>
      <c r="AB1838" s="33"/>
      <c r="AC1838" s="30"/>
      <c r="AD1838" s="30"/>
      <c r="AE1838" s="33"/>
      <c r="AF1838" s="31"/>
      <c r="AG1838" s="30"/>
      <c r="AH1838" s="30"/>
      <c r="AI1838" s="31"/>
      <c r="AJ1838" s="31"/>
      <c r="AK1838" s="32"/>
    </row>
    <row r="1839">
      <c r="A1839" s="21" t="s">
        <v>885</v>
      </c>
      <c r="B1839" s="22" t="s">
        <v>2033</v>
      </c>
      <c r="C1839" s="22" t="s">
        <v>82</v>
      </c>
      <c r="D1839" s="26">
        <v>45997.0</v>
      </c>
      <c r="E1839" s="22" t="s">
        <v>1073</v>
      </c>
      <c r="F1839" s="22" t="s">
        <v>605</v>
      </c>
      <c r="G1839" s="22" t="s">
        <v>3492</v>
      </c>
      <c r="H1839" s="22" t="s">
        <v>885</v>
      </c>
      <c r="I1839" s="22">
        <v>1.0485508440387E13</v>
      </c>
      <c r="J1839" s="22" t="s">
        <v>3183</v>
      </c>
      <c r="K1839" s="24"/>
      <c r="L1839" s="22" t="s">
        <v>890</v>
      </c>
      <c r="M1839" s="22">
        <v>1.0</v>
      </c>
      <c r="N1839" s="22" t="s">
        <v>795</v>
      </c>
      <c r="O1839" s="22" t="s">
        <v>796</v>
      </c>
      <c r="P1839" s="24"/>
      <c r="Q1839" s="22" t="s">
        <v>90</v>
      </c>
      <c r="R1839" s="22">
        <v>3.2809817735491E13</v>
      </c>
      <c r="S1839" s="24"/>
      <c r="T1839" s="24"/>
      <c r="U1839" s="24"/>
      <c r="V1839" s="30" t="s">
        <v>127</v>
      </c>
      <c r="W1839" s="33"/>
      <c r="X1839" s="33"/>
      <c r="Y1839" s="30"/>
      <c r="Z1839" s="30"/>
      <c r="AA1839" s="33"/>
      <c r="AB1839" s="33"/>
      <c r="AC1839" s="30"/>
      <c r="AD1839" s="30"/>
      <c r="AE1839" s="33"/>
      <c r="AF1839" s="31"/>
      <c r="AG1839" s="30"/>
      <c r="AH1839" s="30"/>
      <c r="AI1839" s="31"/>
      <c r="AJ1839" s="31"/>
      <c r="AK1839" s="32"/>
    </row>
    <row r="1840">
      <c r="A1840" s="21" t="s">
        <v>92</v>
      </c>
      <c r="B1840" s="22" t="s">
        <v>1352</v>
      </c>
      <c r="C1840" s="22" t="s">
        <v>82</v>
      </c>
      <c r="D1840" s="26">
        <v>45997.0</v>
      </c>
      <c r="E1840" s="22" t="s">
        <v>153</v>
      </c>
      <c r="F1840" s="22" t="s">
        <v>83</v>
      </c>
      <c r="G1840" s="22" t="s">
        <v>3493</v>
      </c>
      <c r="H1840" s="22" t="s">
        <v>92</v>
      </c>
      <c r="I1840" s="22">
        <v>1.0485523972419E13</v>
      </c>
      <c r="J1840" s="22" t="s">
        <v>2950</v>
      </c>
      <c r="K1840" s="24"/>
      <c r="L1840" s="22" t="s">
        <v>94</v>
      </c>
      <c r="M1840" s="22">
        <v>1.0</v>
      </c>
      <c r="N1840" s="22" t="s">
        <v>87</v>
      </c>
      <c r="O1840" s="22" t="s">
        <v>88</v>
      </c>
      <c r="P1840" s="24"/>
      <c r="Q1840" s="22" t="s">
        <v>90</v>
      </c>
      <c r="R1840" s="22">
        <v>3.2809850110275E13</v>
      </c>
      <c r="S1840" s="24"/>
      <c r="T1840" s="24"/>
      <c r="U1840" s="24"/>
      <c r="V1840" s="30" t="s">
        <v>95</v>
      </c>
      <c r="W1840" s="33"/>
      <c r="X1840" s="33"/>
      <c r="Y1840" s="30"/>
      <c r="Z1840" s="30"/>
      <c r="AA1840" s="33"/>
      <c r="AB1840" s="33"/>
      <c r="AC1840" s="30"/>
      <c r="AD1840" s="30"/>
      <c r="AE1840" s="33"/>
      <c r="AF1840" s="31"/>
      <c r="AG1840" s="30"/>
      <c r="AH1840" s="30"/>
      <c r="AI1840" s="31"/>
      <c r="AJ1840" s="31"/>
      <c r="AK1840" s="32"/>
    </row>
    <row r="1841">
      <c r="A1841" s="21" t="s">
        <v>96</v>
      </c>
      <c r="B1841" s="22" t="s">
        <v>1568</v>
      </c>
      <c r="C1841" s="22" t="s">
        <v>273</v>
      </c>
      <c r="D1841" s="23">
        <v>45991.0</v>
      </c>
      <c r="E1841" s="22" t="s">
        <v>134</v>
      </c>
      <c r="F1841" s="22" t="s">
        <v>83</v>
      </c>
      <c r="G1841" s="22" t="s">
        <v>3494</v>
      </c>
      <c r="H1841" s="22" t="s">
        <v>96</v>
      </c>
      <c r="I1841" s="22">
        <v>1.0485527478595E13</v>
      </c>
      <c r="J1841" s="22" t="s">
        <v>3495</v>
      </c>
      <c r="K1841" s="24"/>
      <c r="L1841" s="22" t="s">
        <v>269</v>
      </c>
      <c r="M1841" s="22">
        <v>1.0</v>
      </c>
      <c r="N1841" s="22" t="s">
        <v>263</v>
      </c>
      <c r="O1841" s="22" t="s">
        <v>264</v>
      </c>
      <c r="P1841" s="24"/>
      <c r="Q1841" s="22" t="s">
        <v>90</v>
      </c>
      <c r="R1841" s="22">
        <v>3.2809857876291E13</v>
      </c>
      <c r="S1841" s="24"/>
      <c r="T1841" s="24"/>
      <c r="U1841" s="24"/>
      <c r="V1841" s="30" t="s">
        <v>55</v>
      </c>
      <c r="W1841" s="33"/>
      <c r="X1841" s="33"/>
      <c r="Y1841" s="30"/>
      <c r="Z1841" s="30"/>
      <c r="AA1841" s="33"/>
      <c r="AB1841" s="33"/>
      <c r="AC1841" s="30"/>
      <c r="AD1841" s="30"/>
      <c r="AE1841" s="33"/>
      <c r="AF1841" s="31"/>
      <c r="AG1841" s="30"/>
      <c r="AH1841" s="30"/>
      <c r="AI1841" s="31"/>
      <c r="AJ1841" s="31"/>
      <c r="AK1841" s="32"/>
    </row>
    <row r="1842">
      <c r="A1842" s="21" t="s">
        <v>611</v>
      </c>
      <c r="B1842" s="22" t="s">
        <v>3496</v>
      </c>
      <c r="C1842" s="22" t="s">
        <v>273</v>
      </c>
      <c r="D1842" s="26">
        <v>45998.0</v>
      </c>
      <c r="E1842" s="22" t="s">
        <v>153</v>
      </c>
      <c r="F1842" s="22" t="s">
        <v>369</v>
      </c>
      <c r="G1842" s="22" t="s">
        <v>3497</v>
      </c>
      <c r="H1842" s="22" t="s">
        <v>611</v>
      </c>
      <c r="I1842" s="22">
        <v>1.0485532754243E13</v>
      </c>
      <c r="J1842" s="22" t="s">
        <v>2971</v>
      </c>
      <c r="K1842" s="24"/>
      <c r="L1842" s="22" t="s">
        <v>613</v>
      </c>
      <c r="M1842" s="22">
        <v>1.0</v>
      </c>
      <c r="N1842" s="22" t="s">
        <v>600</v>
      </c>
      <c r="O1842" s="22" t="s">
        <v>601</v>
      </c>
      <c r="P1842" s="24"/>
      <c r="Q1842" s="22" t="s">
        <v>90</v>
      </c>
      <c r="R1842" s="22">
        <v>3.2809870459203E13</v>
      </c>
      <c r="S1842" s="24"/>
      <c r="T1842" s="24"/>
      <c r="U1842" s="24"/>
      <c r="V1842" s="30" t="s">
        <v>105</v>
      </c>
      <c r="W1842" s="33"/>
      <c r="X1842" s="33"/>
      <c r="Y1842" s="30"/>
      <c r="Z1842" s="30"/>
      <c r="AA1842" s="33"/>
      <c r="AB1842" s="33"/>
      <c r="AC1842" s="30"/>
      <c r="AD1842" s="30"/>
      <c r="AE1842" s="33"/>
      <c r="AF1842" s="31"/>
      <c r="AG1842" s="30"/>
      <c r="AH1842" s="30"/>
      <c r="AI1842" s="31"/>
      <c r="AJ1842" s="31"/>
      <c r="AK1842" s="32"/>
    </row>
    <row r="1843">
      <c r="A1843" s="21" t="s">
        <v>732</v>
      </c>
      <c r="B1843" s="22" t="s">
        <v>3255</v>
      </c>
      <c r="C1843" s="22" t="s">
        <v>82</v>
      </c>
      <c r="D1843" s="26">
        <v>45997.0</v>
      </c>
      <c r="E1843" s="22" t="s">
        <v>134</v>
      </c>
      <c r="F1843" s="22" t="s">
        <v>634</v>
      </c>
      <c r="G1843" s="22" t="s">
        <v>3498</v>
      </c>
      <c r="H1843" s="22" t="s">
        <v>732</v>
      </c>
      <c r="I1843" s="22">
        <v>1.0485544845635E13</v>
      </c>
      <c r="J1843" s="22" t="s">
        <v>3257</v>
      </c>
      <c r="K1843" s="24"/>
      <c r="L1843" s="22" t="s">
        <v>737</v>
      </c>
      <c r="M1843" s="22">
        <v>1.0</v>
      </c>
      <c r="N1843" s="22" t="s">
        <v>738</v>
      </c>
      <c r="O1843" s="22" t="s">
        <v>739</v>
      </c>
      <c r="P1843" s="24"/>
      <c r="Q1843" s="22" t="s">
        <v>90</v>
      </c>
      <c r="R1843" s="22">
        <v>3.2809897296195E13</v>
      </c>
      <c r="S1843" s="24"/>
      <c r="T1843" s="24"/>
      <c r="U1843" s="24"/>
      <c r="V1843" s="30" t="s">
        <v>105</v>
      </c>
      <c r="W1843" s="33"/>
      <c r="X1843" s="33"/>
      <c r="Y1843" s="30"/>
      <c r="Z1843" s="30"/>
      <c r="AA1843" s="33"/>
      <c r="AB1843" s="33"/>
      <c r="AC1843" s="30"/>
      <c r="AD1843" s="30"/>
      <c r="AE1843" s="33"/>
      <c r="AF1843" s="31"/>
      <c r="AG1843" s="30"/>
      <c r="AH1843" s="30"/>
      <c r="AI1843" s="31"/>
      <c r="AJ1843" s="31"/>
      <c r="AK1843" s="32"/>
    </row>
    <row r="1844">
      <c r="A1844" s="21" t="s">
        <v>99</v>
      </c>
      <c r="B1844" s="22" t="s">
        <v>3499</v>
      </c>
      <c r="C1844" s="22" t="s">
        <v>287</v>
      </c>
      <c r="D1844" s="23">
        <v>46001.0</v>
      </c>
      <c r="E1844" s="22" t="s">
        <v>266</v>
      </c>
      <c r="F1844" s="22" t="s">
        <v>83</v>
      </c>
      <c r="G1844" s="22" t="s">
        <v>3500</v>
      </c>
      <c r="H1844" s="22" t="s">
        <v>99</v>
      </c>
      <c r="I1844" s="22">
        <v>1.0485554250051E13</v>
      </c>
      <c r="J1844" s="22" t="s">
        <v>3501</v>
      </c>
      <c r="K1844" s="24"/>
      <c r="L1844" s="22" t="s">
        <v>102</v>
      </c>
      <c r="M1844" s="22">
        <v>1.0</v>
      </c>
      <c r="N1844" s="22" t="s">
        <v>103</v>
      </c>
      <c r="O1844" s="22" t="s">
        <v>104</v>
      </c>
      <c r="P1844" s="24"/>
      <c r="Q1844" s="22" t="s">
        <v>90</v>
      </c>
      <c r="R1844" s="22">
        <v>3.2809918005571E13</v>
      </c>
      <c r="S1844" s="24"/>
      <c r="T1844" s="24"/>
      <c r="U1844" s="24"/>
      <c r="V1844" s="30" t="s">
        <v>105</v>
      </c>
      <c r="W1844" s="33"/>
      <c r="X1844" s="33"/>
      <c r="Y1844" s="30"/>
      <c r="Z1844" s="30"/>
      <c r="AA1844" s="33"/>
      <c r="AB1844" s="33"/>
      <c r="AC1844" s="30"/>
      <c r="AD1844" s="30"/>
      <c r="AE1844" s="33"/>
      <c r="AF1844" s="31"/>
      <c r="AG1844" s="30"/>
      <c r="AH1844" s="30"/>
      <c r="AI1844" s="31"/>
      <c r="AJ1844" s="31"/>
      <c r="AK1844" s="32"/>
    </row>
    <row r="1845">
      <c r="A1845" s="21" t="s">
        <v>658</v>
      </c>
      <c r="B1845" s="22" t="s">
        <v>3267</v>
      </c>
      <c r="C1845" s="22" t="s">
        <v>82</v>
      </c>
      <c r="D1845" s="26">
        <v>45997.0</v>
      </c>
      <c r="E1845" s="22" t="s">
        <v>149</v>
      </c>
      <c r="F1845" s="22" t="s">
        <v>341</v>
      </c>
      <c r="G1845" s="22" t="s">
        <v>3502</v>
      </c>
      <c r="H1845" s="22" t="s">
        <v>658</v>
      </c>
      <c r="I1845" s="22">
        <v>1.0485560869187E13</v>
      </c>
      <c r="J1845" s="22" t="s">
        <v>3269</v>
      </c>
      <c r="K1845" s="24"/>
      <c r="L1845" s="22" t="s">
        <v>662</v>
      </c>
      <c r="M1845" s="22">
        <v>1.0</v>
      </c>
      <c r="N1845" s="22" t="s">
        <v>345</v>
      </c>
      <c r="O1845" s="22" t="s">
        <v>346</v>
      </c>
      <c r="P1845" s="24"/>
      <c r="Q1845" s="22" t="s">
        <v>90</v>
      </c>
      <c r="R1845" s="22">
        <v>3.2809931014467E13</v>
      </c>
      <c r="S1845" s="24"/>
      <c r="T1845" s="24"/>
      <c r="U1845" s="24"/>
      <c r="V1845" s="30" t="s">
        <v>95</v>
      </c>
      <c r="W1845" s="33"/>
      <c r="X1845" s="33"/>
      <c r="Y1845" s="30"/>
      <c r="Z1845" s="30"/>
      <c r="AA1845" s="33"/>
      <c r="AB1845" s="33"/>
      <c r="AC1845" s="30"/>
      <c r="AD1845" s="30"/>
      <c r="AE1845" s="33"/>
      <c r="AF1845" s="31"/>
      <c r="AG1845" s="30"/>
      <c r="AH1845" s="30"/>
      <c r="AI1845" s="31"/>
      <c r="AJ1845" s="31"/>
      <c r="AK1845" s="32"/>
    </row>
    <row r="1846">
      <c r="A1846" s="21" t="s">
        <v>529</v>
      </c>
      <c r="B1846" s="22" t="s">
        <v>471</v>
      </c>
      <c r="C1846" s="22" t="s">
        <v>82</v>
      </c>
      <c r="D1846" s="26">
        <v>45997.0</v>
      </c>
      <c r="E1846" s="22" t="s">
        <v>134</v>
      </c>
      <c r="F1846" s="22" t="s">
        <v>472</v>
      </c>
      <c r="G1846" s="22" t="s">
        <v>3503</v>
      </c>
      <c r="H1846" s="22" t="s">
        <v>529</v>
      </c>
      <c r="I1846" s="22">
        <v>1.0485562409283E13</v>
      </c>
      <c r="J1846" s="22" t="s">
        <v>3019</v>
      </c>
      <c r="K1846" s="24"/>
      <c r="L1846" s="22" t="s">
        <v>533</v>
      </c>
      <c r="M1846" s="22">
        <v>1.0</v>
      </c>
      <c r="N1846" s="22" t="s">
        <v>534</v>
      </c>
      <c r="O1846" s="22" t="s">
        <v>535</v>
      </c>
      <c r="P1846" s="24"/>
      <c r="Q1846" s="22" t="s">
        <v>90</v>
      </c>
      <c r="R1846" s="22">
        <v>3.2809934717251E13</v>
      </c>
      <c r="S1846" s="24"/>
      <c r="T1846" s="24"/>
      <c r="U1846" s="24"/>
      <c r="V1846" s="30" t="s">
        <v>127</v>
      </c>
      <c r="W1846" s="33"/>
      <c r="X1846" s="33"/>
      <c r="Y1846" s="30"/>
      <c r="Z1846" s="30"/>
      <c r="AA1846" s="33"/>
      <c r="AB1846" s="33"/>
      <c r="AC1846" s="30"/>
      <c r="AD1846" s="30"/>
      <c r="AE1846" s="33"/>
      <c r="AF1846" s="31"/>
      <c r="AG1846" s="30"/>
      <c r="AH1846" s="30"/>
      <c r="AI1846" s="31"/>
      <c r="AJ1846" s="31"/>
      <c r="AK1846" s="32"/>
    </row>
    <row r="1847">
      <c r="A1847" s="21" t="s">
        <v>1617</v>
      </c>
      <c r="B1847" s="22" t="s">
        <v>2944</v>
      </c>
      <c r="C1847" s="22" t="s">
        <v>82</v>
      </c>
      <c r="D1847" s="26">
        <v>45997.0</v>
      </c>
      <c r="E1847" s="22" t="s">
        <v>138</v>
      </c>
      <c r="F1847" s="22" t="s">
        <v>1466</v>
      </c>
      <c r="G1847" s="22" t="s">
        <v>3504</v>
      </c>
      <c r="H1847" s="22" t="s">
        <v>1617</v>
      </c>
      <c r="I1847" s="22">
        <v>1.0485565948227E13</v>
      </c>
      <c r="J1847" s="22" t="s">
        <v>2946</v>
      </c>
      <c r="K1847" s="24"/>
      <c r="L1847" s="22" t="s">
        <v>1621</v>
      </c>
      <c r="M1847" s="22">
        <v>1.0</v>
      </c>
      <c r="N1847" s="22" t="s">
        <v>1470</v>
      </c>
      <c r="O1847" s="22" t="s">
        <v>1471</v>
      </c>
      <c r="P1847" s="24"/>
      <c r="Q1847" s="22" t="s">
        <v>90</v>
      </c>
      <c r="R1847" s="22">
        <v>3.2809941467459E13</v>
      </c>
      <c r="S1847" s="24"/>
      <c r="T1847" s="24"/>
      <c r="U1847" s="24"/>
      <c r="V1847" s="30" t="s">
        <v>95</v>
      </c>
      <c r="W1847" s="33"/>
      <c r="X1847" s="33"/>
      <c r="Y1847" s="30"/>
      <c r="Z1847" s="30"/>
      <c r="AA1847" s="33"/>
      <c r="AB1847" s="33"/>
      <c r="AC1847" s="30"/>
      <c r="AD1847" s="30"/>
      <c r="AE1847" s="33"/>
      <c r="AF1847" s="31"/>
      <c r="AG1847" s="30"/>
      <c r="AH1847" s="30"/>
      <c r="AI1847" s="31"/>
      <c r="AJ1847" s="31"/>
      <c r="AK1847" s="32"/>
    </row>
    <row r="1848">
      <c r="A1848" s="21" t="s">
        <v>488</v>
      </c>
      <c r="B1848" s="22" t="s">
        <v>3505</v>
      </c>
      <c r="C1848" s="22" t="s">
        <v>82</v>
      </c>
      <c r="D1848" s="26">
        <v>45997.0</v>
      </c>
      <c r="E1848" s="22" t="s">
        <v>134</v>
      </c>
      <c r="F1848" s="22" t="s">
        <v>311</v>
      </c>
      <c r="G1848" s="22" t="s">
        <v>3506</v>
      </c>
      <c r="H1848" s="22" t="s">
        <v>488</v>
      </c>
      <c r="I1848" s="22">
        <v>1.0485581775171E13</v>
      </c>
      <c r="J1848" s="22" t="s">
        <v>313</v>
      </c>
      <c r="K1848" s="24"/>
      <c r="L1848" s="22" t="s">
        <v>492</v>
      </c>
      <c r="M1848" s="22">
        <v>1.0</v>
      </c>
      <c r="N1848" s="22" t="s">
        <v>391</v>
      </c>
      <c r="O1848" s="22" t="s">
        <v>392</v>
      </c>
      <c r="P1848" s="24"/>
      <c r="Q1848" s="22" t="s">
        <v>90</v>
      </c>
      <c r="R1848" s="22">
        <v>3.2809975972163E13</v>
      </c>
      <c r="S1848" s="24"/>
      <c r="T1848" s="24"/>
      <c r="U1848" s="24"/>
      <c r="V1848" s="30" t="s">
        <v>95</v>
      </c>
      <c r="W1848" s="33"/>
      <c r="X1848" s="33"/>
      <c r="Y1848" s="30"/>
      <c r="Z1848" s="30"/>
      <c r="AA1848" s="33"/>
      <c r="AB1848" s="33"/>
      <c r="AC1848" s="30"/>
      <c r="AD1848" s="30"/>
      <c r="AE1848" s="33"/>
      <c r="AF1848" s="31"/>
      <c r="AG1848" s="30"/>
      <c r="AH1848" s="30"/>
      <c r="AI1848" s="31"/>
      <c r="AJ1848" s="31"/>
      <c r="AK1848" s="32"/>
    </row>
    <row r="1849">
      <c r="A1849" s="21" t="s">
        <v>938</v>
      </c>
      <c r="B1849" s="22" t="s">
        <v>471</v>
      </c>
      <c r="C1849" s="22" t="s">
        <v>82</v>
      </c>
      <c r="D1849" s="26">
        <v>45997.0</v>
      </c>
      <c r="E1849" s="22" t="s">
        <v>134</v>
      </c>
      <c r="F1849" s="22" t="s">
        <v>472</v>
      </c>
      <c r="G1849" s="22" t="s">
        <v>3507</v>
      </c>
      <c r="H1849" s="22" t="s">
        <v>938</v>
      </c>
      <c r="I1849" s="22">
        <v>1.0485585740099E13</v>
      </c>
      <c r="J1849" s="22" t="s">
        <v>3019</v>
      </c>
      <c r="K1849" s="24"/>
      <c r="L1849" s="22" t="s">
        <v>940</v>
      </c>
      <c r="M1849" s="22">
        <v>1.0</v>
      </c>
      <c r="N1849" s="22" t="s">
        <v>476</v>
      </c>
      <c r="O1849" s="22" t="s">
        <v>477</v>
      </c>
      <c r="P1849" s="24"/>
      <c r="Q1849" s="22" t="s">
        <v>90</v>
      </c>
      <c r="R1849" s="22">
        <v>3.2809984819523E13</v>
      </c>
      <c r="S1849" s="24"/>
      <c r="T1849" s="24"/>
      <c r="U1849" s="24"/>
      <c r="V1849" s="30" t="s">
        <v>54</v>
      </c>
      <c r="W1849" s="33"/>
      <c r="X1849" s="33"/>
      <c r="Y1849" s="30"/>
      <c r="Z1849" s="30"/>
      <c r="AA1849" s="33"/>
      <c r="AB1849" s="33"/>
      <c r="AC1849" s="30"/>
      <c r="AD1849" s="30"/>
      <c r="AE1849" s="33"/>
      <c r="AF1849" s="31"/>
      <c r="AG1849" s="30"/>
      <c r="AH1849" s="30"/>
      <c r="AI1849" s="31"/>
      <c r="AJ1849" s="31"/>
      <c r="AK1849" s="32"/>
    </row>
    <row r="1850">
      <c r="A1850" s="21" t="s">
        <v>92</v>
      </c>
      <c r="B1850" s="22" t="s">
        <v>1309</v>
      </c>
      <c r="C1850" s="22" t="s">
        <v>273</v>
      </c>
      <c r="D1850" s="26">
        <v>45998.0</v>
      </c>
      <c r="E1850" s="22" t="s">
        <v>134</v>
      </c>
      <c r="F1850" s="22" t="s">
        <v>83</v>
      </c>
      <c r="G1850" s="22" t="s">
        <v>3508</v>
      </c>
      <c r="H1850" s="22" t="s">
        <v>92</v>
      </c>
      <c r="I1850" s="22">
        <v>1.0485597569347E13</v>
      </c>
      <c r="J1850" s="22" t="s">
        <v>3101</v>
      </c>
      <c r="K1850" s="24"/>
      <c r="L1850" s="22" t="s">
        <v>94</v>
      </c>
      <c r="M1850" s="22">
        <v>1.0</v>
      </c>
      <c r="N1850" s="22" t="s">
        <v>87</v>
      </c>
      <c r="O1850" s="22" t="s">
        <v>88</v>
      </c>
      <c r="P1850" s="24"/>
      <c r="Q1850" s="22" t="s">
        <v>90</v>
      </c>
      <c r="R1850" s="22">
        <v>3.2810010542403E13</v>
      </c>
      <c r="S1850" s="24"/>
      <c r="T1850" s="24"/>
      <c r="U1850" s="24"/>
      <c r="V1850" s="30" t="s">
        <v>95</v>
      </c>
      <c r="W1850" s="33"/>
      <c r="X1850" s="33"/>
      <c r="Y1850" s="30"/>
      <c r="Z1850" s="30"/>
      <c r="AA1850" s="33"/>
      <c r="AB1850" s="33"/>
      <c r="AC1850" s="30"/>
      <c r="AD1850" s="30"/>
      <c r="AE1850" s="33"/>
      <c r="AF1850" s="31"/>
      <c r="AG1850" s="30"/>
      <c r="AH1850" s="30"/>
      <c r="AI1850" s="31"/>
      <c r="AJ1850" s="31"/>
      <c r="AK1850" s="32"/>
    </row>
    <row r="1851">
      <c r="A1851" s="21" t="s">
        <v>938</v>
      </c>
      <c r="B1851" s="22" t="s">
        <v>471</v>
      </c>
      <c r="C1851" s="22" t="s">
        <v>82</v>
      </c>
      <c r="D1851" s="26">
        <v>45997.0</v>
      </c>
      <c r="E1851" s="22" t="s">
        <v>134</v>
      </c>
      <c r="F1851" s="22" t="s">
        <v>472</v>
      </c>
      <c r="G1851" s="22" t="s">
        <v>3509</v>
      </c>
      <c r="H1851" s="22" t="s">
        <v>938</v>
      </c>
      <c r="I1851" s="22">
        <v>1.0485608546627E13</v>
      </c>
      <c r="J1851" s="22" t="s">
        <v>3019</v>
      </c>
      <c r="K1851" s="24"/>
      <c r="L1851" s="22" t="s">
        <v>940</v>
      </c>
      <c r="M1851" s="22">
        <v>1.0</v>
      </c>
      <c r="N1851" s="22" t="s">
        <v>476</v>
      </c>
      <c r="O1851" s="22" t="s">
        <v>477</v>
      </c>
      <c r="P1851" s="24"/>
      <c r="Q1851" s="22" t="s">
        <v>90</v>
      </c>
      <c r="R1851" s="22">
        <v>3.2810034102595E13</v>
      </c>
      <c r="S1851" s="24"/>
      <c r="T1851" s="24"/>
      <c r="U1851" s="24"/>
      <c r="V1851" s="30" t="s">
        <v>54</v>
      </c>
      <c r="W1851" s="33"/>
      <c r="X1851" s="33"/>
      <c r="Y1851" s="30"/>
      <c r="Z1851" s="30"/>
      <c r="AA1851" s="33"/>
      <c r="AB1851" s="33"/>
      <c r="AC1851" s="30"/>
      <c r="AD1851" s="30"/>
      <c r="AE1851" s="33"/>
      <c r="AF1851" s="31"/>
      <c r="AG1851" s="30"/>
      <c r="AH1851" s="30"/>
      <c r="AI1851" s="31"/>
      <c r="AJ1851" s="31"/>
      <c r="AK1851" s="32"/>
    </row>
    <row r="1852">
      <c r="A1852" s="21" t="s">
        <v>692</v>
      </c>
      <c r="B1852" s="22" t="s">
        <v>587</v>
      </c>
      <c r="C1852" s="22" t="s">
        <v>273</v>
      </c>
      <c r="D1852" s="26">
        <v>45998.0</v>
      </c>
      <c r="E1852" s="22" t="s">
        <v>153</v>
      </c>
      <c r="F1852" s="22" t="s">
        <v>369</v>
      </c>
      <c r="G1852" s="22" t="s">
        <v>3510</v>
      </c>
      <c r="H1852" s="22" t="s">
        <v>692</v>
      </c>
      <c r="I1852" s="22">
        <v>1.0485610742083E13</v>
      </c>
      <c r="J1852" s="22" t="s">
        <v>2971</v>
      </c>
      <c r="K1852" s="24"/>
      <c r="L1852" s="22" t="s">
        <v>694</v>
      </c>
      <c r="M1852" s="22">
        <v>1.0</v>
      </c>
      <c r="N1852" s="22" t="s">
        <v>373</v>
      </c>
      <c r="O1852" s="22" t="s">
        <v>374</v>
      </c>
      <c r="P1852" s="24"/>
      <c r="Q1852" s="22" t="s">
        <v>90</v>
      </c>
      <c r="R1852" s="22">
        <v>3.2810039771459E13</v>
      </c>
      <c r="S1852" s="24"/>
      <c r="T1852" s="24"/>
      <c r="U1852" s="24"/>
      <c r="V1852" s="30" t="s">
        <v>54</v>
      </c>
      <c r="W1852" s="33"/>
      <c r="X1852" s="33"/>
      <c r="Y1852" s="30"/>
      <c r="Z1852" s="30"/>
      <c r="AA1852" s="33"/>
      <c r="AB1852" s="33"/>
      <c r="AC1852" s="30"/>
      <c r="AD1852" s="30"/>
      <c r="AE1852" s="33"/>
      <c r="AF1852" s="31"/>
      <c r="AG1852" s="30"/>
      <c r="AH1852" s="30"/>
      <c r="AI1852" s="31"/>
      <c r="AJ1852" s="31"/>
      <c r="AK1852" s="32"/>
    </row>
    <row r="1853">
      <c r="A1853" s="21" t="s">
        <v>837</v>
      </c>
      <c r="B1853" s="22" t="s">
        <v>697</v>
      </c>
      <c r="C1853" s="22" t="s">
        <v>82</v>
      </c>
      <c r="D1853" s="26">
        <v>45997.0</v>
      </c>
      <c r="E1853" s="22" t="s">
        <v>439</v>
      </c>
      <c r="F1853" s="22" t="s">
        <v>698</v>
      </c>
      <c r="G1853" s="22" t="s">
        <v>3511</v>
      </c>
      <c r="H1853" s="22" t="s">
        <v>837</v>
      </c>
      <c r="I1853" s="22">
        <v>1.0485617295683E13</v>
      </c>
      <c r="J1853" s="22" t="s">
        <v>3385</v>
      </c>
      <c r="K1853" s="24"/>
      <c r="L1853" s="22" t="s">
        <v>839</v>
      </c>
      <c r="M1853" s="22">
        <v>1.0</v>
      </c>
      <c r="N1853" s="22" t="s">
        <v>819</v>
      </c>
      <c r="O1853" s="22" t="s">
        <v>820</v>
      </c>
      <c r="P1853" s="24"/>
      <c r="Q1853" s="22" t="s">
        <v>90</v>
      </c>
      <c r="R1853" s="22">
        <v>3.2810053894467E13</v>
      </c>
      <c r="S1853" s="24"/>
      <c r="T1853" s="24"/>
      <c r="U1853" s="24"/>
      <c r="V1853" s="30" t="s">
        <v>105</v>
      </c>
      <c r="W1853" s="33"/>
      <c r="X1853" s="33"/>
      <c r="Y1853" s="30"/>
      <c r="Z1853" s="30"/>
      <c r="AA1853" s="33"/>
      <c r="AB1853" s="33"/>
      <c r="AC1853" s="30"/>
      <c r="AD1853" s="30"/>
      <c r="AE1853" s="33"/>
      <c r="AF1853" s="31"/>
      <c r="AG1853" s="30"/>
      <c r="AH1853" s="30"/>
      <c r="AI1853" s="31"/>
      <c r="AJ1853" s="31"/>
      <c r="AK1853" s="32"/>
    </row>
    <row r="1854">
      <c r="A1854" s="21" t="s">
        <v>938</v>
      </c>
      <c r="B1854" s="22" t="s">
        <v>1544</v>
      </c>
      <c r="C1854" s="22" t="s">
        <v>82</v>
      </c>
      <c r="D1854" s="26">
        <v>45997.0</v>
      </c>
      <c r="E1854" s="22" t="s">
        <v>266</v>
      </c>
      <c r="F1854" s="22" t="s">
        <v>472</v>
      </c>
      <c r="G1854" s="22" t="s">
        <v>3512</v>
      </c>
      <c r="H1854" s="22" t="s">
        <v>938</v>
      </c>
      <c r="I1854" s="22">
        <v>1.0485623947587E13</v>
      </c>
      <c r="J1854" s="22" t="s">
        <v>3513</v>
      </c>
      <c r="K1854" s="24"/>
      <c r="L1854" s="22" t="s">
        <v>940</v>
      </c>
      <c r="M1854" s="22">
        <v>1.0</v>
      </c>
      <c r="N1854" s="22" t="s">
        <v>476</v>
      </c>
      <c r="O1854" s="22" t="s">
        <v>477</v>
      </c>
      <c r="P1854" s="24"/>
      <c r="Q1854" s="22" t="s">
        <v>90</v>
      </c>
      <c r="R1854" s="22">
        <v>3.2810068410691E13</v>
      </c>
      <c r="S1854" s="24"/>
      <c r="T1854" s="24"/>
      <c r="U1854" s="24"/>
      <c r="V1854" s="30" t="s">
        <v>54</v>
      </c>
      <c r="W1854" s="33"/>
      <c r="X1854" s="33"/>
      <c r="Y1854" s="30"/>
      <c r="Z1854" s="30"/>
      <c r="AA1854" s="33"/>
      <c r="AB1854" s="33"/>
      <c r="AC1854" s="30"/>
      <c r="AD1854" s="30"/>
      <c r="AE1854" s="33"/>
      <c r="AF1854" s="31"/>
      <c r="AG1854" s="30"/>
      <c r="AH1854" s="30"/>
      <c r="AI1854" s="31"/>
      <c r="AJ1854" s="31"/>
      <c r="AK1854" s="32"/>
    </row>
    <row r="1855">
      <c r="A1855" s="21" t="s">
        <v>1180</v>
      </c>
      <c r="B1855" s="22" t="s">
        <v>763</v>
      </c>
      <c r="C1855" s="22" t="s">
        <v>82</v>
      </c>
      <c r="D1855" s="26">
        <v>45997.0</v>
      </c>
      <c r="E1855" s="22" t="s">
        <v>149</v>
      </c>
      <c r="F1855" s="22" t="s">
        <v>623</v>
      </c>
      <c r="G1855" s="22" t="s">
        <v>3514</v>
      </c>
      <c r="H1855" s="22" t="s">
        <v>1180</v>
      </c>
      <c r="I1855" s="22">
        <v>1.0485625651523E13</v>
      </c>
      <c r="J1855" s="22" t="s">
        <v>2990</v>
      </c>
      <c r="K1855" s="24"/>
      <c r="L1855" s="22" t="s">
        <v>1182</v>
      </c>
      <c r="M1855" s="22">
        <v>1.0</v>
      </c>
      <c r="N1855" s="22" t="s">
        <v>1088</v>
      </c>
      <c r="O1855" s="22" t="s">
        <v>1089</v>
      </c>
      <c r="P1855" s="24"/>
      <c r="Q1855" s="22" t="s">
        <v>90</v>
      </c>
      <c r="R1855" s="22">
        <v>3.2810073063747E13</v>
      </c>
      <c r="S1855" s="24"/>
      <c r="T1855" s="24"/>
      <c r="U1855" s="24"/>
      <c r="V1855" s="30" t="s">
        <v>105</v>
      </c>
      <c r="W1855" s="33"/>
      <c r="X1855" s="33"/>
      <c r="Y1855" s="30"/>
      <c r="Z1855" s="30"/>
      <c r="AA1855" s="33"/>
      <c r="AB1855" s="33"/>
      <c r="AC1855" s="30"/>
      <c r="AD1855" s="30"/>
      <c r="AE1855" s="33"/>
      <c r="AF1855" s="31"/>
      <c r="AG1855" s="30"/>
      <c r="AH1855" s="30"/>
      <c r="AI1855" s="31"/>
      <c r="AJ1855" s="31"/>
      <c r="AK1855" s="32"/>
    </row>
    <row r="1856">
      <c r="A1856" s="21" t="s">
        <v>96</v>
      </c>
      <c r="B1856" s="22" t="s">
        <v>1568</v>
      </c>
      <c r="C1856" s="22" t="s">
        <v>273</v>
      </c>
      <c r="D1856" s="23">
        <v>45991.0</v>
      </c>
      <c r="E1856" s="22" t="s">
        <v>134</v>
      </c>
      <c r="F1856" s="22" t="s">
        <v>83</v>
      </c>
      <c r="G1856" s="22" t="s">
        <v>3515</v>
      </c>
      <c r="H1856" s="22" t="s">
        <v>96</v>
      </c>
      <c r="I1856" s="22">
        <v>1.0485627814211E13</v>
      </c>
      <c r="J1856" s="22" t="s">
        <v>3495</v>
      </c>
      <c r="K1856" s="24"/>
      <c r="L1856" s="22" t="s">
        <v>269</v>
      </c>
      <c r="M1856" s="22">
        <v>1.0</v>
      </c>
      <c r="N1856" s="22" t="s">
        <v>263</v>
      </c>
      <c r="O1856" s="22" t="s">
        <v>264</v>
      </c>
      <c r="P1856" s="24"/>
      <c r="Q1856" s="22" t="s">
        <v>90</v>
      </c>
      <c r="R1856" s="22">
        <v>3.2810077258051E13</v>
      </c>
      <c r="S1856" s="24"/>
      <c r="T1856" s="24"/>
      <c r="U1856" s="24"/>
      <c r="V1856" s="30" t="s">
        <v>55</v>
      </c>
      <c r="W1856" s="33"/>
      <c r="X1856" s="33"/>
      <c r="Y1856" s="30"/>
      <c r="Z1856" s="30"/>
      <c r="AA1856" s="33"/>
      <c r="AB1856" s="33"/>
      <c r="AC1856" s="30"/>
      <c r="AD1856" s="30"/>
      <c r="AE1856" s="33"/>
      <c r="AF1856" s="31"/>
      <c r="AG1856" s="30"/>
      <c r="AH1856" s="30"/>
      <c r="AI1856" s="31"/>
      <c r="AJ1856" s="31"/>
      <c r="AK1856" s="32"/>
    </row>
    <row r="1857">
      <c r="A1857" s="21" t="s">
        <v>92</v>
      </c>
      <c r="B1857" s="22" t="s">
        <v>3516</v>
      </c>
      <c r="C1857" s="22" t="s">
        <v>202</v>
      </c>
      <c r="D1857" s="23">
        <v>46003.0</v>
      </c>
      <c r="E1857" s="22" t="s">
        <v>192</v>
      </c>
      <c r="F1857" s="22" t="s">
        <v>83</v>
      </c>
      <c r="G1857" s="22" t="s">
        <v>3517</v>
      </c>
      <c r="H1857" s="22" t="s">
        <v>92</v>
      </c>
      <c r="I1857" s="22">
        <v>1.0485633253699E13</v>
      </c>
      <c r="J1857" s="22" t="s">
        <v>3518</v>
      </c>
      <c r="K1857" s="24"/>
      <c r="L1857" s="22" t="s">
        <v>94</v>
      </c>
      <c r="M1857" s="22">
        <v>1.0</v>
      </c>
      <c r="N1857" s="22" t="s">
        <v>87</v>
      </c>
      <c r="O1857" s="22" t="s">
        <v>88</v>
      </c>
      <c r="P1857" s="24"/>
      <c r="Q1857" s="22" t="s">
        <v>90</v>
      </c>
      <c r="R1857" s="22">
        <v>3.2810090561859E13</v>
      </c>
      <c r="S1857" s="24"/>
      <c r="T1857" s="24"/>
      <c r="U1857" s="24"/>
      <c r="V1857" s="30" t="s">
        <v>95</v>
      </c>
      <c r="W1857" s="33"/>
      <c r="X1857" s="33"/>
      <c r="Y1857" s="30"/>
      <c r="Z1857" s="30"/>
      <c r="AA1857" s="33"/>
      <c r="AB1857" s="33"/>
      <c r="AC1857" s="30"/>
      <c r="AD1857" s="30"/>
      <c r="AE1857" s="33"/>
      <c r="AF1857" s="31"/>
      <c r="AG1857" s="30"/>
      <c r="AH1857" s="30"/>
      <c r="AI1857" s="31"/>
      <c r="AJ1857" s="31"/>
      <c r="AK1857" s="32"/>
    </row>
    <row r="1858">
      <c r="A1858" s="21" t="s">
        <v>80</v>
      </c>
      <c r="B1858" s="22" t="s">
        <v>1352</v>
      </c>
      <c r="C1858" s="22" t="s">
        <v>82</v>
      </c>
      <c r="D1858" s="26">
        <v>45997.0</v>
      </c>
      <c r="E1858" s="22" t="s">
        <v>153</v>
      </c>
      <c r="F1858" s="22" t="s">
        <v>83</v>
      </c>
      <c r="G1858" s="22" t="s">
        <v>3519</v>
      </c>
      <c r="H1858" s="22" t="s">
        <v>80</v>
      </c>
      <c r="I1858" s="22">
        <v>1.0485638627651E13</v>
      </c>
      <c r="J1858" s="22" t="s">
        <v>2950</v>
      </c>
      <c r="K1858" s="24"/>
      <c r="L1858" s="22" t="s">
        <v>86</v>
      </c>
      <c r="M1858" s="22">
        <v>1.0</v>
      </c>
      <c r="N1858" s="22" t="s">
        <v>87</v>
      </c>
      <c r="O1858" s="22" t="s">
        <v>88</v>
      </c>
      <c r="P1858" s="24"/>
      <c r="Q1858" s="22" t="s">
        <v>90</v>
      </c>
      <c r="R1858" s="22">
        <v>3.2810101571907E13</v>
      </c>
      <c r="S1858" s="24"/>
      <c r="T1858" s="24"/>
      <c r="U1858" s="24"/>
      <c r="V1858" s="30" t="s">
        <v>91</v>
      </c>
      <c r="W1858" s="33"/>
      <c r="X1858" s="33"/>
      <c r="Y1858" s="30"/>
      <c r="Z1858" s="30"/>
      <c r="AA1858" s="33"/>
      <c r="AB1858" s="33"/>
      <c r="AC1858" s="30"/>
      <c r="AD1858" s="30"/>
      <c r="AE1858" s="33"/>
      <c r="AF1858" s="31"/>
      <c r="AG1858" s="30"/>
      <c r="AH1858" s="30"/>
      <c r="AI1858" s="31"/>
      <c r="AJ1858" s="31"/>
      <c r="AK1858" s="32"/>
    </row>
    <row r="1859">
      <c r="A1859" s="21" t="s">
        <v>347</v>
      </c>
      <c r="B1859" s="22" t="s">
        <v>1097</v>
      </c>
      <c r="C1859" s="22" t="s">
        <v>82</v>
      </c>
      <c r="D1859" s="26">
        <v>45997.0</v>
      </c>
      <c r="E1859" s="22" t="s">
        <v>145</v>
      </c>
      <c r="F1859" s="22" t="s">
        <v>278</v>
      </c>
      <c r="G1859" s="22" t="s">
        <v>3520</v>
      </c>
      <c r="H1859" s="22" t="s">
        <v>347</v>
      </c>
      <c r="I1859" s="22">
        <v>1.0485646197059E13</v>
      </c>
      <c r="J1859" s="22" t="s">
        <v>3276</v>
      </c>
      <c r="K1859" s="24"/>
      <c r="L1859" s="22" t="s">
        <v>350</v>
      </c>
      <c r="M1859" s="22">
        <v>1.0</v>
      </c>
      <c r="N1859" s="22" t="s">
        <v>351</v>
      </c>
      <c r="O1859" s="22" t="s">
        <v>352</v>
      </c>
      <c r="P1859" s="24"/>
      <c r="Q1859" s="22" t="s">
        <v>90</v>
      </c>
      <c r="R1859" s="22">
        <v>3.2810119037251E13</v>
      </c>
      <c r="S1859" s="24"/>
      <c r="T1859" s="24"/>
      <c r="U1859" s="24"/>
      <c r="V1859" s="30" t="s">
        <v>127</v>
      </c>
      <c r="W1859" s="33"/>
      <c r="X1859" s="33"/>
      <c r="Y1859" s="30"/>
      <c r="Z1859" s="30"/>
      <c r="AA1859" s="33"/>
      <c r="AB1859" s="33"/>
      <c r="AC1859" s="30"/>
      <c r="AD1859" s="30"/>
      <c r="AE1859" s="33"/>
      <c r="AF1859" s="31"/>
      <c r="AG1859" s="30"/>
      <c r="AH1859" s="30"/>
      <c r="AI1859" s="31"/>
      <c r="AJ1859" s="31"/>
      <c r="AK1859" s="32"/>
    </row>
    <row r="1860">
      <c r="A1860" s="21" t="s">
        <v>692</v>
      </c>
      <c r="B1860" s="22" t="s">
        <v>596</v>
      </c>
      <c r="C1860" s="22" t="s">
        <v>273</v>
      </c>
      <c r="D1860" s="26">
        <v>45998.0</v>
      </c>
      <c r="E1860" s="22" t="s">
        <v>266</v>
      </c>
      <c r="F1860" s="22" t="s">
        <v>369</v>
      </c>
      <c r="G1860" s="22" t="s">
        <v>3521</v>
      </c>
      <c r="H1860" s="22" t="s">
        <v>692</v>
      </c>
      <c r="I1860" s="22">
        <v>1.0485650587971E13</v>
      </c>
      <c r="J1860" s="22" t="s">
        <v>3154</v>
      </c>
      <c r="K1860" s="24"/>
      <c r="L1860" s="22" t="s">
        <v>694</v>
      </c>
      <c r="M1860" s="22">
        <v>1.0</v>
      </c>
      <c r="N1860" s="22" t="s">
        <v>373</v>
      </c>
      <c r="O1860" s="22" t="s">
        <v>374</v>
      </c>
      <c r="P1860" s="24"/>
      <c r="Q1860" s="22" t="s">
        <v>90</v>
      </c>
      <c r="R1860" s="22">
        <v>3.2810127262019E13</v>
      </c>
      <c r="S1860" s="24"/>
      <c r="T1860" s="24"/>
      <c r="U1860" s="24"/>
      <c r="V1860" s="30" t="s">
        <v>54</v>
      </c>
      <c r="W1860" s="33"/>
      <c r="X1860" s="33"/>
      <c r="Y1860" s="30"/>
      <c r="Z1860" s="30"/>
      <c r="AA1860" s="33"/>
      <c r="AB1860" s="33"/>
      <c r="AC1860" s="30"/>
      <c r="AD1860" s="30"/>
      <c r="AE1860" s="33"/>
      <c r="AF1860" s="31"/>
      <c r="AG1860" s="30"/>
      <c r="AH1860" s="30"/>
      <c r="AI1860" s="31"/>
      <c r="AJ1860" s="31"/>
      <c r="AK1860" s="32"/>
    </row>
    <row r="1861">
      <c r="A1861" s="21" t="s">
        <v>692</v>
      </c>
      <c r="B1861" s="22" t="s">
        <v>587</v>
      </c>
      <c r="C1861" s="22" t="s">
        <v>273</v>
      </c>
      <c r="D1861" s="26">
        <v>45998.0</v>
      </c>
      <c r="E1861" s="22" t="s">
        <v>153</v>
      </c>
      <c r="F1861" s="22" t="s">
        <v>369</v>
      </c>
      <c r="G1861" s="22" t="s">
        <v>3522</v>
      </c>
      <c r="H1861" s="22" t="s">
        <v>692</v>
      </c>
      <c r="I1861" s="22">
        <v>1.0485664612675E13</v>
      </c>
      <c r="J1861" s="22" t="s">
        <v>2971</v>
      </c>
      <c r="K1861" s="24"/>
      <c r="L1861" s="22" t="s">
        <v>694</v>
      </c>
      <c r="M1861" s="22">
        <v>1.0</v>
      </c>
      <c r="N1861" s="22" t="s">
        <v>373</v>
      </c>
      <c r="O1861" s="22" t="s">
        <v>374</v>
      </c>
      <c r="P1861" s="24"/>
      <c r="Q1861" s="22" t="s">
        <v>90</v>
      </c>
      <c r="R1861" s="22">
        <v>3.2810155966787E13</v>
      </c>
      <c r="S1861" s="24"/>
      <c r="T1861" s="24"/>
      <c r="U1861" s="24"/>
      <c r="V1861" s="30" t="s">
        <v>54</v>
      </c>
      <c r="W1861" s="33"/>
      <c r="X1861" s="33"/>
      <c r="Y1861" s="30"/>
      <c r="Z1861" s="30"/>
      <c r="AA1861" s="33"/>
      <c r="AB1861" s="33"/>
      <c r="AC1861" s="30"/>
      <c r="AD1861" s="30"/>
      <c r="AE1861" s="33"/>
      <c r="AF1861" s="31"/>
      <c r="AG1861" s="30"/>
      <c r="AH1861" s="30"/>
      <c r="AI1861" s="31"/>
      <c r="AJ1861" s="31"/>
      <c r="AK1861" s="32"/>
    </row>
    <row r="1862">
      <c r="A1862" s="21" t="s">
        <v>538</v>
      </c>
      <c r="B1862" s="22" t="s">
        <v>424</v>
      </c>
      <c r="C1862" s="22" t="s">
        <v>273</v>
      </c>
      <c r="D1862" s="26">
        <v>45998.0</v>
      </c>
      <c r="E1862" s="22" t="s">
        <v>134</v>
      </c>
      <c r="F1862" s="22" t="s">
        <v>369</v>
      </c>
      <c r="G1862" s="22" t="s">
        <v>3523</v>
      </c>
      <c r="H1862" s="22" t="s">
        <v>538</v>
      </c>
      <c r="I1862" s="22">
        <v>1.0485674312003E13</v>
      </c>
      <c r="J1862" s="22" t="s">
        <v>2948</v>
      </c>
      <c r="K1862" s="24"/>
      <c r="L1862" s="22" t="s">
        <v>542</v>
      </c>
      <c r="M1862" s="22">
        <v>1.0</v>
      </c>
      <c r="N1862" s="22" t="s">
        <v>373</v>
      </c>
      <c r="O1862" s="22" t="s">
        <v>374</v>
      </c>
      <c r="P1862" s="24"/>
      <c r="Q1862" s="22" t="s">
        <v>90</v>
      </c>
      <c r="R1862" s="22">
        <v>3.2810174906691E13</v>
      </c>
      <c r="S1862" s="24"/>
      <c r="T1862" s="24"/>
      <c r="U1862" s="24"/>
      <c r="V1862" s="30" t="s">
        <v>91</v>
      </c>
      <c r="W1862" s="33"/>
      <c r="X1862" s="33"/>
      <c r="Y1862" s="30"/>
      <c r="Z1862" s="30"/>
      <c r="AA1862" s="33"/>
      <c r="AB1862" s="33"/>
      <c r="AC1862" s="30"/>
      <c r="AD1862" s="30"/>
      <c r="AE1862" s="33"/>
      <c r="AF1862" s="31"/>
      <c r="AG1862" s="30"/>
      <c r="AH1862" s="30"/>
      <c r="AI1862" s="31"/>
      <c r="AJ1862" s="31"/>
      <c r="AK1862" s="32"/>
    </row>
    <row r="1863">
      <c r="A1863" s="21" t="s">
        <v>1151</v>
      </c>
      <c r="B1863" s="22" t="s">
        <v>741</v>
      </c>
      <c r="C1863" s="22" t="s">
        <v>82</v>
      </c>
      <c r="D1863" s="26">
        <v>45997.0</v>
      </c>
      <c r="E1863" s="22" t="s">
        <v>134</v>
      </c>
      <c r="F1863" s="22" t="s">
        <v>303</v>
      </c>
      <c r="G1863" s="22" t="s">
        <v>3524</v>
      </c>
      <c r="H1863" s="22" t="s">
        <v>1151</v>
      </c>
      <c r="I1863" s="22">
        <v>1.0485678735683E13</v>
      </c>
      <c r="J1863" s="22" t="s">
        <v>3073</v>
      </c>
      <c r="K1863" s="24"/>
      <c r="L1863" s="22" t="s">
        <v>1155</v>
      </c>
      <c r="M1863" s="22">
        <v>1.0</v>
      </c>
      <c r="N1863" s="22" t="s">
        <v>307</v>
      </c>
      <c r="O1863" s="22" t="s">
        <v>308</v>
      </c>
      <c r="P1863" s="24"/>
      <c r="Q1863" s="22" t="s">
        <v>90</v>
      </c>
      <c r="R1863" s="22">
        <v>3.2810184081731E13</v>
      </c>
      <c r="S1863" s="24"/>
      <c r="T1863" s="24"/>
      <c r="U1863" s="24"/>
      <c r="V1863" s="30" t="s">
        <v>54</v>
      </c>
      <c r="W1863" s="33"/>
      <c r="X1863" s="33"/>
      <c r="Y1863" s="30"/>
      <c r="Z1863" s="30"/>
      <c r="AA1863" s="33"/>
      <c r="AB1863" s="33"/>
      <c r="AC1863" s="30"/>
      <c r="AD1863" s="30"/>
      <c r="AE1863" s="33"/>
      <c r="AF1863" s="31"/>
      <c r="AG1863" s="30"/>
      <c r="AH1863" s="30"/>
      <c r="AI1863" s="31"/>
      <c r="AJ1863" s="31"/>
      <c r="AK1863" s="32"/>
    </row>
    <row r="1864">
      <c r="A1864" s="21" t="s">
        <v>912</v>
      </c>
      <c r="B1864" s="22" t="s">
        <v>800</v>
      </c>
      <c r="C1864" s="22" t="s">
        <v>82</v>
      </c>
      <c r="D1864" s="26">
        <v>45997.0</v>
      </c>
      <c r="E1864" s="22" t="s">
        <v>145</v>
      </c>
      <c r="F1864" s="22" t="s">
        <v>377</v>
      </c>
      <c r="G1864" s="22" t="s">
        <v>3525</v>
      </c>
      <c r="H1864" s="22" t="s">
        <v>912</v>
      </c>
      <c r="I1864" s="22">
        <v>1.0485685322051E13</v>
      </c>
      <c r="J1864" s="22" t="s">
        <v>3526</v>
      </c>
      <c r="K1864" s="24"/>
      <c r="L1864" s="22" t="s">
        <v>914</v>
      </c>
      <c r="M1864" s="22">
        <v>1.0</v>
      </c>
      <c r="N1864" s="22" t="s">
        <v>381</v>
      </c>
      <c r="O1864" s="22" t="s">
        <v>382</v>
      </c>
      <c r="P1864" s="24"/>
      <c r="Q1864" s="22" t="s">
        <v>90</v>
      </c>
      <c r="R1864" s="22">
        <v>3.2810199023939E13</v>
      </c>
      <c r="S1864" s="24"/>
      <c r="T1864" s="24"/>
      <c r="U1864" s="24"/>
      <c r="V1864" s="30" t="s">
        <v>54</v>
      </c>
      <c r="W1864" s="33"/>
      <c r="X1864" s="33"/>
      <c r="Y1864" s="30"/>
      <c r="Z1864" s="30"/>
      <c r="AA1864" s="33"/>
      <c r="AB1864" s="33"/>
      <c r="AC1864" s="30"/>
      <c r="AD1864" s="30"/>
      <c r="AE1864" s="33"/>
      <c r="AF1864" s="31"/>
      <c r="AG1864" s="30"/>
      <c r="AH1864" s="30"/>
      <c r="AI1864" s="31"/>
      <c r="AJ1864" s="31"/>
      <c r="AK1864" s="32"/>
    </row>
    <row r="1865">
      <c r="A1865" s="21" t="s">
        <v>408</v>
      </c>
      <c r="B1865" s="22" t="s">
        <v>653</v>
      </c>
      <c r="C1865" s="22" t="s">
        <v>82</v>
      </c>
      <c r="D1865" s="26">
        <v>45997.0</v>
      </c>
      <c r="E1865" s="22" t="s">
        <v>138</v>
      </c>
      <c r="F1865" s="22" t="s">
        <v>377</v>
      </c>
      <c r="G1865" s="22" t="s">
        <v>3527</v>
      </c>
      <c r="H1865" s="22" t="s">
        <v>408</v>
      </c>
      <c r="I1865" s="22">
        <v>1.0485687877955E13</v>
      </c>
      <c r="J1865" s="22" t="s">
        <v>3228</v>
      </c>
      <c r="K1865" s="24"/>
      <c r="L1865" s="22" t="s">
        <v>412</v>
      </c>
      <c r="M1865" s="22">
        <v>1.0</v>
      </c>
      <c r="N1865" s="22" t="s">
        <v>413</v>
      </c>
      <c r="O1865" s="22" t="s">
        <v>414</v>
      </c>
      <c r="P1865" s="24"/>
      <c r="Q1865" s="22" t="s">
        <v>90</v>
      </c>
      <c r="R1865" s="22">
        <v>3.2810204135747E13</v>
      </c>
      <c r="S1865" s="24"/>
      <c r="T1865" s="24"/>
      <c r="U1865" s="24"/>
      <c r="V1865" s="30" t="s">
        <v>127</v>
      </c>
      <c r="W1865" s="33"/>
      <c r="X1865" s="33"/>
      <c r="Y1865" s="30"/>
      <c r="Z1865" s="30"/>
      <c r="AA1865" s="33"/>
      <c r="AB1865" s="33"/>
      <c r="AC1865" s="30"/>
      <c r="AD1865" s="30"/>
      <c r="AE1865" s="33"/>
      <c r="AF1865" s="31"/>
      <c r="AG1865" s="30"/>
      <c r="AH1865" s="30"/>
      <c r="AI1865" s="31"/>
      <c r="AJ1865" s="31"/>
      <c r="AK1865" s="32"/>
    </row>
    <row r="1866">
      <c r="A1866" s="21" t="s">
        <v>814</v>
      </c>
      <c r="B1866" s="22" t="s">
        <v>1903</v>
      </c>
      <c r="C1866" s="22" t="s">
        <v>82</v>
      </c>
      <c r="D1866" s="26">
        <v>45997.0</v>
      </c>
      <c r="E1866" s="22" t="s">
        <v>734</v>
      </c>
      <c r="F1866" s="22" t="s">
        <v>698</v>
      </c>
      <c r="G1866" s="22" t="s">
        <v>3528</v>
      </c>
      <c r="H1866" s="22" t="s">
        <v>814</v>
      </c>
      <c r="I1866" s="22">
        <v>1.0485712814403E13</v>
      </c>
      <c r="J1866" s="22" t="s">
        <v>3068</v>
      </c>
      <c r="K1866" s="24"/>
      <c r="L1866" s="22" t="s">
        <v>818</v>
      </c>
      <c r="M1866" s="22">
        <v>1.0</v>
      </c>
      <c r="N1866" s="22" t="s">
        <v>819</v>
      </c>
      <c r="O1866" s="22" t="s">
        <v>820</v>
      </c>
      <c r="P1866" s="24"/>
      <c r="Q1866" s="22" t="s">
        <v>90</v>
      </c>
      <c r="R1866" s="22">
        <v>3.2810257449283E13</v>
      </c>
      <c r="S1866" s="24"/>
      <c r="T1866" s="24"/>
      <c r="U1866" s="24"/>
      <c r="V1866" s="30" t="s">
        <v>127</v>
      </c>
      <c r="W1866" s="33"/>
      <c r="X1866" s="33"/>
      <c r="Y1866" s="30"/>
      <c r="Z1866" s="30"/>
      <c r="AA1866" s="33"/>
      <c r="AB1866" s="33"/>
      <c r="AC1866" s="30"/>
      <c r="AD1866" s="30"/>
      <c r="AE1866" s="33"/>
      <c r="AF1866" s="31"/>
      <c r="AG1866" s="30"/>
      <c r="AH1866" s="30"/>
      <c r="AI1866" s="31"/>
      <c r="AJ1866" s="31"/>
      <c r="AK1866" s="32"/>
    </row>
    <row r="1867">
      <c r="A1867" s="21" t="s">
        <v>470</v>
      </c>
      <c r="B1867" s="22" t="s">
        <v>516</v>
      </c>
      <c r="C1867" s="22" t="s">
        <v>273</v>
      </c>
      <c r="D1867" s="26">
        <v>45998.0</v>
      </c>
      <c r="E1867" s="22" t="s">
        <v>134</v>
      </c>
      <c r="F1867" s="22" t="s">
        <v>472</v>
      </c>
      <c r="G1867" s="22" t="s">
        <v>3529</v>
      </c>
      <c r="H1867" s="22" t="s">
        <v>470</v>
      </c>
      <c r="I1867" s="22">
        <v>1.0485715239235E13</v>
      </c>
      <c r="J1867" s="22" t="s">
        <v>3030</v>
      </c>
      <c r="K1867" s="24"/>
      <c r="L1867" s="22" t="s">
        <v>475</v>
      </c>
      <c r="M1867" s="22">
        <v>1.0</v>
      </c>
      <c r="N1867" s="22" t="s">
        <v>476</v>
      </c>
      <c r="O1867" s="22" t="s">
        <v>477</v>
      </c>
      <c r="P1867" s="24"/>
      <c r="Q1867" s="22" t="s">
        <v>90</v>
      </c>
      <c r="R1867" s="22">
        <v>3.2810263085379E13</v>
      </c>
      <c r="S1867" s="24"/>
      <c r="T1867" s="24"/>
      <c r="U1867" s="24"/>
      <c r="V1867" s="30" t="s">
        <v>91</v>
      </c>
      <c r="W1867" s="33"/>
      <c r="X1867" s="33"/>
      <c r="Y1867" s="30"/>
      <c r="Z1867" s="30"/>
      <c r="AA1867" s="33"/>
      <c r="AB1867" s="33"/>
      <c r="AC1867" s="30"/>
      <c r="AD1867" s="30"/>
      <c r="AE1867" s="33"/>
      <c r="AF1867" s="31"/>
      <c r="AG1867" s="30"/>
      <c r="AH1867" s="30"/>
      <c r="AI1867" s="31"/>
      <c r="AJ1867" s="31"/>
      <c r="AK1867" s="32"/>
    </row>
    <row r="1868">
      <c r="A1868" s="21" t="s">
        <v>108</v>
      </c>
      <c r="B1868" s="22" t="s">
        <v>393</v>
      </c>
      <c r="C1868" s="22" t="s">
        <v>82</v>
      </c>
      <c r="D1868" s="26">
        <v>45997.0</v>
      </c>
      <c r="E1868" s="22" t="s">
        <v>187</v>
      </c>
      <c r="F1868" s="22" t="s">
        <v>111</v>
      </c>
      <c r="G1868" s="22" t="s">
        <v>3530</v>
      </c>
      <c r="H1868" s="22" t="s">
        <v>108</v>
      </c>
      <c r="I1868" s="22">
        <v>1.0485722644803E13</v>
      </c>
      <c r="J1868" s="22" t="s">
        <v>3046</v>
      </c>
      <c r="K1868" s="24"/>
      <c r="L1868" s="22" t="s">
        <v>114</v>
      </c>
      <c r="M1868" s="22">
        <v>1.0</v>
      </c>
      <c r="N1868" s="22" t="s">
        <v>115</v>
      </c>
      <c r="O1868" s="22" t="s">
        <v>116</v>
      </c>
      <c r="P1868" s="24"/>
      <c r="Q1868" s="22" t="s">
        <v>90</v>
      </c>
      <c r="R1868" s="22">
        <v>3.2810279764291E13</v>
      </c>
      <c r="S1868" s="24"/>
      <c r="T1868" s="24"/>
      <c r="U1868" s="24"/>
      <c r="V1868" s="30" t="s">
        <v>54</v>
      </c>
      <c r="W1868" s="33"/>
      <c r="X1868" s="33"/>
      <c r="Y1868" s="30"/>
      <c r="Z1868" s="30"/>
      <c r="AA1868" s="33"/>
      <c r="AB1868" s="33"/>
      <c r="AC1868" s="30"/>
      <c r="AD1868" s="30"/>
      <c r="AE1868" s="33"/>
      <c r="AF1868" s="31"/>
      <c r="AG1868" s="30"/>
      <c r="AH1868" s="30"/>
      <c r="AI1868" s="31"/>
      <c r="AJ1868" s="31"/>
      <c r="AK1868" s="32"/>
    </row>
    <row r="1869">
      <c r="A1869" s="21" t="s">
        <v>569</v>
      </c>
      <c r="B1869" s="22" t="s">
        <v>1148</v>
      </c>
      <c r="C1869" s="22" t="s">
        <v>82</v>
      </c>
      <c r="D1869" s="26">
        <v>45997.0</v>
      </c>
      <c r="E1869" s="22" t="s">
        <v>248</v>
      </c>
      <c r="F1869" s="22" t="s">
        <v>472</v>
      </c>
      <c r="G1869" s="22" t="s">
        <v>3531</v>
      </c>
      <c r="H1869" s="22" t="s">
        <v>569</v>
      </c>
      <c r="I1869" s="22">
        <v>1.0485724938563E13</v>
      </c>
      <c r="J1869" s="22" t="s">
        <v>3532</v>
      </c>
      <c r="K1869" s="24"/>
      <c r="L1869" s="22" t="s">
        <v>571</v>
      </c>
      <c r="M1869" s="22">
        <v>1.0</v>
      </c>
      <c r="N1869" s="22" t="s">
        <v>534</v>
      </c>
      <c r="O1869" s="22" t="s">
        <v>535</v>
      </c>
      <c r="P1869" s="24"/>
      <c r="Q1869" s="22" t="s">
        <v>90</v>
      </c>
      <c r="R1869" s="22">
        <v>3.2810284056899E13</v>
      </c>
      <c r="S1869" s="24"/>
      <c r="T1869" s="24"/>
      <c r="U1869" s="24"/>
      <c r="V1869" s="30" t="s">
        <v>105</v>
      </c>
      <c r="W1869" s="33"/>
      <c r="X1869" s="33"/>
      <c r="Y1869" s="30"/>
      <c r="Z1869" s="30"/>
      <c r="AA1869" s="33"/>
      <c r="AB1869" s="33"/>
      <c r="AC1869" s="30"/>
      <c r="AD1869" s="30"/>
      <c r="AE1869" s="33"/>
      <c r="AF1869" s="31"/>
      <c r="AG1869" s="30"/>
      <c r="AH1869" s="30"/>
      <c r="AI1869" s="31"/>
      <c r="AJ1869" s="31"/>
      <c r="AK1869" s="32"/>
    </row>
    <row r="1870">
      <c r="A1870" s="21" t="s">
        <v>529</v>
      </c>
      <c r="B1870" s="22" t="s">
        <v>471</v>
      </c>
      <c r="C1870" s="22" t="s">
        <v>82</v>
      </c>
      <c r="D1870" s="26">
        <v>45997.0</v>
      </c>
      <c r="E1870" s="22" t="s">
        <v>134</v>
      </c>
      <c r="F1870" s="22" t="s">
        <v>472</v>
      </c>
      <c r="G1870" s="22" t="s">
        <v>3533</v>
      </c>
      <c r="H1870" s="22" t="s">
        <v>529</v>
      </c>
      <c r="I1870" s="22">
        <v>1.0485735260483E13</v>
      </c>
      <c r="J1870" s="22" t="s">
        <v>3019</v>
      </c>
      <c r="K1870" s="24"/>
      <c r="L1870" s="22" t="s">
        <v>533</v>
      </c>
      <c r="M1870" s="22">
        <v>1.0</v>
      </c>
      <c r="N1870" s="22" t="s">
        <v>534</v>
      </c>
      <c r="O1870" s="22" t="s">
        <v>535</v>
      </c>
      <c r="P1870" s="24"/>
      <c r="Q1870" s="22" t="s">
        <v>90</v>
      </c>
      <c r="R1870" s="22">
        <v>3.2810307060035E13</v>
      </c>
      <c r="S1870" s="24"/>
      <c r="T1870" s="24"/>
      <c r="U1870" s="24"/>
      <c r="V1870" s="30" t="s">
        <v>127</v>
      </c>
      <c r="W1870" s="33"/>
      <c r="X1870" s="33"/>
      <c r="Y1870" s="30"/>
      <c r="Z1870" s="30"/>
      <c r="AA1870" s="33"/>
      <c r="AB1870" s="33"/>
      <c r="AC1870" s="30"/>
      <c r="AD1870" s="30"/>
      <c r="AE1870" s="33"/>
      <c r="AF1870" s="31"/>
      <c r="AG1870" s="30"/>
      <c r="AH1870" s="30"/>
      <c r="AI1870" s="31"/>
      <c r="AJ1870" s="31"/>
      <c r="AK1870" s="32"/>
    </row>
    <row r="1871">
      <c r="A1871" s="21" t="s">
        <v>415</v>
      </c>
      <c r="B1871" s="22" t="s">
        <v>416</v>
      </c>
      <c r="C1871" s="22" t="s">
        <v>82</v>
      </c>
      <c r="D1871" s="26">
        <v>45997.0</v>
      </c>
      <c r="E1871" s="22" t="s">
        <v>134</v>
      </c>
      <c r="F1871" s="22" t="s">
        <v>377</v>
      </c>
      <c r="G1871" s="22" t="s">
        <v>3534</v>
      </c>
      <c r="H1871" s="22" t="s">
        <v>415</v>
      </c>
      <c r="I1871" s="22">
        <v>1.0485763211587E13</v>
      </c>
      <c r="J1871" s="22" t="s">
        <v>418</v>
      </c>
      <c r="K1871" s="24"/>
      <c r="L1871" s="22" t="s">
        <v>419</v>
      </c>
      <c r="M1871" s="22">
        <v>1.0</v>
      </c>
      <c r="N1871" s="22" t="s">
        <v>381</v>
      </c>
      <c r="O1871" s="22" t="s">
        <v>382</v>
      </c>
      <c r="P1871" s="24"/>
      <c r="Q1871" s="22" t="s">
        <v>90</v>
      </c>
      <c r="R1871" s="22">
        <v>3.2810365419843E13</v>
      </c>
      <c r="S1871" s="24"/>
      <c r="T1871" s="24"/>
      <c r="U1871" s="24"/>
      <c r="V1871" s="30" t="s">
        <v>91</v>
      </c>
      <c r="W1871" s="33"/>
      <c r="X1871" s="33"/>
      <c r="Y1871" s="30"/>
      <c r="Z1871" s="30"/>
      <c r="AA1871" s="33"/>
      <c r="AB1871" s="33"/>
      <c r="AC1871" s="30"/>
      <c r="AD1871" s="30"/>
      <c r="AE1871" s="33"/>
      <c r="AF1871" s="31"/>
      <c r="AG1871" s="30"/>
      <c r="AH1871" s="30"/>
      <c r="AI1871" s="31"/>
      <c r="AJ1871" s="31"/>
      <c r="AK1871" s="32"/>
    </row>
    <row r="1872">
      <c r="A1872" s="21" t="s">
        <v>592</v>
      </c>
      <c r="B1872" s="22" t="s">
        <v>310</v>
      </c>
      <c r="C1872" s="22" t="s">
        <v>82</v>
      </c>
      <c r="D1872" s="26">
        <v>45997.0</v>
      </c>
      <c r="E1872" s="22" t="s">
        <v>134</v>
      </c>
      <c r="F1872" s="22" t="s">
        <v>311</v>
      </c>
      <c r="G1872" s="22" t="s">
        <v>3535</v>
      </c>
      <c r="H1872" s="22" t="s">
        <v>592</v>
      </c>
      <c r="I1872" s="22">
        <v>1.0485772353859E13</v>
      </c>
      <c r="J1872" s="22" t="s">
        <v>313</v>
      </c>
      <c r="K1872" s="24"/>
      <c r="L1872" s="22" t="s">
        <v>594</v>
      </c>
      <c r="M1872" s="22">
        <v>1.0</v>
      </c>
      <c r="N1872" s="22" t="s">
        <v>391</v>
      </c>
      <c r="O1872" s="22" t="s">
        <v>392</v>
      </c>
      <c r="P1872" s="24"/>
      <c r="Q1872" s="22" t="s">
        <v>90</v>
      </c>
      <c r="R1872" s="22">
        <v>3.2810385670467E13</v>
      </c>
      <c r="S1872" s="24"/>
      <c r="T1872" s="24"/>
      <c r="U1872" s="24"/>
      <c r="V1872" s="30" t="s">
        <v>54</v>
      </c>
      <c r="W1872" s="33"/>
      <c r="X1872" s="33"/>
      <c r="Y1872" s="30"/>
      <c r="Z1872" s="30"/>
      <c r="AA1872" s="33"/>
      <c r="AB1872" s="33"/>
      <c r="AC1872" s="30"/>
      <c r="AD1872" s="30"/>
      <c r="AE1872" s="33"/>
      <c r="AF1872" s="31"/>
      <c r="AG1872" s="30"/>
      <c r="AH1872" s="30"/>
      <c r="AI1872" s="31"/>
      <c r="AJ1872" s="31"/>
      <c r="AK1872" s="32"/>
    </row>
    <row r="1873">
      <c r="A1873" s="21" t="s">
        <v>912</v>
      </c>
      <c r="B1873" s="22" t="s">
        <v>1120</v>
      </c>
      <c r="C1873" s="22" t="s">
        <v>82</v>
      </c>
      <c r="D1873" s="23">
        <v>46004.0</v>
      </c>
      <c r="E1873" s="22" t="s">
        <v>153</v>
      </c>
      <c r="F1873" s="22" t="s">
        <v>377</v>
      </c>
      <c r="G1873" s="22" t="s">
        <v>3536</v>
      </c>
      <c r="H1873" s="22" t="s">
        <v>912</v>
      </c>
      <c r="I1873" s="22">
        <v>1.0485775040835E13</v>
      </c>
      <c r="J1873" s="22" t="s">
        <v>3021</v>
      </c>
      <c r="K1873" s="24"/>
      <c r="L1873" s="22" t="s">
        <v>914</v>
      </c>
      <c r="M1873" s="22">
        <v>1.0</v>
      </c>
      <c r="N1873" s="22" t="s">
        <v>381</v>
      </c>
      <c r="O1873" s="22" t="s">
        <v>382</v>
      </c>
      <c r="P1873" s="24"/>
      <c r="Q1873" s="22" t="s">
        <v>90</v>
      </c>
      <c r="R1873" s="22">
        <v>3.2810390552899E13</v>
      </c>
      <c r="S1873" s="24"/>
      <c r="T1873" s="24"/>
      <c r="U1873" s="24"/>
      <c r="V1873" s="30" t="s">
        <v>54</v>
      </c>
      <c r="W1873" s="33"/>
      <c r="X1873" s="33"/>
      <c r="Y1873" s="30"/>
      <c r="Z1873" s="30"/>
      <c r="AA1873" s="33"/>
      <c r="AB1873" s="33"/>
      <c r="AC1873" s="30"/>
      <c r="AD1873" s="30"/>
      <c r="AE1873" s="33"/>
      <c r="AF1873" s="31"/>
      <c r="AG1873" s="30"/>
      <c r="AH1873" s="30"/>
      <c r="AI1873" s="31"/>
      <c r="AJ1873" s="31"/>
      <c r="AK1873" s="32"/>
    </row>
    <row r="1874">
      <c r="A1874" s="21" t="s">
        <v>3537</v>
      </c>
      <c r="B1874" s="22" t="s">
        <v>2896</v>
      </c>
      <c r="C1874" s="22" t="s">
        <v>273</v>
      </c>
      <c r="D1874" s="26">
        <v>45998.0</v>
      </c>
      <c r="E1874" s="22" t="s">
        <v>1117</v>
      </c>
      <c r="F1874" s="22" t="s">
        <v>869</v>
      </c>
      <c r="G1874" s="22" t="s">
        <v>3538</v>
      </c>
      <c r="H1874" s="22" t="s">
        <v>3537</v>
      </c>
      <c r="I1874" s="22">
        <v>1.0485782610243E13</v>
      </c>
      <c r="J1874" s="22" t="s">
        <v>3055</v>
      </c>
      <c r="K1874" s="24"/>
      <c r="L1874" s="22" t="s">
        <v>3539</v>
      </c>
      <c r="M1874" s="22">
        <v>1.0</v>
      </c>
      <c r="N1874" s="22" t="s">
        <v>873</v>
      </c>
      <c r="O1874" s="22" t="s">
        <v>874</v>
      </c>
      <c r="P1874" s="24"/>
      <c r="Q1874" s="22" t="s">
        <v>90</v>
      </c>
      <c r="R1874" s="22">
        <v>3.2810408673603E13</v>
      </c>
      <c r="S1874" s="24"/>
      <c r="T1874" s="24"/>
      <c r="U1874" s="24"/>
      <c r="V1874" s="30" t="s">
        <v>54</v>
      </c>
      <c r="W1874" s="33"/>
      <c r="X1874" s="33"/>
      <c r="Y1874" s="30"/>
      <c r="Z1874" s="30"/>
      <c r="AA1874" s="33"/>
      <c r="AB1874" s="33"/>
      <c r="AC1874" s="30"/>
      <c r="AD1874" s="30"/>
      <c r="AE1874" s="33"/>
      <c r="AF1874" s="31"/>
      <c r="AG1874" s="30"/>
      <c r="AH1874" s="30"/>
      <c r="AI1874" s="31"/>
      <c r="AJ1874" s="31"/>
      <c r="AK1874" s="32"/>
    </row>
    <row r="1875">
      <c r="A1875" s="21" t="s">
        <v>99</v>
      </c>
      <c r="B1875" s="22" t="s">
        <v>1408</v>
      </c>
      <c r="C1875" s="22" t="s">
        <v>273</v>
      </c>
      <c r="D1875" s="26">
        <v>45998.0</v>
      </c>
      <c r="E1875" s="22" t="s">
        <v>153</v>
      </c>
      <c r="F1875" s="22" t="s">
        <v>83</v>
      </c>
      <c r="G1875" s="22" t="s">
        <v>3540</v>
      </c>
      <c r="H1875" s="22" t="s">
        <v>99</v>
      </c>
      <c r="I1875" s="22">
        <v>1.0485782708547E13</v>
      </c>
      <c r="J1875" s="22" t="s">
        <v>3541</v>
      </c>
      <c r="K1875" s="24"/>
      <c r="L1875" s="22" t="s">
        <v>102</v>
      </c>
      <c r="M1875" s="22">
        <v>1.0</v>
      </c>
      <c r="N1875" s="22" t="s">
        <v>103</v>
      </c>
      <c r="O1875" s="22" t="s">
        <v>104</v>
      </c>
      <c r="P1875" s="24"/>
      <c r="Q1875" s="22" t="s">
        <v>90</v>
      </c>
      <c r="R1875" s="22">
        <v>3.2810409066819E13</v>
      </c>
      <c r="S1875" s="24"/>
      <c r="T1875" s="24"/>
      <c r="U1875" s="24"/>
      <c r="V1875" s="30" t="s">
        <v>105</v>
      </c>
      <c r="W1875" s="33"/>
      <c r="X1875" s="33"/>
      <c r="Y1875" s="30"/>
      <c r="Z1875" s="30"/>
      <c r="AA1875" s="33"/>
      <c r="AB1875" s="33"/>
      <c r="AC1875" s="30"/>
      <c r="AD1875" s="30"/>
      <c r="AE1875" s="33"/>
      <c r="AF1875" s="31"/>
      <c r="AG1875" s="30"/>
      <c r="AH1875" s="30"/>
      <c r="AI1875" s="31"/>
      <c r="AJ1875" s="31"/>
      <c r="AK1875" s="32"/>
    </row>
    <row r="1876">
      <c r="A1876" s="21" t="s">
        <v>1200</v>
      </c>
      <c r="B1876" s="22" t="s">
        <v>277</v>
      </c>
      <c r="C1876" s="22" t="s">
        <v>82</v>
      </c>
      <c r="D1876" s="26">
        <v>45997.0</v>
      </c>
      <c r="E1876" s="22" t="s">
        <v>138</v>
      </c>
      <c r="F1876" s="22" t="s">
        <v>278</v>
      </c>
      <c r="G1876" s="22" t="s">
        <v>3542</v>
      </c>
      <c r="H1876" s="22" t="s">
        <v>1200</v>
      </c>
      <c r="I1876" s="22">
        <v>1.0485784117571E13</v>
      </c>
      <c r="J1876" s="22" t="s">
        <v>554</v>
      </c>
      <c r="K1876" s="24"/>
      <c r="L1876" s="22" t="s">
        <v>1203</v>
      </c>
      <c r="M1876" s="22">
        <v>1.0</v>
      </c>
      <c r="N1876" s="22" t="s">
        <v>282</v>
      </c>
      <c r="O1876" s="22" t="s">
        <v>283</v>
      </c>
      <c r="P1876" s="24"/>
      <c r="Q1876" s="22" t="s">
        <v>90</v>
      </c>
      <c r="R1876" s="22">
        <v>3.2810412835139E13</v>
      </c>
      <c r="S1876" s="24"/>
      <c r="T1876" s="24"/>
      <c r="U1876" s="24"/>
      <c r="V1876" s="30" t="s">
        <v>91</v>
      </c>
      <c r="W1876" s="33"/>
      <c r="X1876" s="33"/>
      <c r="Y1876" s="30"/>
      <c r="Z1876" s="30"/>
      <c r="AA1876" s="33"/>
      <c r="AB1876" s="33"/>
      <c r="AC1876" s="30"/>
      <c r="AD1876" s="30"/>
      <c r="AE1876" s="33"/>
      <c r="AF1876" s="31"/>
      <c r="AG1876" s="30"/>
      <c r="AH1876" s="30"/>
      <c r="AI1876" s="31"/>
      <c r="AJ1876" s="31"/>
      <c r="AK1876" s="32"/>
    </row>
    <row r="1877">
      <c r="A1877" s="21" t="s">
        <v>408</v>
      </c>
      <c r="B1877" s="22" t="s">
        <v>3543</v>
      </c>
      <c r="C1877" s="22" t="s">
        <v>82</v>
      </c>
      <c r="D1877" s="26">
        <v>45997.0</v>
      </c>
      <c r="E1877" s="22" t="s">
        <v>252</v>
      </c>
      <c r="F1877" s="22" t="s">
        <v>377</v>
      </c>
      <c r="G1877" s="22" t="s">
        <v>3544</v>
      </c>
      <c r="H1877" s="22" t="s">
        <v>408</v>
      </c>
      <c r="I1877" s="22">
        <v>1.0485797192003E13</v>
      </c>
      <c r="J1877" s="22" t="s">
        <v>3545</v>
      </c>
      <c r="K1877" s="24"/>
      <c r="L1877" s="22" t="s">
        <v>412</v>
      </c>
      <c r="M1877" s="22">
        <v>1.0</v>
      </c>
      <c r="N1877" s="22" t="s">
        <v>413</v>
      </c>
      <c r="O1877" s="22" t="s">
        <v>414</v>
      </c>
      <c r="P1877" s="24"/>
      <c r="Q1877" s="22" t="s">
        <v>90</v>
      </c>
      <c r="R1877" s="22">
        <v>3.2810438951235E13</v>
      </c>
      <c r="S1877" s="24"/>
      <c r="T1877" s="24"/>
      <c r="U1877" s="24"/>
      <c r="V1877" s="30" t="s">
        <v>127</v>
      </c>
      <c r="W1877" s="33"/>
      <c r="X1877" s="33"/>
      <c r="Y1877" s="30"/>
      <c r="Z1877" s="30"/>
      <c r="AA1877" s="33"/>
      <c r="AB1877" s="33"/>
      <c r="AC1877" s="30"/>
      <c r="AD1877" s="30"/>
      <c r="AE1877" s="33"/>
      <c r="AF1877" s="31"/>
      <c r="AG1877" s="30"/>
      <c r="AH1877" s="30"/>
      <c r="AI1877" s="31"/>
      <c r="AJ1877" s="31"/>
      <c r="AK1877" s="32"/>
    </row>
    <row r="1878">
      <c r="A1878" s="21" t="s">
        <v>1832</v>
      </c>
      <c r="B1878" s="22" t="s">
        <v>1532</v>
      </c>
      <c r="C1878" s="22" t="s">
        <v>82</v>
      </c>
      <c r="D1878" s="26">
        <v>45997.0</v>
      </c>
      <c r="E1878" s="22" t="s">
        <v>211</v>
      </c>
      <c r="F1878" s="22" t="s">
        <v>698</v>
      </c>
      <c r="G1878" s="22" t="s">
        <v>3546</v>
      </c>
      <c r="H1878" s="22" t="s">
        <v>1832</v>
      </c>
      <c r="I1878" s="22">
        <v>1.0485804663107E13</v>
      </c>
      <c r="J1878" s="22" t="s">
        <v>3547</v>
      </c>
      <c r="K1878" s="24"/>
      <c r="L1878" s="22" t="s">
        <v>1834</v>
      </c>
      <c r="M1878" s="22">
        <v>1.0</v>
      </c>
      <c r="N1878" s="22" t="s">
        <v>702</v>
      </c>
      <c r="O1878" s="22" t="s">
        <v>703</v>
      </c>
      <c r="P1878" s="24"/>
      <c r="Q1878" s="22" t="s">
        <v>90</v>
      </c>
      <c r="R1878" s="22">
        <v>3.2810454974787E13</v>
      </c>
      <c r="S1878" s="24"/>
      <c r="T1878" s="24"/>
      <c r="U1878" s="24"/>
      <c r="V1878" s="30" t="s">
        <v>91</v>
      </c>
      <c r="W1878" s="33"/>
      <c r="X1878" s="33"/>
      <c r="Y1878" s="30"/>
      <c r="Z1878" s="30"/>
      <c r="AA1878" s="33"/>
      <c r="AB1878" s="33"/>
      <c r="AC1878" s="30"/>
      <c r="AD1878" s="30"/>
      <c r="AE1878" s="33"/>
      <c r="AF1878" s="31"/>
      <c r="AG1878" s="30"/>
      <c r="AH1878" s="30"/>
      <c r="AI1878" s="31"/>
      <c r="AJ1878" s="31"/>
      <c r="AK1878" s="32"/>
    </row>
    <row r="1879">
      <c r="A1879" s="21" t="s">
        <v>158</v>
      </c>
      <c r="B1879" s="22" t="s">
        <v>3548</v>
      </c>
      <c r="C1879" s="22" t="s">
        <v>82</v>
      </c>
      <c r="D1879" s="26">
        <v>45997.0</v>
      </c>
      <c r="E1879" s="22" t="s">
        <v>1636</v>
      </c>
      <c r="F1879" s="22" t="s">
        <v>111</v>
      </c>
      <c r="G1879" s="22" t="s">
        <v>3549</v>
      </c>
      <c r="H1879" s="22" t="s">
        <v>158</v>
      </c>
      <c r="I1879" s="22">
        <v>1.0485486223683E13</v>
      </c>
      <c r="J1879" s="22" t="s">
        <v>3550</v>
      </c>
      <c r="K1879" s="24"/>
      <c r="L1879" s="22" t="s">
        <v>163</v>
      </c>
      <c r="M1879" s="22">
        <v>1.0</v>
      </c>
      <c r="N1879" s="22" t="s">
        <v>164</v>
      </c>
      <c r="O1879" s="22" t="s">
        <v>165</v>
      </c>
      <c r="P1879" s="24"/>
      <c r="Q1879" s="22" t="s">
        <v>90</v>
      </c>
      <c r="R1879" s="22">
        <v>3.2809772482883E13</v>
      </c>
      <c r="S1879" s="24"/>
      <c r="T1879" s="24"/>
      <c r="U1879" s="24"/>
      <c r="V1879" s="30" t="s">
        <v>127</v>
      </c>
      <c r="W1879" s="33"/>
      <c r="X1879" s="33"/>
      <c r="Y1879" s="30"/>
      <c r="Z1879" s="30"/>
      <c r="AA1879" s="33"/>
      <c r="AB1879" s="33"/>
      <c r="AC1879" s="30"/>
      <c r="AD1879" s="30"/>
      <c r="AE1879" s="33"/>
      <c r="AF1879" s="31"/>
      <c r="AG1879" s="30"/>
      <c r="AH1879" s="30"/>
      <c r="AI1879" s="31"/>
      <c r="AJ1879" s="31"/>
      <c r="AK1879" s="32"/>
    </row>
    <row r="1880">
      <c r="A1880" s="21" t="s">
        <v>1832</v>
      </c>
      <c r="B1880" s="22" t="s">
        <v>815</v>
      </c>
      <c r="C1880" s="22" t="s">
        <v>82</v>
      </c>
      <c r="D1880" s="26">
        <v>45997.0</v>
      </c>
      <c r="E1880" s="22" t="s">
        <v>187</v>
      </c>
      <c r="F1880" s="22" t="s">
        <v>698</v>
      </c>
      <c r="G1880" s="22" t="s">
        <v>3551</v>
      </c>
      <c r="H1880" s="22" t="s">
        <v>1832</v>
      </c>
      <c r="I1880" s="22">
        <v>1.0485493498179E13</v>
      </c>
      <c r="J1880" s="22" t="s">
        <v>2995</v>
      </c>
      <c r="K1880" s="24"/>
      <c r="L1880" s="22" t="s">
        <v>1834</v>
      </c>
      <c r="M1880" s="22">
        <v>1.0</v>
      </c>
      <c r="N1880" s="22" t="s">
        <v>702</v>
      </c>
      <c r="O1880" s="22" t="s">
        <v>703</v>
      </c>
      <c r="P1880" s="24"/>
      <c r="Q1880" s="22" t="s">
        <v>90</v>
      </c>
      <c r="R1880" s="22">
        <v>3.2809787818307E13</v>
      </c>
      <c r="S1880" s="24"/>
      <c r="T1880" s="24"/>
      <c r="U1880" s="24"/>
      <c r="V1880" s="30" t="s">
        <v>91</v>
      </c>
      <c r="W1880" s="33"/>
      <c r="X1880" s="33"/>
      <c r="Y1880" s="30"/>
      <c r="Z1880" s="30"/>
      <c r="AA1880" s="33"/>
      <c r="AB1880" s="33"/>
      <c r="AC1880" s="30"/>
      <c r="AD1880" s="30"/>
      <c r="AE1880" s="33"/>
      <c r="AF1880" s="31"/>
      <c r="AG1880" s="30"/>
      <c r="AH1880" s="30"/>
      <c r="AI1880" s="31"/>
      <c r="AJ1880" s="31"/>
      <c r="AK1880" s="32"/>
    </row>
    <row r="1881">
      <c r="A1881" s="21" t="s">
        <v>209</v>
      </c>
      <c r="B1881" s="22" t="s">
        <v>2365</v>
      </c>
      <c r="C1881" s="22" t="s">
        <v>82</v>
      </c>
      <c r="D1881" s="26">
        <v>45997.0</v>
      </c>
      <c r="E1881" s="22" t="s">
        <v>177</v>
      </c>
      <c r="F1881" s="22" t="s">
        <v>111</v>
      </c>
      <c r="G1881" s="22" t="s">
        <v>3552</v>
      </c>
      <c r="H1881" s="22" t="s">
        <v>209</v>
      </c>
      <c r="I1881" s="22">
        <v>1.0485502837059E13</v>
      </c>
      <c r="J1881" s="22" t="s">
        <v>3553</v>
      </c>
      <c r="K1881" s="24"/>
      <c r="L1881" s="22" t="s">
        <v>214</v>
      </c>
      <c r="M1881" s="22">
        <v>1.0</v>
      </c>
      <c r="N1881" s="22" t="s">
        <v>115</v>
      </c>
      <c r="O1881" s="22" t="s">
        <v>116</v>
      </c>
      <c r="P1881" s="24"/>
      <c r="Q1881" s="22" t="s">
        <v>90</v>
      </c>
      <c r="R1881" s="22">
        <v>3.2809806233923E13</v>
      </c>
      <c r="S1881" s="24"/>
      <c r="T1881" s="24"/>
      <c r="U1881" s="24"/>
      <c r="V1881" s="30" t="s">
        <v>91</v>
      </c>
      <c r="W1881" s="33"/>
      <c r="X1881" s="33"/>
      <c r="Y1881" s="30"/>
      <c r="Z1881" s="30"/>
      <c r="AA1881" s="33"/>
      <c r="AB1881" s="33"/>
      <c r="AC1881" s="30"/>
      <c r="AD1881" s="30"/>
      <c r="AE1881" s="33"/>
      <c r="AF1881" s="31"/>
      <c r="AG1881" s="30"/>
      <c r="AH1881" s="30"/>
      <c r="AI1881" s="31"/>
      <c r="AJ1881" s="31"/>
      <c r="AK1881" s="32"/>
    </row>
    <row r="1882">
      <c r="A1882" s="21" t="s">
        <v>560</v>
      </c>
      <c r="B1882" s="22" t="s">
        <v>355</v>
      </c>
      <c r="C1882" s="22" t="s">
        <v>273</v>
      </c>
      <c r="D1882" s="23">
        <v>45991.0</v>
      </c>
      <c r="E1882" s="22" t="s">
        <v>149</v>
      </c>
      <c r="F1882" s="22" t="s">
        <v>356</v>
      </c>
      <c r="G1882" s="22" t="s">
        <v>3554</v>
      </c>
      <c r="H1882" s="22" t="s">
        <v>560</v>
      </c>
      <c r="I1882" s="22">
        <v>1.0485825044803E13</v>
      </c>
      <c r="J1882" s="22" t="s">
        <v>358</v>
      </c>
      <c r="K1882" s="24"/>
      <c r="L1882" s="22" t="s">
        <v>563</v>
      </c>
      <c r="M1882" s="22">
        <v>1.0</v>
      </c>
      <c r="N1882" s="22" t="s">
        <v>360</v>
      </c>
      <c r="O1882" s="22" t="s">
        <v>361</v>
      </c>
      <c r="P1882" s="24"/>
      <c r="Q1882" s="22" t="s">
        <v>90</v>
      </c>
      <c r="R1882" s="22">
        <v>3.2810500686147E13</v>
      </c>
      <c r="S1882" s="24"/>
      <c r="T1882" s="24"/>
      <c r="U1882" s="24"/>
      <c r="V1882" s="30" t="s">
        <v>91</v>
      </c>
      <c r="W1882" s="33"/>
      <c r="X1882" s="33"/>
      <c r="Y1882" s="30"/>
      <c r="Z1882" s="30"/>
      <c r="AA1882" s="33"/>
      <c r="AB1882" s="33"/>
      <c r="AC1882" s="30"/>
      <c r="AD1882" s="30"/>
      <c r="AE1882" s="33"/>
      <c r="AF1882" s="31"/>
      <c r="AG1882" s="30"/>
      <c r="AH1882" s="30"/>
      <c r="AI1882" s="31"/>
      <c r="AJ1882" s="31"/>
      <c r="AK1882" s="32"/>
    </row>
    <row r="1883">
      <c r="A1883" s="21" t="s">
        <v>362</v>
      </c>
      <c r="B1883" s="22" t="s">
        <v>1097</v>
      </c>
      <c r="C1883" s="22" t="s">
        <v>82</v>
      </c>
      <c r="D1883" s="26">
        <v>45997.0</v>
      </c>
      <c r="E1883" s="22" t="s">
        <v>145</v>
      </c>
      <c r="F1883" s="22" t="s">
        <v>278</v>
      </c>
      <c r="G1883" s="22" t="s">
        <v>3555</v>
      </c>
      <c r="H1883" s="22" t="s">
        <v>362</v>
      </c>
      <c r="I1883" s="22">
        <v>1.0485857059139E13</v>
      </c>
      <c r="J1883" s="22" t="s">
        <v>3276</v>
      </c>
      <c r="K1883" s="24"/>
      <c r="L1883" s="22" t="s">
        <v>366</v>
      </c>
      <c r="M1883" s="22">
        <v>1.0</v>
      </c>
      <c r="N1883" s="22" t="s">
        <v>282</v>
      </c>
      <c r="O1883" s="22" t="s">
        <v>283</v>
      </c>
      <c r="P1883" s="24"/>
      <c r="Q1883" s="22" t="s">
        <v>90</v>
      </c>
      <c r="R1883" s="22">
        <v>3.2810569105731E13</v>
      </c>
      <c r="S1883" s="24"/>
      <c r="T1883" s="24"/>
      <c r="U1883" s="24"/>
      <c r="V1883" s="30" t="s">
        <v>54</v>
      </c>
      <c r="W1883" s="33"/>
      <c r="X1883" s="33"/>
      <c r="Y1883" s="30"/>
      <c r="Z1883" s="30"/>
      <c r="AA1883" s="33"/>
      <c r="AB1883" s="33"/>
      <c r="AC1883" s="30"/>
      <c r="AD1883" s="30"/>
      <c r="AE1883" s="33"/>
      <c r="AF1883" s="31"/>
      <c r="AG1883" s="30"/>
      <c r="AH1883" s="30"/>
      <c r="AI1883" s="31"/>
      <c r="AJ1883" s="31"/>
      <c r="AK1883" s="32"/>
    </row>
    <row r="1884">
      <c r="A1884" s="21" t="s">
        <v>108</v>
      </c>
      <c r="B1884" s="22" t="s">
        <v>393</v>
      </c>
      <c r="C1884" s="22" t="s">
        <v>82</v>
      </c>
      <c r="D1884" s="26">
        <v>45997.0</v>
      </c>
      <c r="E1884" s="22" t="s">
        <v>187</v>
      </c>
      <c r="F1884" s="22" t="s">
        <v>111</v>
      </c>
      <c r="G1884" s="22" t="s">
        <v>3556</v>
      </c>
      <c r="H1884" s="22" t="s">
        <v>108</v>
      </c>
      <c r="I1884" s="22">
        <v>1.0485886812483E13</v>
      </c>
      <c r="J1884" s="22" t="s">
        <v>3046</v>
      </c>
      <c r="K1884" s="24"/>
      <c r="L1884" s="22" t="s">
        <v>114</v>
      </c>
      <c r="M1884" s="22">
        <v>1.0</v>
      </c>
      <c r="N1884" s="22" t="s">
        <v>115</v>
      </c>
      <c r="O1884" s="22" t="s">
        <v>116</v>
      </c>
      <c r="P1884" s="24"/>
      <c r="Q1884" s="22" t="s">
        <v>90</v>
      </c>
      <c r="R1884" s="22">
        <v>3.2810635755843E13</v>
      </c>
      <c r="S1884" s="24"/>
      <c r="T1884" s="24"/>
      <c r="U1884" s="24"/>
      <c r="V1884" s="30" t="s">
        <v>54</v>
      </c>
      <c r="W1884" s="33"/>
      <c r="X1884" s="33"/>
      <c r="Y1884" s="30"/>
      <c r="Z1884" s="30"/>
      <c r="AA1884" s="33"/>
      <c r="AB1884" s="33"/>
      <c r="AC1884" s="30"/>
      <c r="AD1884" s="30"/>
      <c r="AE1884" s="33"/>
      <c r="AF1884" s="31"/>
      <c r="AG1884" s="30"/>
      <c r="AH1884" s="30"/>
      <c r="AI1884" s="31"/>
      <c r="AJ1884" s="31"/>
      <c r="AK1884" s="32"/>
    </row>
    <row r="1885">
      <c r="A1885" s="21" t="s">
        <v>584</v>
      </c>
      <c r="B1885" s="22" t="s">
        <v>416</v>
      </c>
      <c r="C1885" s="22" t="s">
        <v>82</v>
      </c>
      <c r="D1885" s="26">
        <v>45997.0</v>
      </c>
      <c r="E1885" s="22" t="s">
        <v>134</v>
      </c>
      <c r="F1885" s="22" t="s">
        <v>377</v>
      </c>
      <c r="G1885" s="22" t="s">
        <v>3557</v>
      </c>
      <c r="H1885" s="22" t="s">
        <v>584</v>
      </c>
      <c r="I1885" s="22">
        <v>1.0485895659843E13</v>
      </c>
      <c r="J1885" s="22" t="s">
        <v>418</v>
      </c>
      <c r="K1885" s="24"/>
      <c r="L1885" s="22" t="s">
        <v>586</v>
      </c>
      <c r="M1885" s="22">
        <v>1.0</v>
      </c>
      <c r="N1885" s="22" t="s">
        <v>413</v>
      </c>
      <c r="O1885" s="22" t="s">
        <v>414</v>
      </c>
      <c r="P1885" s="24"/>
      <c r="Q1885" s="22" t="s">
        <v>90</v>
      </c>
      <c r="R1885" s="22">
        <v>3.2810655580483E13</v>
      </c>
      <c r="S1885" s="24"/>
      <c r="T1885" s="24"/>
      <c r="U1885" s="24"/>
      <c r="V1885" s="30" t="s">
        <v>105</v>
      </c>
      <c r="W1885" s="33"/>
      <c r="X1885" s="33"/>
      <c r="Y1885" s="30"/>
      <c r="Z1885" s="30"/>
      <c r="AA1885" s="33"/>
      <c r="AB1885" s="33"/>
      <c r="AC1885" s="30"/>
      <c r="AD1885" s="30"/>
      <c r="AE1885" s="33"/>
      <c r="AF1885" s="31"/>
      <c r="AG1885" s="30"/>
      <c r="AH1885" s="30"/>
      <c r="AI1885" s="31"/>
      <c r="AJ1885" s="31"/>
      <c r="AK1885" s="32"/>
    </row>
    <row r="1886">
      <c r="A1886" s="21" t="s">
        <v>2140</v>
      </c>
      <c r="B1886" s="22" t="s">
        <v>318</v>
      </c>
      <c r="C1886" s="22" t="s">
        <v>82</v>
      </c>
      <c r="D1886" s="26">
        <v>45997.0</v>
      </c>
      <c r="E1886" s="22" t="s">
        <v>196</v>
      </c>
      <c r="F1886" s="22" t="s">
        <v>319</v>
      </c>
      <c r="G1886" s="22" t="s">
        <v>3558</v>
      </c>
      <c r="H1886" s="22" t="s">
        <v>2140</v>
      </c>
      <c r="I1886" s="22">
        <v>1.0485897691459E13</v>
      </c>
      <c r="J1886" s="22" t="s">
        <v>321</v>
      </c>
      <c r="K1886" s="24"/>
      <c r="L1886" s="22" t="s">
        <v>2142</v>
      </c>
      <c r="M1886" s="22">
        <v>1.0</v>
      </c>
      <c r="N1886" s="22" t="s">
        <v>323</v>
      </c>
      <c r="O1886" s="22" t="s">
        <v>324</v>
      </c>
      <c r="P1886" s="24"/>
      <c r="Q1886" s="22" t="s">
        <v>90</v>
      </c>
      <c r="R1886" s="22">
        <v>3.2810660233539E13</v>
      </c>
      <c r="S1886" s="24"/>
      <c r="T1886" s="24"/>
      <c r="U1886" s="24"/>
      <c r="V1886" s="30" t="s">
        <v>54</v>
      </c>
      <c r="W1886" s="33"/>
      <c r="X1886" s="33"/>
      <c r="Y1886" s="30"/>
      <c r="Z1886" s="30"/>
      <c r="AA1886" s="33"/>
      <c r="AB1886" s="33"/>
      <c r="AC1886" s="30"/>
      <c r="AD1886" s="30"/>
      <c r="AE1886" s="33"/>
      <c r="AF1886" s="31"/>
      <c r="AG1886" s="30"/>
      <c r="AH1886" s="30"/>
      <c r="AI1886" s="31"/>
      <c r="AJ1886" s="31"/>
      <c r="AK1886" s="32"/>
    </row>
    <row r="1887">
      <c r="A1887" s="21" t="s">
        <v>950</v>
      </c>
      <c r="B1887" s="22" t="s">
        <v>815</v>
      </c>
      <c r="C1887" s="22" t="s">
        <v>82</v>
      </c>
      <c r="D1887" s="26">
        <v>45997.0</v>
      </c>
      <c r="E1887" s="22" t="s">
        <v>187</v>
      </c>
      <c r="F1887" s="22" t="s">
        <v>698</v>
      </c>
      <c r="G1887" s="22" t="s">
        <v>3559</v>
      </c>
      <c r="H1887" s="22" t="s">
        <v>950</v>
      </c>
      <c r="I1887" s="22">
        <v>1.0485899493699E13</v>
      </c>
      <c r="J1887" s="22" t="s">
        <v>2995</v>
      </c>
      <c r="K1887" s="24"/>
      <c r="L1887" s="22" t="s">
        <v>952</v>
      </c>
      <c r="M1887" s="22">
        <v>1.0</v>
      </c>
      <c r="N1887" s="22" t="s">
        <v>702</v>
      </c>
      <c r="O1887" s="22" t="s">
        <v>703</v>
      </c>
      <c r="P1887" s="24"/>
      <c r="Q1887" s="22" t="s">
        <v>90</v>
      </c>
      <c r="R1887" s="22">
        <v>3.2810663313731E13</v>
      </c>
      <c r="S1887" s="24"/>
      <c r="T1887" s="24"/>
      <c r="U1887" s="24"/>
      <c r="V1887" s="30" t="s">
        <v>54</v>
      </c>
      <c r="W1887" s="33"/>
      <c r="X1887" s="33"/>
      <c r="Y1887" s="30"/>
      <c r="Z1887" s="30"/>
      <c r="AA1887" s="33"/>
      <c r="AB1887" s="33"/>
      <c r="AC1887" s="30"/>
      <c r="AD1887" s="30"/>
      <c r="AE1887" s="33"/>
      <c r="AF1887" s="31"/>
      <c r="AG1887" s="30"/>
      <c r="AH1887" s="30"/>
      <c r="AI1887" s="31"/>
      <c r="AJ1887" s="31"/>
      <c r="AK1887" s="32"/>
    </row>
    <row r="1888">
      <c r="A1888" s="21" t="s">
        <v>938</v>
      </c>
      <c r="B1888" s="22" t="s">
        <v>1058</v>
      </c>
      <c r="C1888" s="22" t="s">
        <v>273</v>
      </c>
      <c r="D1888" s="26">
        <v>45998.0</v>
      </c>
      <c r="E1888" s="22" t="s">
        <v>149</v>
      </c>
      <c r="F1888" s="22" t="s">
        <v>472</v>
      </c>
      <c r="G1888" s="22" t="s">
        <v>3560</v>
      </c>
      <c r="H1888" s="22" t="s">
        <v>938</v>
      </c>
      <c r="I1888" s="22">
        <v>1.0485914861891E13</v>
      </c>
      <c r="J1888" s="22" t="s">
        <v>3349</v>
      </c>
      <c r="K1888" s="24"/>
      <c r="L1888" s="22" t="s">
        <v>940</v>
      </c>
      <c r="M1888" s="22">
        <v>1.0</v>
      </c>
      <c r="N1888" s="22" t="s">
        <v>476</v>
      </c>
      <c r="O1888" s="22" t="s">
        <v>477</v>
      </c>
      <c r="P1888" s="24"/>
      <c r="Q1888" s="22" t="s">
        <v>90</v>
      </c>
      <c r="R1888" s="22">
        <v>3.2810696769859E13</v>
      </c>
      <c r="S1888" s="24"/>
      <c r="T1888" s="24"/>
      <c r="U1888" s="24"/>
      <c r="V1888" s="30" t="s">
        <v>54</v>
      </c>
      <c r="W1888" s="33"/>
      <c r="X1888" s="33"/>
      <c r="Y1888" s="30"/>
      <c r="Z1888" s="30"/>
      <c r="AA1888" s="33"/>
      <c r="AB1888" s="33"/>
      <c r="AC1888" s="30"/>
      <c r="AD1888" s="30"/>
      <c r="AE1888" s="33"/>
      <c r="AF1888" s="31"/>
      <c r="AG1888" s="30"/>
      <c r="AH1888" s="30"/>
      <c r="AI1888" s="31"/>
      <c r="AJ1888" s="31"/>
      <c r="AK1888" s="32"/>
    </row>
    <row r="1889">
      <c r="A1889" s="21" t="s">
        <v>632</v>
      </c>
      <c r="B1889" s="22" t="s">
        <v>3284</v>
      </c>
      <c r="C1889" s="22" t="s">
        <v>273</v>
      </c>
      <c r="D1889" s="26">
        <v>45998.0</v>
      </c>
      <c r="E1889" s="22" t="s">
        <v>134</v>
      </c>
      <c r="F1889" s="22" t="s">
        <v>634</v>
      </c>
      <c r="G1889" s="22" t="s">
        <v>3561</v>
      </c>
      <c r="H1889" s="22" t="s">
        <v>632</v>
      </c>
      <c r="I1889" s="22">
        <v>1.0485935145283E13</v>
      </c>
      <c r="J1889" s="22" t="s">
        <v>3286</v>
      </c>
      <c r="K1889" s="24"/>
      <c r="L1889" s="22" t="s">
        <v>637</v>
      </c>
      <c r="M1889" s="22">
        <v>1.0</v>
      </c>
      <c r="N1889" s="22" t="s">
        <v>638</v>
      </c>
      <c r="O1889" s="22" t="s">
        <v>639</v>
      </c>
      <c r="P1889" s="24"/>
      <c r="Q1889" s="22" t="s">
        <v>90</v>
      </c>
      <c r="R1889" s="22">
        <v>3.2810742055235E13</v>
      </c>
      <c r="S1889" s="24"/>
      <c r="T1889" s="24"/>
      <c r="U1889" s="24"/>
      <c r="V1889" s="30" t="s">
        <v>91</v>
      </c>
      <c r="W1889" s="33"/>
      <c r="X1889" s="33"/>
      <c r="Y1889" s="30"/>
      <c r="Z1889" s="30"/>
      <c r="AA1889" s="33"/>
      <c r="AB1889" s="33"/>
      <c r="AC1889" s="30"/>
      <c r="AD1889" s="30"/>
      <c r="AE1889" s="33"/>
      <c r="AF1889" s="31"/>
      <c r="AG1889" s="30"/>
      <c r="AH1889" s="30"/>
      <c r="AI1889" s="31"/>
      <c r="AJ1889" s="31"/>
      <c r="AK1889" s="32"/>
    </row>
    <row r="1890">
      <c r="A1890" s="21" t="s">
        <v>1832</v>
      </c>
      <c r="B1890" s="22" t="s">
        <v>815</v>
      </c>
      <c r="C1890" s="22" t="s">
        <v>82</v>
      </c>
      <c r="D1890" s="26">
        <v>45997.0</v>
      </c>
      <c r="E1890" s="22" t="s">
        <v>187</v>
      </c>
      <c r="F1890" s="22" t="s">
        <v>698</v>
      </c>
      <c r="G1890" s="22" t="s">
        <v>3562</v>
      </c>
      <c r="H1890" s="22" t="s">
        <v>1832</v>
      </c>
      <c r="I1890" s="22">
        <v>1.0485940912451E13</v>
      </c>
      <c r="J1890" s="22" t="s">
        <v>2995</v>
      </c>
      <c r="K1890" s="24"/>
      <c r="L1890" s="22" t="s">
        <v>1834</v>
      </c>
      <c r="M1890" s="22">
        <v>1.0</v>
      </c>
      <c r="N1890" s="22" t="s">
        <v>702</v>
      </c>
      <c r="O1890" s="22" t="s">
        <v>703</v>
      </c>
      <c r="P1890" s="24"/>
      <c r="Q1890" s="22" t="s">
        <v>90</v>
      </c>
      <c r="R1890" s="22">
        <v>3.2810753327427E13</v>
      </c>
      <c r="S1890" s="24"/>
      <c r="T1890" s="24"/>
      <c r="U1890" s="24"/>
      <c r="V1890" s="30" t="s">
        <v>91</v>
      </c>
      <c r="W1890" s="33"/>
      <c r="X1890" s="33"/>
      <c r="Y1890" s="30"/>
      <c r="Z1890" s="30"/>
      <c r="AA1890" s="33"/>
      <c r="AB1890" s="33"/>
      <c r="AC1890" s="30"/>
      <c r="AD1890" s="30"/>
      <c r="AE1890" s="33"/>
      <c r="AF1890" s="31"/>
      <c r="AG1890" s="30"/>
      <c r="AH1890" s="30"/>
      <c r="AI1890" s="31"/>
      <c r="AJ1890" s="31"/>
      <c r="AK1890" s="32"/>
    </row>
    <row r="1891">
      <c r="A1891" s="21" t="s">
        <v>602</v>
      </c>
      <c r="B1891" s="22" t="s">
        <v>2033</v>
      </c>
      <c r="C1891" s="22" t="s">
        <v>82</v>
      </c>
      <c r="D1891" s="26">
        <v>45997.0</v>
      </c>
      <c r="E1891" s="22" t="s">
        <v>1073</v>
      </c>
      <c r="F1891" s="22" t="s">
        <v>605</v>
      </c>
      <c r="G1891" s="22" t="s">
        <v>3563</v>
      </c>
      <c r="H1891" s="22" t="s">
        <v>602</v>
      </c>
      <c r="I1891" s="22">
        <v>1.0485946908995E13</v>
      </c>
      <c r="J1891" s="22" t="s">
        <v>3183</v>
      </c>
      <c r="K1891" s="24"/>
      <c r="L1891" s="22" t="s">
        <v>608</v>
      </c>
      <c r="M1891" s="22">
        <v>1.0</v>
      </c>
      <c r="N1891" s="22" t="s">
        <v>609</v>
      </c>
      <c r="O1891" s="22" t="s">
        <v>610</v>
      </c>
      <c r="P1891" s="24"/>
      <c r="Q1891" s="22" t="s">
        <v>90</v>
      </c>
      <c r="R1891" s="22">
        <v>3.2810765025603E13</v>
      </c>
      <c r="S1891" s="24"/>
      <c r="T1891" s="24"/>
      <c r="U1891" s="24"/>
      <c r="V1891" s="30" t="s">
        <v>54</v>
      </c>
      <c r="W1891" s="33"/>
      <c r="X1891" s="33"/>
      <c r="Y1891" s="30"/>
      <c r="Z1891" s="30"/>
      <c r="AA1891" s="33"/>
      <c r="AB1891" s="33"/>
      <c r="AC1891" s="30"/>
      <c r="AD1891" s="30"/>
      <c r="AE1891" s="33"/>
      <c r="AF1891" s="31"/>
      <c r="AG1891" s="30"/>
      <c r="AH1891" s="30"/>
      <c r="AI1891" s="31"/>
      <c r="AJ1891" s="31"/>
      <c r="AK1891" s="32"/>
    </row>
    <row r="1892">
      <c r="A1892" s="21" t="s">
        <v>141</v>
      </c>
      <c r="B1892" s="22" t="s">
        <v>1352</v>
      </c>
      <c r="C1892" s="22" t="s">
        <v>82</v>
      </c>
      <c r="D1892" s="26">
        <v>45997.0</v>
      </c>
      <c r="E1892" s="22" t="s">
        <v>153</v>
      </c>
      <c r="F1892" s="22" t="s">
        <v>83</v>
      </c>
      <c r="G1892" s="22" t="s">
        <v>3564</v>
      </c>
      <c r="H1892" s="22" t="s">
        <v>141</v>
      </c>
      <c r="I1892" s="22">
        <v>1.0485949464899E13</v>
      </c>
      <c r="J1892" s="22" t="s">
        <v>2950</v>
      </c>
      <c r="K1892" s="24"/>
      <c r="L1892" s="22" t="s">
        <v>143</v>
      </c>
      <c r="M1892" s="22">
        <v>1.0</v>
      </c>
      <c r="N1892" s="22" t="s">
        <v>87</v>
      </c>
      <c r="O1892" s="22" t="s">
        <v>88</v>
      </c>
      <c r="P1892" s="24"/>
      <c r="Q1892" s="22" t="s">
        <v>90</v>
      </c>
      <c r="R1892" s="22">
        <v>3.2810770596163E13</v>
      </c>
      <c r="S1892" s="24"/>
      <c r="T1892" s="24"/>
      <c r="U1892" s="24"/>
      <c r="V1892" s="30" t="s">
        <v>54</v>
      </c>
      <c r="W1892" s="33"/>
      <c r="X1892" s="33"/>
      <c r="Y1892" s="30"/>
      <c r="Z1892" s="30"/>
      <c r="AA1892" s="33"/>
      <c r="AB1892" s="33"/>
      <c r="AC1892" s="30"/>
      <c r="AD1892" s="30"/>
      <c r="AE1892" s="33"/>
      <c r="AF1892" s="31"/>
      <c r="AG1892" s="30"/>
      <c r="AH1892" s="30"/>
      <c r="AI1892" s="31"/>
      <c r="AJ1892" s="31"/>
      <c r="AK1892" s="32"/>
    </row>
    <row r="1893">
      <c r="A1893" s="21" t="s">
        <v>595</v>
      </c>
      <c r="B1893" s="22" t="s">
        <v>587</v>
      </c>
      <c r="C1893" s="22" t="s">
        <v>273</v>
      </c>
      <c r="D1893" s="26">
        <v>45998.0</v>
      </c>
      <c r="E1893" s="22" t="s">
        <v>153</v>
      </c>
      <c r="F1893" s="22" t="s">
        <v>369</v>
      </c>
      <c r="G1893" s="22" t="s">
        <v>3565</v>
      </c>
      <c r="H1893" s="22" t="s">
        <v>595</v>
      </c>
      <c r="I1893" s="22">
        <v>1.0485950153027E13</v>
      </c>
      <c r="J1893" s="22" t="s">
        <v>2971</v>
      </c>
      <c r="K1893" s="24"/>
      <c r="L1893" s="22" t="s">
        <v>599</v>
      </c>
      <c r="M1893" s="22">
        <v>1.0</v>
      </c>
      <c r="N1893" s="22" t="s">
        <v>600</v>
      </c>
      <c r="O1893" s="22" t="s">
        <v>601</v>
      </c>
      <c r="P1893" s="24"/>
      <c r="Q1893" s="22" t="s">
        <v>90</v>
      </c>
      <c r="R1893" s="22">
        <v>3.2810771808579E13</v>
      </c>
      <c r="S1893" s="24"/>
      <c r="T1893" s="24"/>
      <c r="U1893" s="24"/>
      <c r="V1893" s="30" t="s">
        <v>127</v>
      </c>
      <c r="W1893" s="33"/>
      <c r="X1893" s="33"/>
      <c r="Y1893" s="30"/>
      <c r="Z1893" s="30"/>
      <c r="AA1893" s="33"/>
      <c r="AB1893" s="33"/>
      <c r="AC1893" s="30"/>
      <c r="AD1893" s="30"/>
      <c r="AE1893" s="33"/>
      <c r="AF1893" s="31"/>
      <c r="AG1893" s="30"/>
      <c r="AH1893" s="30"/>
      <c r="AI1893" s="31"/>
      <c r="AJ1893" s="31"/>
      <c r="AK1893" s="32"/>
    </row>
    <row r="1894">
      <c r="A1894" s="21" t="s">
        <v>814</v>
      </c>
      <c r="B1894" s="22" t="s">
        <v>815</v>
      </c>
      <c r="C1894" s="22" t="s">
        <v>82</v>
      </c>
      <c r="D1894" s="26">
        <v>45997.0</v>
      </c>
      <c r="E1894" s="22" t="s">
        <v>187</v>
      </c>
      <c r="F1894" s="22" t="s">
        <v>698</v>
      </c>
      <c r="G1894" s="22" t="s">
        <v>3566</v>
      </c>
      <c r="H1894" s="22" t="s">
        <v>814</v>
      </c>
      <c r="I1894" s="22">
        <v>1.0485953724739E13</v>
      </c>
      <c r="J1894" s="22" t="s">
        <v>2995</v>
      </c>
      <c r="K1894" s="24"/>
      <c r="L1894" s="22" t="s">
        <v>818</v>
      </c>
      <c r="M1894" s="22">
        <v>1.0</v>
      </c>
      <c r="N1894" s="22" t="s">
        <v>819</v>
      </c>
      <c r="O1894" s="22" t="s">
        <v>820</v>
      </c>
      <c r="P1894" s="24"/>
      <c r="Q1894" s="22" t="s">
        <v>90</v>
      </c>
      <c r="R1894" s="22">
        <v>3.2810779181379E13</v>
      </c>
      <c r="S1894" s="24"/>
      <c r="T1894" s="24"/>
      <c r="U1894" s="24"/>
      <c r="V1894" s="30" t="s">
        <v>127</v>
      </c>
      <c r="W1894" s="33"/>
      <c r="X1894" s="33"/>
      <c r="Y1894" s="30"/>
      <c r="Z1894" s="30"/>
      <c r="AA1894" s="33"/>
      <c r="AB1894" s="33"/>
      <c r="AC1894" s="30"/>
      <c r="AD1894" s="30"/>
      <c r="AE1894" s="33"/>
      <c r="AF1894" s="31"/>
      <c r="AG1894" s="30"/>
      <c r="AH1894" s="30"/>
      <c r="AI1894" s="31"/>
      <c r="AJ1894" s="31"/>
      <c r="AK1894" s="32"/>
    </row>
    <row r="1895">
      <c r="A1895" s="21" t="s">
        <v>1527</v>
      </c>
      <c r="B1895" s="22" t="s">
        <v>1683</v>
      </c>
      <c r="C1895" s="22" t="s">
        <v>273</v>
      </c>
      <c r="D1895" s="26">
        <v>45998.0</v>
      </c>
      <c r="E1895" s="22" t="s">
        <v>522</v>
      </c>
      <c r="F1895" s="22" t="s">
        <v>451</v>
      </c>
      <c r="G1895" s="22" t="s">
        <v>3567</v>
      </c>
      <c r="H1895" s="22" t="s">
        <v>1527</v>
      </c>
      <c r="I1895" s="22">
        <v>1.0485958902083E13</v>
      </c>
      <c r="J1895" s="22" t="s">
        <v>3568</v>
      </c>
      <c r="K1895" s="24"/>
      <c r="L1895" s="22" t="s">
        <v>1531</v>
      </c>
      <c r="M1895" s="22">
        <v>1.0</v>
      </c>
      <c r="N1895" s="22" t="s">
        <v>1277</v>
      </c>
      <c r="O1895" s="22" t="s">
        <v>1278</v>
      </c>
      <c r="P1895" s="24"/>
      <c r="Q1895" s="22" t="s">
        <v>90</v>
      </c>
      <c r="R1895" s="22">
        <v>3.2810792223043E13</v>
      </c>
      <c r="S1895" s="24"/>
      <c r="T1895" s="24"/>
      <c r="U1895" s="24"/>
      <c r="V1895" s="30" t="s">
        <v>105</v>
      </c>
      <c r="W1895" s="33"/>
      <c r="X1895" s="33"/>
      <c r="Y1895" s="30"/>
      <c r="Z1895" s="30"/>
      <c r="AA1895" s="33"/>
      <c r="AB1895" s="33"/>
      <c r="AC1895" s="30"/>
      <c r="AD1895" s="30"/>
      <c r="AE1895" s="33"/>
      <c r="AF1895" s="31"/>
      <c r="AG1895" s="30"/>
      <c r="AH1895" s="30"/>
      <c r="AI1895" s="31"/>
      <c r="AJ1895" s="31"/>
      <c r="AK1895" s="32"/>
    </row>
    <row r="1896">
      <c r="A1896" s="21" t="s">
        <v>124</v>
      </c>
      <c r="B1896" s="22" t="s">
        <v>1489</v>
      </c>
      <c r="C1896" s="22" t="s">
        <v>82</v>
      </c>
      <c r="D1896" s="26">
        <v>45997.0</v>
      </c>
      <c r="E1896" s="22" t="s">
        <v>266</v>
      </c>
      <c r="F1896" s="22" t="s">
        <v>83</v>
      </c>
      <c r="G1896" s="22" t="s">
        <v>3569</v>
      </c>
      <c r="H1896" s="22" t="s">
        <v>124</v>
      </c>
      <c r="I1896" s="22">
        <v>1.0485962670403E13</v>
      </c>
      <c r="J1896" s="22" t="s">
        <v>3570</v>
      </c>
      <c r="K1896" s="24"/>
      <c r="L1896" s="22" t="s">
        <v>126</v>
      </c>
      <c r="M1896" s="22">
        <v>1.0</v>
      </c>
      <c r="N1896" s="22" t="s">
        <v>103</v>
      </c>
      <c r="O1896" s="22" t="s">
        <v>104</v>
      </c>
      <c r="P1896" s="24"/>
      <c r="Q1896" s="22" t="s">
        <v>90</v>
      </c>
      <c r="R1896" s="22">
        <v>3.2810800546115E13</v>
      </c>
      <c r="S1896" s="24"/>
      <c r="T1896" s="24"/>
      <c r="U1896" s="24"/>
      <c r="V1896" s="30" t="s">
        <v>127</v>
      </c>
      <c r="W1896" s="33"/>
      <c r="X1896" s="33"/>
      <c r="Y1896" s="30"/>
      <c r="Z1896" s="30"/>
      <c r="AA1896" s="33"/>
      <c r="AB1896" s="33"/>
      <c r="AC1896" s="30"/>
      <c r="AD1896" s="30"/>
      <c r="AE1896" s="33"/>
      <c r="AF1896" s="31"/>
      <c r="AG1896" s="30"/>
      <c r="AH1896" s="30"/>
      <c r="AI1896" s="31"/>
      <c r="AJ1896" s="31"/>
      <c r="AK1896" s="32"/>
    </row>
    <row r="1897">
      <c r="A1897" s="21" t="s">
        <v>423</v>
      </c>
      <c r="B1897" s="22" t="s">
        <v>587</v>
      </c>
      <c r="C1897" s="22" t="s">
        <v>273</v>
      </c>
      <c r="D1897" s="26">
        <v>45998.0</v>
      </c>
      <c r="E1897" s="22" t="s">
        <v>153</v>
      </c>
      <c r="F1897" s="22" t="s">
        <v>369</v>
      </c>
      <c r="G1897" s="22" t="s">
        <v>3571</v>
      </c>
      <c r="H1897" s="22" t="s">
        <v>423</v>
      </c>
      <c r="I1897" s="22">
        <v>1.0485977612611E13</v>
      </c>
      <c r="J1897" s="22" t="s">
        <v>2971</v>
      </c>
      <c r="K1897" s="24"/>
      <c r="L1897" s="22" t="s">
        <v>427</v>
      </c>
      <c r="M1897" s="22">
        <v>1.0</v>
      </c>
      <c r="N1897" s="22" t="s">
        <v>373</v>
      </c>
      <c r="O1897" s="22" t="s">
        <v>374</v>
      </c>
      <c r="P1897" s="24"/>
      <c r="Q1897" s="22" t="s">
        <v>90</v>
      </c>
      <c r="R1897" s="22">
        <v>3.2810834919747E13</v>
      </c>
      <c r="S1897" s="24"/>
      <c r="T1897" s="24"/>
      <c r="U1897" s="24"/>
      <c r="V1897" s="30" t="s">
        <v>95</v>
      </c>
      <c r="W1897" s="33"/>
      <c r="X1897" s="33"/>
      <c r="Y1897" s="30"/>
      <c r="Z1897" s="30"/>
      <c r="AA1897" s="33"/>
      <c r="AB1897" s="33"/>
      <c r="AC1897" s="30"/>
      <c r="AD1897" s="30"/>
      <c r="AE1897" s="33"/>
      <c r="AF1897" s="31"/>
      <c r="AG1897" s="30"/>
      <c r="AH1897" s="30"/>
      <c r="AI1897" s="31"/>
      <c r="AJ1897" s="31"/>
      <c r="AK1897" s="32"/>
    </row>
    <row r="1898">
      <c r="A1898" s="21" t="s">
        <v>709</v>
      </c>
      <c r="B1898" s="22" t="s">
        <v>310</v>
      </c>
      <c r="C1898" s="22" t="s">
        <v>82</v>
      </c>
      <c r="D1898" s="26">
        <v>45997.0</v>
      </c>
      <c r="E1898" s="22" t="s">
        <v>134</v>
      </c>
      <c r="F1898" s="22" t="s">
        <v>311</v>
      </c>
      <c r="G1898" s="22" t="s">
        <v>3572</v>
      </c>
      <c r="H1898" s="22" t="s">
        <v>709</v>
      </c>
      <c r="I1898" s="22">
        <v>1.0485985771843E13</v>
      </c>
      <c r="J1898" s="22" t="s">
        <v>313</v>
      </c>
      <c r="K1898" s="24"/>
      <c r="L1898" s="22" t="s">
        <v>713</v>
      </c>
      <c r="M1898" s="22">
        <v>1.0</v>
      </c>
      <c r="N1898" s="22" t="s">
        <v>391</v>
      </c>
      <c r="O1898" s="22" t="s">
        <v>392</v>
      </c>
      <c r="P1898" s="24"/>
      <c r="Q1898" s="22" t="s">
        <v>90</v>
      </c>
      <c r="R1898" s="22">
        <v>3.2810852352323E13</v>
      </c>
      <c r="S1898" s="24"/>
      <c r="T1898" s="24"/>
      <c r="U1898" s="24"/>
      <c r="V1898" s="30" t="s">
        <v>91</v>
      </c>
      <c r="W1898" s="33"/>
      <c r="X1898" s="33"/>
      <c r="Y1898" s="30"/>
      <c r="Z1898" s="30"/>
      <c r="AA1898" s="33"/>
      <c r="AB1898" s="33"/>
      <c r="AC1898" s="30"/>
      <c r="AD1898" s="30"/>
      <c r="AE1898" s="33"/>
      <c r="AF1898" s="31"/>
      <c r="AG1898" s="30"/>
      <c r="AH1898" s="30"/>
      <c r="AI1898" s="31"/>
      <c r="AJ1898" s="31"/>
      <c r="AK1898" s="32"/>
    </row>
    <row r="1899">
      <c r="A1899" s="21" t="s">
        <v>611</v>
      </c>
      <c r="B1899" s="22" t="s">
        <v>424</v>
      </c>
      <c r="C1899" s="22" t="s">
        <v>273</v>
      </c>
      <c r="D1899" s="26">
        <v>45998.0</v>
      </c>
      <c r="E1899" s="22" t="s">
        <v>134</v>
      </c>
      <c r="F1899" s="22" t="s">
        <v>369</v>
      </c>
      <c r="G1899" s="22" t="s">
        <v>3573</v>
      </c>
      <c r="H1899" s="22" t="s">
        <v>611</v>
      </c>
      <c r="I1899" s="22">
        <v>1.0486033252675E13</v>
      </c>
      <c r="J1899" s="22" t="s">
        <v>2948</v>
      </c>
      <c r="K1899" s="24"/>
      <c r="L1899" s="22" t="s">
        <v>613</v>
      </c>
      <c r="M1899" s="22">
        <v>1.0</v>
      </c>
      <c r="N1899" s="22" t="s">
        <v>600</v>
      </c>
      <c r="O1899" s="22" t="s">
        <v>601</v>
      </c>
      <c r="P1899" s="24"/>
      <c r="Q1899" s="22" t="s">
        <v>90</v>
      </c>
      <c r="R1899" s="22">
        <v>3.2810956947779E13</v>
      </c>
      <c r="S1899" s="24"/>
      <c r="T1899" s="24"/>
      <c r="U1899" s="24"/>
      <c r="V1899" s="30" t="s">
        <v>105</v>
      </c>
      <c r="W1899" s="33"/>
      <c r="X1899" s="33"/>
      <c r="Y1899" s="30"/>
      <c r="Z1899" s="30"/>
      <c r="AA1899" s="33"/>
      <c r="AB1899" s="33"/>
      <c r="AC1899" s="30"/>
      <c r="AD1899" s="30"/>
      <c r="AE1899" s="33"/>
      <c r="AF1899" s="31"/>
      <c r="AG1899" s="30"/>
      <c r="AH1899" s="30"/>
      <c r="AI1899" s="31"/>
      <c r="AJ1899" s="31"/>
      <c r="AK1899" s="32"/>
    </row>
    <row r="1900">
      <c r="A1900" s="21" t="s">
        <v>141</v>
      </c>
      <c r="B1900" s="22" t="s">
        <v>1352</v>
      </c>
      <c r="C1900" s="22" t="s">
        <v>82</v>
      </c>
      <c r="D1900" s="26">
        <v>45997.0</v>
      </c>
      <c r="E1900" s="22" t="s">
        <v>153</v>
      </c>
      <c r="F1900" s="22" t="s">
        <v>83</v>
      </c>
      <c r="G1900" s="22" t="s">
        <v>3574</v>
      </c>
      <c r="H1900" s="22" t="s">
        <v>141</v>
      </c>
      <c r="I1900" s="22">
        <v>1.0486057435459E13</v>
      </c>
      <c r="J1900" s="22" t="s">
        <v>2950</v>
      </c>
      <c r="K1900" s="24"/>
      <c r="L1900" s="22" t="s">
        <v>143</v>
      </c>
      <c r="M1900" s="22">
        <v>1.0</v>
      </c>
      <c r="N1900" s="22" t="s">
        <v>87</v>
      </c>
      <c r="O1900" s="22" t="s">
        <v>88</v>
      </c>
      <c r="P1900" s="24"/>
      <c r="Q1900" s="22" t="s">
        <v>90</v>
      </c>
      <c r="R1900" s="22">
        <v>3.2811007672643E13</v>
      </c>
      <c r="S1900" s="24"/>
      <c r="T1900" s="24"/>
      <c r="U1900" s="24"/>
      <c r="V1900" s="30" t="s">
        <v>54</v>
      </c>
      <c r="W1900" s="33"/>
      <c r="X1900" s="33"/>
      <c r="Y1900" s="30"/>
      <c r="Z1900" s="30"/>
      <c r="AA1900" s="33"/>
      <c r="AB1900" s="33"/>
      <c r="AC1900" s="30"/>
      <c r="AD1900" s="30"/>
      <c r="AE1900" s="33"/>
      <c r="AF1900" s="31"/>
      <c r="AG1900" s="30"/>
      <c r="AH1900" s="30"/>
      <c r="AI1900" s="31"/>
      <c r="AJ1900" s="31"/>
      <c r="AK1900" s="32"/>
    </row>
    <row r="1901">
      <c r="A1901" s="21" t="s">
        <v>124</v>
      </c>
      <c r="B1901" s="22" t="s">
        <v>2723</v>
      </c>
      <c r="C1901" s="22" t="s">
        <v>202</v>
      </c>
      <c r="D1901" s="26">
        <v>45996.0</v>
      </c>
      <c r="E1901" s="22" t="s">
        <v>1400</v>
      </c>
      <c r="F1901" s="22" t="s">
        <v>83</v>
      </c>
      <c r="G1901" s="22" t="s">
        <v>3575</v>
      </c>
      <c r="H1901" s="22" t="s">
        <v>124</v>
      </c>
      <c r="I1901" s="22">
        <v>1.0486079324483E13</v>
      </c>
      <c r="J1901" s="22" t="s">
        <v>3576</v>
      </c>
      <c r="K1901" s="24"/>
      <c r="L1901" s="22" t="s">
        <v>126</v>
      </c>
      <c r="M1901" s="22">
        <v>1.0</v>
      </c>
      <c r="N1901" s="22" t="s">
        <v>103</v>
      </c>
      <c r="O1901" s="22" t="s">
        <v>104</v>
      </c>
      <c r="P1901" s="24"/>
      <c r="Q1901" s="22" t="s">
        <v>90</v>
      </c>
      <c r="R1901" s="22">
        <v>3.2811058135363E13</v>
      </c>
      <c r="S1901" s="24"/>
      <c r="T1901" s="24"/>
      <c r="U1901" s="24"/>
      <c r="V1901" s="30" t="s">
        <v>127</v>
      </c>
      <c r="W1901" s="33"/>
      <c r="X1901" s="33"/>
      <c r="Y1901" s="30"/>
      <c r="Z1901" s="30"/>
      <c r="AA1901" s="33"/>
      <c r="AB1901" s="33"/>
      <c r="AC1901" s="30"/>
      <c r="AD1901" s="30"/>
      <c r="AE1901" s="33"/>
      <c r="AF1901" s="31"/>
      <c r="AG1901" s="30"/>
      <c r="AH1901" s="30"/>
      <c r="AI1901" s="31"/>
      <c r="AJ1901" s="31"/>
      <c r="AK1901" s="32"/>
    </row>
    <row r="1902">
      <c r="A1902" s="28"/>
      <c r="B1902" s="22" t="s">
        <v>2723</v>
      </c>
      <c r="C1902" s="22" t="s">
        <v>202</v>
      </c>
      <c r="D1902" s="26">
        <v>45996.0</v>
      </c>
      <c r="E1902" s="22" t="s">
        <v>1400</v>
      </c>
      <c r="F1902" s="22" t="s">
        <v>83</v>
      </c>
      <c r="G1902" s="22" t="s">
        <v>3575</v>
      </c>
      <c r="H1902" s="29"/>
      <c r="I1902" s="22">
        <v>1.0486079324483E13</v>
      </c>
      <c r="J1902" s="22" t="s">
        <v>3576</v>
      </c>
      <c r="K1902" s="24"/>
      <c r="L1902" s="22" t="s">
        <v>3577</v>
      </c>
      <c r="M1902" s="24"/>
      <c r="N1902" s="24"/>
      <c r="O1902" s="22" t="s">
        <v>1806</v>
      </c>
      <c r="P1902" s="24"/>
      <c r="Q1902" s="22" t="s">
        <v>769</v>
      </c>
      <c r="R1902" s="24"/>
      <c r="S1902" s="24"/>
      <c r="T1902" s="24"/>
      <c r="U1902" s="24"/>
      <c r="V1902" s="30"/>
      <c r="W1902" s="33"/>
      <c r="X1902" s="33"/>
      <c r="Y1902" s="30"/>
      <c r="Z1902" s="30"/>
      <c r="AA1902" s="33"/>
      <c r="AB1902" s="33"/>
      <c r="AC1902" s="30"/>
      <c r="AD1902" s="30"/>
      <c r="AE1902" s="33"/>
      <c r="AF1902" s="31"/>
      <c r="AG1902" s="30"/>
      <c r="AH1902" s="30"/>
      <c r="AI1902" s="31"/>
      <c r="AJ1902" s="31"/>
      <c r="AK1902" s="32"/>
    </row>
    <row r="1903">
      <c r="A1903" s="21" t="s">
        <v>584</v>
      </c>
      <c r="B1903" s="22" t="s">
        <v>3578</v>
      </c>
      <c r="C1903" s="22" t="s">
        <v>82</v>
      </c>
      <c r="D1903" s="26">
        <v>45997.0</v>
      </c>
      <c r="E1903" s="22" t="s">
        <v>134</v>
      </c>
      <c r="F1903" s="22" t="s">
        <v>377</v>
      </c>
      <c r="G1903" s="22" t="s">
        <v>3579</v>
      </c>
      <c r="H1903" s="22" t="s">
        <v>584</v>
      </c>
      <c r="I1903" s="22">
        <v>1.0486088073539E13</v>
      </c>
      <c r="J1903" s="22" t="s">
        <v>418</v>
      </c>
      <c r="K1903" s="24"/>
      <c r="L1903" s="22" t="s">
        <v>586</v>
      </c>
      <c r="M1903" s="22">
        <v>1.0</v>
      </c>
      <c r="N1903" s="22" t="s">
        <v>413</v>
      </c>
      <c r="O1903" s="22" t="s">
        <v>414</v>
      </c>
      <c r="P1903" s="24"/>
      <c r="Q1903" s="22" t="s">
        <v>90</v>
      </c>
      <c r="R1903" s="22">
        <v>3.2811077075267E13</v>
      </c>
      <c r="S1903" s="24"/>
      <c r="T1903" s="24"/>
      <c r="U1903" s="24"/>
      <c r="V1903" s="30" t="s">
        <v>105</v>
      </c>
      <c r="W1903" s="33"/>
      <c r="X1903" s="33"/>
      <c r="Y1903" s="30"/>
      <c r="Z1903" s="30"/>
      <c r="AA1903" s="33"/>
      <c r="AB1903" s="33"/>
      <c r="AC1903" s="30"/>
      <c r="AD1903" s="30"/>
      <c r="AE1903" s="33"/>
      <c r="AF1903" s="31"/>
      <c r="AG1903" s="30"/>
      <c r="AH1903" s="30"/>
      <c r="AI1903" s="31"/>
      <c r="AJ1903" s="31"/>
      <c r="AK1903" s="32"/>
    </row>
    <row r="1904">
      <c r="A1904" s="21" t="s">
        <v>423</v>
      </c>
      <c r="B1904" s="22" t="s">
        <v>587</v>
      </c>
      <c r="C1904" s="22" t="s">
        <v>273</v>
      </c>
      <c r="D1904" s="26">
        <v>45998.0</v>
      </c>
      <c r="E1904" s="22" t="s">
        <v>153</v>
      </c>
      <c r="F1904" s="22" t="s">
        <v>369</v>
      </c>
      <c r="G1904" s="22" t="s">
        <v>3580</v>
      </c>
      <c r="H1904" s="22" t="s">
        <v>423</v>
      </c>
      <c r="I1904" s="22">
        <v>1.0486121922883E13</v>
      </c>
      <c r="J1904" s="22" t="s">
        <v>2971</v>
      </c>
      <c r="K1904" s="24"/>
      <c r="L1904" s="22" t="s">
        <v>427</v>
      </c>
      <c r="M1904" s="22">
        <v>1.0</v>
      </c>
      <c r="N1904" s="22" t="s">
        <v>373</v>
      </c>
      <c r="O1904" s="22" t="s">
        <v>374</v>
      </c>
      <c r="P1904" s="24"/>
      <c r="Q1904" s="22" t="s">
        <v>90</v>
      </c>
      <c r="R1904" s="22">
        <v>3.2811150639427E13</v>
      </c>
      <c r="S1904" s="24"/>
      <c r="T1904" s="24"/>
      <c r="U1904" s="24"/>
      <c r="V1904" s="30" t="s">
        <v>95</v>
      </c>
      <c r="W1904" s="33"/>
      <c r="X1904" s="33"/>
      <c r="Y1904" s="30"/>
      <c r="Z1904" s="30"/>
      <c r="AA1904" s="33"/>
      <c r="AB1904" s="33"/>
      <c r="AC1904" s="30"/>
      <c r="AD1904" s="30"/>
      <c r="AE1904" s="33"/>
      <c r="AF1904" s="31"/>
      <c r="AG1904" s="30"/>
      <c r="AH1904" s="30"/>
      <c r="AI1904" s="31"/>
      <c r="AJ1904" s="31"/>
      <c r="AK1904" s="32"/>
    </row>
    <row r="1905">
      <c r="A1905" s="21" t="s">
        <v>141</v>
      </c>
      <c r="B1905" s="22" t="s">
        <v>3581</v>
      </c>
      <c r="C1905" s="22" t="s">
        <v>202</v>
      </c>
      <c r="D1905" s="23">
        <v>46003.0</v>
      </c>
      <c r="E1905" s="22" t="s">
        <v>181</v>
      </c>
      <c r="F1905" s="22" t="s">
        <v>83</v>
      </c>
      <c r="G1905" s="22" t="s">
        <v>3582</v>
      </c>
      <c r="H1905" s="22" t="s">
        <v>141</v>
      </c>
      <c r="I1905" s="22">
        <v>1.0486155247939E13</v>
      </c>
      <c r="J1905" s="22" t="s">
        <v>3583</v>
      </c>
      <c r="K1905" s="24"/>
      <c r="L1905" s="22" t="s">
        <v>143</v>
      </c>
      <c r="M1905" s="22">
        <v>1.0</v>
      </c>
      <c r="N1905" s="22" t="s">
        <v>87</v>
      </c>
      <c r="O1905" s="22" t="s">
        <v>88</v>
      </c>
      <c r="P1905" s="24"/>
      <c r="Q1905" s="22" t="s">
        <v>90</v>
      </c>
      <c r="R1905" s="22">
        <v>3.2811220861251E13</v>
      </c>
      <c r="S1905" s="24"/>
      <c r="T1905" s="24"/>
      <c r="U1905" s="24"/>
      <c r="V1905" s="30" t="s">
        <v>54</v>
      </c>
      <c r="W1905" s="33"/>
      <c r="X1905" s="33"/>
      <c r="Y1905" s="30"/>
      <c r="Z1905" s="30"/>
      <c r="AA1905" s="33"/>
      <c r="AB1905" s="33"/>
      <c r="AC1905" s="30"/>
      <c r="AD1905" s="30"/>
      <c r="AE1905" s="33"/>
      <c r="AF1905" s="31"/>
      <c r="AG1905" s="30"/>
      <c r="AH1905" s="30"/>
      <c r="AI1905" s="31"/>
      <c r="AJ1905" s="31"/>
      <c r="AK1905" s="32"/>
    </row>
    <row r="1906">
      <c r="A1906" s="21" t="s">
        <v>1554</v>
      </c>
      <c r="B1906" s="22" t="s">
        <v>2944</v>
      </c>
      <c r="C1906" s="22" t="s">
        <v>82</v>
      </c>
      <c r="D1906" s="26">
        <v>45997.0</v>
      </c>
      <c r="E1906" s="22" t="s">
        <v>138</v>
      </c>
      <c r="F1906" s="22" t="s">
        <v>1466</v>
      </c>
      <c r="G1906" s="22" t="s">
        <v>3584</v>
      </c>
      <c r="H1906" s="22" t="s">
        <v>1554</v>
      </c>
      <c r="I1906" s="22">
        <v>1.0486165864771E13</v>
      </c>
      <c r="J1906" s="22" t="s">
        <v>2946</v>
      </c>
      <c r="K1906" s="24"/>
      <c r="L1906" s="22" t="s">
        <v>1556</v>
      </c>
      <c r="M1906" s="22">
        <v>1.0</v>
      </c>
      <c r="N1906" s="22" t="s">
        <v>1470</v>
      </c>
      <c r="O1906" s="22" t="s">
        <v>1471</v>
      </c>
      <c r="P1906" s="24"/>
      <c r="Q1906" s="22" t="s">
        <v>90</v>
      </c>
      <c r="R1906" s="22">
        <v>3.2811242225987E13</v>
      </c>
      <c r="S1906" s="24"/>
      <c r="T1906" s="24"/>
      <c r="U1906" s="24"/>
      <c r="V1906" s="30" t="s">
        <v>91</v>
      </c>
      <c r="W1906" s="33"/>
      <c r="X1906" s="33"/>
      <c r="Y1906" s="30"/>
      <c r="Z1906" s="30"/>
      <c r="AA1906" s="33"/>
      <c r="AB1906" s="33"/>
      <c r="AC1906" s="30"/>
      <c r="AD1906" s="30"/>
      <c r="AE1906" s="33"/>
      <c r="AF1906" s="31"/>
      <c r="AG1906" s="30"/>
      <c r="AH1906" s="30"/>
      <c r="AI1906" s="31"/>
      <c r="AJ1906" s="31"/>
      <c r="AK1906" s="32"/>
    </row>
    <row r="1907">
      <c r="A1907" s="21" t="s">
        <v>99</v>
      </c>
      <c r="B1907" s="22" t="s">
        <v>3585</v>
      </c>
      <c r="C1907" s="22" t="s">
        <v>273</v>
      </c>
      <c r="D1907" s="26">
        <v>45998.0</v>
      </c>
      <c r="E1907" s="22" t="s">
        <v>252</v>
      </c>
      <c r="F1907" s="22" t="s">
        <v>83</v>
      </c>
      <c r="G1907" s="22" t="s">
        <v>3586</v>
      </c>
      <c r="H1907" s="22" t="s">
        <v>99</v>
      </c>
      <c r="I1907" s="22">
        <v>1.0486191325507E13</v>
      </c>
      <c r="J1907" s="22" t="s">
        <v>3587</v>
      </c>
      <c r="K1907" s="24"/>
      <c r="L1907" s="22" t="s">
        <v>102</v>
      </c>
      <c r="M1907" s="22">
        <v>1.0</v>
      </c>
      <c r="N1907" s="22" t="s">
        <v>103</v>
      </c>
      <c r="O1907" s="22" t="s">
        <v>104</v>
      </c>
      <c r="P1907" s="24"/>
      <c r="Q1907" s="22" t="s">
        <v>90</v>
      </c>
      <c r="R1907" s="22">
        <v>3.2811293245763E13</v>
      </c>
      <c r="S1907" s="24"/>
      <c r="T1907" s="24"/>
      <c r="U1907" s="24"/>
      <c r="V1907" s="30" t="s">
        <v>105</v>
      </c>
      <c r="W1907" s="33"/>
      <c r="X1907" s="33"/>
      <c r="Y1907" s="30"/>
      <c r="Z1907" s="30"/>
      <c r="AA1907" s="33"/>
      <c r="AB1907" s="33"/>
      <c r="AC1907" s="30"/>
      <c r="AD1907" s="30"/>
      <c r="AE1907" s="33"/>
      <c r="AF1907" s="31"/>
      <c r="AG1907" s="30"/>
      <c r="AH1907" s="30"/>
      <c r="AI1907" s="31"/>
      <c r="AJ1907" s="31"/>
      <c r="AK1907" s="32"/>
    </row>
    <row r="1908">
      <c r="A1908" s="21" t="s">
        <v>108</v>
      </c>
      <c r="B1908" s="22" t="s">
        <v>393</v>
      </c>
      <c r="C1908" s="22" t="s">
        <v>82</v>
      </c>
      <c r="D1908" s="26">
        <v>45997.0</v>
      </c>
      <c r="E1908" s="22" t="s">
        <v>187</v>
      </c>
      <c r="F1908" s="22" t="s">
        <v>111</v>
      </c>
      <c r="G1908" s="22" t="s">
        <v>3588</v>
      </c>
      <c r="H1908" s="22" t="s">
        <v>108</v>
      </c>
      <c r="I1908" s="22">
        <v>1.0486232711491E13</v>
      </c>
      <c r="J1908" s="22" t="s">
        <v>3046</v>
      </c>
      <c r="K1908" s="24"/>
      <c r="L1908" s="22" t="s">
        <v>114</v>
      </c>
      <c r="M1908" s="22">
        <v>1.0</v>
      </c>
      <c r="N1908" s="22" t="s">
        <v>115</v>
      </c>
      <c r="O1908" s="22" t="s">
        <v>116</v>
      </c>
      <c r="P1908" s="24"/>
      <c r="Q1908" s="22" t="s">
        <v>90</v>
      </c>
      <c r="R1908" s="22">
        <v>3.2811380736323E13</v>
      </c>
      <c r="S1908" s="24"/>
      <c r="T1908" s="24"/>
      <c r="U1908" s="24"/>
      <c r="V1908" s="30" t="s">
        <v>54</v>
      </c>
      <c r="W1908" s="33"/>
      <c r="X1908" s="33"/>
      <c r="Y1908" s="30"/>
      <c r="Z1908" s="30"/>
      <c r="AA1908" s="33"/>
      <c r="AB1908" s="33"/>
      <c r="AC1908" s="30"/>
      <c r="AD1908" s="30"/>
      <c r="AE1908" s="33"/>
      <c r="AF1908" s="31"/>
      <c r="AG1908" s="30"/>
      <c r="AH1908" s="30"/>
      <c r="AI1908" s="31"/>
      <c r="AJ1908" s="31"/>
      <c r="AK1908" s="32"/>
    </row>
    <row r="1909">
      <c r="A1909" s="21" t="s">
        <v>415</v>
      </c>
      <c r="B1909" s="22" t="s">
        <v>810</v>
      </c>
      <c r="C1909" s="22" t="s">
        <v>82</v>
      </c>
      <c r="D1909" s="23">
        <v>46004.0</v>
      </c>
      <c r="E1909" s="22" t="s">
        <v>134</v>
      </c>
      <c r="F1909" s="22" t="s">
        <v>377</v>
      </c>
      <c r="G1909" s="22" t="s">
        <v>3589</v>
      </c>
      <c r="H1909" s="22" t="s">
        <v>415</v>
      </c>
      <c r="I1909" s="22">
        <v>1.0485826421059E13</v>
      </c>
      <c r="J1909" s="22" t="s">
        <v>3124</v>
      </c>
      <c r="K1909" s="24"/>
      <c r="L1909" s="22" t="s">
        <v>419</v>
      </c>
      <c r="M1909" s="22">
        <v>1.0</v>
      </c>
      <c r="N1909" s="22" t="s">
        <v>381</v>
      </c>
      <c r="O1909" s="22" t="s">
        <v>382</v>
      </c>
      <c r="P1909" s="24"/>
      <c r="Q1909" s="22" t="s">
        <v>90</v>
      </c>
      <c r="R1909" s="22">
        <v>3.2810503930179E13</v>
      </c>
      <c r="S1909" s="24"/>
      <c r="T1909" s="24"/>
      <c r="U1909" s="24"/>
      <c r="V1909" s="30" t="s">
        <v>91</v>
      </c>
      <c r="W1909" s="33"/>
      <c r="X1909" s="33"/>
      <c r="Y1909" s="30"/>
      <c r="Z1909" s="30"/>
      <c r="AA1909" s="33"/>
      <c r="AB1909" s="33"/>
      <c r="AC1909" s="30"/>
      <c r="AD1909" s="30"/>
      <c r="AE1909" s="33"/>
      <c r="AF1909" s="31"/>
      <c r="AG1909" s="30"/>
      <c r="AH1909" s="30"/>
      <c r="AI1909" s="31"/>
      <c r="AJ1909" s="31"/>
      <c r="AK1909" s="32"/>
    </row>
    <row r="1910">
      <c r="A1910" s="21" t="s">
        <v>692</v>
      </c>
      <c r="B1910" s="22" t="s">
        <v>424</v>
      </c>
      <c r="C1910" s="22" t="s">
        <v>273</v>
      </c>
      <c r="D1910" s="26">
        <v>45998.0</v>
      </c>
      <c r="E1910" s="22" t="s">
        <v>134</v>
      </c>
      <c r="F1910" s="22" t="s">
        <v>369</v>
      </c>
      <c r="G1910" s="22" t="s">
        <v>3590</v>
      </c>
      <c r="H1910" s="22" t="s">
        <v>692</v>
      </c>
      <c r="I1910" s="22">
        <v>1.0485830779203E13</v>
      </c>
      <c r="J1910" s="22" t="s">
        <v>2948</v>
      </c>
      <c r="K1910" s="24"/>
      <c r="L1910" s="22" t="s">
        <v>694</v>
      </c>
      <c r="M1910" s="22">
        <v>1.0</v>
      </c>
      <c r="N1910" s="22" t="s">
        <v>373</v>
      </c>
      <c r="O1910" s="22" t="s">
        <v>374</v>
      </c>
      <c r="P1910" s="24"/>
      <c r="Q1910" s="22" t="s">
        <v>90</v>
      </c>
      <c r="R1910" s="22">
        <v>3.2810512646467E13</v>
      </c>
      <c r="S1910" s="24"/>
      <c r="T1910" s="24"/>
      <c r="U1910" s="24"/>
      <c r="V1910" s="30" t="s">
        <v>54</v>
      </c>
      <c r="W1910" s="33"/>
      <c r="X1910" s="33"/>
      <c r="Y1910" s="30"/>
      <c r="Z1910" s="30"/>
      <c r="AA1910" s="33"/>
      <c r="AB1910" s="33"/>
      <c r="AC1910" s="30"/>
      <c r="AD1910" s="30"/>
      <c r="AE1910" s="33"/>
      <c r="AF1910" s="31"/>
      <c r="AG1910" s="30"/>
      <c r="AH1910" s="30"/>
      <c r="AI1910" s="31"/>
      <c r="AJ1910" s="31"/>
      <c r="AK1910" s="32"/>
    </row>
    <row r="1911">
      <c r="A1911" s="21" t="s">
        <v>1200</v>
      </c>
      <c r="B1911" s="22" t="s">
        <v>277</v>
      </c>
      <c r="C1911" s="22" t="s">
        <v>82</v>
      </c>
      <c r="D1911" s="26">
        <v>45997.0</v>
      </c>
      <c r="E1911" s="22" t="s">
        <v>138</v>
      </c>
      <c r="F1911" s="22" t="s">
        <v>278</v>
      </c>
      <c r="G1911" s="22" t="s">
        <v>3591</v>
      </c>
      <c r="H1911" s="22" t="s">
        <v>1200</v>
      </c>
      <c r="I1911" s="22">
        <v>1.0485833204035E13</v>
      </c>
      <c r="J1911" s="22" t="s">
        <v>554</v>
      </c>
      <c r="K1911" s="24"/>
      <c r="L1911" s="22" t="s">
        <v>1203</v>
      </c>
      <c r="M1911" s="22">
        <v>1.0</v>
      </c>
      <c r="N1911" s="22" t="s">
        <v>282</v>
      </c>
      <c r="O1911" s="22" t="s">
        <v>283</v>
      </c>
      <c r="P1911" s="24"/>
      <c r="Q1911" s="22" t="s">
        <v>90</v>
      </c>
      <c r="R1911" s="22">
        <v>3.2810517233987E13</v>
      </c>
      <c r="S1911" s="24"/>
      <c r="T1911" s="24"/>
      <c r="U1911" s="24"/>
      <c r="V1911" s="30" t="s">
        <v>91</v>
      </c>
      <c r="W1911" s="33"/>
      <c r="X1911" s="33"/>
      <c r="Y1911" s="30"/>
      <c r="Z1911" s="30"/>
      <c r="AA1911" s="33"/>
      <c r="AB1911" s="33"/>
      <c r="AC1911" s="30"/>
      <c r="AD1911" s="30"/>
      <c r="AE1911" s="33"/>
      <c r="AF1911" s="31"/>
      <c r="AG1911" s="30"/>
      <c r="AH1911" s="30"/>
      <c r="AI1911" s="31"/>
      <c r="AJ1911" s="31"/>
      <c r="AK1911" s="32"/>
    </row>
    <row r="1912">
      <c r="A1912" s="21" t="s">
        <v>529</v>
      </c>
      <c r="B1912" s="22" t="s">
        <v>471</v>
      </c>
      <c r="C1912" s="22" t="s">
        <v>82</v>
      </c>
      <c r="D1912" s="26">
        <v>45997.0</v>
      </c>
      <c r="E1912" s="22" t="s">
        <v>134</v>
      </c>
      <c r="F1912" s="22" t="s">
        <v>472</v>
      </c>
      <c r="G1912" s="22" t="s">
        <v>3592</v>
      </c>
      <c r="H1912" s="22" t="s">
        <v>529</v>
      </c>
      <c r="I1912" s="22">
        <v>1.0486276030787E13</v>
      </c>
      <c r="J1912" s="22" t="s">
        <v>3019</v>
      </c>
      <c r="K1912" s="24"/>
      <c r="L1912" s="22" t="s">
        <v>533</v>
      </c>
      <c r="M1912" s="22">
        <v>1.0</v>
      </c>
      <c r="N1912" s="22" t="s">
        <v>534</v>
      </c>
      <c r="O1912" s="22" t="s">
        <v>535</v>
      </c>
      <c r="P1912" s="24"/>
      <c r="Q1912" s="22" t="s">
        <v>90</v>
      </c>
      <c r="R1912" s="22">
        <v>3.2811475206467E13</v>
      </c>
      <c r="S1912" s="24"/>
      <c r="T1912" s="24"/>
      <c r="U1912" s="24"/>
      <c r="V1912" s="30" t="s">
        <v>127</v>
      </c>
      <c r="W1912" s="33"/>
      <c r="X1912" s="33"/>
      <c r="Y1912" s="30"/>
      <c r="Z1912" s="30"/>
      <c r="AA1912" s="33"/>
      <c r="AB1912" s="33"/>
      <c r="AC1912" s="30"/>
      <c r="AD1912" s="30"/>
      <c r="AE1912" s="33"/>
      <c r="AF1912" s="31"/>
      <c r="AG1912" s="30"/>
      <c r="AH1912" s="30"/>
      <c r="AI1912" s="31"/>
      <c r="AJ1912" s="31"/>
      <c r="AK1912" s="32"/>
    </row>
    <row r="1913">
      <c r="A1913" s="21" t="s">
        <v>569</v>
      </c>
      <c r="B1913" s="22" t="s">
        <v>471</v>
      </c>
      <c r="C1913" s="22" t="s">
        <v>82</v>
      </c>
      <c r="D1913" s="26">
        <v>45997.0</v>
      </c>
      <c r="E1913" s="22" t="s">
        <v>134</v>
      </c>
      <c r="F1913" s="22" t="s">
        <v>472</v>
      </c>
      <c r="G1913" s="22" t="s">
        <v>3592</v>
      </c>
      <c r="H1913" s="22" t="s">
        <v>569</v>
      </c>
      <c r="I1913" s="22">
        <v>1.0486276030787E13</v>
      </c>
      <c r="J1913" s="22" t="s">
        <v>3019</v>
      </c>
      <c r="K1913" s="24"/>
      <c r="L1913" s="22" t="s">
        <v>571</v>
      </c>
      <c r="M1913" s="22">
        <v>1.0</v>
      </c>
      <c r="N1913" s="22" t="s">
        <v>534</v>
      </c>
      <c r="O1913" s="22" t="s">
        <v>535</v>
      </c>
      <c r="P1913" s="24"/>
      <c r="Q1913" s="22" t="s">
        <v>90</v>
      </c>
      <c r="R1913" s="22">
        <v>3.2811475239235E13</v>
      </c>
      <c r="S1913" s="24"/>
      <c r="T1913" s="24"/>
      <c r="U1913" s="24"/>
      <c r="V1913" s="30" t="s">
        <v>105</v>
      </c>
      <c r="W1913" s="33"/>
      <c r="X1913" s="33"/>
      <c r="Y1913" s="30"/>
      <c r="Z1913" s="30"/>
      <c r="AA1913" s="33"/>
      <c r="AB1913" s="33"/>
      <c r="AC1913" s="30"/>
      <c r="AD1913" s="30"/>
      <c r="AE1913" s="33"/>
      <c r="AF1913" s="31"/>
      <c r="AG1913" s="30"/>
      <c r="AH1913" s="30"/>
      <c r="AI1913" s="31"/>
      <c r="AJ1913" s="31"/>
      <c r="AK1913" s="32"/>
    </row>
    <row r="1914">
      <c r="A1914" s="21" t="s">
        <v>80</v>
      </c>
      <c r="B1914" s="22" t="s">
        <v>1416</v>
      </c>
      <c r="C1914" s="22" t="s">
        <v>273</v>
      </c>
      <c r="D1914" s="26">
        <v>45998.0</v>
      </c>
      <c r="E1914" s="22" t="s">
        <v>138</v>
      </c>
      <c r="F1914" s="22" t="s">
        <v>83</v>
      </c>
      <c r="G1914" s="22" t="s">
        <v>3593</v>
      </c>
      <c r="H1914" s="22" t="s">
        <v>80</v>
      </c>
      <c r="I1914" s="22">
        <v>1.0486291235139E13</v>
      </c>
      <c r="J1914" s="22" t="s">
        <v>3489</v>
      </c>
      <c r="K1914" s="24"/>
      <c r="L1914" s="22" t="s">
        <v>86</v>
      </c>
      <c r="M1914" s="22">
        <v>1.0</v>
      </c>
      <c r="N1914" s="22" t="s">
        <v>87</v>
      </c>
      <c r="O1914" s="22" t="s">
        <v>88</v>
      </c>
      <c r="P1914" s="24"/>
      <c r="Q1914" s="22" t="s">
        <v>90</v>
      </c>
      <c r="R1914" s="22">
        <v>3.2811507220803E13</v>
      </c>
      <c r="S1914" s="24"/>
      <c r="T1914" s="24"/>
      <c r="U1914" s="24"/>
      <c r="V1914" s="30" t="s">
        <v>91</v>
      </c>
      <c r="W1914" s="33"/>
      <c r="X1914" s="33"/>
      <c r="Y1914" s="30"/>
      <c r="Z1914" s="30"/>
      <c r="AA1914" s="33"/>
      <c r="AB1914" s="33"/>
      <c r="AC1914" s="30"/>
      <c r="AD1914" s="30"/>
      <c r="AE1914" s="33"/>
      <c r="AF1914" s="31"/>
      <c r="AG1914" s="30"/>
      <c r="AH1914" s="30"/>
      <c r="AI1914" s="31"/>
      <c r="AJ1914" s="31"/>
      <c r="AK1914" s="32"/>
    </row>
    <row r="1915">
      <c r="A1915" s="21" t="s">
        <v>859</v>
      </c>
      <c r="B1915" s="22" t="s">
        <v>3594</v>
      </c>
      <c r="C1915" s="22" t="s">
        <v>82</v>
      </c>
      <c r="D1915" s="26">
        <v>45997.0</v>
      </c>
      <c r="E1915" s="22" t="s">
        <v>3595</v>
      </c>
      <c r="F1915" s="22" t="s">
        <v>605</v>
      </c>
      <c r="G1915" s="22" t="s">
        <v>3596</v>
      </c>
      <c r="H1915" s="22" t="s">
        <v>859</v>
      </c>
      <c r="I1915" s="22">
        <v>1.0486297854275E13</v>
      </c>
      <c r="J1915" s="22" t="s">
        <v>3597</v>
      </c>
      <c r="K1915" s="24"/>
      <c r="L1915" s="22" t="s">
        <v>861</v>
      </c>
      <c r="M1915" s="22">
        <v>1.0</v>
      </c>
      <c r="N1915" s="22" t="s">
        <v>609</v>
      </c>
      <c r="O1915" s="22" t="s">
        <v>610</v>
      </c>
      <c r="P1915" s="24"/>
      <c r="Q1915" s="22" t="s">
        <v>90</v>
      </c>
      <c r="R1915" s="22">
        <v>3.2811520426307E13</v>
      </c>
      <c r="S1915" s="24"/>
      <c r="T1915" s="24"/>
      <c r="U1915" s="24"/>
      <c r="V1915" s="30" t="s">
        <v>95</v>
      </c>
      <c r="W1915" s="33"/>
      <c r="X1915" s="33"/>
      <c r="Y1915" s="30"/>
      <c r="Z1915" s="30"/>
      <c r="AA1915" s="33"/>
      <c r="AB1915" s="33"/>
      <c r="AC1915" s="30"/>
      <c r="AD1915" s="30"/>
      <c r="AE1915" s="33"/>
      <c r="AF1915" s="31"/>
      <c r="AG1915" s="30"/>
      <c r="AH1915" s="30"/>
      <c r="AI1915" s="31"/>
      <c r="AJ1915" s="31"/>
      <c r="AK1915" s="32"/>
    </row>
    <row r="1916">
      <c r="A1916" s="21" t="s">
        <v>938</v>
      </c>
      <c r="B1916" s="22" t="s">
        <v>471</v>
      </c>
      <c r="C1916" s="22" t="s">
        <v>82</v>
      </c>
      <c r="D1916" s="26">
        <v>45997.0</v>
      </c>
      <c r="E1916" s="22" t="s">
        <v>134</v>
      </c>
      <c r="F1916" s="22" t="s">
        <v>472</v>
      </c>
      <c r="G1916" s="22" t="s">
        <v>3598</v>
      </c>
      <c r="H1916" s="22" t="s">
        <v>938</v>
      </c>
      <c r="I1916" s="22">
        <v>1.0486301557059E13</v>
      </c>
      <c r="J1916" s="22" t="s">
        <v>3019</v>
      </c>
      <c r="K1916" s="24"/>
      <c r="L1916" s="22" t="s">
        <v>940</v>
      </c>
      <c r="M1916" s="22">
        <v>1.0</v>
      </c>
      <c r="N1916" s="22" t="s">
        <v>476</v>
      </c>
      <c r="O1916" s="22" t="s">
        <v>477</v>
      </c>
      <c r="P1916" s="24"/>
      <c r="Q1916" s="22" t="s">
        <v>90</v>
      </c>
      <c r="R1916" s="22">
        <v>3.2811528880451E13</v>
      </c>
      <c r="S1916" s="24"/>
      <c r="T1916" s="24"/>
      <c r="U1916" s="24"/>
      <c r="V1916" s="30" t="s">
        <v>54</v>
      </c>
      <c r="W1916" s="33"/>
      <c r="X1916" s="33"/>
      <c r="Y1916" s="30"/>
      <c r="Z1916" s="30"/>
      <c r="AA1916" s="33"/>
      <c r="AB1916" s="33"/>
      <c r="AC1916" s="30"/>
      <c r="AD1916" s="30"/>
      <c r="AE1916" s="33"/>
      <c r="AF1916" s="31"/>
      <c r="AG1916" s="30"/>
      <c r="AH1916" s="30"/>
      <c r="AI1916" s="31"/>
      <c r="AJ1916" s="31"/>
      <c r="AK1916" s="32"/>
    </row>
    <row r="1917">
      <c r="A1917" s="21" t="s">
        <v>1085</v>
      </c>
      <c r="B1917" s="22" t="s">
        <v>2306</v>
      </c>
      <c r="C1917" s="22" t="s">
        <v>273</v>
      </c>
      <c r="D1917" s="26">
        <v>45998.0</v>
      </c>
      <c r="E1917" s="22" t="s">
        <v>266</v>
      </c>
      <c r="F1917" s="22" t="s">
        <v>623</v>
      </c>
      <c r="G1917" s="22" t="s">
        <v>3599</v>
      </c>
      <c r="H1917" s="22" t="s">
        <v>1085</v>
      </c>
      <c r="I1917" s="22">
        <v>1.0486313222467E13</v>
      </c>
      <c r="J1917" s="22" t="s">
        <v>3482</v>
      </c>
      <c r="K1917" s="24"/>
      <c r="L1917" s="22" t="s">
        <v>1087</v>
      </c>
      <c r="M1917" s="22">
        <v>1.0</v>
      </c>
      <c r="N1917" s="22" t="s">
        <v>1088</v>
      </c>
      <c r="O1917" s="22" t="s">
        <v>1089</v>
      </c>
      <c r="P1917" s="24"/>
      <c r="Q1917" s="22" t="s">
        <v>90</v>
      </c>
      <c r="R1917" s="22">
        <v>3.2811552932163E13</v>
      </c>
      <c r="S1917" s="24"/>
      <c r="T1917" s="24"/>
      <c r="U1917" s="24"/>
      <c r="V1917" s="30" t="s">
        <v>127</v>
      </c>
      <c r="W1917" s="33"/>
      <c r="X1917" s="33"/>
      <c r="Y1917" s="30"/>
      <c r="Z1917" s="30"/>
      <c r="AA1917" s="33"/>
      <c r="AB1917" s="33"/>
      <c r="AC1917" s="30"/>
      <c r="AD1917" s="30"/>
      <c r="AE1917" s="33"/>
      <c r="AF1917" s="31"/>
      <c r="AG1917" s="30"/>
      <c r="AH1917" s="30"/>
      <c r="AI1917" s="31"/>
      <c r="AJ1917" s="31"/>
      <c r="AK1917" s="32"/>
    </row>
    <row r="1918">
      <c r="A1918" s="21" t="s">
        <v>92</v>
      </c>
      <c r="B1918" s="22" t="s">
        <v>1857</v>
      </c>
      <c r="C1918" s="22" t="s">
        <v>202</v>
      </c>
      <c r="D1918" s="26">
        <v>45996.0</v>
      </c>
      <c r="E1918" s="22" t="s">
        <v>149</v>
      </c>
      <c r="F1918" s="22" t="s">
        <v>83</v>
      </c>
      <c r="G1918" s="22" t="s">
        <v>3600</v>
      </c>
      <c r="H1918" s="22" t="s">
        <v>92</v>
      </c>
      <c r="I1918" s="22">
        <v>1.0486316761411E13</v>
      </c>
      <c r="J1918" s="22" t="s">
        <v>3328</v>
      </c>
      <c r="K1918" s="24"/>
      <c r="L1918" s="22" t="s">
        <v>94</v>
      </c>
      <c r="M1918" s="22">
        <v>1.0</v>
      </c>
      <c r="N1918" s="22" t="s">
        <v>87</v>
      </c>
      <c r="O1918" s="22" t="s">
        <v>88</v>
      </c>
      <c r="P1918" s="24"/>
      <c r="Q1918" s="22" t="s">
        <v>90</v>
      </c>
      <c r="R1918" s="22">
        <v>3.2811560730947E13</v>
      </c>
      <c r="S1918" s="24"/>
      <c r="T1918" s="24"/>
      <c r="U1918" s="24"/>
      <c r="V1918" s="30" t="s">
        <v>95</v>
      </c>
      <c r="W1918" s="33"/>
      <c r="X1918" s="33"/>
      <c r="Y1918" s="30"/>
      <c r="Z1918" s="30"/>
      <c r="AA1918" s="33"/>
      <c r="AB1918" s="33"/>
      <c r="AC1918" s="30"/>
      <c r="AD1918" s="30"/>
      <c r="AE1918" s="33"/>
      <c r="AF1918" s="31"/>
      <c r="AG1918" s="30"/>
      <c r="AH1918" s="30"/>
      <c r="AI1918" s="31"/>
      <c r="AJ1918" s="31"/>
      <c r="AK1918" s="32"/>
    </row>
    <row r="1919">
      <c r="A1919" s="21" t="s">
        <v>538</v>
      </c>
      <c r="B1919" s="22" t="s">
        <v>539</v>
      </c>
      <c r="C1919" s="22" t="s">
        <v>273</v>
      </c>
      <c r="D1919" s="26">
        <v>45998.0</v>
      </c>
      <c r="E1919" s="22" t="s">
        <v>149</v>
      </c>
      <c r="F1919" s="22" t="s">
        <v>369</v>
      </c>
      <c r="G1919" s="22" t="s">
        <v>3601</v>
      </c>
      <c r="H1919" s="22" t="s">
        <v>538</v>
      </c>
      <c r="I1919" s="22">
        <v>1.0486320365891E13</v>
      </c>
      <c r="J1919" s="22" t="s">
        <v>566</v>
      </c>
      <c r="K1919" s="24"/>
      <c r="L1919" s="22" t="s">
        <v>542</v>
      </c>
      <c r="M1919" s="22">
        <v>1.0</v>
      </c>
      <c r="N1919" s="22" t="s">
        <v>373</v>
      </c>
      <c r="O1919" s="22" t="s">
        <v>374</v>
      </c>
      <c r="P1919" s="24"/>
      <c r="Q1919" s="22" t="s">
        <v>90</v>
      </c>
      <c r="R1919" s="22">
        <v>3.2811569283395E13</v>
      </c>
      <c r="S1919" s="24"/>
      <c r="T1919" s="24"/>
      <c r="U1919" s="24"/>
      <c r="V1919" s="30" t="s">
        <v>91</v>
      </c>
      <c r="W1919" s="33"/>
      <c r="X1919" s="33"/>
      <c r="Y1919" s="30"/>
      <c r="Z1919" s="30"/>
      <c r="AA1919" s="33"/>
      <c r="AB1919" s="33"/>
      <c r="AC1919" s="30"/>
      <c r="AD1919" s="30"/>
      <c r="AE1919" s="33"/>
      <c r="AF1919" s="31"/>
      <c r="AG1919" s="30"/>
      <c r="AH1919" s="30"/>
      <c r="AI1919" s="31"/>
      <c r="AJ1919" s="31"/>
      <c r="AK1919" s="32"/>
    </row>
    <row r="1920">
      <c r="A1920" s="21" t="s">
        <v>415</v>
      </c>
      <c r="B1920" s="22" t="s">
        <v>512</v>
      </c>
      <c r="C1920" s="22" t="s">
        <v>82</v>
      </c>
      <c r="D1920" s="26">
        <v>45997.0</v>
      </c>
      <c r="E1920" s="22" t="s">
        <v>153</v>
      </c>
      <c r="F1920" s="22" t="s">
        <v>377</v>
      </c>
      <c r="G1920" s="22" t="s">
        <v>3602</v>
      </c>
      <c r="H1920" s="22" t="s">
        <v>415</v>
      </c>
      <c r="I1920" s="22">
        <v>1.0486343041347E13</v>
      </c>
      <c r="J1920" s="22" t="s">
        <v>411</v>
      </c>
      <c r="K1920" s="24"/>
      <c r="L1920" s="22" t="s">
        <v>419</v>
      </c>
      <c r="M1920" s="22">
        <v>1.0</v>
      </c>
      <c r="N1920" s="22" t="s">
        <v>381</v>
      </c>
      <c r="O1920" s="22" t="s">
        <v>382</v>
      </c>
      <c r="P1920" s="24"/>
      <c r="Q1920" s="22" t="s">
        <v>90</v>
      </c>
      <c r="R1920" s="22">
        <v>3.2811618795843E13</v>
      </c>
      <c r="S1920" s="24"/>
      <c r="T1920" s="24"/>
      <c r="U1920" s="24"/>
      <c r="V1920" s="30" t="s">
        <v>91</v>
      </c>
      <c r="W1920" s="33"/>
      <c r="X1920" s="33"/>
      <c r="Y1920" s="30"/>
      <c r="Z1920" s="30"/>
      <c r="AA1920" s="33"/>
      <c r="AB1920" s="33"/>
      <c r="AC1920" s="30"/>
      <c r="AD1920" s="30"/>
      <c r="AE1920" s="33"/>
      <c r="AF1920" s="31"/>
      <c r="AG1920" s="30"/>
      <c r="AH1920" s="30"/>
      <c r="AI1920" s="31"/>
      <c r="AJ1920" s="31"/>
      <c r="AK1920" s="32"/>
    </row>
    <row r="1921">
      <c r="A1921" s="28"/>
      <c r="B1921" s="22" t="s">
        <v>512</v>
      </c>
      <c r="C1921" s="22" t="s">
        <v>82</v>
      </c>
      <c r="D1921" s="26">
        <v>45997.0</v>
      </c>
      <c r="E1921" s="22" t="s">
        <v>153</v>
      </c>
      <c r="F1921" s="22" t="s">
        <v>377</v>
      </c>
      <c r="G1921" s="22" t="s">
        <v>3602</v>
      </c>
      <c r="H1921" s="29"/>
      <c r="I1921" s="22">
        <v>1.0486343041347E13</v>
      </c>
      <c r="J1921" s="22" t="s">
        <v>411</v>
      </c>
      <c r="K1921" s="24"/>
      <c r="L1921" s="22" t="s">
        <v>767</v>
      </c>
      <c r="M1921" s="24"/>
      <c r="N1921" s="24"/>
      <c r="O1921" s="22" t="s">
        <v>768</v>
      </c>
      <c r="P1921" s="24"/>
      <c r="Q1921" s="22" t="s">
        <v>769</v>
      </c>
      <c r="R1921" s="24"/>
      <c r="S1921" s="24"/>
      <c r="T1921" s="24"/>
      <c r="U1921" s="24"/>
      <c r="V1921" s="30"/>
      <c r="W1921" s="33"/>
      <c r="X1921" s="33"/>
      <c r="Y1921" s="30"/>
      <c r="Z1921" s="30"/>
      <c r="AA1921" s="33"/>
      <c r="AB1921" s="33"/>
      <c r="AC1921" s="30"/>
      <c r="AD1921" s="30"/>
      <c r="AE1921" s="33"/>
      <c r="AF1921" s="31"/>
      <c r="AG1921" s="30"/>
      <c r="AH1921" s="30"/>
      <c r="AI1921" s="31"/>
      <c r="AJ1921" s="31"/>
      <c r="AK1921" s="32"/>
    </row>
    <row r="1922">
      <c r="A1922" s="21" t="s">
        <v>1703</v>
      </c>
      <c r="B1922" s="22" t="s">
        <v>3338</v>
      </c>
      <c r="C1922" s="22" t="s">
        <v>82</v>
      </c>
      <c r="D1922" s="26">
        <v>45997.0</v>
      </c>
      <c r="E1922" s="22" t="s">
        <v>149</v>
      </c>
      <c r="F1922" s="22" t="s">
        <v>278</v>
      </c>
      <c r="G1922" s="22" t="s">
        <v>3603</v>
      </c>
      <c r="H1922" s="22" t="s">
        <v>1703</v>
      </c>
      <c r="I1922" s="22">
        <v>1.0486345007427E13</v>
      </c>
      <c r="J1922" s="22" t="s">
        <v>3340</v>
      </c>
      <c r="K1922" s="24"/>
      <c r="L1922" s="22" t="s">
        <v>1705</v>
      </c>
      <c r="M1922" s="22">
        <v>1.0</v>
      </c>
      <c r="N1922" s="22" t="s">
        <v>351</v>
      </c>
      <c r="O1922" s="22" t="s">
        <v>352</v>
      </c>
      <c r="P1922" s="24"/>
      <c r="Q1922" s="22" t="s">
        <v>90</v>
      </c>
      <c r="R1922" s="22">
        <v>3.2811623219523E13</v>
      </c>
      <c r="S1922" s="24"/>
      <c r="T1922" s="24"/>
      <c r="U1922" s="24"/>
      <c r="V1922" s="30" t="s">
        <v>105</v>
      </c>
      <c r="W1922" s="33"/>
      <c r="X1922" s="33"/>
      <c r="Y1922" s="30"/>
      <c r="Z1922" s="30"/>
      <c r="AA1922" s="33"/>
      <c r="AB1922" s="33"/>
      <c r="AC1922" s="30"/>
      <c r="AD1922" s="30"/>
      <c r="AE1922" s="33"/>
      <c r="AF1922" s="31"/>
      <c r="AG1922" s="30"/>
      <c r="AH1922" s="30"/>
      <c r="AI1922" s="31"/>
      <c r="AJ1922" s="31"/>
      <c r="AK1922" s="32"/>
    </row>
    <row r="1923">
      <c r="A1923" s="21" t="s">
        <v>185</v>
      </c>
      <c r="B1923" s="22" t="s">
        <v>2166</v>
      </c>
      <c r="C1923" s="22" t="s">
        <v>273</v>
      </c>
      <c r="D1923" s="26">
        <v>45998.0</v>
      </c>
      <c r="E1923" s="22" t="s">
        <v>211</v>
      </c>
      <c r="F1923" s="22" t="s">
        <v>111</v>
      </c>
      <c r="G1923" s="22" t="s">
        <v>3604</v>
      </c>
      <c r="H1923" s="22" t="s">
        <v>185</v>
      </c>
      <c r="I1923" s="22">
        <v>1.0486352052547E13</v>
      </c>
      <c r="J1923" s="22" t="s">
        <v>3195</v>
      </c>
      <c r="K1923" s="24"/>
      <c r="L1923" s="22" t="s">
        <v>190</v>
      </c>
      <c r="M1923" s="22">
        <v>1.0</v>
      </c>
      <c r="N1923" s="22" t="s">
        <v>115</v>
      </c>
      <c r="O1923" s="22" t="s">
        <v>116</v>
      </c>
      <c r="P1923" s="24"/>
      <c r="Q1923" s="22" t="s">
        <v>90</v>
      </c>
      <c r="R1923" s="22">
        <v>3.2811636687171E13</v>
      </c>
      <c r="S1923" s="24"/>
      <c r="T1923" s="24"/>
      <c r="U1923" s="24"/>
      <c r="V1923" s="30" t="s">
        <v>95</v>
      </c>
      <c r="W1923" s="33"/>
      <c r="X1923" s="33"/>
      <c r="Y1923" s="30"/>
      <c r="Z1923" s="30"/>
      <c r="AA1923" s="33"/>
      <c r="AB1923" s="33"/>
      <c r="AC1923" s="30"/>
      <c r="AD1923" s="30"/>
      <c r="AE1923" s="33"/>
      <c r="AF1923" s="31"/>
      <c r="AG1923" s="30"/>
      <c r="AH1923" s="30"/>
      <c r="AI1923" s="31"/>
      <c r="AJ1923" s="31"/>
      <c r="AK1923" s="32"/>
    </row>
    <row r="1924">
      <c r="A1924" s="21" t="s">
        <v>595</v>
      </c>
      <c r="B1924" s="22" t="s">
        <v>539</v>
      </c>
      <c r="C1924" s="22" t="s">
        <v>273</v>
      </c>
      <c r="D1924" s="26">
        <v>45998.0</v>
      </c>
      <c r="E1924" s="22" t="s">
        <v>149</v>
      </c>
      <c r="F1924" s="22" t="s">
        <v>369</v>
      </c>
      <c r="G1924" s="22" t="s">
        <v>3605</v>
      </c>
      <c r="H1924" s="22" t="s">
        <v>595</v>
      </c>
      <c r="I1924" s="22">
        <v>1.0486403039555E13</v>
      </c>
      <c r="J1924" s="22" t="s">
        <v>566</v>
      </c>
      <c r="K1924" s="24"/>
      <c r="L1924" s="22" t="s">
        <v>599</v>
      </c>
      <c r="M1924" s="22">
        <v>1.0</v>
      </c>
      <c r="N1924" s="22" t="s">
        <v>600</v>
      </c>
      <c r="O1924" s="22" t="s">
        <v>601</v>
      </c>
      <c r="P1924" s="24"/>
      <c r="Q1924" s="22" t="s">
        <v>90</v>
      </c>
      <c r="R1924" s="22">
        <v>3.2811744592195E13</v>
      </c>
      <c r="S1924" s="24"/>
      <c r="T1924" s="24"/>
      <c r="U1924" s="24"/>
      <c r="V1924" s="30" t="s">
        <v>127</v>
      </c>
      <c r="W1924" s="33"/>
      <c r="X1924" s="33"/>
      <c r="Y1924" s="30"/>
      <c r="Z1924" s="30"/>
      <c r="AA1924" s="33"/>
      <c r="AB1924" s="33"/>
      <c r="AC1924" s="30"/>
      <c r="AD1924" s="30"/>
      <c r="AE1924" s="33"/>
      <c r="AF1924" s="31"/>
      <c r="AG1924" s="30"/>
      <c r="AH1924" s="30"/>
      <c r="AI1924" s="31"/>
      <c r="AJ1924" s="31"/>
      <c r="AK1924" s="32"/>
    </row>
    <row r="1925">
      <c r="A1925" s="21" t="s">
        <v>108</v>
      </c>
      <c r="B1925" s="22" t="s">
        <v>1655</v>
      </c>
      <c r="C1925" s="22" t="s">
        <v>82</v>
      </c>
      <c r="D1925" s="26">
        <v>45997.0</v>
      </c>
      <c r="E1925" s="22" t="s">
        <v>211</v>
      </c>
      <c r="F1925" s="22" t="s">
        <v>111</v>
      </c>
      <c r="G1925" s="22" t="s">
        <v>3606</v>
      </c>
      <c r="H1925" s="22" t="s">
        <v>108</v>
      </c>
      <c r="I1925" s="22">
        <v>1.0486415950147E13</v>
      </c>
      <c r="J1925" s="22" t="s">
        <v>3048</v>
      </c>
      <c r="K1925" s="24"/>
      <c r="L1925" s="22" t="s">
        <v>114</v>
      </c>
      <c r="M1925" s="22">
        <v>1.0</v>
      </c>
      <c r="N1925" s="22" t="s">
        <v>115</v>
      </c>
      <c r="O1925" s="22" t="s">
        <v>116</v>
      </c>
      <c r="P1925" s="24"/>
      <c r="Q1925" s="22" t="s">
        <v>90</v>
      </c>
      <c r="R1925" s="22">
        <v>3.2811769725251E13</v>
      </c>
      <c r="S1925" s="24"/>
      <c r="T1925" s="24"/>
      <c r="U1925" s="24"/>
      <c r="V1925" s="30" t="s">
        <v>54</v>
      </c>
      <c r="W1925" s="33"/>
      <c r="X1925" s="33"/>
      <c r="Y1925" s="30"/>
      <c r="Z1925" s="30"/>
      <c r="AA1925" s="33"/>
      <c r="AB1925" s="33"/>
      <c r="AC1925" s="30"/>
      <c r="AD1925" s="30"/>
      <c r="AE1925" s="33"/>
      <c r="AF1925" s="31"/>
      <c r="AG1925" s="30"/>
      <c r="AH1925" s="30"/>
      <c r="AI1925" s="31"/>
      <c r="AJ1925" s="31"/>
      <c r="AK1925" s="32"/>
    </row>
    <row r="1926">
      <c r="A1926" s="21" t="s">
        <v>478</v>
      </c>
      <c r="B1926" s="22" t="s">
        <v>2029</v>
      </c>
      <c r="C1926" s="22" t="s">
        <v>273</v>
      </c>
      <c r="D1926" s="26">
        <v>45998.0</v>
      </c>
      <c r="E1926" s="22" t="s">
        <v>181</v>
      </c>
      <c r="F1926" s="22" t="s">
        <v>472</v>
      </c>
      <c r="G1926" s="22" t="s">
        <v>3607</v>
      </c>
      <c r="H1926" s="22" t="s">
        <v>478</v>
      </c>
      <c r="I1926" s="22">
        <v>1.0486426861891E13</v>
      </c>
      <c r="J1926" s="22" t="s">
        <v>3608</v>
      </c>
      <c r="K1926" s="24"/>
      <c r="L1926" s="22" t="s">
        <v>483</v>
      </c>
      <c r="M1926" s="22">
        <v>1.0</v>
      </c>
      <c r="N1926" s="22" t="s">
        <v>476</v>
      </c>
      <c r="O1926" s="22" t="s">
        <v>477</v>
      </c>
      <c r="P1926" s="24"/>
      <c r="Q1926" s="22" t="s">
        <v>90</v>
      </c>
      <c r="R1926" s="22">
        <v>3.2811794334019E13</v>
      </c>
      <c r="S1926" s="24"/>
      <c r="T1926" s="24"/>
      <c r="U1926" s="24"/>
      <c r="V1926" s="30" t="s">
        <v>95</v>
      </c>
      <c r="W1926" s="33"/>
      <c r="X1926" s="33"/>
      <c r="Y1926" s="30"/>
      <c r="Z1926" s="30"/>
      <c r="AA1926" s="33"/>
      <c r="AB1926" s="33"/>
      <c r="AC1926" s="30"/>
      <c r="AD1926" s="30"/>
      <c r="AE1926" s="33"/>
      <c r="AF1926" s="31"/>
      <c r="AG1926" s="30"/>
      <c r="AH1926" s="30"/>
      <c r="AI1926" s="31"/>
      <c r="AJ1926" s="31"/>
      <c r="AK1926" s="32"/>
    </row>
    <row r="1927">
      <c r="A1927" s="21" t="s">
        <v>525</v>
      </c>
      <c r="B1927" s="22" t="s">
        <v>3609</v>
      </c>
      <c r="C1927" s="22" t="s">
        <v>82</v>
      </c>
      <c r="D1927" s="26">
        <v>45997.0</v>
      </c>
      <c r="E1927" s="22" t="s">
        <v>2155</v>
      </c>
      <c r="F1927" s="22" t="s">
        <v>319</v>
      </c>
      <c r="G1927" s="22" t="s">
        <v>3610</v>
      </c>
      <c r="H1927" s="22" t="s">
        <v>525</v>
      </c>
      <c r="I1927" s="22">
        <v>1.0486451241283E13</v>
      </c>
      <c r="J1927" s="22" t="s">
        <v>3611</v>
      </c>
      <c r="K1927" s="24"/>
      <c r="L1927" s="22" t="s">
        <v>528</v>
      </c>
      <c r="M1927" s="22">
        <v>1.0</v>
      </c>
      <c r="N1927" s="22" t="s">
        <v>404</v>
      </c>
      <c r="O1927" s="22" t="s">
        <v>405</v>
      </c>
      <c r="P1927" s="24"/>
      <c r="Q1927" s="22" t="s">
        <v>90</v>
      </c>
      <c r="R1927" s="22">
        <v>3.2811847778627E13</v>
      </c>
      <c r="S1927" s="24"/>
      <c r="T1927" s="24"/>
      <c r="U1927" s="24"/>
      <c r="V1927" s="30" t="s">
        <v>105</v>
      </c>
      <c r="W1927" s="33"/>
      <c r="X1927" s="33"/>
      <c r="Y1927" s="30"/>
      <c r="Z1927" s="30"/>
      <c r="AA1927" s="33"/>
      <c r="AB1927" s="33"/>
      <c r="AC1927" s="30"/>
      <c r="AD1927" s="30"/>
      <c r="AE1927" s="33"/>
      <c r="AF1927" s="31"/>
      <c r="AG1927" s="30"/>
      <c r="AH1927" s="30"/>
      <c r="AI1927" s="31"/>
      <c r="AJ1927" s="31"/>
      <c r="AK1927" s="32"/>
    </row>
    <row r="1928">
      <c r="A1928" s="21" t="s">
        <v>309</v>
      </c>
      <c r="B1928" s="22" t="s">
        <v>3612</v>
      </c>
      <c r="C1928" s="22" t="s">
        <v>202</v>
      </c>
      <c r="D1928" s="26">
        <v>45996.0</v>
      </c>
      <c r="E1928" s="22" t="s">
        <v>196</v>
      </c>
      <c r="F1928" s="22" t="s">
        <v>311</v>
      </c>
      <c r="G1928" s="22" t="s">
        <v>3613</v>
      </c>
      <c r="H1928" s="22" t="s">
        <v>309</v>
      </c>
      <c r="I1928" s="22">
        <v>1.0486462153027E13</v>
      </c>
      <c r="J1928" s="22" t="s">
        <v>3614</v>
      </c>
      <c r="K1928" s="24"/>
      <c r="L1928" s="22" t="s">
        <v>314</v>
      </c>
      <c r="M1928" s="22">
        <v>1.0</v>
      </c>
      <c r="N1928" s="22" t="s">
        <v>315</v>
      </c>
      <c r="O1928" s="22" t="s">
        <v>316</v>
      </c>
      <c r="P1928" s="24"/>
      <c r="Q1928" s="22" t="s">
        <v>90</v>
      </c>
      <c r="R1928" s="22">
        <v>3.2811869307203E13</v>
      </c>
      <c r="S1928" s="24"/>
      <c r="T1928" s="24"/>
      <c r="U1928" s="24"/>
      <c r="V1928" s="30" t="s">
        <v>105</v>
      </c>
      <c r="W1928" s="33"/>
      <c r="X1928" s="33"/>
      <c r="Y1928" s="30"/>
      <c r="Z1928" s="30"/>
      <c r="AA1928" s="33"/>
      <c r="AB1928" s="33"/>
      <c r="AC1928" s="30"/>
      <c r="AD1928" s="30"/>
      <c r="AE1928" s="33"/>
      <c r="AF1928" s="31"/>
      <c r="AG1928" s="30"/>
      <c r="AH1928" s="30"/>
      <c r="AI1928" s="31"/>
      <c r="AJ1928" s="31"/>
      <c r="AK1928" s="32"/>
    </row>
    <row r="1929">
      <c r="A1929" s="21" t="s">
        <v>783</v>
      </c>
      <c r="B1929" s="22" t="s">
        <v>464</v>
      </c>
      <c r="C1929" s="22" t="s">
        <v>273</v>
      </c>
      <c r="D1929" s="26">
        <v>45998.0</v>
      </c>
      <c r="E1929" s="22" t="s">
        <v>149</v>
      </c>
      <c r="F1929" s="22" t="s">
        <v>303</v>
      </c>
      <c r="G1929" s="22" t="s">
        <v>3615</v>
      </c>
      <c r="H1929" s="22" t="s">
        <v>783</v>
      </c>
      <c r="I1929" s="22">
        <v>1.0486463136067E13</v>
      </c>
      <c r="J1929" s="22" t="s">
        <v>3616</v>
      </c>
      <c r="K1929" s="24"/>
      <c r="L1929" s="22" t="s">
        <v>785</v>
      </c>
      <c r="M1929" s="22">
        <v>1.0</v>
      </c>
      <c r="N1929" s="22" t="s">
        <v>307</v>
      </c>
      <c r="O1929" s="22" t="s">
        <v>308</v>
      </c>
      <c r="P1929" s="24"/>
      <c r="Q1929" s="22" t="s">
        <v>90</v>
      </c>
      <c r="R1929" s="22">
        <v>3.2811871207747E13</v>
      </c>
      <c r="S1929" s="24"/>
      <c r="T1929" s="24"/>
      <c r="U1929" s="24"/>
      <c r="V1929" s="30" t="s">
        <v>95</v>
      </c>
      <c r="W1929" s="33"/>
      <c r="X1929" s="33"/>
      <c r="Y1929" s="30"/>
      <c r="Z1929" s="30"/>
      <c r="AA1929" s="33"/>
      <c r="AB1929" s="33"/>
      <c r="AC1929" s="30"/>
      <c r="AD1929" s="30"/>
      <c r="AE1929" s="33"/>
      <c r="AF1929" s="31"/>
      <c r="AG1929" s="30"/>
      <c r="AH1929" s="30"/>
      <c r="AI1929" s="31"/>
      <c r="AJ1929" s="31"/>
      <c r="AK1929" s="32"/>
    </row>
    <row r="1930">
      <c r="A1930" s="21" t="s">
        <v>96</v>
      </c>
      <c r="B1930" s="22" t="s">
        <v>1338</v>
      </c>
      <c r="C1930" s="22" t="s">
        <v>273</v>
      </c>
      <c r="D1930" s="23">
        <v>45991.0</v>
      </c>
      <c r="E1930" s="22" t="s">
        <v>266</v>
      </c>
      <c r="F1930" s="22" t="s">
        <v>83</v>
      </c>
      <c r="G1930" s="22" t="s">
        <v>3617</v>
      </c>
      <c r="H1930" s="22" t="s">
        <v>96</v>
      </c>
      <c r="I1930" s="22">
        <v>1.0486464053571E13</v>
      </c>
      <c r="J1930" s="22" t="s">
        <v>3618</v>
      </c>
      <c r="K1930" s="24"/>
      <c r="L1930" s="22" t="s">
        <v>269</v>
      </c>
      <c r="M1930" s="22">
        <v>1.0</v>
      </c>
      <c r="N1930" s="22" t="s">
        <v>263</v>
      </c>
      <c r="O1930" s="22" t="s">
        <v>264</v>
      </c>
      <c r="P1930" s="24"/>
      <c r="Q1930" s="22" t="s">
        <v>90</v>
      </c>
      <c r="R1930" s="22">
        <v>3.2811873108291E13</v>
      </c>
      <c r="S1930" s="24"/>
      <c r="T1930" s="24"/>
      <c r="U1930" s="24"/>
      <c r="V1930" s="30" t="s">
        <v>55</v>
      </c>
      <c r="W1930" s="33"/>
      <c r="X1930" s="33"/>
      <c r="Y1930" s="30"/>
      <c r="Z1930" s="30"/>
      <c r="AA1930" s="33"/>
      <c r="AB1930" s="33"/>
      <c r="AC1930" s="30"/>
      <c r="AD1930" s="30"/>
      <c r="AE1930" s="33"/>
      <c r="AF1930" s="31"/>
      <c r="AG1930" s="30"/>
      <c r="AH1930" s="30"/>
      <c r="AI1930" s="31"/>
      <c r="AJ1930" s="31"/>
      <c r="AK1930" s="32"/>
    </row>
    <row r="1931">
      <c r="A1931" s="21" t="s">
        <v>327</v>
      </c>
      <c r="B1931" s="22" t="s">
        <v>1356</v>
      </c>
      <c r="C1931" s="22" t="s">
        <v>273</v>
      </c>
      <c r="D1931" s="23">
        <v>45991.0</v>
      </c>
      <c r="E1931" s="22" t="s">
        <v>153</v>
      </c>
      <c r="F1931" s="22" t="s">
        <v>329</v>
      </c>
      <c r="G1931" s="22" t="s">
        <v>3619</v>
      </c>
      <c r="H1931" s="22" t="s">
        <v>327</v>
      </c>
      <c r="I1931" s="22">
        <v>1.0486279307587E13</v>
      </c>
      <c r="J1931" s="22" t="s">
        <v>2962</v>
      </c>
      <c r="K1931" s="24"/>
      <c r="L1931" s="22" t="s">
        <v>332</v>
      </c>
      <c r="M1931" s="22">
        <v>1.0</v>
      </c>
      <c r="N1931" s="22" t="s">
        <v>333</v>
      </c>
      <c r="O1931" s="22" t="s">
        <v>334</v>
      </c>
      <c r="P1931" s="24"/>
      <c r="Q1931" s="22" t="s">
        <v>90</v>
      </c>
      <c r="R1931" s="22">
        <v>3.2811481760067E13</v>
      </c>
      <c r="S1931" s="24"/>
      <c r="T1931" s="24"/>
      <c r="U1931" s="24"/>
      <c r="V1931" s="30" t="s">
        <v>55</v>
      </c>
      <c r="W1931" s="33"/>
      <c r="X1931" s="33"/>
      <c r="Y1931" s="30"/>
      <c r="Z1931" s="30"/>
      <c r="AA1931" s="33"/>
      <c r="AB1931" s="33"/>
      <c r="AC1931" s="30"/>
      <c r="AD1931" s="30"/>
      <c r="AE1931" s="33"/>
      <c r="AF1931" s="31"/>
      <c r="AG1931" s="30"/>
      <c r="AH1931" s="30"/>
      <c r="AI1931" s="31"/>
      <c r="AJ1931" s="31"/>
      <c r="AK1931" s="32"/>
    </row>
    <row r="1932">
      <c r="A1932" s="21" t="s">
        <v>732</v>
      </c>
      <c r="B1932" s="22" t="s">
        <v>3255</v>
      </c>
      <c r="C1932" s="22" t="s">
        <v>82</v>
      </c>
      <c r="D1932" s="26">
        <v>45997.0</v>
      </c>
      <c r="E1932" s="22" t="s">
        <v>134</v>
      </c>
      <c r="F1932" s="22" t="s">
        <v>634</v>
      </c>
      <c r="G1932" s="22" t="s">
        <v>3620</v>
      </c>
      <c r="H1932" s="22" t="s">
        <v>732</v>
      </c>
      <c r="I1932" s="22">
        <v>1.0486283829571E13</v>
      </c>
      <c r="J1932" s="22" t="s">
        <v>3257</v>
      </c>
      <c r="K1932" s="24"/>
      <c r="L1932" s="22" t="s">
        <v>737</v>
      </c>
      <c r="M1932" s="22">
        <v>1.0</v>
      </c>
      <c r="N1932" s="22" t="s">
        <v>738</v>
      </c>
      <c r="O1932" s="22" t="s">
        <v>739</v>
      </c>
      <c r="P1932" s="24"/>
      <c r="Q1932" s="22" t="s">
        <v>90</v>
      </c>
      <c r="R1932" s="22">
        <v>3.2811490607427E13</v>
      </c>
      <c r="S1932" s="24"/>
      <c r="T1932" s="24"/>
      <c r="U1932" s="24"/>
      <c r="V1932" s="30" t="s">
        <v>105</v>
      </c>
      <c r="W1932" s="33"/>
      <c r="X1932" s="33"/>
      <c r="Y1932" s="30"/>
      <c r="Z1932" s="30"/>
      <c r="AA1932" s="33"/>
      <c r="AB1932" s="33"/>
      <c r="AC1932" s="30"/>
      <c r="AD1932" s="30"/>
      <c r="AE1932" s="33"/>
      <c r="AF1932" s="31"/>
      <c r="AG1932" s="30"/>
      <c r="AH1932" s="30"/>
      <c r="AI1932" s="31"/>
      <c r="AJ1932" s="31"/>
      <c r="AK1932" s="32"/>
    </row>
    <row r="1933">
      <c r="A1933" s="21" t="s">
        <v>595</v>
      </c>
      <c r="B1933" s="22" t="s">
        <v>424</v>
      </c>
      <c r="C1933" s="22" t="s">
        <v>273</v>
      </c>
      <c r="D1933" s="26">
        <v>45998.0</v>
      </c>
      <c r="E1933" s="22" t="s">
        <v>134</v>
      </c>
      <c r="F1933" s="22" t="s">
        <v>369</v>
      </c>
      <c r="G1933" s="22" t="s">
        <v>3621</v>
      </c>
      <c r="H1933" s="22" t="s">
        <v>595</v>
      </c>
      <c r="I1933" s="22">
        <v>1.0486286614851E13</v>
      </c>
      <c r="J1933" s="22" t="s">
        <v>2948</v>
      </c>
      <c r="K1933" s="24"/>
      <c r="L1933" s="22" t="s">
        <v>599</v>
      </c>
      <c r="M1933" s="22">
        <v>1.0</v>
      </c>
      <c r="N1933" s="22" t="s">
        <v>600</v>
      </c>
      <c r="O1933" s="22" t="s">
        <v>601</v>
      </c>
      <c r="P1933" s="24"/>
      <c r="Q1933" s="22" t="s">
        <v>90</v>
      </c>
      <c r="R1933" s="22">
        <v>3.2811496833347E13</v>
      </c>
      <c r="S1933" s="24"/>
      <c r="T1933" s="24"/>
      <c r="U1933" s="24"/>
      <c r="V1933" s="30" t="s">
        <v>127</v>
      </c>
      <c r="W1933" s="33"/>
      <c r="X1933" s="33"/>
      <c r="Y1933" s="30"/>
      <c r="Z1933" s="30"/>
      <c r="AA1933" s="33"/>
      <c r="AB1933" s="33"/>
      <c r="AC1933" s="30"/>
      <c r="AD1933" s="30"/>
      <c r="AE1933" s="33"/>
      <c r="AF1933" s="31"/>
      <c r="AG1933" s="30"/>
      <c r="AH1933" s="30"/>
      <c r="AI1933" s="31"/>
      <c r="AJ1933" s="31"/>
      <c r="AK1933" s="32"/>
    </row>
    <row r="1934">
      <c r="A1934" s="21" t="s">
        <v>1527</v>
      </c>
      <c r="B1934" s="22" t="s">
        <v>2003</v>
      </c>
      <c r="C1934" s="22" t="s">
        <v>82</v>
      </c>
      <c r="D1934" s="26">
        <v>45997.0</v>
      </c>
      <c r="E1934" s="22" t="s">
        <v>1895</v>
      </c>
      <c r="F1934" s="22" t="s">
        <v>451</v>
      </c>
      <c r="G1934" s="22" t="s">
        <v>3622</v>
      </c>
      <c r="H1934" s="22" t="s">
        <v>1527</v>
      </c>
      <c r="I1934" s="22">
        <v>1.0486479749443E13</v>
      </c>
      <c r="J1934" s="22" t="s">
        <v>3623</v>
      </c>
      <c r="K1934" s="24"/>
      <c r="L1934" s="22" t="s">
        <v>1531</v>
      </c>
      <c r="M1934" s="22">
        <v>1.0</v>
      </c>
      <c r="N1934" s="22" t="s">
        <v>1277</v>
      </c>
      <c r="O1934" s="22" t="s">
        <v>1278</v>
      </c>
      <c r="P1934" s="24"/>
      <c r="Q1934" s="22" t="s">
        <v>90</v>
      </c>
      <c r="R1934" s="22">
        <v>3.2811907055939E13</v>
      </c>
      <c r="S1934" s="24"/>
      <c r="T1934" s="24"/>
      <c r="U1934" s="24"/>
      <c r="V1934" s="30" t="s">
        <v>105</v>
      </c>
      <c r="W1934" s="33"/>
      <c r="X1934" s="33"/>
      <c r="Y1934" s="30"/>
      <c r="Z1934" s="30"/>
      <c r="AA1934" s="33"/>
      <c r="AB1934" s="33"/>
      <c r="AC1934" s="30"/>
      <c r="AD1934" s="30"/>
      <c r="AE1934" s="33"/>
      <c r="AF1934" s="31"/>
      <c r="AG1934" s="30"/>
      <c r="AH1934" s="30"/>
      <c r="AI1934" s="31"/>
      <c r="AJ1934" s="31"/>
      <c r="AK1934" s="32"/>
    </row>
    <row r="1935">
      <c r="A1935" s="21" t="s">
        <v>124</v>
      </c>
      <c r="B1935" s="22" t="s">
        <v>2368</v>
      </c>
      <c r="C1935" s="22" t="s">
        <v>82</v>
      </c>
      <c r="D1935" s="26">
        <v>45997.0</v>
      </c>
      <c r="E1935" s="22" t="s">
        <v>480</v>
      </c>
      <c r="F1935" s="22" t="s">
        <v>83</v>
      </c>
      <c r="G1935" s="22" t="s">
        <v>3624</v>
      </c>
      <c r="H1935" s="22" t="s">
        <v>124</v>
      </c>
      <c r="I1935" s="22">
        <v>1.0486553837891E13</v>
      </c>
      <c r="J1935" s="22" t="s">
        <v>3625</v>
      </c>
      <c r="K1935" s="24"/>
      <c r="L1935" s="22" t="s">
        <v>126</v>
      </c>
      <c r="M1935" s="22">
        <v>1.0</v>
      </c>
      <c r="N1935" s="22" t="s">
        <v>103</v>
      </c>
      <c r="O1935" s="22" t="s">
        <v>104</v>
      </c>
      <c r="P1935" s="24"/>
      <c r="Q1935" s="22" t="s">
        <v>90</v>
      </c>
      <c r="R1935" s="22">
        <v>3.2812063883587E13</v>
      </c>
      <c r="S1935" s="24"/>
      <c r="T1935" s="24"/>
      <c r="U1935" s="24"/>
      <c r="V1935" s="30" t="s">
        <v>127</v>
      </c>
      <c r="W1935" s="33"/>
      <c r="X1935" s="33"/>
      <c r="Y1935" s="30"/>
      <c r="Z1935" s="30"/>
      <c r="AA1935" s="33"/>
      <c r="AB1935" s="33"/>
      <c r="AC1935" s="30"/>
      <c r="AD1935" s="30"/>
      <c r="AE1935" s="33"/>
      <c r="AF1935" s="31"/>
      <c r="AG1935" s="30"/>
      <c r="AH1935" s="30"/>
      <c r="AI1935" s="31"/>
      <c r="AJ1935" s="31"/>
      <c r="AK1935" s="32"/>
    </row>
    <row r="1936">
      <c r="A1936" s="21" t="s">
        <v>837</v>
      </c>
      <c r="B1936" s="22" t="s">
        <v>815</v>
      </c>
      <c r="C1936" s="22" t="s">
        <v>82</v>
      </c>
      <c r="D1936" s="26">
        <v>45997.0</v>
      </c>
      <c r="E1936" s="22" t="s">
        <v>187</v>
      </c>
      <c r="F1936" s="22" t="s">
        <v>698</v>
      </c>
      <c r="G1936" s="22" t="s">
        <v>3626</v>
      </c>
      <c r="H1936" s="22" t="s">
        <v>837</v>
      </c>
      <c r="I1936" s="22">
        <v>1.0486554984771E13</v>
      </c>
      <c r="J1936" s="22" t="s">
        <v>2995</v>
      </c>
      <c r="K1936" s="24"/>
      <c r="L1936" s="22" t="s">
        <v>839</v>
      </c>
      <c r="M1936" s="22">
        <v>1.0</v>
      </c>
      <c r="N1936" s="22" t="s">
        <v>819</v>
      </c>
      <c r="O1936" s="22" t="s">
        <v>820</v>
      </c>
      <c r="P1936" s="24"/>
      <c r="Q1936" s="22" t="s">
        <v>90</v>
      </c>
      <c r="R1936" s="22">
        <v>3.2812066701635E13</v>
      </c>
      <c r="S1936" s="24"/>
      <c r="T1936" s="24"/>
      <c r="U1936" s="24"/>
      <c r="V1936" s="30" t="s">
        <v>105</v>
      </c>
      <c r="W1936" s="33"/>
      <c r="X1936" s="33"/>
      <c r="Y1936" s="30"/>
      <c r="Z1936" s="30"/>
      <c r="AA1936" s="33"/>
      <c r="AB1936" s="33"/>
      <c r="AC1936" s="30"/>
      <c r="AD1936" s="30"/>
      <c r="AE1936" s="33"/>
      <c r="AF1936" s="31"/>
      <c r="AG1936" s="30"/>
      <c r="AH1936" s="30"/>
      <c r="AI1936" s="31"/>
      <c r="AJ1936" s="31"/>
      <c r="AK1936" s="32"/>
    </row>
    <row r="1937">
      <c r="A1937" s="21" t="s">
        <v>611</v>
      </c>
      <c r="B1937" s="22" t="s">
        <v>424</v>
      </c>
      <c r="C1937" s="22" t="s">
        <v>273</v>
      </c>
      <c r="D1937" s="26">
        <v>45998.0</v>
      </c>
      <c r="E1937" s="22" t="s">
        <v>134</v>
      </c>
      <c r="F1937" s="22" t="s">
        <v>369</v>
      </c>
      <c r="G1937" s="22" t="s">
        <v>3627</v>
      </c>
      <c r="H1937" s="22" t="s">
        <v>611</v>
      </c>
      <c r="I1937" s="22">
        <v>1.0486565568835E13</v>
      </c>
      <c r="J1937" s="22" t="s">
        <v>2948</v>
      </c>
      <c r="K1937" s="24"/>
      <c r="L1937" s="22" t="s">
        <v>613</v>
      </c>
      <c r="M1937" s="22">
        <v>1.0</v>
      </c>
      <c r="N1937" s="22" t="s">
        <v>600</v>
      </c>
      <c r="O1937" s="22" t="s">
        <v>601</v>
      </c>
      <c r="P1937" s="24"/>
      <c r="Q1937" s="22" t="s">
        <v>90</v>
      </c>
      <c r="R1937" s="22">
        <v>3.2812089737539E13</v>
      </c>
      <c r="S1937" s="24"/>
      <c r="T1937" s="24"/>
      <c r="U1937" s="24"/>
      <c r="V1937" s="30" t="s">
        <v>105</v>
      </c>
      <c r="W1937" s="33"/>
      <c r="X1937" s="33"/>
      <c r="Y1937" s="30"/>
      <c r="Z1937" s="30"/>
      <c r="AA1937" s="33"/>
      <c r="AB1937" s="33"/>
      <c r="AC1937" s="30"/>
      <c r="AD1937" s="30"/>
      <c r="AE1937" s="33"/>
      <c r="AF1937" s="31"/>
      <c r="AG1937" s="30"/>
      <c r="AH1937" s="30"/>
      <c r="AI1937" s="31"/>
      <c r="AJ1937" s="31"/>
      <c r="AK1937" s="32"/>
    </row>
    <row r="1938">
      <c r="A1938" s="21" t="s">
        <v>1472</v>
      </c>
      <c r="B1938" s="22" t="s">
        <v>3628</v>
      </c>
      <c r="C1938" s="22" t="s">
        <v>82</v>
      </c>
      <c r="D1938" s="26">
        <v>45997.0</v>
      </c>
      <c r="E1938" s="22" t="s">
        <v>149</v>
      </c>
      <c r="F1938" s="22" t="s">
        <v>1466</v>
      </c>
      <c r="G1938" s="22" t="s">
        <v>3629</v>
      </c>
      <c r="H1938" s="22" t="s">
        <v>1472</v>
      </c>
      <c r="I1938" s="22">
        <v>1.0486579953987E13</v>
      </c>
      <c r="J1938" s="22" t="s">
        <v>3630</v>
      </c>
      <c r="K1938" s="24"/>
      <c r="L1938" s="22" t="s">
        <v>1474</v>
      </c>
      <c r="M1938" s="22">
        <v>1.0</v>
      </c>
      <c r="N1938" s="22" t="s">
        <v>1470</v>
      </c>
      <c r="O1938" s="22" t="s">
        <v>1471</v>
      </c>
      <c r="P1938" s="24"/>
      <c r="Q1938" s="22" t="s">
        <v>90</v>
      </c>
      <c r="R1938" s="22">
        <v>3.2812120113475E13</v>
      </c>
      <c r="S1938" s="24"/>
      <c r="T1938" s="24"/>
      <c r="U1938" s="24"/>
      <c r="V1938" s="30" t="s">
        <v>54</v>
      </c>
      <c r="W1938" s="33"/>
      <c r="X1938" s="33"/>
      <c r="Y1938" s="30"/>
      <c r="Z1938" s="30"/>
      <c r="AA1938" s="33"/>
      <c r="AB1938" s="33"/>
      <c r="AC1938" s="30"/>
      <c r="AD1938" s="30"/>
      <c r="AE1938" s="33"/>
      <c r="AF1938" s="31"/>
      <c r="AG1938" s="30"/>
      <c r="AH1938" s="30"/>
      <c r="AI1938" s="31"/>
      <c r="AJ1938" s="31"/>
      <c r="AK1938" s="32"/>
    </row>
    <row r="1939">
      <c r="A1939" s="21" t="s">
        <v>488</v>
      </c>
      <c r="B1939" s="22" t="s">
        <v>929</v>
      </c>
      <c r="C1939" s="22" t="s">
        <v>287</v>
      </c>
      <c r="D1939" s="23">
        <v>46001.0</v>
      </c>
      <c r="E1939" s="22" t="s">
        <v>134</v>
      </c>
      <c r="F1939" s="22" t="s">
        <v>311</v>
      </c>
      <c r="G1939" s="22" t="s">
        <v>3631</v>
      </c>
      <c r="H1939" s="22" t="s">
        <v>488</v>
      </c>
      <c r="I1939" s="22">
        <v>1.0486585459011E13</v>
      </c>
      <c r="J1939" s="22" t="s">
        <v>3207</v>
      </c>
      <c r="K1939" s="24"/>
      <c r="L1939" s="22" t="s">
        <v>492</v>
      </c>
      <c r="M1939" s="22">
        <v>1.0</v>
      </c>
      <c r="N1939" s="22" t="s">
        <v>391</v>
      </c>
      <c r="O1939" s="22" t="s">
        <v>392</v>
      </c>
      <c r="P1939" s="24"/>
      <c r="Q1939" s="22" t="s">
        <v>90</v>
      </c>
      <c r="R1939" s="22">
        <v>3.2812131418435E13</v>
      </c>
      <c r="S1939" s="24"/>
      <c r="T1939" s="24"/>
      <c r="U1939" s="24"/>
      <c r="V1939" s="30" t="s">
        <v>95</v>
      </c>
      <c r="W1939" s="33"/>
      <c r="X1939" s="33"/>
      <c r="Y1939" s="30"/>
      <c r="Z1939" s="30"/>
      <c r="AA1939" s="33"/>
      <c r="AB1939" s="33"/>
      <c r="AC1939" s="30"/>
      <c r="AD1939" s="30"/>
      <c r="AE1939" s="33"/>
      <c r="AF1939" s="31"/>
      <c r="AG1939" s="30"/>
      <c r="AH1939" s="30"/>
      <c r="AI1939" s="31"/>
      <c r="AJ1939" s="31"/>
      <c r="AK1939" s="32"/>
    </row>
    <row r="1940">
      <c r="A1940" s="21" t="s">
        <v>141</v>
      </c>
      <c r="B1940" s="22" t="s">
        <v>3585</v>
      </c>
      <c r="C1940" s="22" t="s">
        <v>273</v>
      </c>
      <c r="D1940" s="26">
        <v>45998.0</v>
      </c>
      <c r="E1940" s="22" t="s">
        <v>252</v>
      </c>
      <c r="F1940" s="22" t="s">
        <v>83</v>
      </c>
      <c r="G1940" s="22" t="s">
        <v>3632</v>
      </c>
      <c r="H1940" s="22" t="s">
        <v>141</v>
      </c>
      <c r="I1940" s="22">
        <v>1.0486588735811E13</v>
      </c>
      <c r="J1940" s="22" t="s">
        <v>3587</v>
      </c>
      <c r="K1940" s="24"/>
      <c r="L1940" s="22" t="s">
        <v>143</v>
      </c>
      <c r="M1940" s="22">
        <v>1.0</v>
      </c>
      <c r="N1940" s="22" t="s">
        <v>87</v>
      </c>
      <c r="O1940" s="22" t="s">
        <v>88</v>
      </c>
      <c r="P1940" s="24"/>
      <c r="Q1940" s="22" t="s">
        <v>90</v>
      </c>
      <c r="R1940" s="22">
        <v>3.2812138955075E13</v>
      </c>
      <c r="S1940" s="24"/>
      <c r="T1940" s="24"/>
      <c r="U1940" s="24"/>
      <c r="V1940" s="30" t="s">
        <v>54</v>
      </c>
      <c r="W1940" s="33"/>
      <c r="X1940" s="33"/>
      <c r="Y1940" s="30"/>
      <c r="Z1940" s="30"/>
      <c r="AA1940" s="33"/>
      <c r="AB1940" s="33"/>
      <c r="AC1940" s="30"/>
      <c r="AD1940" s="30"/>
      <c r="AE1940" s="33"/>
      <c r="AF1940" s="31"/>
      <c r="AG1940" s="30"/>
      <c r="AH1940" s="30"/>
      <c r="AI1940" s="31"/>
      <c r="AJ1940" s="31"/>
      <c r="AK1940" s="32"/>
    </row>
    <row r="1941">
      <c r="A1941" s="21" t="s">
        <v>837</v>
      </c>
      <c r="B1941" s="22" t="s">
        <v>3169</v>
      </c>
      <c r="C1941" s="22" t="s">
        <v>82</v>
      </c>
      <c r="D1941" s="26">
        <v>45997.0</v>
      </c>
      <c r="E1941" s="22" t="s">
        <v>1624</v>
      </c>
      <c r="F1941" s="22" t="s">
        <v>698</v>
      </c>
      <c r="G1941" s="22" t="s">
        <v>3633</v>
      </c>
      <c r="H1941" s="22" t="s">
        <v>837</v>
      </c>
      <c r="I1941" s="22">
        <v>1.0486635757891E13</v>
      </c>
      <c r="J1941" s="22" t="s">
        <v>3171</v>
      </c>
      <c r="K1941" s="24"/>
      <c r="L1941" s="22" t="s">
        <v>839</v>
      </c>
      <c r="M1941" s="22">
        <v>1.0</v>
      </c>
      <c r="N1941" s="22" t="s">
        <v>819</v>
      </c>
      <c r="O1941" s="22" t="s">
        <v>820</v>
      </c>
      <c r="P1941" s="24"/>
      <c r="Q1941" s="22" t="s">
        <v>90</v>
      </c>
      <c r="R1941" s="22">
        <v>3.2812240896323E13</v>
      </c>
      <c r="S1941" s="24"/>
      <c r="T1941" s="24"/>
      <c r="U1941" s="24"/>
      <c r="V1941" s="30" t="s">
        <v>105</v>
      </c>
      <c r="W1941" s="33"/>
      <c r="X1941" s="33"/>
      <c r="Y1941" s="30"/>
      <c r="Z1941" s="30"/>
      <c r="AA1941" s="33"/>
      <c r="AB1941" s="33"/>
      <c r="AC1941" s="30"/>
      <c r="AD1941" s="30"/>
      <c r="AE1941" s="33"/>
      <c r="AF1941" s="31"/>
      <c r="AG1941" s="30"/>
      <c r="AH1941" s="30"/>
      <c r="AI1941" s="31"/>
      <c r="AJ1941" s="31"/>
      <c r="AK1941" s="32"/>
    </row>
    <row r="1942">
      <c r="A1942" s="21" t="s">
        <v>1048</v>
      </c>
      <c r="B1942" s="22" t="s">
        <v>1049</v>
      </c>
      <c r="C1942" s="22" t="s">
        <v>273</v>
      </c>
      <c r="D1942" s="26">
        <v>45998.0</v>
      </c>
      <c r="E1942" s="22" t="s">
        <v>177</v>
      </c>
      <c r="F1942" s="22" t="s">
        <v>440</v>
      </c>
      <c r="G1942" s="22" t="s">
        <v>3634</v>
      </c>
      <c r="H1942" s="22" t="s">
        <v>1048</v>
      </c>
      <c r="I1942" s="22">
        <v>1.0486645358915E13</v>
      </c>
      <c r="J1942" s="22" t="s">
        <v>3635</v>
      </c>
      <c r="K1942" s="24"/>
      <c r="L1942" s="22" t="s">
        <v>1052</v>
      </c>
      <c r="M1942" s="22">
        <v>1.0</v>
      </c>
      <c r="N1942" s="22" t="s">
        <v>444</v>
      </c>
      <c r="O1942" s="22" t="s">
        <v>445</v>
      </c>
      <c r="P1942" s="24"/>
      <c r="Q1942" s="22" t="s">
        <v>90</v>
      </c>
      <c r="R1942" s="22">
        <v>3.2812261146947E13</v>
      </c>
      <c r="S1942" s="24"/>
      <c r="T1942" s="24"/>
      <c r="U1942" s="24"/>
      <c r="V1942" s="30" t="s">
        <v>54</v>
      </c>
      <c r="W1942" s="33"/>
      <c r="X1942" s="33"/>
      <c r="Y1942" s="30"/>
      <c r="Z1942" s="30"/>
      <c r="AA1942" s="33"/>
      <c r="AB1942" s="33"/>
      <c r="AC1942" s="30"/>
      <c r="AD1942" s="30"/>
      <c r="AE1942" s="33"/>
      <c r="AF1942" s="31"/>
      <c r="AG1942" s="30"/>
      <c r="AH1942" s="30"/>
      <c r="AI1942" s="31"/>
      <c r="AJ1942" s="31"/>
      <c r="AK1942" s="32"/>
    </row>
    <row r="1943">
      <c r="A1943" s="21" t="s">
        <v>837</v>
      </c>
      <c r="B1943" s="22" t="s">
        <v>815</v>
      </c>
      <c r="C1943" s="22" t="s">
        <v>82</v>
      </c>
      <c r="D1943" s="26">
        <v>45997.0</v>
      </c>
      <c r="E1943" s="22" t="s">
        <v>187</v>
      </c>
      <c r="F1943" s="22" t="s">
        <v>698</v>
      </c>
      <c r="G1943" s="22" t="s">
        <v>3636</v>
      </c>
      <c r="H1943" s="22" t="s">
        <v>837</v>
      </c>
      <c r="I1943" s="22">
        <v>1.0486681960771E13</v>
      </c>
      <c r="J1943" s="22" t="s">
        <v>2995</v>
      </c>
      <c r="K1943" s="24"/>
      <c r="L1943" s="22" t="s">
        <v>839</v>
      </c>
      <c r="M1943" s="22">
        <v>1.0</v>
      </c>
      <c r="N1943" s="22" t="s">
        <v>819</v>
      </c>
      <c r="O1943" s="22" t="s">
        <v>820</v>
      </c>
      <c r="P1943" s="24"/>
      <c r="Q1943" s="22" t="s">
        <v>90</v>
      </c>
      <c r="R1943" s="22">
        <v>3.2812343001411E13</v>
      </c>
      <c r="S1943" s="24"/>
      <c r="T1943" s="24"/>
      <c r="U1943" s="24"/>
      <c r="V1943" s="30" t="s">
        <v>105</v>
      </c>
      <c r="W1943" s="33"/>
      <c r="X1943" s="33"/>
      <c r="Y1943" s="30"/>
      <c r="Z1943" s="30"/>
      <c r="AA1943" s="33"/>
      <c r="AB1943" s="33"/>
      <c r="AC1943" s="30"/>
      <c r="AD1943" s="30"/>
      <c r="AE1943" s="33"/>
      <c r="AF1943" s="31"/>
      <c r="AG1943" s="30"/>
      <c r="AH1943" s="30"/>
      <c r="AI1943" s="31"/>
      <c r="AJ1943" s="31"/>
      <c r="AK1943" s="32"/>
    </row>
    <row r="1944">
      <c r="A1944" s="21" t="s">
        <v>602</v>
      </c>
      <c r="B1944" s="22" t="s">
        <v>2105</v>
      </c>
      <c r="C1944" s="22" t="s">
        <v>82</v>
      </c>
      <c r="D1944" s="26">
        <v>45997.0</v>
      </c>
      <c r="E1944" s="22" t="s">
        <v>192</v>
      </c>
      <c r="F1944" s="22" t="s">
        <v>605</v>
      </c>
      <c r="G1944" s="22" t="s">
        <v>3637</v>
      </c>
      <c r="H1944" s="22" t="s">
        <v>602</v>
      </c>
      <c r="I1944" s="22">
        <v>1.0486682976579E13</v>
      </c>
      <c r="J1944" s="22" t="s">
        <v>3294</v>
      </c>
      <c r="K1944" s="24"/>
      <c r="L1944" s="22" t="s">
        <v>608</v>
      </c>
      <c r="M1944" s="22">
        <v>1.0</v>
      </c>
      <c r="N1944" s="22" t="s">
        <v>609</v>
      </c>
      <c r="O1944" s="22" t="s">
        <v>610</v>
      </c>
      <c r="P1944" s="24"/>
      <c r="Q1944" s="22" t="s">
        <v>90</v>
      </c>
      <c r="R1944" s="22">
        <v>3.2812344672579E13</v>
      </c>
      <c r="S1944" s="24"/>
      <c r="T1944" s="24"/>
      <c r="U1944" s="24"/>
      <c r="V1944" s="30" t="s">
        <v>54</v>
      </c>
      <c r="W1944" s="33"/>
      <c r="X1944" s="33"/>
      <c r="Y1944" s="30"/>
      <c r="Z1944" s="30"/>
      <c r="AA1944" s="33"/>
      <c r="AB1944" s="33"/>
      <c r="AC1944" s="30"/>
      <c r="AD1944" s="30"/>
      <c r="AE1944" s="33"/>
      <c r="AF1944" s="31"/>
      <c r="AG1944" s="30"/>
      <c r="AH1944" s="30"/>
      <c r="AI1944" s="31"/>
      <c r="AJ1944" s="31"/>
      <c r="AK1944" s="32"/>
    </row>
    <row r="1945">
      <c r="A1945" s="21" t="s">
        <v>495</v>
      </c>
      <c r="B1945" s="22" t="s">
        <v>1187</v>
      </c>
      <c r="C1945" s="22" t="s">
        <v>273</v>
      </c>
      <c r="D1945" s="23">
        <v>45991.0</v>
      </c>
      <c r="E1945" s="22" t="s">
        <v>134</v>
      </c>
      <c r="F1945" s="22" t="s">
        <v>329</v>
      </c>
      <c r="G1945" s="22" t="s">
        <v>3638</v>
      </c>
      <c r="H1945" s="22" t="s">
        <v>495</v>
      </c>
      <c r="I1945" s="22">
        <v>1.0486692675907E13</v>
      </c>
      <c r="J1945" s="22" t="s">
        <v>1029</v>
      </c>
      <c r="K1945" s="24"/>
      <c r="L1945" s="22" t="s">
        <v>500</v>
      </c>
      <c r="M1945" s="22">
        <v>1.0</v>
      </c>
      <c r="N1945" s="22" t="s">
        <v>333</v>
      </c>
      <c r="O1945" s="22" t="s">
        <v>334</v>
      </c>
      <c r="P1945" s="24"/>
      <c r="Q1945" s="22" t="s">
        <v>90</v>
      </c>
      <c r="R1945" s="22">
        <v>3.2812364333379E13</v>
      </c>
      <c r="S1945" s="24"/>
      <c r="T1945" s="24"/>
      <c r="U1945" s="24"/>
      <c r="V1945" s="30" t="s">
        <v>54</v>
      </c>
      <c r="W1945" s="33"/>
      <c r="X1945" s="33"/>
      <c r="Y1945" s="30"/>
      <c r="Z1945" s="30"/>
      <c r="AA1945" s="33"/>
      <c r="AB1945" s="33"/>
      <c r="AC1945" s="30"/>
      <c r="AD1945" s="30"/>
      <c r="AE1945" s="33"/>
      <c r="AF1945" s="31"/>
      <c r="AG1945" s="30"/>
      <c r="AH1945" s="30"/>
      <c r="AI1945" s="31"/>
      <c r="AJ1945" s="31"/>
      <c r="AK1945" s="32"/>
    </row>
    <row r="1946">
      <c r="A1946" s="21" t="s">
        <v>560</v>
      </c>
      <c r="B1946" s="22" t="s">
        <v>355</v>
      </c>
      <c r="C1946" s="22" t="s">
        <v>273</v>
      </c>
      <c r="D1946" s="23">
        <v>45991.0</v>
      </c>
      <c r="E1946" s="22" t="s">
        <v>149</v>
      </c>
      <c r="F1946" s="22" t="s">
        <v>356</v>
      </c>
      <c r="G1946" s="22" t="s">
        <v>3639</v>
      </c>
      <c r="H1946" s="22" t="s">
        <v>560</v>
      </c>
      <c r="I1946" s="22">
        <v>1.0486697492803E13</v>
      </c>
      <c r="J1946" s="22" t="s">
        <v>358</v>
      </c>
      <c r="K1946" s="24"/>
      <c r="L1946" s="22" t="s">
        <v>563</v>
      </c>
      <c r="M1946" s="22">
        <v>1.0</v>
      </c>
      <c r="N1946" s="22" t="s">
        <v>360</v>
      </c>
      <c r="O1946" s="22" t="s">
        <v>361</v>
      </c>
      <c r="P1946" s="24"/>
      <c r="Q1946" s="22" t="s">
        <v>90</v>
      </c>
      <c r="R1946" s="22">
        <v>3.2812375376195E13</v>
      </c>
      <c r="S1946" s="24"/>
      <c r="T1946" s="24"/>
      <c r="U1946" s="24"/>
      <c r="V1946" s="30" t="s">
        <v>91</v>
      </c>
      <c r="W1946" s="33"/>
      <c r="X1946" s="33"/>
      <c r="Y1946" s="30"/>
      <c r="Z1946" s="30"/>
      <c r="AA1946" s="33"/>
      <c r="AB1946" s="33"/>
      <c r="AC1946" s="30"/>
      <c r="AD1946" s="30"/>
      <c r="AE1946" s="33"/>
      <c r="AF1946" s="31"/>
      <c r="AG1946" s="30"/>
      <c r="AH1946" s="30"/>
      <c r="AI1946" s="31"/>
      <c r="AJ1946" s="31"/>
      <c r="AK1946" s="32"/>
    </row>
    <row r="1947">
      <c r="A1947" s="21" t="s">
        <v>962</v>
      </c>
      <c r="B1947" s="22" t="s">
        <v>3640</v>
      </c>
      <c r="C1947" s="22" t="s">
        <v>273</v>
      </c>
      <c r="D1947" s="23">
        <v>46005.0</v>
      </c>
      <c r="E1947" s="22" t="s">
        <v>1442</v>
      </c>
      <c r="F1947" s="22" t="s">
        <v>634</v>
      </c>
      <c r="G1947" s="22" t="s">
        <v>3641</v>
      </c>
      <c r="H1947" s="22" t="s">
        <v>962</v>
      </c>
      <c r="I1947" s="22">
        <v>1.0486703620419E13</v>
      </c>
      <c r="J1947" s="22" t="s">
        <v>3642</v>
      </c>
      <c r="K1947" s="24"/>
      <c r="L1947" s="22" t="s">
        <v>966</v>
      </c>
      <c r="M1947" s="22">
        <v>1.0</v>
      </c>
      <c r="N1947" s="22" t="s">
        <v>738</v>
      </c>
      <c r="O1947" s="22" t="s">
        <v>739</v>
      </c>
      <c r="P1947" s="24"/>
      <c r="Q1947" s="22" t="s">
        <v>90</v>
      </c>
      <c r="R1947" s="22">
        <v>3.2812389663043E13</v>
      </c>
      <c r="S1947" s="24"/>
      <c r="T1947" s="24"/>
      <c r="U1947" s="24"/>
      <c r="V1947" s="30" t="s">
        <v>127</v>
      </c>
      <c r="W1947" s="33"/>
      <c r="X1947" s="33"/>
      <c r="Y1947" s="30"/>
      <c r="Z1947" s="30"/>
      <c r="AA1947" s="33"/>
      <c r="AB1947" s="33"/>
      <c r="AC1947" s="30"/>
      <c r="AD1947" s="30"/>
      <c r="AE1947" s="33"/>
      <c r="AF1947" s="31"/>
      <c r="AG1947" s="30"/>
      <c r="AH1947" s="30"/>
      <c r="AI1947" s="31"/>
      <c r="AJ1947" s="31"/>
      <c r="AK1947" s="32"/>
    </row>
    <row r="1948">
      <c r="A1948" s="21" t="s">
        <v>538</v>
      </c>
      <c r="B1948" s="22" t="s">
        <v>3643</v>
      </c>
      <c r="C1948" s="22" t="s">
        <v>273</v>
      </c>
      <c r="D1948" s="26">
        <v>45998.0</v>
      </c>
      <c r="E1948" s="22" t="s">
        <v>149</v>
      </c>
      <c r="F1948" s="22" t="s">
        <v>369</v>
      </c>
      <c r="G1948" s="22" t="s">
        <v>3644</v>
      </c>
      <c r="H1948" s="22" t="s">
        <v>538</v>
      </c>
      <c r="I1948" s="22">
        <v>1.0486711484739E13</v>
      </c>
      <c r="J1948" s="22" t="s">
        <v>566</v>
      </c>
      <c r="K1948" s="24"/>
      <c r="L1948" s="22" t="s">
        <v>542</v>
      </c>
      <c r="M1948" s="22">
        <v>1.0</v>
      </c>
      <c r="N1948" s="22" t="s">
        <v>373</v>
      </c>
      <c r="O1948" s="22" t="s">
        <v>374</v>
      </c>
      <c r="P1948" s="24"/>
      <c r="Q1948" s="22" t="s">
        <v>90</v>
      </c>
      <c r="R1948" s="22">
        <v>3.2812407193923E13</v>
      </c>
      <c r="S1948" s="24"/>
      <c r="T1948" s="24"/>
      <c r="U1948" s="24"/>
      <c r="V1948" s="30" t="s">
        <v>91</v>
      </c>
      <c r="W1948" s="33"/>
      <c r="X1948" s="33"/>
      <c r="Y1948" s="30"/>
      <c r="Z1948" s="30"/>
      <c r="AA1948" s="33"/>
      <c r="AB1948" s="33"/>
      <c r="AC1948" s="30"/>
      <c r="AD1948" s="30"/>
      <c r="AE1948" s="33"/>
      <c r="AF1948" s="31"/>
      <c r="AG1948" s="30"/>
      <c r="AH1948" s="30"/>
      <c r="AI1948" s="31"/>
      <c r="AJ1948" s="31"/>
      <c r="AK1948" s="32"/>
    </row>
    <row r="1949">
      <c r="A1949" s="21" t="s">
        <v>1832</v>
      </c>
      <c r="B1949" s="22" t="s">
        <v>840</v>
      </c>
      <c r="C1949" s="22" t="s">
        <v>82</v>
      </c>
      <c r="D1949" s="26">
        <v>45997.0</v>
      </c>
      <c r="E1949" s="22" t="s">
        <v>841</v>
      </c>
      <c r="F1949" s="22" t="s">
        <v>698</v>
      </c>
      <c r="G1949" s="22" t="s">
        <v>3645</v>
      </c>
      <c r="H1949" s="22" t="s">
        <v>1832</v>
      </c>
      <c r="I1949" s="22">
        <v>1.0486733603139E13</v>
      </c>
      <c r="J1949" s="22" t="s">
        <v>3351</v>
      </c>
      <c r="K1949" s="24"/>
      <c r="L1949" s="22" t="s">
        <v>1834</v>
      </c>
      <c r="M1949" s="22">
        <v>1.0</v>
      </c>
      <c r="N1949" s="22" t="s">
        <v>702</v>
      </c>
      <c r="O1949" s="22" t="s">
        <v>703</v>
      </c>
      <c r="P1949" s="24"/>
      <c r="Q1949" s="22" t="s">
        <v>90</v>
      </c>
      <c r="R1949" s="22">
        <v>3.2812453593411E13</v>
      </c>
      <c r="S1949" s="24"/>
      <c r="T1949" s="24"/>
      <c r="U1949" s="24"/>
      <c r="V1949" s="30" t="s">
        <v>91</v>
      </c>
      <c r="W1949" s="33"/>
      <c r="X1949" s="33"/>
      <c r="Y1949" s="30"/>
      <c r="Z1949" s="30"/>
      <c r="AA1949" s="33"/>
      <c r="AB1949" s="33"/>
      <c r="AC1949" s="30"/>
      <c r="AD1949" s="30"/>
      <c r="AE1949" s="33"/>
      <c r="AF1949" s="31"/>
      <c r="AG1949" s="30"/>
      <c r="AH1949" s="30"/>
      <c r="AI1949" s="31"/>
      <c r="AJ1949" s="31"/>
      <c r="AK1949" s="32"/>
    </row>
    <row r="1950">
      <c r="A1950" s="21" t="s">
        <v>327</v>
      </c>
      <c r="B1950" s="22" t="s">
        <v>328</v>
      </c>
      <c r="C1950" s="22" t="s">
        <v>273</v>
      </c>
      <c r="D1950" s="23">
        <v>45991.0</v>
      </c>
      <c r="E1950" s="22" t="s">
        <v>266</v>
      </c>
      <c r="F1950" s="22" t="s">
        <v>329</v>
      </c>
      <c r="G1950" s="22" t="s">
        <v>3646</v>
      </c>
      <c r="H1950" s="22" t="s">
        <v>327</v>
      </c>
      <c r="I1950" s="22">
        <v>1.0486740844867E13</v>
      </c>
      <c r="J1950" s="22" t="s">
        <v>331</v>
      </c>
      <c r="K1950" s="24"/>
      <c r="L1950" s="22" t="s">
        <v>332</v>
      </c>
      <c r="M1950" s="22">
        <v>1.0</v>
      </c>
      <c r="N1950" s="22" t="s">
        <v>333</v>
      </c>
      <c r="O1950" s="22" t="s">
        <v>334</v>
      </c>
      <c r="P1950" s="24"/>
      <c r="Q1950" s="22" t="s">
        <v>90</v>
      </c>
      <c r="R1950" s="22">
        <v>3.2812470567235E13</v>
      </c>
      <c r="S1950" s="24"/>
      <c r="T1950" s="24"/>
      <c r="U1950" s="24"/>
      <c r="V1950" s="30" t="s">
        <v>55</v>
      </c>
      <c r="W1950" s="33"/>
      <c r="X1950" s="33"/>
      <c r="Y1950" s="30"/>
      <c r="Z1950" s="30"/>
      <c r="AA1950" s="33"/>
      <c r="AB1950" s="33"/>
      <c r="AC1950" s="30"/>
      <c r="AD1950" s="30"/>
      <c r="AE1950" s="33"/>
      <c r="AF1950" s="31"/>
      <c r="AG1950" s="30"/>
      <c r="AH1950" s="30"/>
      <c r="AI1950" s="31"/>
      <c r="AJ1950" s="31"/>
      <c r="AK1950" s="32"/>
    </row>
    <row r="1951">
      <c r="A1951" s="21" t="s">
        <v>538</v>
      </c>
      <c r="B1951" s="22" t="s">
        <v>1364</v>
      </c>
      <c r="C1951" s="22" t="s">
        <v>273</v>
      </c>
      <c r="D1951" s="26">
        <v>45998.0</v>
      </c>
      <c r="E1951" s="22" t="s">
        <v>138</v>
      </c>
      <c r="F1951" s="22" t="s">
        <v>369</v>
      </c>
      <c r="G1951" s="22" t="s">
        <v>3647</v>
      </c>
      <c r="H1951" s="22" t="s">
        <v>538</v>
      </c>
      <c r="I1951" s="22">
        <v>1.0486748643651E13</v>
      </c>
      <c r="J1951" s="22" t="s">
        <v>2992</v>
      </c>
      <c r="K1951" s="24"/>
      <c r="L1951" s="22" t="s">
        <v>542</v>
      </c>
      <c r="M1951" s="22">
        <v>1.0</v>
      </c>
      <c r="N1951" s="22" t="s">
        <v>373</v>
      </c>
      <c r="O1951" s="22" t="s">
        <v>374</v>
      </c>
      <c r="P1951" s="24"/>
      <c r="Q1951" s="22" t="s">
        <v>90</v>
      </c>
      <c r="R1951" s="22">
        <v>3.2812485968195E13</v>
      </c>
      <c r="S1951" s="24"/>
      <c r="T1951" s="24"/>
      <c r="U1951" s="24"/>
      <c r="V1951" s="30" t="s">
        <v>91</v>
      </c>
      <c r="W1951" s="33"/>
      <c r="X1951" s="33"/>
      <c r="Y1951" s="30"/>
      <c r="Z1951" s="30"/>
      <c r="AA1951" s="33"/>
      <c r="AB1951" s="33"/>
      <c r="AC1951" s="30"/>
      <c r="AD1951" s="30"/>
      <c r="AE1951" s="33"/>
      <c r="AF1951" s="31"/>
      <c r="AG1951" s="30"/>
      <c r="AH1951" s="30"/>
      <c r="AI1951" s="31"/>
      <c r="AJ1951" s="31"/>
      <c r="AK1951" s="32"/>
    </row>
    <row r="1952">
      <c r="A1952" s="21" t="s">
        <v>1472</v>
      </c>
      <c r="B1952" s="22" t="s">
        <v>3466</v>
      </c>
      <c r="C1952" s="22" t="s">
        <v>82</v>
      </c>
      <c r="D1952" s="26">
        <v>45997.0</v>
      </c>
      <c r="E1952" s="22" t="s">
        <v>252</v>
      </c>
      <c r="F1952" s="22" t="s">
        <v>1466</v>
      </c>
      <c r="G1952" s="22" t="s">
        <v>3648</v>
      </c>
      <c r="H1952" s="22" t="s">
        <v>1472</v>
      </c>
      <c r="I1952" s="22">
        <v>1.0486807003459E13</v>
      </c>
      <c r="J1952" s="22" t="s">
        <v>3468</v>
      </c>
      <c r="K1952" s="24"/>
      <c r="L1952" s="22" t="s">
        <v>1474</v>
      </c>
      <c r="M1952" s="22">
        <v>1.0</v>
      </c>
      <c r="N1952" s="22" t="s">
        <v>1470</v>
      </c>
      <c r="O1952" s="22" t="s">
        <v>1471</v>
      </c>
      <c r="P1952" s="24"/>
      <c r="Q1952" s="22" t="s">
        <v>90</v>
      </c>
      <c r="R1952" s="22">
        <v>3.2812610191683E13</v>
      </c>
      <c r="S1952" s="24"/>
      <c r="T1952" s="24"/>
      <c r="U1952" s="24"/>
      <c r="V1952" s="30" t="s">
        <v>54</v>
      </c>
      <c r="W1952" s="33"/>
      <c r="X1952" s="33"/>
      <c r="Y1952" s="30"/>
      <c r="Z1952" s="30"/>
      <c r="AA1952" s="33"/>
      <c r="AB1952" s="33"/>
      <c r="AC1952" s="30"/>
      <c r="AD1952" s="30"/>
      <c r="AE1952" s="33"/>
      <c r="AF1952" s="31"/>
      <c r="AG1952" s="30"/>
      <c r="AH1952" s="30"/>
      <c r="AI1952" s="31"/>
      <c r="AJ1952" s="31"/>
      <c r="AK1952" s="32"/>
    </row>
    <row r="1953">
      <c r="A1953" s="21" t="s">
        <v>973</v>
      </c>
      <c r="B1953" s="22" t="s">
        <v>1651</v>
      </c>
      <c r="C1953" s="22" t="s">
        <v>273</v>
      </c>
      <c r="D1953" s="26">
        <v>45998.0</v>
      </c>
      <c r="E1953" s="22" t="s">
        <v>1624</v>
      </c>
      <c r="F1953" s="22" t="s">
        <v>440</v>
      </c>
      <c r="G1953" s="22" t="s">
        <v>3649</v>
      </c>
      <c r="H1953" s="22" t="s">
        <v>973</v>
      </c>
      <c r="I1953" s="22">
        <v>1.0486838624579E13</v>
      </c>
      <c r="J1953" s="22" t="s">
        <v>3650</v>
      </c>
      <c r="K1953" s="24"/>
      <c r="L1953" s="22" t="s">
        <v>978</v>
      </c>
      <c r="M1953" s="22">
        <v>1.0</v>
      </c>
      <c r="N1953" s="22" t="s">
        <v>781</v>
      </c>
      <c r="O1953" s="22" t="s">
        <v>782</v>
      </c>
      <c r="P1953" s="24"/>
      <c r="Q1953" s="22" t="s">
        <v>90</v>
      </c>
      <c r="R1953" s="22">
        <v>3.2812675858755E13</v>
      </c>
      <c r="S1953" s="24"/>
      <c r="T1953" s="24"/>
      <c r="U1953" s="24"/>
      <c r="V1953" s="30" t="s">
        <v>105</v>
      </c>
      <c r="W1953" s="33"/>
      <c r="X1953" s="33"/>
      <c r="Y1953" s="30"/>
      <c r="Z1953" s="30"/>
      <c r="AA1953" s="33"/>
      <c r="AB1953" s="33"/>
      <c r="AC1953" s="30"/>
      <c r="AD1953" s="30"/>
      <c r="AE1953" s="33"/>
      <c r="AF1953" s="31"/>
      <c r="AG1953" s="30"/>
      <c r="AH1953" s="30"/>
      <c r="AI1953" s="31"/>
      <c r="AJ1953" s="31"/>
      <c r="AK1953" s="32"/>
    </row>
    <row r="1954">
      <c r="A1954" s="21" t="s">
        <v>1265</v>
      </c>
      <c r="B1954" s="22" t="s">
        <v>3267</v>
      </c>
      <c r="C1954" s="22" t="s">
        <v>82</v>
      </c>
      <c r="D1954" s="26">
        <v>45997.0</v>
      </c>
      <c r="E1954" s="22" t="s">
        <v>149</v>
      </c>
      <c r="F1954" s="22" t="s">
        <v>341</v>
      </c>
      <c r="G1954" s="22" t="s">
        <v>3651</v>
      </c>
      <c r="H1954" s="22" t="s">
        <v>1265</v>
      </c>
      <c r="I1954" s="22">
        <v>1.0486854615363E13</v>
      </c>
      <c r="J1954" s="22" t="s">
        <v>3269</v>
      </c>
      <c r="K1954" s="24"/>
      <c r="L1954" s="22" t="s">
        <v>1266</v>
      </c>
      <c r="M1954" s="22">
        <v>2.0</v>
      </c>
      <c r="N1954" s="22" t="s">
        <v>1267</v>
      </c>
      <c r="O1954" s="22" t="s">
        <v>1268</v>
      </c>
      <c r="P1954" s="24"/>
      <c r="Q1954" s="22" t="s">
        <v>90</v>
      </c>
      <c r="R1954" s="22">
        <v>3.2812709642563E13</v>
      </c>
      <c r="S1954" s="24"/>
      <c r="T1954" s="24"/>
      <c r="U1954" s="24"/>
      <c r="V1954" s="30" t="s">
        <v>127</v>
      </c>
      <c r="W1954" s="33"/>
      <c r="X1954" s="33"/>
      <c r="Y1954" s="30"/>
      <c r="Z1954" s="30"/>
      <c r="AA1954" s="33"/>
      <c r="AB1954" s="33"/>
      <c r="AC1954" s="30"/>
      <c r="AD1954" s="30"/>
      <c r="AE1954" s="33"/>
      <c r="AF1954" s="31"/>
      <c r="AG1954" s="30"/>
      <c r="AH1954" s="30"/>
      <c r="AI1954" s="31"/>
      <c r="AJ1954" s="31"/>
      <c r="AK1954" s="32"/>
    </row>
    <row r="1955">
      <c r="A1955" s="21" t="s">
        <v>1640</v>
      </c>
      <c r="B1955" s="22" t="s">
        <v>2967</v>
      </c>
      <c r="C1955" s="22" t="s">
        <v>82</v>
      </c>
      <c r="D1955" s="26">
        <v>45997.0</v>
      </c>
      <c r="E1955" s="22" t="s">
        <v>134</v>
      </c>
      <c r="F1955" s="22" t="s">
        <v>1466</v>
      </c>
      <c r="G1955" s="22" t="s">
        <v>3652</v>
      </c>
      <c r="H1955" s="22" t="s">
        <v>1640</v>
      </c>
      <c r="I1955" s="22">
        <v>1.0486875160899E13</v>
      </c>
      <c r="J1955" s="22" t="s">
        <v>2969</v>
      </c>
      <c r="K1955" s="24"/>
      <c r="L1955" s="22" t="s">
        <v>1642</v>
      </c>
      <c r="M1955" s="22">
        <v>1.0</v>
      </c>
      <c r="N1955" s="22" t="s">
        <v>1628</v>
      </c>
      <c r="O1955" s="22" t="s">
        <v>1629</v>
      </c>
      <c r="P1955" s="24"/>
      <c r="Q1955" s="22" t="s">
        <v>90</v>
      </c>
      <c r="R1955" s="22">
        <v>3.2812752929091E13</v>
      </c>
      <c r="S1955" s="24"/>
      <c r="T1955" s="24"/>
      <c r="U1955" s="24"/>
      <c r="V1955" s="30" t="s">
        <v>127</v>
      </c>
      <c r="W1955" s="33"/>
      <c r="X1955" s="33"/>
      <c r="Y1955" s="30"/>
      <c r="Z1955" s="30"/>
      <c r="AA1955" s="33"/>
      <c r="AB1955" s="33"/>
      <c r="AC1955" s="30"/>
      <c r="AD1955" s="30"/>
      <c r="AE1955" s="33"/>
      <c r="AF1955" s="31"/>
      <c r="AG1955" s="30"/>
      <c r="AH1955" s="30"/>
      <c r="AI1955" s="31"/>
      <c r="AJ1955" s="31"/>
      <c r="AK1955" s="32"/>
    </row>
    <row r="1956">
      <c r="A1956" s="21" t="s">
        <v>1200</v>
      </c>
      <c r="B1956" s="22" t="s">
        <v>3338</v>
      </c>
      <c r="C1956" s="22" t="s">
        <v>82</v>
      </c>
      <c r="D1956" s="26">
        <v>45997.0</v>
      </c>
      <c r="E1956" s="22" t="s">
        <v>149</v>
      </c>
      <c r="F1956" s="22" t="s">
        <v>278</v>
      </c>
      <c r="G1956" s="22" t="s">
        <v>3653</v>
      </c>
      <c r="H1956" s="22" t="s">
        <v>1200</v>
      </c>
      <c r="I1956" s="22">
        <v>1.0486889972035E13</v>
      </c>
      <c r="J1956" s="22" t="s">
        <v>3340</v>
      </c>
      <c r="K1956" s="24"/>
      <c r="L1956" s="22" t="s">
        <v>1203</v>
      </c>
      <c r="M1956" s="22">
        <v>1.0</v>
      </c>
      <c r="N1956" s="22" t="s">
        <v>282</v>
      </c>
      <c r="O1956" s="22" t="s">
        <v>283</v>
      </c>
      <c r="P1956" s="24"/>
      <c r="Q1956" s="22" t="s">
        <v>90</v>
      </c>
      <c r="R1956" s="22">
        <v>3.2812783599939E13</v>
      </c>
      <c r="S1956" s="24"/>
      <c r="T1956" s="24"/>
      <c r="U1956" s="24"/>
      <c r="V1956" s="30" t="s">
        <v>91</v>
      </c>
      <c r="W1956" s="33"/>
      <c r="X1956" s="33"/>
      <c r="Y1956" s="30"/>
      <c r="Z1956" s="30"/>
      <c r="AA1956" s="33"/>
      <c r="AB1956" s="33"/>
      <c r="AC1956" s="30"/>
      <c r="AD1956" s="30"/>
      <c r="AE1956" s="33"/>
      <c r="AF1956" s="31"/>
      <c r="AG1956" s="30"/>
      <c r="AH1956" s="30"/>
      <c r="AI1956" s="31"/>
      <c r="AJ1956" s="31"/>
      <c r="AK1956" s="32"/>
    </row>
    <row r="1957">
      <c r="A1957" s="21" t="s">
        <v>401</v>
      </c>
      <c r="B1957" s="22" t="s">
        <v>3654</v>
      </c>
      <c r="C1957" s="22" t="s">
        <v>82</v>
      </c>
      <c r="D1957" s="26">
        <v>45997.0</v>
      </c>
      <c r="E1957" s="22" t="s">
        <v>1993</v>
      </c>
      <c r="F1957" s="22" t="s">
        <v>319</v>
      </c>
      <c r="G1957" s="22" t="s">
        <v>3655</v>
      </c>
      <c r="H1957" s="22" t="s">
        <v>401</v>
      </c>
      <c r="I1957" s="22">
        <v>1.0486906224963E13</v>
      </c>
      <c r="J1957" s="22" t="s">
        <v>3656</v>
      </c>
      <c r="K1957" s="24"/>
      <c r="L1957" s="22" t="s">
        <v>403</v>
      </c>
      <c r="M1957" s="22">
        <v>1.0</v>
      </c>
      <c r="N1957" s="22" t="s">
        <v>404</v>
      </c>
      <c r="O1957" s="22" t="s">
        <v>405</v>
      </c>
      <c r="P1957" s="24"/>
      <c r="Q1957" s="22" t="s">
        <v>90</v>
      </c>
      <c r="R1957" s="22">
        <v>3.2812817744195E13</v>
      </c>
      <c r="S1957" s="24"/>
      <c r="T1957" s="24"/>
      <c r="U1957" s="24"/>
      <c r="V1957" s="30" t="s">
        <v>127</v>
      </c>
      <c r="W1957" s="33"/>
      <c r="X1957" s="33"/>
      <c r="Y1957" s="30"/>
      <c r="Z1957" s="30"/>
      <c r="AA1957" s="33"/>
      <c r="AB1957" s="33"/>
      <c r="AC1957" s="30"/>
      <c r="AD1957" s="30"/>
      <c r="AE1957" s="33"/>
      <c r="AF1957" s="31"/>
      <c r="AG1957" s="30"/>
      <c r="AH1957" s="30"/>
      <c r="AI1957" s="31"/>
      <c r="AJ1957" s="31"/>
      <c r="AK1957" s="32"/>
    </row>
    <row r="1958">
      <c r="A1958" s="21" t="s">
        <v>141</v>
      </c>
      <c r="B1958" s="22" t="s">
        <v>3657</v>
      </c>
      <c r="C1958" s="22" t="s">
        <v>287</v>
      </c>
      <c r="D1958" s="23">
        <v>46001.0</v>
      </c>
      <c r="E1958" s="22" t="s">
        <v>196</v>
      </c>
      <c r="F1958" s="22" t="s">
        <v>83</v>
      </c>
      <c r="G1958" s="22" t="s">
        <v>3658</v>
      </c>
      <c r="H1958" s="22" t="s">
        <v>141</v>
      </c>
      <c r="I1958" s="22">
        <v>1.0486951379267E13</v>
      </c>
      <c r="J1958" s="22" t="s">
        <v>3659</v>
      </c>
      <c r="K1958" s="24"/>
      <c r="L1958" s="22" t="s">
        <v>143</v>
      </c>
      <c r="M1958" s="22">
        <v>1.0</v>
      </c>
      <c r="N1958" s="22" t="s">
        <v>87</v>
      </c>
      <c r="O1958" s="22" t="s">
        <v>88</v>
      </c>
      <c r="P1958" s="24"/>
      <c r="Q1958" s="22" t="s">
        <v>90</v>
      </c>
      <c r="R1958" s="22">
        <v>3.2812916932931E13</v>
      </c>
      <c r="S1958" s="24"/>
      <c r="T1958" s="24"/>
      <c r="U1958" s="24"/>
      <c r="V1958" s="30" t="s">
        <v>54</v>
      </c>
      <c r="W1958" s="33"/>
      <c r="X1958" s="33"/>
      <c r="Y1958" s="30"/>
      <c r="Z1958" s="30"/>
      <c r="AA1958" s="33"/>
      <c r="AB1958" s="33"/>
      <c r="AC1958" s="30"/>
      <c r="AD1958" s="30"/>
      <c r="AE1958" s="33"/>
      <c r="AF1958" s="31"/>
      <c r="AG1958" s="30"/>
      <c r="AH1958" s="30"/>
      <c r="AI1958" s="31"/>
      <c r="AJ1958" s="31"/>
      <c r="AK1958" s="32"/>
    </row>
    <row r="1959">
      <c r="A1959" s="21" t="s">
        <v>643</v>
      </c>
      <c r="B1959" s="22" t="s">
        <v>3660</v>
      </c>
      <c r="C1959" s="22" t="s">
        <v>273</v>
      </c>
      <c r="D1959" s="23">
        <v>46005.0</v>
      </c>
      <c r="E1959" s="22" t="s">
        <v>196</v>
      </c>
      <c r="F1959" s="22" t="s">
        <v>634</v>
      </c>
      <c r="G1959" s="22" t="s">
        <v>3661</v>
      </c>
      <c r="H1959" s="22" t="s">
        <v>643</v>
      </c>
      <c r="I1959" s="22">
        <v>1.0486991716675E13</v>
      </c>
      <c r="J1959" s="22" t="s">
        <v>3662</v>
      </c>
      <c r="K1959" s="24"/>
      <c r="L1959" s="22" t="s">
        <v>647</v>
      </c>
      <c r="M1959" s="22">
        <v>1.0</v>
      </c>
      <c r="N1959" s="22" t="s">
        <v>638</v>
      </c>
      <c r="O1959" s="22" t="s">
        <v>639</v>
      </c>
      <c r="P1959" s="24"/>
      <c r="Q1959" s="22" t="s">
        <v>90</v>
      </c>
      <c r="R1959" s="22">
        <v>3.2813004194115E13</v>
      </c>
      <c r="S1959" s="24"/>
      <c r="T1959" s="24"/>
      <c r="U1959" s="24"/>
      <c r="V1959" s="30" t="s">
        <v>54</v>
      </c>
      <c r="W1959" s="33"/>
      <c r="X1959" s="33"/>
      <c r="Y1959" s="30"/>
      <c r="Z1959" s="30"/>
      <c r="AA1959" s="33"/>
      <c r="AB1959" s="33"/>
      <c r="AC1959" s="30"/>
      <c r="AD1959" s="30"/>
      <c r="AE1959" s="33"/>
      <c r="AF1959" s="31"/>
      <c r="AG1959" s="30"/>
      <c r="AH1959" s="30"/>
      <c r="AI1959" s="31"/>
      <c r="AJ1959" s="31"/>
      <c r="AK1959" s="32"/>
    </row>
    <row r="1960">
      <c r="A1960" s="21" t="s">
        <v>80</v>
      </c>
      <c r="B1960" s="22" t="s">
        <v>1408</v>
      </c>
      <c r="C1960" s="22" t="s">
        <v>273</v>
      </c>
      <c r="D1960" s="26">
        <v>45998.0</v>
      </c>
      <c r="E1960" s="22" t="s">
        <v>153</v>
      </c>
      <c r="F1960" s="22" t="s">
        <v>83</v>
      </c>
      <c r="G1960" s="22" t="s">
        <v>3663</v>
      </c>
      <c r="H1960" s="22" t="s">
        <v>80</v>
      </c>
      <c r="I1960" s="22">
        <v>1.0487037690179E13</v>
      </c>
      <c r="J1960" s="22" t="s">
        <v>3541</v>
      </c>
      <c r="K1960" s="24"/>
      <c r="L1960" s="22" t="s">
        <v>86</v>
      </c>
      <c r="M1960" s="22">
        <v>1.0</v>
      </c>
      <c r="N1960" s="22" t="s">
        <v>87</v>
      </c>
      <c r="O1960" s="22" t="s">
        <v>88</v>
      </c>
      <c r="P1960" s="24"/>
      <c r="Q1960" s="22" t="s">
        <v>90</v>
      </c>
      <c r="R1960" s="22">
        <v>3.2813099188547E13</v>
      </c>
      <c r="S1960" s="24"/>
      <c r="T1960" s="24"/>
      <c r="U1960" s="24"/>
      <c r="V1960" s="30" t="s">
        <v>91</v>
      </c>
      <c r="W1960" s="33"/>
      <c r="X1960" s="33"/>
      <c r="Y1960" s="30"/>
      <c r="Z1960" s="30"/>
      <c r="AA1960" s="33"/>
      <c r="AB1960" s="33"/>
      <c r="AC1960" s="30"/>
      <c r="AD1960" s="30"/>
      <c r="AE1960" s="33"/>
      <c r="AF1960" s="31"/>
      <c r="AG1960" s="30"/>
      <c r="AH1960" s="30"/>
      <c r="AI1960" s="31"/>
      <c r="AJ1960" s="31"/>
      <c r="AK1960" s="32"/>
    </row>
    <row r="1961">
      <c r="A1961" s="21" t="s">
        <v>1048</v>
      </c>
      <c r="B1961" s="22" t="s">
        <v>574</v>
      </c>
      <c r="C1961" s="22" t="s">
        <v>273</v>
      </c>
      <c r="D1961" s="26">
        <v>45998.0</v>
      </c>
      <c r="E1961" s="22" t="s">
        <v>187</v>
      </c>
      <c r="F1961" s="22" t="s">
        <v>440</v>
      </c>
      <c r="G1961" s="22" t="s">
        <v>3664</v>
      </c>
      <c r="H1961" s="22" t="s">
        <v>1048</v>
      </c>
      <c r="I1961" s="22">
        <v>1.0487097131331E13</v>
      </c>
      <c r="J1961" s="22" t="s">
        <v>2952</v>
      </c>
      <c r="K1961" s="24"/>
      <c r="L1961" s="22" t="s">
        <v>1052</v>
      </c>
      <c r="M1961" s="22">
        <v>1.0</v>
      </c>
      <c r="N1961" s="22" t="s">
        <v>444</v>
      </c>
      <c r="O1961" s="22" t="s">
        <v>445</v>
      </c>
      <c r="P1961" s="24"/>
      <c r="Q1961" s="22" t="s">
        <v>90</v>
      </c>
      <c r="R1961" s="22">
        <v>3.2813222494531E13</v>
      </c>
      <c r="S1961" s="24"/>
      <c r="T1961" s="24"/>
      <c r="U1961" s="24"/>
      <c r="V1961" s="30" t="s">
        <v>54</v>
      </c>
      <c r="W1961" s="33"/>
      <c r="X1961" s="33"/>
      <c r="Y1961" s="30"/>
      <c r="Z1961" s="30"/>
      <c r="AA1961" s="33"/>
      <c r="AB1961" s="33"/>
      <c r="AC1961" s="30"/>
      <c r="AD1961" s="30"/>
      <c r="AE1961" s="33"/>
      <c r="AF1961" s="31"/>
      <c r="AG1961" s="30"/>
      <c r="AH1961" s="30"/>
      <c r="AI1961" s="31"/>
      <c r="AJ1961" s="31"/>
      <c r="AK1961" s="32"/>
    </row>
    <row r="1962">
      <c r="A1962" s="21" t="s">
        <v>538</v>
      </c>
      <c r="B1962" s="22" t="s">
        <v>587</v>
      </c>
      <c r="C1962" s="22" t="s">
        <v>273</v>
      </c>
      <c r="D1962" s="26">
        <v>45998.0</v>
      </c>
      <c r="E1962" s="22" t="s">
        <v>153</v>
      </c>
      <c r="F1962" s="22" t="s">
        <v>369</v>
      </c>
      <c r="G1962" s="22" t="s">
        <v>3665</v>
      </c>
      <c r="H1962" s="22" t="s">
        <v>538</v>
      </c>
      <c r="I1962" s="22">
        <v>1.0486486204739E13</v>
      </c>
      <c r="J1962" s="22" t="s">
        <v>2971</v>
      </c>
      <c r="K1962" s="24"/>
      <c r="L1962" s="22" t="s">
        <v>542</v>
      </c>
      <c r="M1962" s="22">
        <v>1.0</v>
      </c>
      <c r="N1962" s="22" t="s">
        <v>373</v>
      </c>
      <c r="O1962" s="22" t="s">
        <v>374</v>
      </c>
      <c r="P1962" s="24"/>
      <c r="Q1962" s="22" t="s">
        <v>90</v>
      </c>
      <c r="R1962" s="22">
        <v>3.2811920490819E13</v>
      </c>
      <c r="S1962" s="24"/>
      <c r="T1962" s="24"/>
      <c r="U1962" s="24"/>
      <c r="V1962" s="30" t="s">
        <v>91</v>
      </c>
      <c r="W1962" s="33"/>
      <c r="X1962" s="33"/>
      <c r="Y1962" s="30"/>
      <c r="Z1962" s="30"/>
      <c r="AA1962" s="33"/>
      <c r="AB1962" s="33"/>
      <c r="AC1962" s="30"/>
      <c r="AD1962" s="30"/>
      <c r="AE1962" s="33"/>
      <c r="AF1962" s="31"/>
      <c r="AG1962" s="30"/>
      <c r="AH1962" s="30"/>
      <c r="AI1962" s="31"/>
      <c r="AJ1962" s="31"/>
      <c r="AK1962" s="32"/>
    </row>
    <row r="1963">
      <c r="A1963" s="21" t="s">
        <v>124</v>
      </c>
      <c r="B1963" s="22" t="s">
        <v>1309</v>
      </c>
      <c r="C1963" s="22" t="s">
        <v>273</v>
      </c>
      <c r="D1963" s="26">
        <v>45998.0</v>
      </c>
      <c r="E1963" s="22" t="s">
        <v>134</v>
      </c>
      <c r="F1963" s="22" t="s">
        <v>83</v>
      </c>
      <c r="G1963" s="22" t="s">
        <v>3666</v>
      </c>
      <c r="H1963" s="22" t="s">
        <v>124</v>
      </c>
      <c r="I1963" s="22">
        <v>1.0486523953475E13</v>
      </c>
      <c r="J1963" s="22" t="s">
        <v>3101</v>
      </c>
      <c r="K1963" s="24"/>
      <c r="L1963" s="22" t="s">
        <v>126</v>
      </c>
      <c r="M1963" s="22">
        <v>1.0</v>
      </c>
      <c r="N1963" s="22" t="s">
        <v>103</v>
      </c>
      <c r="O1963" s="22" t="s">
        <v>104</v>
      </c>
      <c r="P1963" s="24"/>
      <c r="Q1963" s="22" t="s">
        <v>90</v>
      </c>
      <c r="R1963" s="22">
        <v>3.2811998871875E13</v>
      </c>
      <c r="S1963" s="24"/>
      <c r="T1963" s="24"/>
      <c r="U1963" s="24"/>
      <c r="V1963" s="30" t="s">
        <v>127</v>
      </c>
      <c r="W1963" s="33"/>
      <c r="X1963" s="33"/>
      <c r="Y1963" s="30"/>
      <c r="Z1963" s="30"/>
      <c r="AA1963" s="33"/>
      <c r="AB1963" s="33"/>
      <c r="AC1963" s="30"/>
      <c r="AD1963" s="30"/>
      <c r="AE1963" s="33"/>
      <c r="AF1963" s="31"/>
      <c r="AG1963" s="30"/>
      <c r="AH1963" s="30"/>
      <c r="AI1963" s="31"/>
      <c r="AJ1963" s="31"/>
      <c r="AK1963" s="32"/>
    </row>
    <row r="1964">
      <c r="A1964" s="21" t="s">
        <v>938</v>
      </c>
      <c r="B1964" s="22" t="s">
        <v>471</v>
      </c>
      <c r="C1964" s="22" t="s">
        <v>82</v>
      </c>
      <c r="D1964" s="26">
        <v>45997.0</v>
      </c>
      <c r="E1964" s="22" t="s">
        <v>134</v>
      </c>
      <c r="F1964" s="22" t="s">
        <v>472</v>
      </c>
      <c r="G1964" s="22" t="s">
        <v>3667</v>
      </c>
      <c r="H1964" s="22" t="s">
        <v>938</v>
      </c>
      <c r="I1964" s="22">
        <v>1.0486541222211E13</v>
      </c>
      <c r="J1964" s="22" t="s">
        <v>3019</v>
      </c>
      <c r="K1964" s="24"/>
      <c r="L1964" s="22" t="s">
        <v>940</v>
      </c>
      <c r="M1964" s="22">
        <v>1.0</v>
      </c>
      <c r="N1964" s="22" t="s">
        <v>476</v>
      </c>
      <c r="O1964" s="22" t="s">
        <v>477</v>
      </c>
      <c r="P1964" s="24"/>
      <c r="Q1964" s="22" t="s">
        <v>90</v>
      </c>
      <c r="R1964" s="22">
        <v>3.2812036292931E13</v>
      </c>
      <c r="S1964" s="24"/>
      <c r="T1964" s="24"/>
      <c r="U1964" s="24"/>
      <c r="V1964" s="30" t="s">
        <v>54</v>
      </c>
      <c r="W1964" s="33"/>
      <c r="X1964" s="33"/>
      <c r="Y1964" s="30"/>
      <c r="Z1964" s="30"/>
      <c r="AA1964" s="33"/>
      <c r="AB1964" s="33"/>
      <c r="AC1964" s="30"/>
      <c r="AD1964" s="30"/>
      <c r="AE1964" s="33"/>
      <c r="AF1964" s="31"/>
      <c r="AG1964" s="30"/>
      <c r="AH1964" s="30"/>
      <c r="AI1964" s="31"/>
      <c r="AJ1964" s="31"/>
      <c r="AK1964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5"/>
  </cols>
  <sheetData>
    <row r="1">
      <c r="A1" s="20" t="s">
        <v>64</v>
      </c>
      <c r="B1" s="20" t="s">
        <v>3668</v>
      </c>
      <c r="C1" s="20" t="s">
        <v>3669</v>
      </c>
      <c r="D1" s="20" t="s">
        <v>58</v>
      </c>
      <c r="E1" s="20" t="s">
        <v>70</v>
      </c>
      <c r="F1" s="20"/>
      <c r="G1" s="20" t="s">
        <v>60</v>
      </c>
      <c r="H1" s="20" t="s">
        <v>61</v>
      </c>
      <c r="I1" s="20" t="s">
        <v>62</v>
      </c>
      <c r="J1" s="20" t="s">
        <v>63</v>
      </c>
      <c r="K1" s="20" t="s">
        <v>69</v>
      </c>
      <c r="L1" s="20" t="s">
        <v>3670</v>
      </c>
      <c r="M1" s="32" t="s">
        <v>79</v>
      </c>
    </row>
    <row r="2">
      <c r="A2" s="22" t="s">
        <v>274</v>
      </c>
      <c r="B2" s="22" t="s">
        <v>3671</v>
      </c>
      <c r="C2" s="22" t="s">
        <v>3672</v>
      </c>
      <c r="D2" s="22" t="s">
        <v>92</v>
      </c>
      <c r="E2" s="22">
        <v>1.0</v>
      </c>
      <c r="F2" s="22"/>
      <c r="G2" s="22" t="s">
        <v>273</v>
      </c>
      <c r="H2" s="26">
        <v>45998.0</v>
      </c>
      <c r="I2" s="22"/>
      <c r="J2" s="22" t="s">
        <v>83</v>
      </c>
      <c r="K2" s="22" t="s">
        <v>94</v>
      </c>
      <c r="L2" s="35" t="s">
        <v>3673</v>
      </c>
      <c r="M2" s="32" t="s">
        <v>95</v>
      </c>
    </row>
    <row r="3">
      <c r="A3" s="22" t="s">
        <v>279</v>
      </c>
      <c r="B3" s="22" t="s">
        <v>3674</v>
      </c>
      <c r="C3" s="22" t="s">
        <v>3675</v>
      </c>
      <c r="D3" s="22" t="s">
        <v>276</v>
      </c>
      <c r="E3" s="22">
        <v>1.0</v>
      </c>
      <c r="F3" s="22"/>
      <c r="G3" s="22" t="s">
        <v>82</v>
      </c>
      <c r="H3" s="26">
        <v>45997.0</v>
      </c>
      <c r="I3" s="22" t="s">
        <v>138</v>
      </c>
      <c r="J3" s="22" t="s">
        <v>278</v>
      </c>
      <c r="K3" s="22" t="s">
        <v>281</v>
      </c>
      <c r="L3" s="35" t="s">
        <v>3676</v>
      </c>
      <c r="M3" s="32" t="s">
        <v>55</v>
      </c>
    </row>
    <row r="4">
      <c r="A4" s="22" t="s">
        <v>285</v>
      </c>
      <c r="B4" s="22" t="s">
        <v>3677</v>
      </c>
      <c r="C4" s="22" t="s">
        <v>3678</v>
      </c>
      <c r="D4" s="22" t="s">
        <v>96</v>
      </c>
      <c r="E4" s="22">
        <v>1.0</v>
      </c>
      <c r="F4" s="22"/>
      <c r="G4" s="22" t="s">
        <v>273</v>
      </c>
      <c r="H4" s="26">
        <v>45998.0</v>
      </c>
      <c r="I4" s="22"/>
      <c r="J4" s="22" t="s">
        <v>83</v>
      </c>
      <c r="K4" s="22" t="s">
        <v>98</v>
      </c>
      <c r="L4" s="35" t="s">
        <v>3679</v>
      </c>
      <c r="M4" s="32" t="s">
        <v>55</v>
      </c>
    </row>
    <row r="5">
      <c r="A5" s="22" t="s">
        <v>284</v>
      </c>
      <c r="B5" s="22" t="s">
        <v>3680</v>
      </c>
      <c r="C5" s="22" t="s">
        <v>3681</v>
      </c>
      <c r="D5" s="22" t="s">
        <v>80</v>
      </c>
      <c r="E5" s="22">
        <v>1.0</v>
      </c>
      <c r="F5" s="22"/>
      <c r="G5" s="22" t="s">
        <v>273</v>
      </c>
      <c r="H5" s="26">
        <v>45998.0</v>
      </c>
      <c r="I5" s="22"/>
      <c r="J5" s="22" t="s">
        <v>83</v>
      </c>
      <c r="K5" s="22" t="s">
        <v>86</v>
      </c>
      <c r="L5" s="35" t="s">
        <v>3682</v>
      </c>
      <c r="M5" s="32" t="s">
        <v>91</v>
      </c>
    </row>
    <row r="6">
      <c r="A6" s="22" t="s">
        <v>295</v>
      </c>
      <c r="B6" s="22" t="s">
        <v>3683</v>
      </c>
      <c r="C6" s="22" t="s">
        <v>3684</v>
      </c>
      <c r="D6" s="22" t="s">
        <v>141</v>
      </c>
      <c r="E6" s="22">
        <v>1.0</v>
      </c>
      <c r="F6" s="22"/>
      <c r="G6" s="22" t="s">
        <v>294</v>
      </c>
      <c r="H6" s="26">
        <v>45992.0</v>
      </c>
      <c r="I6" s="22"/>
      <c r="J6" s="22" t="s">
        <v>83</v>
      </c>
      <c r="K6" s="22" t="s">
        <v>143</v>
      </c>
      <c r="L6" s="35" t="s">
        <v>3685</v>
      </c>
      <c r="M6" s="32" t="s">
        <v>54</v>
      </c>
    </row>
    <row r="7">
      <c r="A7" s="22" t="s">
        <v>291</v>
      </c>
      <c r="B7" s="22" t="s">
        <v>3686</v>
      </c>
      <c r="C7" s="22" t="s">
        <v>3687</v>
      </c>
      <c r="D7" s="22" t="s">
        <v>96</v>
      </c>
      <c r="E7" s="22">
        <v>1.0</v>
      </c>
      <c r="F7" s="22"/>
      <c r="G7" s="22" t="s">
        <v>273</v>
      </c>
      <c r="H7" s="23">
        <v>45991.0</v>
      </c>
      <c r="I7" s="22"/>
      <c r="J7" s="22" t="s">
        <v>83</v>
      </c>
      <c r="K7" s="22" t="s">
        <v>98</v>
      </c>
      <c r="L7" s="35" t="s">
        <v>3688</v>
      </c>
      <c r="M7" s="32" t="s">
        <v>55</v>
      </c>
    </row>
    <row r="8">
      <c r="A8" s="22" t="s">
        <v>298</v>
      </c>
      <c r="B8" s="22" t="s">
        <v>3689</v>
      </c>
      <c r="C8" s="22" t="s">
        <v>3690</v>
      </c>
      <c r="D8" s="22" t="s">
        <v>141</v>
      </c>
      <c r="E8" s="22">
        <v>1.0</v>
      </c>
      <c r="F8" s="22"/>
      <c r="G8" s="22" t="s">
        <v>82</v>
      </c>
      <c r="H8" s="26">
        <v>45997.0</v>
      </c>
      <c r="I8" s="22"/>
      <c r="J8" s="22" t="s">
        <v>83</v>
      </c>
      <c r="K8" s="22" t="s">
        <v>143</v>
      </c>
      <c r="L8" s="35" t="s">
        <v>3691</v>
      </c>
      <c r="M8" s="32" t="s">
        <v>54</v>
      </c>
    </row>
    <row r="9">
      <c r="A9" s="22" t="s">
        <v>288</v>
      </c>
      <c r="B9" s="22" t="s">
        <v>3692</v>
      </c>
      <c r="C9" s="22" t="s">
        <v>3693</v>
      </c>
      <c r="D9" s="22" t="s">
        <v>96</v>
      </c>
      <c r="E9" s="22">
        <v>1.0</v>
      </c>
      <c r="F9" s="22"/>
      <c r="G9" s="22" t="s">
        <v>287</v>
      </c>
      <c r="H9" s="26">
        <v>45994.0</v>
      </c>
      <c r="I9" s="22"/>
      <c r="J9" s="22" t="s">
        <v>83</v>
      </c>
      <c r="K9" s="22" t="s">
        <v>98</v>
      </c>
      <c r="L9" s="35" t="s">
        <v>3694</v>
      </c>
      <c r="M9" s="32" t="s">
        <v>55</v>
      </c>
    </row>
    <row r="10">
      <c r="A10" s="22" t="s">
        <v>84</v>
      </c>
      <c r="B10" s="22" t="s">
        <v>3695</v>
      </c>
      <c r="C10" s="22" t="s">
        <v>3696</v>
      </c>
      <c r="D10" s="22" t="s">
        <v>80</v>
      </c>
      <c r="E10" s="22">
        <v>1.0</v>
      </c>
      <c r="F10" s="22"/>
      <c r="G10" s="22" t="s">
        <v>82</v>
      </c>
      <c r="H10" s="23">
        <v>45990.0</v>
      </c>
      <c r="I10" s="22"/>
      <c r="J10" s="22" t="s">
        <v>83</v>
      </c>
      <c r="K10" s="22" t="s">
        <v>86</v>
      </c>
      <c r="L10" s="35" t="s">
        <v>3697</v>
      </c>
      <c r="M10" s="32" t="s">
        <v>91</v>
      </c>
    </row>
    <row r="11">
      <c r="A11" s="22" t="s">
        <v>304</v>
      </c>
      <c r="B11" s="22" t="s">
        <v>3698</v>
      </c>
      <c r="C11" s="22" t="s">
        <v>3699</v>
      </c>
      <c r="D11" s="22" t="s">
        <v>300</v>
      </c>
      <c r="E11" s="22">
        <v>1.0</v>
      </c>
      <c r="F11" s="22"/>
      <c r="G11" s="22" t="s">
        <v>82</v>
      </c>
      <c r="H11" s="26">
        <v>45997.0</v>
      </c>
      <c r="I11" s="22" t="s">
        <v>302</v>
      </c>
      <c r="J11" s="22" t="s">
        <v>303</v>
      </c>
      <c r="K11" s="22" t="s">
        <v>306</v>
      </c>
      <c r="L11" s="35" t="s">
        <v>3700</v>
      </c>
      <c r="M11" s="32" t="s">
        <v>55</v>
      </c>
    </row>
    <row r="12">
      <c r="A12" s="22" t="s">
        <v>330</v>
      </c>
      <c r="B12" s="22" t="s">
        <v>3701</v>
      </c>
      <c r="C12" s="22" t="s">
        <v>3702</v>
      </c>
      <c r="D12" s="22" t="s">
        <v>327</v>
      </c>
      <c r="E12" s="22">
        <v>1.0</v>
      </c>
      <c r="F12" s="22"/>
      <c r="G12" s="22" t="s">
        <v>273</v>
      </c>
      <c r="H12" s="23">
        <v>45991.0</v>
      </c>
      <c r="I12" s="22" t="s">
        <v>266</v>
      </c>
      <c r="J12" s="22" t="s">
        <v>329</v>
      </c>
      <c r="K12" s="22" t="s">
        <v>332</v>
      </c>
      <c r="L12" s="35" t="s">
        <v>3703</v>
      </c>
      <c r="M12" s="32" t="s">
        <v>55</v>
      </c>
    </row>
    <row r="13">
      <c r="A13" s="22" t="s">
        <v>320</v>
      </c>
      <c r="B13" s="22" t="s">
        <v>3704</v>
      </c>
      <c r="C13" s="22" t="s">
        <v>3705</v>
      </c>
      <c r="D13" s="22" t="s">
        <v>317</v>
      </c>
      <c r="E13" s="22">
        <v>1.0</v>
      </c>
      <c r="F13" s="22"/>
      <c r="G13" s="22" t="s">
        <v>82</v>
      </c>
      <c r="H13" s="26">
        <v>45997.0</v>
      </c>
      <c r="I13" s="22" t="s">
        <v>196</v>
      </c>
      <c r="J13" s="22" t="s">
        <v>319</v>
      </c>
      <c r="K13" s="22" t="s">
        <v>322</v>
      </c>
      <c r="L13" s="35" t="s">
        <v>3706</v>
      </c>
      <c r="M13" s="32" t="s">
        <v>55</v>
      </c>
    </row>
    <row r="14">
      <c r="A14" s="22" t="s">
        <v>325</v>
      </c>
      <c r="B14" s="22" t="s">
        <v>3707</v>
      </c>
      <c r="C14" s="22" t="s">
        <v>3708</v>
      </c>
      <c r="D14" s="22" t="s">
        <v>141</v>
      </c>
      <c r="E14" s="22">
        <v>1.0</v>
      </c>
      <c r="F14" s="22"/>
      <c r="G14" s="22" t="s">
        <v>294</v>
      </c>
      <c r="H14" s="26">
        <v>45992.0</v>
      </c>
      <c r="I14" s="22"/>
      <c r="J14" s="22" t="s">
        <v>83</v>
      </c>
      <c r="K14" s="22" t="s">
        <v>143</v>
      </c>
      <c r="L14" s="35" t="s">
        <v>3709</v>
      </c>
      <c r="M14" s="32" t="s">
        <v>54</v>
      </c>
    </row>
    <row r="15">
      <c r="A15" s="22" t="s">
        <v>312</v>
      </c>
      <c r="B15" s="22" t="s">
        <v>3710</v>
      </c>
      <c r="C15" s="22" t="s">
        <v>3711</v>
      </c>
      <c r="D15" s="22" t="s">
        <v>309</v>
      </c>
      <c r="E15" s="22">
        <v>1.0</v>
      </c>
      <c r="F15" s="22"/>
      <c r="G15" s="22" t="s">
        <v>82</v>
      </c>
      <c r="H15" s="26">
        <v>45997.0</v>
      </c>
      <c r="I15" s="22" t="s">
        <v>134</v>
      </c>
      <c r="J15" s="22" t="s">
        <v>311</v>
      </c>
      <c r="K15" s="22" t="s">
        <v>314</v>
      </c>
      <c r="L15" s="35" t="s">
        <v>3712</v>
      </c>
      <c r="M15" s="32" t="s">
        <v>105</v>
      </c>
    </row>
    <row r="16">
      <c r="A16" s="22" t="s">
        <v>337</v>
      </c>
      <c r="B16" s="22" t="s">
        <v>3713</v>
      </c>
      <c r="C16" s="22" t="s">
        <v>3714</v>
      </c>
      <c r="D16" s="22" t="s">
        <v>80</v>
      </c>
      <c r="E16" s="22">
        <v>1.0</v>
      </c>
      <c r="F16" s="22"/>
      <c r="G16" s="22" t="s">
        <v>336</v>
      </c>
      <c r="H16" s="26">
        <v>45995.0</v>
      </c>
      <c r="I16" s="22"/>
      <c r="J16" s="22" t="s">
        <v>83</v>
      </c>
      <c r="K16" s="22" t="s">
        <v>86</v>
      </c>
      <c r="L16" s="35" t="s">
        <v>3715</v>
      </c>
      <c r="M16" s="32" t="s">
        <v>91</v>
      </c>
    </row>
    <row r="17">
      <c r="A17" s="22" t="s">
        <v>342</v>
      </c>
      <c r="B17" s="22" t="s">
        <v>3716</v>
      </c>
      <c r="C17" s="22" t="s">
        <v>3717</v>
      </c>
      <c r="D17" s="22" t="s">
        <v>339</v>
      </c>
      <c r="E17" s="22">
        <v>1.0</v>
      </c>
      <c r="F17" s="22"/>
      <c r="G17" s="22" t="s">
        <v>82</v>
      </c>
      <c r="H17" s="26">
        <v>45997.0</v>
      </c>
      <c r="I17" s="22" t="s">
        <v>187</v>
      </c>
      <c r="J17" s="22" t="s">
        <v>341</v>
      </c>
      <c r="K17" s="22" t="s">
        <v>344</v>
      </c>
      <c r="L17" s="35" t="s">
        <v>3718</v>
      </c>
      <c r="M17" s="32" t="s">
        <v>55</v>
      </c>
    </row>
    <row r="18">
      <c r="A18" s="22" t="s">
        <v>370</v>
      </c>
      <c r="B18" s="22" t="s">
        <v>3719</v>
      </c>
      <c r="C18" s="22" t="s">
        <v>3720</v>
      </c>
      <c r="D18" s="22" t="s">
        <v>367</v>
      </c>
      <c r="E18" s="22">
        <v>1.0</v>
      </c>
      <c r="F18" s="22"/>
      <c r="G18" s="22" t="s">
        <v>273</v>
      </c>
      <c r="H18" s="26">
        <v>45998.0</v>
      </c>
      <c r="I18" s="22" t="s">
        <v>196</v>
      </c>
      <c r="J18" s="22" t="s">
        <v>369</v>
      </c>
      <c r="K18" s="22" t="s">
        <v>372</v>
      </c>
      <c r="L18" s="35" t="s">
        <v>3721</v>
      </c>
      <c r="M18" s="32" t="s">
        <v>55</v>
      </c>
    </row>
    <row r="19">
      <c r="A19" s="22" t="s">
        <v>353</v>
      </c>
      <c r="B19" s="22" t="s">
        <v>3722</v>
      </c>
      <c r="C19" s="22" t="s">
        <v>3723</v>
      </c>
      <c r="D19" s="22" t="s">
        <v>96</v>
      </c>
      <c r="E19" s="22">
        <v>1.0</v>
      </c>
      <c r="F19" s="22"/>
      <c r="G19" s="22" t="s">
        <v>82</v>
      </c>
      <c r="H19" s="26">
        <v>45997.0</v>
      </c>
      <c r="I19" s="22"/>
      <c r="J19" s="22" t="s">
        <v>83</v>
      </c>
      <c r="K19" s="22" t="s">
        <v>98</v>
      </c>
      <c r="L19" s="35" t="s">
        <v>3724</v>
      </c>
      <c r="M19" s="32" t="s">
        <v>55</v>
      </c>
    </row>
    <row r="20">
      <c r="A20" s="22" t="s">
        <v>348</v>
      </c>
      <c r="B20" s="22" t="s">
        <v>3725</v>
      </c>
      <c r="C20" s="22" t="s">
        <v>3726</v>
      </c>
      <c r="D20" s="22" t="s">
        <v>347</v>
      </c>
      <c r="E20" s="22">
        <v>1.0</v>
      </c>
      <c r="F20" s="22"/>
      <c r="G20" s="22" t="s">
        <v>82</v>
      </c>
      <c r="H20" s="26">
        <v>45997.0</v>
      </c>
      <c r="I20" s="22" t="s">
        <v>138</v>
      </c>
      <c r="J20" s="22" t="s">
        <v>278</v>
      </c>
      <c r="K20" s="22" t="s">
        <v>350</v>
      </c>
      <c r="L20" s="35" t="s">
        <v>3727</v>
      </c>
      <c r="M20" s="32" t="s">
        <v>127</v>
      </c>
    </row>
    <row r="21">
      <c r="A21" s="22" t="s">
        <v>364</v>
      </c>
      <c r="B21" s="22" t="s">
        <v>3728</v>
      </c>
      <c r="C21" s="22" t="s">
        <v>3729</v>
      </c>
      <c r="D21" s="22" t="s">
        <v>362</v>
      </c>
      <c r="E21" s="22">
        <v>1.0</v>
      </c>
      <c r="F21" s="22"/>
      <c r="G21" s="22" t="s">
        <v>82</v>
      </c>
      <c r="H21" s="26">
        <v>45997.0</v>
      </c>
      <c r="I21" s="22" t="s">
        <v>211</v>
      </c>
      <c r="J21" s="22" t="s">
        <v>278</v>
      </c>
      <c r="K21" s="22" t="s">
        <v>366</v>
      </c>
      <c r="L21" s="35" t="s">
        <v>3730</v>
      </c>
      <c r="M21" s="32" t="s">
        <v>54</v>
      </c>
    </row>
    <row r="22">
      <c r="A22" s="22" t="s">
        <v>357</v>
      </c>
      <c r="B22" s="22" t="s">
        <v>3731</v>
      </c>
      <c r="C22" s="22" t="s">
        <v>3732</v>
      </c>
      <c r="D22" s="22" t="s">
        <v>354</v>
      </c>
      <c r="E22" s="22">
        <v>1.0</v>
      </c>
      <c r="F22" s="22"/>
      <c r="G22" s="22" t="s">
        <v>273</v>
      </c>
      <c r="H22" s="23">
        <v>45991.0</v>
      </c>
      <c r="I22" s="22" t="s">
        <v>149</v>
      </c>
      <c r="J22" s="22" t="s">
        <v>356</v>
      </c>
      <c r="K22" s="22" t="s">
        <v>359</v>
      </c>
      <c r="L22" s="35" t="s">
        <v>3733</v>
      </c>
      <c r="M22" s="32" t="s">
        <v>54</v>
      </c>
    </row>
    <row r="23">
      <c r="A23" s="22" t="s">
        <v>378</v>
      </c>
      <c r="B23" s="22" t="s">
        <v>3734</v>
      </c>
      <c r="C23" s="22" t="s">
        <v>3735</v>
      </c>
      <c r="D23" s="22" t="s">
        <v>375</v>
      </c>
      <c r="E23" s="22">
        <v>1.0</v>
      </c>
      <c r="F23" s="22"/>
      <c r="G23" s="22" t="s">
        <v>82</v>
      </c>
      <c r="H23" s="26">
        <v>45997.0</v>
      </c>
      <c r="I23" s="22" t="s">
        <v>149</v>
      </c>
      <c r="J23" s="22" t="s">
        <v>377</v>
      </c>
      <c r="K23" s="22" t="s">
        <v>380</v>
      </c>
      <c r="L23" s="35" t="s">
        <v>3736</v>
      </c>
      <c r="M23" s="32" t="s">
        <v>55</v>
      </c>
    </row>
    <row r="24">
      <c r="A24" s="22" t="s">
        <v>383</v>
      </c>
      <c r="B24" s="22" t="s">
        <v>3737</v>
      </c>
      <c r="C24" s="22" t="s">
        <v>3738</v>
      </c>
      <c r="D24" s="22" t="s">
        <v>96</v>
      </c>
      <c r="E24" s="22">
        <v>1.0</v>
      </c>
      <c r="F24" s="22"/>
      <c r="G24" s="22" t="s">
        <v>336</v>
      </c>
      <c r="H24" s="26">
        <v>45995.0</v>
      </c>
      <c r="I24" s="22"/>
      <c r="J24" s="22" t="s">
        <v>83</v>
      </c>
      <c r="K24" s="22" t="s">
        <v>98</v>
      </c>
      <c r="L24" s="35" t="s">
        <v>3739</v>
      </c>
      <c r="M24" s="32" t="s">
        <v>55</v>
      </c>
    </row>
    <row r="25">
      <c r="A25" s="22" t="s">
        <v>385</v>
      </c>
      <c r="B25" s="22" t="s">
        <v>3740</v>
      </c>
      <c r="C25" s="22" t="s">
        <v>3741</v>
      </c>
      <c r="D25" s="22" t="s">
        <v>99</v>
      </c>
      <c r="E25" s="22">
        <v>1.0</v>
      </c>
      <c r="F25" s="22"/>
      <c r="G25" s="22" t="s">
        <v>273</v>
      </c>
      <c r="H25" s="26">
        <v>45997.0</v>
      </c>
      <c r="I25" s="22"/>
      <c r="J25" s="22" t="s">
        <v>83</v>
      </c>
      <c r="K25" s="22" t="s">
        <v>102</v>
      </c>
      <c r="L25" s="35" t="s">
        <v>3742</v>
      </c>
      <c r="M25" s="32" t="s">
        <v>105</v>
      </c>
    </row>
    <row r="26">
      <c r="A26" s="22" t="s">
        <v>93</v>
      </c>
      <c r="B26" s="22" t="s">
        <v>3743</v>
      </c>
      <c r="C26" s="22" t="s">
        <v>3744</v>
      </c>
      <c r="D26" s="22" t="s">
        <v>92</v>
      </c>
      <c r="E26" s="22">
        <v>1.0</v>
      </c>
      <c r="F26" s="22"/>
      <c r="G26" s="22" t="s">
        <v>82</v>
      </c>
      <c r="H26" s="23">
        <v>45990.0</v>
      </c>
      <c r="I26" s="22"/>
      <c r="J26" s="22" t="s">
        <v>83</v>
      </c>
      <c r="K26" s="22" t="s">
        <v>94</v>
      </c>
      <c r="L26" s="35" t="s">
        <v>3745</v>
      </c>
      <c r="M26" s="32" t="s">
        <v>95</v>
      </c>
    </row>
    <row r="27">
      <c r="A27" s="22" t="s">
        <v>394</v>
      </c>
      <c r="B27" s="22" t="s">
        <v>3746</v>
      </c>
      <c r="C27" s="22" t="s">
        <v>3747</v>
      </c>
      <c r="D27" s="22" t="s">
        <v>166</v>
      </c>
      <c r="E27" s="22">
        <v>1.0</v>
      </c>
      <c r="F27" s="22"/>
      <c r="G27" s="22" t="s">
        <v>82</v>
      </c>
      <c r="H27" s="26">
        <v>45997.0</v>
      </c>
      <c r="I27" s="22" t="s">
        <v>187</v>
      </c>
      <c r="J27" s="22" t="s">
        <v>111</v>
      </c>
      <c r="K27" s="22" t="s">
        <v>171</v>
      </c>
      <c r="L27" s="35" t="s">
        <v>3748</v>
      </c>
      <c r="M27" s="32" t="s">
        <v>55</v>
      </c>
    </row>
    <row r="28">
      <c r="A28" s="22" t="s">
        <v>388</v>
      </c>
      <c r="B28" s="22" t="s">
        <v>3749</v>
      </c>
      <c r="C28" s="22" t="s">
        <v>3750</v>
      </c>
      <c r="D28" s="22" t="s">
        <v>386</v>
      </c>
      <c r="E28" s="22">
        <v>1.0</v>
      </c>
      <c r="F28" s="22"/>
      <c r="G28" s="22" t="s">
        <v>82</v>
      </c>
      <c r="H28" s="26">
        <v>45997.0</v>
      </c>
      <c r="I28" s="22" t="s">
        <v>149</v>
      </c>
      <c r="J28" s="22" t="s">
        <v>311</v>
      </c>
      <c r="K28" s="22" t="s">
        <v>390</v>
      </c>
      <c r="L28" s="35" t="s">
        <v>3751</v>
      </c>
      <c r="M28" s="32" t="s">
        <v>55</v>
      </c>
    </row>
    <row r="29">
      <c r="A29" s="22" t="s">
        <v>396</v>
      </c>
      <c r="B29" s="22" t="s">
        <v>3752</v>
      </c>
      <c r="C29" s="22" t="s">
        <v>3753</v>
      </c>
      <c r="D29" s="22" t="s">
        <v>96</v>
      </c>
      <c r="E29" s="22">
        <v>1.0</v>
      </c>
      <c r="F29" s="22"/>
      <c r="G29" s="22" t="s">
        <v>82</v>
      </c>
      <c r="H29" s="26">
        <v>45997.0</v>
      </c>
      <c r="I29" s="22"/>
      <c r="J29" s="22" t="s">
        <v>83</v>
      </c>
      <c r="K29" s="22" t="s">
        <v>98</v>
      </c>
      <c r="L29" s="35" t="s">
        <v>3754</v>
      </c>
      <c r="M29" s="32" t="s">
        <v>55</v>
      </c>
    </row>
    <row r="30">
      <c r="A30" s="22" t="s">
        <v>399</v>
      </c>
      <c r="B30" s="22" t="s">
        <v>3755</v>
      </c>
      <c r="C30" s="22" t="s">
        <v>3756</v>
      </c>
      <c r="D30" s="22" t="s">
        <v>166</v>
      </c>
      <c r="E30" s="22">
        <v>1.0</v>
      </c>
      <c r="F30" s="22"/>
      <c r="G30" s="22" t="s">
        <v>273</v>
      </c>
      <c r="H30" s="26">
        <v>45998.0</v>
      </c>
      <c r="I30" s="22" t="s">
        <v>110</v>
      </c>
      <c r="J30" s="22" t="s">
        <v>111</v>
      </c>
      <c r="K30" s="22" t="s">
        <v>171</v>
      </c>
      <c r="L30" s="35" t="s">
        <v>3757</v>
      </c>
      <c r="M30" s="32" t="s">
        <v>55</v>
      </c>
    </row>
    <row r="31">
      <c r="A31" s="22" t="s">
        <v>410</v>
      </c>
      <c r="B31" s="22" t="s">
        <v>3758</v>
      </c>
      <c r="C31" s="22" t="s">
        <v>3759</v>
      </c>
      <c r="D31" s="22" t="s">
        <v>408</v>
      </c>
      <c r="E31" s="22">
        <v>1.0</v>
      </c>
      <c r="F31" s="22"/>
      <c r="G31" s="22" t="s">
        <v>82</v>
      </c>
      <c r="H31" s="26">
        <v>45997.0</v>
      </c>
      <c r="I31" s="22" t="s">
        <v>153</v>
      </c>
      <c r="J31" s="22" t="s">
        <v>377</v>
      </c>
      <c r="K31" s="22" t="s">
        <v>412</v>
      </c>
      <c r="L31" s="35" t="s">
        <v>3760</v>
      </c>
      <c r="M31" s="32" t="s">
        <v>127</v>
      </c>
    </row>
    <row r="32">
      <c r="A32" s="22" t="s">
        <v>406</v>
      </c>
      <c r="B32" s="22" t="s">
        <v>3761</v>
      </c>
      <c r="C32" s="22" t="s">
        <v>3762</v>
      </c>
      <c r="D32" s="22" t="s">
        <v>141</v>
      </c>
      <c r="E32" s="22">
        <v>1.0</v>
      </c>
      <c r="F32" s="22"/>
      <c r="G32" s="22" t="s">
        <v>287</v>
      </c>
      <c r="H32" s="26">
        <v>45994.0</v>
      </c>
      <c r="I32" s="22"/>
      <c r="J32" s="22" t="s">
        <v>83</v>
      </c>
      <c r="K32" s="22" t="s">
        <v>143</v>
      </c>
      <c r="L32" s="35" t="s">
        <v>3763</v>
      </c>
      <c r="M32" s="32" t="s">
        <v>54</v>
      </c>
    </row>
    <row r="33">
      <c r="A33" s="22" t="s">
        <v>402</v>
      </c>
      <c r="B33" s="22" t="s">
        <v>3764</v>
      </c>
      <c r="C33" s="22" t="s">
        <v>3765</v>
      </c>
      <c r="D33" s="22" t="s">
        <v>401</v>
      </c>
      <c r="E33" s="22">
        <v>1.0</v>
      </c>
      <c r="F33" s="22"/>
      <c r="G33" s="22" t="s">
        <v>82</v>
      </c>
      <c r="H33" s="26">
        <v>45997.0</v>
      </c>
      <c r="I33" s="22" t="s">
        <v>196</v>
      </c>
      <c r="J33" s="22" t="s">
        <v>319</v>
      </c>
      <c r="K33" s="22" t="s">
        <v>403</v>
      </c>
      <c r="L33" s="35" t="s">
        <v>3766</v>
      </c>
      <c r="M33" s="32" t="s">
        <v>127</v>
      </c>
    </row>
    <row r="34">
      <c r="A34" s="22" t="s">
        <v>97</v>
      </c>
      <c r="B34" s="22" t="s">
        <v>3767</v>
      </c>
      <c r="C34" s="22" t="s">
        <v>3768</v>
      </c>
      <c r="D34" s="22" t="s">
        <v>96</v>
      </c>
      <c r="E34" s="22">
        <v>1.0</v>
      </c>
      <c r="F34" s="22"/>
      <c r="G34" s="22" t="s">
        <v>82</v>
      </c>
      <c r="H34" s="23">
        <v>45990.0</v>
      </c>
      <c r="I34" s="22"/>
      <c r="J34" s="22" t="s">
        <v>83</v>
      </c>
      <c r="K34" s="22" t="s">
        <v>98</v>
      </c>
      <c r="L34" s="35" t="s">
        <v>3769</v>
      </c>
      <c r="M34" s="32" t="s">
        <v>55</v>
      </c>
    </row>
    <row r="35">
      <c r="A35" s="22" t="s">
        <v>417</v>
      </c>
      <c r="B35" s="22" t="s">
        <v>3770</v>
      </c>
      <c r="C35" s="22" t="s">
        <v>3771</v>
      </c>
      <c r="D35" s="22" t="s">
        <v>415</v>
      </c>
      <c r="E35" s="22">
        <v>1.0</v>
      </c>
      <c r="F35" s="22"/>
      <c r="G35" s="22" t="s">
        <v>82</v>
      </c>
      <c r="H35" s="26">
        <v>45997.0</v>
      </c>
      <c r="I35" s="22" t="s">
        <v>134</v>
      </c>
      <c r="J35" s="22" t="s">
        <v>377</v>
      </c>
      <c r="K35" s="22" t="s">
        <v>419</v>
      </c>
      <c r="L35" s="35" t="s">
        <v>3772</v>
      </c>
      <c r="M35" s="32" t="s">
        <v>91</v>
      </c>
    </row>
    <row r="36">
      <c r="A36" s="22" t="s">
        <v>421</v>
      </c>
      <c r="B36" s="22" t="s">
        <v>3773</v>
      </c>
      <c r="C36" s="22" t="s">
        <v>3774</v>
      </c>
      <c r="D36" s="22" t="s">
        <v>276</v>
      </c>
      <c r="E36" s="22">
        <v>1.0</v>
      </c>
      <c r="F36" s="22"/>
      <c r="G36" s="22" t="s">
        <v>82</v>
      </c>
      <c r="H36" s="26">
        <v>45997.0</v>
      </c>
      <c r="I36" s="22" t="s">
        <v>153</v>
      </c>
      <c r="J36" s="22" t="s">
        <v>278</v>
      </c>
      <c r="K36" s="22" t="s">
        <v>281</v>
      </c>
      <c r="L36" s="35" t="s">
        <v>3775</v>
      </c>
      <c r="M36" s="32" t="s">
        <v>55</v>
      </c>
    </row>
    <row r="37">
      <c r="A37" s="22" t="s">
        <v>425</v>
      </c>
      <c r="B37" s="22" t="s">
        <v>3776</v>
      </c>
      <c r="C37" s="22" t="s">
        <v>3777</v>
      </c>
      <c r="D37" s="22" t="s">
        <v>423</v>
      </c>
      <c r="E37" s="22">
        <v>1.0</v>
      </c>
      <c r="F37" s="22"/>
      <c r="G37" s="22" t="s">
        <v>273</v>
      </c>
      <c r="H37" s="26">
        <v>45998.0</v>
      </c>
      <c r="I37" s="22" t="s">
        <v>134</v>
      </c>
      <c r="J37" s="22" t="s">
        <v>369</v>
      </c>
      <c r="K37" s="22" t="s">
        <v>427</v>
      </c>
      <c r="L37" s="35" t="s">
        <v>3778</v>
      </c>
      <c r="M37" s="32" t="s">
        <v>95</v>
      </c>
    </row>
    <row r="38">
      <c r="A38" s="22" t="s">
        <v>429</v>
      </c>
      <c r="B38" s="22" t="s">
        <v>3779</v>
      </c>
      <c r="C38" s="22" t="s">
        <v>3780</v>
      </c>
      <c r="D38" s="22" t="s">
        <v>96</v>
      </c>
      <c r="E38" s="22">
        <v>1.0</v>
      </c>
      <c r="F38" s="22"/>
      <c r="G38" s="22" t="s">
        <v>202</v>
      </c>
      <c r="H38" s="26">
        <v>45996.0</v>
      </c>
      <c r="I38" s="22"/>
      <c r="J38" s="22" t="s">
        <v>83</v>
      </c>
      <c r="K38" s="22" t="s">
        <v>98</v>
      </c>
      <c r="L38" s="35" t="s">
        <v>3781</v>
      </c>
      <c r="M38" s="32" t="s">
        <v>55</v>
      </c>
    </row>
    <row r="39">
      <c r="A39" s="22" t="s">
        <v>432</v>
      </c>
      <c r="B39" s="22" t="s">
        <v>3782</v>
      </c>
      <c r="C39" s="22" t="s">
        <v>3783</v>
      </c>
      <c r="D39" s="22" t="s">
        <v>415</v>
      </c>
      <c r="E39" s="22">
        <v>1.0</v>
      </c>
      <c r="F39" s="22"/>
      <c r="G39" s="22" t="s">
        <v>82</v>
      </c>
      <c r="H39" s="23">
        <v>46004.0</v>
      </c>
      <c r="I39" s="22" t="s">
        <v>145</v>
      </c>
      <c r="J39" s="22" t="s">
        <v>377</v>
      </c>
      <c r="K39" s="22" t="s">
        <v>419</v>
      </c>
      <c r="L39" s="35" t="s">
        <v>3784</v>
      </c>
      <c r="M39" s="32" t="s">
        <v>91</v>
      </c>
    </row>
    <row r="40">
      <c r="A40" s="22" t="s">
        <v>435</v>
      </c>
      <c r="B40" s="22" t="s">
        <v>3764</v>
      </c>
      <c r="C40" s="22" t="s">
        <v>3785</v>
      </c>
      <c r="D40" s="22" t="s">
        <v>300</v>
      </c>
      <c r="E40" s="22">
        <v>1.0</v>
      </c>
      <c r="F40" s="22"/>
      <c r="G40" s="22" t="s">
        <v>273</v>
      </c>
      <c r="H40" s="26">
        <v>45998.0</v>
      </c>
      <c r="I40" s="22" t="s">
        <v>134</v>
      </c>
      <c r="J40" s="22" t="s">
        <v>303</v>
      </c>
      <c r="K40" s="22" t="s">
        <v>306</v>
      </c>
      <c r="L40" s="35" t="s">
        <v>3786</v>
      </c>
      <c r="M40" s="32" t="s">
        <v>55</v>
      </c>
    </row>
    <row r="41">
      <c r="A41" s="22" t="s">
        <v>452</v>
      </c>
      <c r="B41" s="22" t="s">
        <v>3787</v>
      </c>
      <c r="C41" s="22" t="s">
        <v>3788</v>
      </c>
      <c r="D41" s="22" t="s">
        <v>449</v>
      </c>
      <c r="E41" s="22">
        <v>1.0</v>
      </c>
      <c r="F41" s="22"/>
      <c r="G41" s="22" t="s">
        <v>82</v>
      </c>
      <c r="H41" s="26">
        <v>45997.0</v>
      </c>
      <c r="I41" s="22" t="s">
        <v>134</v>
      </c>
      <c r="J41" s="22" t="s">
        <v>451</v>
      </c>
      <c r="K41" s="22" t="s">
        <v>454</v>
      </c>
      <c r="L41" s="35" t="s">
        <v>3789</v>
      </c>
      <c r="M41" s="32" t="s">
        <v>54</v>
      </c>
    </row>
    <row r="42">
      <c r="A42" s="22" t="s">
        <v>457</v>
      </c>
      <c r="B42" s="22" t="s">
        <v>3790</v>
      </c>
      <c r="C42" s="22" t="s">
        <v>3791</v>
      </c>
      <c r="D42" s="22" t="s">
        <v>80</v>
      </c>
      <c r="E42" s="22">
        <v>1.0</v>
      </c>
      <c r="F42" s="22"/>
      <c r="G42" s="22" t="s">
        <v>273</v>
      </c>
      <c r="H42" s="23">
        <v>45991.0</v>
      </c>
      <c r="I42" s="22"/>
      <c r="J42" s="22" t="s">
        <v>83</v>
      </c>
      <c r="K42" s="22" t="s">
        <v>86</v>
      </c>
      <c r="L42" s="35" t="s">
        <v>3792</v>
      </c>
      <c r="M42" s="32" t="s">
        <v>91</v>
      </c>
    </row>
    <row r="43">
      <c r="A43" s="22" t="s">
        <v>441</v>
      </c>
      <c r="B43" s="22" t="s">
        <v>3793</v>
      </c>
      <c r="C43" s="22" t="s">
        <v>3794</v>
      </c>
      <c r="D43" s="22" t="s">
        <v>437</v>
      </c>
      <c r="E43" s="22">
        <v>1.0</v>
      </c>
      <c r="F43" s="22"/>
      <c r="G43" s="22" t="s">
        <v>273</v>
      </c>
      <c r="H43" s="26">
        <v>45998.0</v>
      </c>
      <c r="I43" s="22" t="s">
        <v>439</v>
      </c>
      <c r="J43" s="22" t="s">
        <v>440</v>
      </c>
      <c r="K43" s="22" t="s">
        <v>443</v>
      </c>
      <c r="L43" s="35" t="s">
        <v>3795</v>
      </c>
      <c r="M43" s="32" t="s">
        <v>91</v>
      </c>
    </row>
    <row r="44">
      <c r="A44" s="22" t="s">
        <v>460</v>
      </c>
      <c r="B44" s="22" t="s">
        <v>3796</v>
      </c>
      <c r="C44" s="22" t="s">
        <v>3797</v>
      </c>
      <c r="D44" s="22" t="s">
        <v>458</v>
      </c>
      <c r="E44" s="22">
        <v>1.0</v>
      </c>
      <c r="F44" s="22"/>
      <c r="G44" s="22" t="s">
        <v>82</v>
      </c>
      <c r="H44" s="26">
        <v>45997.0</v>
      </c>
      <c r="I44" s="22" t="s">
        <v>177</v>
      </c>
      <c r="J44" s="22" t="s">
        <v>341</v>
      </c>
      <c r="K44" s="22" t="s">
        <v>462</v>
      </c>
      <c r="L44" s="35" t="s">
        <v>3798</v>
      </c>
      <c r="M44" s="32" t="s">
        <v>91</v>
      </c>
    </row>
    <row r="45">
      <c r="A45" s="22" t="s">
        <v>465</v>
      </c>
      <c r="B45" s="22" t="s">
        <v>3799</v>
      </c>
      <c r="C45" s="22" t="s">
        <v>3800</v>
      </c>
      <c r="D45" s="22" t="s">
        <v>463</v>
      </c>
      <c r="E45" s="22">
        <v>1.0</v>
      </c>
      <c r="F45" s="22"/>
      <c r="G45" s="22" t="s">
        <v>273</v>
      </c>
      <c r="H45" s="26">
        <v>45998.0</v>
      </c>
      <c r="I45" s="22" t="s">
        <v>149</v>
      </c>
      <c r="J45" s="22" t="s">
        <v>303</v>
      </c>
      <c r="K45" s="22" t="s">
        <v>467</v>
      </c>
      <c r="L45" s="35" t="s">
        <v>3801</v>
      </c>
      <c r="M45" s="32" t="s">
        <v>105</v>
      </c>
    </row>
    <row r="46">
      <c r="A46" s="22" t="s">
        <v>473</v>
      </c>
      <c r="B46" s="22" t="s">
        <v>3802</v>
      </c>
      <c r="C46" s="22" t="s">
        <v>3803</v>
      </c>
      <c r="D46" s="22" t="s">
        <v>470</v>
      </c>
      <c r="E46" s="22">
        <v>1.0</v>
      </c>
      <c r="F46" s="22"/>
      <c r="G46" s="22" t="s">
        <v>82</v>
      </c>
      <c r="H46" s="26">
        <v>45997.0</v>
      </c>
      <c r="I46" s="22" t="s">
        <v>134</v>
      </c>
      <c r="J46" s="22" t="s">
        <v>472</v>
      </c>
      <c r="K46" s="22" t="s">
        <v>475</v>
      </c>
      <c r="L46" s="35" t="s">
        <v>3804</v>
      </c>
      <c r="M46" s="32" t="s">
        <v>91</v>
      </c>
    </row>
    <row r="47">
      <c r="A47" s="22" t="s">
        <v>481</v>
      </c>
      <c r="B47" s="22" t="s">
        <v>3805</v>
      </c>
      <c r="C47" s="22" t="s">
        <v>3806</v>
      </c>
      <c r="D47" s="22" t="s">
        <v>478</v>
      </c>
      <c r="E47" s="22">
        <v>1.0</v>
      </c>
      <c r="F47" s="22"/>
      <c r="G47" s="22" t="s">
        <v>273</v>
      </c>
      <c r="H47" s="26">
        <v>45998.0</v>
      </c>
      <c r="I47" s="22" t="s">
        <v>480</v>
      </c>
      <c r="J47" s="22" t="s">
        <v>472</v>
      </c>
      <c r="K47" s="22" t="s">
        <v>483</v>
      </c>
      <c r="L47" s="35" t="s">
        <v>3807</v>
      </c>
      <c r="M47" s="32" t="s">
        <v>95</v>
      </c>
    </row>
    <row r="48">
      <c r="A48" s="22" t="s">
        <v>485</v>
      </c>
      <c r="B48" s="22" t="s">
        <v>3808</v>
      </c>
      <c r="C48" s="22" t="s">
        <v>3809</v>
      </c>
      <c r="D48" s="22" t="s">
        <v>484</v>
      </c>
      <c r="E48" s="22">
        <v>1.0</v>
      </c>
      <c r="F48" s="22"/>
      <c r="G48" s="22" t="s">
        <v>82</v>
      </c>
      <c r="H48" s="26">
        <v>45997.0</v>
      </c>
      <c r="I48" s="22" t="s">
        <v>149</v>
      </c>
      <c r="J48" s="22" t="s">
        <v>311</v>
      </c>
      <c r="K48" s="22" t="s">
        <v>487</v>
      </c>
      <c r="L48" s="35" t="s">
        <v>3810</v>
      </c>
      <c r="M48" s="32" t="s">
        <v>127</v>
      </c>
    </row>
    <row r="49">
      <c r="A49" s="22" t="s">
        <v>493</v>
      </c>
      <c r="B49" s="22" t="s">
        <v>3811</v>
      </c>
      <c r="C49" s="22" t="s">
        <v>3812</v>
      </c>
      <c r="D49" s="22" t="s">
        <v>470</v>
      </c>
      <c r="E49" s="22">
        <v>1.0</v>
      </c>
      <c r="F49" s="22"/>
      <c r="G49" s="22" t="s">
        <v>82</v>
      </c>
      <c r="H49" s="26">
        <v>45997.0</v>
      </c>
      <c r="I49" s="22" t="s">
        <v>134</v>
      </c>
      <c r="J49" s="22" t="s">
        <v>472</v>
      </c>
      <c r="K49" s="22" t="s">
        <v>475</v>
      </c>
      <c r="L49" s="35" t="s">
        <v>3813</v>
      </c>
      <c r="M49" s="32" t="s">
        <v>91</v>
      </c>
    </row>
    <row r="50">
      <c r="A50" s="22" t="s">
        <v>494</v>
      </c>
      <c r="B50" s="22" t="s">
        <v>3814</v>
      </c>
      <c r="C50" s="22" t="s">
        <v>3815</v>
      </c>
      <c r="D50" s="22" t="s">
        <v>124</v>
      </c>
      <c r="E50" s="22">
        <v>1.0</v>
      </c>
      <c r="F50" s="22"/>
      <c r="G50" s="22" t="s">
        <v>336</v>
      </c>
      <c r="H50" s="26">
        <v>45995.0</v>
      </c>
      <c r="I50" s="22"/>
      <c r="J50" s="22" t="s">
        <v>83</v>
      </c>
      <c r="K50" s="22" t="s">
        <v>126</v>
      </c>
      <c r="L50" s="35" t="s">
        <v>3816</v>
      </c>
      <c r="M50" s="32" t="s">
        <v>127</v>
      </c>
    </row>
    <row r="51">
      <c r="A51" s="22" t="s">
        <v>498</v>
      </c>
      <c r="B51" s="22" t="s">
        <v>3817</v>
      </c>
      <c r="C51" s="22" t="s">
        <v>3818</v>
      </c>
      <c r="D51" s="22" t="s">
        <v>495</v>
      </c>
      <c r="E51" s="22">
        <v>1.0</v>
      </c>
      <c r="F51" s="22"/>
      <c r="G51" s="22" t="s">
        <v>273</v>
      </c>
      <c r="H51" s="23">
        <v>45991.0</v>
      </c>
      <c r="I51" s="22" t="s">
        <v>497</v>
      </c>
      <c r="J51" s="22" t="s">
        <v>329</v>
      </c>
      <c r="K51" s="22" t="s">
        <v>500</v>
      </c>
      <c r="L51" s="35" t="s">
        <v>3819</v>
      </c>
      <c r="M51" s="32" t="s">
        <v>54</v>
      </c>
    </row>
    <row r="52">
      <c r="A52" s="22" t="s">
        <v>501</v>
      </c>
      <c r="B52" s="22" t="s">
        <v>3820</v>
      </c>
      <c r="C52" s="22" t="s">
        <v>3821</v>
      </c>
      <c r="D52" s="22" t="s">
        <v>470</v>
      </c>
      <c r="E52" s="22">
        <v>1.0</v>
      </c>
      <c r="F52" s="22"/>
      <c r="G52" s="22" t="s">
        <v>82</v>
      </c>
      <c r="H52" s="26">
        <v>45997.0</v>
      </c>
      <c r="I52" s="22" t="s">
        <v>134</v>
      </c>
      <c r="J52" s="22" t="s">
        <v>472</v>
      </c>
      <c r="K52" s="22" t="s">
        <v>475</v>
      </c>
      <c r="L52" s="35" t="s">
        <v>3822</v>
      </c>
      <c r="M52" s="32" t="s">
        <v>91</v>
      </c>
    </row>
    <row r="53">
      <c r="A53" s="22" t="s">
        <v>502</v>
      </c>
      <c r="B53" s="22" t="s">
        <v>3725</v>
      </c>
      <c r="C53" s="22" t="s">
        <v>3823</v>
      </c>
      <c r="D53" s="22" t="s">
        <v>99</v>
      </c>
      <c r="E53" s="22">
        <v>1.0</v>
      </c>
      <c r="F53" s="22"/>
      <c r="G53" s="22" t="s">
        <v>202</v>
      </c>
      <c r="H53" s="26">
        <v>45996.0</v>
      </c>
      <c r="I53" s="22"/>
      <c r="J53" s="22" t="s">
        <v>83</v>
      </c>
      <c r="K53" s="22" t="s">
        <v>102</v>
      </c>
      <c r="L53" s="35" t="s">
        <v>3824</v>
      </c>
      <c r="M53" s="32" t="s">
        <v>105</v>
      </c>
    </row>
    <row r="54">
      <c r="A54" s="22" t="s">
        <v>505</v>
      </c>
      <c r="B54" s="22" t="s">
        <v>3825</v>
      </c>
      <c r="C54" s="22" t="s">
        <v>3826</v>
      </c>
      <c r="D54" s="22" t="s">
        <v>503</v>
      </c>
      <c r="E54" s="22">
        <v>1.0</v>
      </c>
      <c r="F54" s="22"/>
      <c r="G54" s="22" t="s">
        <v>82</v>
      </c>
      <c r="H54" s="26">
        <v>45997.0</v>
      </c>
      <c r="I54" s="22" t="s">
        <v>211</v>
      </c>
      <c r="J54" s="22" t="s">
        <v>341</v>
      </c>
      <c r="K54" s="22" t="s">
        <v>507</v>
      </c>
      <c r="L54" s="35" t="s">
        <v>3827</v>
      </c>
      <c r="M54" s="32" t="s">
        <v>54</v>
      </c>
    </row>
    <row r="55">
      <c r="A55" s="22" t="s">
        <v>508</v>
      </c>
      <c r="B55" s="22" t="s">
        <v>3828</v>
      </c>
      <c r="C55" s="22" t="s">
        <v>3829</v>
      </c>
      <c r="D55" s="22" t="s">
        <v>327</v>
      </c>
      <c r="E55" s="22">
        <v>1.0</v>
      </c>
      <c r="F55" s="22"/>
      <c r="G55" s="22" t="s">
        <v>273</v>
      </c>
      <c r="H55" s="23">
        <v>45991.0</v>
      </c>
      <c r="I55" s="22" t="s">
        <v>266</v>
      </c>
      <c r="J55" s="22" t="s">
        <v>329</v>
      </c>
      <c r="K55" s="22" t="s">
        <v>332</v>
      </c>
      <c r="L55" s="35" t="s">
        <v>3830</v>
      </c>
      <c r="M55" s="32" t="s">
        <v>55</v>
      </c>
    </row>
    <row r="56">
      <c r="A56" s="22" t="s">
        <v>510</v>
      </c>
      <c r="B56" s="22" t="s">
        <v>3831</v>
      </c>
      <c r="C56" s="22" t="s">
        <v>3832</v>
      </c>
      <c r="D56" s="22" t="s">
        <v>96</v>
      </c>
      <c r="E56" s="22">
        <v>1.0</v>
      </c>
      <c r="F56" s="22"/>
      <c r="G56" s="22" t="s">
        <v>336</v>
      </c>
      <c r="H56" s="26">
        <v>45995.0</v>
      </c>
      <c r="I56" s="22"/>
      <c r="J56" s="22" t="s">
        <v>83</v>
      </c>
      <c r="K56" s="22" t="s">
        <v>98</v>
      </c>
      <c r="L56" s="35" t="s">
        <v>3833</v>
      </c>
      <c r="M56" s="32" t="s">
        <v>55</v>
      </c>
    </row>
    <row r="57">
      <c r="A57" s="22" t="s">
        <v>513</v>
      </c>
      <c r="B57" s="22" t="s">
        <v>3834</v>
      </c>
      <c r="C57" s="22" t="s">
        <v>3835</v>
      </c>
      <c r="D57" s="22" t="s">
        <v>408</v>
      </c>
      <c r="E57" s="22">
        <v>1.0</v>
      </c>
      <c r="F57" s="22"/>
      <c r="G57" s="22" t="s">
        <v>82</v>
      </c>
      <c r="H57" s="26">
        <v>45997.0</v>
      </c>
      <c r="I57" s="22" t="s">
        <v>153</v>
      </c>
      <c r="J57" s="22" t="s">
        <v>377</v>
      </c>
      <c r="K57" s="22" t="s">
        <v>412</v>
      </c>
      <c r="L57" s="35" t="s">
        <v>3836</v>
      </c>
      <c r="M57" s="32" t="s">
        <v>127</v>
      </c>
    </row>
    <row r="58">
      <c r="A58" s="22" t="s">
        <v>517</v>
      </c>
      <c r="B58" s="22" t="s">
        <v>3837</v>
      </c>
      <c r="C58" s="22" t="s">
        <v>3838</v>
      </c>
      <c r="D58" s="22" t="s">
        <v>515</v>
      </c>
      <c r="E58" s="22">
        <v>1.0</v>
      </c>
      <c r="F58" s="22"/>
      <c r="G58" s="22" t="s">
        <v>273</v>
      </c>
      <c r="H58" s="26">
        <v>45998.0</v>
      </c>
      <c r="I58" s="22" t="s">
        <v>134</v>
      </c>
      <c r="J58" s="22" t="s">
        <v>472</v>
      </c>
      <c r="K58" s="22" t="s">
        <v>519</v>
      </c>
      <c r="L58" s="35" t="s">
        <v>3839</v>
      </c>
      <c r="M58" s="32" t="s">
        <v>55</v>
      </c>
    </row>
    <row r="59">
      <c r="A59" s="22" t="s">
        <v>520</v>
      </c>
      <c r="B59" s="22" t="s">
        <v>3840</v>
      </c>
      <c r="C59" s="22" t="s">
        <v>3841</v>
      </c>
      <c r="D59" s="22" t="s">
        <v>515</v>
      </c>
      <c r="E59" s="22">
        <v>1.0</v>
      </c>
      <c r="F59" s="22"/>
      <c r="G59" s="22" t="s">
        <v>273</v>
      </c>
      <c r="H59" s="26">
        <v>45998.0</v>
      </c>
      <c r="I59" s="22" t="s">
        <v>134</v>
      </c>
      <c r="J59" s="22" t="s">
        <v>472</v>
      </c>
      <c r="K59" s="22" t="s">
        <v>519</v>
      </c>
      <c r="L59" s="35" t="s">
        <v>3842</v>
      </c>
      <c r="M59" s="32" t="s">
        <v>55</v>
      </c>
    </row>
    <row r="60">
      <c r="A60" s="22" t="s">
        <v>100</v>
      </c>
      <c r="B60" s="22" t="s">
        <v>3843</v>
      </c>
      <c r="C60" s="22" t="s">
        <v>3844</v>
      </c>
      <c r="D60" s="22" t="s">
        <v>99</v>
      </c>
      <c r="E60" s="22">
        <v>1.0</v>
      </c>
      <c r="F60" s="22"/>
      <c r="G60" s="22" t="s">
        <v>82</v>
      </c>
      <c r="H60" s="23">
        <v>45990.0</v>
      </c>
      <c r="I60" s="22"/>
      <c r="J60" s="22" t="s">
        <v>83</v>
      </c>
      <c r="K60" s="22" t="s">
        <v>102</v>
      </c>
      <c r="L60" s="35" t="s">
        <v>3845</v>
      </c>
      <c r="M60" s="32" t="s">
        <v>105</v>
      </c>
    </row>
    <row r="61">
      <c r="A61" s="22" t="s">
        <v>523</v>
      </c>
      <c r="B61" s="22" t="s">
        <v>3846</v>
      </c>
      <c r="C61" s="22" t="s">
        <v>3847</v>
      </c>
      <c r="D61" s="22" t="s">
        <v>463</v>
      </c>
      <c r="E61" s="22">
        <v>1.0</v>
      </c>
      <c r="F61" s="22"/>
      <c r="G61" s="22" t="s">
        <v>273</v>
      </c>
      <c r="H61" s="26">
        <v>45998.0</v>
      </c>
      <c r="I61" s="22" t="s">
        <v>522</v>
      </c>
      <c r="J61" s="22" t="s">
        <v>303</v>
      </c>
      <c r="K61" s="22" t="s">
        <v>467</v>
      </c>
      <c r="L61" s="35" t="s">
        <v>3848</v>
      </c>
      <c r="M61" s="32" t="s">
        <v>105</v>
      </c>
    </row>
    <row r="62">
      <c r="A62" s="22" t="s">
        <v>526</v>
      </c>
      <c r="B62" s="22" t="s">
        <v>3849</v>
      </c>
      <c r="C62" s="22" t="s">
        <v>3850</v>
      </c>
      <c r="D62" s="22" t="s">
        <v>525</v>
      </c>
      <c r="E62" s="22">
        <v>1.0</v>
      </c>
      <c r="F62" s="22"/>
      <c r="G62" s="22" t="s">
        <v>82</v>
      </c>
      <c r="H62" s="26">
        <v>45997.0</v>
      </c>
      <c r="I62" s="22" t="s">
        <v>196</v>
      </c>
      <c r="J62" s="22" t="s">
        <v>319</v>
      </c>
      <c r="K62" s="22" t="s">
        <v>528</v>
      </c>
      <c r="L62" s="35" t="s">
        <v>3851</v>
      </c>
      <c r="M62" s="32" t="s">
        <v>105</v>
      </c>
    </row>
    <row r="63">
      <c r="A63" s="22" t="s">
        <v>531</v>
      </c>
      <c r="B63" s="22" t="s">
        <v>3852</v>
      </c>
      <c r="C63" s="22" t="s">
        <v>3853</v>
      </c>
      <c r="D63" s="22" t="s">
        <v>529</v>
      </c>
      <c r="E63" s="22">
        <v>1.0</v>
      </c>
      <c r="F63" s="22"/>
      <c r="G63" s="22" t="s">
        <v>82</v>
      </c>
      <c r="H63" s="26">
        <v>45997.0</v>
      </c>
      <c r="I63" s="22" t="s">
        <v>149</v>
      </c>
      <c r="J63" s="22" t="s">
        <v>472</v>
      </c>
      <c r="K63" s="22" t="s">
        <v>533</v>
      </c>
      <c r="L63" s="35" t="s">
        <v>3854</v>
      </c>
      <c r="M63" s="32" t="s">
        <v>127</v>
      </c>
    </row>
    <row r="64">
      <c r="A64" s="22" t="s">
        <v>536</v>
      </c>
      <c r="B64" s="22" t="s">
        <v>3855</v>
      </c>
      <c r="C64" s="22" t="s">
        <v>3856</v>
      </c>
      <c r="D64" s="22" t="s">
        <v>515</v>
      </c>
      <c r="E64" s="22">
        <v>1.0</v>
      </c>
      <c r="F64" s="22"/>
      <c r="G64" s="22" t="s">
        <v>82</v>
      </c>
      <c r="H64" s="26">
        <v>45997.0</v>
      </c>
      <c r="I64" s="22" t="s">
        <v>149</v>
      </c>
      <c r="J64" s="22" t="s">
        <v>472</v>
      </c>
      <c r="K64" s="22" t="s">
        <v>519</v>
      </c>
      <c r="L64" s="35" t="s">
        <v>3857</v>
      </c>
      <c r="M64" s="32" t="s">
        <v>55</v>
      </c>
    </row>
    <row r="65">
      <c r="A65" s="22" t="s">
        <v>106</v>
      </c>
      <c r="B65" s="22" t="s">
        <v>3858</v>
      </c>
      <c r="C65" s="22" t="s">
        <v>3859</v>
      </c>
      <c r="D65" s="22" t="s">
        <v>80</v>
      </c>
      <c r="E65" s="22">
        <v>1.0</v>
      </c>
      <c r="F65" s="22"/>
      <c r="G65" s="22" t="s">
        <v>82</v>
      </c>
      <c r="H65" s="23">
        <v>45990.0</v>
      </c>
      <c r="I65" s="22"/>
      <c r="J65" s="22" t="s">
        <v>83</v>
      </c>
      <c r="K65" s="22" t="s">
        <v>86</v>
      </c>
      <c r="L65" s="35" t="s">
        <v>3860</v>
      </c>
      <c r="M65" s="32" t="s">
        <v>91</v>
      </c>
    </row>
    <row r="66">
      <c r="A66" s="22" t="s">
        <v>540</v>
      </c>
      <c r="B66" s="22" t="s">
        <v>3861</v>
      </c>
      <c r="C66" s="22" t="s">
        <v>3862</v>
      </c>
      <c r="D66" s="22" t="s">
        <v>538</v>
      </c>
      <c r="E66" s="22">
        <v>1.0</v>
      </c>
      <c r="F66" s="22"/>
      <c r="G66" s="22" t="s">
        <v>273</v>
      </c>
      <c r="H66" s="26">
        <v>45998.0</v>
      </c>
      <c r="I66" s="22" t="s">
        <v>149</v>
      </c>
      <c r="J66" s="22" t="s">
        <v>369</v>
      </c>
      <c r="K66" s="22" t="s">
        <v>542</v>
      </c>
      <c r="L66" s="35" t="s">
        <v>3863</v>
      </c>
      <c r="M66" s="32" t="s">
        <v>91</v>
      </c>
    </row>
    <row r="67">
      <c r="A67" s="22" t="s">
        <v>543</v>
      </c>
      <c r="B67" s="22" t="s">
        <v>3686</v>
      </c>
      <c r="C67" s="22" t="s">
        <v>3864</v>
      </c>
      <c r="D67" s="22" t="s">
        <v>386</v>
      </c>
      <c r="E67" s="22">
        <v>1.0</v>
      </c>
      <c r="F67" s="22"/>
      <c r="G67" s="22" t="s">
        <v>82</v>
      </c>
      <c r="H67" s="26">
        <v>45997.0</v>
      </c>
      <c r="I67" s="22" t="s">
        <v>134</v>
      </c>
      <c r="J67" s="22" t="s">
        <v>311</v>
      </c>
      <c r="K67" s="22" t="s">
        <v>390</v>
      </c>
      <c r="L67" s="35" t="s">
        <v>3865</v>
      </c>
      <c r="M67" s="32" t="s">
        <v>55</v>
      </c>
    </row>
    <row r="68">
      <c r="A68" s="22" t="s">
        <v>547</v>
      </c>
      <c r="B68" s="22" t="s">
        <v>3866</v>
      </c>
      <c r="C68" s="22" t="s">
        <v>3867</v>
      </c>
      <c r="D68" s="22" t="s">
        <v>545</v>
      </c>
      <c r="E68" s="22">
        <v>1.0</v>
      </c>
      <c r="F68" s="22"/>
      <c r="G68" s="22" t="s">
        <v>273</v>
      </c>
      <c r="H68" s="23">
        <v>45991.0</v>
      </c>
      <c r="I68" s="22" t="s">
        <v>480</v>
      </c>
      <c r="J68" s="22" t="s">
        <v>356</v>
      </c>
      <c r="K68" s="22" t="s">
        <v>549</v>
      </c>
      <c r="L68" s="35" t="s">
        <v>3868</v>
      </c>
      <c r="M68" s="32" t="s">
        <v>55</v>
      </c>
    </row>
    <row r="69">
      <c r="A69" s="22" t="s">
        <v>551</v>
      </c>
      <c r="B69" s="22" t="s">
        <v>3869</v>
      </c>
      <c r="C69" s="22" t="s">
        <v>3870</v>
      </c>
      <c r="D69" s="22" t="s">
        <v>550</v>
      </c>
      <c r="E69" s="22">
        <v>1.0</v>
      </c>
      <c r="F69" s="22"/>
      <c r="G69" s="22" t="s">
        <v>82</v>
      </c>
      <c r="H69" s="26">
        <v>45997.0</v>
      </c>
      <c r="I69" s="22" t="s">
        <v>149</v>
      </c>
      <c r="J69" s="22" t="s">
        <v>377</v>
      </c>
      <c r="K69" s="22" t="s">
        <v>552</v>
      </c>
      <c r="L69" s="35" t="s">
        <v>3871</v>
      </c>
      <c r="M69" s="32" t="s">
        <v>95</v>
      </c>
    </row>
    <row r="70">
      <c r="A70" s="22" t="s">
        <v>553</v>
      </c>
      <c r="B70" s="22" t="s">
        <v>3872</v>
      </c>
      <c r="C70" s="22" t="s">
        <v>3873</v>
      </c>
      <c r="D70" s="22" t="s">
        <v>276</v>
      </c>
      <c r="E70" s="22">
        <v>1.0</v>
      </c>
      <c r="F70" s="22"/>
      <c r="G70" s="22" t="s">
        <v>82</v>
      </c>
      <c r="H70" s="26">
        <v>45997.0</v>
      </c>
      <c r="I70" s="22" t="s">
        <v>138</v>
      </c>
      <c r="J70" s="22" t="s">
        <v>278</v>
      </c>
      <c r="K70" s="22" t="s">
        <v>281</v>
      </c>
      <c r="L70" s="35" t="s">
        <v>3874</v>
      </c>
      <c r="M70" s="32" t="s">
        <v>55</v>
      </c>
    </row>
    <row r="71">
      <c r="A71" s="22" t="s">
        <v>555</v>
      </c>
      <c r="B71" s="22" t="s">
        <v>3875</v>
      </c>
      <c r="C71" s="22" t="s">
        <v>3876</v>
      </c>
      <c r="D71" s="22" t="s">
        <v>545</v>
      </c>
      <c r="E71" s="22">
        <v>1.0</v>
      </c>
      <c r="F71" s="22"/>
      <c r="G71" s="22" t="s">
        <v>273</v>
      </c>
      <c r="H71" s="23">
        <v>45991.0</v>
      </c>
      <c r="I71" s="22" t="s">
        <v>480</v>
      </c>
      <c r="J71" s="22" t="s">
        <v>356</v>
      </c>
      <c r="K71" s="22" t="s">
        <v>549</v>
      </c>
      <c r="L71" s="35" t="s">
        <v>3877</v>
      </c>
      <c r="M71" s="32" t="s">
        <v>55</v>
      </c>
    </row>
    <row r="72">
      <c r="A72" s="22" t="s">
        <v>558</v>
      </c>
      <c r="B72" s="22" t="s">
        <v>3878</v>
      </c>
      <c r="C72" s="22" t="s">
        <v>3879</v>
      </c>
      <c r="D72" s="22" t="s">
        <v>488</v>
      </c>
      <c r="E72" s="22">
        <v>1.0</v>
      </c>
      <c r="F72" s="22"/>
      <c r="G72" s="22" t="s">
        <v>82</v>
      </c>
      <c r="H72" s="26">
        <v>45997.0</v>
      </c>
      <c r="I72" s="22" t="s">
        <v>248</v>
      </c>
      <c r="J72" s="22" t="s">
        <v>311</v>
      </c>
      <c r="K72" s="22" t="s">
        <v>492</v>
      </c>
      <c r="L72" s="35" t="s">
        <v>3880</v>
      </c>
      <c r="M72" s="32" t="s">
        <v>95</v>
      </c>
    </row>
    <row r="73">
      <c r="A73" s="22" t="s">
        <v>561</v>
      </c>
      <c r="B73" s="22" t="s">
        <v>3793</v>
      </c>
      <c r="C73" s="22" t="s">
        <v>3881</v>
      </c>
      <c r="D73" s="22" t="s">
        <v>560</v>
      </c>
      <c r="E73" s="22">
        <v>1.0</v>
      </c>
      <c r="F73" s="22"/>
      <c r="G73" s="22" t="s">
        <v>273</v>
      </c>
      <c r="H73" s="23">
        <v>45991.0</v>
      </c>
      <c r="I73" s="22" t="s">
        <v>149</v>
      </c>
      <c r="J73" s="22" t="s">
        <v>356</v>
      </c>
      <c r="K73" s="22" t="s">
        <v>563</v>
      </c>
      <c r="L73" s="35" t="s">
        <v>3882</v>
      </c>
      <c r="M73" s="32" t="s">
        <v>91</v>
      </c>
    </row>
    <row r="74">
      <c r="A74" s="22" t="s">
        <v>567</v>
      </c>
      <c r="B74" s="22" t="s">
        <v>3883</v>
      </c>
      <c r="C74" s="22" t="s">
        <v>3884</v>
      </c>
      <c r="D74" s="22" t="s">
        <v>347</v>
      </c>
      <c r="E74" s="22">
        <v>1.0</v>
      </c>
      <c r="F74" s="22"/>
      <c r="G74" s="22" t="s">
        <v>82</v>
      </c>
      <c r="H74" s="26">
        <v>45997.0</v>
      </c>
      <c r="I74" s="22" t="s">
        <v>138</v>
      </c>
      <c r="J74" s="22" t="s">
        <v>278</v>
      </c>
      <c r="K74" s="22" t="s">
        <v>350</v>
      </c>
      <c r="L74" s="35" t="s">
        <v>3885</v>
      </c>
      <c r="M74" s="32" t="s">
        <v>127</v>
      </c>
    </row>
    <row r="75">
      <c r="A75" s="22" t="s">
        <v>107</v>
      </c>
      <c r="B75" s="22" t="s">
        <v>3886</v>
      </c>
      <c r="C75" s="22" t="s">
        <v>3887</v>
      </c>
      <c r="D75" s="22" t="s">
        <v>96</v>
      </c>
      <c r="E75" s="22">
        <v>1.0</v>
      </c>
      <c r="F75" s="22"/>
      <c r="G75" s="22" t="s">
        <v>82</v>
      </c>
      <c r="H75" s="23">
        <v>45990.0</v>
      </c>
      <c r="I75" s="22"/>
      <c r="J75" s="22" t="s">
        <v>83</v>
      </c>
      <c r="K75" s="22" t="s">
        <v>98</v>
      </c>
      <c r="L75" s="35" t="s">
        <v>3888</v>
      </c>
      <c r="M75" s="32" t="s">
        <v>55</v>
      </c>
    </row>
    <row r="76">
      <c r="A76" s="22" t="s">
        <v>570</v>
      </c>
      <c r="B76" s="22" t="s">
        <v>3889</v>
      </c>
      <c r="C76" s="22" t="s">
        <v>3890</v>
      </c>
      <c r="D76" s="22" t="s">
        <v>569</v>
      </c>
      <c r="E76" s="22">
        <v>1.0</v>
      </c>
      <c r="F76" s="22"/>
      <c r="G76" s="22" t="s">
        <v>273</v>
      </c>
      <c r="H76" s="26">
        <v>45998.0</v>
      </c>
      <c r="I76" s="22" t="s">
        <v>134</v>
      </c>
      <c r="J76" s="22" t="s">
        <v>472</v>
      </c>
      <c r="K76" s="22" t="s">
        <v>571</v>
      </c>
      <c r="L76" s="35" t="s">
        <v>3891</v>
      </c>
      <c r="M76" s="32" t="s">
        <v>105</v>
      </c>
    </row>
    <row r="77">
      <c r="A77" s="22" t="s">
        <v>572</v>
      </c>
      <c r="B77" s="22" t="s">
        <v>3892</v>
      </c>
      <c r="C77" s="22" t="s">
        <v>3893</v>
      </c>
      <c r="D77" s="22" t="s">
        <v>529</v>
      </c>
      <c r="E77" s="22">
        <v>1.0</v>
      </c>
      <c r="F77" s="22"/>
      <c r="G77" s="22" t="s">
        <v>273</v>
      </c>
      <c r="H77" s="26">
        <v>45998.0</v>
      </c>
      <c r="I77" s="22" t="s">
        <v>134</v>
      </c>
      <c r="J77" s="22" t="s">
        <v>472</v>
      </c>
      <c r="K77" s="22" t="s">
        <v>533</v>
      </c>
      <c r="L77" s="35" t="s">
        <v>3894</v>
      </c>
      <c r="M77" s="32" t="s">
        <v>127</v>
      </c>
    </row>
    <row r="78">
      <c r="A78" s="22" t="s">
        <v>575</v>
      </c>
      <c r="B78" s="22" t="s">
        <v>3895</v>
      </c>
      <c r="C78" s="22" t="s">
        <v>3896</v>
      </c>
      <c r="D78" s="22" t="s">
        <v>573</v>
      </c>
      <c r="E78" s="22">
        <v>1.0</v>
      </c>
      <c r="F78" s="22"/>
      <c r="G78" s="22" t="s">
        <v>273</v>
      </c>
      <c r="H78" s="26">
        <v>45998.0</v>
      </c>
      <c r="I78" s="22" t="s">
        <v>187</v>
      </c>
      <c r="J78" s="22" t="s">
        <v>440</v>
      </c>
      <c r="K78" s="22" t="s">
        <v>577</v>
      </c>
      <c r="L78" s="35" t="s">
        <v>3897</v>
      </c>
      <c r="M78" s="32" t="s">
        <v>55</v>
      </c>
    </row>
    <row r="79">
      <c r="A79" s="22" t="s">
        <v>579</v>
      </c>
      <c r="B79" s="22" t="s">
        <v>3898</v>
      </c>
      <c r="C79" s="22" t="s">
        <v>3899</v>
      </c>
      <c r="D79" s="22" t="s">
        <v>347</v>
      </c>
      <c r="E79" s="22">
        <v>1.0</v>
      </c>
      <c r="F79" s="22"/>
      <c r="G79" s="22" t="s">
        <v>82</v>
      </c>
      <c r="H79" s="26">
        <v>45997.0</v>
      </c>
      <c r="I79" s="22" t="s">
        <v>187</v>
      </c>
      <c r="J79" s="22" t="s">
        <v>278</v>
      </c>
      <c r="K79" s="22" t="s">
        <v>350</v>
      </c>
      <c r="L79" s="35" t="s">
        <v>3900</v>
      </c>
      <c r="M79" s="32" t="s">
        <v>127</v>
      </c>
    </row>
    <row r="80">
      <c r="A80" s="22" t="s">
        <v>581</v>
      </c>
      <c r="B80" s="22" t="s">
        <v>3901</v>
      </c>
      <c r="C80" s="22" t="s">
        <v>3902</v>
      </c>
      <c r="D80" s="22" t="s">
        <v>580</v>
      </c>
      <c r="E80" s="22">
        <v>1.0</v>
      </c>
      <c r="F80" s="22"/>
      <c r="G80" s="22" t="s">
        <v>273</v>
      </c>
      <c r="H80" s="26">
        <v>45998.0</v>
      </c>
      <c r="I80" s="22" t="s">
        <v>134</v>
      </c>
      <c r="J80" s="22" t="s">
        <v>303</v>
      </c>
      <c r="K80" s="22" t="s">
        <v>583</v>
      </c>
      <c r="L80" s="35" t="s">
        <v>3903</v>
      </c>
      <c r="M80" s="32" t="s">
        <v>175</v>
      </c>
    </row>
    <row r="81">
      <c r="A81" s="22" t="s">
        <v>585</v>
      </c>
      <c r="B81" s="22" t="s">
        <v>3808</v>
      </c>
      <c r="C81" s="22" t="s">
        <v>3904</v>
      </c>
      <c r="D81" s="22" t="s">
        <v>584</v>
      </c>
      <c r="E81" s="22">
        <v>1.0</v>
      </c>
      <c r="F81" s="22"/>
      <c r="G81" s="22" t="s">
        <v>82</v>
      </c>
      <c r="H81" s="26">
        <v>45997.0</v>
      </c>
      <c r="I81" s="22" t="s">
        <v>153</v>
      </c>
      <c r="J81" s="22" t="s">
        <v>377</v>
      </c>
      <c r="K81" s="22" t="s">
        <v>586</v>
      </c>
      <c r="L81" s="35" t="s">
        <v>3905</v>
      </c>
      <c r="M81" s="32" t="s">
        <v>105</v>
      </c>
    </row>
    <row r="82">
      <c r="A82" s="22" t="s">
        <v>588</v>
      </c>
      <c r="B82" s="22" t="s">
        <v>3906</v>
      </c>
      <c r="C82" s="22" t="s">
        <v>3907</v>
      </c>
      <c r="D82" s="22" t="s">
        <v>538</v>
      </c>
      <c r="E82" s="22">
        <v>1.0</v>
      </c>
      <c r="F82" s="22"/>
      <c r="G82" s="22" t="s">
        <v>273</v>
      </c>
      <c r="H82" s="26">
        <v>45998.0</v>
      </c>
      <c r="I82" s="22" t="s">
        <v>153</v>
      </c>
      <c r="J82" s="22" t="s">
        <v>369</v>
      </c>
      <c r="K82" s="22" t="s">
        <v>542</v>
      </c>
      <c r="L82" s="35" t="s">
        <v>3908</v>
      </c>
      <c r="M82" s="32" t="s">
        <v>91</v>
      </c>
    </row>
    <row r="83">
      <c r="A83" s="22" t="s">
        <v>590</v>
      </c>
      <c r="B83" s="22" t="s">
        <v>3909</v>
      </c>
      <c r="C83" s="22" t="s">
        <v>3910</v>
      </c>
      <c r="D83" s="22" t="s">
        <v>185</v>
      </c>
      <c r="E83" s="22">
        <v>1.0</v>
      </c>
      <c r="F83" s="22"/>
      <c r="G83" s="22" t="s">
        <v>82</v>
      </c>
      <c r="H83" s="26">
        <v>45997.0</v>
      </c>
      <c r="I83" s="22" t="s">
        <v>187</v>
      </c>
      <c r="J83" s="22" t="s">
        <v>111</v>
      </c>
      <c r="K83" s="22" t="s">
        <v>190</v>
      </c>
      <c r="L83" s="35" t="s">
        <v>3911</v>
      </c>
      <c r="M83" s="32" t="s">
        <v>95</v>
      </c>
    </row>
    <row r="84">
      <c r="A84" s="22" t="s">
        <v>591</v>
      </c>
      <c r="B84" s="22" t="s">
        <v>3912</v>
      </c>
      <c r="C84" s="22" t="s">
        <v>3913</v>
      </c>
      <c r="D84" s="22" t="s">
        <v>92</v>
      </c>
      <c r="E84" s="22">
        <v>1.0</v>
      </c>
      <c r="F84" s="22"/>
      <c r="G84" s="22" t="s">
        <v>82</v>
      </c>
      <c r="H84" s="26">
        <v>45997.0</v>
      </c>
      <c r="I84" s="22"/>
      <c r="J84" s="22" t="s">
        <v>83</v>
      </c>
      <c r="K84" s="22" t="s">
        <v>94</v>
      </c>
      <c r="L84" s="35" t="s">
        <v>3914</v>
      </c>
      <c r="M84" s="32" t="s">
        <v>95</v>
      </c>
    </row>
    <row r="85">
      <c r="A85" s="22" t="s">
        <v>593</v>
      </c>
      <c r="B85" s="22" t="s">
        <v>3915</v>
      </c>
      <c r="C85" s="22" t="s">
        <v>3916</v>
      </c>
      <c r="D85" s="22" t="s">
        <v>592</v>
      </c>
      <c r="E85" s="22">
        <v>1.0</v>
      </c>
      <c r="F85" s="22"/>
      <c r="G85" s="22" t="s">
        <v>82</v>
      </c>
      <c r="H85" s="26">
        <v>45997.0</v>
      </c>
      <c r="I85" s="22" t="s">
        <v>149</v>
      </c>
      <c r="J85" s="22" t="s">
        <v>311</v>
      </c>
      <c r="K85" s="22" t="s">
        <v>594</v>
      </c>
      <c r="L85" s="35" t="s">
        <v>3917</v>
      </c>
      <c r="M85" s="32" t="s">
        <v>54</v>
      </c>
    </row>
    <row r="86">
      <c r="A86" s="22" t="s">
        <v>597</v>
      </c>
      <c r="B86" s="22" t="s">
        <v>3918</v>
      </c>
      <c r="C86" s="22" t="s">
        <v>3919</v>
      </c>
      <c r="D86" s="22" t="s">
        <v>595</v>
      </c>
      <c r="E86" s="22">
        <v>1.0</v>
      </c>
      <c r="F86" s="22"/>
      <c r="G86" s="22" t="s">
        <v>273</v>
      </c>
      <c r="H86" s="26">
        <v>45998.0</v>
      </c>
      <c r="I86" s="22" t="s">
        <v>266</v>
      </c>
      <c r="J86" s="22" t="s">
        <v>369</v>
      </c>
      <c r="K86" s="22" t="s">
        <v>599</v>
      </c>
      <c r="L86" s="35" t="s">
        <v>3920</v>
      </c>
      <c r="M86" s="32" t="s">
        <v>127</v>
      </c>
    </row>
    <row r="87">
      <c r="A87" s="22" t="s">
        <v>606</v>
      </c>
      <c r="B87" s="22" t="s">
        <v>3921</v>
      </c>
      <c r="C87" s="22" t="s">
        <v>3922</v>
      </c>
      <c r="D87" s="22" t="s">
        <v>602</v>
      </c>
      <c r="E87" s="22">
        <v>1.0</v>
      </c>
      <c r="F87" s="22"/>
      <c r="G87" s="22" t="s">
        <v>287</v>
      </c>
      <c r="H87" s="26">
        <v>45994.0</v>
      </c>
      <c r="I87" s="22" t="s">
        <v>604</v>
      </c>
      <c r="J87" s="22" t="s">
        <v>605</v>
      </c>
      <c r="K87" s="22" t="s">
        <v>608</v>
      </c>
      <c r="L87" s="35" t="s">
        <v>3923</v>
      </c>
      <c r="M87" s="32" t="s">
        <v>54</v>
      </c>
    </row>
    <row r="88">
      <c r="A88" s="22" t="s">
        <v>612</v>
      </c>
      <c r="B88" s="22" t="s">
        <v>3840</v>
      </c>
      <c r="C88" s="22" t="s">
        <v>3924</v>
      </c>
      <c r="D88" s="22" t="s">
        <v>611</v>
      </c>
      <c r="E88" s="22">
        <v>1.0</v>
      </c>
      <c r="F88" s="22"/>
      <c r="G88" s="22" t="s">
        <v>273</v>
      </c>
      <c r="H88" s="26">
        <v>45998.0</v>
      </c>
      <c r="I88" s="22" t="s">
        <v>134</v>
      </c>
      <c r="J88" s="22" t="s">
        <v>369</v>
      </c>
      <c r="K88" s="22" t="s">
        <v>613</v>
      </c>
      <c r="L88" s="35" t="s">
        <v>3925</v>
      </c>
      <c r="M88" s="32" t="s">
        <v>105</v>
      </c>
    </row>
    <row r="89">
      <c r="A89" s="22" t="s">
        <v>615</v>
      </c>
      <c r="B89" s="22" t="s">
        <v>3926</v>
      </c>
      <c r="C89" s="22" t="s">
        <v>3927</v>
      </c>
      <c r="D89" s="22" t="s">
        <v>92</v>
      </c>
      <c r="E89" s="22">
        <v>1.0</v>
      </c>
      <c r="F89" s="22"/>
      <c r="G89" s="22" t="s">
        <v>82</v>
      </c>
      <c r="H89" s="26">
        <v>45998.0</v>
      </c>
      <c r="I89" s="22"/>
      <c r="J89" s="22" t="s">
        <v>83</v>
      </c>
      <c r="K89" s="22" t="s">
        <v>94</v>
      </c>
      <c r="L89" s="35" t="s">
        <v>3928</v>
      </c>
      <c r="M89" s="32" t="s">
        <v>95</v>
      </c>
    </row>
    <row r="90">
      <c r="A90" s="22" t="s">
        <v>616</v>
      </c>
      <c r="B90" s="22" t="s">
        <v>3929</v>
      </c>
      <c r="C90" s="22" t="s">
        <v>3930</v>
      </c>
      <c r="D90" s="22" t="s">
        <v>96</v>
      </c>
      <c r="E90" s="22">
        <v>1.0</v>
      </c>
      <c r="F90" s="22"/>
      <c r="G90" s="22" t="s">
        <v>202</v>
      </c>
      <c r="H90" s="26">
        <v>45996.0</v>
      </c>
      <c r="I90" s="22"/>
      <c r="J90" s="22" t="s">
        <v>83</v>
      </c>
      <c r="K90" s="22" t="s">
        <v>98</v>
      </c>
      <c r="L90" s="35" t="s">
        <v>3931</v>
      </c>
      <c r="M90" s="32" t="s">
        <v>55</v>
      </c>
    </row>
    <row r="91">
      <c r="A91" s="22" t="s">
        <v>617</v>
      </c>
      <c r="B91" s="22" t="s">
        <v>3932</v>
      </c>
      <c r="C91" s="22" t="s">
        <v>3933</v>
      </c>
      <c r="D91" s="22" t="s">
        <v>99</v>
      </c>
      <c r="E91" s="22">
        <v>1.0</v>
      </c>
      <c r="F91" s="22"/>
      <c r="G91" s="22" t="s">
        <v>273</v>
      </c>
      <c r="H91" s="26">
        <v>45998.0</v>
      </c>
      <c r="I91" s="22"/>
      <c r="J91" s="22" t="s">
        <v>83</v>
      </c>
      <c r="K91" s="22" t="s">
        <v>102</v>
      </c>
      <c r="L91" s="35" t="s">
        <v>3934</v>
      </c>
      <c r="M91" s="32" t="s">
        <v>105</v>
      </c>
    </row>
    <row r="92">
      <c r="A92" s="22" t="s">
        <v>619</v>
      </c>
      <c r="B92" s="22" t="s">
        <v>3935</v>
      </c>
      <c r="C92" s="22" t="s">
        <v>3936</v>
      </c>
      <c r="D92" s="22" t="s">
        <v>80</v>
      </c>
      <c r="E92" s="22">
        <v>1.0</v>
      </c>
      <c r="F92" s="22"/>
      <c r="G92" s="22" t="s">
        <v>82</v>
      </c>
      <c r="H92" s="26">
        <v>45997.0</v>
      </c>
      <c r="I92" s="22"/>
      <c r="J92" s="22" t="s">
        <v>83</v>
      </c>
      <c r="K92" s="22" t="s">
        <v>86</v>
      </c>
      <c r="L92" s="35" t="s">
        <v>3937</v>
      </c>
      <c r="M92" s="32" t="s">
        <v>91</v>
      </c>
    </row>
    <row r="93">
      <c r="A93" s="22" t="s">
        <v>641</v>
      </c>
      <c r="B93" s="22" t="s">
        <v>3938</v>
      </c>
      <c r="C93" s="22" t="s">
        <v>3939</v>
      </c>
      <c r="D93" s="22" t="s">
        <v>640</v>
      </c>
      <c r="E93" s="22">
        <v>1.0</v>
      </c>
      <c r="F93" s="22"/>
      <c r="G93" s="22" t="s">
        <v>273</v>
      </c>
      <c r="H93" s="23">
        <v>45991.0</v>
      </c>
      <c r="I93" s="22" t="s">
        <v>149</v>
      </c>
      <c r="J93" s="22" t="s">
        <v>356</v>
      </c>
      <c r="K93" s="22" t="s">
        <v>642</v>
      </c>
      <c r="L93" s="35" t="s">
        <v>3940</v>
      </c>
      <c r="M93" s="32" t="s">
        <v>95</v>
      </c>
    </row>
    <row r="94">
      <c r="A94" s="22" t="s">
        <v>624</v>
      </c>
      <c r="B94" s="22" t="s">
        <v>3895</v>
      </c>
      <c r="C94" s="22" t="s">
        <v>3941</v>
      </c>
      <c r="D94" s="22" t="s">
        <v>620</v>
      </c>
      <c r="E94" s="22">
        <v>1.0</v>
      </c>
      <c r="F94" s="22"/>
      <c r="G94" s="22" t="s">
        <v>273</v>
      </c>
      <c r="H94" s="26">
        <v>45998.0</v>
      </c>
      <c r="I94" s="22" t="s">
        <v>622</v>
      </c>
      <c r="J94" s="22" t="s">
        <v>623</v>
      </c>
      <c r="K94" s="22" t="s">
        <v>626</v>
      </c>
      <c r="L94" s="35" t="s">
        <v>3942</v>
      </c>
      <c r="M94" s="32" t="s">
        <v>54</v>
      </c>
    </row>
    <row r="95">
      <c r="A95" s="22" t="s">
        <v>630</v>
      </c>
      <c r="B95" s="22" t="s">
        <v>3943</v>
      </c>
      <c r="C95" s="22" t="s">
        <v>3944</v>
      </c>
      <c r="D95" s="22" t="s">
        <v>158</v>
      </c>
      <c r="E95" s="22">
        <v>1.0</v>
      </c>
      <c r="F95" s="22"/>
      <c r="G95" s="22" t="s">
        <v>82</v>
      </c>
      <c r="H95" s="26">
        <v>45997.0</v>
      </c>
      <c r="I95" s="22" t="s">
        <v>230</v>
      </c>
      <c r="J95" s="22" t="s">
        <v>111</v>
      </c>
      <c r="K95" s="22" t="s">
        <v>163</v>
      </c>
      <c r="L95" s="35" t="s">
        <v>3945</v>
      </c>
      <c r="M95" s="32" t="s">
        <v>127</v>
      </c>
    </row>
    <row r="96">
      <c r="A96" s="22" t="s">
        <v>635</v>
      </c>
      <c r="B96" s="22" t="s">
        <v>3946</v>
      </c>
      <c r="C96" s="22" t="s">
        <v>3947</v>
      </c>
      <c r="D96" s="22" t="s">
        <v>632</v>
      </c>
      <c r="E96" s="22">
        <v>1.0</v>
      </c>
      <c r="F96" s="22"/>
      <c r="G96" s="22" t="s">
        <v>82</v>
      </c>
      <c r="H96" s="26">
        <v>45997.0</v>
      </c>
      <c r="I96" s="22" t="s">
        <v>168</v>
      </c>
      <c r="J96" s="22" t="s">
        <v>634</v>
      </c>
      <c r="K96" s="22" t="s">
        <v>637</v>
      </c>
      <c r="L96" s="35" t="s">
        <v>3948</v>
      </c>
      <c r="M96" s="32" t="s">
        <v>91</v>
      </c>
    </row>
    <row r="97">
      <c r="A97" s="22" t="s">
        <v>645</v>
      </c>
      <c r="B97" s="22" t="s">
        <v>3820</v>
      </c>
      <c r="C97" s="22" t="s">
        <v>3949</v>
      </c>
      <c r="D97" s="22" t="s">
        <v>643</v>
      </c>
      <c r="E97" s="22">
        <v>1.0</v>
      </c>
      <c r="F97" s="22"/>
      <c r="G97" s="22" t="s">
        <v>287</v>
      </c>
      <c r="H97" s="23">
        <v>46001.0</v>
      </c>
      <c r="I97" s="22" t="s">
        <v>219</v>
      </c>
      <c r="J97" s="22" t="s">
        <v>634</v>
      </c>
      <c r="K97" s="22" t="s">
        <v>647</v>
      </c>
      <c r="L97" s="35" t="s">
        <v>3950</v>
      </c>
      <c r="M97" s="32" t="s">
        <v>54</v>
      </c>
    </row>
    <row r="98">
      <c r="A98" s="22" t="s">
        <v>648</v>
      </c>
      <c r="B98" s="22" t="s">
        <v>3951</v>
      </c>
      <c r="C98" s="22" t="s">
        <v>3952</v>
      </c>
      <c r="D98" s="22" t="s">
        <v>550</v>
      </c>
      <c r="E98" s="22">
        <v>1.0</v>
      </c>
      <c r="F98" s="22"/>
      <c r="G98" s="22" t="s">
        <v>82</v>
      </c>
      <c r="H98" s="26">
        <v>45997.0</v>
      </c>
      <c r="I98" s="22" t="s">
        <v>153</v>
      </c>
      <c r="J98" s="22" t="s">
        <v>377</v>
      </c>
      <c r="K98" s="22" t="s">
        <v>552</v>
      </c>
      <c r="L98" s="35" t="s">
        <v>3953</v>
      </c>
      <c r="M98" s="32" t="s">
        <v>95</v>
      </c>
    </row>
    <row r="99">
      <c r="A99" s="22" t="s">
        <v>654</v>
      </c>
      <c r="B99" s="22" t="s">
        <v>3734</v>
      </c>
      <c r="C99" s="22" t="s">
        <v>3954</v>
      </c>
      <c r="D99" s="22" t="s">
        <v>550</v>
      </c>
      <c r="E99" s="22">
        <v>1.0</v>
      </c>
      <c r="F99" s="22"/>
      <c r="G99" s="22" t="s">
        <v>82</v>
      </c>
      <c r="H99" s="26">
        <v>45997.0</v>
      </c>
      <c r="I99" s="22" t="s">
        <v>138</v>
      </c>
      <c r="J99" s="22" t="s">
        <v>377</v>
      </c>
      <c r="K99" s="22" t="s">
        <v>552</v>
      </c>
      <c r="L99" s="35" t="s">
        <v>3955</v>
      </c>
      <c r="M99" s="32" t="s">
        <v>95</v>
      </c>
    </row>
    <row r="100">
      <c r="A100" s="22" t="s">
        <v>660</v>
      </c>
      <c r="B100" s="22" t="s">
        <v>3956</v>
      </c>
      <c r="C100" s="22" t="s">
        <v>3957</v>
      </c>
      <c r="D100" s="22" t="s">
        <v>658</v>
      </c>
      <c r="E100" s="22">
        <v>1.0</v>
      </c>
      <c r="F100" s="22"/>
      <c r="G100" s="22" t="s">
        <v>82</v>
      </c>
      <c r="H100" s="23">
        <v>46004.0</v>
      </c>
      <c r="I100" s="22" t="s">
        <v>187</v>
      </c>
      <c r="J100" s="22" t="s">
        <v>341</v>
      </c>
      <c r="K100" s="22" t="s">
        <v>662</v>
      </c>
      <c r="L100" s="35" t="s">
        <v>3958</v>
      </c>
      <c r="M100" s="32" t="s">
        <v>95</v>
      </c>
    </row>
    <row r="101">
      <c r="A101" s="22" t="s">
        <v>681</v>
      </c>
      <c r="B101" s="22" t="s">
        <v>3959</v>
      </c>
      <c r="C101" s="22" t="s">
        <v>3960</v>
      </c>
      <c r="D101" s="22" t="s">
        <v>679</v>
      </c>
      <c r="E101" s="22">
        <v>1.0</v>
      </c>
      <c r="F101" s="22"/>
      <c r="G101" s="22" t="s">
        <v>82</v>
      </c>
      <c r="H101" s="26">
        <v>45997.0</v>
      </c>
      <c r="I101" s="22" t="s">
        <v>219</v>
      </c>
      <c r="J101" s="22" t="s">
        <v>111</v>
      </c>
      <c r="K101" s="22" t="s">
        <v>683</v>
      </c>
      <c r="L101" s="35" t="s">
        <v>3961</v>
      </c>
      <c r="M101" s="32" t="s">
        <v>105</v>
      </c>
    </row>
    <row r="102">
      <c r="A102" s="22" t="s">
        <v>650</v>
      </c>
      <c r="B102" s="22" t="s">
        <v>3962</v>
      </c>
      <c r="C102" s="22" t="s">
        <v>3963</v>
      </c>
      <c r="D102" s="22" t="s">
        <v>649</v>
      </c>
      <c r="E102" s="22">
        <v>1.0</v>
      </c>
      <c r="F102" s="22"/>
      <c r="G102" s="22" t="s">
        <v>82</v>
      </c>
      <c r="H102" s="26">
        <v>45997.0</v>
      </c>
      <c r="I102" s="22" t="s">
        <v>196</v>
      </c>
      <c r="J102" s="22" t="s">
        <v>319</v>
      </c>
      <c r="K102" s="22" t="s">
        <v>651</v>
      </c>
      <c r="L102" s="35" t="s">
        <v>3964</v>
      </c>
      <c r="M102" s="32" t="s">
        <v>91</v>
      </c>
    </row>
    <row r="103">
      <c r="A103" s="22" t="s">
        <v>656</v>
      </c>
      <c r="B103" s="22" t="s">
        <v>3965</v>
      </c>
      <c r="C103" s="22" t="s">
        <v>3693</v>
      </c>
      <c r="D103" s="22" t="s">
        <v>339</v>
      </c>
      <c r="E103" s="22">
        <v>1.0</v>
      </c>
      <c r="F103" s="22"/>
      <c r="G103" s="22" t="s">
        <v>82</v>
      </c>
      <c r="H103" s="26">
        <v>45997.0</v>
      </c>
      <c r="I103" s="22" t="s">
        <v>187</v>
      </c>
      <c r="J103" s="22" t="s">
        <v>341</v>
      </c>
      <c r="K103" s="22" t="s">
        <v>344</v>
      </c>
      <c r="L103" s="35" t="s">
        <v>3966</v>
      </c>
      <c r="M103" s="32" t="s">
        <v>55</v>
      </c>
    </row>
    <row r="104">
      <c r="A104" s="22" t="s">
        <v>652</v>
      </c>
      <c r="B104" s="22" t="s">
        <v>3967</v>
      </c>
      <c r="C104" s="22" t="s">
        <v>3968</v>
      </c>
      <c r="D104" s="22" t="s">
        <v>595</v>
      </c>
      <c r="E104" s="22">
        <v>1.0</v>
      </c>
      <c r="F104" s="22"/>
      <c r="G104" s="22" t="s">
        <v>273</v>
      </c>
      <c r="H104" s="26">
        <v>45998.0</v>
      </c>
      <c r="I104" s="22" t="s">
        <v>153</v>
      </c>
      <c r="J104" s="22" t="s">
        <v>369</v>
      </c>
      <c r="K104" s="22" t="s">
        <v>599</v>
      </c>
      <c r="L104" s="35" t="s">
        <v>3969</v>
      </c>
      <c r="M104" s="32" t="s">
        <v>127</v>
      </c>
    </row>
    <row r="105">
      <c r="A105" s="22" t="s">
        <v>663</v>
      </c>
      <c r="B105" s="22" t="s">
        <v>3970</v>
      </c>
      <c r="C105" s="22" t="s">
        <v>3971</v>
      </c>
      <c r="D105" s="22" t="s">
        <v>92</v>
      </c>
      <c r="E105" s="22">
        <v>1.0</v>
      </c>
      <c r="F105" s="22"/>
      <c r="G105" s="22" t="s">
        <v>82</v>
      </c>
      <c r="H105" s="26">
        <v>45997.0</v>
      </c>
      <c r="I105" s="22"/>
      <c r="J105" s="22" t="s">
        <v>83</v>
      </c>
      <c r="K105" s="22" t="s">
        <v>94</v>
      </c>
      <c r="L105" s="35" t="s">
        <v>3972</v>
      </c>
      <c r="M105" s="32" t="s">
        <v>95</v>
      </c>
    </row>
    <row r="106">
      <c r="A106" s="22" t="s">
        <v>112</v>
      </c>
      <c r="B106" s="22" t="s">
        <v>3973</v>
      </c>
      <c r="C106" s="22" t="s">
        <v>3974</v>
      </c>
      <c r="D106" s="22" t="s">
        <v>108</v>
      </c>
      <c r="E106" s="22">
        <v>1.0</v>
      </c>
      <c r="F106" s="22"/>
      <c r="G106" s="22" t="s">
        <v>82</v>
      </c>
      <c r="H106" s="23">
        <v>45990.0</v>
      </c>
      <c r="I106" s="22" t="s">
        <v>110</v>
      </c>
      <c r="J106" s="22" t="s">
        <v>111</v>
      </c>
      <c r="K106" s="22" t="s">
        <v>114</v>
      </c>
      <c r="L106" s="35" t="s">
        <v>3975</v>
      </c>
      <c r="M106" s="32" t="s">
        <v>54</v>
      </c>
    </row>
    <row r="107">
      <c r="A107" s="22" t="s">
        <v>666</v>
      </c>
      <c r="B107" s="22" t="s">
        <v>3674</v>
      </c>
      <c r="C107" s="22" t="s">
        <v>3976</v>
      </c>
      <c r="D107" s="22" t="s">
        <v>664</v>
      </c>
      <c r="E107" s="22">
        <v>1.0</v>
      </c>
      <c r="F107" s="22"/>
      <c r="G107" s="22" t="s">
        <v>82</v>
      </c>
      <c r="H107" s="26">
        <v>45997.0</v>
      </c>
      <c r="I107" s="22" t="s">
        <v>196</v>
      </c>
      <c r="J107" s="22" t="s">
        <v>472</v>
      </c>
      <c r="K107" s="22" t="s">
        <v>668</v>
      </c>
      <c r="L107" s="35" t="s">
        <v>3977</v>
      </c>
      <c r="M107" s="32" t="s">
        <v>175</v>
      </c>
    </row>
    <row r="108">
      <c r="A108" s="22" t="s">
        <v>117</v>
      </c>
      <c r="B108" s="22" t="s">
        <v>3978</v>
      </c>
      <c r="C108" s="22" t="s">
        <v>3979</v>
      </c>
      <c r="D108" s="22" t="s">
        <v>96</v>
      </c>
      <c r="E108" s="22">
        <v>1.0</v>
      </c>
      <c r="F108" s="22"/>
      <c r="G108" s="22" t="s">
        <v>82</v>
      </c>
      <c r="H108" s="23">
        <v>45990.0</v>
      </c>
      <c r="I108" s="22"/>
      <c r="J108" s="22" t="s">
        <v>83</v>
      </c>
      <c r="K108" s="22" t="s">
        <v>98</v>
      </c>
      <c r="L108" s="35" t="s">
        <v>3980</v>
      </c>
      <c r="M108" s="32" t="s">
        <v>55</v>
      </c>
    </row>
    <row r="109">
      <c r="A109" s="22" t="s">
        <v>669</v>
      </c>
      <c r="B109" s="22" t="s">
        <v>3981</v>
      </c>
      <c r="C109" s="22" t="s">
        <v>3982</v>
      </c>
      <c r="D109" s="22" t="s">
        <v>550</v>
      </c>
      <c r="E109" s="22">
        <v>1.0</v>
      </c>
      <c r="F109" s="22"/>
      <c r="G109" s="22" t="s">
        <v>82</v>
      </c>
      <c r="H109" s="26">
        <v>45997.0</v>
      </c>
      <c r="I109" s="22" t="s">
        <v>153</v>
      </c>
      <c r="J109" s="22" t="s">
        <v>377</v>
      </c>
      <c r="K109" s="22" t="s">
        <v>552</v>
      </c>
      <c r="L109" s="35" t="s">
        <v>3983</v>
      </c>
      <c r="M109" s="32" t="s">
        <v>95</v>
      </c>
    </row>
    <row r="110">
      <c r="A110" s="22" t="s">
        <v>674</v>
      </c>
      <c r="B110" s="22" t="s">
        <v>3984</v>
      </c>
      <c r="C110" s="22" t="s">
        <v>3985</v>
      </c>
      <c r="D110" s="22" t="s">
        <v>367</v>
      </c>
      <c r="E110" s="22">
        <v>1.0</v>
      </c>
      <c r="F110" s="22"/>
      <c r="G110" s="22" t="s">
        <v>273</v>
      </c>
      <c r="H110" s="26">
        <v>45998.0</v>
      </c>
      <c r="I110" s="22" t="s">
        <v>248</v>
      </c>
      <c r="J110" s="22" t="s">
        <v>369</v>
      </c>
      <c r="K110" s="22" t="s">
        <v>372</v>
      </c>
      <c r="L110" s="35" t="s">
        <v>3986</v>
      </c>
      <c r="M110" s="32" t="s">
        <v>55</v>
      </c>
    </row>
    <row r="111">
      <c r="A111" s="22" t="s">
        <v>671</v>
      </c>
      <c r="B111" s="22" t="s">
        <v>3959</v>
      </c>
      <c r="C111" s="22" t="s">
        <v>3987</v>
      </c>
      <c r="D111" s="22" t="s">
        <v>386</v>
      </c>
      <c r="E111" s="22">
        <v>1.0</v>
      </c>
      <c r="F111" s="22"/>
      <c r="G111" s="22" t="s">
        <v>273</v>
      </c>
      <c r="H111" s="26">
        <v>45998.0</v>
      </c>
      <c r="I111" s="22" t="s">
        <v>196</v>
      </c>
      <c r="J111" s="22" t="s">
        <v>311</v>
      </c>
      <c r="K111" s="22" t="s">
        <v>390</v>
      </c>
      <c r="L111" s="35" t="s">
        <v>3988</v>
      </c>
      <c r="M111" s="32" t="s">
        <v>55</v>
      </c>
    </row>
    <row r="112">
      <c r="A112" s="22" t="s">
        <v>676</v>
      </c>
      <c r="B112" s="22" t="s">
        <v>3989</v>
      </c>
      <c r="C112" s="22" t="s">
        <v>3990</v>
      </c>
      <c r="D112" s="22" t="s">
        <v>166</v>
      </c>
      <c r="E112" s="22">
        <v>1.0</v>
      </c>
      <c r="F112" s="22"/>
      <c r="G112" s="22" t="s">
        <v>82</v>
      </c>
      <c r="H112" s="26">
        <v>45997.0</v>
      </c>
      <c r="I112" s="22" t="s">
        <v>187</v>
      </c>
      <c r="J112" s="22" t="s">
        <v>111</v>
      </c>
      <c r="K112" s="22" t="s">
        <v>171</v>
      </c>
      <c r="L112" s="35" t="s">
        <v>3991</v>
      </c>
      <c r="M112" s="32" t="s">
        <v>55</v>
      </c>
    </row>
    <row r="113">
      <c r="A113" s="22" t="s">
        <v>677</v>
      </c>
      <c r="B113" s="22" t="s">
        <v>3992</v>
      </c>
      <c r="C113" s="22" t="s">
        <v>3993</v>
      </c>
      <c r="D113" s="22" t="s">
        <v>96</v>
      </c>
      <c r="E113" s="22">
        <v>1.0</v>
      </c>
      <c r="F113" s="22"/>
      <c r="G113" s="22" t="s">
        <v>273</v>
      </c>
      <c r="H113" s="26">
        <v>45998.0</v>
      </c>
      <c r="I113" s="22"/>
      <c r="J113" s="22" t="s">
        <v>83</v>
      </c>
      <c r="K113" s="22" t="s">
        <v>98</v>
      </c>
      <c r="L113" s="35" t="s">
        <v>3994</v>
      </c>
      <c r="M113" s="32" t="s">
        <v>55</v>
      </c>
    </row>
    <row r="114">
      <c r="A114" s="22" t="s">
        <v>699</v>
      </c>
      <c r="B114" s="22" t="s">
        <v>3995</v>
      </c>
      <c r="C114" s="22" t="s">
        <v>3996</v>
      </c>
      <c r="D114" s="22" t="s">
        <v>696</v>
      </c>
      <c r="E114" s="22">
        <v>1.0</v>
      </c>
      <c r="F114" s="22"/>
      <c r="G114" s="22" t="s">
        <v>82</v>
      </c>
      <c r="H114" s="26">
        <v>45997.0</v>
      </c>
      <c r="I114" s="22" t="s">
        <v>439</v>
      </c>
      <c r="J114" s="22" t="s">
        <v>698</v>
      </c>
      <c r="K114" s="22" t="s">
        <v>701</v>
      </c>
      <c r="L114" s="35" t="s">
        <v>3997</v>
      </c>
      <c r="M114" s="32" t="s">
        <v>55</v>
      </c>
    </row>
    <row r="115">
      <c r="A115" s="22" t="s">
        <v>678</v>
      </c>
      <c r="B115" s="22" t="s">
        <v>3855</v>
      </c>
      <c r="C115" s="22" t="s">
        <v>3998</v>
      </c>
      <c r="D115" s="22" t="s">
        <v>92</v>
      </c>
      <c r="E115" s="22">
        <v>1.0</v>
      </c>
      <c r="F115" s="22"/>
      <c r="G115" s="22" t="s">
        <v>202</v>
      </c>
      <c r="H115" s="26">
        <v>45996.0</v>
      </c>
      <c r="I115" s="22"/>
      <c r="J115" s="22" t="s">
        <v>83</v>
      </c>
      <c r="K115" s="22" t="s">
        <v>94</v>
      </c>
      <c r="L115" s="35" t="s">
        <v>3999</v>
      </c>
      <c r="M115" s="32" t="s">
        <v>95</v>
      </c>
    </row>
    <row r="116">
      <c r="A116" s="22" t="s">
        <v>718</v>
      </c>
      <c r="B116" s="22" t="s">
        <v>4000</v>
      </c>
      <c r="C116" s="22" t="s">
        <v>4001</v>
      </c>
      <c r="D116" s="22" t="s">
        <v>714</v>
      </c>
      <c r="E116" s="22">
        <v>1.0</v>
      </c>
      <c r="F116" s="22"/>
      <c r="G116" s="22" t="s">
        <v>273</v>
      </c>
      <c r="H116" s="26">
        <v>45998.0</v>
      </c>
      <c r="I116" s="22" t="s">
        <v>716</v>
      </c>
      <c r="J116" s="22" t="s">
        <v>717</v>
      </c>
      <c r="K116" s="22" t="s">
        <v>720</v>
      </c>
      <c r="L116" s="35" t="s">
        <v>4002</v>
      </c>
      <c r="M116" s="32" t="s">
        <v>55</v>
      </c>
    </row>
    <row r="117">
      <c r="A117" s="22" t="s">
        <v>684</v>
      </c>
      <c r="B117" s="22" t="s">
        <v>3840</v>
      </c>
      <c r="C117" s="22" t="s">
        <v>4003</v>
      </c>
      <c r="D117" s="22" t="s">
        <v>185</v>
      </c>
      <c r="E117" s="22">
        <v>1.0</v>
      </c>
      <c r="F117" s="22"/>
      <c r="G117" s="22" t="s">
        <v>82</v>
      </c>
      <c r="H117" s="26">
        <v>45997.0</v>
      </c>
      <c r="I117" s="22" t="s">
        <v>187</v>
      </c>
      <c r="J117" s="22" t="s">
        <v>111</v>
      </c>
      <c r="K117" s="22" t="s">
        <v>190</v>
      </c>
      <c r="L117" s="35" t="s">
        <v>4004</v>
      </c>
      <c r="M117" s="32" t="s">
        <v>95</v>
      </c>
    </row>
    <row r="118">
      <c r="A118" s="22" t="s">
        <v>685</v>
      </c>
      <c r="B118" s="22" t="s">
        <v>4005</v>
      </c>
      <c r="C118" s="22" t="s">
        <v>4006</v>
      </c>
      <c r="D118" s="22" t="s">
        <v>80</v>
      </c>
      <c r="E118" s="22">
        <v>1.0</v>
      </c>
      <c r="F118" s="22"/>
      <c r="G118" s="22" t="s">
        <v>336</v>
      </c>
      <c r="H118" s="26">
        <v>45995.0</v>
      </c>
      <c r="I118" s="22"/>
      <c r="J118" s="22" t="s">
        <v>83</v>
      </c>
      <c r="K118" s="22" t="s">
        <v>86</v>
      </c>
      <c r="L118" s="35" t="s">
        <v>4007</v>
      </c>
      <c r="M118" s="32" t="s">
        <v>91</v>
      </c>
    </row>
    <row r="119">
      <c r="A119" s="22" t="s">
        <v>687</v>
      </c>
      <c r="B119" s="22" t="s">
        <v>4008</v>
      </c>
      <c r="C119" s="22" t="s">
        <v>4009</v>
      </c>
      <c r="D119" s="22" t="s">
        <v>686</v>
      </c>
      <c r="E119" s="22">
        <v>1.0</v>
      </c>
      <c r="F119" s="22"/>
      <c r="G119" s="22" t="s">
        <v>82</v>
      </c>
      <c r="H119" s="26">
        <v>45997.0</v>
      </c>
      <c r="I119" s="22" t="s">
        <v>134</v>
      </c>
      <c r="J119" s="22" t="s">
        <v>451</v>
      </c>
      <c r="K119" s="22" t="s">
        <v>688</v>
      </c>
      <c r="L119" s="35" t="s">
        <v>4010</v>
      </c>
      <c r="M119" s="32" t="s">
        <v>91</v>
      </c>
    </row>
    <row r="120">
      <c r="A120" s="22" t="s">
        <v>690</v>
      </c>
      <c r="B120" s="22" t="s">
        <v>4011</v>
      </c>
      <c r="C120" s="22" t="s">
        <v>4012</v>
      </c>
      <c r="D120" s="22" t="s">
        <v>689</v>
      </c>
      <c r="E120" s="22">
        <v>1.0</v>
      </c>
      <c r="F120" s="22"/>
      <c r="G120" s="22" t="s">
        <v>82</v>
      </c>
      <c r="H120" s="26">
        <v>45997.0</v>
      </c>
      <c r="I120" s="22" t="s">
        <v>153</v>
      </c>
      <c r="J120" s="22" t="s">
        <v>377</v>
      </c>
      <c r="K120" s="22" t="s">
        <v>691</v>
      </c>
      <c r="L120" s="35" t="s">
        <v>4013</v>
      </c>
      <c r="M120" s="32" t="s">
        <v>175</v>
      </c>
    </row>
    <row r="121">
      <c r="A121" s="22" t="s">
        <v>120</v>
      </c>
      <c r="B121" s="22" t="s">
        <v>4014</v>
      </c>
      <c r="C121" s="22" t="s">
        <v>4015</v>
      </c>
      <c r="D121" s="22" t="s">
        <v>108</v>
      </c>
      <c r="E121" s="22">
        <v>1.0</v>
      </c>
      <c r="F121" s="22"/>
      <c r="G121" s="22" t="s">
        <v>82</v>
      </c>
      <c r="H121" s="23">
        <v>45990.0</v>
      </c>
      <c r="I121" s="22" t="s">
        <v>119</v>
      </c>
      <c r="J121" s="22" t="s">
        <v>111</v>
      </c>
      <c r="K121" s="22" t="s">
        <v>114</v>
      </c>
      <c r="L121" s="35" t="s">
        <v>4016</v>
      </c>
      <c r="M121" s="32" t="s">
        <v>54</v>
      </c>
    </row>
    <row r="122">
      <c r="A122" s="22" t="s">
        <v>693</v>
      </c>
      <c r="B122" s="22" t="s">
        <v>4008</v>
      </c>
      <c r="C122" s="22" t="s">
        <v>4017</v>
      </c>
      <c r="D122" s="22" t="s">
        <v>692</v>
      </c>
      <c r="E122" s="22">
        <v>1.0</v>
      </c>
      <c r="F122" s="22"/>
      <c r="G122" s="22" t="s">
        <v>273</v>
      </c>
      <c r="H122" s="26">
        <v>45998.0</v>
      </c>
      <c r="I122" s="22" t="s">
        <v>134</v>
      </c>
      <c r="J122" s="22" t="s">
        <v>369</v>
      </c>
      <c r="K122" s="22" t="s">
        <v>694</v>
      </c>
      <c r="L122" s="35" t="s">
        <v>4018</v>
      </c>
      <c r="M122" s="32" t="s">
        <v>54</v>
      </c>
    </row>
    <row r="123">
      <c r="A123" s="22" t="s">
        <v>695</v>
      </c>
      <c r="B123" s="22" t="s">
        <v>4019</v>
      </c>
      <c r="C123" s="22" t="s">
        <v>4020</v>
      </c>
      <c r="D123" s="22" t="s">
        <v>375</v>
      </c>
      <c r="E123" s="22">
        <v>1.0</v>
      </c>
      <c r="F123" s="22"/>
      <c r="G123" s="22" t="s">
        <v>82</v>
      </c>
      <c r="H123" s="26">
        <v>45997.0</v>
      </c>
      <c r="I123" s="22" t="s">
        <v>153</v>
      </c>
      <c r="J123" s="22" t="s">
        <v>377</v>
      </c>
      <c r="K123" s="22" t="s">
        <v>380</v>
      </c>
      <c r="L123" s="35" t="s">
        <v>4021</v>
      </c>
      <c r="M123" s="32" t="s">
        <v>55</v>
      </c>
    </row>
    <row r="124">
      <c r="A124" s="22" t="s">
        <v>4022</v>
      </c>
      <c r="B124" s="22" t="s">
        <v>4023</v>
      </c>
      <c r="C124" s="22" t="s">
        <v>4024</v>
      </c>
      <c r="D124" s="22" t="s">
        <v>4025</v>
      </c>
      <c r="E124" s="22">
        <v>1.0</v>
      </c>
      <c r="F124" s="22"/>
      <c r="G124" s="22" t="s">
        <v>294</v>
      </c>
      <c r="H124" s="26">
        <v>45999.0</v>
      </c>
      <c r="I124" s="22" t="s">
        <v>196</v>
      </c>
      <c r="J124" s="22" t="s">
        <v>4026</v>
      </c>
      <c r="K124" s="22" t="s">
        <v>4027</v>
      </c>
      <c r="L124" s="35" t="s">
        <v>4028</v>
      </c>
      <c r="M124" s="32" t="s">
        <v>55</v>
      </c>
    </row>
    <row r="125">
      <c r="A125" s="22" t="s">
        <v>704</v>
      </c>
      <c r="B125" s="22" t="s">
        <v>4029</v>
      </c>
      <c r="C125" s="22" t="s">
        <v>4030</v>
      </c>
      <c r="D125" s="22" t="s">
        <v>640</v>
      </c>
      <c r="E125" s="22">
        <v>1.0</v>
      </c>
      <c r="F125" s="22"/>
      <c r="G125" s="22" t="s">
        <v>273</v>
      </c>
      <c r="H125" s="23">
        <v>45991.0</v>
      </c>
      <c r="I125" s="22" t="s">
        <v>149</v>
      </c>
      <c r="J125" s="22" t="s">
        <v>356</v>
      </c>
      <c r="K125" s="22" t="s">
        <v>642</v>
      </c>
      <c r="L125" s="35" t="s">
        <v>4031</v>
      </c>
      <c r="M125" s="32" t="s">
        <v>95</v>
      </c>
    </row>
    <row r="126">
      <c r="A126" s="22" t="s">
        <v>706</v>
      </c>
      <c r="B126" s="22" t="s">
        <v>4032</v>
      </c>
      <c r="C126" s="22" t="s">
        <v>4033</v>
      </c>
      <c r="D126" s="22" t="s">
        <v>408</v>
      </c>
      <c r="E126" s="22">
        <v>1.0</v>
      </c>
      <c r="F126" s="22"/>
      <c r="G126" s="22" t="s">
        <v>82</v>
      </c>
      <c r="H126" s="26">
        <v>45997.0</v>
      </c>
      <c r="I126" s="22" t="s">
        <v>266</v>
      </c>
      <c r="J126" s="22" t="s">
        <v>377</v>
      </c>
      <c r="K126" s="22" t="s">
        <v>412</v>
      </c>
      <c r="L126" s="35" t="s">
        <v>4034</v>
      </c>
      <c r="M126" s="32" t="s">
        <v>127</v>
      </c>
    </row>
    <row r="127">
      <c r="A127" s="22" t="s">
        <v>708</v>
      </c>
      <c r="B127" s="22" t="s">
        <v>4035</v>
      </c>
      <c r="C127" s="22" t="s">
        <v>4036</v>
      </c>
      <c r="D127" s="22" t="s">
        <v>99</v>
      </c>
      <c r="E127" s="22">
        <v>1.0</v>
      </c>
      <c r="F127" s="22"/>
      <c r="G127" s="22" t="s">
        <v>273</v>
      </c>
      <c r="H127" s="26">
        <v>45998.0</v>
      </c>
      <c r="I127" s="22"/>
      <c r="J127" s="22" t="s">
        <v>83</v>
      </c>
      <c r="K127" s="22" t="s">
        <v>102</v>
      </c>
      <c r="L127" s="35" t="s">
        <v>4037</v>
      </c>
      <c r="M127" s="32" t="s">
        <v>105</v>
      </c>
    </row>
    <row r="128">
      <c r="A128" s="22" t="s">
        <v>711</v>
      </c>
      <c r="B128" s="22" t="s">
        <v>4038</v>
      </c>
      <c r="C128" s="22" t="s">
        <v>4039</v>
      </c>
      <c r="D128" s="22" t="s">
        <v>709</v>
      </c>
      <c r="E128" s="22">
        <v>1.0</v>
      </c>
      <c r="F128" s="22"/>
      <c r="G128" s="22" t="s">
        <v>82</v>
      </c>
      <c r="H128" s="26">
        <v>45997.0</v>
      </c>
      <c r="I128" s="22" t="s">
        <v>196</v>
      </c>
      <c r="J128" s="22" t="s">
        <v>311</v>
      </c>
      <c r="K128" s="22" t="s">
        <v>713</v>
      </c>
      <c r="L128" s="35" t="s">
        <v>4040</v>
      </c>
      <c r="M128" s="32" t="s">
        <v>91</v>
      </c>
    </row>
    <row r="129">
      <c r="A129" s="22" t="s">
        <v>4041</v>
      </c>
      <c r="B129" s="22" t="s">
        <v>4042</v>
      </c>
      <c r="C129" s="22" t="s">
        <v>4043</v>
      </c>
      <c r="D129" s="22" t="s">
        <v>4044</v>
      </c>
      <c r="E129" s="22">
        <v>1.0</v>
      </c>
      <c r="F129" s="22"/>
      <c r="G129" s="22" t="s">
        <v>1284</v>
      </c>
      <c r="H129" s="26">
        <v>46000.0</v>
      </c>
      <c r="I129" s="22" t="s">
        <v>981</v>
      </c>
      <c r="J129" s="22" t="s">
        <v>4045</v>
      </c>
      <c r="K129" s="22" t="s">
        <v>4046</v>
      </c>
      <c r="L129" s="35" t="s">
        <v>4047</v>
      </c>
      <c r="M129" s="32" t="s">
        <v>55</v>
      </c>
    </row>
    <row r="130">
      <c r="A130" s="22" t="s">
        <v>723</v>
      </c>
      <c r="B130" s="22" t="s">
        <v>4048</v>
      </c>
      <c r="C130" s="22" t="s">
        <v>4049</v>
      </c>
      <c r="D130" s="22" t="s">
        <v>401</v>
      </c>
      <c r="E130" s="22">
        <v>1.0</v>
      </c>
      <c r="F130" s="22"/>
      <c r="G130" s="22" t="s">
        <v>82</v>
      </c>
      <c r="H130" s="26">
        <v>45997.0</v>
      </c>
      <c r="I130" s="22" t="s">
        <v>196</v>
      </c>
      <c r="J130" s="22" t="s">
        <v>319</v>
      </c>
      <c r="K130" s="22" t="s">
        <v>403</v>
      </c>
      <c r="L130" s="35" t="s">
        <v>4050</v>
      </c>
      <c r="M130" s="32" t="s">
        <v>127</v>
      </c>
    </row>
    <row r="131">
      <c r="A131" s="22" t="s">
        <v>725</v>
      </c>
      <c r="B131" s="22" t="s">
        <v>3938</v>
      </c>
      <c r="C131" s="22" t="s">
        <v>4051</v>
      </c>
      <c r="D131" s="22" t="s">
        <v>724</v>
      </c>
      <c r="E131" s="22">
        <v>1.0</v>
      </c>
      <c r="F131" s="22"/>
      <c r="G131" s="22" t="s">
        <v>82</v>
      </c>
      <c r="H131" s="26">
        <v>45997.0</v>
      </c>
      <c r="I131" s="22" t="s">
        <v>196</v>
      </c>
      <c r="J131" s="22" t="s">
        <v>319</v>
      </c>
      <c r="K131" s="22" t="s">
        <v>726</v>
      </c>
      <c r="L131" s="35" t="s">
        <v>4052</v>
      </c>
      <c r="M131" s="32" t="s">
        <v>95</v>
      </c>
    </row>
    <row r="132">
      <c r="A132" s="22" t="s">
        <v>727</v>
      </c>
      <c r="B132" s="22" t="s">
        <v>4053</v>
      </c>
      <c r="C132" s="22" t="s">
        <v>4054</v>
      </c>
      <c r="D132" s="22" t="s">
        <v>569</v>
      </c>
      <c r="E132" s="22">
        <v>1.0</v>
      </c>
      <c r="F132" s="22"/>
      <c r="G132" s="22" t="s">
        <v>82</v>
      </c>
      <c r="H132" s="26">
        <v>45997.0</v>
      </c>
      <c r="I132" s="22" t="s">
        <v>134</v>
      </c>
      <c r="J132" s="22" t="s">
        <v>472</v>
      </c>
      <c r="K132" s="22" t="s">
        <v>571</v>
      </c>
      <c r="L132" s="35" t="s">
        <v>4055</v>
      </c>
      <c r="M132" s="32" t="s">
        <v>105</v>
      </c>
    </row>
    <row r="133">
      <c r="A133" s="22" t="s">
        <v>731</v>
      </c>
      <c r="B133" s="22" t="s">
        <v>3692</v>
      </c>
      <c r="C133" s="22" t="s">
        <v>4056</v>
      </c>
      <c r="D133" s="22" t="s">
        <v>92</v>
      </c>
      <c r="E133" s="22">
        <v>1.0</v>
      </c>
      <c r="F133" s="22"/>
      <c r="G133" s="22" t="s">
        <v>82</v>
      </c>
      <c r="H133" s="26">
        <v>45997.0</v>
      </c>
      <c r="I133" s="22"/>
      <c r="J133" s="22" t="s">
        <v>83</v>
      </c>
      <c r="K133" s="22" t="s">
        <v>94</v>
      </c>
      <c r="L133" s="35" t="s">
        <v>4057</v>
      </c>
      <c r="M133" s="32" t="s">
        <v>95</v>
      </c>
    </row>
    <row r="134">
      <c r="A134" s="22" t="s">
        <v>779</v>
      </c>
      <c r="B134" s="22" t="s">
        <v>3828</v>
      </c>
      <c r="C134" s="22" t="s">
        <v>4058</v>
      </c>
      <c r="D134" s="22" t="s">
        <v>778</v>
      </c>
      <c r="E134" s="22">
        <v>1.0</v>
      </c>
      <c r="F134" s="22"/>
      <c r="G134" s="22" t="s">
        <v>273</v>
      </c>
      <c r="H134" s="26">
        <v>45998.0</v>
      </c>
      <c r="I134" s="22" t="s">
        <v>187</v>
      </c>
      <c r="J134" s="22" t="s">
        <v>440</v>
      </c>
      <c r="K134" s="22" t="s">
        <v>780</v>
      </c>
      <c r="L134" s="35" t="s">
        <v>4059</v>
      </c>
      <c r="M134" s="32" t="s">
        <v>127</v>
      </c>
    </row>
    <row r="135">
      <c r="A135" s="22" t="s">
        <v>742</v>
      </c>
      <c r="B135" s="22" t="s">
        <v>4060</v>
      </c>
      <c r="C135" s="22" t="s">
        <v>4061</v>
      </c>
      <c r="D135" s="22" t="s">
        <v>740</v>
      </c>
      <c r="E135" s="22">
        <v>1.0</v>
      </c>
      <c r="F135" s="22"/>
      <c r="G135" s="22" t="s">
        <v>273</v>
      </c>
      <c r="H135" s="26">
        <v>45998.0</v>
      </c>
      <c r="I135" s="22" t="s">
        <v>134</v>
      </c>
      <c r="J135" s="22" t="s">
        <v>303</v>
      </c>
      <c r="K135" s="22" t="s">
        <v>744</v>
      </c>
      <c r="L135" s="35" t="s">
        <v>4062</v>
      </c>
      <c r="M135" s="32" t="s">
        <v>91</v>
      </c>
    </row>
    <row r="136">
      <c r="A136" s="22" t="s">
        <v>746</v>
      </c>
      <c r="B136" s="22" t="s">
        <v>4063</v>
      </c>
      <c r="C136" s="22" t="s">
        <v>4064</v>
      </c>
      <c r="D136" s="22" t="s">
        <v>745</v>
      </c>
      <c r="E136" s="22">
        <v>1.0</v>
      </c>
      <c r="F136" s="22"/>
      <c r="G136" s="22" t="s">
        <v>82</v>
      </c>
      <c r="H136" s="26">
        <v>45997.0</v>
      </c>
      <c r="I136" s="22" t="s">
        <v>196</v>
      </c>
      <c r="J136" s="22" t="s">
        <v>311</v>
      </c>
      <c r="K136" s="22" t="s">
        <v>747</v>
      </c>
      <c r="L136" s="35" t="s">
        <v>4065</v>
      </c>
      <c r="M136" s="32" t="s">
        <v>175</v>
      </c>
    </row>
    <row r="137">
      <c r="A137" s="22" t="s">
        <v>750</v>
      </c>
      <c r="B137" s="22" t="s">
        <v>3992</v>
      </c>
      <c r="C137" s="22" t="s">
        <v>4066</v>
      </c>
      <c r="D137" s="22" t="s">
        <v>602</v>
      </c>
      <c r="E137" s="22">
        <v>1.0</v>
      </c>
      <c r="F137" s="22"/>
      <c r="G137" s="22" t="s">
        <v>287</v>
      </c>
      <c r="H137" s="26">
        <v>45994.0</v>
      </c>
      <c r="I137" s="22" t="s">
        <v>749</v>
      </c>
      <c r="J137" s="22" t="s">
        <v>605</v>
      </c>
      <c r="K137" s="22" t="s">
        <v>608</v>
      </c>
      <c r="L137" s="35" t="s">
        <v>4067</v>
      </c>
      <c r="M137" s="32" t="s">
        <v>54</v>
      </c>
    </row>
    <row r="138">
      <c r="A138" s="22" t="s">
        <v>753</v>
      </c>
      <c r="B138" s="22" t="s">
        <v>4068</v>
      </c>
      <c r="C138" s="22" t="s">
        <v>4069</v>
      </c>
      <c r="D138" s="22" t="s">
        <v>752</v>
      </c>
      <c r="E138" s="22">
        <v>1.0</v>
      </c>
      <c r="F138" s="22"/>
      <c r="G138" s="22" t="s">
        <v>82</v>
      </c>
      <c r="H138" s="26">
        <v>45997.0</v>
      </c>
      <c r="I138" s="22" t="s">
        <v>196</v>
      </c>
      <c r="J138" s="22" t="s">
        <v>319</v>
      </c>
      <c r="K138" s="22" t="s">
        <v>754</v>
      </c>
      <c r="L138" s="35" t="s">
        <v>4070</v>
      </c>
      <c r="M138" s="32" t="s">
        <v>175</v>
      </c>
    </row>
    <row r="139">
      <c r="A139" s="22" t="s">
        <v>760</v>
      </c>
      <c r="B139" s="22" t="s">
        <v>4071</v>
      </c>
      <c r="C139" s="22" t="s">
        <v>4072</v>
      </c>
      <c r="D139" s="22" t="s">
        <v>758</v>
      </c>
      <c r="E139" s="22">
        <v>1.0</v>
      </c>
      <c r="F139" s="22"/>
      <c r="G139" s="22" t="s">
        <v>202</v>
      </c>
      <c r="H139" s="26">
        <v>45996.0</v>
      </c>
      <c r="I139" s="22" t="s">
        <v>181</v>
      </c>
      <c r="J139" s="22" t="s">
        <v>717</v>
      </c>
      <c r="K139" s="22" t="s">
        <v>762</v>
      </c>
      <c r="L139" s="35" t="s">
        <v>4073</v>
      </c>
      <c r="M139" s="32" t="s">
        <v>54</v>
      </c>
    </row>
    <row r="140">
      <c r="A140" s="22" t="s">
        <v>764</v>
      </c>
      <c r="B140" s="22" t="s">
        <v>4074</v>
      </c>
      <c r="C140" s="22" t="s">
        <v>4075</v>
      </c>
      <c r="D140" s="22" t="s">
        <v>620</v>
      </c>
      <c r="E140" s="22">
        <v>1.0</v>
      </c>
      <c r="F140" s="22"/>
      <c r="G140" s="22" t="s">
        <v>82</v>
      </c>
      <c r="H140" s="26">
        <v>45997.0</v>
      </c>
      <c r="I140" s="22" t="s">
        <v>149</v>
      </c>
      <c r="J140" s="22" t="s">
        <v>623</v>
      </c>
      <c r="K140" s="22" t="s">
        <v>626</v>
      </c>
      <c r="L140" s="35" t="s">
        <v>4076</v>
      </c>
      <c r="M140" s="32" t="s">
        <v>54</v>
      </c>
    </row>
    <row r="141">
      <c r="A141" s="22" t="s">
        <v>766</v>
      </c>
      <c r="B141" s="22" t="s">
        <v>4077</v>
      </c>
      <c r="C141" s="22" t="s">
        <v>4078</v>
      </c>
      <c r="D141" s="22" t="s">
        <v>584</v>
      </c>
      <c r="E141" s="22">
        <v>1.0</v>
      </c>
      <c r="F141" s="22"/>
      <c r="G141" s="22" t="s">
        <v>82</v>
      </c>
      <c r="H141" s="26">
        <v>45997.0</v>
      </c>
      <c r="I141" s="22" t="s">
        <v>149</v>
      </c>
      <c r="J141" s="22" t="s">
        <v>377</v>
      </c>
      <c r="K141" s="22" t="s">
        <v>586</v>
      </c>
      <c r="L141" s="35" t="s">
        <v>4079</v>
      </c>
      <c r="M141" s="32" t="s">
        <v>105</v>
      </c>
    </row>
    <row r="142">
      <c r="A142" s="22" t="s">
        <v>766</v>
      </c>
      <c r="B142" s="22" t="s">
        <v>4077</v>
      </c>
      <c r="C142" s="22" t="s">
        <v>4078</v>
      </c>
      <c r="D142" s="25"/>
      <c r="E142" s="25"/>
      <c r="F142" s="22"/>
      <c r="G142" s="22" t="s">
        <v>82</v>
      </c>
      <c r="H142" s="26">
        <v>45997.0</v>
      </c>
      <c r="I142" s="22" t="s">
        <v>149</v>
      </c>
      <c r="J142" s="22" t="s">
        <v>377</v>
      </c>
      <c r="K142" s="22" t="s">
        <v>767</v>
      </c>
      <c r="L142" s="35" t="s">
        <v>4080</v>
      </c>
    </row>
    <row r="143">
      <c r="A143" s="22" t="s">
        <v>771</v>
      </c>
      <c r="B143" s="22" t="s">
        <v>4081</v>
      </c>
      <c r="C143" s="22" t="s">
        <v>4082</v>
      </c>
      <c r="D143" s="22" t="s">
        <v>317</v>
      </c>
      <c r="E143" s="22">
        <v>1.0</v>
      </c>
      <c r="F143" s="22"/>
      <c r="G143" s="22" t="s">
        <v>82</v>
      </c>
      <c r="H143" s="26">
        <v>45997.0</v>
      </c>
      <c r="I143" s="22" t="s">
        <v>181</v>
      </c>
      <c r="J143" s="22" t="s">
        <v>319</v>
      </c>
      <c r="K143" s="22" t="s">
        <v>322</v>
      </c>
      <c r="L143" s="35" t="s">
        <v>4083</v>
      </c>
      <c r="M143" s="32" t="s">
        <v>55</v>
      </c>
    </row>
    <row r="144">
      <c r="A144" s="22" t="s">
        <v>774</v>
      </c>
      <c r="B144" s="22" t="s">
        <v>3984</v>
      </c>
      <c r="C144" s="22" t="s">
        <v>4084</v>
      </c>
      <c r="D144" s="22" t="s">
        <v>209</v>
      </c>
      <c r="E144" s="22">
        <v>1.0</v>
      </c>
      <c r="F144" s="22"/>
      <c r="G144" s="22" t="s">
        <v>273</v>
      </c>
      <c r="H144" s="23">
        <v>45991.0</v>
      </c>
      <c r="I144" s="22" t="s">
        <v>211</v>
      </c>
      <c r="J144" s="22" t="s">
        <v>111</v>
      </c>
      <c r="K144" s="22" t="s">
        <v>214</v>
      </c>
      <c r="L144" s="35" t="s">
        <v>4085</v>
      </c>
      <c r="M144" s="32" t="s">
        <v>91</v>
      </c>
    </row>
    <row r="145">
      <c r="A145" s="22" t="s">
        <v>776</v>
      </c>
      <c r="B145" s="22" t="s">
        <v>3889</v>
      </c>
      <c r="C145" s="22" t="s">
        <v>4086</v>
      </c>
      <c r="D145" s="22" t="s">
        <v>185</v>
      </c>
      <c r="E145" s="22">
        <v>1.0</v>
      </c>
      <c r="F145" s="22"/>
      <c r="G145" s="22" t="s">
        <v>82</v>
      </c>
      <c r="H145" s="26">
        <v>45997.0</v>
      </c>
      <c r="I145" s="22" t="s">
        <v>187</v>
      </c>
      <c r="J145" s="22" t="s">
        <v>111</v>
      </c>
      <c r="K145" s="22" t="s">
        <v>190</v>
      </c>
      <c r="L145" s="35" t="s">
        <v>4087</v>
      </c>
      <c r="M145" s="32" t="s">
        <v>95</v>
      </c>
    </row>
    <row r="146">
      <c r="A146" s="22" t="s">
        <v>777</v>
      </c>
      <c r="B146" s="22" t="s">
        <v>4088</v>
      </c>
      <c r="C146" s="22" t="s">
        <v>4089</v>
      </c>
      <c r="D146" s="22" t="s">
        <v>141</v>
      </c>
      <c r="E146" s="22">
        <v>1.0</v>
      </c>
      <c r="F146" s="22"/>
      <c r="G146" s="22" t="s">
        <v>82</v>
      </c>
      <c r="H146" s="26">
        <v>45997.0</v>
      </c>
      <c r="I146" s="22"/>
      <c r="J146" s="22" t="s">
        <v>83</v>
      </c>
      <c r="K146" s="22" t="s">
        <v>143</v>
      </c>
      <c r="L146" s="35" t="s">
        <v>4090</v>
      </c>
      <c r="M146" s="32" t="s">
        <v>54</v>
      </c>
    </row>
    <row r="147">
      <c r="A147" s="22" t="s">
        <v>735</v>
      </c>
      <c r="B147" s="22" t="s">
        <v>4091</v>
      </c>
      <c r="C147" s="22" t="s">
        <v>3783</v>
      </c>
      <c r="D147" s="22" t="s">
        <v>732</v>
      </c>
      <c r="E147" s="22">
        <v>1.0</v>
      </c>
      <c r="F147" s="22"/>
      <c r="G147" s="22" t="s">
        <v>82</v>
      </c>
      <c r="H147" s="26">
        <v>45997.0</v>
      </c>
      <c r="I147" s="22" t="s">
        <v>734</v>
      </c>
      <c r="J147" s="22" t="s">
        <v>634</v>
      </c>
      <c r="K147" s="22" t="s">
        <v>737</v>
      </c>
      <c r="L147" s="35" t="s">
        <v>4092</v>
      </c>
      <c r="M147" s="32" t="s">
        <v>105</v>
      </c>
    </row>
    <row r="148">
      <c r="A148" s="22" t="s">
        <v>784</v>
      </c>
      <c r="B148" s="22" t="s">
        <v>4093</v>
      </c>
      <c r="C148" s="22" t="s">
        <v>4094</v>
      </c>
      <c r="D148" s="22" t="s">
        <v>783</v>
      </c>
      <c r="E148" s="22">
        <v>1.0</v>
      </c>
      <c r="F148" s="22"/>
      <c r="G148" s="22" t="s">
        <v>82</v>
      </c>
      <c r="H148" s="26">
        <v>45997.0</v>
      </c>
      <c r="I148" s="22" t="s">
        <v>134</v>
      </c>
      <c r="J148" s="22" t="s">
        <v>303</v>
      </c>
      <c r="K148" s="22" t="s">
        <v>785</v>
      </c>
      <c r="L148" s="35" t="s">
        <v>4095</v>
      </c>
      <c r="M148" s="32" t="s">
        <v>95</v>
      </c>
    </row>
    <row r="149">
      <c r="A149" s="22" t="s">
        <v>787</v>
      </c>
      <c r="B149" s="22" t="s">
        <v>4096</v>
      </c>
      <c r="C149" s="22" t="s">
        <v>4097</v>
      </c>
      <c r="D149" s="22" t="s">
        <v>569</v>
      </c>
      <c r="E149" s="22">
        <v>1.0</v>
      </c>
      <c r="F149" s="22"/>
      <c r="G149" s="22" t="s">
        <v>273</v>
      </c>
      <c r="H149" s="26">
        <v>45998.0</v>
      </c>
      <c r="I149" s="22" t="s">
        <v>145</v>
      </c>
      <c r="J149" s="22" t="s">
        <v>472</v>
      </c>
      <c r="K149" s="22" t="s">
        <v>571</v>
      </c>
      <c r="L149" s="35" t="s">
        <v>4098</v>
      </c>
      <c r="M149" s="32" t="s">
        <v>105</v>
      </c>
    </row>
    <row r="150">
      <c r="A150" s="22" t="s">
        <v>792</v>
      </c>
      <c r="B150" s="22" t="s">
        <v>4099</v>
      </c>
      <c r="C150" s="22" t="s">
        <v>4100</v>
      </c>
      <c r="D150" s="22" t="s">
        <v>789</v>
      </c>
      <c r="E150" s="22">
        <v>1.0</v>
      </c>
      <c r="F150" s="22"/>
      <c r="G150" s="22" t="s">
        <v>287</v>
      </c>
      <c r="H150" s="26">
        <v>45994.0</v>
      </c>
      <c r="I150" s="22" t="s">
        <v>791</v>
      </c>
      <c r="J150" s="22" t="s">
        <v>605</v>
      </c>
      <c r="K150" s="22" t="s">
        <v>794</v>
      </c>
      <c r="L150" s="35" t="s">
        <v>4101</v>
      </c>
      <c r="M150" s="32" t="s">
        <v>105</v>
      </c>
    </row>
    <row r="151">
      <c r="A151" s="22" t="s">
        <v>4102</v>
      </c>
      <c r="B151" s="22" t="s">
        <v>4103</v>
      </c>
      <c r="C151" s="22" t="s">
        <v>4104</v>
      </c>
      <c r="D151" s="22" t="s">
        <v>4105</v>
      </c>
      <c r="E151" s="22">
        <v>1.0</v>
      </c>
      <c r="F151" s="22"/>
      <c r="G151" s="22" t="s">
        <v>287</v>
      </c>
      <c r="H151" s="26">
        <v>45994.0</v>
      </c>
      <c r="I151" s="22" t="s">
        <v>181</v>
      </c>
      <c r="J151" s="22" t="s">
        <v>4026</v>
      </c>
      <c r="K151" s="22" t="s">
        <v>4106</v>
      </c>
      <c r="L151" s="35" t="s">
        <v>4107</v>
      </c>
      <c r="M151" s="32" t="s">
        <v>54</v>
      </c>
    </row>
    <row r="152">
      <c r="A152" s="22" t="s">
        <v>798</v>
      </c>
      <c r="B152" s="22" t="s">
        <v>4108</v>
      </c>
      <c r="C152" s="22" t="s">
        <v>4109</v>
      </c>
      <c r="D152" s="22" t="s">
        <v>789</v>
      </c>
      <c r="E152" s="22">
        <v>1.0</v>
      </c>
      <c r="F152" s="22"/>
      <c r="G152" s="22" t="s">
        <v>287</v>
      </c>
      <c r="H152" s="26">
        <v>45994.0</v>
      </c>
      <c r="I152" s="22" t="s">
        <v>252</v>
      </c>
      <c r="J152" s="22" t="s">
        <v>605</v>
      </c>
      <c r="K152" s="22" t="s">
        <v>794</v>
      </c>
      <c r="L152" s="35" t="s">
        <v>4110</v>
      </c>
      <c r="M152" s="32" t="s">
        <v>105</v>
      </c>
    </row>
    <row r="153">
      <c r="A153" s="22" t="s">
        <v>801</v>
      </c>
      <c r="B153" s="22" t="s">
        <v>4111</v>
      </c>
      <c r="C153" s="22" t="s">
        <v>4112</v>
      </c>
      <c r="D153" s="22" t="s">
        <v>584</v>
      </c>
      <c r="E153" s="22">
        <v>1.0</v>
      </c>
      <c r="F153" s="22"/>
      <c r="G153" s="22" t="s">
        <v>82</v>
      </c>
      <c r="H153" s="26">
        <v>45997.0</v>
      </c>
      <c r="I153" s="22" t="s">
        <v>145</v>
      </c>
      <c r="J153" s="22" t="s">
        <v>377</v>
      </c>
      <c r="K153" s="22" t="s">
        <v>586</v>
      </c>
      <c r="L153" s="35" t="s">
        <v>4113</v>
      </c>
      <c r="M153" s="32" t="s">
        <v>105</v>
      </c>
    </row>
    <row r="154">
      <c r="A154" s="22" t="s">
        <v>804</v>
      </c>
      <c r="B154" s="22" t="s">
        <v>4114</v>
      </c>
      <c r="C154" s="22" t="s">
        <v>4115</v>
      </c>
      <c r="D154" s="22" t="s">
        <v>803</v>
      </c>
      <c r="E154" s="22">
        <v>1.0</v>
      </c>
      <c r="F154" s="22"/>
      <c r="G154" s="22" t="s">
        <v>82</v>
      </c>
      <c r="H154" s="26">
        <v>45997.0</v>
      </c>
      <c r="I154" s="22" t="s">
        <v>149</v>
      </c>
      <c r="J154" s="22" t="s">
        <v>623</v>
      </c>
      <c r="K154" s="22" t="s">
        <v>805</v>
      </c>
      <c r="L154" s="35" t="s">
        <v>4116</v>
      </c>
      <c r="M154" s="32" t="s">
        <v>95</v>
      </c>
    </row>
    <row r="155">
      <c r="A155" s="22" t="s">
        <v>4117</v>
      </c>
      <c r="B155" s="22" t="s">
        <v>4118</v>
      </c>
      <c r="C155" s="22" t="s">
        <v>4119</v>
      </c>
      <c r="D155" s="22" t="s">
        <v>4025</v>
      </c>
      <c r="E155" s="22">
        <v>1.0</v>
      </c>
      <c r="F155" s="22"/>
      <c r="G155" s="22" t="s">
        <v>287</v>
      </c>
      <c r="H155" s="23">
        <v>46001.0</v>
      </c>
      <c r="I155" s="22" t="s">
        <v>181</v>
      </c>
      <c r="J155" s="22" t="s">
        <v>4026</v>
      </c>
      <c r="K155" s="22" t="s">
        <v>4027</v>
      </c>
      <c r="L155" s="35" t="s">
        <v>4120</v>
      </c>
      <c r="M155" s="32" t="s">
        <v>55</v>
      </c>
    </row>
    <row r="156">
      <c r="A156" s="22" t="s">
        <v>808</v>
      </c>
      <c r="B156" s="22" t="s">
        <v>4081</v>
      </c>
      <c r="C156" s="22" t="s">
        <v>4121</v>
      </c>
      <c r="D156" s="22" t="s">
        <v>806</v>
      </c>
      <c r="E156" s="22">
        <v>1.0</v>
      </c>
      <c r="F156" s="22"/>
      <c r="G156" s="22" t="s">
        <v>273</v>
      </c>
      <c r="H156" s="26">
        <v>45998.0</v>
      </c>
      <c r="I156" s="22" t="s">
        <v>211</v>
      </c>
      <c r="J156" s="22" t="s">
        <v>278</v>
      </c>
      <c r="K156" s="22" t="s">
        <v>809</v>
      </c>
      <c r="L156" s="35" t="s">
        <v>4122</v>
      </c>
      <c r="M156" s="32" t="s">
        <v>95</v>
      </c>
    </row>
    <row r="157">
      <c r="A157" s="22" t="s">
        <v>811</v>
      </c>
      <c r="B157" s="22" t="s">
        <v>3764</v>
      </c>
      <c r="C157" s="22" t="s">
        <v>4123</v>
      </c>
      <c r="D157" s="22" t="s">
        <v>415</v>
      </c>
      <c r="E157" s="22">
        <v>1.0</v>
      </c>
      <c r="F157" s="22"/>
      <c r="G157" s="22" t="s">
        <v>82</v>
      </c>
      <c r="H157" s="23">
        <v>46004.0</v>
      </c>
      <c r="I157" s="22" t="s">
        <v>134</v>
      </c>
      <c r="J157" s="22" t="s">
        <v>377</v>
      </c>
      <c r="K157" s="22" t="s">
        <v>419</v>
      </c>
      <c r="L157" s="35" t="s">
        <v>4124</v>
      </c>
      <c r="M157" s="32" t="s">
        <v>91</v>
      </c>
    </row>
    <row r="158">
      <c r="A158" s="22" t="s">
        <v>813</v>
      </c>
      <c r="B158" s="22" t="s">
        <v>4125</v>
      </c>
      <c r="C158" s="22" t="s">
        <v>4126</v>
      </c>
      <c r="D158" s="22" t="s">
        <v>124</v>
      </c>
      <c r="E158" s="22">
        <v>1.0</v>
      </c>
      <c r="F158" s="22"/>
      <c r="G158" s="22" t="s">
        <v>82</v>
      </c>
      <c r="H158" s="26">
        <v>45997.0</v>
      </c>
      <c r="I158" s="22"/>
      <c r="J158" s="22" t="s">
        <v>83</v>
      </c>
      <c r="K158" s="22" t="s">
        <v>126</v>
      </c>
      <c r="L158" s="35" t="s">
        <v>4127</v>
      </c>
      <c r="M158" s="32" t="s">
        <v>127</v>
      </c>
    </row>
    <row r="159">
      <c r="A159" s="22" t="s">
        <v>816</v>
      </c>
      <c r="B159" s="22" t="s">
        <v>3866</v>
      </c>
      <c r="C159" s="22" t="s">
        <v>4128</v>
      </c>
      <c r="D159" s="22" t="s">
        <v>814</v>
      </c>
      <c r="E159" s="22">
        <v>1.0</v>
      </c>
      <c r="F159" s="22"/>
      <c r="G159" s="22" t="s">
        <v>82</v>
      </c>
      <c r="H159" s="26">
        <v>45997.0</v>
      </c>
      <c r="I159" s="22" t="s">
        <v>187</v>
      </c>
      <c r="J159" s="22" t="s">
        <v>698</v>
      </c>
      <c r="K159" s="22" t="s">
        <v>818</v>
      </c>
      <c r="L159" s="35" t="s">
        <v>4129</v>
      </c>
      <c r="M159" s="32" t="s">
        <v>127</v>
      </c>
    </row>
    <row r="160">
      <c r="A160" s="22" t="s">
        <v>122</v>
      </c>
      <c r="B160" s="22" t="s">
        <v>4130</v>
      </c>
      <c r="C160" s="22" t="s">
        <v>4131</v>
      </c>
      <c r="D160" s="22" t="s">
        <v>96</v>
      </c>
      <c r="E160" s="22">
        <v>1.0</v>
      </c>
      <c r="F160" s="22"/>
      <c r="G160" s="22" t="s">
        <v>82</v>
      </c>
      <c r="H160" s="23">
        <v>45990.0</v>
      </c>
      <c r="I160" s="22"/>
      <c r="J160" s="22" t="s">
        <v>83</v>
      </c>
      <c r="K160" s="22" t="s">
        <v>98</v>
      </c>
      <c r="L160" s="35" t="s">
        <v>4132</v>
      </c>
      <c r="M160" s="32" t="s">
        <v>55</v>
      </c>
    </row>
    <row r="161">
      <c r="A161" s="22" t="s">
        <v>821</v>
      </c>
      <c r="B161" s="22" t="s">
        <v>3938</v>
      </c>
      <c r="C161" s="22" t="s">
        <v>4133</v>
      </c>
      <c r="D161" s="22" t="s">
        <v>423</v>
      </c>
      <c r="E161" s="22">
        <v>2.0</v>
      </c>
      <c r="F161" s="22"/>
      <c r="G161" s="22" t="s">
        <v>273</v>
      </c>
      <c r="H161" s="26">
        <v>45998.0</v>
      </c>
      <c r="I161" s="22" t="s">
        <v>153</v>
      </c>
      <c r="J161" s="22" t="s">
        <v>369</v>
      </c>
      <c r="K161" s="22" t="s">
        <v>427</v>
      </c>
      <c r="L161" s="35" t="s">
        <v>4134</v>
      </c>
      <c r="M161" s="32" t="s">
        <v>95</v>
      </c>
    </row>
    <row r="162">
      <c r="A162" s="22" t="s">
        <v>824</v>
      </c>
      <c r="B162" s="22" t="s">
        <v>4135</v>
      </c>
      <c r="C162" s="22" t="s">
        <v>4136</v>
      </c>
      <c r="D162" s="22" t="s">
        <v>822</v>
      </c>
      <c r="E162" s="22">
        <v>1.0</v>
      </c>
      <c r="F162" s="22"/>
      <c r="G162" s="22" t="s">
        <v>82</v>
      </c>
      <c r="H162" s="26">
        <v>45997.0</v>
      </c>
      <c r="I162" s="22" t="s">
        <v>177</v>
      </c>
      <c r="J162" s="22" t="s">
        <v>634</v>
      </c>
      <c r="K162" s="22" t="s">
        <v>826</v>
      </c>
      <c r="L162" s="35" t="s">
        <v>4137</v>
      </c>
      <c r="M162" s="32" t="s">
        <v>55</v>
      </c>
    </row>
    <row r="163">
      <c r="A163" s="22" t="s">
        <v>827</v>
      </c>
      <c r="B163" s="22" t="s">
        <v>3984</v>
      </c>
      <c r="C163" s="22" t="s">
        <v>4138</v>
      </c>
      <c r="D163" s="22" t="s">
        <v>327</v>
      </c>
      <c r="E163" s="22">
        <v>1.0</v>
      </c>
      <c r="F163" s="22"/>
      <c r="G163" s="22" t="s">
        <v>273</v>
      </c>
      <c r="H163" s="23">
        <v>45991.0</v>
      </c>
      <c r="I163" s="22" t="s">
        <v>266</v>
      </c>
      <c r="J163" s="22" t="s">
        <v>329</v>
      </c>
      <c r="K163" s="22" t="s">
        <v>332</v>
      </c>
      <c r="L163" s="35" t="s">
        <v>4139</v>
      </c>
      <c r="M163" s="32" t="s">
        <v>55</v>
      </c>
    </row>
    <row r="164">
      <c r="A164" s="22" t="s">
        <v>829</v>
      </c>
      <c r="B164" s="22" t="s">
        <v>3967</v>
      </c>
      <c r="C164" s="22" t="s">
        <v>4140</v>
      </c>
      <c r="D164" s="22" t="s">
        <v>828</v>
      </c>
      <c r="E164" s="22">
        <v>3.0</v>
      </c>
      <c r="F164" s="22"/>
      <c r="G164" s="22" t="s">
        <v>82</v>
      </c>
      <c r="H164" s="26">
        <v>45997.0</v>
      </c>
      <c r="I164" s="22" t="s">
        <v>177</v>
      </c>
      <c r="J164" s="22" t="s">
        <v>634</v>
      </c>
      <c r="K164" s="22" t="s">
        <v>830</v>
      </c>
      <c r="L164" s="35" t="s">
        <v>4141</v>
      </c>
      <c r="M164" s="32" t="s">
        <v>95</v>
      </c>
    </row>
    <row r="165">
      <c r="A165" s="22" t="s">
        <v>829</v>
      </c>
      <c r="B165" s="22" t="s">
        <v>3967</v>
      </c>
      <c r="C165" s="22" t="s">
        <v>4140</v>
      </c>
      <c r="D165" s="22" t="s">
        <v>831</v>
      </c>
      <c r="E165" s="22">
        <v>2.0</v>
      </c>
      <c r="F165" s="22"/>
      <c r="G165" s="22" t="s">
        <v>82</v>
      </c>
      <c r="H165" s="26">
        <v>45997.0</v>
      </c>
      <c r="I165" s="22" t="s">
        <v>177</v>
      </c>
      <c r="J165" s="22" t="s">
        <v>634</v>
      </c>
      <c r="K165" s="22" t="s">
        <v>832</v>
      </c>
      <c r="L165" s="35" t="s">
        <v>4142</v>
      </c>
      <c r="M165" s="32" t="s">
        <v>132</v>
      </c>
    </row>
    <row r="166">
      <c r="A166" s="22" t="s">
        <v>829</v>
      </c>
      <c r="B166" s="22" t="s">
        <v>3967</v>
      </c>
      <c r="C166" s="22" t="s">
        <v>4140</v>
      </c>
      <c r="D166" s="25"/>
      <c r="E166" s="25"/>
      <c r="F166" s="22"/>
      <c r="G166" s="22" t="s">
        <v>82</v>
      </c>
      <c r="H166" s="26">
        <v>45997.0</v>
      </c>
      <c r="I166" s="22" t="s">
        <v>177</v>
      </c>
      <c r="J166" s="22" t="s">
        <v>634</v>
      </c>
      <c r="K166" s="22" t="s">
        <v>833</v>
      </c>
      <c r="L166" s="35" t="s">
        <v>4143</v>
      </c>
    </row>
    <row r="167">
      <c r="A167" s="22" t="s">
        <v>835</v>
      </c>
      <c r="B167" s="22" t="s">
        <v>4144</v>
      </c>
      <c r="C167" s="22" t="s">
        <v>4145</v>
      </c>
      <c r="D167" s="22" t="s">
        <v>822</v>
      </c>
      <c r="E167" s="22">
        <v>1.0</v>
      </c>
      <c r="F167" s="22"/>
      <c r="G167" s="22" t="s">
        <v>273</v>
      </c>
      <c r="H167" s="26">
        <v>45998.0</v>
      </c>
      <c r="I167" s="22" t="s">
        <v>734</v>
      </c>
      <c r="J167" s="22" t="s">
        <v>634</v>
      </c>
      <c r="K167" s="22" t="s">
        <v>826</v>
      </c>
      <c r="L167" s="35" t="s">
        <v>4146</v>
      </c>
      <c r="M167" s="32" t="s">
        <v>55</v>
      </c>
    </row>
    <row r="168">
      <c r="A168" s="22" t="s">
        <v>838</v>
      </c>
      <c r="B168" s="22" t="s">
        <v>4147</v>
      </c>
      <c r="C168" s="22" t="s">
        <v>4148</v>
      </c>
      <c r="D168" s="22" t="s">
        <v>837</v>
      </c>
      <c r="E168" s="22">
        <v>1.0</v>
      </c>
      <c r="F168" s="22"/>
      <c r="G168" s="22" t="s">
        <v>82</v>
      </c>
      <c r="H168" s="26">
        <v>45997.0</v>
      </c>
      <c r="I168" s="22" t="s">
        <v>439</v>
      </c>
      <c r="J168" s="22" t="s">
        <v>698</v>
      </c>
      <c r="K168" s="22" t="s">
        <v>839</v>
      </c>
      <c r="L168" s="35" t="s">
        <v>4149</v>
      </c>
      <c r="M168" s="32" t="s">
        <v>105</v>
      </c>
    </row>
    <row r="169">
      <c r="A169" s="22" t="s">
        <v>842</v>
      </c>
      <c r="B169" s="22" t="s">
        <v>4150</v>
      </c>
      <c r="C169" s="22" t="s">
        <v>4151</v>
      </c>
      <c r="D169" s="22" t="s">
        <v>814</v>
      </c>
      <c r="E169" s="22">
        <v>1.0</v>
      </c>
      <c r="F169" s="22"/>
      <c r="G169" s="22" t="s">
        <v>82</v>
      </c>
      <c r="H169" s="26">
        <v>45997.0</v>
      </c>
      <c r="I169" s="22" t="s">
        <v>841</v>
      </c>
      <c r="J169" s="22" t="s">
        <v>698</v>
      </c>
      <c r="K169" s="22" t="s">
        <v>818</v>
      </c>
      <c r="L169" s="35" t="s">
        <v>4152</v>
      </c>
      <c r="M169" s="32" t="s">
        <v>127</v>
      </c>
    </row>
    <row r="170">
      <c r="A170" s="22" t="s">
        <v>123</v>
      </c>
      <c r="B170" s="22" t="s">
        <v>3820</v>
      </c>
      <c r="C170" s="22" t="s">
        <v>4153</v>
      </c>
      <c r="D170" s="22" t="s">
        <v>80</v>
      </c>
      <c r="E170" s="22">
        <v>1.0</v>
      </c>
      <c r="F170" s="22"/>
      <c r="G170" s="22" t="s">
        <v>82</v>
      </c>
      <c r="H170" s="23">
        <v>45990.0</v>
      </c>
      <c r="I170" s="22"/>
      <c r="J170" s="22" t="s">
        <v>83</v>
      </c>
      <c r="K170" s="22" t="s">
        <v>86</v>
      </c>
      <c r="L170" s="35" t="s">
        <v>4154</v>
      </c>
      <c r="M170" s="32" t="s">
        <v>91</v>
      </c>
    </row>
    <row r="171">
      <c r="A171" s="22" t="s">
        <v>844</v>
      </c>
      <c r="B171" s="22" t="s">
        <v>4155</v>
      </c>
      <c r="C171" s="22" t="s">
        <v>4156</v>
      </c>
      <c r="D171" s="22" t="s">
        <v>837</v>
      </c>
      <c r="E171" s="22">
        <v>1.0</v>
      </c>
      <c r="F171" s="22"/>
      <c r="G171" s="22" t="s">
        <v>82</v>
      </c>
      <c r="H171" s="26">
        <v>45997.0</v>
      </c>
      <c r="I171" s="22" t="s">
        <v>187</v>
      </c>
      <c r="J171" s="22" t="s">
        <v>698</v>
      </c>
      <c r="K171" s="22" t="s">
        <v>839</v>
      </c>
      <c r="L171" s="35" t="s">
        <v>4157</v>
      </c>
      <c r="M171" s="32" t="s">
        <v>105</v>
      </c>
    </row>
    <row r="172">
      <c r="A172" s="22" t="s">
        <v>846</v>
      </c>
      <c r="B172" s="22" t="s">
        <v>4158</v>
      </c>
      <c r="C172" s="22" t="s">
        <v>4159</v>
      </c>
      <c r="D172" s="22" t="s">
        <v>845</v>
      </c>
      <c r="E172" s="22">
        <v>1.0</v>
      </c>
      <c r="F172" s="22"/>
      <c r="G172" s="22" t="s">
        <v>82</v>
      </c>
      <c r="H172" s="26">
        <v>45997.0</v>
      </c>
      <c r="I172" s="22" t="s">
        <v>134</v>
      </c>
      <c r="J172" s="22" t="s">
        <v>451</v>
      </c>
      <c r="K172" s="22" t="s">
        <v>847</v>
      </c>
      <c r="L172" s="35" t="s">
        <v>4160</v>
      </c>
      <c r="M172" s="32" t="s">
        <v>55</v>
      </c>
    </row>
    <row r="173">
      <c r="A173" s="22" t="s">
        <v>850</v>
      </c>
      <c r="B173" s="22" t="s">
        <v>4161</v>
      </c>
      <c r="C173" s="22" t="s">
        <v>4162</v>
      </c>
      <c r="D173" s="22" t="s">
        <v>848</v>
      </c>
      <c r="E173" s="22">
        <v>1.0</v>
      </c>
      <c r="F173" s="22"/>
      <c r="G173" s="22" t="s">
        <v>82</v>
      </c>
      <c r="H173" s="23">
        <v>46004.0</v>
      </c>
      <c r="I173" s="22" t="s">
        <v>134</v>
      </c>
      <c r="J173" s="22" t="s">
        <v>472</v>
      </c>
      <c r="K173" s="22" t="s">
        <v>852</v>
      </c>
      <c r="L173" s="35" t="s">
        <v>4163</v>
      </c>
      <c r="M173" s="32" t="s">
        <v>132</v>
      </c>
    </row>
    <row r="174">
      <c r="A174" s="22" t="s">
        <v>853</v>
      </c>
      <c r="B174" s="22" t="s">
        <v>3967</v>
      </c>
      <c r="C174" s="22" t="s">
        <v>4164</v>
      </c>
      <c r="D174" s="22" t="s">
        <v>484</v>
      </c>
      <c r="E174" s="22">
        <v>1.0</v>
      </c>
      <c r="F174" s="22"/>
      <c r="G174" s="22" t="s">
        <v>82</v>
      </c>
      <c r="H174" s="26">
        <v>45997.0</v>
      </c>
      <c r="I174" s="22" t="s">
        <v>134</v>
      </c>
      <c r="J174" s="22" t="s">
        <v>311</v>
      </c>
      <c r="K174" s="22" t="s">
        <v>487</v>
      </c>
      <c r="L174" s="35" t="s">
        <v>4165</v>
      </c>
      <c r="M174" s="32" t="s">
        <v>127</v>
      </c>
    </row>
    <row r="175">
      <c r="A175" s="22" t="s">
        <v>855</v>
      </c>
      <c r="B175" s="22" t="s">
        <v>4166</v>
      </c>
      <c r="C175" s="22" t="s">
        <v>4167</v>
      </c>
      <c r="D175" s="22" t="s">
        <v>822</v>
      </c>
      <c r="E175" s="22">
        <v>1.0</v>
      </c>
      <c r="F175" s="22"/>
      <c r="G175" s="22" t="s">
        <v>82</v>
      </c>
      <c r="H175" s="26">
        <v>45997.0</v>
      </c>
      <c r="I175" s="22" t="s">
        <v>211</v>
      </c>
      <c r="J175" s="22" t="s">
        <v>634</v>
      </c>
      <c r="K175" s="22" t="s">
        <v>826</v>
      </c>
      <c r="L175" s="35" t="s">
        <v>4168</v>
      </c>
      <c r="M175" s="32" t="s">
        <v>55</v>
      </c>
    </row>
    <row r="176">
      <c r="A176" s="22" t="s">
        <v>857</v>
      </c>
      <c r="B176" s="22" t="s">
        <v>4169</v>
      </c>
      <c r="C176" s="22" t="s">
        <v>4170</v>
      </c>
      <c r="D176" s="22" t="s">
        <v>158</v>
      </c>
      <c r="E176" s="22">
        <v>1.0</v>
      </c>
      <c r="F176" s="22"/>
      <c r="G176" s="22" t="s">
        <v>82</v>
      </c>
      <c r="H176" s="26">
        <v>45997.0</v>
      </c>
      <c r="I176" s="22" t="s">
        <v>187</v>
      </c>
      <c r="J176" s="22" t="s">
        <v>111</v>
      </c>
      <c r="K176" s="22" t="s">
        <v>163</v>
      </c>
      <c r="L176" s="35" t="s">
        <v>4171</v>
      </c>
      <c r="M176" s="32" t="s">
        <v>127</v>
      </c>
    </row>
    <row r="177">
      <c r="A177" s="22" t="s">
        <v>858</v>
      </c>
      <c r="B177" s="22" t="s">
        <v>3889</v>
      </c>
      <c r="C177" s="22" t="s">
        <v>4172</v>
      </c>
      <c r="D177" s="22" t="s">
        <v>141</v>
      </c>
      <c r="E177" s="22">
        <v>1.0</v>
      </c>
      <c r="F177" s="22"/>
      <c r="G177" s="22" t="s">
        <v>82</v>
      </c>
      <c r="H177" s="26">
        <v>45997.0</v>
      </c>
      <c r="I177" s="22"/>
      <c r="J177" s="22" t="s">
        <v>83</v>
      </c>
      <c r="K177" s="22" t="s">
        <v>143</v>
      </c>
      <c r="L177" s="35" t="s">
        <v>4173</v>
      </c>
      <c r="M177" s="32" t="s">
        <v>54</v>
      </c>
    </row>
    <row r="178">
      <c r="A178" s="22" t="s">
        <v>860</v>
      </c>
      <c r="B178" s="22" t="s">
        <v>4174</v>
      </c>
      <c r="C178" s="22" t="s">
        <v>4175</v>
      </c>
      <c r="D178" s="22" t="s">
        <v>859</v>
      </c>
      <c r="E178" s="22">
        <v>1.0</v>
      </c>
      <c r="F178" s="22"/>
      <c r="G178" s="22" t="s">
        <v>287</v>
      </c>
      <c r="H178" s="26">
        <v>45994.0</v>
      </c>
      <c r="I178" s="22" t="s">
        <v>252</v>
      </c>
      <c r="J178" s="22" t="s">
        <v>605</v>
      </c>
      <c r="K178" s="22" t="s">
        <v>861</v>
      </c>
      <c r="L178" s="35" t="s">
        <v>4176</v>
      </c>
      <c r="M178" s="32" t="s">
        <v>95</v>
      </c>
    </row>
    <row r="179">
      <c r="A179" s="22" t="s">
        <v>862</v>
      </c>
      <c r="B179" s="22" t="s">
        <v>4177</v>
      </c>
      <c r="C179" s="22" t="s">
        <v>4178</v>
      </c>
      <c r="D179" s="22" t="s">
        <v>545</v>
      </c>
      <c r="E179" s="22">
        <v>1.0</v>
      </c>
      <c r="F179" s="22"/>
      <c r="G179" s="22" t="s">
        <v>273</v>
      </c>
      <c r="H179" s="23">
        <v>45991.0</v>
      </c>
      <c r="I179" s="22" t="s">
        <v>149</v>
      </c>
      <c r="J179" s="22" t="s">
        <v>356</v>
      </c>
      <c r="K179" s="22" t="s">
        <v>549</v>
      </c>
      <c r="L179" s="35" t="s">
        <v>4179</v>
      </c>
      <c r="M179" s="32" t="s">
        <v>55</v>
      </c>
    </row>
    <row r="180">
      <c r="A180" s="22" t="s">
        <v>864</v>
      </c>
      <c r="B180" s="22" t="s">
        <v>4180</v>
      </c>
      <c r="C180" s="22" t="s">
        <v>4181</v>
      </c>
      <c r="D180" s="22" t="s">
        <v>863</v>
      </c>
      <c r="E180" s="22">
        <v>1.0</v>
      </c>
      <c r="F180" s="22"/>
      <c r="G180" s="22" t="s">
        <v>82</v>
      </c>
      <c r="H180" s="26">
        <v>45997.0</v>
      </c>
      <c r="I180" s="22" t="s">
        <v>187</v>
      </c>
      <c r="J180" s="22" t="s">
        <v>698</v>
      </c>
      <c r="K180" s="22" t="s">
        <v>865</v>
      </c>
      <c r="L180" s="35" t="s">
        <v>4182</v>
      </c>
      <c r="M180" s="32" t="s">
        <v>175</v>
      </c>
    </row>
    <row r="181">
      <c r="A181" s="22" t="s">
        <v>866</v>
      </c>
      <c r="B181" s="22" t="s">
        <v>4183</v>
      </c>
      <c r="C181" s="22" t="s">
        <v>4184</v>
      </c>
      <c r="D181" s="22" t="s">
        <v>172</v>
      </c>
      <c r="E181" s="22">
        <v>1.0</v>
      </c>
      <c r="F181" s="22"/>
      <c r="G181" s="22" t="s">
        <v>82</v>
      </c>
      <c r="H181" s="26">
        <v>45997.0</v>
      </c>
      <c r="I181" s="22"/>
      <c r="J181" s="22" t="s">
        <v>83</v>
      </c>
      <c r="K181" s="22" t="s">
        <v>174</v>
      </c>
      <c r="L181" s="35" t="s">
        <v>4185</v>
      </c>
      <c r="M181" s="32" t="s">
        <v>175</v>
      </c>
    </row>
    <row r="182">
      <c r="A182" s="22" t="s">
        <v>870</v>
      </c>
      <c r="B182" s="22" t="s">
        <v>4186</v>
      </c>
      <c r="C182" s="22" t="s">
        <v>4187</v>
      </c>
      <c r="D182" s="22" t="s">
        <v>867</v>
      </c>
      <c r="E182" s="22">
        <v>1.0</v>
      </c>
      <c r="F182" s="22"/>
      <c r="G182" s="22" t="s">
        <v>273</v>
      </c>
      <c r="H182" s="26">
        <v>45998.0</v>
      </c>
      <c r="I182" s="22" t="s">
        <v>149</v>
      </c>
      <c r="J182" s="22" t="s">
        <v>869</v>
      </c>
      <c r="K182" s="22" t="s">
        <v>872</v>
      </c>
      <c r="L182" s="35" t="s">
        <v>4188</v>
      </c>
      <c r="M182" s="32" t="s">
        <v>55</v>
      </c>
    </row>
    <row r="183">
      <c r="A183" s="22" t="s">
        <v>870</v>
      </c>
      <c r="B183" s="22" t="s">
        <v>4186</v>
      </c>
      <c r="C183" s="22" t="s">
        <v>4187</v>
      </c>
      <c r="D183" s="25"/>
      <c r="E183" s="25"/>
      <c r="F183" s="22"/>
      <c r="G183" s="22" t="s">
        <v>273</v>
      </c>
      <c r="H183" s="26">
        <v>45998.0</v>
      </c>
      <c r="I183" s="22" t="s">
        <v>149</v>
      </c>
      <c r="J183" s="22" t="s">
        <v>869</v>
      </c>
      <c r="K183" s="22" t="s">
        <v>875</v>
      </c>
      <c r="L183" s="35" t="s">
        <v>4189</v>
      </c>
    </row>
    <row r="184">
      <c r="A184" s="22" t="s">
        <v>877</v>
      </c>
      <c r="B184" s="22" t="s">
        <v>4190</v>
      </c>
      <c r="C184" s="22" t="s">
        <v>4191</v>
      </c>
      <c r="D184" s="22" t="s">
        <v>632</v>
      </c>
      <c r="E184" s="22">
        <v>1.0</v>
      </c>
      <c r="F184" s="22"/>
      <c r="G184" s="22" t="s">
        <v>273</v>
      </c>
      <c r="H184" s="26">
        <v>45998.0</v>
      </c>
      <c r="I184" s="22" t="s">
        <v>177</v>
      </c>
      <c r="J184" s="22" t="s">
        <v>634</v>
      </c>
      <c r="K184" s="22" t="s">
        <v>637</v>
      </c>
      <c r="L184" s="35" t="s">
        <v>4192</v>
      </c>
      <c r="M184" s="32" t="s">
        <v>91</v>
      </c>
    </row>
    <row r="185">
      <c r="A185" s="22" t="s">
        <v>880</v>
      </c>
      <c r="B185" s="22" t="s">
        <v>4193</v>
      </c>
      <c r="C185" s="22" t="s">
        <v>4194</v>
      </c>
      <c r="D185" s="22" t="s">
        <v>879</v>
      </c>
      <c r="E185" s="22">
        <v>1.0</v>
      </c>
      <c r="F185" s="22"/>
      <c r="G185" s="22" t="s">
        <v>273</v>
      </c>
      <c r="H185" s="26">
        <v>45998.0</v>
      </c>
      <c r="I185" s="22" t="s">
        <v>149</v>
      </c>
      <c r="J185" s="22" t="s">
        <v>869</v>
      </c>
      <c r="K185" s="22" t="s">
        <v>881</v>
      </c>
      <c r="L185" s="35" t="s">
        <v>4195</v>
      </c>
      <c r="M185" s="32" t="s">
        <v>127</v>
      </c>
    </row>
    <row r="186">
      <c r="A186" s="22" t="s">
        <v>884</v>
      </c>
      <c r="B186" s="22" t="s">
        <v>4196</v>
      </c>
      <c r="C186" s="22" t="s">
        <v>4197</v>
      </c>
      <c r="D186" s="22" t="s">
        <v>141</v>
      </c>
      <c r="E186" s="22">
        <v>1.0</v>
      </c>
      <c r="F186" s="22"/>
      <c r="G186" s="22" t="s">
        <v>82</v>
      </c>
      <c r="H186" s="26">
        <v>45997.0</v>
      </c>
      <c r="I186" s="22"/>
      <c r="J186" s="22" t="s">
        <v>83</v>
      </c>
      <c r="K186" s="22" t="s">
        <v>143</v>
      </c>
      <c r="L186" s="35" t="s">
        <v>4198</v>
      </c>
      <c r="M186" s="32" t="s">
        <v>54</v>
      </c>
    </row>
    <row r="187">
      <c r="A187" s="22" t="s">
        <v>888</v>
      </c>
      <c r="B187" s="22" t="s">
        <v>4199</v>
      </c>
      <c r="C187" s="22" t="s">
        <v>4200</v>
      </c>
      <c r="D187" s="22" t="s">
        <v>885</v>
      </c>
      <c r="E187" s="22">
        <v>1.0</v>
      </c>
      <c r="F187" s="22"/>
      <c r="G187" s="22" t="s">
        <v>287</v>
      </c>
      <c r="H187" s="26">
        <v>45994.0</v>
      </c>
      <c r="I187" s="22" t="s">
        <v>887</v>
      </c>
      <c r="J187" s="22" t="s">
        <v>605</v>
      </c>
      <c r="K187" s="22" t="s">
        <v>890</v>
      </c>
      <c r="L187" s="35" t="s">
        <v>4201</v>
      </c>
      <c r="M187" s="32" t="s">
        <v>127</v>
      </c>
    </row>
    <row r="188">
      <c r="A188" s="22" t="s">
        <v>891</v>
      </c>
      <c r="B188" s="22" t="s">
        <v>4202</v>
      </c>
      <c r="C188" s="22" t="s">
        <v>4203</v>
      </c>
      <c r="D188" s="22" t="s">
        <v>859</v>
      </c>
      <c r="E188" s="22">
        <v>1.0</v>
      </c>
      <c r="F188" s="22"/>
      <c r="G188" s="22" t="s">
        <v>287</v>
      </c>
      <c r="H188" s="26">
        <v>45994.0</v>
      </c>
      <c r="I188" s="22" t="s">
        <v>252</v>
      </c>
      <c r="J188" s="22" t="s">
        <v>605</v>
      </c>
      <c r="K188" s="22" t="s">
        <v>861</v>
      </c>
      <c r="L188" s="35" t="s">
        <v>4204</v>
      </c>
      <c r="M188" s="32" t="s">
        <v>95</v>
      </c>
    </row>
    <row r="189">
      <c r="A189" s="22" t="s">
        <v>892</v>
      </c>
      <c r="B189" s="22" t="s">
        <v>4205</v>
      </c>
      <c r="C189" s="22" t="s">
        <v>4206</v>
      </c>
      <c r="D189" s="22" t="s">
        <v>488</v>
      </c>
      <c r="E189" s="22">
        <v>1.0</v>
      </c>
      <c r="F189" s="22"/>
      <c r="G189" s="22" t="s">
        <v>82</v>
      </c>
      <c r="H189" s="26">
        <v>45997.0</v>
      </c>
      <c r="I189" s="22" t="s">
        <v>134</v>
      </c>
      <c r="J189" s="22" t="s">
        <v>311</v>
      </c>
      <c r="K189" s="22" t="s">
        <v>492</v>
      </c>
      <c r="L189" s="35" t="s">
        <v>4207</v>
      </c>
      <c r="M189" s="32" t="s">
        <v>95</v>
      </c>
    </row>
    <row r="190">
      <c r="A190" s="22" t="s">
        <v>893</v>
      </c>
      <c r="B190" s="22" t="s">
        <v>4208</v>
      </c>
      <c r="C190" s="22" t="s">
        <v>4209</v>
      </c>
      <c r="D190" s="22" t="s">
        <v>124</v>
      </c>
      <c r="E190" s="22">
        <v>1.0</v>
      </c>
      <c r="F190" s="22"/>
      <c r="G190" s="22" t="s">
        <v>82</v>
      </c>
      <c r="H190" s="26">
        <v>45997.0</v>
      </c>
      <c r="I190" s="22"/>
      <c r="J190" s="22" t="s">
        <v>83</v>
      </c>
      <c r="K190" s="22" t="s">
        <v>126</v>
      </c>
      <c r="L190" s="35" t="s">
        <v>4210</v>
      </c>
      <c r="M190" s="32" t="s">
        <v>127</v>
      </c>
    </row>
    <row r="191">
      <c r="A191" s="22" t="s">
        <v>894</v>
      </c>
      <c r="B191" s="22" t="s">
        <v>4211</v>
      </c>
      <c r="C191" s="22" t="s">
        <v>4212</v>
      </c>
      <c r="D191" s="22" t="s">
        <v>632</v>
      </c>
      <c r="E191" s="22">
        <v>1.0</v>
      </c>
      <c r="F191" s="22"/>
      <c r="G191" s="22" t="s">
        <v>82</v>
      </c>
      <c r="H191" s="26">
        <v>45997.0</v>
      </c>
      <c r="I191" s="22" t="s">
        <v>177</v>
      </c>
      <c r="J191" s="22" t="s">
        <v>634</v>
      </c>
      <c r="K191" s="22" t="s">
        <v>637</v>
      </c>
      <c r="L191" s="35" t="s">
        <v>4213</v>
      </c>
      <c r="M191" s="32" t="s">
        <v>91</v>
      </c>
    </row>
    <row r="192">
      <c r="A192" s="22" t="s">
        <v>913</v>
      </c>
      <c r="B192" s="22" t="s">
        <v>4214</v>
      </c>
      <c r="C192" s="22" t="s">
        <v>4215</v>
      </c>
      <c r="D192" s="22" t="s">
        <v>912</v>
      </c>
      <c r="E192" s="22">
        <v>1.0</v>
      </c>
      <c r="F192" s="22"/>
      <c r="G192" s="22" t="s">
        <v>82</v>
      </c>
      <c r="H192" s="26">
        <v>45997.0</v>
      </c>
      <c r="I192" s="22" t="s">
        <v>153</v>
      </c>
      <c r="J192" s="22" t="s">
        <v>377</v>
      </c>
      <c r="K192" s="22" t="s">
        <v>914</v>
      </c>
      <c r="L192" s="35" t="s">
        <v>4216</v>
      </c>
      <c r="M192" s="32" t="s">
        <v>54</v>
      </c>
    </row>
    <row r="193">
      <c r="A193" s="22" t="s">
        <v>915</v>
      </c>
      <c r="B193" s="22" t="s">
        <v>3855</v>
      </c>
      <c r="C193" s="22" t="s">
        <v>4217</v>
      </c>
      <c r="D193" s="22" t="s">
        <v>124</v>
      </c>
      <c r="E193" s="22">
        <v>1.0</v>
      </c>
      <c r="F193" s="22"/>
      <c r="G193" s="22" t="s">
        <v>82</v>
      </c>
      <c r="H193" s="26">
        <v>45997.0</v>
      </c>
      <c r="I193" s="22"/>
      <c r="J193" s="22" t="s">
        <v>83</v>
      </c>
      <c r="K193" s="22" t="s">
        <v>126</v>
      </c>
      <c r="L193" s="35" t="s">
        <v>4218</v>
      </c>
      <c r="M193" s="32" t="s">
        <v>127</v>
      </c>
    </row>
    <row r="194">
      <c r="A194" s="22" t="s">
        <v>944</v>
      </c>
      <c r="B194" s="22" t="s">
        <v>4219</v>
      </c>
      <c r="C194" s="22" t="s">
        <v>4220</v>
      </c>
      <c r="D194" s="22" t="s">
        <v>938</v>
      </c>
      <c r="E194" s="22">
        <v>1.0</v>
      </c>
      <c r="F194" s="22"/>
      <c r="G194" s="22" t="s">
        <v>82</v>
      </c>
      <c r="H194" s="26">
        <v>45997.0</v>
      </c>
      <c r="I194" s="22" t="s">
        <v>145</v>
      </c>
      <c r="J194" s="22" t="s">
        <v>472</v>
      </c>
      <c r="K194" s="22" t="s">
        <v>940</v>
      </c>
      <c r="L194" s="35" t="s">
        <v>4221</v>
      </c>
      <c r="M194" s="32" t="s">
        <v>54</v>
      </c>
    </row>
    <row r="195">
      <c r="A195" s="22" t="s">
        <v>967</v>
      </c>
      <c r="B195" s="22" t="s">
        <v>4222</v>
      </c>
      <c r="C195" s="22" t="s">
        <v>4223</v>
      </c>
      <c r="D195" s="22" t="s">
        <v>80</v>
      </c>
      <c r="E195" s="22">
        <v>1.0</v>
      </c>
      <c r="F195" s="22"/>
      <c r="G195" s="22" t="s">
        <v>273</v>
      </c>
      <c r="H195" s="23">
        <v>45991.0</v>
      </c>
      <c r="I195" s="22"/>
      <c r="J195" s="22" t="s">
        <v>83</v>
      </c>
      <c r="K195" s="22" t="s">
        <v>86</v>
      </c>
      <c r="L195" s="35" t="s">
        <v>4224</v>
      </c>
      <c r="M195" s="32" t="s">
        <v>91</v>
      </c>
    </row>
    <row r="196">
      <c r="A196" s="22" t="s">
        <v>897</v>
      </c>
      <c r="B196" s="22" t="s">
        <v>4225</v>
      </c>
      <c r="C196" s="22" t="s">
        <v>4226</v>
      </c>
      <c r="D196" s="22" t="s">
        <v>895</v>
      </c>
      <c r="E196" s="22">
        <v>1.0</v>
      </c>
      <c r="F196" s="22"/>
      <c r="G196" s="22" t="s">
        <v>82</v>
      </c>
      <c r="H196" s="23">
        <v>46004.0</v>
      </c>
      <c r="I196" s="22" t="s">
        <v>181</v>
      </c>
      <c r="J196" s="22" t="s">
        <v>203</v>
      </c>
      <c r="K196" s="22" t="s">
        <v>899</v>
      </c>
      <c r="L196" s="35" t="s">
        <v>4227</v>
      </c>
      <c r="M196" s="32" t="s">
        <v>132</v>
      </c>
    </row>
    <row r="197">
      <c r="A197" s="22" t="s">
        <v>927</v>
      </c>
      <c r="B197" s="22" t="s">
        <v>4228</v>
      </c>
      <c r="C197" s="22" t="s">
        <v>4229</v>
      </c>
      <c r="D197" s="22" t="s">
        <v>96</v>
      </c>
      <c r="E197" s="22">
        <v>1.0</v>
      </c>
      <c r="F197" s="22"/>
      <c r="G197" s="22" t="s">
        <v>82</v>
      </c>
      <c r="H197" s="26">
        <v>45997.0</v>
      </c>
      <c r="I197" s="22"/>
      <c r="J197" s="22" t="s">
        <v>83</v>
      </c>
      <c r="K197" s="22" t="s">
        <v>98</v>
      </c>
      <c r="L197" s="35" t="s">
        <v>4230</v>
      </c>
      <c r="M197" s="32" t="s">
        <v>55</v>
      </c>
    </row>
    <row r="198">
      <c r="A198" s="22" t="s">
        <v>917</v>
      </c>
      <c r="B198" s="22" t="s">
        <v>4231</v>
      </c>
      <c r="C198" s="22" t="s">
        <v>4232</v>
      </c>
      <c r="D198" s="22" t="s">
        <v>276</v>
      </c>
      <c r="E198" s="22">
        <v>1.0</v>
      </c>
      <c r="F198" s="22"/>
      <c r="G198" s="22" t="s">
        <v>273</v>
      </c>
      <c r="H198" s="26">
        <v>45998.0</v>
      </c>
      <c r="I198" s="22" t="s">
        <v>187</v>
      </c>
      <c r="J198" s="22" t="s">
        <v>278</v>
      </c>
      <c r="K198" s="22" t="s">
        <v>281</v>
      </c>
      <c r="L198" s="35" t="s">
        <v>4233</v>
      </c>
      <c r="M198" s="32" t="s">
        <v>55</v>
      </c>
    </row>
    <row r="199">
      <c r="A199" s="22" t="s">
        <v>918</v>
      </c>
      <c r="B199" s="22" t="s">
        <v>4234</v>
      </c>
      <c r="C199" s="22" t="s">
        <v>4235</v>
      </c>
      <c r="D199" s="22" t="s">
        <v>437</v>
      </c>
      <c r="E199" s="22">
        <v>1.0</v>
      </c>
      <c r="F199" s="22"/>
      <c r="G199" s="22" t="s">
        <v>273</v>
      </c>
      <c r="H199" s="26">
        <v>45998.0</v>
      </c>
      <c r="I199" s="22" t="s">
        <v>187</v>
      </c>
      <c r="J199" s="22" t="s">
        <v>440</v>
      </c>
      <c r="K199" s="22" t="s">
        <v>443</v>
      </c>
      <c r="L199" s="35" t="s">
        <v>4236</v>
      </c>
      <c r="M199" s="32" t="s">
        <v>91</v>
      </c>
    </row>
    <row r="200">
      <c r="A200" s="22" t="s">
        <v>919</v>
      </c>
      <c r="B200" s="22" t="s">
        <v>4237</v>
      </c>
      <c r="C200" s="22" t="s">
        <v>4238</v>
      </c>
      <c r="D200" s="22" t="s">
        <v>80</v>
      </c>
      <c r="E200" s="22">
        <v>1.0</v>
      </c>
      <c r="F200" s="22"/>
      <c r="G200" s="22" t="s">
        <v>82</v>
      </c>
      <c r="H200" s="26">
        <v>45997.0</v>
      </c>
      <c r="I200" s="22"/>
      <c r="J200" s="22" t="s">
        <v>83</v>
      </c>
      <c r="K200" s="22" t="s">
        <v>86</v>
      </c>
      <c r="L200" s="35" t="s">
        <v>4239</v>
      </c>
      <c r="M200" s="32" t="s">
        <v>91</v>
      </c>
    </row>
    <row r="201">
      <c r="A201" s="22" t="s">
        <v>904</v>
      </c>
      <c r="B201" s="22" t="s">
        <v>4240</v>
      </c>
      <c r="C201" s="22" t="s">
        <v>4241</v>
      </c>
      <c r="D201" s="22" t="s">
        <v>902</v>
      </c>
      <c r="E201" s="22">
        <v>1.0</v>
      </c>
      <c r="F201" s="22"/>
      <c r="G201" s="22" t="s">
        <v>273</v>
      </c>
      <c r="H201" s="23">
        <v>45991.0</v>
      </c>
      <c r="I201" s="22" t="s">
        <v>243</v>
      </c>
      <c r="J201" s="22" t="s">
        <v>329</v>
      </c>
      <c r="K201" s="22" t="s">
        <v>906</v>
      </c>
      <c r="L201" s="35" t="s">
        <v>4242</v>
      </c>
      <c r="M201" s="32" t="s">
        <v>105</v>
      </c>
    </row>
    <row r="202">
      <c r="A202" s="22" t="s">
        <v>910</v>
      </c>
      <c r="B202" s="22" t="s">
        <v>4196</v>
      </c>
      <c r="C202" s="22" t="s">
        <v>4243</v>
      </c>
      <c r="D202" s="22" t="s">
        <v>200</v>
      </c>
      <c r="E202" s="22">
        <v>1.0</v>
      </c>
      <c r="F202" s="22"/>
      <c r="G202" s="22" t="s">
        <v>82</v>
      </c>
      <c r="H202" s="23">
        <v>46004.0</v>
      </c>
      <c r="I202" s="22" t="s">
        <v>134</v>
      </c>
      <c r="J202" s="22" t="s">
        <v>203</v>
      </c>
      <c r="K202" s="22" t="s">
        <v>206</v>
      </c>
      <c r="L202" s="35" t="s">
        <v>4244</v>
      </c>
      <c r="M202" s="32" t="s">
        <v>54</v>
      </c>
    </row>
    <row r="203">
      <c r="A203" s="22" t="s">
        <v>916</v>
      </c>
      <c r="B203" s="22" t="s">
        <v>4245</v>
      </c>
      <c r="C203" s="22" t="s">
        <v>4246</v>
      </c>
      <c r="D203" s="22" t="s">
        <v>200</v>
      </c>
      <c r="E203" s="22">
        <v>1.0</v>
      </c>
      <c r="F203" s="22"/>
      <c r="G203" s="22" t="s">
        <v>82</v>
      </c>
      <c r="H203" s="23">
        <v>46004.0</v>
      </c>
      <c r="I203" s="22" t="s">
        <v>134</v>
      </c>
      <c r="J203" s="22" t="s">
        <v>203</v>
      </c>
      <c r="K203" s="22" t="s">
        <v>206</v>
      </c>
      <c r="L203" s="35" t="s">
        <v>4247</v>
      </c>
      <c r="M203" s="32" t="s">
        <v>54</v>
      </c>
    </row>
    <row r="204">
      <c r="A204" s="22" t="s">
        <v>920</v>
      </c>
      <c r="B204" s="22" t="s">
        <v>4248</v>
      </c>
      <c r="C204" s="22" t="s">
        <v>4200</v>
      </c>
      <c r="D204" s="22" t="s">
        <v>96</v>
      </c>
      <c r="E204" s="22">
        <v>1.0</v>
      </c>
      <c r="F204" s="22"/>
      <c r="G204" s="22" t="s">
        <v>202</v>
      </c>
      <c r="H204" s="26">
        <v>45996.0</v>
      </c>
      <c r="I204" s="22"/>
      <c r="J204" s="22" t="s">
        <v>83</v>
      </c>
      <c r="K204" s="22" t="s">
        <v>98</v>
      </c>
      <c r="L204" s="35" t="s">
        <v>4249</v>
      </c>
      <c r="M204" s="32" t="s">
        <v>55</v>
      </c>
    </row>
    <row r="205">
      <c r="A205" s="22" t="s">
        <v>928</v>
      </c>
      <c r="B205" s="22" t="s">
        <v>4042</v>
      </c>
      <c r="C205" s="22" t="s">
        <v>4250</v>
      </c>
      <c r="D205" s="22" t="s">
        <v>560</v>
      </c>
      <c r="E205" s="22">
        <v>1.0</v>
      </c>
      <c r="F205" s="22"/>
      <c r="G205" s="22" t="s">
        <v>273</v>
      </c>
      <c r="H205" s="23">
        <v>45991.0</v>
      </c>
      <c r="I205" s="22" t="s">
        <v>149</v>
      </c>
      <c r="J205" s="22" t="s">
        <v>356</v>
      </c>
      <c r="K205" s="22" t="s">
        <v>563</v>
      </c>
      <c r="L205" s="35" t="s">
        <v>4251</v>
      </c>
      <c r="M205" s="32" t="s">
        <v>91</v>
      </c>
    </row>
    <row r="206">
      <c r="A206" s="22" t="s">
        <v>964</v>
      </c>
      <c r="B206" s="22" t="s">
        <v>3725</v>
      </c>
      <c r="C206" s="22" t="s">
        <v>4252</v>
      </c>
      <c r="D206" s="22" t="s">
        <v>962</v>
      </c>
      <c r="E206" s="22">
        <v>1.0</v>
      </c>
      <c r="F206" s="22"/>
      <c r="G206" s="22" t="s">
        <v>273</v>
      </c>
      <c r="H206" s="26">
        <v>45998.0</v>
      </c>
      <c r="I206" s="22" t="s">
        <v>841</v>
      </c>
      <c r="J206" s="22" t="s">
        <v>634</v>
      </c>
      <c r="K206" s="22" t="s">
        <v>966</v>
      </c>
      <c r="L206" s="35" t="s">
        <v>4253</v>
      </c>
      <c r="M206" s="32" t="s">
        <v>127</v>
      </c>
    </row>
    <row r="207">
      <c r="A207" s="22" t="s">
        <v>964</v>
      </c>
      <c r="B207" s="22" t="s">
        <v>3725</v>
      </c>
      <c r="C207" s="22" t="s">
        <v>4252</v>
      </c>
      <c r="D207" s="22" t="s">
        <v>732</v>
      </c>
      <c r="E207" s="22">
        <v>1.0</v>
      </c>
      <c r="F207" s="22"/>
      <c r="G207" s="22" t="s">
        <v>273</v>
      </c>
      <c r="H207" s="26">
        <v>45998.0</v>
      </c>
      <c r="I207" s="22" t="s">
        <v>841</v>
      </c>
      <c r="J207" s="22" t="s">
        <v>634</v>
      </c>
      <c r="K207" s="22" t="s">
        <v>737</v>
      </c>
      <c r="L207" s="35" t="s">
        <v>4254</v>
      </c>
      <c r="M207" s="32" t="s">
        <v>105</v>
      </c>
    </row>
    <row r="208">
      <c r="A208" s="22" t="s">
        <v>930</v>
      </c>
      <c r="B208" s="22" t="s">
        <v>3938</v>
      </c>
      <c r="C208" s="22" t="s">
        <v>4255</v>
      </c>
      <c r="D208" s="22" t="s">
        <v>488</v>
      </c>
      <c r="E208" s="22">
        <v>1.0</v>
      </c>
      <c r="F208" s="22"/>
      <c r="G208" s="22" t="s">
        <v>287</v>
      </c>
      <c r="H208" s="23">
        <v>46001.0</v>
      </c>
      <c r="I208" s="22" t="s">
        <v>134</v>
      </c>
      <c r="J208" s="22" t="s">
        <v>311</v>
      </c>
      <c r="K208" s="22" t="s">
        <v>492</v>
      </c>
      <c r="L208" s="35" t="s">
        <v>4256</v>
      </c>
      <c r="M208" s="32" t="s">
        <v>95</v>
      </c>
    </row>
    <row r="209">
      <c r="A209" s="22" t="s">
        <v>932</v>
      </c>
      <c r="B209" s="22" t="s">
        <v>4257</v>
      </c>
      <c r="C209" s="22" t="s">
        <v>3927</v>
      </c>
      <c r="D209" s="22" t="s">
        <v>545</v>
      </c>
      <c r="E209" s="22">
        <v>1.0</v>
      </c>
      <c r="F209" s="22"/>
      <c r="G209" s="22" t="s">
        <v>273</v>
      </c>
      <c r="H209" s="23">
        <v>45991.0</v>
      </c>
      <c r="I209" s="22" t="s">
        <v>149</v>
      </c>
      <c r="J209" s="22" t="s">
        <v>356</v>
      </c>
      <c r="K209" s="22" t="s">
        <v>549</v>
      </c>
      <c r="L209" s="35" t="s">
        <v>4258</v>
      </c>
      <c r="M209" s="32" t="s">
        <v>55</v>
      </c>
    </row>
    <row r="210">
      <c r="A210" s="22" t="s">
        <v>935</v>
      </c>
      <c r="B210" s="22" t="s">
        <v>4008</v>
      </c>
      <c r="C210" s="22" t="s">
        <v>4259</v>
      </c>
      <c r="D210" s="22" t="s">
        <v>732</v>
      </c>
      <c r="E210" s="22">
        <v>1.0</v>
      </c>
      <c r="F210" s="22"/>
      <c r="G210" s="22" t="s">
        <v>82</v>
      </c>
      <c r="H210" s="23">
        <v>46004.0</v>
      </c>
      <c r="I210" s="22" t="s">
        <v>934</v>
      </c>
      <c r="J210" s="22" t="s">
        <v>634</v>
      </c>
      <c r="K210" s="22" t="s">
        <v>737</v>
      </c>
      <c r="L210" s="35" t="s">
        <v>4260</v>
      </c>
      <c r="M210" s="32" t="s">
        <v>105</v>
      </c>
    </row>
    <row r="211">
      <c r="A211" s="22" t="s">
        <v>937</v>
      </c>
      <c r="B211" s="22" t="s">
        <v>4261</v>
      </c>
      <c r="C211" s="22" t="s">
        <v>4262</v>
      </c>
      <c r="D211" s="22" t="s">
        <v>488</v>
      </c>
      <c r="E211" s="22">
        <v>1.0</v>
      </c>
      <c r="F211" s="22"/>
      <c r="G211" s="22" t="s">
        <v>82</v>
      </c>
      <c r="H211" s="26">
        <v>45997.0</v>
      </c>
      <c r="I211" s="22" t="s">
        <v>134</v>
      </c>
      <c r="J211" s="22" t="s">
        <v>311</v>
      </c>
      <c r="K211" s="22" t="s">
        <v>492</v>
      </c>
      <c r="L211" s="35" t="s">
        <v>4263</v>
      </c>
      <c r="M211" s="32" t="s">
        <v>95</v>
      </c>
    </row>
    <row r="212">
      <c r="A212" s="22" t="s">
        <v>939</v>
      </c>
      <c r="B212" s="22" t="s">
        <v>4264</v>
      </c>
      <c r="C212" s="22" t="s">
        <v>4265</v>
      </c>
      <c r="D212" s="22" t="s">
        <v>938</v>
      </c>
      <c r="E212" s="22">
        <v>1.0</v>
      </c>
      <c r="F212" s="22"/>
      <c r="G212" s="22" t="s">
        <v>82</v>
      </c>
      <c r="H212" s="26">
        <v>45997.0</v>
      </c>
      <c r="I212" s="22" t="s">
        <v>134</v>
      </c>
      <c r="J212" s="22" t="s">
        <v>472</v>
      </c>
      <c r="K212" s="22" t="s">
        <v>940</v>
      </c>
      <c r="L212" s="35" t="s">
        <v>4266</v>
      </c>
      <c r="M212" s="32" t="s">
        <v>54</v>
      </c>
    </row>
    <row r="213">
      <c r="A213" s="22" t="s">
        <v>925</v>
      </c>
      <c r="B213" s="22" t="s">
        <v>4267</v>
      </c>
      <c r="C213" s="22" t="s">
        <v>4268</v>
      </c>
      <c r="D213" s="22" t="s">
        <v>924</v>
      </c>
      <c r="E213" s="22">
        <v>1.0</v>
      </c>
      <c r="F213" s="22"/>
      <c r="G213" s="22" t="s">
        <v>82</v>
      </c>
      <c r="H213" s="26">
        <v>45997.0</v>
      </c>
      <c r="I213" s="22" t="s">
        <v>149</v>
      </c>
      <c r="J213" s="22" t="s">
        <v>623</v>
      </c>
      <c r="K213" s="22" t="s">
        <v>926</v>
      </c>
      <c r="L213" s="35" t="s">
        <v>4269</v>
      </c>
      <c r="M213" s="32" t="s">
        <v>55</v>
      </c>
    </row>
    <row r="214">
      <c r="A214" s="22" t="s">
        <v>4270</v>
      </c>
      <c r="B214" s="22" t="s">
        <v>4271</v>
      </c>
      <c r="C214" s="22" t="s">
        <v>4272</v>
      </c>
      <c r="D214" s="22" t="s">
        <v>4044</v>
      </c>
      <c r="E214" s="22">
        <v>1.0</v>
      </c>
      <c r="F214" s="22"/>
      <c r="G214" s="22" t="s">
        <v>1284</v>
      </c>
      <c r="H214" s="26">
        <v>46000.0</v>
      </c>
      <c r="I214" s="22" t="s">
        <v>149</v>
      </c>
      <c r="J214" s="22" t="s">
        <v>4045</v>
      </c>
      <c r="K214" s="22" t="s">
        <v>4046</v>
      </c>
      <c r="L214" s="35" t="s">
        <v>4273</v>
      </c>
      <c r="M214" s="32" t="s">
        <v>55</v>
      </c>
    </row>
    <row r="215">
      <c r="A215" s="22" t="s">
        <v>942</v>
      </c>
      <c r="B215" s="22" t="s">
        <v>4274</v>
      </c>
      <c r="C215" s="22" t="s">
        <v>4275</v>
      </c>
      <c r="D215" s="22" t="s">
        <v>317</v>
      </c>
      <c r="E215" s="22">
        <v>1.0</v>
      </c>
      <c r="F215" s="22"/>
      <c r="G215" s="22" t="s">
        <v>82</v>
      </c>
      <c r="H215" s="26">
        <v>45997.0</v>
      </c>
      <c r="I215" s="22" t="s">
        <v>196</v>
      </c>
      <c r="J215" s="22" t="s">
        <v>319</v>
      </c>
      <c r="K215" s="22" t="s">
        <v>322</v>
      </c>
      <c r="L215" s="35" t="s">
        <v>4276</v>
      </c>
      <c r="M215" s="32" t="s">
        <v>55</v>
      </c>
    </row>
    <row r="216">
      <c r="A216" s="22" t="s">
        <v>947</v>
      </c>
      <c r="B216" s="22" t="s">
        <v>4277</v>
      </c>
      <c r="C216" s="22" t="s">
        <v>4278</v>
      </c>
      <c r="D216" s="22" t="s">
        <v>108</v>
      </c>
      <c r="E216" s="22">
        <v>1.0</v>
      </c>
      <c r="F216" s="22"/>
      <c r="G216" s="22" t="s">
        <v>273</v>
      </c>
      <c r="H216" s="23">
        <v>45991.0</v>
      </c>
      <c r="I216" s="22" t="s">
        <v>219</v>
      </c>
      <c r="J216" s="22" t="s">
        <v>111</v>
      </c>
      <c r="K216" s="22" t="s">
        <v>114</v>
      </c>
      <c r="L216" s="35" t="s">
        <v>4279</v>
      </c>
      <c r="M216" s="32" t="s">
        <v>54</v>
      </c>
    </row>
    <row r="217">
      <c r="A217" s="22" t="s">
        <v>949</v>
      </c>
      <c r="B217" s="22" t="s">
        <v>4280</v>
      </c>
      <c r="C217" s="22" t="s">
        <v>4281</v>
      </c>
      <c r="D217" s="22" t="s">
        <v>470</v>
      </c>
      <c r="E217" s="22">
        <v>1.0</v>
      </c>
      <c r="F217" s="22"/>
      <c r="G217" s="22" t="s">
        <v>82</v>
      </c>
      <c r="H217" s="26">
        <v>45997.0</v>
      </c>
      <c r="I217" s="22" t="s">
        <v>134</v>
      </c>
      <c r="J217" s="22" t="s">
        <v>472</v>
      </c>
      <c r="K217" s="22" t="s">
        <v>475</v>
      </c>
      <c r="L217" s="35" t="s">
        <v>4282</v>
      </c>
      <c r="M217" s="32" t="s">
        <v>91</v>
      </c>
    </row>
    <row r="218">
      <c r="A218" s="22" t="s">
        <v>951</v>
      </c>
      <c r="B218" s="22" t="s">
        <v>4283</v>
      </c>
      <c r="C218" s="22" t="s">
        <v>4284</v>
      </c>
      <c r="D218" s="22" t="s">
        <v>950</v>
      </c>
      <c r="E218" s="22">
        <v>1.0</v>
      </c>
      <c r="F218" s="22"/>
      <c r="G218" s="22" t="s">
        <v>82</v>
      </c>
      <c r="H218" s="26">
        <v>45997.0</v>
      </c>
      <c r="I218" s="22" t="s">
        <v>439</v>
      </c>
      <c r="J218" s="22" t="s">
        <v>698</v>
      </c>
      <c r="K218" s="22" t="s">
        <v>952</v>
      </c>
      <c r="L218" s="35" t="s">
        <v>4285</v>
      </c>
      <c r="M218" s="32" t="s">
        <v>54</v>
      </c>
    </row>
    <row r="219">
      <c r="A219" s="22" t="s">
        <v>922</v>
      </c>
      <c r="B219" s="22" t="s">
        <v>4286</v>
      </c>
      <c r="C219" s="22" t="s">
        <v>4287</v>
      </c>
      <c r="D219" s="22" t="s">
        <v>783</v>
      </c>
      <c r="E219" s="22">
        <v>1.0</v>
      </c>
      <c r="F219" s="22"/>
      <c r="G219" s="22" t="s">
        <v>82</v>
      </c>
      <c r="H219" s="26">
        <v>45997.0</v>
      </c>
      <c r="I219" s="22" t="s">
        <v>266</v>
      </c>
      <c r="J219" s="22" t="s">
        <v>303</v>
      </c>
      <c r="K219" s="22" t="s">
        <v>785</v>
      </c>
      <c r="L219" s="35" t="s">
        <v>4288</v>
      </c>
      <c r="M219" s="32" t="s">
        <v>95</v>
      </c>
    </row>
    <row r="220">
      <c r="A220" s="22" t="s">
        <v>953</v>
      </c>
      <c r="B220" s="22" t="s">
        <v>4289</v>
      </c>
      <c r="C220" s="22" t="s">
        <v>4290</v>
      </c>
      <c r="D220" s="22" t="s">
        <v>611</v>
      </c>
      <c r="E220" s="22">
        <v>1.0</v>
      </c>
      <c r="F220" s="22"/>
      <c r="G220" s="22" t="s">
        <v>273</v>
      </c>
      <c r="H220" s="26">
        <v>45998.0</v>
      </c>
      <c r="I220" s="22" t="s">
        <v>134</v>
      </c>
      <c r="J220" s="22" t="s">
        <v>369</v>
      </c>
      <c r="K220" s="22" t="s">
        <v>613</v>
      </c>
      <c r="L220" s="35" t="s">
        <v>4291</v>
      </c>
      <c r="M220" s="32" t="s">
        <v>105</v>
      </c>
    </row>
    <row r="221">
      <c r="A221" s="22" t="s">
        <v>954</v>
      </c>
      <c r="B221" s="22" t="s">
        <v>3707</v>
      </c>
      <c r="C221" s="22" t="s">
        <v>4292</v>
      </c>
      <c r="D221" s="22" t="s">
        <v>92</v>
      </c>
      <c r="E221" s="22">
        <v>1.0</v>
      </c>
      <c r="F221" s="22"/>
      <c r="G221" s="22" t="s">
        <v>82</v>
      </c>
      <c r="H221" s="26">
        <v>45997.0</v>
      </c>
      <c r="I221" s="22"/>
      <c r="J221" s="22" t="s">
        <v>83</v>
      </c>
      <c r="K221" s="22" t="s">
        <v>94</v>
      </c>
      <c r="L221" s="35" t="s">
        <v>4293</v>
      </c>
      <c r="M221" s="32" t="s">
        <v>95</v>
      </c>
    </row>
    <row r="222">
      <c r="A222" s="22" t="s">
        <v>955</v>
      </c>
      <c r="B222" s="22" t="s">
        <v>4294</v>
      </c>
      <c r="C222" s="22" t="s">
        <v>4295</v>
      </c>
      <c r="D222" s="22" t="s">
        <v>166</v>
      </c>
      <c r="E222" s="22">
        <v>1.0</v>
      </c>
      <c r="F222" s="22"/>
      <c r="G222" s="22" t="s">
        <v>82</v>
      </c>
      <c r="H222" s="26">
        <v>45997.0</v>
      </c>
      <c r="I222" s="22" t="s">
        <v>230</v>
      </c>
      <c r="J222" s="22" t="s">
        <v>111</v>
      </c>
      <c r="K222" s="22" t="s">
        <v>171</v>
      </c>
      <c r="L222" s="35" t="s">
        <v>4296</v>
      </c>
      <c r="M222" s="32" t="s">
        <v>55</v>
      </c>
    </row>
    <row r="223">
      <c r="A223" s="22" t="s">
        <v>957</v>
      </c>
      <c r="B223" s="22" t="s">
        <v>4297</v>
      </c>
      <c r="C223" s="22" t="s">
        <v>4298</v>
      </c>
      <c r="D223" s="22" t="s">
        <v>632</v>
      </c>
      <c r="E223" s="22">
        <v>1.0</v>
      </c>
      <c r="F223" s="22"/>
      <c r="G223" s="22" t="s">
        <v>273</v>
      </c>
      <c r="H223" s="26">
        <v>45998.0</v>
      </c>
      <c r="I223" s="22" t="s">
        <v>219</v>
      </c>
      <c r="J223" s="22" t="s">
        <v>634</v>
      </c>
      <c r="K223" s="22" t="s">
        <v>637</v>
      </c>
      <c r="L223" s="35" t="s">
        <v>4299</v>
      </c>
      <c r="M223" s="32" t="s">
        <v>91</v>
      </c>
    </row>
    <row r="224">
      <c r="A224" s="22" t="s">
        <v>959</v>
      </c>
      <c r="B224" s="22" t="s">
        <v>4300</v>
      </c>
      <c r="C224" s="22" t="s">
        <v>4301</v>
      </c>
      <c r="D224" s="22" t="s">
        <v>550</v>
      </c>
      <c r="E224" s="22">
        <v>1.0</v>
      </c>
      <c r="F224" s="22"/>
      <c r="G224" s="22" t="s">
        <v>82</v>
      </c>
      <c r="H224" s="26">
        <v>45997.0</v>
      </c>
      <c r="I224" s="22" t="s">
        <v>153</v>
      </c>
      <c r="J224" s="22" t="s">
        <v>377</v>
      </c>
      <c r="K224" s="22" t="s">
        <v>552</v>
      </c>
      <c r="L224" s="35" t="s">
        <v>4302</v>
      </c>
      <c r="M224" s="32" t="s">
        <v>95</v>
      </c>
    </row>
    <row r="225">
      <c r="A225" s="22" t="s">
        <v>960</v>
      </c>
      <c r="B225" s="22" t="s">
        <v>4303</v>
      </c>
      <c r="C225" s="22" t="s">
        <v>4304</v>
      </c>
      <c r="D225" s="22" t="s">
        <v>689</v>
      </c>
      <c r="E225" s="22">
        <v>1.0</v>
      </c>
      <c r="F225" s="22"/>
      <c r="G225" s="22" t="s">
        <v>82</v>
      </c>
      <c r="H225" s="26">
        <v>45997.0</v>
      </c>
      <c r="I225" s="22" t="s">
        <v>153</v>
      </c>
      <c r="J225" s="22" t="s">
        <v>377</v>
      </c>
      <c r="K225" s="22" t="s">
        <v>691</v>
      </c>
      <c r="L225" s="35" t="s">
        <v>4305</v>
      </c>
      <c r="M225" s="32" t="s">
        <v>175</v>
      </c>
    </row>
    <row r="226">
      <c r="A226" s="22" t="s">
        <v>961</v>
      </c>
      <c r="B226" s="22" t="s">
        <v>4306</v>
      </c>
      <c r="C226" s="22" t="s">
        <v>4307</v>
      </c>
      <c r="D226" s="22" t="s">
        <v>529</v>
      </c>
      <c r="E226" s="22">
        <v>1.0</v>
      </c>
      <c r="F226" s="22"/>
      <c r="G226" s="22" t="s">
        <v>273</v>
      </c>
      <c r="H226" s="26">
        <v>45998.0</v>
      </c>
      <c r="I226" s="22" t="s">
        <v>134</v>
      </c>
      <c r="J226" s="22" t="s">
        <v>472</v>
      </c>
      <c r="K226" s="22" t="s">
        <v>533</v>
      </c>
      <c r="L226" s="35" t="s">
        <v>4308</v>
      </c>
      <c r="M226" s="32" t="s">
        <v>127</v>
      </c>
    </row>
    <row r="227">
      <c r="A227" s="22" t="s">
        <v>996</v>
      </c>
      <c r="B227" s="22" t="s">
        <v>4309</v>
      </c>
      <c r="C227" s="22" t="s">
        <v>4061</v>
      </c>
      <c r="D227" s="22" t="s">
        <v>732</v>
      </c>
      <c r="E227" s="22">
        <v>1.0</v>
      </c>
      <c r="F227" s="22"/>
      <c r="G227" s="22" t="s">
        <v>273</v>
      </c>
      <c r="H227" s="23">
        <v>46005.0</v>
      </c>
      <c r="I227" s="22" t="s">
        <v>934</v>
      </c>
      <c r="J227" s="22" t="s">
        <v>634</v>
      </c>
      <c r="K227" s="22" t="s">
        <v>737</v>
      </c>
      <c r="L227" s="35" t="s">
        <v>4310</v>
      </c>
      <c r="M227" s="32" t="s">
        <v>105</v>
      </c>
    </row>
    <row r="228">
      <c r="A228" s="22" t="s">
        <v>941</v>
      </c>
      <c r="B228" s="22" t="s">
        <v>4311</v>
      </c>
      <c r="C228" s="22" t="s">
        <v>4312</v>
      </c>
      <c r="D228" s="22" t="s">
        <v>141</v>
      </c>
      <c r="E228" s="22">
        <v>1.0</v>
      </c>
      <c r="F228" s="22"/>
      <c r="G228" s="22" t="s">
        <v>82</v>
      </c>
      <c r="H228" s="26">
        <v>45997.0</v>
      </c>
      <c r="I228" s="22"/>
      <c r="J228" s="22" t="s">
        <v>83</v>
      </c>
      <c r="K228" s="22" t="s">
        <v>143</v>
      </c>
      <c r="L228" s="35" t="s">
        <v>4313</v>
      </c>
      <c r="M228" s="32" t="s">
        <v>54</v>
      </c>
    </row>
    <row r="229">
      <c r="A229" s="22" t="s">
        <v>971</v>
      </c>
      <c r="B229" s="22" t="s">
        <v>4228</v>
      </c>
      <c r="C229" s="22" t="s">
        <v>4314</v>
      </c>
      <c r="D229" s="22" t="s">
        <v>632</v>
      </c>
      <c r="E229" s="22">
        <v>1.0</v>
      </c>
      <c r="F229" s="22"/>
      <c r="G229" s="22" t="s">
        <v>82</v>
      </c>
      <c r="H229" s="26">
        <v>45997.0</v>
      </c>
      <c r="I229" s="22" t="s">
        <v>970</v>
      </c>
      <c r="J229" s="22" t="s">
        <v>634</v>
      </c>
      <c r="K229" s="22" t="s">
        <v>637</v>
      </c>
      <c r="L229" s="35" t="s">
        <v>4315</v>
      </c>
      <c r="M229" s="32" t="s">
        <v>91</v>
      </c>
    </row>
    <row r="230">
      <c r="A230" s="22" t="s">
        <v>976</v>
      </c>
      <c r="B230" s="22" t="s">
        <v>3992</v>
      </c>
      <c r="C230" s="22" t="s">
        <v>4316</v>
      </c>
      <c r="D230" s="22" t="s">
        <v>973</v>
      </c>
      <c r="E230" s="22">
        <v>1.0</v>
      </c>
      <c r="F230" s="22"/>
      <c r="G230" s="22" t="s">
        <v>273</v>
      </c>
      <c r="H230" s="26">
        <v>45998.0</v>
      </c>
      <c r="I230" s="22" t="s">
        <v>975</v>
      </c>
      <c r="J230" s="22" t="s">
        <v>440</v>
      </c>
      <c r="K230" s="22" t="s">
        <v>978</v>
      </c>
      <c r="L230" s="35" t="s">
        <v>4317</v>
      </c>
      <c r="M230" s="32" t="s">
        <v>105</v>
      </c>
    </row>
    <row r="231">
      <c r="A231" s="22" t="s">
        <v>982</v>
      </c>
      <c r="B231" s="22" t="s">
        <v>4318</v>
      </c>
      <c r="C231" s="22" t="s">
        <v>4319</v>
      </c>
      <c r="D231" s="22" t="s">
        <v>979</v>
      </c>
      <c r="E231" s="22">
        <v>1.0</v>
      </c>
      <c r="F231" s="22"/>
      <c r="G231" s="22" t="s">
        <v>287</v>
      </c>
      <c r="H231" s="26">
        <v>45994.0</v>
      </c>
      <c r="I231" s="22" t="s">
        <v>981</v>
      </c>
      <c r="J231" s="22" t="s">
        <v>605</v>
      </c>
      <c r="K231" s="22" t="s">
        <v>984</v>
      </c>
      <c r="L231" s="35" t="s">
        <v>4320</v>
      </c>
      <c r="M231" s="32" t="s">
        <v>55</v>
      </c>
    </row>
    <row r="232">
      <c r="A232" s="22" t="s">
        <v>4321</v>
      </c>
      <c r="B232" s="22" t="s">
        <v>4322</v>
      </c>
      <c r="C232" s="22" t="s">
        <v>4323</v>
      </c>
      <c r="D232" s="22" t="s">
        <v>4324</v>
      </c>
      <c r="E232" s="22">
        <v>1.0</v>
      </c>
      <c r="F232" s="22"/>
      <c r="G232" s="22" t="s">
        <v>1284</v>
      </c>
      <c r="H232" s="26">
        <v>45993.0</v>
      </c>
      <c r="I232" s="22" t="s">
        <v>981</v>
      </c>
      <c r="J232" s="22" t="s">
        <v>4325</v>
      </c>
      <c r="K232" s="22" t="s">
        <v>4326</v>
      </c>
      <c r="L232" s="35" t="s">
        <v>4327</v>
      </c>
      <c r="M232" s="32" t="s">
        <v>54</v>
      </c>
    </row>
    <row r="233">
      <c r="A233" s="22" t="s">
        <v>985</v>
      </c>
      <c r="B233" s="22" t="s">
        <v>4328</v>
      </c>
      <c r="C233" s="22" t="s">
        <v>4329</v>
      </c>
      <c r="D233" s="22" t="s">
        <v>339</v>
      </c>
      <c r="E233" s="22">
        <v>1.0</v>
      </c>
      <c r="F233" s="22"/>
      <c r="G233" s="22" t="s">
        <v>82</v>
      </c>
      <c r="H233" s="23">
        <v>46004.0</v>
      </c>
      <c r="I233" s="22" t="s">
        <v>187</v>
      </c>
      <c r="J233" s="22" t="s">
        <v>341</v>
      </c>
      <c r="K233" s="22" t="s">
        <v>344</v>
      </c>
      <c r="L233" s="35" t="s">
        <v>4330</v>
      </c>
      <c r="M233" s="32" t="s">
        <v>55</v>
      </c>
    </row>
    <row r="234">
      <c r="A234" s="22" t="s">
        <v>986</v>
      </c>
      <c r="B234" s="22" t="s">
        <v>4331</v>
      </c>
      <c r="C234" s="22" t="s">
        <v>4332</v>
      </c>
      <c r="D234" s="22" t="s">
        <v>740</v>
      </c>
      <c r="E234" s="22">
        <v>1.0</v>
      </c>
      <c r="F234" s="22"/>
      <c r="G234" s="22" t="s">
        <v>273</v>
      </c>
      <c r="H234" s="26">
        <v>45998.0</v>
      </c>
      <c r="I234" s="22" t="s">
        <v>149</v>
      </c>
      <c r="J234" s="22" t="s">
        <v>303</v>
      </c>
      <c r="K234" s="22" t="s">
        <v>744</v>
      </c>
      <c r="L234" s="35" t="s">
        <v>4333</v>
      </c>
      <c r="M234" s="32" t="s">
        <v>91</v>
      </c>
    </row>
    <row r="235">
      <c r="A235" s="22" t="s">
        <v>988</v>
      </c>
      <c r="B235" s="22" t="s">
        <v>4334</v>
      </c>
      <c r="C235" s="22" t="s">
        <v>4335</v>
      </c>
      <c r="D235" s="22" t="s">
        <v>386</v>
      </c>
      <c r="E235" s="22">
        <v>1.0</v>
      </c>
      <c r="F235" s="22"/>
      <c r="G235" s="22" t="s">
        <v>82</v>
      </c>
      <c r="H235" s="26">
        <v>45997.0</v>
      </c>
      <c r="I235" s="22" t="s">
        <v>266</v>
      </c>
      <c r="J235" s="22" t="s">
        <v>311</v>
      </c>
      <c r="K235" s="22" t="s">
        <v>390</v>
      </c>
      <c r="L235" s="35" t="s">
        <v>4336</v>
      </c>
      <c r="M235" s="32" t="s">
        <v>55</v>
      </c>
    </row>
    <row r="236">
      <c r="A236" s="22" t="s">
        <v>990</v>
      </c>
      <c r="B236" s="22" t="s">
        <v>3725</v>
      </c>
      <c r="C236" s="22" t="s">
        <v>4337</v>
      </c>
      <c r="D236" s="22" t="s">
        <v>529</v>
      </c>
      <c r="E236" s="22">
        <v>1.0</v>
      </c>
      <c r="F236" s="22"/>
      <c r="G236" s="22" t="s">
        <v>273</v>
      </c>
      <c r="H236" s="26">
        <v>45998.0</v>
      </c>
      <c r="I236" s="22" t="s">
        <v>134</v>
      </c>
      <c r="J236" s="22" t="s">
        <v>472</v>
      </c>
      <c r="K236" s="22" t="s">
        <v>533</v>
      </c>
      <c r="L236" s="35" t="s">
        <v>4338</v>
      </c>
      <c r="M236" s="32" t="s">
        <v>127</v>
      </c>
    </row>
    <row r="237">
      <c r="A237" s="22" t="s">
        <v>991</v>
      </c>
      <c r="B237" s="22" t="s">
        <v>4339</v>
      </c>
      <c r="C237" s="22" t="s">
        <v>4340</v>
      </c>
      <c r="D237" s="22" t="s">
        <v>470</v>
      </c>
      <c r="E237" s="22">
        <v>1.0</v>
      </c>
      <c r="F237" s="22"/>
      <c r="G237" s="22" t="s">
        <v>82</v>
      </c>
      <c r="H237" s="26">
        <v>45997.0</v>
      </c>
      <c r="I237" s="22" t="s">
        <v>134</v>
      </c>
      <c r="J237" s="22" t="s">
        <v>472</v>
      </c>
      <c r="K237" s="22" t="s">
        <v>475</v>
      </c>
      <c r="L237" s="35" t="s">
        <v>4341</v>
      </c>
      <c r="M237" s="32" t="s">
        <v>91</v>
      </c>
    </row>
    <row r="238">
      <c r="A238" s="22" t="s">
        <v>4342</v>
      </c>
      <c r="B238" s="22" t="s">
        <v>4343</v>
      </c>
      <c r="C238" s="22" t="s">
        <v>4344</v>
      </c>
      <c r="D238" s="22" t="s">
        <v>4345</v>
      </c>
      <c r="E238" s="22">
        <v>1.0</v>
      </c>
      <c r="F238" s="22"/>
      <c r="G238" s="22" t="s">
        <v>294</v>
      </c>
      <c r="H238" s="26">
        <v>45999.0</v>
      </c>
      <c r="I238" s="22" t="s">
        <v>1400</v>
      </c>
      <c r="J238" s="22" t="s">
        <v>4346</v>
      </c>
      <c r="K238" s="22" t="s">
        <v>4347</v>
      </c>
      <c r="L238" s="35" t="s">
        <v>4348</v>
      </c>
      <c r="M238" s="32" t="s">
        <v>55</v>
      </c>
    </row>
    <row r="239">
      <c r="A239" s="22" t="s">
        <v>1013</v>
      </c>
      <c r="B239" s="22" t="s">
        <v>4349</v>
      </c>
      <c r="C239" s="22" t="s">
        <v>3884</v>
      </c>
      <c r="D239" s="22" t="s">
        <v>525</v>
      </c>
      <c r="E239" s="22">
        <v>1.0</v>
      </c>
      <c r="F239" s="22"/>
      <c r="G239" s="22" t="s">
        <v>82</v>
      </c>
      <c r="H239" s="26">
        <v>45997.0</v>
      </c>
      <c r="I239" s="22" t="s">
        <v>196</v>
      </c>
      <c r="J239" s="22" t="s">
        <v>319</v>
      </c>
      <c r="K239" s="22" t="s">
        <v>528</v>
      </c>
      <c r="L239" s="35" t="s">
        <v>4350</v>
      </c>
      <c r="M239" s="32" t="s">
        <v>105</v>
      </c>
    </row>
    <row r="240">
      <c r="A240" s="22" t="s">
        <v>998</v>
      </c>
      <c r="B240" s="22" t="s">
        <v>3866</v>
      </c>
      <c r="C240" s="22" t="s">
        <v>4351</v>
      </c>
      <c r="D240" s="22" t="s">
        <v>375</v>
      </c>
      <c r="E240" s="22">
        <v>1.0</v>
      </c>
      <c r="F240" s="22"/>
      <c r="G240" s="22" t="s">
        <v>82</v>
      </c>
      <c r="H240" s="26">
        <v>45997.0</v>
      </c>
      <c r="I240" s="22" t="s">
        <v>138</v>
      </c>
      <c r="J240" s="22" t="s">
        <v>377</v>
      </c>
      <c r="K240" s="22" t="s">
        <v>380</v>
      </c>
      <c r="L240" s="35" t="s">
        <v>4352</v>
      </c>
      <c r="M240" s="32" t="s">
        <v>55</v>
      </c>
    </row>
    <row r="241">
      <c r="A241" s="22" t="s">
        <v>1014</v>
      </c>
      <c r="B241" s="22" t="s">
        <v>4353</v>
      </c>
      <c r="C241" s="22" t="s">
        <v>4354</v>
      </c>
      <c r="D241" s="22" t="s">
        <v>92</v>
      </c>
      <c r="E241" s="22">
        <v>1.0</v>
      </c>
      <c r="F241" s="22"/>
      <c r="G241" s="22" t="s">
        <v>273</v>
      </c>
      <c r="H241" s="23">
        <v>45991.0</v>
      </c>
      <c r="I241" s="22"/>
      <c r="J241" s="22" t="s">
        <v>83</v>
      </c>
      <c r="K241" s="22" t="s">
        <v>94</v>
      </c>
      <c r="L241" s="35" t="s">
        <v>4355</v>
      </c>
      <c r="M241" s="32" t="s">
        <v>95</v>
      </c>
    </row>
    <row r="242">
      <c r="A242" s="22" t="s">
        <v>999</v>
      </c>
      <c r="B242" s="22" t="s">
        <v>4356</v>
      </c>
      <c r="C242" s="22" t="s">
        <v>4357</v>
      </c>
      <c r="D242" s="22" t="s">
        <v>478</v>
      </c>
      <c r="E242" s="22">
        <v>1.0</v>
      </c>
      <c r="F242" s="22"/>
      <c r="G242" s="22" t="s">
        <v>82</v>
      </c>
      <c r="H242" s="26">
        <v>45997.0</v>
      </c>
      <c r="I242" s="22" t="s">
        <v>134</v>
      </c>
      <c r="J242" s="22" t="s">
        <v>472</v>
      </c>
      <c r="K242" s="22" t="s">
        <v>483</v>
      </c>
      <c r="L242" s="35" t="s">
        <v>4358</v>
      </c>
      <c r="M242" s="32" t="s">
        <v>95</v>
      </c>
    </row>
    <row r="243">
      <c r="A243" s="22" t="s">
        <v>1001</v>
      </c>
      <c r="B243" s="22" t="s">
        <v>4359</v>
      </c>
      <c r="C243" s="22" t="s">
        <v>4360</v>
      </c>
      <c r="D243" s="22" t="s">
        <v>386</v>
      </c>
      <c r="E243" s="22">
        <v>1.0</v>
      </c>
      <c r="F243" s="22"/>
      <c r="G243" s="22" t="s">
        <v>273</v>
      </c>
      <c r="H243" s="26">
        <v>45998.0</v>
      </c>
      <c r="I243" s="22" t="s">
        <v>134</v>
      </c>
      <c r="J243" s="22" t="s">
        <v>311</v>
      </c>
      <c r="K243" s="22" t="s">
        <v>390</v>
      </c>
      <c r="L243" s="35" t="s">
        <v>4361</v>
      </c>
      <c r="M243" s="32" t="s">
        <v>55</v>
      </c>
    </row>
    <row r="244">
      <c r="A244" s="22" t="s">
        <v>1004</v>
      </c>
      <c r="B244" s="22" t="s">
        <v>4362</v>
      </c>
      <c r="C244" s="22" t="s">
        <v>4363</v>
      </c>
      <c r="D244" s="22" t="s">
        <v>488</v>
      </c>
      <c r="E244" s="22">
        <v>1.0</v>
      </c>
      <c r="F244" s="22"/>
      <c r="G244" s="22" t="s">
        <v>287</v>
      </c>
      <c r="H244" s="23">
        <v>46001.0</v>
      </c>
      <c r="I244" s="22" t="s">
        <v>522</v>
      </c>
      <c r="J244" s="22" t="s">
        <v>311</v>
      </c>
      <c r="K244" s="22" t="s">
        <v>492</v>
      </c>
      <c r="L244" s="35" t="s">
        <v>4364</v>
      </c>
      <c r="M244" s="32" t="s">
        <v>95</v>
      </c>
    </row>
    <row r="245">
      <c r="A245" s="22" t="s">
        <v>1006</v>
      </c>
      <c r="B245" s="22" t="s">
        <v>4365</v>
      </c>
      <c r="C245" s="22" t="s">
        <v>4366</v>
      </c>
      <c r="D245" s="22" t="s">
        <v>525</v>
      </c>
      <c r="E245" s="22">
        <v>2.0</v>
      </c>
      <c r="F245" s="22"/>
      <c r="G245" s="22" t="s">
        <v>82</v>
      </c>
      <c r="H245" s="26">
        <v>45997.0</v>
      </c>
      <c r="I245" s="22" t="s">
        <v>181</v>
      </c>
      <c r="J245" s="22" t="s">
        <v>319</v>
      </c>
      <c r="K245" s="22" t="s">
        <v>528</v>
      </c>
      <c r="L245" s="35" t="s">
        <v>4367</v>
      </c>
      <c r="M245" s="32" t="s">
        <v>105</v>
      </c>
    </row>
    <row r="246">
      <c r="A246" s="22" t="s">
        <v>1007</v>
      </c>
      <c r="B246" s="22" t="s">
        <v>4368</v>
      </c>
      <c r="C246" s="22" t="s">
        <v>4369</v>
      </c>
      <c r="D246" s="22" t="s">
        <v>822</v>
      </c>
      <c r="E246" s="22">
        <v>1.0</v>
      </c>
      <c r="F246" s="22"/>
      <c r="G246" s="22" t="s">
        <v>82</v>
      </c>
      <c r="H246" s="26">
        <v>45997.0</v>
      </c>
      <c r="I246" s="22" t="s">
        <v>177</v>
      </c>
      <c r="J246" s="22" t="s">
        <v>634</v>
      </c>
      <c r="K246" s="22" t="s">
        <v>826</v>
      </c>
      <c r="L246" s="35" t="s">
        <v>4370</v>
      </c>
      <c r="M246" s="32" t="s">
        <v>55</v>
      </c>
    </row>
    <row r="247">
      <c r="A247" s="22" t="s">
        <v>1008</v>
      </c>
      <c r="B247" s="22" t="s">
        <v>4371</v>
      </c>
      <c r="C247" s="22" t="s">
        <v>4372</v>
      </c>
      <c r="D247" s="22" t="s">
        <v>592</v>
      </c>
      <c r="E247" s="22">
        <v>1.0</v>
      </c>
      <c r="F247" s="22"/>
      <c r="G247" s="22" t="s">
        <v>82</v>
      </c>
      <c r="H247" s="26">
        <v>45997.0</v>
      </c>
      <c r="I247" s="22" t="s">
        <v>134</v>
      </c>
      <c r="J247" s="22" t="s">
        <v>311</v>
      </c>
      <c r="K247" s="22" t="s">
        <v>594</v>
      </c>
      <c r="L247" s="35" t="s">
        <v>4373</v>
      </c>
      <c r="M247" s="32" t="s">
        <v>54</v>
      </c>
    </row>
    <row r="248">
      <c r="A248" s="22" t="s">
        <v>1011</v>
      </c>
      <c r="B248" s="22" t="s">
        <v>4374</v>
      </c>
      <c r="C248" s="22" t="s">
        <v>4375</v>
      </c>
      <c r="D248" s="22" t="s">
        <v>859</v>
      </c>
      <c r="E248" s="22">
        <v>1.0</v>
      </c>
      <c r="F248" s="22"/>
      <c r="G248" s="22" t="s">
        <v>287</v>
      </c>
      <c r="H248" s="26">
        <v>45994.0</v>
      </c>
      <c r="I248" s="22" t="s">
        <v>1010</v>
      </c>
      <c r="J248" s="22" t="s">
        <v>605</v>
      </c>
      <c r="K248" s="22" t="s">
        <v>861</v>
      </c>
      <c r="L248" s="35" t="s">
        <v>4376</v>
      </c>
      <c r="M248" s="32" t="s">
        <v>95</v>
      </c>
    </row>
    <row r="249">
      <c r="A249" s="22" t="s">
        <v>128</v>
      </c>
      <c r="B249" s="22" t="s">
        <v>4377</v>
      </c>
      <c r="C249" s="22" t="s">
        <v>4378</v>
      </c>
      <c r="D249" s="22" t="s">
        <v>96</v>
      </c>
      <c r="E249" s="22">
        <v>1.0</v>
      </c>
      <c r="F249" s="22"/>
      <c r="G249" s="22" t="s">
        <v>82</v>
      </c>
      <c r="H249" s="23">
        <v>45990.0</v>
      </c>
      <c r="I249" s="22"/>
      <c r="J249" s="22" t="s">
        <v>83</v>
      </c>
      <c r="K249" s="22" t="s">
        <v>98</v>
      </c>
      <c r="L249" s="35" t="s">
        <v>4379</v>
      </c>
      <c r="M249" s="32" t="s">
        <v>55</v>
      </c>
    </row>
    <row r="250">
      <c r="A250" s="22" t="s">
        <v>1015</v>
      </c>
      <c r="B250" s="22" t="s">
        <v>4228</v>
      </c>
      <c r="C250" s="22" t="s">
        <v>4380</v>
      </c>
      <c r="D250" s="22" t="s">
        <v>789</v>
      </c>
      <c r="E250" s="22">
        <v>1.0</v>
      </c>
      <c r="F250" s="22"/>
      <c r="G250" s="22" t="s">
        <v>287</v>
      </c>
      <c r="H250" s="26">
        <v>45994.0</v>
      </c>
      <c r="I250" s="22" t="s">
        <v>981</v>
      </c>
      <c r="J250" s="22" t="s">
        <v>605</v>
      </c>
      <c r="K250" s="22" t="s">
        <v>794</v>
      </c>
      <c r="L250" s="35" t="s">
        <v>4381</v>
      </c>
      <c r="M250" s="32" t="s">
        <v>105</v>
      </c>
    </row>
    <row r="251">
      <c r="A251" s="22" t="s">
        <v>1030</v>
      </c>
      <c r="B251" s="22" t="s">
        <v>4382</v>
      </c>
      <c r="C251" s="22" t="s">
        <v>4383</v>
      </c>
      <c r="D251" s="22" t="s">
        <v>515</v>
      </c>
      <c r="E251" s="22">
        <v>1.0</v>
      </c>
      <c r="F251" s="22"/>
      <c r="G251" s="22" t="s">
        <v>273</v>
      </c>
      <c r="H251" s="26">
        <v>45998.0</v>
      </c>
      <c r="I251" s="22" t="s">
        <v>134</v>
      </c>
      <c r="J251" s="22" t="s">
        <v>472</v>
      </c>
      <c r="K251" s="22" t="s">
        <v>519</v>
      </c>
      <c r="L251" s="35" t="s">
        <v>4384</v>
      </c>
      <c r="M251" s="32" t="s">
        <v>55</v>
      </c>
    </row>
    <row r="252">
      <c r="A252" s="22" t="s">
        <v>1016</v>
      </c>
      <c r="B252" s="22" t="s">
        <v>3802</v>
      </c>
      <c r="C252" s="22" t="s">
        <v>4385</v>
      </c>
      <c r="D252" s="22" t="s">
        <v>415</v>
      </c>
      <c r="E252" s="22">
        <v>1.0</v>
      </c>
      <c r="F252" s="22"/>
      <c r="G252" s="22" t="s">
        <v>82</v>
      </c>
      <c r="H252" s="26">
        <v>45997.0</v>
      </c>
      <c r="I252" s="22" t="s">
        <v>134</v>
      </c>
      <c r="J252" s="22" t="s">
        <v>377</v>
      </c>
      <c r="K252" s="22" t="s">
        <v>419</v>
      </c>
      <c r="L252" s="35" t="s">
        <v>4386</v>
      </c>
      <c r="M252" s="32" t="s">
        <v>91</v>
      </c>
    </row>
    <row r="253">
      <c r="A253" s="22" t="s">
        <v>1018</v>
      </c>
      <c r="B253" s="22" t="s">
        <v>4387</v>
      </c>
      <c r="C253" s="22" t="s">
        <v>4388</v>
      </c>
      <c r="D253" s="22" t="s">
        <v>172</v>
      </c>
      <c r="E253" s="22">
        <v>1.0</v>
      </c>
      <c r="F253" s="22"/>
      <c r="G253" s="22" t="s">
        <v>202</v>
      </c>
      <c r="H253" s="26">
        <v>45996.0</v>
      </c>
      <c r="I253" s="22"/>
      <c r="J253" s="22" t="s">
        <v>83</v>
      </c>
      <c r="K253" s="22" t="s">
        <v>174</v>
      </c>
      <c r="L253" s="35" t="s">
        <v>4389</v>
      </c>
      <c r="M253" s="32" t="s">
        <v>175</v>
      </c>
    </row>
    <row r="254">
      <c r="A254" s="22" t="s">
        <v>1020</v>
      </c>
      <c r="B254" s="22" t="s">
        <v>4371</v>
      </c>
      <c r="C254" s="22" t="s">
        <v>4390</v>
      </c>
      <c r="D254" s="22" t="s">
        <v>814</v>
      </c>
      <c r="E254" s="22">
        <v>1.0</v>
      </c>
      <c r="F254" s="22"/>
      <c r="G254" s="22" t="s">
        <v>82</v>
      </c>
      <c r="H254" s="26">
        <v>45997.0</v>
      </c>
      <c r="I254" s="22" t="s">
        <v>975</v>
      </c>
      <c r="J254" s="22" t="s">
        <v>698</v>
      </c>
      <c r="K254" s="22" t="s">
        <v>818</v>
      </c>
      <c r="L254" s="35" t="s">
        <v>4391</v>
      </c>
      <c r="M254" s="32" t="s">
        <v>127</v>
      </c>
    </row>
    <row r="255">
      <c r="A255" s="22" t="s">
        <v>1023</v>
      </c>
      <c r="B255" s="22" t="s">
        <v>4392</v>
      </c>
      <c r="C255" s="22" t="s">
        <v>4393</v>
      </c>
      <c r="D255" s="22" t="s">
        <v>867</v>
      </c>
      <c r="E255" s="22">
        <v>1.0</v>
      </c>
      <c r="F255" s="22"/>
      <c r="G255" s="22" t="s">
        <v>273</v>
      </c>
      <c r="H255" s="26">
        <v>45998.0</v>
      </c>
      <c r="I255" s="22" t="s">
        <v>196</v>
      </c>
      <c r="J255" s="22" t="s">
        <v>869</v>
      </c>
      <c r="K255" s="22" t="s">
        <v>872</v>
      </c>
      <c r="L255" s="35" t="s">
        <v>4394</v>
      </c>
      <c r="M255" s="32" t="s">
        <v>55</v>
      </c>
    </row>
    <row r="256">
      <c r="A256" s="22" t="s">
        <v>4395</v>
      </c>
      <c r="B256" s="22" t="s">
        <v>4396</v>
      </c>
      <c r="C256" s="22" t="s">
        <v>4397</v>
      </c>
      <c r="D256" s="22" t="s">
        <v>4398</v>
      </c>
      <c r="E256" s="22">
        <v>1.0</v>
      </c>
      <c r="F256" s="22"/>
      <c r="G256" s="22" t="s">
        <v>294</v>
      </c>
      <c r="H256" s="26">
        <v>45992.0</v>
      </c>
      <c r="I256" s="22" t="s">
        <v>1400</v>
      </c>
      <c r="J256" s="22" t="s">
        <v>4399</v>
      </c>
      <c r="K256" s="22" t="s">
        <v>4400</v>
      </c>
      <c r="L256" s="35" t="s">
        <v>4401</v>
      </c>
      <c r="M256" s="32" t="s">
        <v>55</v>
      </c>
    </row>
    <row r="257">
      <c r="A257" s="22" t="s">
        <v>1026</v>
      </c>
      <c r="B257" s="22" t="s">
        <v>4402</v>
      </c>
      <c r="C257" s="22" t="s">
        <v>4403</v>
      </c>
      <c r="D257" s="22" t="s">
        <v>979</v>
      </c>
      <c r="E257" s="22">
        <v>1.0</v>
      </c>
      <c r="F257" s="22"/>
      <c r="G257" s="22" t="s">
        <v>287</v>
      </c>
      <c r="H257" s="26">
        <v>45994.0</v>
      </c>
      <c r="I257" s="22" t="s">
        <v>252</v>
      </c>
      <c r="J257" s="22" t="s">
        <v>605</v>
      </c>
      <c r="K257" s="22" t="s">
        <v>984</v>
      </c>
      <c r="L257" s="35" t="s">
        <v>4404</v>
      </c>
      <c r="M257" s="32" t="s">
        <v>55</v>
      </c>
    </row>
    <row r="258">
      <c r="A258" s="22" t="s">
        <v>125</v>
      </c>
      <c r="B258" s="22" t="s">
        <v>3840</v>
      </c>
      <c r="C258" s="22" t="s">
        <v>4405</v>
      </c>
      <c r="D258" s="22" t="s">
        <v>124</v>
      </c>
      <c r="E258" s="22">
        <v>1.0</v>
      </c>
      <c r="F258" s="22"/>
      <c r="G258" s="22" t="s">
        <v>82</v>
      </c>
      <c r="H258" s="23">
        <v>45990.0</v>
      </c>
      <c r="I258" s="22"/>
      <c r="J258" s="22" t="s">
        <v>83</v>
      </c>
      <c r="K258" s="22" t="s">
        <v>126</v>
      </c>
      <c r="L258" s="35" t="s">
        <v>4406</v>
      </c>
      <c r="M258" s="32" t="s">
        <v>127</v>
      </c>
    </row>
    <row r="259">
      <c r="A259" s="22" t="s">
        <v>1057</v>
      </c>
      <c r="B259" s="22" t="s">
        <v>4407</v>
      </c>
      <c r="C259" s="22" t="s">
        <v>4408</v>
      </c>
      <c r="D259" s="22" t="s">
        <v>478</v>
      </c>
      <c r="E259" s="22">
        <v>1.0</v>
      </c>
      <c r="F259" s="22"/>
      <c r="G259" s="22" t="s">
        <v>82</v>
      </c>
      <c r="H259" s="26">
        <v>45997.0</v>
      </c>
      <c r="I259" s="22" t="s">
        <v>134</v>
      </c>
      <c r="J259" s="22" t="s">
        <v>472</v>
      </c>
      <c r="K259" s="22" t="s">
        <v>483</v>
      </c>
      <c r="L259" s="35" t="s">
        <v>4409</v>
      </c>
      <c r="M259" s="32" t="s">
        <v>95</v>
      </c>
    </row>
    <row r="260">
      <c r="A260" s="22" t="s">
        <v>1032</v>
      </c>
      <c r="B260" s="22" t="s">
        <v>3808</v>
      </c>
      <c r="C260" s="22" t="s">
        <v>4410</v>
      </c>
      <c r="D260" s="22" t="s">
        <v>386</v>
      </c>
      <c r="E260" s="22">
        <v>1.0</v>
      </c>
      <c r="F260" s="22"/>
      <c r="G260" s="22" t="s">
        <v>273</v>
      </c>
      <c r="H260" s="26">
        <v>45998.0</v>
      </c>
      <c r="I260" s="22" t="s">
        <v>149</v>
      </c>
      <c r="J260" s="22" t="s">
        <v>311</v>
      </c>
      <c r="K260" s="22" t="s">
        <v>390</v>
      </c>
      <c r="L260" s="35" t="s">
        <v>4411</v>
      </c>
      <c r="M260" s="32" t="s">
        <v>55</v>
      </c>
    </row>
    <row r="261">
      <c r="A261" s="22" t="s">
        <v>1050</v>
      </c>
      <c r="B261" s="22" t="s">
        <v>4412</v>
      </c>
      <c r="C261" s="22" t="s">
        <v>4413</v>
      </c>
      <c r="D261" s="22" t="s">
        <v>1048</v>
      </c>
      <c r="E261" s="22">
        <v>1.0</v>
      </c>
      <c r="F261" s="22"/>
      <c r="G261" s="22" t="s">
        <v>273</v>
      </c>
      <c r="H261" s="26">
        <v>45998.0</v>
      </c>
      <c r="I261" s="22" t="s">
        <v>177</v>
      </c>
      <c r="J261" s="22" t="s">
        <v>440</v>
      </c>
      <c r="K261" s="22" t="s">
        <v>1052</v>
      </c>
      <c r="L261" s="35" t="s">
        <v>4414</v>
      </c>
      <c r="M261" s="32" t="s">
        <v>54</v>
      </c>
    </row>
    <row r="262">
      <c r="A262" s="22" t="s">
        <v>1035</v>
      </c>
      <c r="B262" s="22" t="s">
        <v>4415</v>
      </c>
      <c r="C262" s="22" t="s">
        <v>4416</v>
      </c>
      <c r="D262" s="22" t="s">
        <v>692</v>
      </c>
      <c r="E262" s="22">
        <v>1.0</v>
      </c>
      <c r="F262" s="22"/>
      <c r="G262" s="22" t="s">
        <v>273</v>
      </c>
      <c r="H262" s="26">
        <v>45998.0</v>
      </c>
      <c r="I262" s="22" t="s">
        <v>145</v>
      </c>
      <c r="J262" s="22" t="s">
        <v>369</v>
      </c>
      <c r="K262" s="22" t="s">
        <v>694</v>
      </c>
      <c r="L262" s="35" t="s">
        <v>4417</v>
      </c>
      <c r="M262" s="32" t="s">
        <v>54</v>
      </c>
    </row>
    <row r="263">
      <c r="A263" s="22" t="s">
        <v>1037</v>
      </c>
      <c r="B263" s="22" t="s">
        <v>4418</v>
      </c>
      <c r="C263" s="22" t="s">
        <v>4419</v>
      </c>
      <c r="D263" s="22" t="s">
        <v>580</v>
      </c>
      <c r="E263" s="22">
        <v>1.0</v>
      </c>
      <c r="F263" s="22"/>
      <c r="G263" s="22" t="s">
        <v>82</v>
      </c>
      <c r="H263" s="26">
        <v>45997.0</v>
      </c>
      <c r="I263" s="22" t="s">
        <v>134</v>
      </c>
      <c r="J263" s="22" t="s">
        <v>303</v>
      </c>
      <c r="K263" s="22" t="s">
        <v>583</v>
      </c>
      <c r="L263" s="35" t="s">
        <v>4420</v>
      </c>
      <c r="M263" s="32" t="s">
        <v>175</v>
      </c>
    </row>
    <row r="264">
      <c r="A264" s="22" t="s">
        <v>1038</v>
      </c>
      <c r="B264" s="22" t="s">
        <v>4421</v>
      </c>
      <c r="C264" s="22" t="s">
        <v>4422</v>
      </c>
      <c r="D264" s="22" t="s">
        <v>696</v>
      </c>
      <c r="E264" s="22">
        <v>1.0</v>
      </c>
      <c r="F264" s="22"/>
      <c r="G264" s="22" t="s">
        <v>82</v>
      </c>
      <c r="H264" s="26">
        <v>45997.0</v>
      </c>
      <c r="I264" s="22" t="s">
        <v>187</v>
      </c>
      <c r="J264" s="22" t="s">
        <v>698</v>
      </c>
      <c r="K264" s="22" t="s">
        <v>701</v>
      </c>
      <c r="L264" s="35" t="s">
        <v>4423</v>
      </c>
      <c r="M264" s="32" t="s">
        <v>55</v>
      </c>
    </row>
    <row r="265">
      <c r="A265" s="22" t="s">
        <v>1040</v>
      </c>
      <c r="B265" s="22" t="s">
        <v>4424</v>
      </c>
      <c r="C265" s="22" t="s">
        <v>4425</v>
      </c>
      <c r="D265" s="22" t="s">
        <v>902</v>
      </c>
      <c r="E265" s="22">
        <v>1.0</v>
      </c>
      <c r="F265" s="22"/>
      <c r="G265" s="22" t="s">
        <v>273</v>
      </c>
      <c r="H265" s="23">
        <v>45991.0</v>
      </c>
      <c r="I265" s="22" t="s">
        <v>248</v>
      </c>
      <c r="J265" s="22" t="s">
        <v>329</v>
      </c>
      <c r="K265" s="22" t="s">
        <v>906</v>
      </c>
      <c r="L265" s="35" t="s">
        <v>4426</v>
      </c>
      <c r="M265" s="32" t="s">
        <v>105</v>
      </c>
    </row>
    <row r="266">
      <c r="A266" s="22" t="s">
        <v>1043</v>
      </c>
      <c r="B266" s="22" t="s">
        <v>4427</v>
      </c>
      <c r="C266" s="22" t="s">
        <v>4428</v>
      </c>
      <c r="D266" s="22" t="s">
        <v>709</v>
      </c>
      <c r="E266" s="22">
        <v>1.0</v>
      </c>
      <c r="F266" s="22"/>
      <c r="G266" s="22" t="s">
        <v>287</v>
      </c>
      <c r="H266" s="26">
        <v>45994.0</v>
      </c>
      <c r="I266" s="22" t="s">
        <v>134</v>
      </c>
      <c r="J266" s="22" t="s">
        <v>311</v>
      </c>
      <c r="K266" s="22" t="s">
        <v>713</v>
      </c>
      <c r="L266" s="35" t="s">
        <v>4429</v>
      </c>
      <c r="M266" s="32" t="s">
        <v>91</v>
      </c>
    </row>
    <row r="267">
      <c r="A267" s="22" t="s">
        <v>1046</v>
      </c>
      <c r="B267" s="22" t="s">
        <v>4283</v>
      </c>
      <c r="C267" s="22" t="s">
        <v>4430</v>
      </c>
      <c r="D267" s="22" t="s">
        <v>686</v>
      </c>
      <c r="E267" s="22">
        <v>1.0</v>
      </c>
      <c r="F267" s="22"/>
      <c r="G267" s="22" t="s">
        <v>273</v>
      </c>
      <c r="H267" s="26">
        <v>45998.0</v>
      </c>
      <c r="I267" s="22" t="s">
        <v>149</v>
      </c>
      <c r="J267" s="22" t="s">
        <v>451</v>
      </c>
      <c r="K267" s="22" t="s">
        <v>688</v>
      </c>
      <c r="L267" s="35" t="s">
        <v>4431</v>
      </c>
      <c r="M267" s="32" t="s">
        <v>91</v>
      </c>
    </row>
    <row r="268">
      <c r="A268" s="22" t="s">
        <v>1055</v>
      </c>
      <c r="B268" s="22" t="s">
        <v>4432</v>
      </c>
      <c r="C268" s="22" t="s">
        <v>4433</v>
      </c>
      <c r="D268" s="22" t="s">
        <v>822</v>
      </c>
      <c r="E268" s="22">
        <v>1.0</v>
      </c>
      <c r="F268" s="22"/>
      <c r="G268" s="22" t="s">
        <v>273</v>
      </c>
      <c r="H268" s="26">
        <v>45997.0</v>
      </c>
      <c r="I268" s="22" t="s">
        <v>1054</v>
      </c>
      <c r="J268" s="22" t="s">
        <v>634</v>
      </c>
      <c r="K268" s="22" t="s">
        <v>826</v>
      </c>
      <c r="L268" s="35" t="s">
        <v>4434</v>
      </c>
      <c r="M268" s="32" t="s">
        <v>55</v>
      </c>
    </row>
    <row r="269">
      <c r="A269" s="22" t="s">
        <v>1077</v>
      </c>
      <c r="B269" s="22" t="s">
        <v>4435</v>
      </c>
      <c r="C269" s="22" t="s">
        <v>4436</v>
      </c>
      <c r="D269" s="22" t="s">
        <v>924</v>
      </c>
      <c r="E269" s="22">
        <v>1.0</v>
      </c>
      <c r="F269" s="22"/>
      <c r="G269" s="22" t="s">
        <v>82</v>
      </c>
      <c r="H269" s="26">
        <v>45997.0</v>
      </c>
      <c r="I269" s="22" t="s">
        <v>149</v>
      </c>
      <c r="J269" s="22" t="s">
        <v>623</v>
      </c>
      <c r="K269" s="22" t="s">
        <v>926</v>
      </c>
      <c r="L269" s="35" t="s">
        <v>4437</v>
      </c>
      <c r="M269" s="32" t="s">
        <v>55</v>
      </c>
    </row>
    <row r="270">
      <c r="A270" s="22" t="s">
        <v>1080</v>
      </c>
      <c r="B270" s="22" t="s">
        <v>4438</v>
      </c>
      <c r="C270" s="22" t="s">
        <v>4439</v>
      </c>
      <c r="D270" s="22" t="s">
        <v>1078</v>
      </c>
      <c r="E270" s="22">
        <v>1.0</v>
      </c>
      <c r="F270" s="22"/>
      <c r="G270" s="22" t="s">
        <v>82</v>
      </c>
      <c r="H270" s="26">
        <v>45997.0</v>
      </c>
      <c r="I270" s="22" t="s">
        <v>153</v>
      </c>
      <c r="J270" s="22" t="s">
        <v>717</v>
      </c>
      <c r="K270" s="22" t="s">
        <v>1082</v>
      </c>
      <c r="L270" s="35" t="s">
        <v>4440</v>
      </c>
      <c r="M270" s="32" t="s">
        <v>105</v>
      </c>
    </row>
    <row r="271">
      <c r="A271" s="22" t="s">
        <v>1059</v>
      </c>
      <c r="B271" s="22" t="s">
        <v>4441</v>
      </c>
      <c r="C271" s="22" t="s">
        <v>4442</v>
      </c>
      <c r="D271" s="22" t="s">
        <v>515</v>
      </c>
      <c r="E271" s="22">
        <v>1.0</v>
      </c>
      <c r="F271" s="22"/>
      <c r="G271" s="22" t="s">
        <v>273</v>
      </c>
      <c r="H271" s="26">
        <v>45998.0</v>
      </c>
      <c r="I271" s="22" t="s">
        <v>149</v>
      </c>
      <c r="J271" s="22" t="s">
        <v>472</v>
      </c>
      <c r="K271" s="22" t="s">
        <v>519</v>
      </c>
      <c r="L271" s="35" t="s">
        <v>4443</v>
      </c>
      <c r="M271" s="32" t="s">
        <v>55</v>
      </c>
    </row>
    <row r="272">
      <c r="A272" s="22" t="s">
        <v>1061</v>
      </c>
      <c r="B272" s="22" t="s">
        <v>4444</v>
      </c>
      <c r="C272" s="22" t="s">
        <v>4445</v>
      </c>
      <c r="D272" s="22" t="s">
        <v>317</v>
      </c>
      <c r="E272" s="22">
        <v>1.0</v>
      </c>
      <c r="F272" s="22"/>
      <c r="G272" s="22" t="s">
        <v>82</v>
      </c>
      <c r="H272" s="26">
        <v>45997.0</v>
      </c>
      <c r="I272" s="22" t="s">
        <v>196</v>
      </c>
      <c r="J272" s="22" t="s">
        <v>319</v>
      </c>
      <c r="K272" s="22" t="s">
        <v>322</v>
      </c>
      <c r="L272" s="35" t="s">
        <v>4446</v>
      </c>
      <c r="M272" s="32" t="s">
        <v>55</v>
      </c>
    </row>
    <row r="273">
      <c r="A273" s="22" t="s">
        <v>1062</v>
      </c>
      <c r="B273" s="22" t="s">
        <v>4447</v>
      </c>
      <c r="C273" s="22" t="s">
        <v>4448</v>
      </c>
      <c r="D273" s="22" t="s">
        <v>924</v>
      </c>
      <c r="E273" s="22">
        <v>1.0</v>
      </c>
      <c r="F273" s="22"/>
      <c r="G273" s="22" t="s">
        <v>82</v>
      </c>
      <c r="H273" s="26">
        <v>45997.0</v>
      </c>
      <c r="I273" s="22" t="s">
        <v>149</v>
      </c>
      <c r="J273" s="22" t="s">
        <v>623</v>
      </c>
      <c r="K273" s="22" t="s">
        <v>926</v>
      </c>
      <c r="L273" s="35" t="s">
        <v>4449</v>
      </c>
      <c r="M273" s="32" t="s">
        <v>55</v>
      </c>
    </row>
    <row r="274">
      <c r="A274" s="22" t="s">
        <v>1063</v>
      </c>
      <c r="B274" s="22" t="s">
        <v>3808</v>
      </c>
      <c r="C274" s="22" t="s">
        <v>4450</v>
      </c>
      <c r="D274" s="22" t="s">
        <v>408</v>
      </c>
      <c r="E274" s="22">
        <v>1.0</v>
      </c>
      <c r="F274" s="22"/>
      <c r="G274" s="22" t="s">
        <v>82</v>
      </c>
      <c r="H274" s="26">
        <v>45997.0</v>
      </c>
      <c r="I274" s="22" t="s">
        <v>145</v>
      </c>
      <c r="J274" s="22" t="s">
        <v>377</v>
      </c>
      <c r="K274" s="22" t="s">
        <v>412</v>
      </c>
      <c r="L274" s="35" t="s">
        <v>4451</v>
      </c>
      <c r="M274" s="32" t="s">
        <v>127</v>
      </c>
    </row>
    <row r="275">
      <c r="A275" s="22" t="s">
        <v>1064</v>
      </c>
      <c r="B275" s="22" t="s">
        <v>4452</v>
      </c>
      <c r="C275" s="22" t="s">
        <v>4453</v>
      </c>
      <c r="D275" s="22" t="s">
        <v>573</v>
      </c>
      <c r="E275" s="22">
        <v>1.0</v>
      </c>
      <c r="F275" s="22"/>
      <c r="G275" s="22" t="s">
        <v>273</v>
      </c>
      <c r="H275" s="26">
        <v>45998.0</v>
      </c>
      <c r="I275" s="22" t="s">
        <v>187</v>
      </c>
      <c r="J275" s="22" t="s">
        <v>440</v>
      </c>
      <c r="K275" s="22" t="s">
        <v>577</v>
      </c>
      <c r="L275" s="35" t="s">
        <v>4454</v>
      </c>
      <c r="M275" s="32" t="s">
        <v>55</v>
      </c>
    </row>
    <row r="276">
      <c r="A276" s="22" t="s">
        <v>1065</v>
      </c>
      <c r="B276" s="22" t="s">
        <v>4455</v>
      </c>
      <c r="C276" s="22" t="s">
        <v>4456</v>
      </c>
      <c r="D276" s="22" t="s">
        <v>515</v>
      </c>
      <c r="E276" s="22">
        <v>1.0</v>
      </c>
      <c r="F276" s="22"/>
      <c r="G276" s="22" t="s">
        <v>273</v>
      </c>
      <c r="H276" s="26">
        <v>45998.0</v>
      </c>
      <c r="I276" s="22" t="s">
        <v>134</v>
      </c>
      <c r="J276" s="22" t="s">
        <v>472</v>
      </c>
      <c r="K276" s="22" t="s">
        <v>519</v>
      </c>
      <c r="L276" s="35" t="s">
        <v>4457</v>
      </c>
      <c r="M276" s="32" t="s">
        <v>55</v>
      </c>
    </row>
    <row r="277">
      <c r="A277" s="22" t="s">
        <v>1066</v>
      </c>
      <c r="B277" s="22" t="s">
        <v>4458</v>
      </c>
      <c r="C277" s="22" t="s">
        <v>4459</v>
      </c>
      <c r="D277" s="22" t="s">
        <v>386</v>
      </c>
      <c r="E277" s="22">
        <v>1.0</v>
      </c>
      <c r="F277" s="22"/>
      <c r="G277" s="22" t="s">
        <v>82</v>
      </c>
      <c r="H277" s="26">
        <v>45997.0</v>
      </c>
      <c r="I277" s="22" t="s">
        <v>266</v>
      </c>
      <c r="J277" s="22" t="s">
        <v>311</v>
      </c>
      <c r="K277" s="22" t="s">
        <v>390</v>
      </c>
      <c r="L277" s="35" t="s">
        <v>4460</v>
      </c>
      <c r="M277" s="32" t="s">
        <v>55</v>
      </c>
    </row>
    <row r="278">
      <c r="A278" s="22" t="s">
        <v>1067</v>
      </c>
      <c r="B278" s="22" t="s">
        <v>4461</v>
      </c>
      <c r="C278" s="22" t="s">
        <v>4462</v>
      </c>
      <c r="D278" s="22" t="s">
        <v>96</v>
      </c>
      <c r="E278" s="22">
        <v>1.0</v>
      </c>
      <c r="F278" s="22"/>
      <c r="G278" s="22" t="s">
        <v>273</v>
      </c>
      <c r="H278" s="26">
        <v>45998.0</v>
      </c>
      <c r="I278" s="22"/>
      <c r="J278" s="22" t="s">
        <v>83</v>
      </c>
      <c r="K278" s="22" t="s">
        <v>98</v>
      </c>
      <c r="L278" s="35" t="s">
        <v>4463</v>
      </c>
      <c r="M278" s="32" t="s">
        <v>55</v>
      </c>
    </row>
    <row r="279">
      <c r="A279" s="22" t="s">
        <v>1068</v>
      </c>
      <c r="B279" s="22" t="s">
        <v>4464</v>
      </c>
      <c r="C279" s="22" t="s">
        <v>4465</v>
      </c>
      <c r="D279" s="22" t="s">
        <v>96</v>
      </c>
      <c r="E279" s="22">
        <v>1.0</v>
      </c>
      <c r="F279" s="22"/>
      <c r="G279" s="22" t="s">
        <v>273</v>
      </c>
      <c r="H279" s="23">
        <v>45991.0</v>
      </c>
      <c r="I279" s="22"/>
      <c r="J279" s="22" t="s">
        <v>83</v>
      </c>
      <c r="K279" s="22" t="s">
        <v>98</v>
      </c>
      <c r="L279" s="35" t="s">
        <v>4466</v>
      </c>
      <c r="M279" s="32" t="s">
        <v>55</v>
      </c>
    </row>
    <row r="280">
      <c r="A280" s="22" t="s">
        <v>1069</v>
      </c>
      <c r="B280" s="22" t="s">
        <v>4467</v>
      </c>
      <c r="C280" s="22" t="s">
        <v>4468</v>
      </c>
      <c r="D280" s="22" t="s">
        <v>92</v>
      </c>
      <c r="E280" s="22">
        <v>1.0</v>
      </c>
      <c r="F280" s="22"/>
      <c r="G280" s="22" t="s">
        <v>273</v>
      </c>
      <c r="H280" s="23">
        <v>45991.0</v>
      </c>
      <c r="I280" s="22"/>
      <c r="J280" s="22" t="s">
        <v>83</v>
      </c>
      <c r="K280" s="22" t="s">
        <v>94</v>
      </c>
      <c r="L280" s="35" t="s">
        <v>4469</v>
      </c>
      <c r="M280" s="32" t="s">
        <v>95</v>
      </c>
    </row>
    <row r="281">
      <c r="A281" s="22" t="s">
        <v>1070</v>
      </c>
      <c r="B281" s="22" t="s">
        <v>4470</v>
      </c>
      <c r="C281" s="22" t="s">
        <v>4471</v>
      </c>
      <c r="D281" s="22" t="s">
        <v>408</v>
      </c>
      <c r="E281" s="22">
        <v>1.0</v>
      </c>
      <c r="F281" s="22"/>
      <c r="G281" s="22" t="s">
        <v>82</v>
      </c>
      <c r="H281" s="26">
        <v>45997.0</v>
      </c>
      <c r="I281" s="22" t="s">
        <v>153</v>
      </c>
      <c r="J281" s="22" t="s">
        <v>377</v>
      </c>
      <c r="K281" s="22" t="s">
        <v>412</v>
      </c>
      <c r="L281" s="35" t="s">
        <v>4472</v>
      </c>
      <c r="M281" s="32" t="s">
        <v>127</v>
      </c>
    </row>
    <row r="282">
      <c r="A282" s="22" t="s">
        <v>1071</v>
      </c>
      <c r="B282" s="22" t="s">
        <v>4473</v>
      </c>
      <c r="C282" s="22" t="s">
        <v>4474</v>
      </c>
      <c r="D282" s="22" t="s">
        <v>354</v>
      </c>
      <c r="E282" s="22">
        <v>1.0</v>
      </c>
      <c r="F282" s="22"/>
      <c r="G282" s="22" t="s">
        <v>273</v>
      </c>
      <c r="H282" s="23">
        <v>45991.0</v>
      </c>
      <c r="I282" s="22" t="s">
        <v>149</v>
      </c>
      <c r="J282" s="22" t="s">
        <v>356</v>
      </c>
      <c r="K282" s="22" t="s">
        <v>359</v>
      </c>
      <c r="L282" s="35" t="s">
        <v>4475</v>
      </c>
      <c r="M282" s="32" t="s">
        <v>54</v>
      </c>
    </row>
    <row r="283">
      <c r="A283" s="22" t="s">
        <v>130</v>
      </c>
      <c r="B283" s="22" t="s">
        <v>4476</v>
      </c>
      <c r="C283" s="22" t="s">
        <v>4477</v>
      </c>
      <c r="D283" s="22" t="s">
        <v>129</v>
      </c>
      <c r="E283" s="22">
        <v>1.0</v>
      </c>
      <c r="F283" s="22"/>
      <c r="G283" s="22" t="s">
        <v>82</v>
      </c>
      <c r="H283" s="23">
        <v>45990.0</v>
      </c>
      <c r="I283" s="22"/>
      <c r="J283" s="22" t="s">
        <v>83</v>
      </c>
      <c r="K283" s="22" t="s">
        <v>131</v>
      </c>
      <c r="L283" s="35" t="s">
        <v>4478</v>
      </c>
      <c r="M283" s="32" t="s">
        <v>132</v>
      </c>
    </row>
    <row r="284">
      <c r="A284" s="22" t="s">
        <v>1074</v>
      </c>
      <c r="B284" s="22" t="s">
        <v>4479</v>
      </c>
      <c r="C284" s="22" t="s">
        <v>4480</v>
      </c>
      <c r="D284" s="22" t="s">
        <v>300</v>
      </c>
      <c r="E284" s="22">
        <v>1.0</v>
      </c>
      <c r="F284" s="22"/>
      <c r="G284" s="22" t="s">
        <v>82</v>
      </c>
      <c r="H284" s="26">
        <v>45997.0</v>
      </c>
      <c r="I284" s="22" t="s">
        <v>1073</v>
      </c>
      <c r="J284" s="22" t="s">
        <v>303</v>
      </c>
      <c r="K284" s="22" t="s">
        <v>306</v>
      </c>
      <c r="L284" s="35" t="s">
        <v>4481</v>
      </c>
      <c r="M284" s="32" t="s">
        <v>55</v>
      </c>
    </row>
    <row r="285">
      <c r="A285" s="22" t="s">
        <v>1025</v>
      </c>
      <c r="B285" s="22" t="s">
        <v>3962</v>
      </c>
      <c r="C285" s="22" t="s">
        <v>4482</v>
      </c>
      <c r="D285" s="22" t="s">
        <v>185</v>
      </c>
      <c r="E285" s="22">
        <v>1.0</v>
      </c>
      <c r="F285" s="22"/>
      <c r="G285" s="22" t="s">
        <v>82</v>
      </c>
      <c r="H285" s="26">
        <v>45997.0</v>
      </c>
      <c r="I285" s="22" t="s">
        <v>230</v>
      </c>
      <c r="J285" s="22" t="s">
        <v>111</v>
      </c>
      <c r="K285" s="22" t="s">
        <v>190</v>
      </c>
      <c r="L285" s="35" t="s">
        <v>4483</v>
      </c>
      <c r="M285" s="32" t="s">
        <v>95</v>
      </c>
    </row>
    <row r="286">
      <c r="A286" s="22" t="s">
        <v>1090</v>
      </c>
      <c r="B286" s="22" t="s">
        <v>4484</v>
      </c>
      <c r="C286" s="22" t="s">
        <v>4485</v>
      </c>
      <c r="D286" s="22" t="s">
        <v>664</v>
      </c>
      <c r="E286" s="22">
        <v>1.0</v>
      </c>
      <c r="F286" s="22"/>
      <c r="G286" s="22" t="s">
        <v>82</v>
      </c>
      <c r="H286" s="26">
        <v>45997.0</v>
      </c>
      <c r="I286" s="22" t="s">
        <v>149</v>
      </c>
      <c r="J286" s="22" t="s">
        <v>472</v>
      </c>
      <c r="K286" s="22" t="s">
        <v>668</v>
      </c>
      <c r="L286" s="35" t="s">
        <v>4486</v>
      </c>
      <c r="M286" s="32" t="s">
        <v>175</v>
      </c>
    </row>
    <row r="287">
      <c r="A287" s="22" t="s">
        <v>1091</v>
      </c>
      <c r="B287" s="22" t="s">
        <v>4487</v>
      </c>
      <c r="C287" s="22" t="s">
        <v>4488</v>
      </c>
      <c r="D287" s="22" t="s">
        <v>408</v>
      </c>
      <c r="E287" s="22">
        <v>1.0</v>
      </c>
      <c r="F287" s="22"/>
      <c r="G287" s="22" t="s">
        <v>82</v>
      </c>
      <c r="H287" s="26">
        <v>45997.0</v>
      </c>
      <c r="I287" s="22" t="s">
        <v>134</v>
      </c>
      <c r="J287" s="22" t="s">
        <v>377</v>
      </c>
      <c r="K287" s="22" t="s">
        <v>412</v>
      </c>
      <c r="L287" s="35" t="s">
        <v>4489</v>
      </c>
      <c r="M287" s="32" t="s">
        <v>127</v>
      </c>
    </row>
    <row r="288">
      <c r="A288" s="22" t="s">
        <v>1092</v>
      </c>
      <c r="B288" s="22" t="s">
        <v>3701</v>
      </c>
      <c r="C288" s="22" t="s">
        <v>4490</v>
      </c>
      <c r="D288" s="22" t="s">
        <v>632</v>
      </c>
      <c r="E288" s="22">
        <v>1.0</v>
      </c>
      <c r="F288" s="22"/>
      <c r="G288" s="22" t="s">
        <v>82</v>
      </c>
      <c r="H288" s="26">
        <v>45997.0</v>
      </c>
      <c r="I288" s="22" t="s">
        <v>177</v>
      </c>
      <c r="J288" s="22" t="s">
        <v>634</v>
      </c>
      <c r="K288" s="22" t="s">
        <v>637</v>
      </c>
      <c r="L288" s="35" t="s">
        <v>4491</v>
      </c>
      <c r="M288" s="32" t="s">
        <v>91</v>
      </c>
    </row>
    <row r="289">
      <c r="A289" s="22" t="s">
        <v>1093</v>
      </c>
      <c r="B289" s="22" t="s">
        <v>4492</v>
      </c>
      <c r="C289" s="22" t="s">
        <v>4493</v>
      </c>
      <c r="D289" s="22" t="s">
        <v>367</v>
      </c>
      <c r="E289" s="22">
        <v>1.0</v>
      </c>
      <c r="F289" s="22"/>
      <c r="G289" s="22" t="s">
        <v>273</v>
      </c>
      <c r="H289" s="26">
        <v>45998.0</v>
      </c>
      <c r="I289" s="22" t="s">
        <v>134</v>
      </c>
      <c r="J289" s="22" t="s">
        <v>369</v>
      </c>
      <c r="K289" s="22" t="s">
        <v>372</v>
      </c>
      <c r="L289" s="35" t="s">
        <v>4494</v>
      </c>
      <c r="M289" s="32" t="s">
        <v>55</v>
      </c>
    </row>
    <row r="290">
      <c r="A290" s="22" t="s">
        <v>1094</v>
      </c>
      <c r="B290" s="22" t="s">
        <v>4495</v>
      </c>
      <c r="C290" s="22" t="s">
        <v>4496</v>
      </c>
      <c r="D290" s="22" t="s">
        <v>386</v>
      </c>
      <c r="E290" s="22">
        <v>1.0</v>
      </c>
      <c r="F290" s="22"/>
      <c r="G290" s="22" t="s">
        <v>82</v>
      </c>
      <c r="H290" s="26">
        <v>45997.0</v>
      </c>
      <c r="I290" s="22" t="s">
        <v>134</v>
      </c>
      <c r="J290" s="22" t="s">
        <v>311</v>
      </c>
      <c r="K290" s="22" t="s">
        <v>390</v>
      </c>
      <c r="L290" s="35" t="s">
        <v>4497</v>
      </c>
      <c r="M290" s="32" t="s">
        <v>55</v>
      </c>
    </row>
    <row r="291">
      <c r="A291" s="22" t="s">
        <v>1185</v>
      </c>
      <c r="B291" s="22" t="s">
        <v>4498</v>
      </c>
      <c r="C291" s="22" t="s">
        <v>4499</v>
      </c>
      <c r="D291" s="22" t="s">
        <v>141</v>
      </c>
      <c r="E291" s="22">
        <v>1.0</v>
      </c>
      <c r="F291" s="22"/>
      <c r="G291" s="22" t="s">
        <v>273</v>
      </c>
      <c r="H291" s="26">
        <v>45998.0</v>
      </c>
      <c r="I291" s="22"/>
      <c r="J291" s="22" t="s">
        <v>83</v>
      </c>
      <c r="K291" s="22" t="s">
        <v>143</v>
      </c>
      <c r="L291" s="35" t="s">
        <v>4500</v>
      </c>
      <c r="M291" s="32" t="s">
        <v>54</v>
      </c>
    </row>
    <row r="292">
      <c r="A292" s="22" t="s">
        <v>1103</v>
      </c>
      <c r="B292" s="22" t="s">
        <v>4501</v>
      </c>
      <c r="C292" s="22" t="s">
        <v>4502</v>
      </c>
      <c r="D292" s="22" t="s">
        <v>979</v>
      </c>
      <c r="E292" s="22">
        <v>1.0</v>
      </c>
      <c r="F292" s="22"/>
      <c r="G292" s="22" t="s">
        <v>287</v>
      </c>
      <c r="H292" s="26">
        <v>45994.0</v>
      </c>
      <c r="I292" s="22" t="s">
        <v>1102</v>
      </c>
      <c r="J292" s="22" t="s">
        <v>605</v>
      </c>
      <c r="K292" s="22" t="s">
        <v>984</v>
      </c>
      <c r="L292" s="35" t="s">
        <v>4503</v>
      </c>
      <c r="M292" s="32" t="s">
        <v>55</v>
      </c>
    </row>
    <row r="293">
      <c r="A293" s="22" t="s">
        <v>1147</v>
      </c>
      <c r="B293" s="22" t="s">
        <v>4504</v>
      </c>
      <c r="C293" s="22" t="s">
        <v>4505</v>
      </c>
      <c r="D293" s="22" t="s">
        <v>979</v>
      </c>
      <c r="E293" s="22">
        <v>1.0</v>
      </c>
      <c r="F293" s="22"/>
      <c r="G293" s="22" t="s">
        <v>287</v>
      </c>
      <c r="H293" s="26">
        <v>45994.0</v>
      </c>
      <c r="I293" s="22" t="s">
        <v>604</v>
      </c>
      <c r="J293" s="22" t="s">
        <v>605</v>
      </c>
      <c r="K293" s="22" t="s">
        <v>984</v>
      </c>
      <c r="L293" s="35" t="s">
        <v>4506</v>
      </c>
      <c r="M293" s="32" t="s">
        <v>55</v>
      </c>
    </row>
    <row r="294">
      <c r="A294" s="22" t="s">
        <v>1095</v>
      </c>
      <c r="B294" s="22" t="s">
        <v>3846</v>
      </c>
      <c r="C294" s="22" t="s">
        <v>4507</v>
      </c>
      <c r="D294" s="22" t="s">
        <v>525</v>
      </c>
      <c r="E294" s="22">
        <v>1.0</v>
      </c>
      <c r="F294" s="22"/>
      <c r="G294" s="22" t="s">
        <v>82</v>
      </c>
      <c r="H294" s="26">
        <v>45997.0</v>
      </c>
      <c r="I294" s="22" t="s">
        <v>181</v>
      </c>
      <c r="J294" s="22" t="s">
        <v>319</v>
      </c>
      <c r="K294" s="22" t="s">
        <v>528</v>
      </c>
      <c r="L294" s="35" t="s">
        <v>4508</v>
      </c>
      <c r="M294" s="32" t="s">
        <v>105</v>
      </c>
    </row>
    <row r="295">
      <c r="A295" s="22" t="s">
        <v>1096</v>
      </c>
      <c r="B295" s="22" t="s">
        <v>4509</v>
      </c>
      <c r="C295" s="22" t="s">
        <v>4510</v>
      </c>
      <c r="D295" s="22" t="s">
        <v>573</v>
      </c>
      <c r="E295" s="22">
        <v>1.0</v>
      </c>
      <c r="F295" s="22"/>
      <c r="G295" s="22" t="s">
        <v>273</v>
      </c>
      <c r="H295" s="26">
        <v>45998.0</v>
      </c>
      <c r="I295" s="22" t="s">
        <v>187</v>
      </c>
      <c r="J295" s="22" t="s">
        <v>440</v>
      </c>
      <c r="K295" s="22" t="s">
        <v>577</v>
      </c>
      <c r="L295" s="35" t="s">
        <v>4511</v>
      </c>
      <c r="M295" s="32" t="s">
        <v>55</v>
      </c>
    </row>
    <row r="296">
      <c r="A296" s="22" t="s">
        <v>1098</v>
      </c>
      <c r="B296" s="22" t="s">
        <v>4512</v>
      </c>
      <c r="C296" s="22" t="s">
        <v>4513</v>
      </c>
      <c r="D296" s="22" t="s">
        <v>362</v>
      </c>
      <c r="E296" s="22">
        <v>1.0</v>
      </c>
      <c r="F296" s="22"/>
      <c r="G296" s="22" t="s">
        <v>82</v>
      </c>
      <c r="H296" s="26">
        <v>45997.0</v>
      </c>
      <c r="I296" s="22" t="s">
        <v>145</v>
      </c>
      <c r="J296" s="22" t="s">
        <v>278</v>
      </c>
      <c r="K296" s="22" t="s">
        <v>366</v>
      </c>
      <c r="L296" s="35" t="s">
        <v>4514</v>
      </c>
      <c r="M296" s="32" t="s">
        <v>54</v>
      </c>
    </row>
    <row r="297">
      <c r="A297" s="22" t="s">
        <v>1076</v>
      </c>
      <c r="B297" s="22" t="s">
        <v>4515</v>
      </c>
      <c r="C297" s="22" t="s">
        <v>4516</v>
      </c>
      <c r="D297" s="22" t="s">
        <v>885</v>
      </c>
      <c r="E297" s="22">
        <v>1.0</v>
      </c>
      <c r="F297" s="22"/>
      <c r="G297" s="22" t="s">
        <v>287</v>
      </c>
      <c r="H297" s="26">
        <v>45994.0</v>
      </c>
      <c r="I297" s="22" t="s">
        <v>604</v>
      </c>
      <c r="J297" s="22" t="s">
        <v>605</v>
      </c>
      <c r="K297" s="22" t="s">
        <v>890</v>
      </c>
      <c r="L297" s="35" t="s">
        <v>4517</v>
      </c>
      <c r="M297" s="32" t="s">
        <v>127</v>
      </c>
    </row>
    <row r="298">
      <c r="A298" s="22" t="s">
        <v>4518</v>
      </c>
      <c r="B298" s="22" t="s">
        <v>4519</v>
      </c>
      <c r="C298" s="22" t="s">
        <v>4520</v>
      </c>
      <c r="D298" s="22" t="s">
        <v>4521</v>
      </c>
      <c r="E298" s="22">
        <v>1.0</v>
      </c>
      <c r="F298" s="22"/>
      <c r="G298" s="22" t="s">
        <v>294</v>
      </c>
      <c r="H298" s="26">
        <v>45992.0</v>
      </c>
      <c r="I298" s="22" t="s">
        <v>196</v>
      </c>
      <c r="J298" s="22" t="s">
        <v>4399</v>
      </c>
      <c r="K298" s="22" t="s">
        <v>4522</v>
      </c>
      <c r="L298" s="35" t="s">
        <v>4523</v>
      </c>
      <c r="M298" s="32" t="s">
        <v>54</v>
      </c>
    </row>
    <row r="299">
      <c r="A299" s="22" t="s">
        <v>1086</v>
      </c>
      <c r="B299" s="22" t="s">
        <v>3883</v>
      </c>
      <c r="C299" s="22" t="s">
        <v>4020</v>
      </c>
      <c r="D299" s="22" t="s">
        <v>1085</v>
      </c>
      <c r="E299" s="22">
        <v>1.0</v>
      </c>
      <c r="F299" s="22"/>
      <c r="G299" s="22" t="s">
        <v>82</v>
      </c>
      <c r="H299" s="26">
        <v>45997.0</v>
      </c>
      <c r="I299" s="22" t="s">
        <v>149</v>
      </c>
      <c r="J299" s="22" t="s">
        <v>623</v>
      </c>
      <c r="K299" s="22" t="s">
        <v>1087</v>
      </c>
      <c r="L299" s="35" t="s">
        <v>4524</v>
      </c>
      <c r="M299" s="32" t="s">
        <v>127</v>
      </c>
    </row>
    <row r="300">
      <c r="A300" s="22" t="s">
        <v>1100</v>
      </c>
      <c r="B300" s="22" t="s">
        <v>3866</v>
      </c>
      <c r="C300" s="22" t="s">
        <v>4525</v>
      </c>
      <c r="D300" s="22" t="s">
        <v>495</v>
      </c>
      <c r="E300" s="22">
        <v>1.0</v>
      </c>
      <c r="F300" s="22"/>
      <c r="G300" s="22" t="s">
        <v>273</v>
      </c>
      <c r="H300" s="23">
        <v>45991.0</v>
      </c>
      <c r="I300" s="22" t="s">
        <v>266</v>
      </c>
      <c r="J300" s="22" t="s">
        <v>329</v>
      </c>
      <c r="K300" s="22" t="s">
        <v>500</v>
      </c>
      <c r="L300" s="35" t="s">
        <v>4526</v>
      </c>
      <c r="M300" s="32" t="s">
        <v>54</v>
      </c>
    </row>
    <row r="301">
      <c r="A301" s="22" t="s">
        <v>1127</v>
      </c>
      <c r="B301" s="22" t="s">
        <v>4527</v>
      </c>
      <c r="C301" s="22" t="s">
        <v>4528</v>
      </c>
      <c r="D301" s="22" t="s">
        <v>525</v>
      </c>
      <c r="E301" s="22">
        <v>1.0</v>
      </c>
      <c r="F301" s="22"/>
      <c r="G301" s="22" t="s">
        <v>82</v>
      </c>
      <c r="H301" s="26">
        <v>45997.0</v>
      </c>
      <c r="I301" s="22" t="s">
        <v>196</v>
      </c>
      <c r="J301" s="22" t="s">
        <v>319</v>
      </c>
      <c r="K301" s="22" t="s">
        <v>528</v>
      </c>
      <c r="L301" s="35" t="s">
        <v>4529</v>
      </c>
      <c r="M301" s="32" t="s">
        <v>105</v>
      </c>
    </row>
    <row r="302">
      <c r="A302" s="22" t="s">
        <v>1106</v>
      </c>
      <c r="B302" s="22" t="s">
        <v>4530</v>
      </c>
      <c r="C302" s="22" t="s">
        <v>4531</v>
      </c>
      <c r="D302" s="22" t="s">
        <v>1105</v>
      </c>
      <c r="E302" s="22">
        <v>1.0</v>
      </c>
      <c r="F302" s="22"/>
      <c r="G302" s="22" t="s">
        <v>273</v>
      </c>
      <c r="H302" s="23">
        <v>45991.0</v>
      </c>
      <c r="I302" s="22" t="s">
        <v>266</v>
      </c>
      <c r="J302" s="22" t="s">
        <v>329</v>
      </c>
      <c r="K302" s="22" t="s">
        <v>1107</v>
      </c>
      <c r="L302" s="35" t="s">
        <v>4532</v>
      </c>
      <c r="M302" s="32" t="s">
        <v>95</v>
      </c>
    </row>
    <row r="303">
      <c r="A303" s="22" t="s">
        <v>1109</v>
      </c>
      <c r="B303" s="22" t="s">
        <v>4533</v>
      </c>
      <c r="C303" s="22" t="s">
        <v>4534</v>
      </c>
      <c r="D303" s="22" t="s">
        <v>1108</v>
      </c>
      <c r="E303" s="22">
        <v>1.0</v>
      </c>
      <c r="F303" s="22"/>
      <c r="G303" s="22" t="s">
        <v>82</v>
      </c>
      <c r="H303" s="23">
        <v>46004.0</v>
      </c>
      <c r="I303" s="22" t="s">
        <v>134</v>
      </c>
      <c r="J303" s="22" t="s">
        <v>203</v>
      </c>
      <c r="K303" s="22" t="s">
        <v>1110</v>
      </c>
      <c r="L303" s="35" t="s">
        <v>4535</v>
      </c>
      <c r="M303" s="32" t="s">
        <v>55</v>
      </c>
    </row>
    <row r="304">
      <c r="A304" s="22" t="s">
        <v>1111</v>
      </c>
      <c r="B304" s="22" t="s">
        <v>4536</v>
      </c>
      <c r="C304" s="22" t="s">
        <v>4537</v>
      </c>
      <c r="D304" s="22" t="s">
        <v>950</v>
      </c>
      <c r="E304" s="22">
        <v>1.0</v>
      </c>
      <c r="F304" s="22"/>
      <c r="G304" s="22" t="s">
        <v>82</v>
      </c>
      <c r="H304" s="26">
        <v>45997.0</v>
      </c>
      <c r="I304" s="22" t="s">
        <v>439</v>
      </c>
      <c r="J304" s="22" t="s">
        <v>698</v>
      </c>
      <c r="K304" s="22" t="s">
        <v>952</v>
      </c>
      <c r="L304" s="35" t="s">
        <v>4538</v>
      </c>
      <c r="M304" s="32" t="s">
        <v>54</v>
      </c>
    </row>
    <row r="305">
      <c r="A305" s="22" t="s">
        <v>1124</v>
      </c>
      <c r="B305" s="22" t="s">
        <v>3808</v>
      </c>
      <c r="C305" s="22" t="s">
        <v>4539</v>
      </c>
      <c r="D305" s="22" t="s">
        <v>309</v>
      </c>
      <c r="E305" s="22">
        <v>1.0</v>
      </c>
      <c r="F305" s="22"/>
      <c r="G305" s="22" t="s">
        <v>287</v>
      </c>
      <c r="H305" s="23">
        <v>46001.0</v>
      </c>
      <c r="I305" s="22" t="s">
        <v>266</v>
      </c>
      <c r="J305" s="22" t="s">
        <v>311</v>
      </c>
      <c r="K305" s="22" t="s">
        <v>314</v>
      </c>
      <c r="L305" s="35" t="s">
        <v>4540</v>
      </c>
      <c r="M305" s="32" t="s">
        <v>105</v>
      </c>
    </row>
    <row r="306">
      <c r="A306" s="22" t="s">
        <v>1126</v>
      </c>
      <c r="B306" s="22" t="s">
        <v>4060</v>
      </c>
      <c r="C306" s="22" t="s">
        <v>4541</v>
      </c>
      <c r="D306" s="22" t="s">
        <v>478</v>
      </c>
      <c r="E306" s="22">
        <v>1.0</v>
      </c>
      <c r="F306" s="22"/>
      <c r="G306" s="22" t="s">
        <v>82</v>
      </c>
      <c r="H306" s="26">
        <v>45997.0</v>
      </c>
      <c r="I306" s="22" t="s">
        <v>134</v>
      </c>
      <c r="J306" s="22" t="s">
        <v>472</v>
      </c>
      <c r="K306" s="22" t="s">
        <v>483</v>
      </c>
      <c r="L306" s="35" t="s">
        <v>4542</v>
      </c>
      <c r="M306" s="32" t="s">
        <v>95</v>
      </c>
    </row>
    <row r="307">
      <c r="A307" s="22" t="s">
        <v>1128</v>
      </c>
      <c r="B307" s="22" t="s">
        <v>4543</v>
      </c>
      <c r="C307" s="22" t="s">
        <v>4544</v>
      </c>
      <c r="D307" s="22" t="s">
        <v>525</v>
      </c>
      <c r="E307" s="22">
        <v>1.0</v>
      </c>
      <c r="F307" s="22"/>
      <c r="G307" s="22" t="s">
        <v>82</v>
      </c>
      <c r="H307" s="26">
        <v>45997.0</v>
      </c>
      <c r="I307" s="22" t="s">
        <v>196</v>
      </c>
      <c r="J307" s="22" t="s">
        <v>319</v>
      </c>
      <c r="K307" s="22" t="s">
        <v>528</v>
      </c>
      <c r="L307" s="35" t="s">
        <v>4545</v>
      </c>
      <c r="M307" s="32" t="s">
        <v>105</v>
      </c>
    </row>
    <row r="308">
      <c r="A308" s="22" t="s">
        <v>1146</v>
      </c>
      <c r="B308" s="22" t="s">
        <v>3883</v>
      </c>
      <c r="C308" s="22" t="s">
        <v>4546</v>
      </c>
      <c r="D308" s="22" t="s">
        <v>938</v>
      </c>
      <c r="E308" s="22">
        <v>1.0</v>
      </c>
      <c r="F308" s="22"/>
      <c r="G308" s="22" t="s">
        <v>82</v>
      </c>
      <c r="H308" s="26">
        <v>45997.0</v>
      </c>
      <c r="I308" s="22" t="s">
        <v>134</v>
      </c>
      <c r="J308" s="22" t="s">
        <v>472</v>
      </c>
      <c r="K308" s="22" t="s">
        <v>940</v>
      </c>
      <c r="L308" s="35" t="s">
        <v>4547</v>
      </c>
      <c r="M308" s="32" t="s">
        <v>54</v>
      </c>
    </row>
    <row r="309">
      <c r="A309" s="22" t="s">
        <v>1129</v>
      </c>
      <c r="B309" s="22" t="s">
        <v>3938</v>
      </c>
      <c r="C309" s="22" t="s">
        <v>4548</v>
      </c>
      <c r="D309" s="22" t="s">
        <v>814</v>
      </c>
      <c r="E309" s="22">
        <v>1.0</v>
      </c>
      <c r="F309" s="22"/>
      <c r="G309" s="22" t="s">
        <v>82</v>
      </c>
      <c r="H309" s="26">
        <v>45997.0</v>
      </c>
      <c r="I309" s="22" t="s">
        <v>841</v>
      </c>
      <c r="J309" s="22" t="s">
        <v>698</v>
      </c>
      <c r="K309" s="22" t="s">
        <v>818</v>
      </c>
      <c r="L309" s="35" t="s">
        <v>4549</v>
      </c>
      <c r="M309" s="32" t="s">
        <v>127</v>
      </c>
    </row>
    <row r="310">
      <c r="A310" s="22" t="s">
        <v>4550</v>
      </c>
      <c r="B310" s="22" t="s">
        <v>4551</v>
      </c>
      <c r="C310" s="22" t="s">
        <v>4552</v>
      </c>
      <c r="D310" s="22" t="s">
        <v>4025</v>
      </c>
      <c r="E310" s="22">
        <v>1.0</v>
      </c>
      <c r="F310" s="22"/>
      <c r="G310" s="22" t="s">
        <v>294</v>
      </c>
      <c r="H310" s="26">
        <v>45999.0</v>
      </c>
      <c r="I310" s="22" t="s">
        <v>497</v>
      </c>
      <c r="J310" s="22" t="s">
        <v>4026</v>
      </c>
      <c r="K310" s="22" t="s">
        <v>4027</v>
      </c>
      <c r="L310" s="35" t="s">
        <v>4553</v>
      </c>
      <c r="M310" s="32" t="s">
        <v>55</v>
      </c>
    </row>
    <row r="311">
      <c r="A311" s="22" t="s">
        <v>1114</v>
      </c>
      <c r="B311" s="22" t="s">
        <v>4455</v>
      </c>
      <c r="C311" s="22" t="s">
        <v>4554</v>
      </c>
      <c r="D311" s="22" t="s">
        <v>209</v>
      </c>
      <c r="E311" s="22">
        <v>1.0</v>
      </c>
      <c r="F311" s="22"/>
      <c r="G311" s="22" t="s">
        <v>82</v>
      </c>
      <c r="H311" s="26">
        <v>45997.0</v>
      </c>
      <c r="I311" s="22" t="s">
        <v>1113</v>
      </c>
      <c r="J311" s="22" t="s">
        <v>111</v>
      </c>
      <c r="K311" s="22" t="s">
        <v>214</v>
      </c>
      <c r="L311" s="35" t="s">
        <v>4555</v>
      </c>
      <c r="M311" s="32" t="s">
        <v>91</v>
      </c>
    </row>
    <row r="312">
      <c r="A312" s="22" t="s">
        <v>1136</v>
      </c>
      <c r="B312" s="22" t="s">
        <v>4556</v>
      </c>
      <c r="C312" s="22" t="s">
        <v>4557</v>
      </c>
      <c r="D312" s="22" t="s">
        <v>859</v>
      </c>
      <c r="E312" s="22">
        <v>1.0</v>
      </c>
      <c r="F312" s="22"/>
      <c r="G312" s="22" t="s">
        <v>287</v>
      </c>
      <c r="H312" s="26">
        <v>45994.0</v>
      </c>
      <c r="I312" s="22" t="s">
        <v>1135</v>
      </c>
      <c r="J312" s="22" t="s">
        <v>605</v>
      </c>
      <c r="K312" s="22" t="s">
        <v>861</v>
      </c>
      <c r="L312" s="35" t="s">
        <v>4558</v>
      </c>
      <c r="M312" s="32" t="s">
        <v>95</v>
      </c>
    </row>
    <row r="313">
      <c r="A313" s="22" t="s">
        <v>1139</v>
      </c>
      <c r="B313" s="22" t="s">
        <v>4559</v>
      </c>
      <c r="C313" s="22" t="s">
        <v>4560</v>
      </c>
      <c r="D313" s="22" t="s">
        <v>327</v>
      </c>
      <c r="E313" s="22">
        <v>1.0</v>
      </c>
      <c r="F313" s="22"/>
      <c r="G313" s="22" t="s">
        <v>273</v>
      </c>
      <c r="H313" s="23">
        <v>45991.0</v>
      </c>
      <c r="I313" s="22" t="s">
        <v>145</v>
      </c>
      <c r="J313" s="22" t="s">
        <v>329</v>
      </c>
      <c r="K313" s="22" t="s">
        <v>332</v>
      </c>
      <c r="L313" s="35" t="s">
        <v>4561</v>
      </c>
      <c r="M313" s="32" t="s">
        <v>55</v>
      </c>
    </row>
    <row r="314">
      <c r="A314" s="22" t="s">
        <v>4562</v>
      </c>
      <c r="B314" s="22" t="s">
        <v>4563</v>
      </c>
      <c r="C314" s="22" t="s">
        <v>4564</v>
      </c>
      <c r="D314" s="22" t="s">
        <v>4565</v>
      </c>
      <c r="E314" s="22">
        <v>1.0</v>
      </c>
      <c r="F314" s="22"/>
      <c r="G314" s="22" t="s">
        <v>294</v>
      </c>
      <c r="H314" s="26">
        <v>45992.0</v>
      </c>
      <c r="I314" s="22" t="s">
        <v>149</v>
      </c>
      <c r="J314" s="22" t="s">
        <v>4346</v>
      </c>
      <c r="K314" s="22" t="s">
        <v>4566</v>
      </c>
      <c r="L314" s="35" t="s">
        <v>4567</v>
      </c>
      <c r="M314" s="32" t="s">
        <v>54</v>
      </c>
    </row>
    <row r="315">
      <c r="A315" s="22" t="s">
        <v>1141</v>
      </c>
      <c r="B315" s="22" t="s">
        <v>4568</v>
      </c>
      <c r="C315" s="22" t="s">
        <v>4569</v>
      </c>
      <c r="D315" s="22" t="s">
        <v>778</v>
      </c>
      <c r="E315" s="22">
        <v>1.0</v>
      </c>
      <c r="F315" s="22"/>
      <c r="G315" s="22" t="s">
        <v>273</v>
      </c>
      <c r="H315" s="26">
        <v>45998.0</v>
      </c>
      <c r="I315" s="22" t="s">
        <v>187</v>
      </c>
      <c r="J315" s="22" t="s">
        <v>440</v>
      </c>
      <c r="K315" s="22" t="s">
        <v>780</v>
      </c>
      <c r="L315" s="35" t="s">
        <v>4570</v>
      </c>
      <c r="M315" s="32" t="s">
        <v>127</v>
      </c>
    </row>
    <row r="316">
      <c r="A316" s="22" t="s">
        <v>1143</v>
      </c>
      <c r="B316" s="22" t="s">
        <v>4571</v>
      </c>
      <c r="C316" s="22" t="s">
        <v>4572</v>
      </c>
      <c r="D316" s="22" t="s">
        <v>386</v>
      </c>
      <c r="E316" s="22">
        <v>1.0</v>
      </c>
      <c r="F316" s="22"/>
      <c r="G316" s="22" t="s">
        <v>273</v>
      </c>
      <c r="H316" s="26">
        <v>45998.0</v>
      </c>
      <c r="I316" s="22" t="s">
        <v>302</v>
      </c>
      <c r="J316" s="22" t="s">
        <v>311</v>
      </c>
      <c r="K316" s="22" t="s">
        <v>390</v>
      </c>
      <c r="L316" s="35" t="s">
        <v>4573</v>
      </c>
      <c r="M316" s="32" t="s">
        <v>55</v>
      </c>
    </row>
    <row r="317">
      <c r="A317" s="22" t="s">
        <v>1145</v>
      </c>
      <c r="B317" s="22" t="s">
        <v>4574</v>
      </c>
      <c r="C317" s="22" t="s">
        <v>4575</v>
      </c>
      <c r="D317" s="22" t="s">
        <v>525</v>
      </c>
      <c r="E317" s="22">
        <v>1.0</v>
      </c>
      <c r="F317" s="22"/>
      <c r="G317" s="22" t="s">
        <v>82</v>
      </c>
      <c r="H317" s="26">
        <v>45997.0</v>
      </c>
      <c r="I317" s="22" t="s">
        <v>196</v>
      </c>
      <c r="J317" s="22" t="s">
        <v>319</v>
      </c>
      <c r="K317" s="22" t="s">
        <v>528</v>
      </c>
      <c r="L317" s="35" t="s">
        <v>4576</v>
      </c>
      <c r="M317" s="32" t="s">
        <v>105</v>
      </c>
    </row>
    <row r="318">
      <c r="A318" s="22" t="s">
        <v>1161</v>
      </c>
      <c r="B318" s="22" t="s">
        <v>3725</v>
      </c>
      <c r="C318" s="22" t="s">
        <v>4577</v>
      </c>
      <c r="D318" s="22" t="s">
        <v>696</v>
      </c>
      <c r="E318" s="22">
        <v>1.0</v>
      </c>
      <c r="F318" s="22"/>
      <c r="G318" s="22" t="s">
        <v>82</v>
      </c>
      <c r="H318" s="26">
        <v>45997.0</v>
      </c>
      <c r="I318" s="22" t="s">
        <v>187</v>
      </c>
      <c r="J318" s="22" t="s">
        <v>698</v>
      </c>
      <c r="K318" s="22" t="s">
        <v>701</v>
      </c>
      <c r="L318" s="35" t="s">
        <v>4578</v>
      </c>
      <c r="M318" s="32" t="s">
        <v>55</v>
      </c>
    </row>
    <row r="319">
      <c r="A319" s="22" t="s">
        <v>1149</v>
      </c>
      <c r="B319" s="22" t="s">
        <v>4579</v>
      </c>
      <c r="C319" s="22" t="s">
        <v>4580</v>
      </c>
      <c r="D319" s="22" t="s">
        <v>938</v>
      </c>
      <c r="E319" s="22">
        <v>1.0</v>
      </c>
      <c r="F319" s="22"/>
      <c r="G319" s="22" t="s">
        <v>82</v>
      </c>
      <c r="H319" s="26">
        <v>45997.0</v>
      </c>
      <c r="I319" s="22" t="s">
        <v>248</v>
      </c>
      <c r="J319" s="22" t="s">
        <v>472</v>
      </c>
      <c r="K319" s="22" t="s">
        <v>940</v>
      </c>
      <c r="L319" s="35" t="s">
        <v>4581</v>
      </c>
      <c r="M319" s="32" t="s">
        <v>54</v>
      </c>
    </row>
    <row r="320">
      <c r="A320" s="22" t="s">
        <v>1173</v>
      </c>
      <c r="B320" s="22" t="s">
        <v>4582</v>
      </c>
      <c r="C320" s="22" t="s">
        <v>4583</v>
      </c>
      <c r="D320" s="22" t="s">
        <v>689</v>
      </c>
      <c r="E320" s="22">
        <v>1.0</v>
      </c>
      <c r="F320" s="22"/>
      <c r="G320" s="22" t="s">
        <v>82</v>
      </c>
      <c r="H320" s="23">
        <v>46004.0</v>
      </c>
      <c r="I320" s="22" t="s">
        <v>248</v>
      </c>
      <c r="J320" s="22" t="s">
        <v>377</v>
      </c>
      <c r="K320" s="22" t="s">
        <v>691</v>
      </c>
      <c r="L320" s="35" t="s">
        <v>4584</v>
      </c>
      <c r="M320" s="32" t="s">
        <v>175</v>
      </c>
    </row>
    <row r="321">
      <c r="A321" s="22" t="s">
        <v>1153</v>
      </c>
      <c r="B321" s="22" t="s">
        <v>4427</v>
      </c>
      <c r="C321" s="22" t="s">
        <v>4585</v>
      </c>
      <c r="D321" s="22" t="s">
        <v>1151</v>
      </c>
      <c r="E321" s="22">
        <v>1.0</v>
      </c>
      <c r="F321" s="22"/>
      <c r="G321" s="22" t="s">
        <v>82</v>
      </c>
      <c r="H321" s="26">
        <v>45997.0</v>
      </c>
      <c r="I321" s="22" t="s">
        <v>149</v>
      </c>
      <c r="J321" s="22" t="s">
        <v>303</v>
      </c>
      <c r="K321" s="22" t="s">
        <v>1155</v>
      </c>
      <c r="L321" s="35" t="s">
        <v>4586</v>
      </c>
      <c r="M321" s="32" t="s">
        <v>54</v>
      </c>
    </row>
    <row r="322">
      <c r="A322" s="22" t="s">
        <v>1156</v>
      </c>
      <c r="B322" s="22" t="s">
        <v>4587</v>
      </c>
      <c r="C322" s="22" t="s">
        <v>4588</v>
      </c>
      <c r="D322" s="22" t="s">
        <v>408</v>
      </c>
      <c r="E322" s="22">
        <v>1.0</v>
      </c>
      <c r="F322" s="22"/>
      <c r="G322" s="22" t="s">
        <v>82</v>
      </c>
      <c r="H322" s="26">
        <v>45997.0</v>
      </c>
      <c r="I322" s="22" t="s">
        <v>153</v>
      </c>
      <c r="J322" s="22" t="s">
        <v>377</v>
      </c>
      <c r="K322" s="22" t="s">
        <v>412</v>
      </c>
      <c r="L322" s="35" t="s">
        <v>4589</v>
      </c>
      <c r="M322" s="32" t="s">
        <v>127</v>
      </c>
    </row>
    <row r="323">
      <c r="A323" s="22" t="s">
        <v>1118</v>
      </c>
      <c r="B323" s="22" t="s">
        <v>4590</v>
      </c>
      <c r="C323" s="22" t="s">
        <v>4488</v>
      </c>
      <c r="D323" s="22" t="s">
        <v>758</v>
      </c>
      <c r="E323" s="22">
        <v>1.0</v>
      </c>
      <c r="F323" s="22"/>
      <c r="G323" s="22" t="s">
        <v>336</v>
      </c>
      <c r="H323" s="26">
        <v>45995.0</v>
      </c>
      <c r="I323" s="22" t="s">
        <v>1117</v>
      </c>
      <c r="J323" s="22" t="s">
        <v>717</v>
      </c>
      <c r="K323" s="22" t="s">
        <v>762</v>
      </c>
      <c r="L323" s="35" t="s">
        <v>4591</v>
      </c>
      <c r="M323" s="32" t="s">
        <v>54</v>
      </c>
    </row>
    <row r="324">
      <c r="A324" s="22" t="s">
        <v>1132</v>
      </c>
      <c r="B324" s="22" t="s">
        <v>4592</v>
      </c>
      <c r="C324" s="22" t="s">
        <v>4593</v>
      </c>
      <c r="D324" s="22" t="s">
        <v>709</v>
      </c>
      <c r="E324" s="22">
        <v>1.0</v>
      </c>
      <c r="F324" s="22"/>
      <c r="G324" s="22" t="s">
        <v>273</v>
      </c>
      <c r="H324" s="26">
        <v>45998.0</v>
      </c>
      <c r="I324" s="22" t="s">
        <v>1131</v>
      </c>
      <c r="J324" s="22" t="s">
        <v>311</v>
      </c>
      <c r="K324" s="22" t="s">
        <v>713</v>
      </c>
      <c r="L324" s="35" t="s">
        <v>4594</v>
      </c>
      <c r="M324" s="32" t="s">
        <v>91</v>
      </c>
    </row>
    <row r="325">
      <c r="A325" s="22" t="s">
        <v>1158</v>
      </c>
      <c r="B325" s="22" t="s">
        <v>4071</v>
      </c>
      <c r="C325" s="22" t="s">
        <v>4595</v>
      </c>
      <c r="D325" s="22" t="s">
        <v>569</v>
      </c>
      <c r="E325" s="22">
        <v>1.0</v>
      </c>
      <c r="F325" s="22"/>
      <c r="G325" s="22" t="s">
        <v>82</v>
      </c>
      <c r="H325" s="23">
        <v>46004.0</v>
      </c>
      <c r="I325" s="22" t="s">
        <v>134</v>
      </c>
      <c r="J325" s="22" t="s">
        <v>472</v>
      </c>
      <c r="K325" s="22" t="s">
        <v>571</v>
      </c>
      <c r="L325" s="35" t="s">
        <v>4596</v>
      </c>
      <c r="M325" s="32" t="s">
        <v>105</v>
      </c>
    </row>
    <row r="326">
      <c r="A326" s="22" t="s">
        <v>1160</v>
      </c>
      <c r="B326" s="22" t="s">
        <v>4597</v>
      </c>
      <c r="C326" s="22" t="s">
        <v>4598</v>
      </c>
      <c r="D326" s="22" t="s">
        <v>885</v>
      </c>
      <c r="E326" s="22">
        <v>1.0</v>
      </c>
      <c r="F326" s="22"/>
      <c r="G326" s="22" t="s">
        <v>287</v>
      </c>
      <c r="H326" s="26">
        <v>45994.0</v>
      </c>
      <c r="I326" s="22" t="s">
        <v>252</v>
      </c>
      <c r="J326" s="22" t="s">
        <v>605</v>
      </c>
      <c r="K326" s="22" t="s">
        <v>890</v>
      </c>
      <c r="L326" s="35" t="s">
        <v>4599</v>
      </c>
      <c r="M326" s="32" t="s">
        <v>127</v>
      </c>
    </row>
    <row r="327">
      <c r="A327" s="22" t="s">
        <v>1226</v>
      </c>
      <c r="B327" s="22" t="s">
        <v>4600</v>
      </c>
      <c r="C327" s="22" t="s">
        <v>4601</v>
      </c>
      <c r="D327" s="22" t="s">
        <v>1224</v>
      </c>
      <c r="E327" s="22">
        <v>1.0</v>
      </c>
      <c r="F327" s="22"/>
      <c r="G327" s="22" t="s">
        <v>273</v>
      </c>
      <c r="H327" s="26">
        <v>45998.0</v>
      </c>
      <c r="I327" s="22" t="s">
        <v>134</v>
      </c>
      <c r="J327" s="22" t="s">
        <v>717</v>
      </c>
      <c r="K327" s="22" t="s">
        <v>1228</v>
      </c>
      <c r="L327" s="35" t="s">
        <v>4602</v>
      </c>
      <c r="M327" s="32" t="s">
        <v>91</v>
      </c>
    </row>
    <row r="328">
      <c r="A328" s="22" t="s">
        <v>1163</v>
      </c>
      <c r="B328" s="22" t="s">
        <v>3872</v>
      </c>
      <c r="C328" s="22" t="s">
        <v>4603</v>
      </c>
      <c r="D328" s="22" t="s">
        <v>1162</v>
      </c>
      <c r="E328" s="22">
        <v>1.0</v>
      </c>
      <c r="F328" s="22"/>
      <c r="G328" s="22" t="s">
        <v>273</v>
      </c>
      <c r="H328" s="26">
        <v>45998.0</v>
      </c>
      <c r="I328" s="22" t="s">
        <v>177</v>
      </c>
      <c r="J328" s="22" t="s">
        <v>634</v>
      </c>
      <c r="K328" s="22" t="s">
        <v>1164</v>
      </c>
      <c r="L328" s="35" t="s">
        <v>4604</v>
      </c>
      <c r="M328" s="32" t="s">
        <v>175</v>
      </c>
    </row>
    <row r="329">
      <c r="A329" s="22" t="s">
        <v>1166</v>
      </c>
      <c r="B329" s="22" t="s">
        <v>4605</v>
      </c>
      <c r="C329" s="22" t="s">
        <v>4606</v>
      </c>
      <c r="D329" s="22" t="s">
        <v>789</v>
      </c>
      <c r="E329" s="22">
        <v>1.0</v>
      </c>
      <c r="F329" s="22"/>
      <c r="G329" s="22" t="s">
        <v>287</v>
      </c>
      <c r="H329" s="26">
        <v>45994.0</v>
      </c>
      <c r="I329" s="22" t="s">
        <v>248</v>
      </c>
      <c r="J329" s="22" t="s">
        <v>605</v>
      </c>
      <c r="K329" s="22" t="s">
        <v>794</v>
      </c>
      <c r="L329" s="35" t="s">
        <v>4607</v>
      </c>
      <c r="M329" s="32" t="s">
        <v>105</v>
      </c>
    </row>
    <row r="330">
      <c r="A330" s="22" t="s">
        <v>1169</v>
      </c>
      <c r="B330" s="22" t="s">
        <v>4608</v>
      </c>
      <c r="C330" s="22" t="s">
        <v>4609</v>
      </c>
      <c r="D330" s="22" t="s">
        <v>503</v>
      </c>
      <c r="E330" s="22">
        <v>1.0</v>
      </c>
      <c r="F330" s="22"/>
      <c r="G330" s="22" t="s">
        <v>82</v>
      </c>
      <c r="H330" s="26">
        <v>45997.0</v>
      </c>
      <c r="I330" s="22" t="s">
        <v>1113</v>
      </c>
      <c r="J330" s="22" t="s">
        <v>341</v>
      </c>
      <c r="K330" s="22" t="s">
        <v>507</v>
      </c>
      <c r="L330" s="35" t="s">
        <v>4610</v>
      </c>
      <c r="M330" s="32" t="s">
        <v>54</v>
      </c>
    </row>
    <row r="331">
      <c r="A331" s="22" t="s">
        <v>1171</v>
      </c>
      <c r="B331" s="22" t="s">
        <v>4611</v>
      </c>
      <c r="C331" s="22" t="s">
        <v>4612</v>
      </c>
      <c r="D331" s="22" t="s">
        <v>80</v>
      </c>
      <c r="E331" s="22">
        <v>1.0</v>
      </c>
      <c r="F331" s="22"/>
      <c r="G331" s="22" t="s">
        <v>273</v>
      </c>
      <c r="H331" s="23">
        <v>45991.0</v>
      </c>
      <c r="I331" s="22"/>
      <c r="J331" s="22" t="s">
        <v>83</v>
      </c>
      <c r="K331" s="22" t="s">
        <v>86</v>
      </c>
      <c r="L331" s="35" t="s">
        <v>4613</v>
      </c>
      <c r="M331" s="32" t="s">
        <v>91</v>
      </c>
    </row>
    <row r="332">
      <c r="A332" s="22" t="s">
        <v>1121</v>
      </c>
      <c r="B332" s="22" t="s">
        <v>4614</v>
      </c>
      <c r="C332" s="22" t="s">
        <v>3735</v>
      </c>
      <c r="D332" s="22" t="s">
        <v>689</v>
      </c>
      <c r="E332" s="22">
        <v>1.0</v>
      </c>
      <c r="F332" s="22"/>
      <c r="G332" s="22" t="s">
        <v>82</v>
      </c>
      <c r="H332" s="23">
        <v>46004.0</v>
      </c>
      <c r="I332" s="22" t="s">
        <v>153</v>
      </c>
      <c r="J332" s="22" t="s">
        <v>377</v>
      </c>
      <c r="K332" s="22" t="s">
        <v>691</v>
      </c>
      <c r="L332" s="35" t="s">
        <v>4615</v>
      </c>
      <c r="M332" s="32" t="s">
        <v>175</v>
      </c>
    </row>
    <row r="333">
      <c r="A333" s="22" t="s">
        <v>1177</v>
      </c>
      <c r="B333" s="22" t="s">
        <v>4616</v>
      </c>
      <c r="C333" s="22" t="s">
        <v>4617</v>
      </c>
      <c r="D333" s="22" t="s">
        <v>1175</v>
      </c>
      <c r="E333" s="22">
        <v>1.0</v>
      </c>
      <c r="F333" s="22"/>
      <c r="G333" s="22" t="s">
        <v>273</v>
      </c>
      <c r="H333" s="23">
        <v>45991.0</v>
      </c>
      <c r="I333" s="22" t="s">
        <v>138</v>
      </c>
      <c r="J333" s="22" t="s">
        <v>329</v>
      </c>
      <c r="K333" s="22" t="s">
        <v>1179</v>
      </c>
      <c r="L333" s="35" t="s">
        <v>4618</v>
      </c>
      <c r="M333" s="32" t="s">
        <v>127</v>
      </c>
    </row>
    <row r="334">
      <c r="A334" s="22" t="s">
        <v>1181</v>
      </c>
      <c r="B334" s="22" t="s">
        <v>4619</v>
      </c>
      <c r="C334" s="22" t="s">
        <v>4620</v>
      </c>
      <c r="D334" s="22" t="s">
        <v>1180</v>
      </c>
      <c r="E334" s="22">
        <v>1.0</v>
      </c>
      <c r="F334" s="22"/>
      <c r="G334" s="22" t="s">
        <v>82</v>
      </c>
      <c r="H334" s="26">
        <v>45997.0</v>
      </c>
      <c r="I334" s="22" t="s">
        <v>149</v>
      </c>
      <c r="J334" s="22" t="s">
        <v>623</v>
      </c>
      <c r="K334" s="22" t="s">
        <v>1182</v>
      </c>
      <c r="L334" s="35" t="s">
        <v>4621</v>
      </c>
      <c r="M334" s="32" t="s">
        <v>105</v>
      </c>
    </row>
    <row r="335">
      <c r="A335" s="22" t="s">
        <v>1183</v>
      </c>
      <c r="B335" s="22" t="s">
        <v>4042</v>
      </c>
      <c r="C335" s="22" t="s">
        <v>4622</v>
      </c>
      <c r="D335" s="22" t="s">
        <v>300</v>
      </c>
      <c r="E335" s="22">
        <v>1.0</v>
      </c>
      <c r="F335" s="22"/>
      <c r="G335" s="22" t="s">
        <v>273</v>
      </c>
      <c r="H335" s="26">
        <v>45998.0</v>
      </c>
      <c r="I335" s="22" t="s">
        <v>134</v>
      </c>
      <c r="J335" s="22" t="s">
        <v>303</v>
      </c>
      <c r="K335" s="22" t="s">
        <v>306</v>
      </c>
      <c r="L335" s="35" t="s">
        <v>4623</v>
      </c>
      <c r="M335" s="32" t="s">
        <v>55</v>
      </c>
    </row>
    <row r="336">
      <c r="A336" s="22" t="s">
        <v>1159</v>
      </c>
      <c r="B336" s="22" t="s">
        <v>3808</v>
      </c>
      <c r="C336" s="22" t="s">
        <v>4624</v>
      </c>
      <c r="D336" s="22" t="s">
        <v>973</v>
      </c>
      <c r="E336" s="22">
        <v>1.0</v>
      </c>
      <c r="F336" s="22"/>
      <c r="G336" s="22" t="s">
        <v>273</v>
      </c>
      <c r="H336" s="26">
        <v>45998.0</v>
      </c>
      <c r="I336" s="22" t="s">
        <v>177</v>
      </c>
      <c r="J336" s="22" t="s">
        <v>440</v>
      </c>
      <c r="K336" s="22" t="s">
        <v>978</v>
      </c>
      <c r="L336" s="35" t="s">
        <v>4625</v>
      </c>
      <c r="M336" s="32" t="s">
        <v>105</v>
      </c>
    </row>
    <row r="337">
      <c r="A337" s="22" t="s">
        <v>1184</v>
      </c>
      <c r="B337" s="22" t="s">
        <v>4626</v>
      </c>
      <c r="C337" s="22" t="s">
        <v>4627</v>
      </c>
      <c r="D337" s="22" t="s">
        <v>367</v>
      </c>
      <c r="E337" s="22">
        <v>1.0</v>
      </c>
      <c r="F337" s="22"/>
      <c r="G337" s="22" t="s">
        <v>273</v>
      </c>
      <c r="H337" s="26">
        <v>45998.0</v>
      </c>
      <c r="I337" s="22" t="s">
        <v>153</v>
      </c>
      <c r="J337" s="22" t="s">
        <v>369</v>
      </c>
      <c r="K337" s="22" t="s">
        <v>372</v>
      </c>
      <c r="L337" s="35" t="s">
        <v>4628</v>
      </c>
      <c r="M337" s="32" t="s">
        <v>55</v>
      </c>
    </row>
    <row r="338">
      <c r="A338" s="22" t="s">
        <v>1186</v>
      </c>
      <c r="B338" s="22" t="s">
        <v>4629</v>
      </c>
      <c r="C338" s="22" t="s">
        <v>4630</v>
      </c>
      <c r="D338" s="22" t="s">
        <v>664</v>
      </c>
      <c r="E338" s="22">
        <v>1.0</v>
      </c>
      <c r="F338" s="22"/>
      <c r="G338" s="22" t="s">
        <v>82</v>
      </c>
      <c r="H338" s="26">
        <v>45997.0</v>
      </c>
      <c r="I338" s="22" t="s">
        <v>134</v>
      </c>
      <c r="J338" s="22" t="s">
        <v>472</v>
      </c>
      <c r="K338" s="22" t="s">
        <v>668</v>
      </c>
      <c r="L338" s="35" t="s">
        <v>4631</v>
      </c>
      <c r="M338" s="32" t="s">
        <v>175</v>
      </c>
    </row>
    <row r="339">
      <c r="A339" s="22" t="s">
        <v>1188</v>
      </c>
      <c r="B339" s="22" t="s">
        <v>4632</v>
      </c>
      <c r="C339" s="22" t="s">
        <v>4633</v>
      </c>
      <c r="D339" s="22" t="s">
        <v>495</v>
      </c>
      <c r="E339" s="22">
        <v>1.0</v>
      </c>
      <c r="F339" s="22"/>
      <c r="G339" s="22" t="s">
        <v>273</v>
      </c>
      <c r="H339" s="23">
        <v>45991.0</v>
      </c>
      <c r="I339" s="22" t="s">
        <v>134</v>
      </c>
      <c r="J339" s="22" t="s">
        <v>329</v>
      </c>
      <c r="K339" s="22" t="s">
        <v>500</v>
      </c>
      <c r="L339" s="35" t="s">
        <v>4634</v>
      </c>
      <c r="M339" s="32" t="s">
        <v>54</v>
      </c>
    </row>
    <row r="340">
      <c r="A340" s="22" t="s">
        <v>1190</v>
      </c>
      <c r="B340" s="22" t="s">
        <v>4635</v>
      </c>
      <c r="C340" s="22" t="s">
        <v>4636</v>
      </c>
      <c r="D340" s="22" t="s">
        <v>141</v>
      </c>
      <c r="E340" s="22">
        <v>1.0</v>
      </c>
      <c r="F340" s="22"/>
      <c r="G340" s="22" t="s">
        <v>273</v>
      </c>
      <c r="H340" s="26">
        <v>45998.0</v>
      </c>
      <c r="I340" s="22"/>
      <c r="J340" s="22" t="s">
        <v>83</v>
      </c>
      <c r="K340" s="22" t="s">
        <v>143</v>
      </c>
      <c r="L340" s="35" t="s">
        <v>4637</v>
      </c>
      <c r="M340" s="32" t="s">
        <v>54</v>
      </c>
    </row>
    <row r="341">
      <c r="A341" s="22" t="s">
        <v>1191</v>
      </c>
      <c r="B341" s="22" t="s">
        <v>4638</v>
      </c>
      <c r="C341" s="22" t="s">
        <v>4639</v>
      </c>
      <c r="D341" s="22" t="s">
        <v>529</v>
      </c>
      <c r="E341" s="22">
        <v>1.0</v>
      </c>
      <c r="F341" s="22"/>
      <c r="G341" s="22" t="s">
        <v>82</v>
      </c>
      <c r="H341" s="26">
        <v>45997.0</v>
      </c>
      <c r="I341" s="22" t="s">
        <v>134</v>
      </c>
      <c r="J341" s="22" t="s">
        <v>472</v>
      </c>
      <c r="K341" s="22" t="s">
        <v>533</v>
      </c>
      <c r="L341" s="35" t="s">
        <v>4640</v>
      </c>
      <c r="M341" s="32" t="s">
        <v>127</v>
      </c>
    </row>
    <row r="342">
      <c r="A342" s="22" t="s">
        <v>1194</v>
      </c>
      <c r="B342" s="22" t="s">
        <v>4641</v>
      </c>
      <c r="C342" s="22" t="s">
        <v>4642</v>
      </c>
      <c r="D342" s="22" t="s">
        <v>1192</v>
      </c>
      <c r="E342" s="22">
        <v>1.0</v>
      </c>
      <c r="F342" s="22"/>
      <c r="G342" s="22" t="s">
        <v>287</v>
      </c>
      <c r="H342" s="26">
        <v>45994.0</v>
      </c>
      <c r="I342" s="22" t="s">
        <v>134</v>
      </c>
      <c r="J342" s="22" t="s">
        <v>717</v>
      </c>
      <c r="K342" s="22" t="s">
        <v>1196</v>
      </c>
      <c r="L342" s="35" t="s">
        <v>4643</v>
      </c>
      <c r="M342" s="32" t="s">
        <v>127</v>
      </c>
    </row>
    <row r="343">
      <c r="A343" s="22" t="s">
        <v>1197</v>
      </c>
      <c r="B343" s="22" t="s">
        <v>3992</v>
      </c>
      <c r="C343" s="22" t="s">
        <v>4644</v>
      </c>
      <c r="D343" s="22" t="s">
        <v>595</v>
      </c>
      <c r="E343" s="22">
        <v>1.0</v>
      </c>
      <c r="F343" s="22"/>
      <c r="G343" s="22" t="s">
        <v>273</v>
      </c>
      <c r="H343" s="26">
        <v>45998.0</v>
      </c>
      <c r="I343" s="22" t="s">
        <v>145</v>
      </c>
      <c r="J343" s="22" t="s">
        <v>369</v>
      </c>
      <c r="K343" s="22" t="s">
        <v>599</v>
      </c>
      <c r="L343" s="35" t="s">
        <v>4645</v>
      </c>
      <c r="M343" s="32" t="s">
        <v>127</v>
      </c>
    </row>
    <row r="344">
      <c r="A344" s="22" t="s">
        <v>1198</v>
      </c>
      <c r="B344" s="22" t="s">
        <v>3674</v>
      </c>
      <c r="C344" s="22" t="s">
        <v>4646</v>
      </c>
      <c r="D344" s="22" t="s">
        <v>1105</v>
      </c>
      <c r="E344" s="22">
        <v>1.0</v>
      </c>
      <c r="F344" s="22"/>
      <c r="G344" s="22" t="s">
        <v>273</v>
      </c>
      <c r="H344" s="23">
        <v>45991.0</v>
      </c>
      <c r="I344" s="22" t="s">
        <v>134</v>
      </c>
      <c r="J344" s="22" t="s">
        <v>329</v>
      </c>
      <c r="K344" s="22" t="s">
        <v>1107</v>
      </c>
      <c r="L344" s="35" t="s">
        <v>4647</v>
      </c>
      <c r="M344" s="32" t="s">
        <v>95</v>
      </c>
    </row>
    <row r="345">
      <c r="A345" s="22" t="s">
        <v>1199</v>
      </c>
      <c r="B345" s="22" t="s">
        <v>4648</v>
      </c>
      <c r="C345" s="22" t="s">
        <v>4649</v>
      </c>
      <c r="D345" s="22" t="s">
        <v>108</v>
      </c>
      <c r="E345" s="22">
        <v>1.0</v>
      </c>
      <c r="F345" s="22"/>
      <c r="G345" s="22" t="s">
        <v>82</v>
      </c>
      <c r="H345" s="26">
        <v>45997.0</v>
      </c>
      <c r="I345" s="22" t="s">
        <v>187</v>
      </c>
      <c r="J345" s="22" t="s">
        <v>111</v>
      </c>
      <c r="K345" s="22" t="s">
        <v>114</v>
      </c>
      <c r="L345" s="35" t="s">
        <v>4650</v>
      </c>
      <c r="M345" s="32" t="s">
        <v>54</v>
      </c>
    </row>
    <row r="346">
      <c r="A346" s="22" t="s">
        <v>1202</v>
      </c>
      <c r="B346" s="22" t="s">
        <v>4608</v>
      </c>
      <c r="C346" s="22" t="s">
        <v>4651</v>
      </c>
      <c r="D346" s="22" t="s">
        <v>1200</v>
      </c>
      <c r="E346" s="22">
        <v>1.0</v>
      </c>
      <c r="F346" s="22"/>
      <c r="G346" s="22" t="s">
        <v>273</v>
      </c>
      <c r="H346" s="26">
        <v>45998.0</v>
      </c>
      <c r="I346" s="22" t="s">
        <v>187</v>
      </c>
      <c r="J346" s="22" t="s">
        <v>278</v>
      </c>
      <c r="K346" s="22" t="s">
        <v>1203</v>
      </c>
      <c r="L346" s="35" t="s">
        <v>4652</v>
      </c>
      <c r="M346" s="32" t="s">
        <v>91</v>
      </c>
    </row>
    <row r="347">
      <c r="A347" s="22" t="s">
        <v>1206</v>
      </c>
      <c r="B347" s="22" t="s">
        <v>4653</v>
      </c>
      <c r="C347" s="22" t="s">
        <v>4654</v>
      </c>
      <c r="D347" s="22" t="s">
        <v>1204</v>
      </c>
      <c r="E347" s="22">
        <v>1.0</v>
      </c>
      <c r="F347" s="22"/>
      <c r="G347" s="22" t="s">
        <v>273</v>
      </c>
      <c r="H347" s="26">
        <v>45998.0</v>
      </c>
      <c r="I347" s="22" t="s">
        <v>149</v>
      </c>
      <c r="J347" s="22" t="s">
        <v>623</v>
      </c>
      <c r="K347" s="22" t="s">
        <v>1208</v>
      </c>
      <c r="L347" s="35" t="s">
        <v>4655</v>
      </c>
      <c r="M347" s="32" t="s">
        <v>91</v>
      </c>
    </row>
    <row r="348">
      <c r="A348" s="22" t="s">
        <v>1222</v>
      </c>
      <c r="B348" s="22" t="s">
        <v>3828</v>
      </c>
      <c r="C348" s="22" t="s">
        <v>4656</v>
      </c>
      <c r="D348" s="22" t="s">
        <v>423</v>
      </c>
      <c r="E348" s="22">
        <v>1.0</v>
      </c>
      <c r="F348" s="22"/>
      <c r="G348" s="22" t="s">
        <v>273</v>
      </c>
      <c r="H348" s="26">
        <v>45998.0</v>
      </c>
      <c r="I348" s="22" t="s">
        <v>134</v>
      </c>
      <c r="J348" s="22" t="s">
        <v>369</v>
      </c>
      <c r="K348" s="22" t="s">
        <v>427</v>
      </c>
      <c r="L348" s="35" t="s">
        <v>4657</v>
      </c>
      <c r="M348" s="32" t="s">
        <v>95</v>
      </c>
    </row>
    <row r="349">
      <c r="A349" s="22" t="s">
        <v>1210</v>
      </c>
      <c r="B349" s="22" t="s">
        <v>4318</v>
      </c>
      <c r="C349" s="22" t="s">
        <v>4658</v>
      </c>
      <c r="D349" s="22" t="s">
        <v>209</v>
      </c>
      <c r="E349" s="22">
        <v>1.0</v>
      </c>
      <c r="F349" s="22"/>
      <c r="G349" s="22" t="s">
        <v>82</v>
      </c>
      <c r="H349" s="26">
        <v>45997.0</v>
      </c>
      <c r="I349" s="22" t="s">
        <v>187</v>
      </c>
      <c r="J349" s="22" t="s">
        <v>111</v>
      </c>
      <c r="K349" s="22" t="s">
        <v>214</v>
      </c>
      <c r="L349" s="35" t="s">
        <v>4659</v>
      </c>
      <c r="M349" s="32" t="s">
        <v>91</v>
      </c>
    </row>
    <row r="350">
      <c r="A350" s="22" t="s">
        <v>4660</v>
      </c>
      <c r="B350" s="22" t="s">
        <v>4661</v>
      </c>
      <c r="C350" s="22" t="s">
        <v>4505</v>
      </c>
      <c r="D350" s="22" t="s">
        <v>4398</v>
      </c>
      <c r="E350" s="22">
        <v>1.0</v>
      </c>
      <c r="F350" s="22"/>
      <c r="G350" s="22" t="s">
        <v>294</v>
      </c>
      <c r="H350" s="26">
        <v>45999.0</v>
      </c>
      <c r="I350" s="22" t="s">
        <v>192</v>
      </c>
      <c r="J350" s="22" t="s">
        <v>4399</v>
      </c>
      <c r="K350" s="22" t="s">
        <v>4400</v>
      </c>
      <c r="L350" s="35" t="s">
        <v>4662</v>
      </c>
      <c r="M350" s="32" t="s">
        <v>55</v>
      </c>
    </row>
    <row r="351">
      <c r="A351" s="22" t="s">
        <v>1157</v>
      </c>
      <c r="B351" s="22" t="s">
        <v>4663</v>
      </c>
      <c r="C351" s="22" t="s">
        <v>4664</v>
      </c>
      <c r="D351" s="22" t="s">
        <v>515</v>
      </c>
      <c r="E351" s="22">
        <v>1.0</v>
      </c>
      <c r="F351" s="22"/>
      <c r="G351" s="22" t="s">
        <v>82</v>
      </c>
      <c r="H351" s="26">
        <v>45997.0</v>
      </c>
      <c r="I351" s="22" t="s">
        <v>134</v>
      </c>
      <c r="J351" s="22" t="s">
        <v>472</v>
      </c>
      <c r="K351" s="22" t="s">
        <v>519</v>
      </c>
      <c r="L351" s="35" t="s">
        <v>4665</v>
      </c>
      <c r="M351" s="32" t="s">
        <v>55</v>
      </c>
    </row>
    <row r="352">
      <c r="A352" s="22" t="s">
        <v>1215</v>
      </c>
      <c r="B352" s="22" t="s">
        <v>4666</v>
      </c>
      <c r="C352" s="22" t="s">
        <v>4667</v>
      </c>
      <c r="D352" s="22" t="s">
        <v>696</v>
      </c>
      <c r="E352" s="22">
        <v>1.0</v>
      </c>
      <c r="F352" s="22"/>
      <c r="G352" s="22" t="s">
        <v>82</v>
      </c>
      <c r="H352" s="26">
        <v>45997.0</v>
      </c>
      <c r="I352" s="22" t="s">
        <v>975</v>
      </c>
      <c r="J352" s="22" t="s">
        <v>698</v>
      </c>
      <c r="K352" s="22" t="s">
        <v>701</v>
      </c>
      <c r="L352" s="35" t="s">
        <v>4668</v>
      </c>
      <c r="M352" s="32" t="s">
        <v>55</v>
      </c>
    </row>
    <row r="353">
      <c r="A353" s="22" t="s">
        <v>1216</v>
      </c>
      <c r="B353" s="22" t="s">
        <v>3967</v>
      </c>
      <c r="C353" s="22" t="s">
        <v>4669</v>
      </c>
      <c r="D353" s="22" t="s">
        <v>1151</v>
      </c>
      <c r="E353" s="22">
        <v>1.0</v>
      </c>
      <c r="F353" s="22"/>
      <c r="G353" s="22" t="s">
        <v>82</v>
      </c>
      <c r="H353" s="26">
        <v>45997.0</v>
      </c>
      <c r="I353" s="22" t="s">
        <v>134</v>
      </c>
      <c r="J353" s="22" t="s">
        <v>303</v>
      </c>
      <c r="K353" s="22" t="s">
        <v>1155</v>
      </c>
      <c r="L353" s="35" t="s">
        <v>4670</v>
      </c>
      <c r="M353" s="32" t="s">
        <v>54</v>
      </c>
    </row>
    <row r="354">
      <c r="A354" s="22" t="s">
        <v>1218</v>
      </c>
      <c r="B354" s="22" t="s">
        <v>4671</v>
      </c>
      <c r="C354" s="22" t="s">
        <v>4672</v>
      </c>
      <c r="D354" s="22" t="s">
        <v>1217</v>
      </c>
      <c r="E354" s="22">
        <v>1.0</v>
      </c>
      <c r="F354" s="22"/>
      <c r="G354" s="22" t="s">
        <v>287</v>
      </c>
      <c r="H354" s="26">
        <v>45994.0</v>
      </c>
      <c r="I354" s="22" t="s">
        <v>252</v>
      </c>
      <c r="J354" s="22" t="s">
        <v>605</v>
      </c>
      <c r="K354" s="22" t="s">
        <v>1219</v>
      </c>
      <c r="L354" s="35" t="s">
        <v>4673</v>
      </c>
      <c r="M354" s="32" t="s">
        <v>91</v>
      </c>
    </row>
    <row r="355">
      <c r="A355" s="22" t="s">
        <v>1220</v>
      </c>
      <c r="B355" s="22" t="s">
        <v>4674</v>
      </c>
      <c r="C355" s="22" t="s">
        <v>4675</v>
      </c>
      <c r="D355" s="22" t="s">
        <v>902</v>
      </c>
      <c r="E355" s="22">
        <v>1.0</v>
      </c>
      <c r="F355" s="22"/>
      <c r="G355" s="22" t="s">
        <v>273</v>
      </c>
      <c r="H355" s="23">
        <v>45991.0</v>
      </c>
      <c r="I355" s="22" t="s">
        <v>138</v>
      </c>
      <c r="J355" s="22" t="s">
        <v>329</v>
      </c>
      <c r="K355" s="22" t="s">
        <v>906</v>
      </c>
      <c r="L355" s="35" t="s">
        <v>4676</v>
      </c>
      <c r="M355" s="32" t="s">
        <v>105</v>
      </c>
    </row>
    <row r="356">
      <c r="A356" s="22" t="s">
        <v>1221</v>
      </c>
      <c r="B356" s="22" t="s">
        <v>3808</v>
      </c>
      <c r="C356" s="22" t="s">
        <v>4677</v>
      </c>
      <c r="D356" s="22" t="s">
        <v>1048</v>
      </c>
      <c r="E356" s="22">
        <v>1.0</v>
      </c>
      <c r="F356" s="22"/>
      <c r="G356" s="22" t="s">
        <v>273</v>
      </c>
      <c r="H356" s="26">
        <v>45998.0</v>
      </c>
      <c r="I356" s="22" t="s">
        <v>177</v>
      </c>
      <c r="J356" s="22" t="s">
        <v>440</v>
      </c>
      <c r="K356" s="22" t="s">
        <v>1052</v>
      </c>
      <c r="L356" s="35" t="s">
        <v>4678</v>
      </c>
      <c r="M356" s="32" t="s">
        <v>54</v>
      </c>
    </row>
    <row r="357">
      <c r="A357" s="22" t="s">
        <v>1209</v>
      </c>
      <c r="B357" s="22" t="s">
        <v>4679</v>
      </c>
      <c r="C357" s="22" t="s">
        <v>4680</v>
      </c>
      <c r="D357" s="22" t="s">
        <v>632</v>
      </c>
      <c r="E357" s="22">
        <v>1.0</v>
      </c>
      <c r="F357" s="22"/>
      <c r="G357" s="22" t="s">
        <v>273</v>
      </c>
      <c r="H357" s="26">
        <v>45998.0</v>
      </c>
      <c r="I357" s="22" t="s">
        <v>734</v>
      </c>
      <c r="J357" s="22" t="s">
        <v>634</v>
      </c>
      <c r="K357" s="22" t="s">
        <v>637</v>
      </c>
      <c r="L357" s="35" t="s">
        <v>4681</v>
      </c>
      <c r="M357" s="32" t="s">
        <v>91</v>
      </c>
    </row>
    <row r="358">
      <c r="A358" s="22" t="s">
        <v>1209</v>
      </c>
      <c r="B358" s="22" t="s">
        <v>4679</v>
      </c>
      <c r="C358" s="22" t="s">
        <v>4680</v>
      </c>
      <c r="D358" s="22" t="s">
        <v>828</v>
      </c>
      <c r="E358" s="22">
        <v>1.0</v>
      </c>
      <c r="F358" s="22"/>
      <c r="G358" s="22" t="s">
        <v>273</v>
      </c>
      <c r="H358" s="26">
        <v>45998.0</v>
      </c>
      <c r="I358" s="22" t="s">
        <v>734</v>
      </c>
      <c r="J358" s="22" t="s">
        <v>634</v>
      </c>
      <c r="K358" s="22" t="s">
        <v>830</v>
      </c>
      <c r="L358" s="35" t="s">
        <v>4682</v>
      </c>
      <c r="M358" s="32" t="s">
        <v>95</v>
      </c>
    </row>
    <row r="359">
      <c r="A359" s="22" t="s">
        <v>1223</v>
      </c>
      <c r="B359" s="22" t="s">
        <v>4455</v>
      </c>
      <c r="C359" s="22" t="s">
        <v>4683</v>
      </c>
      <c r="D359" s="22" t="s">
        <v>96</v>
      </c>
      <c r="E359" s="22">
        <v>1.0</v>
      </c>
      <c r="F359" s="22"/>
      <c r="G359" s="22" t="s">
        <v>273</v>
      </c>
      <c r="H359" s="26">
        <v>45998.0</v>
      </c>
      <c r="I359" s="22"/>
      <c r="J359" s="22" t="s">
        <v>83</v>
      </c>
      <c r="K359" s="22" t="s">
        <v>98</v>
      </c>
      <c r="L359" s="35" t="s">
        <v>4684</v>
      </c>
      <c r="M359" s="32" t="s">
        <v>55</v>
      </c>
    </row>
    <row r="360">
      <c r="A360" s="22" t="s">
        <v>1229</v>
      </c>
      <c r="B360" s="22" t="s">
        <v>4331</v>
      </c>
      <c r="C360" s="22" t="s">
        <v>3884</v>
      </c>
      <c r="D360" s="22" t="s">
        <v>529</v>
      </c>
      <c r="E360" s="22">
        <v>1.0</v>
      </c>
      <c r="F360" s="22"/>
      <c r="G360" s="22" t="s">
        <v>82</v>
      </c>
      <c r="H360" s="26">
        <v>45997.0</v>
      </c>
      <c r="I360" s="22" t="s">
        <v>145</v>
      </c>
      <c r="J360" s="22" t="s">
        <v>472</v>
      </c>
      <c r="K360" s="22" t="s">
        <v>533</v>
      </c>
      <c r="L360" s="35" t="s">
        <v>4685</v>
      </c>
      <c r="M360" s="32" t="s">
        <v>127</v>
      </c>
    </row>
    <row r="361">
      <c r="A361" s="22" t="s">
        <v>1213</v>
      </c>
      <c r="B361" s="22" t="s">
        <v>4686</v>
      </c>
      <c r="C361" s="22" t="s">
        <v>4687</v>
      </c>
      <c r="D361" s="22" t="s">
        <v>789</v>
      </c>
      <c r="E361" s="22">
        <v>1.0</v>
      </c>
      <c r="F361" s="22"/>
      <c r="G361" s="22" t="s">
        <v>287</v>
      </c>
      <c r="H361" s="26">
        <v>45994.0</v>
      </c>
      <c r="I361" s="22" t="s">
        <v>1212</v>
      </c>
      <c r="J361" s="22" t="s">
        <v>605</v>
      </c>
      <c r="K361" s="22" t="s">
        <v>794</v>
      </c>
      <c r="L361" s="35" t="s">
        <v>4688</v>
      </c>
      <c r="M361" s="32" t="s">
        <v>105</v>
      </c>
    </row>
    <row r="362">
      <c r="A362" s="22" t="s">
        <v>1231</v>
      </c>
      <c r="B362" s="22" t="s">
        <v>4689</v>
      </c>
      <c r="C362" s="22" t="s">
        <v>4690</v>
      </c>
      <c r="D362" s="22" t="s">
        <v>938</v>
      </c>
      <c r="E362" s="22">
        <v>1.0</v>
      </c>
      <c r="F362" s="22"/>
      <c r="G362" s="22" t="s">
        <v>82</v>
      </c>
      <c r="H362" s="26">
        <v>45997.0</v>
      </c>
      <c r="I362" s="22" t="s">
        <v>252</v>
      </c>
      <c r="J362" s="22" t="s">
        <v>472</v>
      </c>
      <c r="K362" s="22" t="s">
        <v>940</v>
      </c>
      <c r="L362" s="35" t="s">
        <v>4691</v>
      </c>
      <c r="M362" s="32" t="s">
        <v>54</v>
      </c>
    </row>
    <row r="363">
      <c r="A363" s="22" t="s">
        <v>1233</v>
      </c>
      <c r="B363" s="22" t="s">
        <v>4479</v>
      </c>
      <c r="C363" s="22" t="s">
        <v>4692</v>
      </c>
      <c r="D363" s="22" t="s">
        <v>141</v>
      </c>
      <c r="E363" s="22">
        <v>1.0</v>
      </c>
      <c r="F363" s="22"/>
      <c r="G363" s="22" t="s">
        <v>82</v>
      </c>
      <c r="H363" s="26">
        <v>45997.0</v>
      </c>
      <c r="I363" s="22"/>
      <c r="J363" s="22" t="s">
        <v>83</v>
      </c>
      <c r="K363" s="22" t="s">
        <v>143</v>
      </c>
      <c r="L363" s="35" t="s">
        <v>4693</v>
      </c>
      <c r="M363" s="32" t="s">
        <v>54</v>
      </c>
    </row>
    <row r="364">
      <c r="A364" s="22" t="s">
        <v>1234</v>
      </c>
      <c r="B364" s="22" t="s">
        <v>4694</v>
      </c>
      <c r="C364" s="22" t="s">
        <v>4695</v>
      </c>
      <c r="D364" s="22" t="s">
        <v>740</v>
      </c>
      <c r="E364" s="22">
        <v>1.0</v>
      </c>
      <c r="F364" s="22"/>
      <c r="G364" s="22" t="s">
        <v>82</v>
      </c>
      <c r="H364" s="26">
        <v>45997.0</v>
      </c>
      <c r="I364" s="22" t="s">
        <v>302</v>
      </c>
      <c r="J364" s="22" t="s">
        <v>303</v>
      </c>
      <c r="K364" s="22" t="s">
        <v>744</v>
      </c>
      <c r="L364" s="35" t="s">
        <v>4696</v>
      </c>
      <c r="M364" s="32" t="s">
        <v>91</v>
      </c>
    </row>
    <row r="365">
      <c r="A365" s="22" t="s">
        <v>1236</v>
      </c>
      <c r="B365" s="22" t="s">
        <v>4697</v>
      </c>
      <c r="C365" s="22" t="s">
        <v>4698</v>
      </c>
      <c r="D365" s="22" t="s">
        <v>584</v>
      </c>
      <c r="E365" s="22">
        <v>1.0</v>
      </c>
      <c r="F365" s="22"/>
      <c r="G365" s="22" t="s">
        <v>82</v>
      </c>
      <c r="H365" s="26">
        <v>45997.0</v>
      </c>
      <c r="I365" s="22" t="s">
        <v>153</v>
      </c>
      <c r="J365" s="22" t="s">
        <v>377</v>
      </c>
      <c r="K365" s="22" t="s">
        <v>586</v>
      </c>
      <c r="L365" s="35" t="s">
        <v>4699</v>
      </c>
      <c r="M365" s="32" t="s">
        <v>105</v>
      </c>
    </row>
    <row r="366">
      <c r="A366" s="22" t="s">
        <v>1237</v>
      </c>
      <c r="B366" s="22" t="s">
        <v>4700</v>
      </c>
      <c r="C366" s="22" t="s">
        <v>4701</v>
      </c>
      <c r="D366" s="22" t="s">
        <v>1175</v>
      </c>
      <c r="E366" s="22">
        <v>1.0</v>
      </c>
      <c r="F366" s="22"/>
      <c r="G366" s="22" t="s">
        <v>273</v>
      </c>
      <c r="H366" s="23">
        <v>45991.0</v>
      </c>
      <c r="I366" s="22" t="s">
        <v>145</v>
      </c>
      <c r="J366" s="22" t="s">
        <v>329</v>
      </c>
      <c r="K366" s="22" t="s">
        <v>1179</v>
      </c>
      <c r="L366" s="35" t="s">
        <v>4702</v>
      </c>
      <c r="M366" s="32" t="s">
        <v>127</v>
      </c>
    </row>
    <row r="367">
      <c r="A367" s="22" t="s">
        <v>1239</v>
      </c>
      <c r="B367" s="22" t="s">
        <v>3840</v>
      </c>
      <c r="C367" s="22" t="s">
        <v>4703</v>
      </c>
      <c r="D367" s="22" t="s">
        <v>327</v>
      </c>
      <c r="E367" s="22">
        <v>1.0</v>
      </c>
      <c r="F367" s="22"/>
      <c r="G367" s="22" t="s">
        <v>273</v>
      </c>
      <c r="H367" s="23">
        <v>45991.0</v>
      </c>
      <c r="I367" s="22" t="s">
        <v>211</v>
      </c>
      <c r="J367" s="22" t="s">
        <v>329</v>
      </c>
      <c r="K367" s="22" t="s">
        <v>332</v>
      </c>
      <c r="L367" s="35" t="s">
        <v>4704</v>
      </c>
      <c r="M367" s="32" t="s">
        <v>55</v>
      </c>
    </row>
    <row r="368">
      <c r="A368" s="22" t="s">
        <v>1241</v>
      </c>
      <c r="B368" s="22" t="s">
        <v>4568</v>
      </c>
      <c r="C368" s="22" t="s">
        <v>3927</v>
      </c>
      <c r="D368" s="22" t="s">
        <v>885</v>
      </c>
      <c r="E368" s="22">
        <v>1.0</v>
      </c>
      <c r="F368" s="22"/>
      <c r="G368" s="22" t="s">
        <v>287</v>
      </c>
      <c r="H368" s="26">
        <v>45994.0</v>
      </c>
      <c r="I368" s="22" t="s">
        <v>252</v>
      </c>
      <c r="J368" s="22" t="s">
        <v>605</v>
      </c>
      <c r="K368" s="22" t="s">
        <v>890</v>
      </c>
      <c r="L368" s="35" t="s">
        <v>4705</v>
      </c>
      <c r="M368" s="32" t="s">
        <v>127</v>
      </c>
    </row>
    <row r="369">
      <c r="A369" s="22" t="s">
        <v>1243</v>
      </c>
      <c r="B369" s="22" t="s">
        <v>4706</v>
      </c>
      <c r="C369" s="22" t="s">
        <v>4707</v>
      </c>
      <c r="D369" s="22" t="s">
        <v>1242</v>
      </c>
      <c r="E369" s="22">
        <v>1.0</v>
      </c>
      <c r="F369" s="22"/>
      <c r="G369" s="22" t="s">
        <v>82</v>
      </c>
      <c r="H369" s="26">
        <v>45997.0</v>
      </c>
      <c r="I369" s="22" t="s">
        <v>439</v>
      </c>
      <c r="J369" s="22" t="s">
        <v>698</v>
      </c>
      <c r="K369" s="22" t="s">
        <v>1244</v>
      </c>
      <c r="L369" s="35" t="s">
        <v>4708</v>
      </c>
      <c r="M369" s="32" t="s">
        <v>95</v>
      </c>
    </row>
    <row r="370">
      <c r="A370" s="22" t="s">
        <v>1245</v>
      </c>
      <c r="B370" s="22" t="s">
        <v>4709</v>
      </c>
      <c r="C370" s="22" t="s">
        <v>4445</v>
      </c>
      <c r="D370" s="22" t="s">
        <v>327</v>
      </c>
      <c r="E370" s="22">
        <v>1.0</v>
      </c>
      <c r="F370" s="22"/>
      <c r="G370" s="22" t="s">
        <v>273</v>
      </c>
      <c r="H370" s="23">
        <v>45991.0</v>
      </c>
      <c r="I370" s="22" t="s">
        <v>134</v>
      </c>
      <c r="J370" s="22" t="s">
        <v>329</v>
      </c>
      <c r="K370" s="22" t="s">
        <v>332</v>
      </c>
      <c r="L370" s="35" t="s">
        <v>4710</v>
      </c>
      <c r="M370" s="32" t="s">
        <v>55</v>
      </c>
    </row>
    <row r="371">
      <c r="A371" s="22" t="s">
        <v>1248</v>
      </c>
      <c r="B371" s="22" t="s">
        <v>4711</v>
      </c>
      <c r="C371" s="22" t="s">
        <v>4712</v>
      </c>
      <c r="D371" s="22" t="s">
        <v>1246</v>
      </c>
      <c r="E371" s="22">
        <v>1.0</v>
      </c>
      <c r="F371" s="22"/>
      <c r="G371" s="22" t="s">
        <v>82</v>
      </c>
      <c r="H371" s="26">
        <v>45997.0</v>
      </c>
      <c r="I371" s="22" t="s">
        <v>266</v>
      </c>
      <c r="J371" s="22" t="s">
        <v>623</v>
      </c>
      <c r="K371" s="22" t="s">
        <v>1250</v>
      </c>
      <c r="L371" s="35" t="s">
        <v>4713</v>
      </c>
      <c r="M371" s="32" t="s">
        <v>175</v>
      </c>
    </row>
    <row r="372">
      <c r="A372" s="22" t="s">
        <v>1251</v>
      </c>
      <c r="B372" s="22" t="s">
        <v>4714</v>
      </c>
      <c r="C372" s="22" t="s">
        <v>4715</v>
      </c>
      <c r="D372" s="22" t="s">
        <v>339</v>
      </c>
      <c r="E372" s="22">
        <v>1.0</v>
      </c>
      <c r="F372" s="22"/>
      <c r="G372" s="22" t="s">
        <v>82</v>
      </c>
      <c r="H372" s="23">
        <v>46004.0</v>
      </c>
      <c r="I372" s="22" t="s">
        <v>187</v>
      </c>
      <c r="J372" s="22" t="s">
        <v>341</v>
      </c>
      <c r="K372" s="22" t="s">
        <v>344</v>
      </c>
      <c r="L372" s="35" t="s">
        <v>4716</v>
      </c>
      <c r="M372" s="32" t="s">
        <v>55</v>
      </c>
    </row>
    <row r="373">
      <c r="A373" s="22" t="s">
        <v>1253</v>
      </c>
      <c r="B373" s="22" t="s">
        <v>4717</v>
      </c>
      <c r="C373" s="22" t="s">
        <v>4718</v>
      </c>
      <c r="D373" s="22" t="s">
        <v>96</v>
      </c>
      <c r="E373" s="22">
        <v>1.0</v>
      </c>
      <c r="F373" s="22"/>
      <c r="G373" s="22" t="s">
        <v>82</v>
      </c>
      <c r="H373" s="26">
        <v>45997.0</v>
      </c>
      <c r="I373" s="22" t="s">
        <v>248</v>
      </c>
      <c r="J373" s="22" t="s">
        <v>83</v>
      </c>
      <c r="K373" s="22" t="s">
        <v>98</v>
      </c>
      <c r="L373" s="35" t="s">
        <v>4719</v>
      </c>
      <c r="M373" s="32" t="s">
        <v>55</v>
      </c>
    </row>
    <row r="374">
      <c r="A374" s="22" t="s">
        <v>1255</v>
      </c>
      <c r="B374" s="22" t="s">
        <v>4720</v>
      </c>
      <c r="C374" s="22" t="s">
        <v>4651</v>
      </c>
      <c r="D374" s="22" t="s">
        <v>276</v>
      </c>
      <c r="E374" s="22">
        <v>1.0</v>
      </c>
      <c r="F374" s="22"/>
      <c r="G374" s="22" t="s">
        <v>82</v>
      </c>
      <c r="H374" s="26">
        <v>45997.0</v>
      </c>
      <c r="I374" s="22" t="s">
        <v>145</v>
      </c>
      <c r="J374" s="22" t="s">
        <v>278</v>
      </c>
      <c r="K374" s="22" t="s">
        <v>281</v>
      </c>
      <c r="L374" s="35" t="s">
        <v>4721</v>
      </c>
      <c r="M374" s="32" t="s">
        <v>55</v>
      </c>
    </row>
    <row r="375">
      <c r="A375" s="22" t="s">
        <v>1257</v>
      </c>
      <c r="B375" s="22" t="s">
        <v>4722</v>
      </c>
      <c r="C375" s="22" t="s">
        <v>3963</v>
      </c>
      <c r="D375" s="22" t="s">
        <v>375</v>
      </c>
      <c r="E375" s="22">
        <v>1.0</v>
      </c>
      <c r="F375" s="22"/>
      <c r="G375" s="22" t="s">
        <v>82</v>
      </c>
      <c r="H375" s="26">
        <v>45997.0</v>
      </c>
      <c r="I375" s="22" t="s">
        <v>153</v>
      </c>
      <c r="J375" s="22" t="s">
        <v>377</v>
      </c>
      <c r="K375" s="22" t="s">
        <v>380</v>
      </c>
      <c r="L375" s="35" t="s">
        <v>4723</v>
      </c>
      <c r="M375" s="32" t="s">
        <v>55</v>
      </c>
    </row>
    <row r="376">
      <c r="A376" s="22" t="s">
        <v>1259</v>
      </c>
      <c r="B376" s="22" t="s">
        <v>4724</v>
      </c>
      <c r="C376" s="22" t="s">
        <v>4725</v>
      </c>
      <c r="D376" s="22" t="s">
        <v>1105</v>
      </c>
      <c r="E376" s="22">
        <v>1.0</v>
      </c>
      <c r="F376" s="22"/>
      <c r="G376" s="22" t="s">
        <v>273</v>
      </c>
      <c r="H376" s="23">
        <v>45991.0</v>
      </c>
      <c r="I376" s="22" t="s">
        <v>149</v>
      </c>
      <c r="J376" s="22" t="s">
        <v>329</v>
      </c>
      <c r="K376" s="22" t="s">
        <v>1107</v>
      </c>
      <c r="L376" s="35" t="s">
        <v>4726</v>
      </c>
      <c r="M376" s="32" t="s">
        <v>95</v>
      </c>
    </row>
    <row r="377">
      <c r="A377" s="22" t="s">
        <v>1261</v>
      </c>
      <c r="B377" s="22" t="s">
        <v>4727</v>
      </c>
      <c r="C377" s="22" t="s">
        <v>4728</v>
      </c>
      <c r="D377" s="22" t="s">
        <v>386</v>
      </c>
      <c r="E377" s="22">
        <v>1.0</v>
      </c>
      <c r="F377" s="22"/>
      <c r="G377" s="22" t="s">
        <v>287</v>
      </c>
      <c r="H377" s="26">
        <v>45994.0</v>
      </c>
      <c r="I377" s="22" t="s">
        <v>134</v>
      </c>
      <c r="J377" s="22" t="s">
        <v>311</v>
      </c>
      <c r="K377" s="22" t="s">
        <v>390</v>
      </c>
      <c r="L377" s="35" t="s">
        <v>4729</v>
      </c>
      <c r="M377" s="32" t="s">
        <v>55</v>
      </c>
    </row>
    <row r="378">
      <c r="A378" s="22" t="s">
        <v>1279</v>
      </c>
      <c r="B378" s="22" t="s">
        <v>4717</v>
      </c>
      <c r="C378" s="22" t="s">
        <v>4730</v>
      </c>
      <c r="D378" s="22" t="s">
        <v>367</v>
      </c>
      <c r="E378" s="22">
        <v>1.0</v>
      </c>
      <c r="F378" s="22"/>
      <c r="G378" s="22" t="s">
        <v>273</v>
      </c>
      <c r="H378" s="26">
        <v>45998.0</v>
      </c>
      <c r="I378" s="22" t="s">
        <v>134</v>
      </c>
      <c r="J378" s="22" t="s">
        <v>369</v>
      </c>
      <c r="K378" s="22" t="s">
        <v>372</v>
      </c>
      <c r="L378" s="35" t="s">
        <v>4731</v>
      </c>
      <c r="M378" s="32" t="s">
        <v>55</v>
      </c>
    </row>
    <row r="379">
      <c r="A379" s="22" t="s">
        <v>1281</v>
      </c>
      <c r="B379" s="22" t="s">
        <v>4150</v>
      </c>
      <c r="C379" s="22" t="s">
        <v>4732</v>
      </c>
      <c r="D379" s="22" t="s">
        <v>979</v>
      </c>
      <c r="E379" s="22">
        <v>1.0</v>
      </c>
      <c r="F379" s="22"/>
      <c r="G379" s="22" t="s">
        <v>82</v>
      </c>
      <c r="H379" s="26">
        <v>45997.0</v>
      </c>
      <c r="I379" s="22" t="s">
        <v>149</v>
      </c>
      <c r="J379" s="22" t="s">
        <v>605</v>
      </c>
      <c r="K379" s="22" t="s">
        <v>984</v>
      </c>
      <c r="L379" s="35" t="s">
        <v>4733</v>
      </c>
      <c r="M379" s="32" t="s">
        <v>55</v>
      </c>
    </row>
    <row r="380">
      <c r="A380" s="22" t="s">
        <v>1285</v>
      </c>
      <c r="B380" s="22" t="s">
        <v>4063</v>
      </c>
      <c r="C380" s="22" t="s">
        <v>4734</v>
      </c>
      <c r="D380" s="22" t="s">
        <v>124</v>
      </c>
      <c r="E380" s="22">
        <v>1.0</v>
      </c>
      <c r="F380" s="22"/>
      <c r="G380" s="22" t="s">
        <v>1284</v>
      </c>
      <c r="H380" s="26">
        <v>45993.0</v>
      </c>
      <c r="I380" s="22" t="s">
        <v>149</v>
      </c>
      <c r="J380" s="22" t="s">
        <v>83</v>
      </c>
      <c r="K380" s="22" t="s">
        <v>126</v>
      </c>
      <c r="L380" s="35" t="s">
        <v>4735</v>
      </c>
      <c r="M380" s="32" t="s">
        <v>127</v>
      </c>
    </row>
    <row r="381">
      <c r="A381" s="22" t="s">
        <v>1287</v>
      </c>
      <c r="B381" s="22" t="s">
        <v>3984</v>
      </c>
      <c r="C381" s="22" t="s">
        <v>4736</v>
      </c>
      <c r="D381" s="22" t="s">
        <v>611</v>
      </c>
      <c r="E381" s="22">
        <v>2.0</v>
      </c>
      <c r="F381" s="22"/>
      <c r="G381" s="22" t="s">
        <v>273</v>
      </c>
      <c r="H381" s="26">
        <v>45998.0</v>
      </c>
      <c r="I381" s="22" t="s">
        <v>134</v>
      </c>
      <c r="J381" s="22" t="s">
        <v>369</v>
      </c>
      <c r="K381" s="22" t="s">
        <v>613</v>
      </c>
      <c r="L381" s="35" t="s">
        <v>4737</v>
      </c>
      <c r="M381" s="32" t="s">
        <v>105</v>
      </c>
    </row>
    <row r="382">
      <c r="A382" s="22" t="s">
        <v>4738</v>
      </c>
      <c r="B382" s="22" t="s">
        <v>4739</v>
      </c>
      <c r="C382" s="22" t="s">
        <v>4740</v>
      </c>
      <c r="D382" s="22" t="s">
        <v>4741</v>
      </c>
      <c r="E382" s="22">
        <v>1.0</v>
      </c>
      <c r="F382" s="22"/>
      <c r="G382" s="22" t="s">
        <v>202</v>
      </c>
      <c r="H382" s="26">
        <v>45996.0</v>
      </c>
      <c r="I382" s="22" t="s">
        <v>266</v>
      </c>
      <c r="J382" s="22" t="s">
        <v>4325</v>
      </c>
      <c r="K382" s="22" t="s">
        <v>4742</v>
      </c>
      <c r="L382" s="35" t="s">
        <v>4743</v>
      </c>
      <c r="M382" s="32" t="s">
        <v>55</v>
      </c>
    </row>
    <row r="383">
      <c r="A383" s="22" t="s">
        <v>1275</v>
      </c>
      <c r="B383" s="22" t="s">
        <v>4744</v>
      </c>
      <c r="C383" s="22" t="s">
        <v>4745</v>
      </c>
      <c r="D383" s="22" t="s">
        <v>1274</v>
      </c>
      <c r="E383" s="22">
        <v>1.0</v>
      </c>
      <c r="F383" s="22"/>
      <c r="G383" s="22" t="s">
        <v>82</v>
      </c>
      <c r="H383" s="26">
        <v>45997.0</v>
      </c>
      <c r="I383" s="22" t="s">
        <v>134</v>
      </c>
      <c r="J383" s="22" t="s">
        <v>451</v>
      </c>
      <c r="K383" s="22" t="s">
        <v>1276</v>
      </c>
      <c r="L383" s="35" t="s">
        <v>4746</v>
      </c>
      <c r="M383" s="32" t="s">
        <v>127</v>
      </c>
    </row>
    <row r="384">
      <c r="A384" s="22" t="s">
        <v>4747</v>
      </c>
      <c r="B384" s="22" t="s">
        <v>4748</v>
      </c>
      <c r="C384" s="22" t="s">
        <v>4749</v>
      </c>
      <c r="D384" s="22" t="s">
        <v>4521</v>
      </c>
      <c r="E384" s="22">
        <v>1.0</v>
      </c>
      <c r="F384" s="22"/>
      <c r="G384" s="22" t="s">
        <v>287</v>
      </c>
      <c r="H384" s="23">
        <v>46001.0</v>
      </c>
      <c r="I384" s="22" t="s">
        <v>181</v>
      </c>
      <c r="J384" s="22" t="s">
        <v>4399</v>
      </c>
      <c r="K384" s="22" t="s">
        <v>4522</v>
      </c>
      <c r="L384" s="35" t="s">
        <v>4750</v>
      </c>
      <c r="M384" s="32" t="s">
        <v>54</v>
      </c>
    </row>
    <row r="385">
      <c r="A385" s="22" t="s">
        <v>1351</v>
      </c>
      <c r="B385" s="22" t="s">
        <v>4334</v>
      </c>
      <c r="C385" s="22" t="s">
        <v>4751</v>
      </c>
      <c r="D385" s="22" t="s">
        <v>538</v>
      </c>
      <c r="E385" s="22">
        <v>1.0</v>
      </c>
      <c r="F385" s="22"/>
      <c r="G385" s="22" t="s">
        <v>273</v>
      </c>
      <c r="H385" s="26">
        <v>45998.0</v>
      </c>
      <c r="I385" s="22" t="s">
        <v>153</v>
      </c>
      <c r="J385" s="22" t="s">
        <v>369</v>
      </c>
      <c r="K385" s="22" t="s">
        <v>542</v>
      </c>
      <c r="L385" s="35" t="s">
        <v>4752</v>
      </c>
      <c r="M385" s="32" t="s">
        <v>91</v>
      </c>
    </row>
    <row r="386">
      <c r="A386" s="22" t="s">
        <v>4753</v>
      </c>
      <c r="B386" s="22" t="s">
        <v>4754</v>
      </c>
      <c r="C386" s="22" t="s">
        <v>4755</v>
      </c>
      <c r="D386" s="22" t="s">
        <v>4044</v>
      </c>
      <c r="E386" s="22">
        <v>1.0</v>
      </c>
      <c r="F386" s="22"/>
      <c r="G386" s="22" t="s">
        <v>1284</v>
      </c>
      <c r="H386" s="26">
        <v>45993.0</v>
      </c>
      <c r="I386" s="22" t="s">
        <v>149</v>
      </c>
      <c r="J386" s="22" t="s">
        <v>4045</v>
      </c>
      <c r="K386" s="22" t="s">
        <v>4046</v>
      </c>
      <c r="L386" s="35" t="s">
        <v>4756</v>
      </c>
      <c r="M386" s="32" t="s">
        <v>55</v>
      </c>
    </row>
    <row r="387">
      <c r="A387" s="22" t="s">
        <v>1312</v>
      </c>
      <c r="B387" s="22" t="s">
        <v>4261</v>
      </c>
      <c r="C387" s="22" t="s">
        <v>4757</v>
      </c>
      <c r="D387" s="22" t="s">
        <v>584</v>
      </c>
      <c r="E387" s="22">
        <v>1.0</v>
      </c>
      <c r="F387" s="22"/>
      <c r="G387" s="22" t="s">
        <v>82</v>
      </c>
      <c r="H387" s="26">
        <v>45997.0</v>
      </c>
      <c r="I387" s="22" t="s">
        <v>134</v>
      </c>
      <c r="J387" s="22" t="s">
        <v>377</v>
      </c>
      <c r="K387" s="22" t="s">
        <v>586</v>
      </c>
      <c r="L387" s="35" t="s">
        <v>4758</v>
      </c>
      <c r="M387" s="32" t="s">
        <v>105</v>
      </c>
    </row>
    <row r="388">
      <c r="A388" s="22" t="s">
        <v>1291</v>
      </c>
      <c r="B388" s="22" t="s">
        <v>4759</v>
      </c>
      <c r="C388" s="22" t="s">
        <v>4760</v>
      </c>
      <c r="D388" s="22" t="s">
        <v>602</v>
      </c>
      <c r="E388" s="22">
        <v>1.0</v>
      </c>
      <c r="F388" s="22"/>
      <c r="G388" s="22" t="s">
        <v>82</v>
      </c>
      <c r="H388" s="26">
        <v>45997.0</v>
      </c>
      <c r="I388" s="22" t="s">
        <v>149</v>
      </c>
      <c r="J388" s="22" t="s">
        <v>605</v>
      </c>
      <c r="K388" s="22" t="s">
        <v>608</v>
      </c>
      <c r="L388" s="35" t="s">
        <v>4761</v>
      </c>
      <c r="M388" s="32" t="s">
        <v>54</v>
      </c>
    </row>
    <row r="389">
      <c r="A389" s="22" t="s">
        <v>1289</v>
      </c>
      <c r="B389" s="22" t="s">
        <v>4762</v>
      </c>
      <c r="C389" s="22" t="s">
        <v>4763</v>
      </c>
      <c r="D389" s="22" t="s">
        <v>560</v>
      </c>
      <c r="E389" s="22">
        <v>1.0</v>
      </c>
      <c r="F389" s="22"/>
      <c r="G389" s="22" t="s">
        <v>273</v>
      </c>
      <c r="H389" s="23">
        <v>45991.0</v>
      </c>
      <c r="I389" s="22" t="s">
        <v>149</v>
      </c>
      <c r="J389" s="22" t="s">
        <v>356</v>
      </c>
      <c r="K389" s="22" t="s">
        <v>563</v>
      </c>
      <c r="L389" s="35" t="s">
        <v>4764</v>
      </c>
      <c r="M389" s="32" t="s">
        <v>91</v>
      </c>
    </row>
    <row r="390">
      <c r="A390" s="22" t="s">
        <v>1290</v>
      </c>
      <c r="B390" s="22" t="s">
        <v>3787</v>
      </c>
      <c r="C390" s="22" t="s">
        <v>4765</v>
      </c>
      <c r="D390" s="22" t="s">
        <v>938</v>
      </c>
      <c r="E390" s="22">
        <v>1.0</v>
      </c>
      <c r="F390" s="22"/>
      <c r="G390" s="22" t="s">
        <v>82</v>
      </c>
      <c r="H390" s="26">
        <v>45997.0</v>
      </c>
      <c r="I390" s="22" t="s">
        <v>134</v>
      </c>
      <c r="J390" s="22" t="s">
        <v>472</v>
      </c>
      <c r="K390" s="22" t="s">
        <v>940</v>
      </c>
      <c r="L390" s="35" t="s">
        <v>4766</v>
      </c>
      <c r="M390" s="32" t="s">
        <v>54</v>
      </c>
    </row>
    <row r="391">
      <c r="A391" s="22" t="s">
        <v>1330</v>
      </c>
      <c r="B391" s="22" t="s">
        <v>4196</v>
      </c>
      <c r="C391" s="22" t="s">
        <v>3835</v>
      </c>
      <c r="D391" s="22" t="s">
        <v>166</v>
      </c>
      <c r="E391" s="22">
        <v>1.0</v>
      </c>
      <c r="F391" s="22"/>
      <c r="G391" s="22" t="s">
        <v>82</v>
      </c>
      <c r="H391" s="26">
        <v>45997.0</v>
      </c>
      <c r="I391" s="22" t="s">
        <v>1329</v>
      </c>
      <c r="J391" s="22" t="s">
        <v>111</v>
      </c>
      <c r="K391" s="22" t="s">
        <v>171</v>
      </c>
      <c r="L391" s="35" t="s">
        <v>4767</v>
      </c>
      <c r="M391" s="32" t="s">
        <v>55</v>
      </c>
    </row>
    <row r="392">
      <c r="A392" s="22" t="s">
        <v>1263</v>
      </c>
      <c r="B392" s="22" t="s">
        <v>4768</v>
      </c>
      <c r="C392" s="22" t="s">
        <v>4769</v>
      </c>
      <c r="D392" s="22" t="s">
        <v>879</v>
      </c>
      <c r="E392" s="22">
        <v>1.0</v>
      </c>
      <c r="F392" s="22"/>
      <c r="G392" s="22" t="s">
        <v>82</v>
      </c>
      <c r="H392" s="26">
        <v>45997.0</v>
      </c>
      <c r="I392" s="22" t="s">
        <v>219</v>
      </c>
      <c r="J392" s="22" t="s">
        <v>341</v>
      </c>
      <c r="K392" s="22" t="s">
        <v>881</v>
      </c>
      <c r="L392" s="35" t="s">
        <v>4770</v>
      </c>
      <c r="M392" s="32" t="s">
        <v>127</v>
      </c>
    </row>
    <row r="393">
      <c r="A393" s="22" t="s">
        <v>1263</v>
      </c>
      <c r="B393" s="22" t="s">
        <v>4768</v>
      </c>
      <c r="C393" s="22" t="s">
        <v>4769</v>
      </c>
      <c r="D393" s="22" t="s">
        <v>1265</v>
      </c>
      <c r="E393" s="22">
        <v>1.0</v>
      </c>
      <c r="F393" s="22"/>
      <c r="G393" s="22" t="s">
        <v>82</v>
      </c>
      <c r="H393" s="26">
        <v>45997.0</v>
      </c>
      <c r="I393" s="22" t="s">
        <v>219</v>
      </c>
      <c r="J393" s="22" t="s">
        <v>341</v>
      </c>
      <c r="K393" s="22" t="s">
        <v>1266</v>
      </c>
      <c r="L393" s="35" t="s">
        <v>4771</v>
      </c>
      <c r="M393" s="32" t="s">
        <v>127</v>
      </c>
    </row>
    <row r="394">
      <c r="A394" s="22" t="s">
        <v>1293</v>
      </c>
      <c r="B394" s="22" t="s">
        <v>4147</v>
      </c>
      <c r="C394" s="22" t="s">
        <v>4772</v>
      </c>
      <c r="D394" s="22" t="s">
        <v>166</v>
      </c>
      <c r="E394" s="22">
        <v>1.0</v>
      </c>
      <c r="F394" s="22"/>
      <c r="G394" s="22" t="s">
        <v>273</v>
      </c>
      <c r="H394" s="23">
        <v>45991.0</v>
      </c>
      <c r="I394" s="22" t="s">
        <v>211</v>
      </c>
      <c r="J394" s="22" t="s">
        <v>111</v>
      </c>
      <c r="K394" s="22" t="s">
        <v>171</v>
      </c>
      <c r="L394" s="35" t="s">
        <v>4773</v>
      </c>
      <c r="M394" s="32" t="s">
        <v>55</v>
      </c>
    </row>
    <row r="395">
      <c r="A395" s="22" t="s">
        <v>4774</v>
      </c>
      <c r="B395" s="22" t="s">
        <v>4775</v>
      </c>
      <c r="C395" s="22" t="s">
        <v>4776</v>
      </c>
      <c r="D395" s="22" t="s">
        <v>4025</v>
      </c>
      <c r="E395" s="22">
        <v>1.0</v>
      </c>
      <c r="F395" s="22"/>
      <c r="G395" s="22" t="s">
        <v>294</v>
      </c>
      <c r="H395" s="26">
        <v>45992.0</v>
      </c>
      <c r="I395" s="22" t="s">
        <v>196</v>
      </c>
      <c r="J395" s="22" t="s">
        <v>4026</v>
      </c>
      <c r="K395" s="22" t="s">
        <v>4027</v>
      </c>
      <c r="L395" s="35" t="s">
        <v>4777</v>
      </c>
      <c r="M395" s="32" t="s">
        <v>55</v>
      </c>
    </row>
    <row r="396">
      <c r="A396" s="22" t="s">
        <v>1292</v>
      </c>
      <c r="B396" s="22" t="s">
        <v>4778</v>
      </c>
      <c r="C396" s="22" t="s">
        <v>4779</v>
      </c>
      <c r="D396" s="22" t="s">
        <v>709</v>
      </c>
      <c r="E396" s="22">
        <v>1.0</v>
      </c>
      <c r="F396" s="22"/>
      <c r="G396" s="22" t="s">
        <v>273</v>
      </c>
      <c r="H396" s="26">
        <v>45998.0</v>
      </c>
      <c r="I396" s="22" t="s">
        <v>134</v>
      </c>
      <c r="J396" s="22" t="s">
        <v>311</v>
      </c>
      <c r="K396" s="22" t="s">
        <v>713</v>
      </c>
      <c r="L396" s="35" t="s">
        <v>4780</v>
      </c>
      <c r="M396" s="32" t="s">
        <v>91</v>
      </c>
    </row>
    <row r="397">
      <c r="A397" s="22" t="s">
        <v>1270</v>
      </c>
      <c r="B397" s="22" t="s">
        <v>4781</v>
      </c>
      <c r="C397" s="22" t="s">
        <v>4782</v>
      </c>
      <c r="D397" s="22" t="s">
        <v>1269</v>
      </c>
      <c r="E397" s="22">
        <v>1.0</v>
      </c>
      <c r="F397" s="22"/>
      <c r="G397" s="22" t="s">
        <v>273</v>
      </c>
      <c r="H397" s="23">
        <v>45991.0</v>
      </c>
      <c r="I397" s="22" t="s">
        <v>149</v>
      </c>
      <c r="J397" s="22" t="s">
        <v>356</v>
      </c>
      <c r="K397" s="22" t="s">
        <v>1271</v>
      </c>
      <c r="L397" s="35" t="s">
        <v>4783</v>
      </c>
      <c r="M397" s="32" t="s">
        <v>105</v>
      </c>
    </row>
    <row r="398">
      <c r="A398" s="22" t="s">
        <v>1288</v>
      </c>
      <c r="B398" s="22" t="s">
        <v>4784</v>
      </c>
      <c r="C398" s="22" t="s">
        <v>4785</v>
      </c>
      <c r="D398" s="22" t="s">
        <v>1274</v>
      </c>
      <c r="E398" s="22">
        <v>1.0</v>
      </c>
      <c r="F398" s="22"/>
      <c r="G398" s="22" t="s">
        <v>82</v>
      </c>
      <c r="H398" s="26">
        <v>45997.0</v>
      </c>
      <c r="I398" s="22" t="s">
        <v>134</v>
      </c>
      <c r="J398" s="22" t="s">
        <v>451</v>
      </c>
      <c r="K398" s="22" t="s">
        <v>1276</v>
      </c>
      <c r="L398" s="35" t="s">
        <v>4786</v>
      </c>
      <c r="M398" s="32" t="s">
        <v>127</v>
      </c>
    </row>
    <row r="399">
      <c r="A399" s="22" t="s">
        <v>1295</v>
      </c>
      <c r="B399" s="22" t="s">
        <v>4787</v>
      </c>
      <c r="C399" s="22" t="s">
        <v>4788</v>
      </c>
      <c r="D399" s="22" t="s">
        <v>96</v>
      </c>
      <c r="E399" s="22">
        <v>1.0</v>
      </c>
      <c r="F399" s="22"/>
      <c r="G399" s="22" t="s">
        <v>82</v>
      </c>
      <c r="H399" s="26">
        <v>45997.0</v>
      </c>
      <c r="I399" s="22" t="s">
        <v>145</v>
      </c>
      <c r="J399" s="22" t="s">
        <v>83</v>
      </c>
      <c r="K399" s="22" t="s">
        <v>98</v>
      </c>
      <c r="L399" s="35" t="s">
        <v>4789</v>
      </c>
      <c r="M399" s="32" t="s">
        <v>55</v>
      </c>
    </row>
    <row r="400">
      <c r="A400" s="22" t="s">
        <v>1304</v>
      </c>
      <c r="B400" s="22" t="s">
        <v>4790</v>
      </c>
      <c r="C400" s="22" t="s">
        <v>4791</v>
      </c>
      <c r="D400" s="22" t="s">
        <v>973</v>
      </c>
      <c r="E400" s="22">
        <v>1.0</v>
      </c>
      <c r="F400" s="22"/>
      <c r="G400" s="22" t="s">
        <v>273</v>
      </c>
      <c r="H400" s="26">
        <v>45998.0</v>
      </c>
      <c r="I400" s="22" t="s">
        <v>187</v>
      </c>
      <c r="J400" s="22" t="s">
        <v>440</v>
      </c>
      <c r="K400" s="22" t="s">
        <v>978</v>
      </c>
      <c r="L400" s="35" t="s">
        <v>4792</v>
      </c>
      <c r="M400" s="32" t="s">
        <v>105</v>
      </c>
    </row>
    <row r="401">
      <c r="A401" s="22" t="s">
        <v>1306</v>
      </c>
      <c r="B401" s="22" t="s">
        <v>3834</v>
      </c>
      <c r="C401" s="22" t="s">
        <v>4793</v>
      </c>
      <c r="D401" s="22" t="s">
        <v>560</v>
      </c>
      <c r="E401" s="22">
        <v>1.0</v>
      </c>
      <c r="F401" s="22"/>
      <c r="G401" s="22" t="s">
        <v>273</v>
      </c>
      <c r="H401" s="23">
        <v>45991.0</v>
      </c>
      <c r="I401" s="22" t="s">
        <v>196</v>
      </c>
      <c r="J401" s="22" t="s">
        <v>356</v>
      </c>
      <c r="K401" s="22" t="s">
        <v>563</v>
      </c>
      <c r="L401" s="35" t="s">
        <v>4794</v>
      </c>
      <c r="M401" s="32" t="s">
        <v>91</v>
      </c>
    </row>
    <row r="402">
      <c r="A402" s="22" t="s">
        <v>1308</v>
      </c>
      <c r="B402" s="22" t="s">
        <v>4795</v>
      </c>
      <c r="C402" s="22" t="s">
        <v>4796</v>
      </c>
      <c r="D402" s="22" t="s">
        <v>1217</v>
      </c>
      <c r="E402" s="22">
        <v>1.0</v>
      </c>
      <c r="F402" s="22"/>
      <c r="G402" s="22" t="s">
        <v>287</v>
      </c>
      <c r="H402" s="26">
        <v>45994.0</v>
      </c>
      <c r="I402" s="22" t="s">
        <v>252</v>
      </c>
      <c r="J402" s="22" t="s">
        <v>605</v>
      </c>
      <c r="K402" s="22" t="s">
        <v>1219</v>
      </c>
      <c r="L402" s="35" t="s">
        <v>4797</v>
      </c>
      <c r="M402" s="32" t="s">
        <v>91</v>
      </c>
    </row>
    <row r="403">
      <c r="A403" s="22" t="s">
        <v>1310</v>
      </c>
      <c r="B403" s="22" t="s">
        <v>4257</v>
      </c>
      <c r="C403" s="22" t="s">
        <v>4798</v>
      </c>
      <c r="D403" s="22" t="s">
        <v>80</v>
      </c>
      <c r="E403" s="22">
        <v>1.0</v>
      </c>
      <c r="F403" s="22"/>
      <c r="G403" s="22" t="s">
        <v>273</v>
      </c>
      <c r="H403" s="26">
        <v>45998.0</v>
      </c>
      <c r="I403" s="22" t="s">
        <v>134</v>
      </c>
      <c r="J403" s="22" t="s">
        <v>83</v>
      </c>
      <c r="K403" s="22" t="s">
        <v>86</v>
      </c>
      <c r="L403" s="35" t="s">
        <v>4799</v>
      </c>
      <c r="M403" s="32" t="s">
        <v>91</v>
      </c>
    </row>
    <row r="404">
      <c r="A404" s="22" t="s">
        <v>1403</v>
      </c>
      <c r="B404" s="22" t="s">
        <v>4800</v>
      </c>
      <c r="C404" s="22" t="s">
        <v>4801</v>
      </c>
      <c r="D404" s="22" t="s">
        <v>470</v>
      </c>
      <c r="E404" s="22">
        <v>1.0</v>
      </c>
      <c r="F404" s="22"/>
      <c r="G404" s="22" t="s">
        <v>273</v>
      </c>
      <c r="H404" s="26">
        <v>45998.0</v>
      </c>
      <c r="I404" s="22" t="s">
        <v>266</v>
      </c>
      <c r="J404" s="22" t="s">
        <v>472</v>
      </c>
      <c r="K404" s="22" t="s">
        <v>475</v>
      </c>
      <c r="L404" s="35" t="s">
        <v>4802</v>
      </c>
      <c r="M404" s="32" t="s">
        <v>91</v>
      </c>
    </row>
    <row r="405">
      <c r="A405" s="22" t="s">
        <v>1314</v>
      </c>
      <c r="B405" s="22" t="s">
        <v>4803</v>
      </c>
      <c r="C405" s="22" t="s">
        <v>4804</v>
      </c>
      <c r="D405" s="22" t="s">
        <v>124</v>
      </c>
      <c r="E405" s="22">
        <v>1.0</v>
      </c>
      <c r="F405" s="22"/>
      <c r="G405" s="22" t="s">
        <v>287</v>
      </c>
      <c r="H405" s="26">
        <v>45994.0</v>
      </c>
      <c r="I405" s="22" t="s">
        <v>196</v>
      </c>
      <c r="J405" s="22" t="s">
        <v>83</v>
      </c>
      <c r="K405" s="22" t="s">
        <v>126</v>
      </c>
      <c r="L405" s="35" t="s">
        <v>4805</v>
      </c>
      <c r="M405" s="32" t="s">
        <v>127</v>
      </c>
    </row>
    <row r="406">
      <c r="A406" s="22" t="s">
        <v>1317</v>
      </c>
      <c r="B406" s="22" t="s">
        <v>4806</v>
      </c>
      <c r="C406" s="22" t="s">
        <v>4807</v>
      </c>
      <c r="D406" s="22" t="s">
        <v>1316</v>
      </c>
      <c r="E406" s="22">
        <v>1.0</v>
      </c>
      <c r="F406" s="22"/>
      <c r="G406" s="22" t="s">
        <v>273</v>
      </c>
      <c r="H406" s="23">
        <v>45991.0</v>
      </c>
      <c r="I406" s="22" t="s">
        <v>248</v>
      </c>
      <c r="J406" s="22" t="s">
        <v>329</v>
      </c>
      <c r="K406" s="22" t="s">
        <v>1318</v>
      </c>
      <c r="L406" s="35" t="s">
        <v>4808</v>
      </c>
      <c r="M406" s="32" t="s">
        <v>175</v>
      </c>
    </row>
    <row r="407">
      <c r="A407" s="22" t="s">
        <v>1303</v>
      </c>
      <c r="B407" s="22" t="s">
        <v>4809</v>
      </c>
      <c r="C407" s="22" t="s">
        <v>4810</v>
      </c>
      <c r="D407" s="22" t="s">
        <v>584</v>
      </c>
      <c r="E407" s="22">
        <v>1.0</v>
      </c>
      <c r="F407" s="22"/>
      <c r="G407" s="22" t="s">
        <v>82</v>
      </c>
      <c r="H407" s="26">
        <v>45997.0</v>
      </c>
      <c r="I407" s="22" t="s">
        <v>138</v>
      </c>
      <c r="J407" s="22" t="s">
        <v>377</v>
      </c>
      <c r="K407" s="22" t="s">
        <v>586</v>
      </c>
      <c r="L407" s="35" t="s">
        <v>4811</v>
      </c>
      <c r="M407" s="32" t="s">
        <v>105</v>
      </c>
    </row>
    <row r="408">
      <c r="A408" s="22" t="s">
        <v>1320</v>
      </c>
      <c r="B408" s="22" t="s">
        <v>3895</v>
      </c>
      <c r="C408" s="22" t="s">
        <v>4812</v>
      </c>
      <c r="D408" s="22" t="s">
        <v>584</v>
      </c>
      <c r="E408" s="22">
        <v>1.0</v>
      </c>
      <c r="F408" s="22"/>
      <c r="G408" s="22" t="s">
        <v>82</v>
      </c>
      <c r="H408" s="26">
        <v>45997.0</v>
      </c>
      <c r="I408" s="22" t="s">
        <v>134</v>
      </c>
      <c r="J408" s="22" t="s">
        <v>377</v>
      </c>
      <c r="K408" s="22" t="s">
        <v>586</v>
      </c>
      <c r="L408" s="35" t="s">
        <v>4813</v>
      </c>
      <c r="M408" s="32" t="s">
        <v>105</v>
      </c>
    </row>
    <row r="409">
      <c r="A409" s="22" t="s">
        <v>1321</v>
      </c>
      <c r="B409" s="22" t="s">
        <v>3734</v>
      </c>
      <c r="C409" s="22" t="s">
        <v>4814</v>
      </c>
      <c r="D409" s="22" t="s">
        <v>276</v>
      </c>
      <c r="E409" s="22">
        <v>1.0</v>
      </c>
      <c r="F409" s="22"/>
      <c r="G409" s="22" t="s">
        <v>273</v>
      </c>
      <c r="H409" s="26">
        <v>45998.0</v>
      </c>
      <c r="I409" s="22" t="s">
        <v>187</v>
      </c>
      <c r="J409" s="22" t="s">
        <v>278</v>
      </c>
      <c r="K409" s="22" t="s">
        <v>281</v>
      </c>
      <c r="L409" s="35" t="s">
        <v>4815</v>
      </c>
      <c r="M409" s="32" t="s">
        <v>55</v>
      </c>
    </row>
    <row r="410">
      <c r="A410" s="22" t="s">
        <v>1323</v>
      </c>
      <c r="B410" s="22" t="s">
        <v>4816</v>
      </c>
      <c r="C410" s="22" t="s">
        <v>4817</v>
      </c>
      <c r="D410" s="22" t="s">
        <v>584</v>
      </c>
      <c r="E410" s="22">
        <v>1.0</v>
      </c>
      <c r="F410" s="22"/>
      <c r="G410" s="22" t="s">
        <v>82</v>
      </c>
      <c r="H410" s="23">
        <v>46004.0</v>
      </c>
      <c r="I410" s="22" t="s">
        <v>149</v>
      </c>
      <c r="J410" s="22" t="s">
        <v>377</v>
      </c>
      <c r="K410" s="22" t="s">
        <v>586</v>
      </c>
      <c r="L410" s="35" t="s">
        <v>4818</v>
      </c>
      <c r="M410" s="32" t="s">
        <v>105</v>
      </c>
    </row>
    <row r="411">
      <c r="A411" s="22" t="s">
        <v>1325</v>
      </c>
      <c r="B411" s="22" t="s">
        <v>4819</v>
      </c>
      <c r="C411" s="22" t="s">
        <v>4820</v>
      </c>
      <c r="D411" s="22" t="s">
        <v>640</v>
      </c>
      <c r="E411" s="22">
        <v>1.0</v>
      </c>
      <c r="F411" s="22"/>
      <c r="G411" s="22" t="s">
        <v>273</v>
      </c>
      <c r="H411" s="23">
        <v>45991.0</v>
      </c>
      <c r="I411" s="22" t="s">
        <v>149</v>
      </c>
      <c r="J411" s="22" t="s">
        <v>356</v>
      </c>
      <c r="K411" s="22" t="s">
        <v>642</v>
      </c>
      <c r="L411" s="35" t="s">
        <v>4821</v>
      </c>
      <c r="M411" s="32" t="s">
        <v>95</v>
      </c>
    </row>
    <row r="412">
      <c r="A412" s="22" t="s">
        <v>1326</v>
      </c>
      <c r="B412" s="22" t="s">
        <v>4190</v>
      </c>
      <c r="C412" s="22" t="s">
        <v>4822</v>
      </c>
      <c r="D412" s="22" t="s">
        <v>166</v>
      </c>
      <c r="E412" s="22">
        <v>1.0</v>
      </c>
      <c r="F412" s="22"/>
      <c r="G412" s="22" t="s">
        <v>82</v>
      </c>
      <c r="H412" s="26">
        <v>45997.0</v>
      </c>
      <c r="I412" s="22" t="s">
        <v>187</v>
      </c>
      <c r="J412" s="22" t="s">
        <v>111</v>
      </c>
      <c r="K412" s="22" t="s">
        <v>171</v>
      </c>
      <c r="L412" s="35" t="s">
        <v>4823</v>
      </c>
      <c r="M412" s="32" t="s">
        <v>55</v>
      </c>
    </row>
    <row r="413">
      <c r="A413" s="22" t="s">
        <v>1327</v>
      </c>
      <c r="B413" s="22" t="s">
        <v>3965</v>
      </c>
      <c r="C413" s="22" t="s">
        <v>3783</v>
      </c>
      <c r="D413" s="22" t="s">
        <v>979</v>
      </c>
      <c r="E413" s="22">
        <v>1.0</v>
      </c>
      <c r="F413" s="22"/>
      <c r="G413" s="22" t="s">
        <v>287</v>
      </c>
      <c r="H413" s="26">
        <v>45994.0</v>
      </c>
      <c r="I413" s="22" t="s">
        <v>252</v>
      </c>
      <c r="J413" s="22" t="s">
        <v>605</v>
      </c>
      <c r="K413" s="22" t="s">
        <v>984</v>
      </c>
      <c r="L413" s="35" t="s">
        <v>4824</v>
      </c>
      <c r="M413" s="32" t="s">
        <v>55</v>
      </c>
    </row>
    <row r="414">
      <c r="A414" s="22" t="s">
        <v>1380</v>
      </c>
      <c r="B414" s="22" t="s">
        <v>4512</v>
      </c>
      <c r="C414" s="22" t="s">
        <v>4825</v>
      </c>
      <c r="D414" s="22" t="s">
        <v>740</v>
      </c>
      <c r="E414" s="22">
        <v>1.0</v>
      </c>
      <c r="F414" s="22"/>
      <c r="G414" s="22" t="s">
        <v>273</v>
      </c>
      <c r="H414" s="26">
        <v>45998.0</v>
      </c>
      <c r="I414" s="22" t="s">
        <v>134</v>
      </c>
      <c r="J414" s="22" t="s">
        <v>303</v>
      </c>
      <c r="K414" s="22" t="s">
        <v>744</v>
      </c>
      <c r="L414" s="35" t="s">
        <v>4826</v>
      </c>
      <c r="M414" s="32" t="s">
        <v>91</v>
      </c>
    </row>
    <row r="415">
      <c r="A415" s="22" t="s">
        <v>1333</v>
      </c>
      <c r="B415" s="22" t="s">
        <v>4827</v>
      </c>
      <c r="C415" s="22" t="s">
        <v>4828</v>
      </c>
      <c r="D415" s="22" t="s">
        <v>1192</v>
      </c>
      <c r="E415" s="22">
        <v>1.0</v>
      </c>
      <c r="F415" s="22"/>
      <c r="G415" s="22" t="s">
        <v>82</v>
      </c>
      <c r="H415" s="26">
        <v>45997.0</v>
      </c>
      <c r="I415" s="22" t="s">
        <v>1117</v>
      </c>
      <c r="J415" s="22" t="s">
        <v>717</v>
      </c>
      <c r="K415" s="22" t="s">
        <v>1196</v>
      </c>
      <c r="L415" s="35" t="s">
        <v>4829</v>
      </c>
      <c r="M415" s="32" t="s">
        <v>127</v>
      </c>
    </row>
    <row r="416">
      <c r="A416" s="22" t="s">
        <v>1336</v>
      </c>
      <c r="B416" s="22" t="s">
        <v>4830</v>
      </c>
      <c r="C416" s="22" t="s">
        <v>4831</v>
      </c>
      <c r="D416" s="22" t="s">
        <v>1224</v>
      </c>
      <c r="E416" s="22">
        <v>1.0</v>
      </c>
      <c r="F416" s="22"/>
      <c r="G416" s="22" t="s">
        <v>202</v>
      </c>
      <c r="H416" s="26">
        <v>45996.0</v>
      </c>
      <c r="I416" s="22" t="s">
        <v>196</v>
      </c>
      <c r="J416" s="22" t="s">
        <v>717</v>
      </c>
      <c r="K416" s="22" t="s">
        <v>1228</v>
      </c>
      <c r="L416" s="35" t="s">
        <v>4832</v>
      </c>
      <c r="M416" s="32" t="s">
        <v>91</v>
      </c>
    </row>
    <row r="417">
      <c r="A417" s="22" t="s">
        <v>4833</v>
      </c>
      <c r="B417" s="22" t="s">
        <v>4834</v>
      </c>
      <c r="C417" s="22" t="s">
        <v>4835</v>
      </c>
      <c r="D417" s="22" t="s">
        <v>4324</v>
      </c>
      <c r="E417" s="22">
        <v>1.0</v>
      </c>
      <c r="F417" s="22"/>
      <c r="G417" s="22" t="s">
        <v>1284</v>
      </c>
      <c r="H417" s="26">
        <v>46000.0</v>
      </c>
      <c r="I417" s="22" t="s">
        <v>1400</v>
      </c>
      <c r="J417" s="22" t="s">
        <v>4325</v>
      </c>
      <c r="K417" s="22" t="s">
        <v>4326</v>
      </c>
      <c r="L417" s="35" t="s">
        <v>4836</v>
      </c>
      <c r="M417" s="32" t="s">
        <v>54</v>
      </c>
    </row>
    <row r="418">
      <c r="A418" s="22" t="s">
        <v>1339</v>
      </c>
      <c r="B418" s="22" t="s">
        <v>4837</v>
      </c>
      <c r="C418" s="22" t="s">
        <v>4838</v>
      </c>
      <c r="D418" s="22" t="s">
        <v>96</v>
      </c>
      <c r="E418" s="22">
        <v>1.0</v>
      </c>
      <c r="F418" s="22"/>
      <c r="G418" s="22" t="s">
        <v>273</v>
      </c>
      <c r="H418" s="23">
        <v>45991.0</v>
      </c>
      <c r="I418" s="22" t="s">
        <v>266</v>
      </c>
      <c r="J418" s="22" t="s">
        <v>83</v>
      </c>
      <c r="K418" s="22" t="s">
        <v>98</v>
      </c>
      <c r="L418" s="35" t="s">
        <v>4839</v>
      </c>
      <c r="M418" s="32" t="s">
        <v>55</v>
      </c>
    </row>
    <row r="419">
      <c r="A419" s="22" t="s">
        <v>1341</v>
      </c>
      <c r="B419" s="22" t="s">
        <v>4840</v>
      </c>
      <c r="C419" s="22" t="s">
        <v>4841</v>
      </c>
      <c r="D419" s="22" t="s">
        <v>495</v>
      </c>
      <c r="E419" s="22">
        <v>1.0</v>
      </c>
      <c r="F419" s="22"/>
      <c r="G419" s="22" t="s">
        <v>273</v>
      </c>
      <c r="H419" s="23">
        <v>45991.0</v>
      </c>
      <c r="I419" s="22" t="s">
        <v>248</v>
      </c>
      <c r="J419" s="22" t="s">
        <v>329</v>
      </c>
      <c r="K419" s="22" t="s">
        <v>500</v>
      </c>
      <c r="L419" s="35" t="s">
        <v>4842</v>
      </c>
      <c r="M419" s="32" t="s">
        <v>54</v>
      </c>
    </row>
    <row r="420">
      <c r="A420" s="22" t="s">
        <v>1342</v>
      </c>
      <c r="B420" s="22" t="s">
        <v>3981</v>
      </c>
      <c r="C420" s="22" t="s">
        <v>4843</v>
      </c>
      <c r="D420" s="22" t="s">
        <v>96</v>
      </c>
      <c r="E420" s="22">
        <v>1.0</v>
      </c>
      <c r="F420" s="22"/>
      <c r="G420" s="22" t="s">
        <v>82</v>
      </c>
      <c r="H420" s="23">
        <v>45990.0</v>
      </c>
      <c r="I420" s="22" t="s">
        <v>149</v>
      </c>
      <c r="J420" s="22" t="s">
        <v>83</v>
      </c>
      <c r="K420" s="22" t="s">
        <v>98</v>
      </c>
      <c r="L420" s="35" t="s">
        <v>4844</v>
      </c>
      <c r="M420" s="32" t="s">
        <v>55</v>
      </c>
    </row>
    <row r="421">
      <c r="A421" s="22" t="s">
        <v>1300</v>
      </c>
      <c r="B421" s="22" t="s">
        <v>4845</v>
      </c>
      <c r="C421" s="22" t="s">
        <v>4846</v>
      </c>
      <c r="D421" s="22" t="s">
        <v>1297</v>
      </c>
      <c r="E421" s="22">
        <v>1.0</v>
      </c>
      <c r="F421" s="22"/>
      <c r="G421" s="22" t="s">
        <v>82</v>
      </c>
      <c r="H421" s="26">
        <v>45997.0</v>
      </c>
      <c r="I421" s="22" t="s">
        <v>1299</v>
      </c>
      <c r="J421" s="22" t="s">
        <v>111</v>
      </c>
      <c r="K421" s="22" t="s">
        <v>1302</v>
      </c>
      <c r="L421" s="35" t="s">
        <v>4847</v>
      </c>
      <c r="M421" s="32" t="s">
        <v>175</v>
      </c>
    </row>
    <row r="422">
      <c r="A422" s="22" t="s">
        <v>1346</v>
      </c>
      <c r="B422" s="22" t="s">
        <v>4848</v>
      </c>
      <c r="C422" s="22" t="s">
        <v>4849</v>
      </c>
      <c r="D422" s="22" t="s">
        <v>309</v>
      </c>
      <c r="E422" s="22">
        <v>1.0</v>
      </c>
      <c r="F422" s="22"/>
      <c r="G422" s="22" t="s">
        <v>287</v>
      </c>
      <c r="H422" s="23">
        <v>46001.0</v>
      </c>
      <c r="I422" s="22" t="s">
        <v>134</v>
      </c>
      <c r="J422" s="22" t="s">
        <v>311</v>
      </c>
      <c r="K422" s="22" t="s">
        <v>314</v>
      </c>
      <c r="L422" s="35" t="s">
        <v>4850</v>
      </c>
      <c r="M422" s="32" t="s">
        <v>105</v>
      </c>
    </row>
    <row r="423">
      <c r="A423" s="22" t="s">
        <v>1347</v>
      </c>
      <c r="B423" s="22" t="s">
        <v>3898</v>
      </c>
      <c r="C423" s="22" t="s">
        <v>4851</v>
      </c>
      <c r="D423" s="22" t="s">
        <v>924</v>
      </c>
      <c r="E423" s="22">
        <v>1.0</v>
      </c>
      <c r="F423" s="22"/>
      <c r="G423" s="22" t="s">
        <v>273</v>
      </c>
      <c r="H423" s="26">
        <v>45998.0</v>
      </c>
      <c r="I423" s="22" t="s">
        <v>149</v>
      </c>
      <c r="J423" s="22" t="s">
        <v>623</v>
      </c>
      <c r="K423" s="22" t="s">
        <v>926</v>
      </c>
      <c r="L423" s="35" t="s">
        <v>4852</v>
      </c>
      <c r="M423" s="32" t="s">
        <v>55</v>
      </c>
    </row>
    <row r="424">
      <c r="A424" s="22" t="s">
        <v>1349</v>
      </c>
      <c r="B424" s="22" t="s">
        <v>3921</v>
      </c>
      <c r="C424" s="22" t="s">
        <v>4853</v>
      </c>
      <c r="D424" s="22" t="s">
        <v>80</v>
      </c>
      <c r="E424" s="22">
        <v>1.0</v>
      </c>
      <c r="F424" s="22"/>
      <c r="G424" s="22" t="s">
        <v>287</v>
      </c>
      <c r="H424" s="26">
        <v>45994.0</v>
      </c>
      <c r="I424" s="22" t="s">
        <v>153</v>
      </c>
      <c r="J424" s="22" t="s">
        <v>83</v>
      </c>
      <c r="K424" s="22" t="s">
        <v>86</v>
      </c>
      <c r="L424" s="35" t="s">
        <v>4854</v>
      </c>
      <c r="M424" s="32" t="s">
        <v>91</v>
      </c>
    </row>
    <row r="425">
      <c r="A425" s="22" t="s">
        <v>1397</v>
      </c>
      <c r="B425" s="22" t="s">
        <v>4855</v>
      </c>
      <c r="C425" s="22" t="s">
        <v>4856</v>
      </c>
      <c r="D425" s="22" t="s">
        <v>80</v>
      </c>
      <c r="E425" s="22">
        <v>1.0</v>
      </c>
      <c r="F425" s="22"/>
      <c r="G425" s="22" t="s">
        <v>82</v>
      </c>
      <c r="H425" s="26">
        <v>45997.0</v>
      </c>
      <c r="I425" s="22" t="s">
        <v>181</v>
      </c>
      <c r="J425" s="22" t="s">
        <v>83</v>
      </c>
      <c r="K425" s="22" t="s">
        <v>86</v>
      </c>
      <c r="L425" s="35" t="s">
        <v>4857</v>
      </c>
      <c r="M425" s="32" t="s">
        <v>91</v>
      </c>
    </row>
    <row r="426">
      <c r="A426" s="22" t="s">
        <v>1353</v>
      </c>
      <c r="B426" s="22" t="s">
        <v>4858</v>
      </c>
      <c r="C426" s="22" t="s">
        <v>4859</v>
      </c>
      <c r="D426" s="22" t="s">
        <v>172</v>
      </c>
      <c r="E426" s="22">
        <v>1.0</v>
      </c>
      <c r="F426" s="22"/>
      <c r="G426" s="22" t="s">
        <v>82</v>
      </c>
      <c r="H426" s="26">
        <v>45997.0</v>
      </c>
      <c r="I426" s="22" t="s">
        <v>153</v>
      </c>
      <c r="J426" s="22" t="s">
        <v>83</v>
      </c>
      <c r="K426" s="22" t="s">
        <v>174</v>
      </c>
      <c r="L426" s="35" t="s">
        <v>4860</v>
      </c>
      <c r="M426" s="32" t="s">
        <v>175</v>
      </c>
    </row>
    <row r="427">
      <c r="A427" s="22" t="s">
        <v>1355</v>
      </c>
      <c r="B427" s="22" t="s">
        <v>4827</v>
      </c>
      <c r="C427" s="22" t="s">
        <v>4861</v>
      </c>
      <c r="D427" s="22" t="s">
        <v>620</v>
      </c>
      <c r="E427" s="22">
        <v>1.0</v>
      </c>
      <c r="F427" s="22"/>
      <c r="G427" s="22" t="s">
        <v>82</v>
      </c>
      <c r="H427" s="26">
        <v>45997.0</v>
      </c>
      <c r="I427" s="22" t="s">
        <v>149</v>
      </c>
      <c r="J427" s="22" t="s">
        <v>623</v>
      </c>
      <c r="K427" s="22" t="s">
        <v>626</v>
      </c>
      <c r="L427" s="35" t="s">
        <v>4862</v>
      </c>
      <c r="M427" s="32" t="s">
        <v>54</v>
      </c>
    </row>
    <row r="428">
      <c r="A428" s="22" t="s">
        <v>1357</v>
      </c>
      <c r="B428" s="22" t="s">
        <v>4863</v>
      </c>
      <c r="C428" s="22" t="s">
        <v>4864</v>
      </c>
      <c r="D428" s="22" t="s">
        <v>327</v>
      </c>
      <c r="E428" s="22">
        <v>1.0</v>
      </c>
      <c r="F428" s="22"/>
      <c r="G428" s="22" t="s">
        <v>273</v>
      </c>
      <c r="H428" s="23">
        <v>45991.0</v>
      </c>
      <c r="I428" s="22" t="s">
        <v>153</v>
      </c>
      <c r="J428" s="22" t="s">
        <v>329</v>
      </c>
      <c r="K428" s="22" t="s">
        <v>332</v>
      </c>
      <c r="L428" s="35" t="s">
        <v>4865</v>
      </c>
      <c r="M428" s="32" t="s">
        <v>55</v>
      </c>
    </row>
    <row r="429">
      <c r="A429" s="22" t="s">
        <v>1361</v>
      </c>
      <c r="B429" s="22" t="s">
        <v>4866</v>
      </c>
      <c r="C429" s="22" t="s">
        <v>4867</v>
      </c>
      <c r="D429" s="22" t="s">
        <v>1359</v>
      </c>
      <c r="E429" s="22">
        <v>1.0</v>
      </c>
      <c r="F429" s="22"/>
      <c r="G429" s="22" t="s">
        <v>287</v>
      </c>
      <c r="H429" s="26">
        <v>45994.0</v>
      </c>
      <c r="I429" s="22" t="s">
        <v>497</v>
      </c>
      <c r="J429" s="22" t="s">
        <v>605</v>
      </c>
      <c r="K429" s="22" t="s">
        <v>1363</v>
      </c>
      <c r="L429" s="35" t="s">
        <v>4868</v>
      </c>
      <c r="M429" s="32" t="s">
        <v>175</v>
      </c>
    </row>
    <row r="430">
      <c r="A430" s="22" t="s">
        <v>1365</v>
      </c>
      <c r="B430" s="22" t="s">
        <v>4869</v>
      </c>
      <c r="C430" s="22" t="s">
        <v>4870</v>
      </c>
      <c r="D430" s="22" t="s">
        <v>611</v>
      </c>
      <c r="E430" s="22">
        <v>1.0</v>
      </c>
      <c r="F430" s="22"/>
      <c r="G430" s="22" t="s">
        <v>273</v>
      </c>
      <c r="H430" s="26">
        <v>45998.0</v>
      </c>
      <c r="I430" s="22" t="s">
        <v>138</v>
      </c>
      <c r="J430" s="22" t="s">
        <v>369</v>
      </c>
      <c r="K430" s="22" t="s">
        <v>613</v>
      </c>
      <c r="L430" s="35" t="s">
        <v>4871</v>
      </c>
      <c r="M430" s="32" t="s">
        <v>105</v>
      </c>
    </row>
    <row r="431">
      <c r="A431" s="22" t="s">
        <v>1368</v>
      </c>
      <c r="B431" s="22" t="s">
        <v>4872</v>
      </c>
      <c r="C431" s="22" t="s">
        <v>4873</v>
      </c>
      <c r="D431" s="22" t="s">
        <v>732</v>
      </c>
      <c r="E431" s="22">
        <v>1.0</v>
      </c>
      <c r="F431" s="22"/>
      <c r="G431" s="22" t="s">
        <v>82</v>
      </c>
      <c r="H431" s="26">
        <v>45997.0</v>
      </c>
      <c r="I431" s="22" t="s">
        <v>841</v>
      </c>
      <c r="J431" s="22" t="s">
        <v>634</v>
      </c>
      <c r="K431" s="22" t="s">
        <v>737</v>
      </c>
      <c r="L431" s="35" t="s">
        <v>4874</v>
      </c>
      <c r="M431" s="32" t="s">
        <v>105</v>
      </c>
    </row>
    <row r="432">
      <c r="A432" s="22" t="s">
        <v>1371</v>
      </c>
      <c r="B432" s="22" t="s">
        <v>3921</v>
      </c>
      <c r="C432" s="22" t="s">
        <v>4875</v>
      </c>
      <c r="D432" s="22" t="s">
        <v>1370</v>
      </c>
      <c r="E432" s="22">
        <v>1.0</v>
      </c>
      <c r="F432" s="22"/>
      <c r="G432" s="22" t="s">
        <v>273</v>
      </c>
      <c r="H432" s="23">
        <v>45991.0</v>
      </c>
      <c r="I432" s="22" t="s">
        <v>134</v>
      </c>
      <c r="J432" s="22" t="s">
        <v>329</v>
      </c>
      <c r="K432" s="22" t="s">
        <v>1372</v>
      </c>
      <c r="L432" s="35" t="s">
        <v>4876</v>
      </c>
      <c r="M432" s="32" t="s">
        <v>91</v>
      </c>
    </row>
    <row r="433">
      <c r="A433" s="22" t="s">
        <v>1374</v>
      </c>
      <c r="B433" s="22" t="s">
        <v>4877</v>
      </c>
      <c r="C433" s="22" t="s">
        <v>4878</v>
      </c>
      <c r="D433" s="22" t="s">
        <v>172</v>
      </c>
      <c r="E433" s="22">
        <v>1.0</v>
      </c>
      <c r="F433" s="22"/>
      <c r="G433" s="22" t="s">
        <v>273</v>
      </c>
      <c r="H433" s="23">
        <v>45991.0</v>
      </c>
      <c r="I433" s="22" t="s">
        <v>149</v>
      </c>
      <c r="J433" s="22" t="s">
        <v>83</v>
      </c>
      <c r="K433" s="22" t="s">
        <v>174</v>
      </c>
      <c r="L433" s="35" t="s">
        <v>4879</v>
      </c>
      <c r="M433" s="32" t="s">
        <v>175</v>
      </c>
    </row>
    <row r="434">
      <c r="A434" s="22" t="s">
        <v>1377</v>
      </c>
      <c r="B434" s="22" t="s">
        <v>4880</v>
      </c>
      <c r="C434" s="22" t="s">
        <v>4881</v>
      </c>
      <c r="D434" s="22" t="s">
        <v>1376</v>
      </c>
      <c r="E434" s="22">
        <v>1.0</v>
      </c>
      <c r="F434" s="22"/>
      <c r="G434" s="22" t="s">
        <v>82</v>
      </c>
      <c r="H434" s="26">
        <v>45997.0</v>
      </c>
      <c r="I434" s="22" t="s">
        <v>134</v>
      </c>
      <c r="J434" s="22" t="s">
        <v>451</v>
      </c>
      <c r="K434" s="22" t="s">
        <v>1378</v>
      </c>
      <c r="L434" s="35" t="s">
        <v>4882</v>
      </c>
      <c r="M434" s="32" t="s">
        <v>95</v>
      </c>
    </row>
    <row r="435">
      <c r="A435" s="22" t="s">
        <v>1377</v>
      </c>
      <c r="B435" s="22" t="s">
        <v>4880</v>
      </c>
      <c r="C435" s="22" t="s">
        <v>4881</v>
      </c>
      <c r="D435" s="22" t="s">
        <v>449</v>
      </c>
      <c r="E435" s="22">
        <v>1.0</v>
      </c>
      <c r="F435" s="22"/>
      <c r="G435" s="22" t="s">
        <v>82</v>
      </c>
      <c r="H435" s="26">
        <v>45997.0</v>
      </c>
      <c r="I435" s="22" t="s">
        <v>134</v>
      </c>
      <c r="J435" s="22" t="s">
        <v>451</v>
      </c>
      <c r="K435" s="22" t="s">
        <v>454</v>
      </c>
      <c r="L435" s="35" t="s">
        <v>4883</v>
      </c>
      <c r="M435" s="32" t="s">
        <v>54</v>
      </c>
    </row>
    <row r="436">
      <c r="A436" s="22" t="s">
        <v>1379</v>
      </c>
      <c r="B436" s="22" t="s">
        <v>4884</v>
      </c>
      <c r="C436" s="22" t="s">
        <v>4885</v>
      </c>
      <c r="D436" s="22" t="s">
        <v>595</v>
      </c>
      <c r="E436" s="22">
        <v>1.0</v>
      </c>
      <c r="F436" s="22"/>
      <c r="G436" s="22" t="s">
        <v>273</v>
      </c>
      <c r="H436" s="26">
        <v>45998.0</v>
      </c>
      <c r="I436" s="22" t="s">
        <v>248</v>
      </c>
      <c r="J436" s="22" t="s">
        <v>369</v>
      </c>
      <c r="K436" s="22" t="s">
        <v>599</v>
      </c>
      <c r="L436" s="35" t="s">
        <v>4886</v>
      </c>
      <c r="M436" s="32" t="s">
        <v>127</v>
      </c>
    </row>
    <row r="437">
      <c r="A437" s="22" t="s">
        <v>1344</v>
      </c>
      <c r="B437" s="22" t="s">
        <v>3707</v>
      </c>
      <c r="C437" s="22" t="s">
        <v>4887</v>
      </c>
      <c r="D437" s="22" t="s">
        <v>664</v>
      </c>
      <c r="E437" s="22">
        <v>1.0</v>
      </c>
      <c r="F437" s="22"/>
      <c r="G437" s="22" t="s">
        <v>273</v>
      </c>
      <c r="H437" s="26">
        <v>45998.0</v>
      </c>
      <c r="I437" s="22" t="s">
        <v>266</v>
      </c>
      <c r="J437" s="22" t="s">
        <v>472</v>
      </c>
      <c r="K437" s="22" t="s">
        <v>668</v>
      </c>
      <c r="L437" s="35" t="s">
        <v>4888</v>
      </c>
      <c r="M437" s="32" t="s">
        <v>175</v>
      </c>
    </row>
    <row r="438">
      <c r="A438" s="22" t="s">
        <v>1421</v>
      </c>
      <c r="B438" s="22" t="s">
        <v>4889</v>
      </c>
      <c r="C438" s="22" t="s">
        <v>4890</v>
      </c>
      <c r="D438" s="22" t="s">
        <v>912</v>
      </c>
      <c r="E438" s="22">
        <v>1.0</v>
      </c>
      <c r="F438" s="22"/>
      <c r="G438" s="22" t="s">
        <v>82</v>
      </c>
      <c r="H438" s="26">
        <v>45997.0</v>
      </c>
      <c r="I438" s="22" t="s">
        <v>153</v>
      </c>
      <c r="J438" s="22" t="s">
        <v>377</v>
      </c>
      <c r="K438" s="22" t="s">
        <v>914</v>
      </c>
      <c r="L438" s="35" t="s">
        <v>4891</v>
      </c>
      <c r="M438" s="32" t="s">
        <v>54</v>
      </c>
    </row>
    <row r="439">
      <c r="A439" s="22" t="s">
        <v>1383</v>
      </c>
      <c r="B439" s="22" t="s">
        <v>4387</v>
      </c>
      <c r="C439" s="22" t="s">
        <v>4892</v>
      </c>
      <c r="D439" s="22" t="s">
        <v>375</v>
      </c>
      <c r="E439" s="22">
        <v>1.0</v>
      </c>
      <c r="F439" s="22"/>
      <c r="G439" s="22" t="s">
        <v>82</v>
      </c>
      <c r="H439" s="26">
        <v>45997.0</v>
      </c>
      <c r="I439" s="22" t="s">
        <v>248</v>
      </c>
      <c r="J439" s="22" t="s">
        <v>377</v>
      </c>
      <c r="K439" s="22" t="s">
        <v>380</v>
      </c>
      <c r="L439" s="35" t="s">
        <v>4893</v>
      </c>
      <c r="M439" s="32" t="s">
        <v>55</v>
      </c>
    </row>
    <row r="440">
      <c r="A440" s="22" t="s">
        <v>1386</v>
      </c>
      <c r="B440" s="22" t="s">
        <v>3707</v>
      </c>
      <c r="C440" s="22" t="s">
        <v>4894</v>
      </c>
      <c r="D440" s="22" t="s">
        <v>386</v>
      </c>
      <c r="E440" s="22">
        <v>1.0</v>
      </c>
      <c r="F440" s="22"/>
      <c r="G440" s="22" t="s">
        <v>336</v>
      </c>
      <c r="H440" s="23">
        <v>46002.0</v>
      </c>
      <c r="I440" s="22" t="s">
        <v>134</v>
      </c>
      <c r="J440" s="22" t="s">
        <v>311</v>
      </c>
      <c r="K440" s="22" t="s">
        <v>390</v>
      </c>
      <c r="L440" s="35" t="s">
        <v>4895</v>
      </c>
      <c r="M440" s="32" t="s">
        <v>55</v>
      </c>
    </row>
    <row r="441">
      <c r="A441" s="22" t="s">
        <v>1389</v>
      </c>
      <c r="B441" s="22" t="s">
        <v>4896</v>
      </c>
      <c r="C441" s="22" t="s">
        <v>4897</v>
      </c>
      <c r="D441" s="22" t="s">
        <v>80</v>
      </c>
      <c r="E441" s="22">
        <v>1.0</v>
      </c>
      <c r="F441" s="22"/>
      <c r="G441" s="22" t="s">
        <v>202</v>
      </c>
      <c r="H441" s="26">
        <v>45996.0</v>
      </c>
      <c r="I441" s="22" t="s">
        <v>480</v>
      </c>
      <c r="J441" s="22" t="s">
        <v>83</v>
      </c>
      <c r="K441" s="22" t="s">
        <v>86</v>
      </c>
      <c r="L441" s="35" t="s">
        <v>4898</v>
      </c>
      <c r="M441" s="32" t="s">
        <v>91</v>
      </c>
    </row>
    <row r="442">
      <c r="A442" s="22" t="s">
        <v>1391</v>
      </c>
      <c r="B442" s="22" t="s">
        <v>4899</v>
      </c>
      <c r="C442" s="22" t="s">
        <v>4900</v>
      </c>
      <c r="D442" s="22" t="s">
        <v>141</v>
      </c>
      <c r="E442" s="22">
        <v>1.0</v>
      </c>
      <c r="F442" s="22"/>
      <c r="G442" s="22" t="s">
        <v>82</v>
      </c>
      <c r="H442" s="26">
        <v>45997.0</v>
      </c>
      <c r="I442" s="22" t="s">
        <v>248</v>
      </c>
      <c r="J442" s="22" t="s">
        <v>83</v>
      </c>
      <c r="K442" s="22" t="s">
        <v>143</v>
      </c>
      <c r="L442" s="35" t="s">
        <v>4901</v>
      </c>
      <c r="M442" s="32" t="s">
        <v>54</v>
      </c>
    </row>
    <row r="443">
      <c r="A443" s="22" t="s">
        <v>1392</v>
      </c>
      <c r="B443" s="22" t="s">
        <v>4196</v>
      </c>
      <c r="C443" s="22" t="s">
        <v>4902</v>
      </c>
      <c r="D443" s="22" t="s">
        <v>470</v>
      </c>
      <c r="E443" s="22">
        <v>1.0</v>
      </c>
      <c r="F443" s="22"/>
      <c r="G443" s="22" t="s">
        <v>82</v>
      </c>
      <c r="H443" s="26">
        <v>45997.0</v>
      </c>
      <c r="I443" s="22" t="s">
        <v>134</v>
      </c>
      <c r="J443" s="22" t="s">
        <v>472</v>
      </c>
      <c r="K443" s="22" t="s">
        <v>475</v>
      </c>
      <c r="L443" s="35" t="s">
        <v>4903</v>
      </c>
      <c r="M443" s="32" t="s">
        <v>91</v>
      </c>
    </row>
    <row r="444">
      <c r="A444" s="22" t="s">
        <v>1393</v>
      </c>
      <c r="B444" s="22" t="s">
        <v>4904</v>
      </c>
      <c r="C444" s="22" t="s">
        <v>4905</v>
      </c>
      <c r="D444" s="22" t="s">
        <v>529</v>
      </c>
      <c r="E444" s="22">
        <v>1.0</v>
      </c>
      <c r="F444" s="22"/>
      <c r="G444" s="22" t="s">
        <v>82</v>
      </c>
      <c r="H444" s="26">
        <v>45997.0</v>
      </c>
      <c r="I444" s="22" t="s">
        <v>149</v>
      </c>
      <c r="J444" s="22" t="s">
        <v>472</v>
      </c>
      <c r="K444" s="22" t="s">
        <v>533</v>
      </c>
      <c r="L444" s="35" t="s">
        <v>4906</v>
      </c>
      <c r="M444" s="32" t="s">
        <v>127</v>
      </c>
    </row>
    <row r="445">
      <c r="A445" s="22" t="s">
        <v>1394</v>
      </c>
      <c r="B445" s="22" t="s">
        <v>4907</v>
      </c>
      <c r="C445" s="22" t="s">
        <v>4908</v>
      </c>
      <c r="D445" s="22" t="s">
        <v>367</v>
      </c>
      <c r="E445" s="22">
        <v>1.0</v>
      </c>
      <c r="F445" s="22"/>
      <c r="G445" s="22" t="s">
        <v>273</v>
      </c>
      <c r="H445" s="26">
        <v>45998.0</v>
      </c>
      <c r="I445" s="22" t="s">
        <v>196</v>
      </c>
      <c r="J445" s="22" t="s">
        <v>369</v>
      </c>
      <c r="K445" s="22" t="s">
        <v>372</v>
      </c>
      <c r="L445" s="35" t="s">
        <v>4909</v>
      </c>
      <c r="M445" s="32" t="s">
        <v>55</v>
      </c>
    </row>
    <row r="446">
      <c r="A446" s="22" t="s">
        <v>135</v>
      </c>
      <c r="B446" s="22" t="s">
        <v>4827</v>
      </c>
      <c r="C446" s="22" t="s">
        <v>4910</v>
      </c>
      <c r="D446" s="22" t="s">
        <v>96</v>
      </c>
      <c r="E446" s="22">
        <v>1.0</v>
      </c>
      <c r="F446" s="22"/>
      <c r="G446" s="22" t="s">
        <v>82</v>
      </c>
      <c r="H446" s="23">
        <v>45990.0</v>
      </c>
      <c r="I446" s="22" t="s">
        <v>134</v>
      </c>
      <c r="J446" s="22" t="s">
        <v>83</v>
      </c>
      <c r="K446" s="22" t="s">
        <v>98</v>
      </c>
      <c r="L446" s="35" t="s">
        <v>4911</v>
      </c>
      <c r="M446" s="32" t="s">
        <v>55</v>
      </c>
    </row>
    <row r="447">
      <c r="A447" s="22" t="s">
        <v>1401</v>
      </c>
      <c r="B447" s="22" t="s">
        <v>4912</v>
      </c>
      <c r="C447" s="22" t="s">
        <v>4913</v>
      </c>
      <c r="D447" s="22" t="s">
        <v>99</v>
      </c>
      <c r="E447" s="22">
        <v>1.0</v>
      </c>
      <c r="F447" s="22"/>
      <c r="G447" s="22" t="s">
        <v>82</v>
      </c>
      <c r="H447" s="26">
        <v>45997.0</v>
      </c>
      <c r="I447" s="22" t="s">
        <v>1400</v>
      </c>
      <c r="J447" s="22" t="s">
        <v>83</v>
      </c>
      <c r="K447" s="22" t="s">
        <v>102</v>
      </c>
      <c r="L447" s="35" t="s">
        <v>4914</v>
      </c>
      <c r="M447" s="32" t="s">
        <v>105</v>
      </c>
    </row>
    <row r="448">
      <c r="A448" s="22" t="s">
        <v>4915</v>
      </c>
      <c r="B448" s="22" t="s">
        <v>4916</v>
      </c>
      <c r="C448" s="22" t="s">
        <v>4917</v>
      </c>
      <c r="D448" s="22" t="s">
        <v>4324</v>
      </c>
      <c r="E448" s="22">
        <v>1.0</v>
      </c>
      <c r="F448" s="22"/>
      <c r="G448" s="22" t="s">
        <v>1284</v>
      </c>
      <c r="H448" s="26">
        <v>45993.0</v>
      </c>
      <c r="I448" s="22" t="s">
        <v>149</v>
      </c>
      <c r="J448" s="22" t="s">
        <v>4325</v>
      </c>
      <c r="K448" s="22" t="s">
        <v>4326</v>
      </c>
      <c r="L448" s="35" t="s">
        <v>4918</v>
      </c>
      <c r="M448" s="32" t="s">
        <v>54</v>
      </c>
    </row>
    <row r="449">
      <c r="A449" s="22" t="s">
        <v>1445</v>
      </c>
      <c r="B449" s="22" t="s">
        <v>4919</v>
      </c>
      <c r="C449" s="22" t="s">
        <v>4920</v>
      </c>
      <c r="D449" s="22" t="s">
        <v>592</v>
      </c>
      <c r="E449" s="22">
        <v>1.0</v>
      </c>
      <c r="F449" s="22"/>
      <c r="G449" s="22" t="s">
        <v>82</v>
      </c>
      <c r="H449" s="26">
        <v>45997.0</v>
      </c>
      <c r="I449" s="22" t="s">
        <v>134</v>
      </c>
      <c r="J449" s="22" t="s">
        <v>311</v>
      </c>
      <c r="K449" s="22" t="s">
        <v>594</v>
      </c>
      <c r="L449" s="35" t="s">
        <v>4921</v>
      </c>
      <c r="M449" s="32" t="s">
        <v>54</v>
      </c>
    </row>
    <row r="450">
      <c r="A450" s="22" t="s">
        <v>4922</v>
      </c>
      <c r="B450" s="22" t="s">
        <v>3674</v>
      </c>
      <c r="C450" s="22" t="s">
        <v>4923</v>
      </c>
      <c r="D450" s="22" t="s">
        <v>4565</v>
      </c>
      <c r="E450" s="22">
        <v>1.0</v>
      </c>
      <c r="F450" s="22"/>
      <c r="G450" s="22" t="s">
        <v>336</v>
      </c>
      <c r="H450" s="26">
        <v>45995.0</v>
      </c>
      <c r="I450" s="22" t="s">
        <v>266</v>
      </c>
      <c r="J450" s="22" t="s">
        <v>4346</v>
      </c>
      <c r="K450" s="22" t="s">
        <v>4566</v>
      </c>
      <c r="L450" s="35" t="s">
        <v>4924</v>
      </c>
      <c r="M450" s="32" t="s">
        <v>54</v>
      </c>
    </row>
    <row r="451">
      <c r="A451" s="22" t="s">
        <v>1381</v>
      </c>
      <c r="B451" s="22" t="s">
        <v>4925</v>
      </c>
      <c r="C451" s="22" t="s">
        <v>4926</v>
      </c>
      <c r="D451" s="22" t="s">
        <v>902</v>
      </c>
      <c r="E451" s="22">
        <v>1.0</v>
      </c>
      <c r="F451" s="22"/>
      <c r="G451" s="22" t="s">
        <v>273</v>
      </c>
      <c r="H451" s="23">
        <v>45991.0</v>
      </c>
      <c r="I451" s="22" t="s">
        <v>153</v>
      </c>
      <c r="J451" s="22" t="s">
        <v>329</v>
      </c>
      <c r="K451" s="22" t="s">
        <v>906</v>
      </c>
      <c r="L451" s="35" t="s">
        <v>4927</v>
      </c>
      <c r="M451" s="32" t="s">
        <v>105</v>
      </c>
    </row>
    <row r="452">
      <c r="A452" s="22" t="s">
        <v>1407</v>
      </c>
      <c r="B452" s="22" t="s">
        <v>4928</v>
      </c>
      <c r="C452" s="22" t="s">
        <v>4929</v>
      </c>
      <c r="D452" s="22" t="s">
        <v>584</v>
      </c>
      <c r="E452" s="22">
        <v>1.0</v>
      </c>
      <c r="F452" s="22"/>
      <c r="G452" s="22" t="s">
        <v>82</v>
      </c>
      <c r="H452" s="26">
        <v>45997.0</v>
      </c>
      <c r="I452" s="22" t="s">
        <v>138</v>
      </c>
      <c r="J452" s="22" t="s">
        <v>377</v>
      </c>
      <c r="K452" s="22" t="s">
        <v>586</v>
      </c>
      <c r="L452" s="35" t="s">
        <v>4930</v>
      </c>
      <c r="M452" s="32" t="s">
        <v>105</v>
      </c>
    </row>
    <row r="453">
      <c r="A453" s="22" t="s">
        <v>1409</v>
      </c>
      <c r="B453" s="22" t="s">
        <v>4289</v>
      </c>
      <c r="C453" s="22" t="s">
        <v>4931</v>
      </c>
      <c r="D453" s="22" t="s">
        <v>96</v>
      </c>
      <c r="E453" s="22">
        <v>1.0</v>
      </c>
      <c r="F453" s="22"/>
      <c r="G453" s="22" t="s">
        <v>273</v>
      </c>
      <c r="H453" s="26">
        <v>45998.0</v>
      </c>
      <c r="I453" s="22" t="s">
        <v>153</v>
      </c>
      <c r="J453" s="22" t="s">
        <v>83</v>
      </c>
      <c r="K453" s="22" t="s">
        <v>98</v>
      </c>
      <c r="L453" s="35" t="s">
        <v>4932</v>
      </c>
      <c r="M453" s="32" t="s">
        <v>55</v>
      </c>
    </row>
    <row r="454">
      <c r="A454" s="22" t="s">
        <v>1411</v>
      </c>
      <c r="B454" s="22" t="s">
        <v>4461</v>
      </c>
      <c r="C454" s="22" t="s">
        <v>4933</v>
      </c>
      <c r="D454" s="22" t="s">
        <v>386</v>
      </c>
      <c r="E454" s="22">
        <v>1.0</v>
      </c>
      <c r="F454" s="22"/>
      <c r="G454" s="22" t="s">
        <v>82</v>
      </c>
      <c r="H454" s="26">
        <v>45997.0</v>
      </c>
      <c r="I454" s="22" t="s">
        <v>134</v>
      </c>
      <c r="J454" s="22" t="s">
        <v>311</v>
      </c>
      <c r="K454" s="22" t="s">
        <v>390</v>
      </c>
      <c r="L454" s="35" t="s">
        <v>4934</v>
      </c>
      <c r="M454" s="32" t="s">
        <v>55</v>
      </c>
    </row>
    <row r="455">
      <c r="A455" s="22" t="s">
        <v>1412</v>
      </c>
      <c r="B455" s="22" t="s">
        <v>4935</v>
      </c>
      <c r="C455" s="22" t="s">
        <v>4936</v>
      </c>
      <c r="D455" s="22" t="s">
        <v>938</v>
      </c>
      <c r="E455" s="22">
        <v>1.0</v>
      </c>
      <c r="F455" s="22"/>
      <c r="G455" s="22" t="s">
        <v>82</v>
      </c>
      <c r="H455" s="26">
        <v>45997.0</v>
      </c>
      <c r="I455" s="22" t="s">
        <v>134</v>
      </c>
      <c r="J455" s="22" t="s">
        <v>472</v>
      </c>
      <c r="K455" s="22" t="s">
        <v>940</v>
      </c>
      <c r="L455" s="35" t="s">
        <v>4937</v>
      </c>
      <c r="M455" s="32" t="s">
        <v>54</v>
      </c>
    </row>
    <row r="456">
      <c r="A456" s="22" t="s">
        <v>1414</v>
      </c>
      <c r="B456" s="22" t="s">
        <v>4099</v>
      </c>
      <c r="C456" s="22" t="s">
        <v>4938</v>
      </c>
      <c r="D456" s="22" t="s">
        <v>643</v>
      </c>
      <c r="E456" s="22">
        <v>1.0</v>
      </c>
      <c r="F456" s="22"/>
      <c r="G456" s="22" t="s">
        <v>273</v>
      </c>
      <c r="H456" s="23">
        <v>46005.0</v>
      </c>
      <c r="I456" s="22" t="s">
        <v>177</v>
      </c>
      <c r="J456" s="22" t="s">
        <v>634</v>
      </c>
      <c r="K456" s="22" t="s">
        <v>647</v>
      </c>
      <c r="L456" s="35" t="s">
        <v>4939</v>
      </c>
      <c r="M456" s="32" t="s">
        <v>54</v>
      </c>
    </row>
    <row r="457">
      <c r="A457" s="22" t="s">
        <v>1417</v>
      </c>
      <c r="B457" s="22" t="s">
        <v>4940</v>
      </c>
      <c r="C457" s="22" t="s">
        <v>4941</v>
      </c>
      <c r="D457" s="22" t="s">
        <v>99</v>
      </c>
      <c r="E457" s="22">
        <v>1.0</v>
      </c>
      <c r="F457" s="22"/>
      <c r="G457" s="22" t="s">
        <v>273</v>
      </c>
      <c r="H457" s="26">
        <v>45998.0</v>
      </c>
      <c r="I457" s="22" t="s">
        <v>138</v>
      </c>
      <c r="J457" s="22" t="s">
        <v>83</v>
      </c>
      <c r="K457" s="22" t="s">
        <v>102</v>
      </c>
      <c r="L457" s="35" t="s">
        <v>4942</v>
      </c>
      <c r="M457" s="32" t="s">
        <v>105</v>
      </c>
    </row>
    <row r="458">
      <c r="A458" s="22" t="s">
        <v>1419</v>
      </c>
      <c r="B458" s="22" t="s">
        <v>4943</v>
      </c>
      <c r="C458" s="22" t="s">
        <v>4944</v>
      </c>
      <c r="D458" s="22" t="s">
        <v>158</v>
      </c>
      <c r="E458" s="22">
        <v>1.0</v>
      </c>
      <c r="F458" s="22"/>
      <c r="G458" s="22" t="s">
        <v>273</v>
      </c>
      <c r="H458" s="23">
        <v>45991.0</v>
      </c>
      <c r="I458" s="22" t="s">
        <v>211</v>
      </c>
      <c r="J458" s="22" t="s">
        <v>111</v>
      </c>
      <c r="K458" s="22" t="s">
        <v>163</v>
      </c>
      <c r="L458" s="35" t="s">
        <v>4945</v>
      </c>
      <c r="M458" s="32" t="s">
        <v>127</v>
      </c>
    </row>
    <row r="459">
      <c r="A459" s="22" t="s">
        <v>1420</v>
      </c>
      <c r="B459" s="22" t="s">
        <v>3725</v>
      </c>
      <c r="C459" s="22" t="s">
        <v>4946</v>
      </c>
      <c r="D459" s="22" t="s">
        <v>92</v>
      </c>
      <c r="E459" s="22">
        <v>1.0</v>
      </c>
      <c r="F459" s="22"/>
      <c r="G459" s="22" t="s">
        <v>82</v>
      </c>
      <c r="H459" s="26">
        <v>45997.0</v>
      </c>
      <c r="I459" s="22" t="s">
        <v>153</v>
      </c>
      <c r="J459" s="22" t="s">
        <v>83</v>
      </c>
      <c r="K459" s="22" t="s">
        <v>94</v>
      </c>
      <c r="L459" s="35" t="s">
        <v>4947</v>
      </c>
      <c r="M459" s="32" t="s">
        <v>95</v>
      </c>
    </row>
    <row r="460">
      <c r="A460" s="22" t="s">
        <v>1461</v>
      </c>
      <c r="B460" s="22" t="s">
        <v>4948</v>
      </c>
      <c r="C460" s="22" t="s">
        <v>4949</v>
      </c>
      <c r="D460" s="22" t="s">
        <v>789</v>
      </c>
      <c r="E460" s="22">
        <v>1.0</v>
      </c>
      <c r="F460" s="22"/>
      <c r="G460" s="22" t="s">
        <v>82</v>
      </c>
      <c r="H460" s="26">
        <v>45997.0</v>
      </c>
      <c r="I460" s="22" t="s">
        <v>149</v>
      </c>
      <c r="J460" s="22" t="s">
        <v>605</v>
      </c>
      <c r="K460" s="22" t="s">
        <v>794</v>
      </c>
      <c r="L460" s="35" t="s">
        <v>4950</v>
      </c>
      <c r="M460" s="32" t="s">
        <v>105</v>
      </c>
    </row>
    <row r="461">
      <c r="A461" s="22" t="s">
        <v>1422</v>
      </c>
      <c r="B461" s="22" t="s">
        <v>4479</v>
      </c>
      <c r="C461" s="22" t="s">
        <v>4951</v>
      </c>
      <c r="D461" s="22" t="s">
        <v>1200</v>
      </c>
      <c r="E461" s="22">
        <v>1.0</v>
      </c>
      <c r="F461" s="22"/>
      <c r="G461" s="22" t="s">
        <v>273</v>
      </c>
      <c r="H461" s="26">
        <v>45998.0</v>
      </c>
      <c r="I461" s="22" t="s">
        <v>187</v>
      </c>
      <c r="J461" s="22" t="s">
        <v>278</v>
      </c>
      <c r="K461" s="22" t="s">
        <v>1203</v>
      </c>
      <c r="L461" s="35" t="s">
        <v>4952</v>
      </c>
      <c r="M461" s="32" t="s">
        <v>91</v>
      </c>
    </row>
    <row r="462">
      <c r="A462" s="22" t="s">
        <v>1425</v>
      </c>
      <c r="B462" s="22" t="s">
        <v>3782</v>
      </c>
      <c r="C462" s="22" t="s">
        <v>4953</v>
      </c>
      <c r="D462" s="22" t="s">
        <v>1423</v>
      </c>
      <c r="E462" s="22">
        <v>1.0</v>
      </c>
      <c r="F462" s="22"/>
      <c r="G462" s="22" t="s">
        <v>202</v>
      </c>
      <c r="H462" s="26">
        <v>45996.0</v>
      </c>
      <c r="I462" s="22" t="s">
        <v>192</v>
      </c>
      <c r="J462" s="22" t="s">
        <v>717</v>
      </c>
      <c r="K462" s="22" t="s">
        <v>1427</v>
      </c>
      <c r="L462" s="35" t="s">
        <v>4954</v>
      </c>
      <c r="M462" s="32" t="s">
        <v>95</v>
      </c>
    </row>
    <row r="463">
      <c r="A463" s="22" t="s">
        <v>1429</v>
      </c>
      <c r="B463" s="22" t="s">
        <v>4955</v>
      </c>
      <c r="C463" s="22" t="s">
        <v>4956</v>
      </c>
      <c r="D463" s="22" t="s">
        <v>124</v>
      </c>
      <c r="E463" s="22">
        <v>1.0</v>
      </c>
      <c r="F463" s="22"/>
      <c r="G463" s="22" t="s">
        <v>273</v>
      </c>
      <c r="H463" s="26">
        <v>45998.0</v>
      </c>
      <c r="I463" s="22" t="s">
        <v>196</v>
      </c>
      <c r="J463" s="22" t="s">
        <v>83</v>
      </c>
      <c r="K463" s="22" t="s">
        <v>126</v>
      </c>
      <c r="L463" s="35" t="s">
        <v>4957</v>
      </c>
      <c r="M463" s="32" t="s">
        <v>127</v>
      </c>
    </row>
    <row r="464">
      <c r="A464" s="22" t="s">
        <v>4958</v>
      </c>
      <c r="B464" s="22" t="s">
        <v>4959</v>
      </c>
      <c r="C464" s="22" t="s">
        <v>4960</v>
      </c>
      <c r="D464" s="22" t="s">
        <v>4398</v>
      </c>
      <c r="E464" s="22">
        <v>1.0</v>
      </c>
      <c r="F464" s="22"/>
      <c r="G464" s="22" t="s">
        <v>294</v>
      </c>
      <c r="H464" s="26">
        <v>45992.0</v>
      </c>
      <c r="I464" s="22" t="s">
        <v>266</v>
      </c>
      <c r="J464" s="22" t="s">
        <v>4399</v>
      </c>
      <c r="K464" s="22" t="s">
        <v>4400</v>
      </c>
      <c r="L464" s="35" t="s">
        <v>4961</v>
      </c>
      <c r="M464" s="32" t="s">
        <v>55</v>
      </c>
    </row>
    <row r="465">
      <c r="A465" s="22" t="s">
        <v>1431</v>
      </c>
      <c r="B465" s="22" t="s">
        <v>3959</v>
      </c>
      <c r="C465" s="22" t="s">
        <v>4962</v>
      </c>
      <c r="D465" s="22" t="s">
        <v>300</v>
      </c>
      <c r="E465" s="22">
        <v>1.0</v>
      </c>
      <c r="F465" s="22"/>
      <c r="G465" s="22" t="s">
        <v>82</v>
      </c>
      <c r="H465" s="26">
        <v>45997.0</v>
      </c>
      <c r="I465" s="22" t="s">
        <v>134</v>
      </c>
      <c r="J465" s="22" t="s">
        <v>303</v>
      </c>
      <c r="K465" s="22" t="s">
        <v>306</v>
      </c>
      <c r="L465" s="35" t="s">
        <v>4963</v>
      </c>
      <c r="M465" s="32" t="s">
        <v>55</v>
      </c>
    </row>
    <row r="466">
      <c r="A466" s="22" t="s">
        <v>1432</v>
      </c>
      <c r="B466" s="22" t="s">
        <v>4964</v>
      </c>
      <c r="C466" s="22" t="s">
        <v>4965</v>
      </c>
      <c r="D466" s="22" t="s">
        <v>859</v>
      </c>
      <c r="E466" s="22">
        <v>1.0</v>
      </c>
      <c r="F466" s="22"/>
      <c r="G466" s="22" t="s">
        <v>82</v>
      </c>
      <c r="H466" s="26">
        <v>45997.0</v>
      </c>
      <c r="I466" s="22" t="s">
        <v>149</v>
      </c>
      <c r="J466" s="22" t="s">
        <v>605</v>
      </c>
      <c r="K466" s="22" t="s">
        <v>861</v>
      </c>
      <c r="L466" s="35" t="s">
        <v>4966</v>
      </c>
      <c r="M466" s="32" t="s">
        <v>95</v>
      </c>
    </row>
    <row r="467">
      <c r="A467" s="22" t="s">
        <v>1434</v>
      </c>
      <c r="B467" s="22" t="s">
        <v>4467</v>
      </c>
      <c r="C467" s="22" t="s">
        <v>4967</v>
      </c>
      <c r="D467" s="22" t="s">
        <v>1078</v>
      </c>
      <c r="E467" s="22">
        <v>1.0</v>
      </c>
      <c r="F467" s="22"/>
      <c r="G467" s="22" t="s">
        <v>82</v>
      </c>
      <c r="H467" s="26">
        <v>45997.0</v>
      </c>
      <c r="I467" s="22" t="s">
        <v>181</v>
      </c>
      <c r="J467" s="22" t="s">
        <v>717</v>
      </c>
      <c r="K467" s="22" t="s">
        <v>1082</v>
      </c>
      <c r="L467" s="35" t="s">
        <v>4968</v>
      </c>
      <c r="M467" s="32" t="s">
        <v>105</v>
      </c>
    </row>
    <row r="468">
      <c r="A468" s="22" t="s">
        <v>1437</v>
      </c>
      <c r="B468" s="22" t="s">
        <v>4619</v>
      </c>
      <c r="C468" s="22" t="s">
        <v>4969</v>
      </c>
      <c r="D468" s="22" t="s">
        <v>1423</v>
      </c>
      <c r="E468" s="22">
        <v>1.0</v>
      </c>
      <c r="F468" s="22"/>
      <c r="G468" s="22" t="s">
        <v>294</v>
      </c>
      <c r="H468" s="26">
        <v>45992.0</v>
      </c>
      <c r="I468" s="22" t="s">
        <v>192</v>
      </c>
      <c r="J468" s="22" t="s">
        <v>717</v>
      </c>
      <c r="K468" s="22" t="s">
        <v>1427</v>
      </c>
      <c r="L468" s="35" t="s">
        <v>4970</v>
      </c>
      <c r="M468" s="32" t="s">
        <v>95</v>
      </c>
    </row>
    <row r="469">
      <c r="A469" s="22" t="s">
        <v>1439</v>
      </c>
      <c r="B469" s="22" t="s">
        <v>4971</v>
      </c>
      <c r="C469" s="22" t="s">
        <v>4972</v>
      </c>
      <c r="D469" s="22" t="s">
        <v>979</v>
      </c>
      <c r="E469" s="22">
        <v>1.0</v>
      </c>
      <c r="F469" s="22"/>
      <c r="G469" s="22" t="s">
        <v>82</v>
      </c>
      <c r="H469" s="26">
        <v>45997.0</v>
      </c>
      <c r="I469" s="22" t="s">
        <v>149</v>
      </c>
      <c r="J469" s="22" t="s">
        <v>605</v>
      </c>
      <c r="K469" s="22" t="s">
        <v>984</v>
      </c>
      <c r="L469" s="35" t="s">
        <v>4973</v>
      </c>
      <c r="M469" s="32" t="s">
        <v>55</v>
      </c>
    </row>
    <row r="470">
      <c r="A470" s="22" t="s">
        <v>1440</v>
      </c>
      <c r="B470" s="22" t="s">
        <v>4974</v>
      </c>
      <c r="C470" s="22" t="s">
        <v>4975</v>
      </c>
      <c r="D470" s="22" t="s">
        <v>1370</v>
      </c>
      <c r="E470" s="22">
        <v>1.0</v>
      </c>
      <c r="F470" s="22"/>
      <c r="G470" s="22" t="s">
        <v>273</v>
      </c>
      <c r="H470" s="23">
        <v>45991.0</v>
      </c>
      <c r="I470" s="22" t="s">
        <v>138</v>
      </c>
      <c r="J470" s="22" t="s">
        <v>329</v>
      </c>
      <c r="K470" s="22" t="s">
        <v>1372</v>
      </c>
      <c r="L470" s="35" t="s">
        <v>4976</v>
      </c>
      <c r="M470" s="32" t="s">
        <v>91</v>
      </c>
    </row>
    <row r="471">
      <c r="A471" s="22" t="s">
        <v>1443</v>
      </c>
      <c r="B471" s="22" t="s">
        <v>4977</v>
      </c>
      <c r="C471" s="22" t="s">
        <v>4978</v>
      </c>
      <c r="D471" s="22" t="s">
        <v>386</v>
      </c>
      <c r="E471" s="22">
        <v>1.0</v>
      </c>
      <c r="F471" s="22"/>
      <c r="G471" s="22" t="s">
        <v>273</v>
      </c>
      <c r="H471" s="26">
        <v>45998.0</v>
      </c>
      <c r="I471" s="22" t="s">
        <v>1442</v>
      </c>
      <c r="J471" s="22" t="s">
        <v>311</v>
      </c>
      <c r="K471" s="22" t="s">
        <v>390</v>
      </c>
      <c r="L471" s="35" t="s">
        <v>4979</v>
      </c>
      <c r="M471" s="32" t="s">
        <v>55</v>
      </c>
    </row>
    <row r="472">
      <c r="A472" s="22" t="s">
        <v>1460</v>
      </c>
      <c r="B472" s="22" t="s">
        <v>3808</v>
      </c>
      <c r="C472" s="22" t="s">
        <v>4980</v>
      </c>
      <c r="D472" s="22" t="s">
        <v>386</v>
      </c>
      <c r="E472" s="22">
        <v>1.0</v>
      </c>
      <c r="F472" s="22"/>
      <c r="G472" s="22" t="s">
        <v>82</v>
      </c>
      <c r="H472" s="26">
        <v>45997.0</v>
      </c>
      <c r="I472" s="22" t="s">
        <v>134</v>
      </c>
      <c r="J472" s="22" t="s">
        <v>311</v>
      </c>
      <c r="K472" s="22" t="s">
        <v>390</v>
      </c>
      <c r="L472" s="35" t="s">
        <v>4981</v>
      </c>
      <c r="M472" s="32" t="s">
        <v>55</v>
      </c>
    </row>
    <row r="473">
      <c r="A473" s="22" t="s">
        <v>1447</v>
      </c>
      <c r="B473" s="22" t="s">
        <v>4982</v>
      </c>
      <c r="C473" s="22" t="s">
        <v>4983</v>
      </c>
      <c r="D473" s="22" t="s">
        <v>1446</v>
      </c>
      <c r="E473" s="22">
        <v>1.0</v>
      </c>
      <c r="F473" s="22"/>
      <c r="G473" s="22" t="s">
        <v>273</v>
      </c>
      <c r="H473" s="26">
        <v>45998.0</v>
      </c>
      <c r="I473" s="22" t="s">
        <v>149</v>
      </c>
      <c r="J473" s="22" t="s">
        <v>869</v>
      </c>
      <c r="K473" s="22" t="s">
        <v>1448</v>
      </c>
      <c r="L473" s="35" t="s">
        <v>4984</v>
      </c>
      <c r="M473" s="32" t="s">
        <v>132</v>
      </c>
    </row>
    <row r="474">
      <c r="A474" s="22" t="s">
        <v>1447</v>
      </c>
      <c r="B474" s="22" t="s">
        <v>4982</v>
      </c>
      <c r="C474" s="22" t="s">
        <v>4983</v>
      </c>
      <c r="D474" s="25"/>
      <c r="E474" s="25"/>
      <c r="F474" s="22"/>
      <c r="G474" s="22" t="s">
        <v>273</v>
      </c>
      <c r="H474" s="26">
        <v>45998.0</v>
      </c>
      <c r="I474" s="22" t="s">
        <v>149</v>
      </c>
      <c r="J474" s="22" t="s">
        <v>869</v>
      </c>
      <c r="K474" s="22" t="s">
        <v>1449</v>
      </c>
      <c r="L474" s="35" t="s">
        <v>4985</v>
      </c>
    </row>
    <row r="475">
      <c r="A475" s="22" t="s">
        <v>1450</v>
      </c>
      <c r="B475" s="22" t="s">
        <v>4568</v>
      </c>
      <c r="C475" s="22" t="s">
        <v>4986</v>
      </c>
      <c r="D475" s="22" t="s">
        <v>814</v>
      </c>
      <c r="E475" s="22">
        <v>1.0</v>
      </c>
      <c r="F475" s="22"/>
      <c r="G475" s="22" t="s">
        <v>82</v>
      </c>
      <c r="H475" s="26">
        <v>45997.0</v>
      </c>
      <c r="I475" s="22" t="s">
        <v>439</v>
      </c>
      <c r="J475" s="22" t="s">
        <v>698</v>
      </c>
      <c r="K475" s="22" t="s">
        <v>818</v>
      </c>
      <c r="L475" s="35" t="s">
        <v>4987</v>
      </c>
      <c r="M475" s="32" t="s">
        <v>127</v>
      </c>
    </row>
    <row r="476">
      <c r="A476" s="22" t="s">
        <v>139</v>
      </c>
      <c r="B476" s="22" t="s">
        <v>4161</v>
      </c>
      <c r="C476" s="22" t="s">
        <v>4988</v>
      </c>
      <c r="D476" s="22" t="s">
        <v>96</v>
      </c>
      <c r="E476" s="22">
        <v>1.0</v>
      </c>
      <c r="F476" s="22"/>
      <c r="G476" s="22" t="s">
        <v>82</v>
      </c>
      <c r="H476" s="23">
        <v>45990.0</v>
      </c>
      <c r="I476" s="22" t="s">
        <v>138</v>
      </c>
      <c r="J476" s="22" t="s">
        <v>83</v>
      </c>
      <c r="K476" s="22" t="s">
        <v>98</v>
      </c>
      <c r="L476" s="35" t="s">
        <v>4989</v>
      </c>
      <c r="M476" s="32" t="s">
        <v>55</v>
      </c>
    </row>
    <row r="477">
      <c r="A477" s="22" t="s">
        <v>1452</v>
      </c>
      <c r="B477" s="22" t="s">
        <v>4081</v>
      </c>
      <c r="C477" s="22" t="s">
        <v>4990</v>
      </c>
      <c r="D477" s="22" t="s">
        <v>1423</v>
      </c>
      <c r="E477" s="22">
        <v>1.0</v>
      </c>
      <c r="F477" s="22"/>
      <c r="G477" s="22" t="s">
        <v>273</v>
      </c>
      <c r="H477" s="26">
        <v>45998.0</v>
      </c>
      <c r="I477" s="22" t="s">
        <v>149</v>
      </c>
      <c r="J477" s="22" t="s">
        <v>717</v>
      </c>
      <c r="K477" s="22" t="s">
        <v>1427</v>
      </c>
      <c r="L477" s="35" t="s">
        <v>4991</v>
      </c>
      <c r="M477" s="32" t="s">
        <v>95</v>
      </c>
    </row>
    <row r="478">
      <c r="A478" s="22" t="s">
        <v>1454</v>
      </c>
      <c r="B478" s="22" t="s">
        <v>4992</v>
      </c>
      <c r="C478" s="22" t="s">
        <v>4993</v>
      </c>
      <c r="D478" s="22" t="s">
        <v>709</v>
      </c>
      <c r="E478" s="22">
        <v>1.0</v>
      </c>
      <c r="F478" s="22"/>
      <c r="G478" s="22" t="s">
        <v>273</v>
      </c>
      <c r="H478" s="26">
        <v>45998.0</v>
      </c>
      <c r="I478" s="22" t="s">
        <v>1131</v>
      </c>
      <c r="J478" s="22" t="s">
        <v>311</v>
      </c>
      <c r="K478" s="22" t="s">
        <v>713</v>
      </c>
      <c r="L478" s="35" t="s">
        <v>4994</v>
      </c>
      <c r="M478" s="32" t="s">
        <v>91</v>
      </c>
    </row>
    <row r="479">
      <c r="A479" s="22" t="s">
        <v>1455</v>
      </c>
      <c r="B479" s="22" t="s">
        <v>3846</v>
      </c>
      <c r="C479" s="22" t="s">
        <v>4995</v>
      </c>
      <c r="D479" s="22" t="s">
        <v>1085</v>
      </c>
      <c r="E479" s="22">
        <v>1.0</v>
      </c>
      <c r="F479" s="22"/>
      <c r="G479" s="22" t="s">
        <v>82</v>
      </c>
      <c r="H479" s="26">
        <v>45997.0</v>
      </c>
      <c r="I479" s="22" t="s">
        <v>266</v>
      </c>
      <c r="J479" s="22" t="s">
        <v>623</v>
      </c>
      <c r="K479" s="22" t="s">
        <v>1087</v>
      </c>
      <c r="L479" s="35" t="s">
        <v>4996</v>
      </c>
      <c r="M479" s="32" t="s">
        <v>127</v>
      </c>
    </row>
    <row r="480">
      <c r="A480" s="22" t="s">
        <v>1319</v>
      </c>
      <c r="B480" s="22" t="s">
        <v>4997</v>
      </c>
      <c r="C480" s="22" t="s">
        <v>4998</v>
      </c>
      <c r="D480" s="22" t="s">
        <v>484</v>
      </c>
      <c r="E480" s="22">
        <v>1.0</v>
      </c>
      <c r="F480" s="22"/>
      <c r="G480" s="22" t="s">
        <v>82</v>
      </c>
      <c r="H480" s="26">
        <v>45997.0</v>
      </c>
      <c r="I480" s="22" t="s">
        <v>134</v>
      </c>
      <c r="J480" s="22" t="s">
        <v>311</v>
      </c>
      <c r="K480" s="22" t="s">
        <v>487</v>
      </c>
      <c r="L480" s="35" t="s">
        <v>4999</v>
      </c>
      <c r="M480" s="32" t="s">
        <v>127</v>
      </c>
    </row>
    <row r="481">
      <c r="A481" s="22" t="s">
        <v>1458</v>
      </c>
      <c r="B481" s="22" t="s">
        <v>5000</v>
      </c>
      <c r="C481" s="22" t="s">
        <v>5001</v>
      </c>
      <c r="D481" s="22" t="s">
        <v>463</v>
      </c>
      <c r="E481" s="22">
        <v>1.0</v>
      </c>
      <c r="F481" s="22"/>
      <c r="G481" s="22" t="s">
        <v>273</v>
      </c>
      <c r="H481" s="26">
        <v>45998.0</v>
      </c>
      <c r="I481" s="22" t="s">
        <v>302</v>
      </c>
      <c r="J481" s="22" t="s">
        <v>303</v>
      </c>
      <c r="K481" s="22" t="s">
        <v>467</v>
      </c>
      <c r="L481" s="35" t="s">
        <v>5002</v>
      </c>
      <c r="M481" s="32" t="s">
        <v>105</v>
      </c>
    </row>
    <row r="482">
      <c r="A482" s="22" t="s">
        <v>1463</v>
      </c>
      <c r="B482" s="22" t="s">
        <v>5003</v>
      </c>
      <c r="C482" s="22" t="s">
        <v>5004</v>
      </c>
      <c r="D482" s="22" t="s">
        <v>602</v>
      </c>
      <c r="E482" s="22">
        <v>1.0</v>
      </c>
      <c r="F482" s="22"/>
      <c r="G482" s="22" t="s">
        <v>287</v>
      </c>
      <c r="H482" s="26">
        <v>45994.0</v>
      </c>
      <c r="I482" s="22" t="s">
        <v>1102</v>
      </c>
      <c r="J482" s="22" t="s">
        <v>605</v>
      </c>
      <c r="K482" s="22" t="s">
        <v>608</v>
      </c>
      <c r="L482" s="35" t="s">
        <v>5005</v>
      </c>
      <c r="M482" s="32" t="s">
        <v>54</v>
      </c>
    </row>
    <row r="483">
      <c r="A483" s="22" t="s">
        <v>1405</v>
      </c>
      <c r="B483" s="22" t="s">
        <v>3674</v>
      </c>
      <c r="C483" s="22" t="s">
        <v>5006</v>
      </c>
      <c r="D483" s="22" t="s">
        <v>80</v>
      </c>
      <c r="E483" s="22">
        <v>1.0</v>
      </c>
      <c r="F483" s="22"/>
      <c r="G483" s="22" t="s">
        <v>287</v>
      </c>
      <c r="H483" s="26">
        <v>45994.0</v>
      </c>
      <c r="I483" s="22" t="s">
        <v>248</v>
      </c>
      <c r="J483" s="22" t="s">
        <v>83</v>
      </c>
      <c r="K483" s="22" t="s">
        <v>86</v>
      </c>
      <c r="L483" s="35" t="s">
        <v>5007</v>
      </c>
      <c r="M483" s="32" t="s">
        <v>91</v>
      </c>
    </row>
    <row r="484">
      <c r="A484" s="22" t="s">
        <v>1462</v>
      </c>
      <c r="B484" s="22" t="s">
        <v>5008</v>
      </c>
      <c r="C484" s="22" t="s">
        <v>5009</v>
      </c>
      <c r="D484" s="22" t="s">
        <v>166</v>
      </c>
      <c r="E484" s="22">
        <v>1.0</v>
      </c>
      <c r="F484" s="22"/>
      <c r="G484" s="22" t="s">
        <v>273</v>
      </c>
      <c r="H484" s="23">
        <v>45991.0</v>
      </c>
      <c r="I484" s="22" t="s">
        <v>211</v>
      </c>
      <c r="J484" s="22" t="s">
        <v>111</v>
      </c>
      <c r="K484" s="22" t="s">
        <v>171</v>
      </c>
      <c r="L484" s="35" t="s">
        <v>5010</v>
      </c>
      <c r="M484" s="32" t="s">
        <v>55</v>
      </c>
    </row>
    <row r="485">
      <c r="A485" s="22" t="s">
        <v>1475</v>
      </c>
      <c r="B485" s="22" t="s">
        <v>5011</v>
      </c>
      <c r="C485" s="22" t="s">
        <v>5012</v>
      </c>
      <c r="D485" s="22" t="s">
        <v>449</v>
      </c>
      <c r="E485" s="22">
        <v>1.0</v>
      </c>
      <c r="F485" s="22"/>
      <c r="G485" s="22" t="s">
        <v>82</v>
      </c>
      <c r="H485" s="26">
        <v>45997.0</v>
      </c>
      <c r="I485" s="22" t="s">
        <v>134</v>
      </c>
      <c r="J485" s="22" t="s">
        <v>451</v>
      </c>
      <c r="K485" s="22" t="s">
        <v>454</v>
      </c>
      <c r="L485" s="35" t="s">
        <v>5013</v>
      </c>
      <c r="M485" s="32" t="s">
        <v>54</v>
      </c>
    </row>
    <row r="486">
      <c r="A486" s="22" t="s">
        <v>1520</v>
      </c>
      <c r="B486" s="22" t="s">
        <v>5014</v>
      </c>
      <c r="C486" s="22" t="s">
        <v>5015</v>
      </c>
      <c r="D486" s="22" t="s">
        <v>740</v>
      </c>
      <c r="E486" s="22">
        <v>1.0</v>
      </c>
      <c r="F486" s="22"/>
      <c r="G486" s="22" t="s">
        <v>273</v>
      </c>
      <c r="H486" s="26">
        <v>45998.0</v>
      </c>
      <c r="I486" s="22" t="s">
        <v>522</v>
      </c>
      <c r="J486" s="22" t="s">
        <v>303</v>
      </c>
      <c r="K486" s="22" t="s">
        <v>744</v>
      </c>
      <c r="L486" s="35" t="s">
        <v>5016</v>
      </c>
      <c r="M486" s="32" t="s">
        <v>91</v>
      </c>
    </row>
    <row r="487">
      <c r="A487" s="22" t="s">
        <v>1499</v>
      </c>
      <c r="B487" s="22" t="s">
        <v>5017</v>
      </c>
      <c r="C487" s="22" t="s">
        <v>5018</v>
      </c>
      <c r="D487" s="22" t="s">
        <v>979</v>
      </c>
      <c r="E487" s="22">
        <v>1.0</v>
      </c>
      <c r="F487" s="22"/>
      <c r="G487" s="22" t="s">
        <v>82</v>
      </c>
      <c r="H487" s="26">
        <v>45997.0</v>
      </c>
      <c r="I487" s="22" t="s">
        <v>522</v>
      </c>
      <c r="J487" s="22" t="s">
        <v>605</v>
      </c>
      <c r="K487" s="22" t="s">
        <v>984</v>
      </c>
      <c r="L487" s="35" t="s">
        <v>5019</v>
      </c>
      <c r="M487" s="32" t="s">
        <v>55</v>
      </c>
    </row>
    <row r="488">
      <c r="A488" s="22" t="s">
        <v>1483</v>
      </c>
      <c r="B488" s="22" t="s">
        <v>5020</v>
      </c>
      <c r="C488" s="22" t="s">
        <v>5021</v>
      </c>
      <c r="D488" s="22" t="s">
        <v>408</v>
      </c>
      <c r="E488" s="22">
        <v>1.0</v>
      </c>
      <c r="F488" s="22"/>
      <c r="G488" s="22" t="s">
        <v>82</v>
      </c>
      <c r="H488" s="26">
        <v>45997.0</v>
      </c>
      <c r="I488" s="22" t="s">
        <v>153</v>
      </c>
      <c r="J488" s="22" t="s">
        <v>377</v>
      </c>
      <c r="K488" s="22" t="s">
        <v>412</v>
      </c>
      <c r="L488" s="35" t="s">
        <v>5022</v>
      </c>
      <c r="M488" s="32" t="s">
        <v>127</v>
      </c>
    </row>
    <row r="489">
      <c r="A489" s="22" t="s">
        <v>1476</v>
      </c>
      <c r="B489" s="22" t="s">
        <v>4597</v>
      </c>
      <c r="C489" s="22" t="s">
        <v>5023</v>
      </c>
      <c r="D489" s="22" t="s">
        <v>885</v>
      </c>
      <c r="E489" s="22">
        <v>1.0</v>
      </c>
      <c r="F489" s="22"/>
      <c r="G489" s="22" t="s">
        <v>82</v>
      </c>
      <c r="H489" s="26">
        <v>45997.0</v>
      </c>
      <c r="I489" s="22" t="s">
        <v>149</v>
      </c>
      <c r="J489" s="22" t="s">
        <v>605</v>
      </c>
      <c r="K489" s="22" t="s">
        <v>890</v>
      </c>
      <c r="L489" s="35" t="s">
        <v>5024</v>
      </c>
      <c r="M489" s="32" t="s">
        <v>127</v>
      </c>
    </row>
    <row r="490">
      <c r="A490" s="22" t="s">
        <v>1477</v>
      </c>
      <c r="B490" s="22" t="s">
        <v>5025</v>
      </c>
      <c r="C490" s="22" t="s">
        <v>5026</v>
      </c>
      <c r="D490" s="22" t="s">
        <v>515</v>
      </c>
      <c r="E490" s="22">
        <v>1.0</v>
      </c>
      <c r="F490" s="22"/>
      <c r="G490" s="22" t="s">
        <v>82</v>
      </c>
      <c r="H490" s="26">
        <v>45997.0</v>
      </c>
      <c r="I490" s="22" t="s">
        <v>134</v>
      </c>
      <c r="J490" s="22" t="s">
        <v>472</v>
      </c>
      <c r="K490" s="22" t="s">
        <v>519</v>
      </c>
      <c r="L490" s="35" t="s">
        <v>5027</v>
      </c>
      <c r="M490" s="32" t="s">
        <v>55</v>
      </c>
    </row>
    <row r="491">
      <c r="A491" s="22" t="s">
        <v>1478</v>
      </c>
      <c r="B491" s="22" t="s">
        <v>5028</v>
      </c>
      <c r="C491" s="22" t="s">
        <v>5028</v>
      </c>
      <c r="D491" s="22" t="s">
        <v>664</v>
      </c>
      <c r="E491" s="22">
        <v>1.0</v>
      </c>
      <c r="F491" s="22"/>
      <c r="G491" s="22" t="s">
        <v>82</v>
      </c>
      <c r="H491" s="23">
        <v>46004.0</v>
      </c>
      <c r="I491" s="22" t="s">
        <v>134</v>
      </c>
      <c r="J491" s="22" t="s">
        <v>472</v>
      </c>
      <c r="K491" s="22" t="s">
        <v>668</v>
      </c>
      <c r="L491" s="35" t="s">
        <v>5029</v>
      </c>
      <c r="M491" s="32" t="s">
        <v>175</v>
      </c>
    </row>
    <row r="492">
      <c r="A492" s="22" t="s">
        <v>1480</v>
      </c>
      <c r="B492" s="22" t="s">
        <v>3909</v>
      </c>
      <c r="C492" s="22" t="s">
        <v>5030</v>
      </c>
      <c r="D492" s="22" t="s">
        <v>80</v>
      </c>
      <c r="E492" s="22">
        <v>1.0</v>
      </c>
      <c r="F492" s="22"/>
      <c r="G492" s="22" t="s">
        <v>82</v>
      </c>
      <c r="H492" s="26">
        <v>45997.0</v>
      </c>
      <c r="I492" s="22" t="s">
        <v>138</v>
      </c>
      <c r="J492" s="22" t="s">
        <v>83</v>
      </c>
      <c r="K492" s="22" t="s">
        <v>86</v>
      </c>
      <c r="L492" s="35" t="s">
        <v>5031</v>
      </c>
      <c r="M492" s="32" t="s">
        <v>91</v>
      </c>
    </row>
    <row r="493">
      <c r="A493" s="22" t="s">
        <v>1482</v>
      </c>
      <c r="B493" s="22" t="s">
        <v>4245</v>
      </c>
      <c r="C493" s="22" t="s">
        <v>5032</v>
      </c>
      <c r="D493" s="22" t="s">
        <v>386</v>
      </c>
      <c r="E493" s="22">
        <v>1.0</v>
      </c>
      <c r="F493" s="22"/>
      <c r="G493" s="22" t="s">
        <v>82</v>
      </c>
      <c r="H493" s="26">
        <v>45997.0</v>
      </c>
      <c r="I493" s="22" t="s">
        <v>134</v>
      </c>
      <c r="J493" s="22" t="s">
        <v>311</v>
      </c>
      <c r="K493" s="22" t="s">
        <v>390</v>
      </c>
      <c r="L493" s="35" t="s">
        <v>5033</v>
      </c>
      <c r="M493" s="32" t="s">
        <v>55</v>
      </c>
    </row>
    <row r="494">
      <c r="A494" s="22" t="s">
        <v>1523</v>
      </c>
      <c r="B494" s="22" t="s">
        <v>3946</v>
      </c>
      <c r="C494" s="22" t="s">
        <v>5034</v>
      </c>
      <c r="D494" s="22" t="s">
        <v>463</v>
      </c>
      <c r="E494" s="22">
        <v>1.0</v>
      </c>
      <c r="F494" s="22"/>
      <c r="G494" s="22" t="s">
        <v>82</v>
      </c>
      <c r="H494" s="26">
        <v>45997.0</v>
      </c>
      <c r="I494" s="22" t="s">
        <v>522</v>
      </c>
      <c r="J494" s="22" t="s">
        <v>303</v>
      </c>
      <c r="K494" s="22" t="s">
        <v>467</v>
      </c>
      <c r="L494" s="35" t="s">
        <v>5035</v>
      </c>
      <c r="M494" s="32" t="s">
        <v>105</v>
      </c>
    </row>
    <row r="495">
      <c r="A495" s="22" t="s">
        <v>1484</v>
      </c>
      <c r="B495" s="22" t="s">
        <v>3840</v>
      </c>
      <c r="C495" s="22" t="s">
        <v>5036</v>
      </c>
      <c r="D495" s="22" t="s">
        <v>80</v>
      </c>
      <c r="E495" s="22">
        <v>1.0</v>
      </c>
      <c r="F495" s="22"/>
      <c r="G495" s="22" t="s">
        <v>82</v>
      </c>
      <c r="H495" s="26">
        <v>45997.0</v>
      </c>
      <c r="I495" s="22" t="s">
        <v>153</v>
      </c>
      <c r="J495" s="22" t="s">
        <v>83</v>
      </c>
      <c r="K495" s="22" t="s">
        <v>86</v>
      </c>
      <c r="L495" s="35" t="s">
        <v>5037</v>
      </c>
      <c r="M495" s="32" t="s">
        <v>91</v>
      </c>
    </row>
    <row r="496">
      <c r="A496" s="22" t="s">
        <v>1456</v>
      </c>
      <c r="B496" s="22" t="s">
        <v>4504</v>
      </c>
      <c r="C496" s="22" t="s">
        <v>3693</v>
      </c>
      <c r="D496" s="22" t="s">
        <v>367</v>
      </c>
      <c r="E496" s="22">
        <v>1.0</v>
      </c>
      <c r="F496" s="22"/>
      <c r="G496" s="22" t="s">
        <v>273</v>
      </c>
      <c r="H496" s="26">
        <v>45998.0</v>
      </c>
      <c r="I496" s="22" t="s">
        <v>153</v>
      </c>
      <c r="J496" s="22" t="s">
        <v>369</v>
      </c>
      <c r="K496" s="22" t="s">
        <v>372</v>
      </c>
      <c r="L496" s="35" t="s">
        <v>5038</v>
      </c>
      <c r="M496" s="32" t="s">
        <v>55</v>
      </c>
    </row>
    <row r="497">
      <c r="A497" s="22" t="s">
        <v>1487</v>
      </c>
      <c r="B497" s="22" t="s">
        <v>4114</v>
      </c>
      <c r="C497" s="22" t="s">
        <v>4471</v>
      </c>
      <c r="D497" s="22" t="s">
        <v>92</v>
      </c>
      <c r="E497" s="22">
        <v>1.0</v>
      </c>
      <c r="F497" s="22"/>
      <c r="G497" s="22" t="s">
        <v>82</v>
      </c>
      <c r="H497" s="26">
        <v>45997.0</v>
      </c>
      <c r="I497" s="22" t="s">
        <v>134</v>
      </c>
      <c r="J497" s="22" t="s">
        <v>83</v>
      </c>
      <c r="K497" s="22" t="s">
        <v>94</v>
      </c>
      <c r="L497" s="35" t="s">
        <v>5039</v>
      </c>
      <c r="M497" s="32" t="s">
        <v>95</v>
      </c>
    </row>
    <row r="498">
      <c r="A498" s="22" t="s">
        <v>1490</v>
      </c>
      <c r="B498" s="22" t="s">
        <v>5040</v>
      </c>
      <c r="C498" s="22" t="s">
        <v>5041</v>
      </c>
      <c r="D498" s="22" t="s">
        <v>172</v>
      </c>
      <c r="E498" s="22">
        <v>1.0</v>
      </c>
      <c r="F498" s="22"/>
      <c r="G498" s="22" t="s">
        <v>82</v>
      </c>
      <c r="H498" s="26">
        <v>45997.0</v>
      </c>
      <c r="I498" s="22" t="s">
        <v>266</v>
      </c>
      <c r="J498" s="22" t="s">
        <v>83</v>
      </c>
      <c r="K498" s="22" t="s">
        <v>174</v>
      </c>
      <c r="L498" s="35" t="s">
        <v>5042</v>
      </c>
      <c r="M498" s="32" t="s">
        <v>175</v>
      </c>
    </row>
    <row r="499">
      <c r="A499" s="22" t="s">
        <v>1492</v>
      </c>
      <c r="B499" s="22" t="s">
        <v>4907</v>
      </c>
      <c r="C499" s="22" t="s">
        <v>5043</v>
      </c>
      <c r="D499" s="22" t="s">
        <v>367</v>
      </c>
      <c r="E499" s="22">
        <v>1.0</v>
      </c>
      <c r="F499" s="22"/>
      <c r="G499" s="22" t="s">
        <v>273</v>
      </c>
      <c r="H499" s="26">
        <v>45998.0</v>
      </c>
      <c r="I499" s="22" t="s">
        <v>145</v>
      </c>
      <c r="J499" s="22" t="s">
        <v>369</v>
      </c>
      <c r="K499" s="22" t="s">
        <v>372</v>
      </c>
      <c r="L499" s="35" t="s">
        <v>5044</v>
      </c>
      <c r="M499" s="32" t="s">
        <v>55</v>
      </c>
    </row>
    <row r="500">
      <c r="A500" s="22" t="s">
        <v>1493</v>
      </c>
      <c r="B500" s="22" t="s">
        <v>5045</v>
      </c>
      <c r="C500" s="22" t="s">
        <v>5046</v>
      </c>
      <c r="D500" s="22" t="s">
        <v>859</v>
      </c>
      <c r="E500" s="22">
        <v>1.0</v>
      </c>
      <c r="F500" s="22"/>
      <c r="G500" s="22" t="s">
        <v>287</v>
      </c>
      <c r="H500" s="26">
        <v>45994.0</v>
      </c>
      <c r="I500" s="22" t="s">
        <v>252</v>
      </c>
      <c r="J500" s="22" t="s">
        <v>605</v>
      </c>
      <c r="K500" s="22" t="s">
        <v>861</v>
      </c>
      <c r="L500" s="35" t="s">
        <v>5047</v>
      </c>
      <c r="M500" s="32" t="s">
        <v>95</v>
      </c>
    </row>
    <row r="501">
      <c r="A501" s="22" t="s">
        <v>1485</v>
      </c>
      <c r="B501" s="22" t="s">
        <v>5048</v>
      </c>
      <c r="C501" s="22" t="s">
        <v>5049</v>
      </c>
      <c r="D501" s="22" t="s">
        <v>822</v>
      </c>
      <c r="E501" s="22">
        <v>1.0</v>
      </c>
      <c r="F501" s="22"/>
      <c r="G501" s="22" t="s">
        <v>273</v>
      </c>
      <c r="H501" s="26">
        <v>45998.0</v>
      </c>
      <c r="I501" s="22" t="s">
        <v>177</v>
      </c>
      <c r="J501" s="22" t="s">
        <v>634</v>
      </c>
      <c r="K501" s="22" t="s">
        <v>826</v>
      </c>
      <c r="L501" s="35" t="s">
        <v>5050</v>
      </c>
      <c r="M501" s="32" t="s">
        <v>55</v>
      </c>
    </row>
    <row r="502">
      <c r="A502" s="22" t="s">
        <v>1467</v>
      </c>
      <c r="B502" s="22" t="s">
        <v>4240</v>
      </c>
      <c r="C502" s="22" t="s">
        <v>5051</v>
      </c>
      <c r="D502" s="22" t="s">
        <v>1464</v>
      </c>
      <c r="E502" s="22">
        <v>1.0</v>
      </c>
      <c r="F502" s="22"/>
      <c r="G502" s="22" t="s">
        <v>82</v>
      </c>
      <c r="H502" s="26">
        <v>45997.0</v>
      </c>
      <c r="I502" s="22" t="s">
        <v>230</v>
      </c>
      <c r="J502" s="22" t="s">
        <v>1466</v>
      </c>
      <c r="K502" s="22" t="s">
        <v>1469</v>
      </c>
      <c r="L502" s="35" t="s">
        <v>5052</v>
      </c>
      <c r="M502" s="32" t="s">
        <v>55</v>
      </c>
    </row>
    <row r="503">
      <c r="A503" s="22" t="s">
        <v>1473</v>
      </c>
      <c r="B503" s="22" t="s">
        <v>5053</v>
      </c>
      <c r="C503" s="22" t="s">
        <v>5054</v>
      </c>
      <c r="D503" s="22" t="s">
        <v>1472</v>
      </c>
      <c r="E503" s="22">
        <v>1.0</v>
      </c>
      <c r="F503" s="22"/>
      <c r="G503" s="22" t="s">
        <v>82</v>
      </c>
      <c r="H503" s="26">
        <v>45997.0</v>
      </c>
      <c r="I503" s="22" t="s">
        <v>230</v>
      </c>
      <c r="J503" s="22" t="s">
        <v>1466</v>
      </c>
      <c r="K503" s="22" t="s">
        <v>1474</v>
      </c>
      <c r="L503" s="35" t="s">
        <v>5055</v>
      </c>
      <c r="M503" s="32" t="s">
        <v>54</v>
      </c>
    </row>
    <row r="504">
      <c r="A504" s="22" t="s">
        <v>5056</v>
      </c>
      <c r="B504" s="22" t="s">
        <v>4959</v>
      </c>
      <c r="C504" s="22" t="s">
        <v>5057</v>
      </c>
      <c r="D504" s="22" t="s">
        <v>5058</v>
      </c>
      <c r="E504" s="22">
        <v>1.0</v>
      </c>
      <c r="F504" s="22"/>
      <c r="G504" s="22" t="s">
        <v>336</v>
      </c>
      <c r="H504" s="23">
        <v>46002.0</v>
      </c>
      <c r="I504" s="22" t="s">
        <v>149</v>
      </c>
      <c r="J504" s="22" t="s">
        <v>4045</v>
      </c>
      <c r="K504" s="22" t="s">
        <v>5059</v>
      </c>
      <c r="L504" s="35" t="s">
        <v>5060</v>
      </c>
      <c r="M504" s="32" t="s">
        <v>54</v>
      </c>
    </row>
    <row r="505">
      <c r="A505" s="22" t="s">
        <v>1497</v>
      </c>
      <c r="B505" s="22" t="s">
        <v>5061</v>
      </c>
      <c r="C505" s="22" t="s">
        <v>5062</v>
      </c>
      <c r="D505" s="22" t="s">
        <v>538</v>
      </c>
      <c r="E505" s="22">
        <v>1.0</v>
      </c>
      <c r="F505" s="22"/>
      <c r="G505" s="22" t="s">
        <v>273</v>
      </c>
      <c r="H505" s="26">
        <v>45998.0</v>
      </c>
      <c r="I505" s="22" t="s">
        <v>153</v>
      </c>
      <c r="J505" s="22" t="s">
        <v>369</v>
      </c>
      <c r="K505" s="22" t="s">
        <v>542</v>
      </c>
      <c r="L505" s="35" t="s">
        <v>5063</v>
      </c>
      <c r="M505" s="32" t="s">
        <v>91</v>
      </c>
    </row>
    <row r="506">
      <c r="A506" s="22" t="s">
        <v>1585</v>
      </c>
      <c r="B506" s="22" t="s">
        <v>5064</v>
      </c>
      <c r="C506" s="22" t="s">
        <v>5065</v>
      </c>
      <c r="D506" s="22" t="s">
        <v>99</v>
      </c>
      <c r="E506" s="22">
        <v>1.0</v>
      </c>
      <c r="F506" s="22"/>
      <c r="G506" s="22" t="s">
        <v>273</v>
      </c>
      <c r="H506" s="26">
        <v>45998.0</v>
      </c>
      <c r="I506" s="22" t="s">
        <v>153</v>
      </c>
      <c r="J506" s="22" t="s">
        <v>83</v>
      </c>
      <c r="K506" s="22" t="s">
        <v>102</v>
      </c>
      <c r="L506" s="35" t="s">
        <v>5066</v>
      </c>
      <c r="M506" s="32" t="s">
        <v>105</v>
      </c>
    </row>
    <row r="507">
      <c r="A507" s="22" t="s">
        <v>1501</v>
      </c>
      <c r="B507" s="22" t="s">
        <v>3840</v>
      </c>
      <c r="C507" s="22" t="s">
        <v>5067</v>
      </c>
      <c r="D507" s="22" t="s">
        <v>1105</v>
      </c>
      <c r="E507" s="22">
        <v>1.0</v>
      </c>
      <c r="F507" s="22"/>
      <c r="G507" s="22" t="s">
        <v>273</v>
      </c>
      <c r="H507" s="23">
        <v>45991.0</v>
      </c>
      <c r="I507" s="22" t="s">
        <v>153</v>
      </c>
      <c r="J507" s="22" t="s">
        <v>329</v>
      </c>
      <c r="K507" s="22" t="s">
        <v>1107</v>
      </c>
      <c r="L507" s="35" t="s">
        <v>5068</v>
      </c>
      <c r="M507" s="32" t="s">
        <v>95</v>
      </c>
    </row>
    <row r="508">
      <c r="A508" s="22" t="s">
        <v>1503</v>
      </c>
      <c r="B508" s="22" t="s">
        <v>5069</v>
      </c>
      <c r="C508" s="22" t="s">
        <v>5070</v>
      </c>
      <c r="D508" s="22" t="s">
        <v>276</v>
      </c>
      <c r="E508" s="22">
        <v>1.0</v>
      </c>
      <c r="F508" s="22"/>
      <c r="G508" s="22" t="s">
        <v>82</v>
      </c>
      <c r="H508" s="26">
        <v>45997.0</v>
      </c>
      <c r="I508" s="22" t="s">
        <v>134</v>
      </c>
      <c r="J508" s="22" t="s">
        <v>278</v>
      </c>
      <c r="K508" s="22" t="s">
        <v>281</v>
      </c>
      <c r="L508" s="35" t="s">
        <v>5071</v>
      </c>
      <c r="M508" s="32" t="s">
        <v>55</v>
      </c>
    </row>
    <row r="509">
      <c r="A509" s="22" t="s">
        <v>1505</v>
      </c>
      <c r="B509" s="22" t="s">
        <v>4289</v>
      </c>
      <c r="C509" s="22" t="s">
        <v>4445</v>
      </c>
      <c r="D509" s="22" t="s">
        <v>595</v>
      </c>
      <c r="E509" s="22">
        <v>1.0</v>
      </c>
      <c r="F509" s="22"/>
      <c r="G509" s="22" t="s">
        <v>273</v>
      </c>
      <c r="H509" s="26">
        <v>45998.0</v>
      </c>
      <c r="I509" s="22" t="s">
        <v>134</v>
      </c>
      <c r="J509" s="22" t="s">
        <v>369</v>
      </c>
      <c r="K509" s="22" t="s">
        <v>599</v>
      </c>
      <c r="L509" s="35" t="s">
        <v>5072</v>
      </c>
      <c r="M509" s="32" t="s">
        <v>127</v>
      </c>
    </row>
    <row r="510">
      <c r="A510" s="22" t="s">
        <v>1507</v>
      </c>
      <c r="B510" s="22" t="s">
        <v>3674</v>
      </c>
      <c r="C510" s="22" t="s">
        <v>5073</v>
      </c>
      <c r="D510" s="22" t="s">
        <v>732</v>
      </c>
      <c r="E510" s="22">
        <v>1.0</v>
      </c>
      <c r="F510" s="22"/>
      <c r="G510" s="22" t="s">
        <v>82</v>
      </c>
      <c r="H510" s="23">
        <v>46004.0</v>
      </c>
      <c r="I510" s="22" t="s">
        <v>177</v>
      </c>
      <c r="J510" s="22" t="s">
        <v>634</v>
      </c>
      <c r="K510" s="22" t="s">
        <v>737</v>
      </c>
      <c r="L510" s="35" t="s">
        <v>5074</v>
      </c>
      <c r="M510" s="32" t="s">
        <v>105</v>
      </c>
    </row>
    <row r="511">
      <c r="A511" s="22" t="s">
        <v>1494</v>
      </c>
      <c r="B511" s="22" t="s">
        <v>5075</v>
      </c>
      <c r="C511" s="22" t="s">
        <v>5076</v>
      </c>
      <c r="D511" s="22" t="s">
        <v>696</v>
      </c>
      <c r="E511" s="22">
        <v>1.0</v>
      </c>
      <c r="F511" s="22"/>
      <c r="G511" s="22" t="s">
        <v>82</v>
      </c>
      <c r="H511" s="26">
        <v>45997.0</v>
      </c>
      <c r="I511" s="22" t="s">
        <v>439</v>
      </c>
      <c r="J511" s="22" t="s">
        <v>698</v>
      </c>
      <c r="K511" s="22" t="s">
        <v>701</v>
      </c>
      <c r="L511" s="35" t="s">
        <v>5077</v>
      </c>
      <c r="M511" s="32" t="s">
        <v>55</v>
      </c>
    </row>
    <row r="512">
      <c r="A512" s="22" t="s">
        <v>1511</v>
      </c>
      <c r="B512" s="22" t="s">
        <v>5078</v>
      </c>
      <c r="C512" s="22" t="s">
        <v>5079</v>
      </c>
      <c r="D512" s="22" t="s">
        <v>1359</v>
      </c>
      <c r="E512" s="22">
        <v>1.0</v>
      </c>
      <c r="F512" s="22"/>
      <c r="G512" s="22" t="s">
        <v>82</v>
      </c>
      <c r="H512" s="26">
        <v>45997.0</v>
      </c>
      <c r="I512" s="22" t="s">
        <v>266</v>
      </c>
      <c r="J512" s="22" t="s">
        <v>605</v>
      </c>
      <c r="K512" s="22" t="s">
        <v>1363</v>
      </c>
      <c r="L512" s="35" t="s">
        <v>5080</v>
      </c>
      <c r="M512" s="32" t="s">
        <v>175</v>
      </c>
    </row>
    <row r="513">
      <c r="A513" s="22" t="s">
        <v>1514</v>
      </c>
      <c r="B513" s="22" t="s">
        <v>5081</v>
      </c>
      <c r="C513" s="22" t="s">
        <v>5082</v>
      </c>
      <c r="D513" s="22" t="s">
        <v>99</v>
      </c>
      <c r="E513" s="22">
        <v>1.0</v>
      </c>
      <c r="F513" s="22"/>
      <c r="G513" s="22" t="s">
        <v>1284</v>
      </c>
      <c r="H513" s="26">
        <v>45993.0</v>
      </c>
      <c r="I513" s="22" t="s">
        <v>134</v>
      </c>
      <c r="J513" s="22" t="s">
        <v>83</v>
      </c>
      <c r="K513" s="22" t="s">
        <v>102</v>
      </c>
      <c r="L513" s="35" t="s">
        <v>5083</v>
      </c>
      <c r="M513" s="32" t="s">
        <v>105</v>
      </c>
    </row>
    <row r="514">
      <c r="A514" s="22" t="s">
        <v>5084</v>
      </c>
      <c r="B514" s="22" t="s">
        <v>4806</v>
      </c>
      <c r="C514" s="22" t="s">
        <v>5085</v>
      </c>
      <c r="D514" s="22" t="s">
        <v>4025</v>
      </c>
      <c r="E514" s="22">
        <v>1.0</v>
      </c>
      <c r="F514" s="22"/>
      <c r="G514" s="22" t="s">
        <v>294</v>
      </c>
      <c r="H514" s="26">
        <v>45999.0</v>
      </c>
      <c r="I514" s="22" t="s">
        <v>497</v>
      </c>
      <c r="J514" s="22" t="s">
        <v>4026</v>
      </c>
      <c r="K514" s="22" t="s">
        <v>4027</v>
      </c>
      <c r="L514" s="35" t="s">
        <v>5086</v>
      </c>
      <c r="M514" s="32" t="s">
        <v>55</v>
      </c>
    </row>
    <row r="515">
      <c r="A515" s="22" t="s">
        <v>1517</v>
      </c>
      <c r="B515" s="22" t="s">
        <v>4096</v>
      </c>
      <c r="C515" s="22" t="s">
        <v>5087</v>
      </c>
      <c r="D515" s="22" t="s">
        <v>458</v>
      </c>
      <c r="E515" s="22">
        <v>1.0</v>
      </c>
      <c r="F515" s="22"/>
      <c r="G515" s="22" t="s">
        <v>82</v>
      </c>
      <c r="H515" s="23">
        <v>46004.0</v>
      </c>
      <c r="I515" s="22" t="s">
        <v>211</v>
      </c>
      <c r="J515" s="22" t="s">
        <v>341</v>
      </c>
      <c r="K515" s="22" t="s">
        <v>462</v>
      </c>
      <c r="L515" s="35" t="s">
        <v>5088</v>
      </c>
      <c r="M515" s="32" t="s">
        <v>91</v>
      </c>
    </row>
    <row r="516">
      <c r="A516" s="22" t="s">
        <v>1519</v>
      </c>
      <c r="B516" s="22" t="s">
        <v>5089</v>
      </c>
      <c r="C516" s="22" t="s">
        <v>5090</v>
      </c>
      <c r="D516" s="22" t="s">
        <v>696</v>
      </c>
      <c r="E516" s="22">
        <v>1.0</v>
      </c>
      <c r="F516" s="22"/>
      <c r="G516" s="22" t="s">
        <v>82</v>
      </c>
      <c r="H516" s="26">
        <v>45997.0</v>
      </c>
      <c r="I516" s="22" t="s">
        <v>187</v>
      </c>
      <c r="J516" s="22" t="s">
        <v>698</v>
      </c>
      <c r="K516" s="22" t="s">
        <v>701</v>
      </c>
      <c r="L516" s="35" t="s">
        <v>5091</v>
      </c>
      <c r="M516" s="32" t="s">
        <v>55</v>
      </c>
    </row>
    <row r="517">
      <c r="A517" s="22" t="s">
        <v>1564</v>
      </c>
      <c r="B517" s="22" t="s">
        <v>5092</v>
      </c>
      <c r="C517" s="22" t="s">
        <v>5093</v>
      </c>
      <c r="D517" s="22" t="s">
        <v>96</v>
      </c>
      <c r="E517" s="22">
        <v>1.0</v>
      </c>
      <c r="F517" s="22"/>
      <c r="G517" s="22" t="s">
        <v>287</v>
      </c>
      <c r="H517" s="26">
        <v>45994.0</v>
      </c>
      <c r="I517" s="22" t="s">
        <v>196</v>
      </c>
      <c r="J517" s="22" t="s">
        <v>83</v>
      </c>
      <c r="K517" s="22" t="s">
        <v>98</v>
      </c>
      <c r="L517" s="35" t="s">
        <v>5094</v>
      </c>
      <c r="M517" s="32" t="s">
        <v>55</v>
      </c>
    </row>
    <row r="518">
      <c r="A518" s="22" t="s">
        <v>1525</v>
      </c>
      <c r="B518" s="22" t="s">
        <v>5095</v>
      </c>
      <c r="C518" s="22" t="s">
        <v>4408</v>
      </c>
      <c r="D518" s="22" t="s">
        <v>166</v>
      </c>
      <c r="E518" s="22">
        <v>2.0</v>
      </c>
      <c r="F518" s="22"/>
      <c r="G518" s="22" t="s">
        <v>82</v>
      </c>
      <c r="H518" s="26">
        <v>45997.0</v>
      </c>
      <c r="I518" s="22" t="s">
        <v>1113</v>
      </c>
      <c r="J518" s="22" t="s">
        <v>111</v>
      </c>
      <c r="K518" s="22" t="s">
        <v>171</v>
      </c>
      <c r="L518" s="35" t="s">
        <v>5096</v>
      </c>
      <c r="M518" s="32" t="s">
        <v>55</v>
      </c>
    </row>
    <row r="519">
      <c r="A519" s="22" t="s">
        <v>1539</v>
      </c>
      <c r="B519" s="22" t="s">
        <v>5097</v>
      </c>
      <c r="C519" s="22" t="s">
        <v>5098</v>
      </c>
      <c r="D519" s="22" t="s">
        <v>592</v>
      </c>
      <c r="E519" s="22">
        <v>1.0</v>
      </c>
      <c r="F519" s="22"/>
      <c r="G519" s="22" t="s">
        <v>287</v>
      </c>
      <c r="H519" s="26">
        <v>45994.0</v>
      </c>
      <c r="I519" s="22" t="s">
        <v>192</v>
      </c>
      <c r="J519" s="22" t="s">
        <v>311</v>
      </c>
      <c r="K519" s="22" t="s">
        <v>594</v>
      </c>
      <c r="L519" s="35" t="s">
        <v>5099</v>
      </c>
      <c r="M519" s="32" t="s">
        <v>54</v>
      </c>
    </row>
    <row r="520">
      <c r="A520" s="22" t="s">
        <v>1526</v>
      </c>
      <c r="B520" s="22" t="s">
        <v>5100</v>
      </c>
      <c r="C520" s="22" t="s">
        <v>5101</v>
      </c>
      <c r="D520" s="22" t="s">
        <v>386</v>
      </c>
      <c r="E520" s="22">
        <v>1.0</v>
      </c>
      <c r="F520" s="22"/>
      <c r="G520" s="22" t="s">
        <v>273</v>
      </c>
      <c r="H520" s="26">
        <v>45998.0</v>
      </c>
      <c r="I520" s="22" t="s">
        <v>134</v>
      </c>
      <c r="J520" s="22" t="s">
        <v>311</v>
      </c>
      <c r="K520" s="22" t="s">
        <v>390</v>
      </c>
      <c r="L520" s="35" t="s">
        <v>5102</v>
      </c>
      <c r="M520" s="32" t="s">
        <v>55</v>
      </c>
    </row>
    <row r="521">
      <c r="A521" s="22" t="s">
        <v>142</v>
      </c>
      <c r="B521" s="22" t="s">
        <v>5103</v>
      </c>
      <c r="C521" s="22" t="s">
        <v>5104</v>
      </c>
      <c r="D521" s="22" t="s">
        <v>141</v>
      </c>
      <c r="E521" s="22">
        <v>1.0</v>
      </c>
      <c r="F521" s="22"/>
      <c r="G521" s="22" t="s">
        <v>82</v>
      </c>
      <c r="H521" s="23">
        <v>45990.0</v>
      </c>
      <c r="I521" s="22" t="s">
        <v>134</v>
      </c>
      <c r="J521" s="22" t="s">
        <v>83</v>
      </c>
      <c r="K521" s="22" t="s">
        <v>143</v>
      </c>
      <c r="L521" s="35" t="s">
        <v>5105</v>
      </c>
      <c r="M521" s="32" t="s">
        <v>54</v>
      </c>
    </row>
    <row r="522">
      <c r="A522" s="22" t="s">
        <v>1529</v>
      </c>
      <c r="B522" s="22" t="s">
        <v>5106</v>
      </c>
      <c r="C522" s="22" t="s">
        <v>5107</v>
      </c>
      <c r="D522" s="22" t="s">
        <v>1527</v>
      </c>
      <c r="E522" s="22">
        <v>1.0</v>
      </c>
      <c r="F522" s="22"/>
      <c r="G522" s="22" t="s">
        <v>82</v>
      </c>
      <c r="H522" s="26">
        <v>45997.0</v>
      </c>
      <c r="I522" s="22" t="s">
        <v>149</v>
      </c>
      <c r="J522" s="22" t="s">
        <v>451</v>
      </c>
      <c r="K522" s="22" t="s">
        <v>1531</v>
      </c>
      <c r="L522" s="35" t="s">
        <v>5108</v>
      </c>
      <c r="M522" s="32" t="s">
        <v>105</v>
      </c>
    </row>
    <row r="523">
      <c r="A523" s="22" t="s">
        <v>1533</v>
      </c>
      <c r="B523" s="22" t="s">
        <v>4271</v>
      </c>
      <c r="C523" s="22" t="s">
        <v>5109</v>
      </c>
      <c r="D523" s="22" t="s">
        <v>950</v>
      </c>
      <c r="E523" s="22">
        <v>1.0</v>
      </c>
      <c r="F523" s="22"/>
      <c r="G523" s="22" t="s">
        <v>82</v>
      </c>
      <c r="H523" s="26">
        <v>45997.0</v>
      </c>
      <c r="I523" s="22" t="s">
        <v>211</v>
      </c>
      <c r="J523" s="22" t="s">
        <v>698</v>
      </c>
      <c r="K523" s="22" t="s">
        <v>952</v>
      </c>
      <c r="L523" s="35" t="s">
        <v>5110</v>
      </c>
      <c r="M523" s="32" t="s">
        <v>54</v>
      </c>
    </row>
    <row r="524">
      <c r="A524" s="22" t="s">
        <v>1535</v>
      </c>
      <c r="B524" s="22" t="s">
        <v>5111</v>
      </c>
      <c r="C524" s="22" t="s">
        <v>4049</v>
      </c>
      <c r="D524" s="22" t="s">
        <v>752</v>
      </c>
      <c r="E524" s="22">
        <v>1.0</v>
      </c>
      <c r="F524" s="22"/>
      <c r="G524" s="22" t="s">
        <v>82</v>
      </c>
      <c r="H524" s="26">
        <v>45997.0</v>
      </c>
      <c r="I524" s="22" t="s">
        <v>181</v>
      </c>
      <c r="J524" s="22" t="s">
        <v>319</v>
      </c>
      <c r="K524" s="22" t="s">
        <v>754</v>
      </c>
      <c r="L524" s="35" t="s">
        <v>5112</v>
      </c>
      <c r="M524" s="32" t="s">
        <v>175</v>
      </c>
    </row>
    <row r="525">
      <c r="A525" s="22" t="s">
        <v>1496</v>
      </c>
      <c r="B525" s="22" t="s">
        <v>5113</v>
      </c>
      <c r="C525" s="22" t="s">
        <v>5114</v>
      </c>
      <c r="D525" s="22" t="s">
        <v>806</v>
      </c>
      <c r="E525" s="22">
        <v>1.0</v>
      </c>
      <c r="F525" s="22"/>
      <c r="G525" s="22" t="s">
        <v>82</v>
      </c>
      <c r="H525" s="26">
        <v>45997.0</v>
      </c>
      <c r="I525" s="22" t="s">
        <v>187</v>
      </c>
      <c r="J525" s="22" t="s">
        <v>278</v>
      </c>
      <c r="K525" s="22" t="s">
        <v>809</v>
      </c>
      <c r="L525" s="35" t="s">
        <v>5115</v>
      </c>
      <c r="M525" s="32" t="s">
        <v>95</v>
      </c>
    </row>
    <row r="526">
      <c r="A526" s="22" t="s">
        <v>1537</v>
      </c>
      <c r="B526" s="22" t="s">
        <v>5116</v>
      </c>
      <c r="C526" s="22" t="s">
        <v>4656</v>
      </c>
      <c r="D526" s="22" t="s">
        <v>327</v>
      </c>
      <c r="E526" s="22">
        <v>1.0</v>
      </c>
      <c r="F526" s="22"/>
      <c r="G526" s="22" t="s">
        <v>273</v>
      </c>
      <c r="H526" s="23">
        <v>45991.0</v>
      </c>
      <c r="I526" s="22" t="s">
        <v>138</v>
      </c>
      <c r="J526" s="22" t="s">
        <v>329</v>
      </c>
      <c r="K526" s="22" t="s">
        <v>332</v>
      </c>
      <c r="L526" s="35" t="s">
        <v>5117</v>
      </c>
      <c r="M526" s="32" t="s">
        <v>55</v>
      </c>
    </row>
    <row r="527">
      <c r="A527" s="22" t="s">
        <v>1607</v>
      </c>
      <c r="B527" s="22" t="s">
        <v>5118</v>
      </c>
      <c r="C527" s="22" t="s">
        <v>5119</v>
      </c>
      <c r="D527" s="22" t="s">
        <v>709</v>
      </c>
      <c r="E527" s="22">
        <v>1.0</v>
      </c>
      <c r="F527" s="22"/>
      <c r="G527" s="22" t="s">
        <v>202</v>
      </c>
      <c r="H527" s="23">
        <v>46003.0</v>
      </c>
      <c r="I527" s="22" t="s">
        <v>1117</v>
      </c>
      <c r="J527" s="22" t="s">
        <v>311</v>
      </c>
      <c r="K527" s="22" t="s">
        <v>713</v>
      </c>
      <c r="L527" s="35" t="s">
        <v>5120</v>
      </c>
      <c r="M527" s="32" t="s">
        <v>91</v>
      </c>
    </row>
    <row r="528">
      <c r="A528" s="22" t="s">
        <v>1542</v>
      </c>
      <c r="B528" s="22" t="s">
        <v>4169</v>
      </c>
      <c r="C528" s="22" t="s">
        <v>5121</v>
      </c>
      <c r="D528" s="22" t="s">
        <v>80</v>
      </c>
      <c r="E528" s="22">
        <v>1.0</v>
      </c>
      <c r="F528" s="22"/>
      <c r="G528" s="22" t="s">
        <v>273</v>
      </c>
      <c r="H528" s="26">
        <v>45998.0</v>
      </c>
      <c r="I528" s="22" t="s">
        <v>480</v>
      </c>
      <c r="J528" s="22" t="s">
        <v>83</v>
      </c>
      <c r="K528" s="22" t="s">
        <v>86</v>
      </c>
      <c r="L528" s="35" t="s">
        <v>5122</v>
      </c>
      <c r="M528" s="32" t="s">
        <v>91</v>
      </c>
    </row>
    <row r="529">
      <c r="A529" s="22" t="s">
        <v>5123</v>
      </c>
      <c r="B529" s="22" t="s">
        <v>4118</v>
      </c>
      <c r="C529" s="22" t="s">
        <v>5124</v>
      </c>
      <c r="D529" s="22" t="s">
        <v>4324</v>
      </c>
      <c r="E529" s="22">
        <v>1.0</v>
      </c>
      <c r="F529" s="22"/>
      <c r="G529" s="22" t="s">
        <v>202</v>
      </c>
      <c r="H529" s="26">
        <v>45996.0</v>
      </c>
      <c r="I529" s="22" t="s">
        <v>981</v>
      </c>
      <c r="J529" s="22" t="s">
        <v>4325</v>
      </c>
      <c r="K529" s="22" t="s">
        <v>4326</v>
      </c>
      <c r="L529" s="35" t="s">
        <v>5125</v>
      </c>
      <c r="M529" s="32" t="s">
        <v>54</v>
      </c>
    </row>
    <row r="530">
      <c r="A530" s="22" t="s">
        <v>5126</v>
      </c>
      <c r="B530" s="22" t="s">
        <v>5127</v>
      </c>
      <c r="C530" s="22" t="s">
        <v>5128</v>
      </c>
      <c r="D530" s="22" t="s">
        <v>4324</v>
      </c>
      <c r="E530" s="22">
        <v>1.0</v>
      </c>
      <c r="F530" s="22"/>
      <c r="G530" s="22" t="s">
        <v>202</v>
      </c>
      <c r="H530" s="23">
        <v>46003.0</v>
      </c>
      <c r="I530" s="22" t="s">
        <v>149</v>
      </c>
      <c r="J530" s="22" t="s">
        <v>4325</v>
      </c>
      <c r="K530" s="22" t="s">
        <v>4326</v>
      </c>
      <c r="L530" s="35" t="s">
        <v>5129</v>
      </c>
      <c r="M530" s="32" t="s">
        <v>54</v>
      </c>
    </row>
    <row r="531">
      <c r="A531" s="22" t="s">
        <v>1545</v>
      </c>
      <c r="B531" s="22" t="s">
        <v>5130</v>
      </c>
      <c r="C531" s="22" t="s">
        <v>5131</v>
      </c>
      <c r="D531" s="22" t="s">
        <v>569</v>
      </c>
      <c r="E531" s="22">
        <v>1.0</v>
      </c>
      <c r="F531" s="22"/>
      <c r="G531" s="22" t="s">
        <v>82</v>
      </c>
      <c r="H531" s="26">
        <v>45997.0</v>
      </c>
      <c r="I531" s="22" t="s">
        <v>266</v>
      </c>
      <c r="J531" s="22" t="s">
        <v>472</v>
      </c>
      <c r="K531" s="22" t="s">
        <v>571</v>
      </c>
      <c r="L531" s="35" t="s">
        <v>5132</v>
      </c>
      <c r="M531" s="32" t="s">
        <v>105</v>
      </c>
    </row>
    <row r="532">
      <c r="A532" s="22" t="s">
        <v>1548</v>
      </c>
      <c r="B532" s="22" t="s">
        <v>5133</v>
      </c>
      <c r="C532" s="22" t="s">
        <v>5134</v>
      </c>
      <c r="D532" s="22" t="s">
        <v>80</v>
      </c>
      <c r="E532" s="22">
        <v>1.0</v>
      </c>
      <c r="F532" s="22"/>
      <c r="G532" s="22" t="s">
        <v>273</v>
      </c>
      <c r="H532" s="26">
        <v>45998.0</v>
      </c>
      <c r="I532" s="22" t="s">
        <v>145</v>
      </c>
      <c r="J532" s="22" t="s">
        <v>83</v>
      </c>
      <c r="K532" s="22" t="s">
        <v>86</v>
      </c>
      <c r="L532" s="35" t="s">
        <v>5135</v>
      </c>
      <c r="M532" s="32" t="s">
        <v>91</v>
      </c>
    </row>
    <row r="533">
      <c r="A533" s="22" t="s">
        <v>1550</v>
      </c>
      <c r="B533" s="22" t="s">
        <v>5136</v>
      </c>
      <c r="C533" s="22" t="s">
        <v>5137</v>
      </c>
      <c r="D533" s="22" t="s">
        <v>885</v>
      </c>
      <c r="E533" s="22">
        <v>1.0</v>
      </c>
      <c r="F533" s="22"/>
      <c r="G533" s="22" t="s">
        <v>82</v>
      </c>
      <c r="H533" s="26">
        <v>45997.0</v>
      </c>
      <c r="I533" s="22" t="s">
        <v>149</v>
      </c>
      <c r="J533" s="22" t="s">
        <v>605</v>
      </c>
      <c r="K533" s="22" t="s">
        <v>890</v>
      </c>
      <c r="L533" s="35" t="s">
        <v>5138</v>
      </c>
      <c r="M533" s="32" t="s">
        <v>127</v>
      </c>
    </row>
    <row r="534">
      <c r="A534" s="22" t="s">
        <v>1551</v>
      </c>
      <c r="B534" s="22" t="s">
        <v>3889</v>
      </c>
      <c r="C534" s="22" t="s">
        <v>5139</v>
      </c>
      <c r="D534" s="22" t="s">
        <v>859</v>
      </c>
      <c r="E534" s="22">
        <v>1.0</v>
      </c>
      <c r="F534" s="22"/>
      <c r="G534" s="22" t="s">
        <v>82</v>
      </c>
      <c r="H534" s="26">
        <v>45997.0</v>
      </c>
      <c r="I534" s="22" t="s">
        <v>149</v>
      </c>
      <c r="J534" s="22" t="s">
        <v>605</v>
      </c>
      <c r="K534" s="22" t="s">
        <v>861</v>
      </c>
      <c r="L534" s="35" t="s">
        <v>5140</v>
      </c>
      <c r="M534" s="32" t="s">
        <v>95</v>
      </c>
    </row>
    <row r="535">
      <c r="A535" s="22" t="s">
        <v>1552</v>
      </c>
      <c r="B535" s="22" t="s">
        <v>3846</v>
      </c>
      <c r="C535" s="22" t="s">
        <v>5141</v>
      </c>
      <c r="D535" s="22" t="s">
        <v>185</v>
      </c>
      <c r="E535" s="22">
        <v>1.0</v>
      </c>
      <c r="F535" s="22"/>
      <c r="G535" s="22" t="s">
        <v>82</v>
      </c>
      <c r="H535" s="26">
        <v>45997.0</v>
      </c>
      <c r="I535" s="22" t="s">
        <v>187</v>
      </c>
      <c r="J535" s="22" t="s">
        <v>111</v>
      </c>
      <c r="K535" s="22" t="s">
        <v>190</v>
      </c>
      <c r="L535" s="35" t="s">
        <v>5142</v>
      </c>
      <c r="M535" s="32" t="s">
        <v>95</v>
      </c>
    </row>
    <row r="536">
      <c r="A536" s="22" t="s">
        <v>1553</v>
      </c>
      <c r="B536" s="22" t="s">
        <v>5143</v>
      </c>
      <c r="C536" s="22" t="s">
        <v>5144</v>
      </c>
      <c r="D536" s="22" t="s">
        <v>99</v>
      </c>
      <c r="E536" s="22">
        <v>1.0</v>
      </c>
      <c r="F536" s="22"/>
      <c r="G536" s="22" t="s">
        <v>82</v>
      </c>
      <c r="H536" s="26">
        <v>45997.0</v>
      </c>
      <c r="I536" s="22" t="s">
        <v>134</v>
      </c>
      <c r="J536" s="22" t="s">
        <v>83</v>
      </c>
      <c r="K536" s="22" t="s">
        <v>102</v>
      </c>
      <c r="L536" s="35" t="s">
        <v>5145</v>
      </c>
      <c r="M536" s="32" t="s">
        <v>105</v>
      </c>
    </row>
    <row r="537">
      <c r="A537" s="22" t="s">
        <v>1555</v>
      </c>
      <c r="B537" s="22" t="s">
        <v>3889</v>
      </c>
      <c r="C537" s="22" t="s">
        <v>5146</v>
      </c>
      <c r="D537" s="22" t="s">
        <v>1554</v>
      </c>
      <c r="E537" s="22">
        <v>1.0</v>
      </c>
      <c r="F537" s="22"/>
      <c r="G537" s="22" t="s">
        <v>82</v>
      </c>
      <c r="H537" s="26">
        <v>45997.0</v>
      </c>
      <c r="I537" s="22" t="s">
        <v>230</v>
      </c>
      <c r="J537" s="22" t="s">
        <v>1466</v>
      </c>
      <c r="K537" s="22" t="s">
        <v>1556</v>
      </c>
      <c r="L537" s="35" t="s">
        <v>5147</v>
      </c>
      <c r="M537" s="32" t="s">
        <v>91</v>
      </c>
    </row>
    <row r="538">
      <c r="A538" s="22" t="s">
        <v>1558</v>
      </c>
      <c r="B538" s="22" t="s">
        <v>5148</v>
      </c>
      <c r="C538" s="22" t="s">
        <v>5149</v>
      </c>
      <c r="D538" s="22" t="s">
        <v>96</v>
      </c>
      <c r="E538" s="22">
        <v>1.0</v>
      </c>
      <c r="F538" s="22"/>
      <c r="G538" s="22" t="s">
        <v>1284</v>
      </c>
      <c r="H538" s="26">
        <v>45993.0</v>
      </c>
      <c r="I538" s="22" t="s">
        <v>235</v>
      </c>
      <c r="J538" s="22" t="s">
        <v>83</v>
      </c>
      <c r="K538" s="22" t="s">
        <v>98</v>
      </c>
      <c r="L538" s="35" t="s">
        <v>5150</v>
      </c>
      <c r="M538" s="32" t="s">
        <v>55</v>
      </c>
    </row>
    <row r="539">
      <c r="A539" s="22" t="s">
        <v>1495</v>
      </c>
      <c r="B539" s="22" t="s">
        <v>3906</v>
      </c>
      <c r="C539" s="22" t="s">
        <v>5151</v>
      </c>
      <c r="D539" s="22" t="s">
        <v>1105</v>
      </c>
      <c r="E539" s="22">
        <v>1.0</v>
      </c>
      <c r="F539" s="22"/>
      <c r="G539" s="22" t="s">
        <v>273</v>
      </c>
      <c r="H539" s="23">
        <v>45991.0</v>
      </c>
      <c r="I539" s="22" t="s">
        <v>138</v>
      </c>
      <c r="J539" s="22" t="s">
        <v>329</v>
      </c>
      <c r="K539" s="22" t="s">
        <v>1107</v>
      </c>
      <c r="L539" s="35" t="s">
        <v>5152</v>
      </c>
      <c r="M539" s="32" t="s">
        <v>95</v>
      </c>
    </row>
    <row r="540">
      <c r="A540" s="22" t="s">
        <v>1563</v>
      </c>
      <c r="B540" s="22" t="s">
        <v>5153</v>
      </c>
      <c r="C540" s="22" t="s">
        <v>5154</v>
      </c>
      <c r="D540" s="22" t="s">
        <v>1175</v>
      </c>
      <c r="E540" s="22">
        <v>1.0</v>
      </c>
      <c r="F540" s="22"/>
      <c r="G540" s="22" t="s">
        <v>273</v>
      </c>
      <c r="H540" s="23">
        <v>45991.0</v>
      </c>
      <c r="I540" s="22" t="s">
        <v>138</v>
      </c>
      <c r="J540" s="22" t="s">
        <v>329</v>
      </c>
      <c r="K540" s="22" t="s">
        <v>1179</v>
      </c>
      <c r="L540" s="35" t="s">
        <v>5155</v>
      </c>
      <c r="M540" s="32" t="s">
        <v>127</v>
      </c>
    </row>
    <row r="541">
      <c r="A541" s="22" t="s">
        <v>1566</v>
      </c>
      <c r="B541" s="22" t="s">
        <v>3793</v>
      </c>
      <c r="C541" s="22" t="s">
        <v>5156</v>
      </c>
      <c r="D541" s="22" t="s">
        <v>573</v>
      </c>
      <c r="E541" s="22">
        <v>1.0</v>
      </c>
      <c r="F541" s="22"/>
      <c r="G541" s="22" t="s">
        <v>273</v>
      </c>
      <c r="H541" s="26">
        <v>45998.0</v>
      </c>
      <c r="I541" s="22" t="s">
        <v>734</v>
      </c>
      <c r="J541" s="22" t="s">
        <v>440</v>
      </c>
      <c r="K541" s="22" t="s">
        <v>577</v>
      </c>
      <c r="L541" s="35" t="s">
        <v>5157</v>
      </c>
      <c r="M541" s="32" t="s">
        <v>55</v>
      </c>
    </row>
    <row r="542">
      <c r="A542" s="22" t="s">
        <v>1603</v>
      </c>
      <c r="B542" s="22" t="s">
        <v>5158</v>
      </c>
      <c r="C542" s="22" t="s">
        <v>4642</v>
      </c>
      <c r="D542" s="22" t="s">
        <v>1601</v>
      </c>
      <c r="E542" s="22">
        <v>1.0</v>
      </c>
      <c r="F542" s="22"/>
      <c r="G542" s="22" t="s">
        <v>202</v>
      </c>
      <c r="H542" s="26">
        <v>45996.0</v>
      </c>
      <c r="I542" s="22" t="s">
        <v>149</v>
      </c>
      <c r="J542" s="22" t="s">
        <v>717</v>
      </c>
      <c r="K542" s="22" t="s">
        <v>1605</v>
      </c>
      <c r="L542" s="35" t="s">
        <v>5159</v>
      </c>
      <c r="M542" s="32" t="s">
        <v>175</v>
      </c>
    </row>
    <row r="543">
      <c r="A543" s="22" t="s">
        <v>1569</v>
      </c>
      <c r="B543" s="22" t="s">
        <v>3992</v>
      </c>
      <c r="C543" s="22" t="s">
        <v>5160</v>
      </c>
      <c r="D543" s="22" t="s">
        <v>96</v>
      </c>
      <c r="E543" s="22">
        <v>1.0</v>
      </c>
      <c r="F543" s="22"/>
      <c r="G543" s="22" t="s">
        <v>273</v>
      </c>
      <c r="H543" s="23">
        <v>45991.0</v>
      </c>
      <c r="I543" s="22" t="s">
        <v>134</v>
      </c>
      <c r="J543" s="22" t="s">
        <v>83</v>
      </c>
      <c r="K543" s="22" t="s">
        <v>98</v>
      </c>
      <c r="L543" s="35" t="s">
        <v>5161</v>
      </c>
      <c r="M543" s="32" t="s">
        <v>55</v>
      </c>
    </row>
    <row r="544">
      <c r="A544" s="22" t="s">
        <v>1573</v>
      </c>
      <c r="B544" s="22" t="s">
        <v>5162</v>
      </c>
      <c r="C544" s="22" t="s">
        <v>5163</v>
      </c>
      <c r="D544" s="22" t="s">
        <v>80</v>
      </c>
      <c r="E544" s="22">
        <v>1.0</v>
      </c>
      <c r="F544" s="22"/>
      <c r="G544" s="22" t="s">
        <v>287</v>
      </c>
      <c r="H544" s="26">
        <v>45994.0</v>
      </c>
      <c r="I544" s="22" t="s">
        <v>1572</v>
      </c>
      <c r="J544" s="22" t="s">
        <v>83</v>
      </c>
      <c r="K544" s="22" t="s">
        <v>86</v>
      </c>
      <c r="L544" s="35" t="s">
        <v>5164</v>
      </c>
      <c r="M544" s="32" t="s">
        <v>91</v>
      </c>
    </row>
    <row r="545">
      <c r="A545" s="22" t="s">
        <v>1575</v>
      </c>
      <c r="B545" s="22" t="s">
        <v>4161</v>
      </c>
      <c r="C545" s="22" t="s">
        <v>5165</v>
      </c>
      <c r="D545" s="22" t="s">
        <v>367</v>
      </c>
      <c r="E545" s="22">
        <v>1.0</v>
      </c>
      <c r="F545" s="22"/>
      <c r="G545" s="22" t="s">
        <v>273</v>
      </c>
      <c r="H545" s="26">
        <v>45998.0</v>
      </c>
      <c r="I545" s="22" t="s">
        <v>149</v>
      </c>
      <c r="J545" s="22" t="s">
        <v>369</v>
      </c>
      <c r="K545" s="22" t="s">
        <v>372</v>
      </c>
      <c r="L545" s="35" t="s">
        <v>5166</v>
      </c>
      <c r="M545" s="32" t="s">
        <v>55</v>
      </c>
    </row>
    <row r="546">
      <c r="A546" s="22" t="s">
        <v>1577</v>
      </c>
      <c r="B546" s="22" t="s">
        <v>5167</v>
      </c>
      <c r="C546" s="22" t="s">
        <v>5168</v>
      </c>
      <c r="D546" s="22" t="s">
        <v>979</v>
      </c>
      <c r="E546" s="22">
        <v>1.0</v>
      </c>
      <c r="F546" s="22"/>
      <c r="G546" s="22" t="s">
        <v>82</v>
      </c>
      <c r="H546" s="26">
        <v>45997.0</v>
      </c>
      <c r="I546" s="22" t="s">
        <v>1117</v>
      </c>
      <c r="J546" s="22" t="s">
        <v>605</v>
      </c>
      <c r="K546" s="22" t="s">
        <v>984</v>
      </c>
      <c r="L546" s="35" t="s">
        <v>5169</v>
      </c>
      <c r="M546" s="32" t="s">
        <v>55</v>
      </c>
    </row>
    <row r="547">
      <c r="A547" s="22" t="s">
        <v>1579</v>
      </c>
      <c r="B547" s="22" t="s">
        <v>5170</v>
      </c>
      <c r="C547" s="22" t="s">
        <v>5171</v>
      </c>
      <c r="D547" s="22" t="s">
        <v>1217</v>
      </c>
      <c r="E547" s="22">
        <v>1.0</v>
      </c>
      <c r="F547" s="22"/>
      <c r="G547" s="22" t="s">
        <v>82</v>
      </c>
      <c r="H547" s="26">
        <v>45997.0</v>
      </c>
      <c r="I547" s="22" t="s">
        <v>149</v>
      </c>
      <c r="J547" s="22" t="s">
        <v>605</v>
      </c>
      <c r="K547" s="22" t="s">
        <v>1219</v>
      </c>
      <c r="L547" s="35" t="s">
        <v>5172</v>
      </c>
      <c r="M547" s="32" t="s">
        <v>91</v>
      </c>
    </row>
    <row r="548">
      <c r="A548" s="22" t="s">
        <v>1580</v>
      </c>
      <c r="B548" s="22" t="s">
        <v>5014</v>
      </c>
      <c r="C548" s="22" t="s">
        <v>5173</v>
      </c>
      <c r="D548" s="22" t="s">
        <v>938</v>
      </c>
      <c r="E548" s="22">
        <v>1.0</v>
      </c>
      <c r="F548" s="22"/>
      <c r="G548" s="22" t="s">
        <v>82</v>
      </c>
      <c r="H548" s="26">
        <v>45997.0</v>
      </c>
      <c r="I548" s="22" t="s">
        <v>134</v>
      </c>
      <c r="J548" s="22" t="s">
        <v>472</v>
      </c>
      <c r="K548" s="22" t="s">
        <v>940</v>
      </c>
      <c r="L548" s="35" t="s">
        <v>5174</v>
      </c>
      <c r="M548" s="32" t="s">
        <v>54</v>
      </c>
    </row>
    <row r="549">
      <c r="A549" s="22" t="s">
        <v>1582</v>
      </c>
      <c r="B549" s="22" t="s">
        <v>5175</v>
      </c>
      <c r="C549" s="22" t="s">
        <v>5176</v>
      </c>
      <c r="D549" s="22" t="s">
        <v>124</v>
      </c>
      <c r="E549" s="22">
        <v>1.0</v>
      </c>
      <c r="F549" s="22"/>
      <c r="G549" s="22" t="s">
        <v>82</v>
      </c>
      <c r="H549" s="26">
        <v>45997.0</v>
      </c>
      <c r="I549" s="22" t="s">
        <v>235</v>
      </c>
      <c r="J549" s="22" t="s">
        <v>83</v>
      </c>
      <c r="K549" s="22" t="s">
        <v>126</v>
      </c>
      <c r="L549" s="35" t="s">
        <v>5177</v>
      </c>
      <c r="M549" s="32" t="s">
        <v>127</v>
      </c>
    </row>
    <row r="550">
      <c r="A550" s="22" t="s">
        <v>1584</v>
      </c>
      <c r="B550" s="22" t="s">
        <v>5178</v>
      </c>
      <c r="C550" s="22" t="s">
        <v>5179</v>
      </c>
      <c r="D550" s="22" t="s">
        <v>276</v>
      </c>
      <c r="E550" s="22">
        <v>1.0</v>
      </c>
      <c r="F550" s="22"/>
      <c r="G550" s="22" t="s">
        <v>82</v>
      </c>
      <c r="H550" s="26">
        <v>45997.0</v>
      </c>
      <c r="I550" s="22" t="s">
        <v>187</v>
      </c>
      <c r="J550" s="22" t="s">
        <v>278</v>
      </c>
      <c r="K550" s="22" t="s">
        <v>281</v>
      </c>
      <c r="L550" s="35" t="s">
        <v>5180</v>
      </c>
      <c r="M550" s="32" t="s">
        <v>55</v>
      </c>
    </row>
    <row r="551">
      <c r="A551" s="22" t="s">
        <v>1592</v>
      </c>
      <c r="B551" s="22" t="s">
        <v>5181</v>
      </c>
      <c r="C551" s="22" t="s">
        <v>5182</v>
      </c>
      <c r="D551" s="22" t="s">
        <v>80</v>
      </c>
      <c r="E551" s="22">
        <v>1.0</v>
      </c>
      <c r="F551" s="22"/>
      <c r="G551" s="22" t="s">
        <v>82</v>
      </c>
      <c r="H551" s="26">
        <v>45997.0</v>
      </c>
      <c r="I551" s="22" t="s">
        <v>153</v>
      </c>
      <c r="J551" s="22" t="s">
        <v>83</v>
      </c>
      <c r="K551" s="22" t="s">
        <v>86</v>
      </c>
      <c r="L551" s="35" t="s">
        <v>5183</v>
      </c>
      <c r="M551" s="32" t="s">
        <v>91</v>
      </c>
    </row>
    <row r="552">
      <c r="A552" s="22" t="s">
        <v>1587</v>
      </c>
      <c r="B552" s="22" t="s">
        <v>5184</v>
      </c>
      <c r="C552" s="22" t="s">
        <v>5185</v>
      </c>
      <c r="D552" s="22" t="s">
        <v>80</v>
      </c>
      <c r="E552" s="22">
        <v>1.0</v>
      </c>
      <c r="F552" s="22"/>
      <c r="G552" s="22" t="s">
        <v>273</v>
      </c>
      <c r="H552" s="23">
        <v>45991.0</v>
      </c>
      <c r="I552" s="22" t="s">
        <v>138</v>
      </c>
      <c r="J552" s="22" t="s">
        <v>83</v>
      </c>
      <c r="K552" s="22" t="s">
        <v>86</v>
      </c>
      <c r="L552" s="35" t="s">
        <v>5186</v>
      </c>
      <c r="M552" s="32" t="s">
        <v>91</v>
      </c>
    </row>
    <row r="553">
      <c r="A553" s="22" t="s">
        <v>1509</v>
      </c>
      <c r="B553" s="22" t="s">
        <v>5187</v>
      </c>
      <c r="C553" s="22" t="s">
        <v>5188</v>
      </c>
      <c r="D553" s="22" t="s">
        <v>408</v>
      </c>
      <c r="E553" s="22">
        <v>1.0</v>
      </c>
      <c r="F553" s="22"/>
      <c r="G553" s="22" t="s">
        <v>82</v>
      </c>
      <c r="H553" s="26">
        <v>45997.0</v>
      </c>
      <c r="I553" s="22" t="s">
        <v>153</v>
      </c>
      <c r="J553" s="22" t="s">
        <v>377</v>
      </c>
      <c r="K553" s="22" t="s">
        <v>412</v>
      </c>
      <c r="L553" s="35" t="s">
        <v>5189</v>
      </c>
      <c r="M553" s="32" t="s">
        <v>127</v>
      </c>
    </row>
    <row r="554">
      <c r="A554" s="22" t="s">
        <v>5190</v>
      </c>
      <c r="B554" s="22" t="s">
        <v>4297</v>
      </c>
      <c r="C554" s="22" t="s">
        <v>5191</v>
      </c>
      <c r="D554" s="22" t="s">
        <v>4345</v>
      </c>
      <c r="E554" s="22">
        <v>1.0</v>
      </c>
      <c r="F554" s="22"/>
      <c r="G554" s="22" t="s">
        <v>294</v>
      </c>
      <c r="H554" s="26">
        <v>45999.0</v>
      </c>
      <c r="I554" s="22" t="s">
        <v>149</v>
      </c>
      <c r="J554" s="22" t="s">
        <v>4346</v>
      </c>
      <c r="K554" s="22" t="s">
        <v>4347</v>
      </c>
      <c r="L554" s="35" t="s">
        <v>5192</v>
      </c>
      <c r="M554" s="32" t="s">
        <v>55</v>
      </c>
    </row>
    <row r="555">
      <c r="A555" s="22" t="s">
        <v>1561</v>
      </c>
      <c r="B555" s="22" t="s">
        <v>5193</v>
      </c>
      <c r="C555" s="22" t="s">
        <v>4086</v>
      </c>
      <c r="D555" s="22" t="s">
        <v>1560</v>
      </c>
      <c r="E555" s="22">
        <v>1.0</v>
      </c>
      <c r="F555" s="22"/>
      <c r="G555" s="22" t="s">
        <v>82</v>
      </c>
      <c r="H555" s="26">
        <v>45997.0</v>
      </c>
      <c r="I555" s="22" t="s">
        <v>211</v>
      </c>
      <c r="J555" s="22" t="s">
        <v>341</v>
      </c>
      <c r="K555" s="22" t="s">
        <v>1562</v>
      </c>
      <c r="L555" s="35" t="s">
        <v>5194</v>
      </c>
      <c r="M555" s="32" t="s">
        <v>175</v>
      </c>
    </row>
    <row r="556">
      <c r="A556" s="22" t="s">
        <v>1593</v>
      </c>
      <c r="B556" s="22" t="s">
        <v>3858</v>
      </c>
      <c r="C556" s="22" t="s">
        <v>5195</v>
      </c>
      <c r="D556" s="22" t="s">
        <v>515</v>
      </c>
      <c r="E556" s="22">
        <v>1.0</v>
      </c>
      <c r="F556" s="22"/>
      <c r="G556" s="22" t="s">
        <v>82</v>
      </c>
      <c r="H556" s="26">
        <v>45997.0</v>
      </c>
      <c r="I556" s="22" t="s">
        <v>134</v>
      </c>
      <c r="J556" s="22" t="s">
        <v>472</v>
      </c>
      <c r="K556" s="22" t="s">
        <v>519</v>
      </c>
      <c r="L556" s="35" t="s">
        <v>5196</v>
      </c>
      <c r="M556" s="32" t="s">
        <v>55</v>
      </c>
    </row>
    <row r="557">
      <c r="A557" s="22" t="s">
        <v>1594</v>
      </c>
      <c r="B557" s="22" t="s">
        <v>5197</v>
      </c>
      <c r="C557" s="22" t="s">
        <v>5198</v>
      </c>
      <c r="D557" s="22" t="s">
        <v>867</v>
      </c>
      <c r="E557" s="22">
        <v>1.0</v>
      </c>
      <c r="F557" s="22"/>
      <c r="G557" s="22" t="s">
        <v>273</v>
      </c>
      <c r="H557" s="26">
        <v>45998.0</v>
      </c>
      <c r="I557" s="22" t="s">
        <v>196</v>
      </c>
      <c r="J557" s="22" t="s">
        <v>869</v>
      </c>
      <c r="K557" s="22" t="s">
        <v>872</v>
      </c>
      <c r="L557" s="35" t="s">
        <v>5199</v>
      </c>
      <c r="M557" s="32" t="s">
        <v>55</v>
      </c>
    </row>
    <row r="558">
      <c r="A558" s="22" t="s">
        <v>1596</v>
      </c>
      <c r="B558" s="22" t="s">
        <v>3671</v>
      </c>
      <c r="C558" s="22" t="s">
        <v>3968</v>
      </c>
      <c r="D558" s="22" t="s">
        <v>96</v>
      </c>
      <c r="E558" s="22">
        <v>1.0</v>
      </c>
      <c r="F558" s="22"/>
      <c r="G558" s="22" t="s">
        <v>82</v>
      </c>
      <c r="H558" s="26">
        <v>45997.0</v>
      </c>
      <c r="I558" s="22" t="s">
        <v>149</v>
      </c>
      <c r="J558" s="22" t="s">
        <v>83</v>
      </c>
      <c r="K558" s="22" t="s">
        <v>98</v>
      </c>
      <c r="L558" s="35" t="s">
        <v>5200</v>
      </c>
      <c r="M558" s="32" t="s">
        <v>55</v>
      </c>
    </row>
    <row r="559">
      <c r="A559" s="22" t="s">
        <v>5201</v>
      </c>
      <c r="B559" s="22" t="s">
        <v>5202</v>
      </c>
      <c r="C559" s="22" t="s">
        <v>5203</v>
      </c>
      <c r="D559" s="22" t="s">
        <v>4741</v>
      </c>
      <c r="E559" s="22">
        <v>1.0</v>
      </c>
      <c r="F559" s="22"/>
      <c r="G559" s="22" t="s">
        <v>1284</v>
      </c>
      <c r="H559" s="26">
        <v>45993.0</v>
      </c>
      <c r="I559" s="22" t="s">
        <v>149</v>
      </c>
      <c r="J559" s="22" t="s">
        <v>4325</v>
      </c>
      <c r="K559" s="22" t="s">
        <v>4742</v>
      </c>
      <c r="L559" s="35" t="s">
        <v>5204</v>
      </c>
      <c r="M559" s="32" t="s">
        <v>55</v>
      </c>
    </row>
    <row r="560">
      <c r="A560" s="22" t="s">
        <v>1599</v>
      </c>
      <c r="B560" s="22" t="s">
        <v>4237</v>
      </c>
      <c r="C560" s="22" t="s">
        <v>5205</v>
      </c>
      <c r="D560" s="22" t="s">
        <v>124</v>
      </c>
      <c r="E560" s="22">
        <v>1.0</v>
      </c>
      <c r="F560" s="22"/>
      <c r="G560" s="22" t="s">
        <v>82</v>
      </c>
      <c r="H560" s="26">
        <v>45997.0</v>
      </c>
      <c r="I560" s="22" t="s">
        <v>145</v>
      </c>
      <c r="J560" s="22" t="s">
        <v>83</v>
      </c>
      <c r="K560" s="22" t="s">
        <v>126</v>
      </c>
      <c r="L560" s="35" t="s">
        <v>5206</v>
      </c>
      <c r="M560" s="32" t="s">
        <v>127</v>
      </c>
    </row>
    <row r="561">
      <c r="A561" s="22" t="s">
        <v>1600</v>
      </c>
      <c r="B561" s="22" t="s">
        <v>5207</v>
      </c>
      <c r="C561" s="22" t="s">
        <v>5208</v>
      </c>
      <c r="D561" s="22" t="s">
        <v>664</v>
      </c>
      <c r="E561" s="22">
        <v>1.0</v>
      </c>
      <c r="F561" s="22"/>
      <c r="G561" s="22" t="s">
        <v>82</v>
      </c>
      <c r="H561" s="26">
        <v>45997.0</v>
      </c>
      <c r="I561" s="22" t="s">
        <v>134</v>
      </c>
      <c r="J561" s="22" t="s">
        <v>472</v>
      </c>
      <c r="K561" s="22" t="s">
        <v>668</v>
      </c>
      <c r="L561" s="35" t="s">
        <v>5209</v>
      </c>
      <c r="M561" s="32" t="s">
        <v>175</v>
      </c>
    </row>
    <row r="562">
      <c r="A562" s="22" t="s">
        <v>1590</v>
      </c>
      <c r="B562" s="22" t="s">
        <v>4830</v>
      </c>
      <c r="C562" s="22" t="s">
        <v>5210</v>
      </c>
      <c r="D562" s="22" t="s">
        <v>96</v>
      </c>
      <c r="E562" s="22">
        <v>1.0</v>
      </c>
      <c r="F562" s="22"/>
      <c r="G562" s="22" t="s">
        <v>273</v>
      </c>
      <c r="H562" s="26">
        <v>45998.0</v>
      </c>
      <c r="I562" s="22" t="s">
        <v>248</v>
      </c>
      <c r="J562" s="22" t="s">
        <v>83</v>
      </c>
      <c r="K562" s="22" t="s">
        <v>98</v>
      </c>
      <c r="L562" s="35" t="s">
        <v>5211</v>
      </c>
      <c r="M562" s="32" t="s">
        <v>55</v>
      </c>
    </row>
    <row r="563">
      <c r="A563" s="22" t="s">
        <v>1536</v>
      </c>
      <c r="B563" s="22" t="s">
        <v>5212</v>
      </c>
      <c r="C563" s="22" t="s">
        <v>5213</v>
      </c>
      <c r="D563" s="22" t="s">
        <v>912</v>
      </c>
      <c r="E563" s="22">
        <v>1.0</v>
      </c>
      <c r="F563" s="22"/>
      <c r="G563" s="22" t="s">
        <v>82</v>
      </c>
      <c r="H563" s="23">
        <v>46004.0</v>
      </c>
      <c r="I563" s="22" t="s">
        <v>149</v>
      </c>
      <c r="J563" s="22" t="s">
        <v>377</v>
      </c>
      <c r="K563" s="22" t="s">
        <v>914</v>
      </c>
      <c r="L563" s="35" t="s">
        <v>5214</v>
      </c>
      <c r="M563" s="32" t="s">
        <v>54</v>
      </c>
    </row>
    <row r="564">
      <c r="A564" s="22" t="s">
        <v>146</v>
      </c>
      <c r="B564" s="22" t="s">
        <v>3886</v>
      </c>
      <c r="C564" s="22" t="s">
        <v>5215</v>
      </c>
      <c r="D564" s="22" t="s">
        <v>141</v>
      </c>
      <c r="E564" s="22">
        <v>1.0</v>
      </c>
      <c r="F564" s="22"/>
      <c r="G564" s="22" t="s">
        <v>82</v>
      </c>
      <c r="H564" s="23">
        <v>45990.0</v>
      </c>
      <c r="I564" s="22" t="s">
        <v>145</v>
      </c>
      <c r="J564" s="22" t="s">
        <v>83</v>
      </c>
      <c r="K564" s="22" t="s">
        <v>143</v>
      </c>
      <c r="L564" s="35" t="s">
        <v>5216</v>
      </c>
      <c r="M564" s="32" t="s">
        <v>54</v>
      </c>
    </row>
    <row r="565">
      <c r="A565" s="22" t="s">
        <v>1609</v>
      </c>
      <c r="B565" s="22" t="s">
        <v>5217</v>
      </c>
      <c r="C565" s="22" t="s">
        <v>5218</v>
      </c>
      <c r="D565" s="22" t="s">
        <v>740</v>
      </c>
      <c r="E565" s="22">
        <v>1.0</v>
      </c>
      <c r="F565" s="22"/>
      <c r="G565" s="22" t="s">
        <v>273</v>
      </c>
      <c r="H565" s="26">
        <v>45998.0</v>
      </c>
      <c r="I565" s="22" t="s">
        <v>302</v>
      </c>
      <c r="J565" s="22" t="s">
        <v>303</v>
      </c>
      <c r="K565" s="22" t="s">
        <v>744</v>
      </c>
      <c r="L565" s="35" t="s">
        <v>5219</v>
      </c>
      <c r="M565" s="32" t="s">
        <v>91</v>
      </c>
    </row>
    <row r="566">
      <c r="A566" s="22" t="s">
        <v>1610</v>
      </c>
      <c r="B566" s="22" t="s">
        <v>5220</v>
      </c>
      <c r="C566" s="22" t="s">
        <v>5221</v>
      </c>
      <c r="D566" s="22" t="s">
        <v>495</v>
      </c>
      <c r="E566" s="22">
        <v>1.0</v>
      </c>
      <c r="F566" s="22"/>
      <c r="G566" s="22" t="s">
        <v>273</v>
      </c>
      <c r="H566" s="23">
        <v>45991.0</v>
      </c>
      <c r="I566" s="22" t="s">
        <v>153</v>
      </c>
      <c r="J566" s="22" t="s">
        <v>329</v>
      </c>
      <c r="K566" s="22" t="s">
        <v>500</v>
      </c>
      <c r="L566" s="35" t="s">
        <v>5222</v>
      </c>
      <c r="M566" s="32" t="s">
        <v>54</v>
      </c>
    </row>
    <row r="567">
      <c r="A567" s="22" t="s">
        <v>1611</v>
      </c>
      <c r="B567" s="22" t="s">
        <v>5014</v>
      </c>
      <c r="C567" s="22" t="s">
        <v>5223</v>
      </c>
      <c r="D567" s="22" t="s">
        <v>99</v>
      </c>
      <c r="E567" s="22">
        <v>1.0</v>
      </c>
      <c r="F567" s="22"/>
      <c r="G567" s="22" t="s">
        <v>82</v>
      </c>
      <c r="H567" s="26">
        <v>45997.0</v>
      </c>
      <c r="I567" s="22" t="s">
        <v>149</v>
      </c>
      <c r="J567" s="22" t="s">
        <v>83</v>
      </c>
      <c r="K567" s="22" t="s">
        <v>102</v>
      </c>
      <c r="L567" s="35" t="s">
        <v>5224</v>
      </c>
      <c r="M567" s="32" t="s">
        <v>105</v>
      </c>
    </row>
    <row r="568">
      <c r="A568" s="22" t="s">
        <v>1612</v>
      </c>
      <c r="B568" s="22" t="s">
        <v>5225</v>
      </c>
      <c r="C568" s="22" t="s">
        <v>5226</v>
      </c>
      <c r="D568" s="22" t="s">
        <v>584</v>
      </c>
      <c r="E568" s="22">
        <v>1.0</v>
      </c>
      <c r="F568" s="22"/>
      <c r="G568" s="22" t="s">
        <v>82</v>
      </c>
      <c r="H568" s="23">
        <v>46004.0</v>
      </c>
      <c r="I568" s="22" t="s">
        <v>134</v>
      </c>
      <c r="J568" s="22" t="s">
        <v>377</v>
      </c>
      <c r="K568" s="22" t="s">
        <v>586</v>
      </c>
      <c r="L568" s="35" t="s">
        <v>5227</v>
      </c>
      <c r="M568" s="32" t="s">
        <v>105</v>
      </c>
    </row>
    <row r="569">
      <c r="A569" s="22" t="s">
        <v>1613</v>
      </c>
      <c r="B569" s="22" t="s">
        <v>5228</v>
      </c>
      <c r="C569" s="22" t="s">
        <v>5229</v>
      </c>
      <c r="D569" s="22" t="s">
        <v>185</v>
      </c>
      <c r="E569" s="22">
        <v>1.0</v>
      </c>
      <c r="F569" s="22"/>
      <c r="G569" s="22" t="s">
        <v>273</v>
      </c>
      <c r="H569" s="23">
        <v>45991.0</v>
      </c>
      <c r="I569" s="22" t="s">
        <v>211</v>
      </c>
      <c r="J569" s="22" t="s">
        <v>111</v>
      </c>
      <c r="K569" s="22" t="s">
        <v>190</v>
      </c>
      <c r="L569" s="35" t="s">
        <v>5230</v>
      </c>
      <c r="M569" s="32" t="s">
        <v>95</v>
      </c>
    </row>
    <row r="570">
      <c r="A570" s="22" t="s">
        <v>1614</v>
      </c>
      <c r="B570" s="22" t="s">
        <v>5231</v>
      </c>
      <c r="C570" s="22" t="s">
        <v>3735</v>
      </c>
      <c r="D570" s="22" t="s">
        <v>408</v>
      </c>
      <c r="E570" s="22">
        <v>1.0</v>
      </c>
      <c r="F570" s="22"/>
      <c r="G570" s="22" t="s">
        <v>82</v>
      </c>
      <c r="H570" s="26">
        <v>45997.0</v>
      </c>
      <c r="I570" s="22" t="s">
        <v>266</v>
      </c>
      <c r="J570" s="22" t="s">
        <v>377</v>
      </c>
      <c r="K570" s="22" t="s">
        <v>412</v>
      </c>
      <c r="L570" s="35" t="s">
        <v>5232</v>
      </c>
      <c r="M570" s="32" t="s">
        <v>127</v>
      </c>
    </row>
    <row r="571">
      <c r="A571" s="22" t="s">
        <v>1615</v>
      </c>
      <c r="B571" s="22" t="s">
        <v>5233</v>
      </c>
      <c r="C571" s="22" t="s">
        <v>5234</v>
      </c>
      <c r="D571" s="22" t="s">
        <v>664</v>
      </c>
      <c r="E571" s="22">
        <v>1.0</v>
      </c>
      <c r="F571" s="22"/>
      <c r="G571" s="22" t="s">
        <v>273</v>
      </c>
      <c r="H571" s="26">
        <v>45998.0</v>
      </c>
      <c r="I571" s="22" t="s">
        <v>134</v>
      </c>
      <c r="J571" s="22" t="s">
        <v>472</v>
      </c>
      <c r="K571" s="22" t="s">
        <v>668</v>
      </c>
      <c r="L571" s="35" t="s">
        <v>5235</v>
      </c>
      <c r="M571" s="32" t="s">
        <v>175</v>
      </c>
    </row>
    <row r="572">
      <c r="A572" s="22" t="s">
        <v>150</v>
      </c>
      <c r="B572" s="22" t="s">
        <v>5236</v>
      </c>
      <c r="C572" s="22" t="s">
        <v>5237</v>
      </c>
      <c r="D572" s="22" t="s">
        <v>99</v>
      </c>
      <c r="E572" s="22">
        <v>1.0</v>
      </c>
      <c r="F572" s="22"/>
      <c r="G572" s="22" t="s">
        <v>82</v>
      </c>
      <c r="H572" s="23">
        <v>45990.0</v>
      </c>
      <c r="I572" s="22" t="s">
        <v>149</v>
      </c>
      <c r="J572" s="22" t="s">
        <v>83</v>
      </c>
      <c r="K572" s="22" t="s">
        <v>102</v>
      </c>
      <c r="L572" s="35" t="s">
        <v>5238</v>
      </c>
      <c r="M572" s="32" t="s">
        <v>105</v>
      </c>
    </row>
    <row r="573">
      <c r="A573" s="22" t="s">
        <v>1616</v>
      </c>
      <c r="B573" s="22" t="s">
        <v>3973</v>
      </c>
      <c r="C573" s="22" t="s">
        <v>5239</v>
      </c>
      <c r="D573" s="22" t="s">
        <v>80</v>
      </c>
      <c r="E573" s="22">
        <v>1.0</v>
      </c>
      <c r="F573" s="22"/>
      <c r="G573" s="22" t="s">
        <v>82</v>
      </c>
      <c r="H573" s="26">
        <v>45997.0</v>
      </c>
      <c r="I573" s="22" t="s">
        <v>134</v>
      </c>
      <c r="J573" s="22" t="s">
        <v>83</v>
      </c>
      <c r="K573" s="22" t="s">
        <v>86</v>
      </c>
      <c r="L573" s="35" t="s">
        <v>5240</v>
      </c>
      <c r="M573" s="32" t="s">
        <v>91</v>
      </c>
    </row>
    <row r="574">
      <c r="A574" s="22" t="s">
        <v>1619</v>
      </c>
      <c r="B574" s="22" t="s">
        <v>5241</v>
      </c>
      <c r="C574" s="22" t="s">
        <v>5242</v>
      </c>
      <c r="D574" s="22" t="s">
        <v>1617</v>
      </c>
      <c r="E574" s="22">
        <v>1.0</v>
      </c>
      <c r="F574" s="22"/>
      <c r="G574" s="22" t="s">
        <v>82</v>
      </c>
      <c r="H574" s="26">
        <v>45997.0</v>
      </c>
      <c r="I574" s="22" t="s">
        <v>975</v>
      </c>
      <c r="J574" s="22" t="s">
        <v>1466</v>
      </c>
      <c r="K574" s="22" t="s">
        <v>1621</v>
      </c>
      <c r="L574" s="35" t="s">
        <v>5243</v>
      </c>
      <c r="M574" s="32" t="s">
        <v>95</v>
      </c>
    </row>
    <row r="575">
      <c r="A575" s="22" t="s">
        <v>5244</v>
      </c>
      <c r="B575" s="22" t="s">
        <v>5245</v>
      </c>
      <c r="C575" s="22" t="s">
        <v>5246</v>
      </c>
      <c r="D575" s="22" t="s">
        <v>4521</v>
      </c>
      <c r="E575" s="22">
        <v>1.0</v>
      </c>
      <c r="F575" s="22"/>
      <c r="G575" s="22" t="s">
        <v>294</v>
      </c>
      <c r="H575" s="26">
        <v>45992.0</v>
      </c>
      <c r="I575" s="22" t="s">
        <v>196</v>
      </c>
      <c r="J575" s="22" t="s">
        <v>4399</v>
      </c>
      <c r="K575" s="22" t="s">
        <v>4522</v>
      </c>
      <c r="L575" s="35" t="s">
        <v>5247</v>
      </c>
      <c r="M575" s="32" t="s">
        <v>54</v>
      </c>
    </row>
    <row r="576">
      <c r="A576" s="22" t="s">
        <v>1643</v>
      </c>
      <c r="B576" s="22" t="s">
        <v>4717</v>
      </c>
      <c r="C576" s="22" t="s">
        <v>5248</v>
      </c>
      <c r="D576" s="22" t="s">
        <v>1622</v>
      </c>
      <c r="E576" s="22">
        <v>1.0</v>
      </c>
      <c r="F576" s="22"/>
      <c r="G576" s="22" t="s">
        <v>82</v>
      </c>
      <c r="H576" s="26">
        <v>45997.0</v>
      </c>
      <c r="I576" s="22" t="s">
        <v>230</v>
      </c>
      <c r="J576" s="22" t="s">
        <v>1466</v>
      </c>
      <c r="K576" s="22" t="s">
        <v>1627</v>
      </c>
      <c r="L576" s="35" t="s">
        <v>5249</v>
      </c>
      <c r="M576" s="32" t="s">
        <v>175</v>
      </c>
    </row>
    <row r="577">
      <c r="A577" s="22" t="s">
        <v>1632</v>
      </c>
      <c r="B577" s="22" t="s">
        <v>5250</v>
      </c>
      <c r="C577" s="22" t="s">
        <v>5251</v>
      </c>
      <c r="D577" s="22" t="s">
        <v>503</v>
      </c>
      <c r="E577" s="22">
        <v>1.0</v>
      </c>
      <c r="F577" s="22"/>
      <c r="G577" s="22" t="s">
        <v>82</v>
      </c>
      <c r="H577" s="26">
        <v>45997.0</v>
      </c>
      <c r="I577" s="22" t="s">
        <v>1631</v>
      </c>
      <c r="J577" s="22" t="s">
        <v>341</v>
      </c>
      <c r="K577" s="22" t="s">
        <v>507</v>
      </c>
      <c r="L577" s="35" t="s">
        <v>5252</v>
      </c>
      <c r="M577" s="32" t="s">
        <v>54</v>
      </c>
    </row>
    <row r="578">
      <c r="A578" s="22" t="s">
        <v>1645</v>
      </c>
      <c r="B578" s="22" t="s">
        <v>3992</v>
      </c>
      <c r="C578" s="22" t="s">
        <v>5253</v>
      </c>
      <c r="D578" s="22" t="s">
        <v>885</v>
      </c>
      <c r="E578" s="22">
        <v>1.0</v>
      </c>
      <c r="F578" s="22"/>
      <c r="G578" s="22" t="s">
        <v>82</v>
      </c>
      <c r="H578" s="26">
        <v>45997.0</v>
      </c>
      <c r="I578" s="22" t="s">
        <v>181</v>
      </c>
      <c r="J578" s="22" t="s">
        <v>605</v>
      </c>
      <c r="K578" s="22" t="s">
        <v>890</v>
      </c>
      <c r="L578" s="35" t="s">
        <v>5254</v>
      </c>
      <c r="M578" s="32" t="s">
        <v>127</v>
      </c>
    </row>
    <row r="579">
      <c r="A579" s="22" t="s">
        <v>1647</v>
      </c>
      <c r="B579" s="22" t="s">
        <v>4648</v>
      </c>
      <c r="C579" s="22" t="s">
        <v>5255</v>
      </c>
      <c r="D579" s="22" t="s">
        <v>415</v>
      </c>
      <c r="E579" s="22">
        <v>1.0</v>
      </c>
      <c r="F579" s="22"/>
      <c r="G579" s="22" t="s">
        <v>82</v>
      </c>
      <c r="H579" s="26">
        <v>45997.0</v>
      </c>
      <c r="I579" s="22" t="s">
        <v>153</v>
      </c>
      <c r="J579" s="22" t="s">
        <v>377</v>
      </c>
      <c r="K579" s="22" t="s">
        <v>419</v>
      </c>
      <c r="L579" s="35" t="s">
        <v>5256</v>
      </c>
      <c r="M579" s="32" t="s">
        <v>91</v>
      </c>
    </row>
    <row r="580">
      <c r="A580" s="22" t="s">
        <v>1649</v>
      </c>
      <c r="B580" s="22" t="s">
        <v>4964</v>
      </c>
      <c r="C580" s="22" t="s">
        <v>5257</v>
      </c>
      <c r="D580" s="22" t="s">
        <v>714</v>
      </c>
      <c r="E580" s="22">
        <v>1.0</v>
      </c>
      <c r="F580" s="22"/>
      <c r="G580" s="22" t="s">
        <v>202</v>
      </c>
      <c r="H580" s="26">
        <v>45996.0</v>
      </c>
      <c r="I580" s="22" t="s">
        <v>153</v>
      </c>
      <c r="J580" s="22" t="s">
        <v>717</v>
      </c>
      <c r="K580" s="22" t="s">
        <v>720</v>
      </c>
      <c r="L580" s="35" t="s">
        <v>5258</v>
      </c>
      <c r="M580" s="32" t="s">
        <v>55</v>
      </c>
    </row>
    <row r="581">
      <c r="A581" s="22" t="s">
        <v>1652</v>
      </c>
      <c r="B581" s="22" t="s">
        <v>5236</v>
      </c>
      <c r="C581" s="22" t="s">
        <v>5259</v>
      </c>
      <c r="D581" s="22" t="s">
        <v>973</v>
      </c>
      <c r="E581" s="22">
        <v>1.0</v>
      </c>
      <c r="F581" s="22"/>
      <c r="G581" s="22" t="s">
        <v>273</v>
      </c>
      <c r="H581" s="26">
        <v>45998.0</v>
      </c>
      <c r="I581" s="22" t="s">
        <v>1624</v>
      </c>
      <c r="J581" s="22" t="s">
        <v>440</v>
      </c>
      <c r="K581" s="22" t="s">
        <v>978</v>
      </c>
      <c r="L581" s="35" t="s">
        <v>5260</v>
      </c>
      <c r="M581" s="32" t="s">
        <v>105</v>
      </c>
    </row>
    <row r="582">
      <c r="A582" s="22" t="s">
        <v>1654</v>
      </c>
      <c r="B582" s="22" t="s">
        <v>5261</v>
      </c>
      <c r="C582" s="22" t="s">
        <v>5262</v>
      </c>
      <c r="D582" s="22" t="s">
        <v>515</v>
      </c>
      <c r="E582" s="22">
        <v>1.0</v>
      </c>
      <c r="F582" s="22"/>
      <c r="G582" s="22" t="s">
        <v>273</v>
      </c>
      <c r="H582" s="26">
        <v>45998.0</v>
      </c>
      <c r="I582" s="22" t="s">
        <v>134</v>
      </c>
      <c r="J582" s="22" t="s">
        <v>472</v>
      </c>
      <c r="K582" s="22" t="s">
        <v>519</v>
      </c>
      <c r="L582" s="35" t="s">
        <v>5263</v>
      </c>
      <c r="M582" s="32" t="s">
        <v>55</v>
      </c>
    </row>
    <row r="583">
      <c r="A583" s="22" t="s">
        <v>1656</v>
      </c>
      <c r="B583" s="22" t="s">
        <v>3846</v>
      </c>
      <c r="C583" s="22" t="s">
        <v>5264</v>
      </c>
      <c r="D583" s="22" t="s">
        <v>108</v>
      </c>
      <c r="E583" s="22">
        <v>1.0</v>
      </c>
      <c r="F583" s="22"/>
      <c r="G583" s="22" t="s">
        <v>82</v>
      </c>
      <c r="H583" s="26">
        <v>45997.0</v>
      </c>
      <c r="I583" s="22" t="s">
        <v>211</v>
      </c>
      <c r="J583" s="22" t="s">
        <v>111</v>
      </c>
      <c r="K583" s="22" t="s">
        <v>114</v>
      </c>
      <c r="L583" s="35" t="s">
        <v>5265</v>
      </c>
      <c r="M583" s="32" t="s">
        <v>54</v>
      </c>
    </row>
    <row r="584">
      <c r="A584" s="22" t="s">
        <v>1743</v>
      </c>
      <c r="B584" s="22" t="s">
        <v>5266</v>
      </c>
      <c r="C584" s="22" t="s">
        <v>5267</v>
      </c>
      <c r="D584" s="22" t="s">
        <v>124</v>
      </c>
      <c r="E584" s="22">
        <v>1.0</v>
      </c>
      <c r="F584" s="22"/>
      <c r="G584" s="22" t="s">
        <v>273</v>
      </c>
      <c r="H584" s="26">
        <v>45998.0</v>
      </c>
      <c r="I584" s="22" t="s">
        <v>266</v>
      </c>
      <c r="J584" s="22" t="s">
        <v>83</v>
      </c>
      <c r="K584" s="22" t="s">
        <v>126</v>
      </c>
      <c r="L584" s="35" t="s">
        <v>5268</v>
      </c>
      <c r="M584" s="32" t="s">
        <v>127</v>
      </c>
    </row>
    <row r="585">
      <c r="A585" s="22" t="s">
        <v>1712</v>
      </c>
      <c r="B585" s="22" t="s">
        <v>5269</v>
      </c>
      <c r="C585" s="22" t="s">
        <v>5270</v>
      </c>
      <c r="D585" s="22" t="s">
        <v>1217</v>
      </c>
      <c r="E585" s="22">
        <v>1.0</v>
      </c>
      <c r="F585" s="22"/>
      <c r="G585" s="22" t="s">
        <v>287</v>
      </c>
      <c r="H585" s="26">
        <v>45994.0</v>
      </c>
      <c r="I585" s="22" t="s">
        <v>749</v>
      </c>
      <c r="J585" s="22" t="s">
        <v>605</v>
      </c>
      <c r="K585" s="22" t="s">
        <v>1219</v>
      </c>
      <c r="L585" s="35" t="s">
        <v>5271</v>
      </c>
      <c r="M585" s="32" t="s">
        <v>91</v>
      </c>
    </row>
    <row r="586">
      <c r="A586" s="22" t="s">
        <v>1665</v>
      </c>
      <c r="B586" s="22" t="s">
        <v>5272</v>
      </c>
      <c r="C586" s="22" t="s">
        <v>5273</v>
      </c>
      <c r="D586" s="22" t="s">
        <v>550</v>
      </c>
      <c r="E586" s="22">
        <v>1.0</v>
      </c>
      <c r="F586" s="22"/>
      <c r="G586" s="22" t="s">
        <v>82</v>
      </c>
      <c r="H586" s="26">
        <v>45997.0</v>
      </c>
      <c r="I586" s="22" t="s">
        <v>134</v>
      </c>
      <c r="J586" s="22" t="s">
        <v>377</v>
      </c>
      <c r="K586" s="22" t="s">
        <v>552</v>
      </c>
      <c r="L586" s="35" t="s">
        <v>5274</v>
      </c>
      <c r="M586" s="32" t="s">
        <v>95</v>
      </c>
    </row>
    <row r="587">
      <c r="A587" s="22" t="s">
        <v>1658</v>
      </c>
      <c r="B587" s="22" t="s">
        <v>5275</v>
      </c>
      <c r="C587" s="22" t="s">
        <v>5276</v>
      </c>
      <c r="D587" s="22" t="s">
        <v>1640</v>
      </c>
      <c r="E587" s="22">
        <v>1.0</v>
      </c>
      <c r="F587" s="22"/>
      <c r="G587" s="22" t="s">
        <v>82</v>
      </c>
      <c r="H587" s="26">
        <v>45997.0</v>
      </c>
      <c r="I587" s="22" t="s">
        <v>975</v>
      </c>
      <c r="J587" s="22" t="s">
        <v>1466</v>
      </c>
      <c r="K587" s="22" t="s">
        <v>1642</v>
      </c>
      <c r="L587" s="35" t="s">
        <v>5277</v>
      </c>
      <c r="M587" s="32" t="s">
        <v>127</v>
      </c>
    </row>
    <row r="588">
      <c r="A588" s="22" t="s">
        <v>1659</v>
      </c>
      <c r="B588" s="22" t="s">
        <v>4974</v>
      </c>
      <c r="C588" s="22" t="s">
        <v>5278</v>
      </c>
      <c r="D588" s="22" t="s">
        <v>1180</v>
      </c>
      <c r="E588" s="22">
        <v>1.0</v>
      </c>
      <c r="F588" s="22"/>
      <c r="G588" s="22" t="s">
        <v>273</v>
      </c>
      <c r="H588" s="26">
        <v>45998.0</v>
      </c>
      <c r="I588" s="22" t="s">
        <v>149</v>
      </c>
      <c r="J588" s="22" t="s">
        <v>623</v>
      </c>
      <c r="K588" s="22" t="s">
        <v>1182</v>
      </c>
      <c r="L588" s="35" t="s">
        <v>5279</v>
      </c>
      <c r="M588" s="32" t="s">
        <v>105</v>
      </c>
    </row>
    <row r="589">
      <c r="A589" s="22" t="s">
        <v>1660</v>
      </c>
      <c r="B589" s="22" t="s">
        <v>5280</v>
      </c>
      <c r="C589" s="22" t="s">
        <v>5281</v>
      </c>
      <c r="D589" s="22" t="s">
        <v>470</v>
      </c>
      <c r="E589" s="22">
        <v>1.0</v>
      </c>
      <c r="F589" s="22"/>
      <c r="G589" s="22" t="s">
        <v>82</v>
      </c>
      <c r="H589" s="26">
        <v>45997.0</v>
      </c>
      <c r="I589" s="22" t="s">
        <v>145</v>
      </c>
      <c r="J589" s="22" t="s">
        <v>472</v>
      </c>
      <c r="K589" s="22" t="s">
        <v>475</v>
      </c>
      <c r="L589" s="35" t="s">
        <v>5282</v>
      </c>
      <c r="M589" s="32" t="s">
        <v>91</v>
      </c>
    </row>
    <row r="590">
      <c r="A590" s="22" t="s">
        <v>1661</v>
      </c>
      <c r="B590" s="22" t="s">
        <v>3674</v>
      </c>
      <c r="C590" s="22" t="s">
        <v>5283</v>
      </c>
      <c r="D590" s="22" t="s">
        <v>92</v>
      </c>
      <c r="E590" s="22">
        <v>1.0</v>
      </c>
      <c r="F590" s="22"/>
      <c r="G590" s="22" t="s">
        <v>273</v>
      </c>
      <c r="H590" s="23">
        <v>45991.0</v>
      </c>
      <c r="I590" s="22" t="s">
        <v>149</v>
      </c>
      <c r="J590" s="22" t="s">
        <v>83</v>
      </c>
      <c r="K590" s="22" t="s">
        <v>94</v>
      </c>
      <c r="L590" s="35" t="s">
        <v>5284</v>
      </c>
      <c r="M590" s="32" t="s">
        <v>95</v>
      </c>
    </row>
    <row r="591">
      <c r="A591" s="22" t="s">
        <v>1663</v>
      </c>
      <c r="B591" s="22" t="s">
        <v>5285</v>
      </c>
      <c r="C591" s="22" t="s">
        <v>5286</v>
      </c>
      <c r="D591" s="22" t="s">
        <v>92</v>
      </c>
      <c r="E591" s="22">
        <v>1.0</v>
      </c>
      <c r="F591" s="22"/>
      <c r="G591" s="22" t="s">
        <v>82</v>
      </c>
      <c r="H591" s="26">
        <v>45997.0</v>
      </c>
      <c r="I591" s="22" t="s">
        <v>224</v>
      </c>
      <c r="J591" s="22" t="s">
        <v>83</v>
      </c>
      <c r="K591" s="22" t="s">
        <v>94</v>
      </c>
      <c r="L591" s="35" t="s">
        <v>5287</v>
      </c>
      <c r="M591" s="32" t="s">
        <v>95</v>
      </c>
    </row>
    <row r="592">
      <c r="A592" s="22" t="s">
        <v>1667</v>
      </c>
      <c r="B592" s="22" t="s">
        <v>5288</v>
      </c>
      <c r="C592" s="22" t="s">
        <v>5289</v>
      </c>
      <c r="D592" s="22" t="s">
        <v>96</v>
      </c>
      <c r="E592" s="22">
        <v>1.0</v>
      </c>
      <c r="F592" s="22"/>
      <c r="G592" s="22" t="s">
        <v>273</v>
      </c>
      <c r="H592" s="26">
        <v>45998.0</v>
      </c>
      <c r="I592" s="22" t="s">
        <v>149</v>
      </c>
      <c r="J592" s="22" t="s">
        <v>83</v>
      </c>
      <c r="K592" s="22" t="s">
        <v>98</v>
      </c>
      <c r="L592" s="35" t="s">
        <v>5290</v>
      </c>
      <c r="M592" s="32" t="s">
        <v>55</v>
      </c>
    </row>
    <row r="593">
      <c r="A593" s="22" t="s">
        <v>156</v>
      </c>
      <c r="B593" s="22" t="s">
        <v>4111</v>
      </c>
      <c r="C593" s="22" t="s">
        <v>5291</v>
      </c>
      <c r="D593" s="22" t="s">
        <v>80</v>
      </c>
      <c r="E593" s="22">
        <v>1.0</v>
      </c>
      <c r="F593" s="22"/>
      <c r="G593" s="22" t="s">
        <v>82</v>
      </c>
      <c r="H593" s="23">
        <v>45990.0</v>
      </c>
      <c r="I593" s="22" t="s">
        <v>134</v>
      </c>
      <c r="J593" s="22" t="s">
        <v>83</v>
      </c>
      <c r="K593" s="22" t="s">
        <v>86</v>
      </c>
      <c r="L593" s="35" t="s">
        <v>5292</v>
      </c>
      <c r="M593" s="32" t="s">
        <v>91</v>
      </c>
    </row>
    <row r="594">
      <c r="A594" s="22" t="s">
        <v>154</v>
      </c>
      <c r="B594" s="22" t="s">
        <v>3799</v>
      </c>
      <c r="C594" s="22" t="s">
        <v>5293</v>
      </c>
      <c r="D594" s="22" t="s">
        <v>80</v>
      </c>
      <c r="E594" s="22">
        <v>1.0</v>
      </c>
      <c r="F594" s="22"/>
      <c r="G594" s="22" t="s">
        <v>82</v>
      </c>
      <c r="H594" s="23">
        <v>45990.0</v>
      </c>
      <c r="I594" s="22" t="s">
        <v>153</v>
      </c>
      <c r="J594" s="22" t="s">
        <v>83</v>
      </c>
      <c r="K594" s="22" t="s">
        <v>86</v>
      </c>
      <c r="L594" s="35" t="s">
        <v>5294</v>
      </c>
      <c r="M594" s="32" t="s">
        <v>91</v>
      </c>
    </row>
    <row r="595">
      <c r="A595" s="22" t="s">
        <v>1669</v>
      </c>
      <c r="B595" s="22" t="s">
        <v>4935</v>
      </c>
      <c r="C595" s="22" t="s">
        <v>5295</v>
      </c>
      <c r="D595" s="22" t="s">
        <v>141</v>
      </c>
      <c r="E595" s="22">
        <v>1.0</v>
      </c>
      <c r="F595" s="22"/>
      <c r="G595" s="22" t="s">
        <v>273</v>
      </c>
      <c r="H595" s="26">
        <v>45998.0</v>
      </c>
      <c r="I595" s="22" t="s">
        <v>149</v>
      </c>
      <c r="J595" s="22" t="s">
        <v>83</v>
      </c>
      <c r="K595" s="22" t="s">
        <v>143</v>
      </c>
      <c r="L595" s="35" t="s">
        <v>5296</v>
      </c>
      <c r="M595" s="32" t="s">
        <v>54</v>
      </c>
    </row>
    <row r="596">
      <c r="A596" s="22" t="s">
        <v>1670</v>
      </c>
      <c r="B596" s="22" t="s">
        <v>5297</v>
      </c>
      <c r="C596" s="22" t="s">
        <v>5298</v>
      </c>
      <c r="D596" s="22" t="s">
        <v>602</v>
      </c>
      <c r="E596" s="22">
        <v>1.0</v>
      </c>
      <c r="F596" s="22"/>
      <c r="G596" s="22" t="s">
        <v>82</v>
      </c>
      <c r="H596" s="26">
        <v>45997.0</v>
      </c>
      <c r="I596" s="22" t="s">
        <v>149</v>
      </c>
      <c r="J596" s="22" t="s">
        <v>605</v>
      </c>
      <c r="K596" s="22" t="s">
        <v>608</v>
      </c>
      <c r="L596" s="35" t="s">
        <v>5299</v>
      </c>
      <c r="M596" s="32" t="s">
        <v>54</v>
      </c>
    </row>
    <row r="597">
      <c r="A597" s="22" t="s">
        <v>1672</v>
      </c>
      <c r="B597" s="22" t="s">
        <v>3849</v>
      </c>
      <c r="C597" s="22" t="s">
        <v>5300</v>
      </c>
      <c r="D597" s="22" t="s">
        <v>1265</v>
      </c>
      <c r="E597" s="22">
        <v>1.0</v>
      </c>
      <c r="F597" s="22"/>
      <c r="G597" s="22" t="s">
        <v>82</v>
      </c>
      <c r="H597" s="23">
        <v>46004.0</v>
      </c>
      <c r="I597" s="22" t="s">
        <v>219</v>
      </c>
      <c r="J597" s="22" t="s">
        <v>341</v>
      </c>
      <c r="K597" s="22" t="s">
        <v>1266</v>
      </c>
      <c r="L597" s="35" t="s">
        <v>5301</v>
      </c>
      <c r="M597" s="32" t="s">
        <v>127</v>
      </c>
    </row>
    <row r="598">
      <c r="A598" s="22" t="s">
        <v>1676</v>
      </c>
      <c r="B598" s="22" t="s">
        <v>4959</v>
      </c>
      <c r="C598" s="22" t="s">
        <v>5302</v>
      </c>
      <c r="D598" s="22" t="s">
        <v>1674</v>
      </c>
      <c r="E598" s="22">
        <v>1.0</v>
      </c>
      <c r="F598" s="22"/>
      <c r="G598" s="22" t="s">
        <v>273</v>
      </c>
      <c r="H598" s="26">
        <v>45998.0</v>
      </c>
      <c r="I598" s="22" t="s">
        <v>211</v>
      </c>
      <c r="J598" s="22" t="s">
        <v>440</v>
      </c>
      <c r="K598" s="22" t="s">
        <v>1678</v>
      </c>
      <c r="L598" s="35" t="s">
        <v>5303</v>
      </c>
      <c r="M598" s="32" t="s">
        <v>95</v>
      </c>
    </row>
    <row r="599">
      <c r="A599" s="22" t="s">
        <v>1679</v>
      </c>
      <c r="B599" s="22" t="s">
        <v>5304</v>
      </c>
      <c r="C599" s="22" t="s">
        <v>5305</v>
      </c>
      <c r="D599" s="22" t="s">
        <v>458</v>
      </c>
      <c r="E599" s="22">
        <v>1.0</v>
      </c>
      <c r="F599" s="22"/>
      <c r="G599" s="22" t="s">
        <v>82</v>
      </c>
      <c r="H599" s="26">
        <v>45997.0</v>
      </c>
      <c r="I599" s="22" t="s">
        <v>211</v>
      </c>
      <c r="J599" s="22" t="s">
        <v>341</v>
      </c>
      <c r="K599" s="22" t="s">
        <v>462</v>
      </c>
      <c r="L599" s="35" t="s">
        <v>5306</v>
      </c>
      <c r="M599" s="32" t="s">
        <v>91</v>
      </c>
    </row>
    <row r="600">
      <c r="A600" s="22" t="s">
        <v>1680</v>
      </c>
      <c r="B600" s="22" t="s">
        <v>5187</v>
      </c>
      <c r="C600" s="22" t="s">
        <v>5307</v>
      </c>
      <c r="D600" s="22" t="s">
        <v>778</v>
      </c>
      <c r="E600" s="22">
        <v>1.0</v>
      </c>
      <c r="F600" s="22"/>
      <c r="G600" s="22" t="s">
        <v>273</v>
      </c>
      <c r="H600" s="26">
        <v>45998.0</v>
      </c>
      <c r="I600" s="22" t="s">
        <v>187</v>
      </c>
      <c r="J600" s="22" t="s">
        <v>440</v>
      </c>
      <c r="K600" s="22" t="s">
        <v>780</v>
      </c>
      <c r="L600" s="35" t="s">
        <v>5308</v>
      </c>
      <c r="M600" s="32" t="s">
        <v>127</v>
      </c>
    </row>
    <row r="601">
      <c r="A601" s="22" t="s">
        <v>1681</v>
      </c>
      <c r="B601" s="22" t="s">
        <v>3992</v>
      </c>
      <c r="C601" s="22" t="s">
        <v>5041</v>
      </c>
      <c r="D601" s="22" t="s">
        <v>569</v>
      </c>
      <c r="E601" s="22">
        <v>1.0</v>
      </c>
      <c r="F601" s="22"/>
      <c r="G601" s="22" t="s">
        <v>82</v>
      </c>
      <c r="H601" s="26">
        <v>45997.0</v>
      </c>
      <c r="I601" s="22" t="s">
        <v>134</v>
      </c>
      <c r="J601" s="22" t="s">
        <v>472</v>
      </c>
      <c r="K601" s="22" t="s">
        <v>571</v>
      </c>
      <c r="L601" s="35" t="s">
        <v>5309</v>
      </c>
      <c r="M601" s="32" t="s">
        <v>105</v>
      </c>
    </row>
    <row r="602">
      <c r="A602" s="22" t="s">
        <v>1625</v>
      </c>
      <c r="B602" s="22" t="s">
        <v>3883</v>
      </c>
      <c r="C602" s="22" t="s">
        <v>5310</v>
      </c>
      <c r="D602" s="22" t="s">
        <v>1622</v>
      </c>
      <c r="E602" s="22">
        <v>1.0</v>
      </c>
      <c r="F602" s="22"/>
      <c r="G602" s="22" t="s">
        <v>82</v>
      </c>
      <c r="H602" s="26">
        <v>45997.0</v>
      </c>
      <c r="I602" s="22" t="s">
        <v>1624</v>
      </c>
      <c r="J602" s="22" t="s">
        <v>1466</v>
      </c>
      <c r="K602" s="22" t="s">
        <v>1627</v>
      </c>
      <c r="L602" s="35" t="s">
        <v>5311</v>
      </c>
      <c r="M602" s="32" t="s">
        <v>175</v>
      </c>
    </row>
    <row r="603">
      <c r="A603" s="22" t="s">
        <v>1641</v>
      </c>
      <c r="B603" s="22" t="s">
        <v>4177</v>
      </c>
      <c r="C603" s="22" t="s">
        <v>5312</v>
      </c>
      <c r="D603" s="22" t="s">
        <v>1640</v>
      </c>
      <c r="E603" s="22">
        <v>1.0</v>
      </c>
      <c r="F603" s="22"/>
      <c r="G603" s="22" t="s">
        <v>82</v>
      </c>
      <c r="H603" s="26">
        <v>45997.0</v>
      </c>
      <c r="I603" s="22" t="s">
        <v>230</v>
      </c>
      <c r="J603" s="22" t="s">
        <v>1466</v>
      </c>
      <c r="K603" s="22" t="s">
        <v>1642</v>
      </c>
      <c r="L603" s="35" t="s">
        <v>5313</v>
      </c>
      <c r="M603" s="32" t="s">
        <v>127</v>
      </c>
    </row>
    <row r="604">
      <c r="A604" s="22" t="s">
        <v>1637</v>
      </c>
      <c r="B604" s="22" t="s">
        <v>5261</v>
      </c>
      <c r="C604" s="22" t="s">
        <v>5314</v>
      </c>
      <c r="D604" s="22" t="s">
        <v>1634</v>
      </c>
      <c r="E604" s="22">
        <v>1.0</v>
      </c>
      <c r="F604" s="22"/>
      <c r="G604" s="22" t="s">
        <v>82</v>
      </c>
      <c r="H604" s="26">
        <v>45997.0</v>
      </c>
      <c r="I604" s="22" t="s">
        <v>1636</v>
      </c>
      <c r="J604" s="22" t="s">
        <v>1466</v>
      </c>
      <c r="K604" s="22" t="s">
        <v>1639</v>
      </c>
      <c r="L604" s="35" t="s">
        <v>5315</v>
      </c>
      <c r="M604" s="32" t="s">
        <v>105</v>
      </c>
    </row>
    <row r="605">
      <c r="A605" s="22" t="s">
        <v>1696</v>
      </c>
      <c r="B605" s="22" t="s">
        <v>5316</v>
      </c>
      <c r="C605" s="22" t="s">
        <v>5317</v>
      </c>
      <c r="D605" s="22" t="s">
        <v>837</v>
      </c>
      <c r="E605" s="22">
        <v>1.0</v>
      </c>
      <c r="F605" s="22"/>
      <c r="G605" s="22" t="s">
        <v>82</v>
      </c>
      <c r="H605" s="26">
        <v>45997.0</v>
      </c>
      <c r="I605" s="22" t="s">
        <v>187</v>
      </c>
      <c r="J605" s="22" t="s">
        <v>698</v>
      </c>
      <c r="K605" s="22" t="s">
        <v>839</v>
      </c>
      <c r="L605" s="35" t="s">
        <v>5318</v>
      </c>
      <c r="M605" s="32" t="s">
        <v>105</v>
      </c>
    </row>
    <row r="606">
      <c r="A606" s="22" t="s">
        <v>1688</v>
      </c>
      <c r="B606" s="22" t="s">
        <v>5319</v>
      </c>
      <c r="C606" s="22" t="s">
        <v>5320</v>
      </c>
      <c r="D606" s="22" t="s">
        <v>602</v>
      </c>
      <c r="E606" s="22">
        <v>1.0</v>
      </c>
      <c r="F606" s="22"/>
      <c r="G606" s="22" t="s">
        <v>82</v>
      </c>
      <c r="H606" s="26">
        <v>45997.0</v>
      </c>
      <c r="I606" s="22" t="s">
        <v>302</v>
      </c>
      <c r="J606" s="22" t="s">
        <v>605</v>
      </c>
      <c r="K606" s="22" t="s">
        <v>608</v>
      </c>
      <c r="L606" s="35" t="s">
        <v>5321</v>
      </c>
      <c r="M606" s="32" t="s">
        <v>54</v>
      </c>
    </row>
    <row r="607">
      <c r="A607" s="22" t="s">
        <v>1691</v>
      </c>
      <c r="B607" s="22" t="s">
        <v>5322</v>
      </c>
      <c r="C607" s="22" t="s">
        <v>5323</v>
      </c>
      <c r="D607" s="22" t="s">
        <v>276</v>
      </c>
      <c r="E607" s="22">
        <v>1.0</v>
      </c>
      <c r="F607" s="22"/>
      <c r="G607" s="22" t="s">
        <v>273</v>
      </c>
      <c r="H607" s="26">
        <v>45998.0</v>
      </c>
      <c r="I607" s="22" t="s">
        <v>187</v>
      </c>
      <c r="J607" s="22" t="s">
        <v>278</v>
      </c>
      <c r="K607" s="22" t="s">
        <v>281</v>
      </c>
      <c r="L607" s="35" t="s">
        <v>5324</v>
      </c>
      <c r="M607" s="32" t="s">
        <v>55</v>
      </c>
    </row>
    <row r="608">
      <c r="A608" s="22" t="s">
        <v>1693</v>
      </c>
      <c r="B608" s="22" t="s">
        <v>5325</v>
      </c>
      <c r="C608" s="22" t="s">
        <v>5326</v>
      </c>
      <c r="D608" s="22" t="s">
        <v>529</v>
      </c>
      <c r="E608" s="22">
        <v>1.0</v>
      </c>
      <c r="F608" s="22"/>
      <c r="G608" s="22" t="s">
        <v>82</v>
      </c>
      <c r="H608" s="26">
        <v>45997.0</v>
      </c>
      <c r="I608" s="22" t="s">
        <v>149</v>
      </c>
      <c r="J608" s="22" t="s">
        <v>472</v>
      </c>
      <c r="K608" s="22" t="s">
        <v>533</v>
      </c>
      <c r="L608" s="35" t="s">
        <v>5327</v>
      </c>
      <c r="M608" s="32" t="s">
        <v>127</v>
      </c>
    </row>
    <row r="609">
      <c r="A609" s="22" t="s">
        <v>1682</v>
      </c>
      <c r="B609" s="22" t="s">
        <v>4762</v>
      </c>
      <c r="C609" s="22" t="s">
        <v>5328</v>
      </c>
      <c r="D609" s="22" t="s">
        <v>495</v>
      </c>
      <c r="E609" s="22">
        <v>1.0</v>
      </c>
      <c r="F609" s="22"/>
      <c r="G609" s="22" t="s">
        <v>273</v>
      </c>
      <c r="H609" s="23">
        <v>45991.0</v>
      </c>
      <c r="I609" s="22" t="s">
        <v>248</v>
      </c>
      <c r="J609" s="22" t="s">
        <v>329</v>
      </c>
      <c r="K609" s="22" t="s">
        <v>500</v>
      </c>
      <c r="L609" s="35" t="s">
        <v>5329</v>
      </c>
      <c r="M609" s="32" t="s">
        <v>54</v>
      </c>
    </row>
    <row r="610">
      <c r="A610" s="22" t="s">
        <v>1695</v>
      </c>
      <c r="B610" s="22" t="s">
        <v>5330</v>
      </c>
      <c r="C610" s="22" t="s">
        <v>5331</v>
      </c>
      <c r="D610" s="22" t="s">
        <v>696</v>
      </c>
      <c r="E610" s="22">
        <v>1.0</v>
      </c>
      <c r="F610" s="22"/>
      <c r="G610" s="22" t="s">
        <v>82</v>
      </c>
      <c r="H610" s="26">
        <v>45997.0</v>
      </c>
      <c r="I610" s="22" t="s">
        <v>187</v>
      </c>
      <c r="J610" s="22" t="s">
        <v>698</v>
      </c>
      <c r="K610" s="22" t="s">
        <v>701</v>
      </c>
      <c r="L610" s="35" t="s">
        <v>5332</v>
      </c>
      <c r="M610" s="32" t="s">
        <v>55</v>
      </c>
    </row>
    <row r="611">
      <c r="A611" s="22" t="s">
        <v>1741</v>
      </c>
      <c r="B611" s="22" t="s">
        <v>5333</v>
      </c>
      <c r="C611" s="22" t="s">
        <v>5334</v>
      </c>
      <c r="D611" s="22" t="s">
        <v>470</v>
      </c>
      <c r="E611" s="22">
        <v>1.0</v>
      </c>
      <c r="F611" s="22"/>
      <c r="G611" s="22" t="s">
        <v>82</v>
      </c>
      <c r="H611" s="26">
        <v>45997.0</v>
      </c>
      <c r="I611" s="22" t="s">
        <v>134</v>
      </c>
      <c r="J611" s="22" t="s">
        <v>472</v>
      </c>
      <c r="K611" s="22" t="s">
        <v>475</v>
      </c>
      <c r="L611" s="35" t="s">
        <v>5335</v>
      </c>
      <c r="M611" s="32" t="s">
        <v>91</v>
      </c>
    </row>
    <row r="612">
      <c r="A612" s="22" t="s">
        <v>1697</v>
      </c>
      <c r="B612" s="22" t="s">
        <v>5330</v>
      </c>
      <c r="C612" s="22" t="s">
        <v>5331</v>
      </c>
      <c r="D612" s="22" t="s">
        <v>696</v>
      </c>
      <c r="E612" s="22">
        <v>1.0</v>
      </c>
      <c r="F612" s="22"/>
      <c r="G612" s="22" t="s">
        <v>82</v>
      </c>
      <c r="H612" s="26">
        <v>45997.0</v>
      </c>
      <c r="I612" s="22" t="s">
        <v>187</v>
      </c>
      <c r="J612" s="22" t="s">
        <v>698</v>
      </c>
      <c r="K612" s="22" t="s">
        <v>701</v>
      </c>
      <c r="L612" s="35" t="s">
        <v>5336</v>
      </c>
      <c r="M612" s="32" t="s">
        <v>55</v>
      </c>
    </row>
    <row r="613">
      <c r="A613" s="22" t="s">
        <v>1698</v>
      </c>
      <c r="B613" s="22" t="s">
        <v>3808</v>
      </c>
      <c r="C613" s="22" t="s">
        <v>5337</v>
      </c>
      <c r="D613" s="22" t="s">
        <v>1464</v>
      </c>
      <c r="E613" s="22">
        <v>1.0</v>
      </c>
      <c r="F613" s="22"/>
      <c r="G613" s="22" t="s">
        <v>82</v>
      </c>
      <c r="H613" s="26">
        <v>45997.0</v>
      </c>
      <c r="I613" s="22" t="s">
        <v>975</v>
      </c>
      <c r="J613" s="22" t="s">
        <v>1466</v>
      </c>
      <c r="K613" s="22" t="s">
        <v>1469</v>
      </c>
      <c r="L613" s="35" t="s">
        <v>5338</v>
      </c>
      <c r="M613" s="32" t="s">
        <v>55</v>
      </c>
    </row>
    <row r="614">
      <c r="A614" s="22" t="s">
        <v>1700</v>
      </c>
      <c r="B614" s="22" t="s">
        <v>4827</v>
      </c>
      <c r="C614" s="22" t="s">
        <v>5339</v>
      </c>
      <c r="D614" s="22" t="s">
        <v>732</v>
      </c>
      <c r="E614" s="22">
        <v>1.0</v>
      </c>
      <c r="F614" s="22"/>
      <c r="G614" s="22" t="s">
        <v>273</v>
      </c>
      <c r="H614" s="26">
        <v>45998.0</v>
      </c>
      <c r="I614" s="22" t="s">
        <v>1624</v>
      </c>
      <c r="J614" s="22" t="s">
        <v>634</v>
      </c>
      <c r="K614" s="22" t="s">
        <v>737</v>
      </c>
      <c r="L614" s="35" t="s">
        <v>5340</v>
      </c>
      <c r="M614" s="32" t="s">
        <v>105</v>
      </c>
    </row>
    <row r="615">
      <c r="A615" s="22" t="s">
        <v>1702</v>
      </c>
      <c r="B615" s="22" t="s">
        <v>5341</v>
      </c>
      <c r="C615" s="22" t="s">
        <v>5342</v>
      </c>
      <c r="D615" s="22" t="s">
        <v>689</v>
      </c>
      <c r="E615" s="22">
        <v>1.0</v>
      </c>
      <c r="F615" s="22"/>
      <c r="G615" s="22" t="s">
        <v>82</v>
      </c>
      <c r="H615" s="26">
        <v>45997.0</v>
      </c>
      <c r="I615" s="22" t="s">
        <v>153</v>
      </c>
      <c r="J615" s="22" t="s">
        <v>377</v>
      </c>
      <c r="K615" s="22" t="s">
        <v>691</v>
      </c>
      <c r="L615" s="35" t="s">
        <v>5343</v>
      </c>
      <c r="M615" s="32" t="s">
        <v>175</v>
      </c>
    </row>
    <row r="616">
      <c r="A616" s="22" t="s">
        <v>1704</v>
      </c>
      <c r="B616" s="22" t="s">
        <v>3846</v>
      </c>
      <c r="C616" s="22" t="s">
        <v>5344</v>
      </c>
      <c r="D616" s="22" t="s">
        <v>1703</v>
      </c>
      <c r="E616" s="22">
        <v>1.0</v>
      </c>
      <c r="F616" s="22"/>
      <c r="G616" s="22" t="s">
        <v>82</v>
      </c>
      <c r="H616" s="26">
        <v>45997.0</v>
      </c>
      <c r="I616" s="22" t="s">
        <v>153</v>
      </c>
      <c r="J616" s="22" t="s">
        <v>278</v>
      </c>
      <c r="K616" s="22" t="s">
        <v>1705</v>
      </c>
      <c r="L616" s="35" t="s">
        <v>5345</v>
      </c>
      <c r="M616" s="32" t="s">
        <v>105</v>
      </c>
    </row>
    <row r="617">
      <c r="A617" s="22" t="s">
        <v>1706</v>
      </c>
      <c r="B617" s="22" t="s">
        <v>5346</v>
      </c>
      <c r="C617" s="22" t="s">
        <v>5347</v>
      </c>
      <c r="D617" s="22" t="s">
        <v>580</v>
      </c>
      <c r="E617" s="22">
        <v>1.0</v>
      </c>
      <c r="F617" s="22"/>
      <c r="G617" s="22" t="s">
        <v>82</v>
      </c>
      <c r="H617" s="26">
        <v>45997.0</v>
      </c>
      <c r="I617" s="22" t="s">
        <v>134</v>
      </c>
      <c r="J617" s="22" t="s">
        <v>303</v>
      </c>
      <c r="K617" s="22" t="s">
        <v>583</v>
      </c>
      <c r="L617" s="35" t="s">
        <v>5348</v>
      </c>
      <c r="M617" s="32" t="s">
        <v>175</v>
      </c>
    </row>
    <row r="618">
      <c r="A618" s="22" t="s">
        <v>1707</v>
      </c>
      <c r="B618" s="22" t="s">
        <v>5349</v>
      </c>
      <c r="C618" s="22" t="s">
        <v>5350</v>
      </c>
      <c r="D618" s="22" t="s">
        <v>584</v>
      </c>
      <c r="E618" s="22">
        <v>1.0</v>
      </c>
      <c r="F618" s="22"/>
      <c r="G618" s="22" t="s">
        <v>82</v>
      </c>
      <c r="H618" s="26">
        <v>45997.0</v>
      </c>
      <c r="I618" s="22" t="s">
        <v>153</v>
      </c>
      <c r="J618" s="22" t="s">
        <v>377</v>
      </c>
      <c r="K618" s="22" t="s">
        <v>586</v>
      </c>
      <c r="L618" s="35" t="s">
        <v>5351</v>
      </c>
      <c r="M618" s="32" t="s">
        <v>105</v>
      </c>
    </row>
    <row r="619">
      <c r="A619" s="22" t="s">
        <v>1708</v>
      </c>
      <c r="B619" s="22" t="s">
        <v>5127</v>
      </c>
      <c r="C619" s="22" t="s">
        <v>5352</v>
      </c>
      <c r="D619" s="22" t="s">
        <v>515</v>
      </c>
      <c r="E619" s="22">
        <v>1.0</v>
      </c>
      <c r="F619" s="22"/>
      <c r="G619" s="22" t="s">
        <v>82</v>
      </c>
      <c r="H619" s="26">
        <v>45997.0</v>
      </c>
      <c r="I619" s="22" t="s">
        <v>134</v>
      </c>
      <c r="J619" s="22" t="s">
        <v>472</v>
      </c>
      <c r="K619" s="22" t="s">
        <v>519</v>
      </c>
      <c r="L619" s="35" t="s">
        <v>5353</v>
      </c>
      <c r="M619" s="32" t="s">
        <v>55</v>
      </c>
    </row>
    <row r="620">
      <c r="A620" s="22" t="s">
        <v>1710</v>
      </c>
      <c r="B620" s="22" t="s">
        <v>5354</v>
      </c>
      <c r="C620" s="22" t="s">
        <v>5355</v>
      </c>
      <c r="D620" s="22" t="s">
        <v>529</v>
      </c>
      <c r="E620" s="22">
        <v>1.0</v>
      </c>
      <c r="F620" s="22"/>
      <c r="G620" s="22" t="s">
        <v>273</v>
      </c>
      <c r="H620" s="26">
        <v>45998.0</v>
      </c>
      <c r="I620" s="22" t="s">
        <v>252</v>
      </c>
      <c r="J620" s="22" t="s">
        <v>472</v>
      </c>
      <c r="K620" s="22" t="s">
        <v>533</v>
      </c>
      <c r="L620" s="35" t="s">
        <v>5356</v>
      </c>
      <c r="M620" s="32" t="s">
        <v>127</v>
      </c>
    </row>
    <row r="621">
      <c r="A621" s="22" t="s">
        <v>1694</v>
      </c>
      <c r="B621" s="22" t="s">
        <v>5357</v>
      </c>
      <c r="C621" s="22" t="s">
        <v>5358</v>
      </c>
      <c r="D621" s="22" t="s">
        <v>595</v>
      </c>
      <c r="E621" s="22">
        <v>1.0</v>
      </c>
      <c r="F621" s="22"/>
      <c r="G621" s="22" t="s">
        <v>273</v>
      </c>
      <c r="H621" s="26">
        <v>45998.0</v>
      </c>
      <c r="I621" s="22" t="s">
        <v>153</v>
      </c>
      <c r="J621" s="22" t="s">
        <v>369</v>
      </c>
      <c r="K621" s="22" t="s">
        <v>599</v>
      </c>
      <c r="L621" s="35" t="s">
        <v>5359</v>
      </c>
      <c r="M621" s="32" t="s">
        <v>127</v>
      </c>
    </row>
    <row r="622">
      <c r="A622" s="22" t="s">
        <v>1713</v>
      </c>
      <c r="B622" s="22" t="s">
        <v>4509</v>
      </c>
      <c r="C622" s="22" t="s">
        <v>5360</v>
      </c>
      <c r="D622" s="22" t="s">
        <v>664</v>
      </c>
      <c r="E622" s="22">
        <v>1.0</v>
      </c>
      <c r="F622" s="22"/>
      <c r="G622" s="22" t="s">
        <v>82</v>
      </c>
      <c r="H622" s="26">
        <v>45997.0</v>
      </c>
      <c r="I622" s="22" t="s">
        <v>134</v>
      </c>
      <c r="J622" s="22" t="s">
        <v>472</v>
      </c>
      <c r="K622" s="22" t="s">
        <v>668</v>
      </c>
      <c r="L622" s="35" t="s">
        <v>5361</v>
      </c>
      <c r="M622" s="32" t="s">
        <v>175</v>
      </c>
    </row>
    <row r="623">
      <c r="A623" s="22" t="s">
        <v>1715</v>
      </c>
      <c r="B623" s="22" t="s">
        <v>4019</v>
      </c>
      <c r="C623" s="22" t="s">
        <v>5362</v>
      </c>
      <c r="D623" s="22" t="s">
        <v>185</v>
      </c>
      <c r="E623" s="22">
        <v>1.0</v>
      </c>
      <c r="F623" s="22"/>
      <c r="G623" s="22" t="s">
        <v>82</v>
      </c>
      <c r="H623" s="26">
        <v>45997.0</v>
      </c>
      <c r="I623" s="22" t="s">
        <v>168</v>
      </c>
      <c r="J623" s="22" t="s">
        <v>111</v>
      </c>
      <c r="K623" s="22" t="s">
        <v>190</v>
      </c>
      <c r="L623" s="35" t="s">
        <v>5363</v>
      </c>
      <c r="M623" s="32" t="s">
        <v>95</v>
      </c>
    </row>
    <row r="624">
      <c r="A624" s="22" t="s">
        <v>1718</v>
      </c>
      <c r="B624" s="22" t="s">
        <v>5364</v>
      </c>
      <c r="C624" s="22" t="s">
        <v>5365</v>
      </c>
      <c r="D624" s="22" t="s">
        <v>696</v>
      </c>
      <c r="E624" s="22">
        <v>1.0</v>
      </c>
      <c r="F624" s="22"/>
      <c r="G624" s="22" t="s">
        <v>82</v>
      </c>
      <c r="H624" s="26">
        <v>45997.0</v>
      </c>
      <c r="I624" s="22" t="s">
        <v>970</v>
      </c>
      <c r="J624" s="22" t="s">
        <v>698</v>
      </c>
      <c r="K624" s="22" t="s">
        <v>701</v>
      </c>
      <c r="L624" s="35" t="s">
        <v>5366</v>
      </c>
      <c r="M624" s="32" t="s">
        <v>55</v>
      </c>
    </row>
    <row r="625">
      <c r="A625" s="22" t="s">
        <v>1720</v>
      </c>
      <c r="B625" s="22" t="s">
        <v>3825</v>
      </c>
      <c r="C625" s="22" t="s">
        <v>5367</v>
      </c>
      <c r="D625" s="22" t="s">
        <v>1423</v>
      </c>
      <c r="E625" s="22">
        <v>1.0</v>
      </c>
      <c r="F625" s="22"/>
      <c r="G625" s="22" t="s">
        <v>202</v>
      </c>
      <c r="H625" s="26">
        <v>45996.0</v>
      </c>
      <c r="I625" s="22" t="s">
        <v>153</v>
      </c>
      <c r="J625" s="22" t="s">
        <v>717</v>
      </c>
      <c r="K625" s="22" t="s">
        <v>1427</v>
      </c>
      <c r="L625" s="35" t="s">
        <v>5368</v>
      </c>
      <c r="M625" s="32" t="s">
        <v>95</v>
      </c>
    </row>
    <row r="626">
      <c r="A626" s="22" t="s">
        <v>1721</v>
      </c>
      <c r="B626" s="22" t="s">
        <v>5369</v>
      </c>
      <c r="C626" s="22" t="s">
        <v>5370</v>
      </c>
      <c r="D626" s="22" t="s">
        <v>845</v>
      </c>
      <c r="E626" s="22">
        <v>1.0</v>
      </c>
      <c r="F626" s="22"/>
      <c r="G626" s="22" t="s">
        <v>82</v>
      </c>
      <c r="H626" s="26">
        <v>45997.0</v>
      </c>
      <c r="I626" s="22" t="s">
        <v>134</v>
      </c>
      <c r="J626" s="22" t="s">
        <v>451</v>
      </c>
      <c r="K626" s="22" t="s">
        <v>847</v>
      </c>
      <c r="L626" s="35" t="s">
        <v>5371</v>
      </c>
      <c r="M626" s="32" t="s">
        <v>55</v>
      </c>
    </row>
    <row r="627">
      <c r="A627" s="22" t="s">
        <v>1722</v>
      </c>
      <c r="B627" s="22" t="s">
        <v>5372</v>
      </c>
      <c r="C627" s="22" t="s">
        <v>5373</v>
      </c>
      <c r="D627" s="22" t="s">
        <v>560</v>
      </c>
      <c r="E627" s="22">
        <v>1.0</v>
      </c>
      <c r="F627" s="22"/>
      <c r="G627" s="22" t="s">
        <v>273</v>
      </c>
      <c r="H627" s="23">
        <v>45991.0</v>
      </c>
      <c r="I627" s="22" t="s">
        <v>149</v>
      </c>
      <c r="J627" s="22" t="s">
        <v>356</v>
      </c>
      <c r="K627" s="22" t="s">
        <v>563</v>
      </c>
      <c r="L627" s="35" t="s">
        <v>5374</v>
      </c>
      <c r="M627" s="32" t="s">
        <v>91</v>
      </c>
    </row>
    <row r="628">
      <c r="A628" s="22" t="s">
        <v>1723</v>
      </c>
      <c r="B628" s="22" t="s">
        <v>5375</v>
      </c>
      <c r="C628" s="22" t="s">
        <v>5376</v>
      </c>
      <c r="D628" s="22" t="s">
        <v>1617</v>
      </c>
      <c r="E628" s="22">
        <v>1.0</v>
      </c>
      <c r="F628" s="22"/>
      <c r="G628" s="22" t="s">
        <v>82</v>
      </c>
      <c r="H628" s="26">
        <v>45997.0</v>
      </c>
      <c r="I628" s="22" t="s">
        <v>975</v>
      </c>
      <c r="J628" s="22" t="s">
        <v>1466</v>
      </c>
      <c r="K628" s="22" t="s">
        <v>1621</v>
      </c>
      <c r="L628" s="35" t="s">
        <v>5377</v>
      </c>
      <c r="M628" s="32" t="s">
        <v>95</v>
      </c>
    </row>
    <row r="629">
      <c r="A629" s="22" t="s">
        <v>1725</v>
      </c>
      <c r="B629" s="22" t="s">
        <v>5014</v>
      </c>
      <c r="C629" s="22" t="s">
        <v>5378</v>
      </c>
      <c r="D629" s="22" t="s">
        <v>1724</v>
      </c>
      <c r="E629" s="22">
        <v>1.0</v>
      </c>
      <c r="F629" s="22"/>
      <c r="G629" s="22" t="s">
        <v>273</v>
      </c>
      <c r="H629" s="26">
        <v>45998.0</v>
      </c>
      <c r="I629" s="22" t="s">
        <v>138</v>
      </c>
      <c r="J629" s="22" t="s">
        <v>369</v>
      </c>
      <c r="K629" s="22" t="s">
        <v>1726</v>
      </c>
      <c r="L629" s="35" t="s">
        <v>5379</v>
      </c>
      <c r="M629" s="32" t="s">
        <v>175</v>
      </c>
    </row>
    <row r="630">
      <c r="A630" s="22" t="s">
        <v>1727</v>
      </c>
      <c r="B630" s="22" t="s">
        <v>5380</v>
      </c>
      <c r="C630" s="22" t="s">
        <v>5381</v>
      </c>
      <c r="D630" s="22" t="s">
        <v>503</v>
      </c>
      <c r="E630" s="22">
        <v>1.0</v>
      </c>
      <c r="F630" s="22"/>
      <c r="G630" s="22" t="s">
        <v>82</v>
      </c>
      <c r="H630" s="23">
        <v>46004.0</v>
      </c>
      <c r="I630" s="22" t="s">
        <v>211</v>
      </c>
      <c r="J630" s="22" t="s">
        <v>341</v>
      </c>
      <c r="K630" s="22" t="s">
        <v>507</v>
      </c>
      <c r="L630" s="35" t="s">
        <v>5382</v>
      </c>
      <c r="M630" s="32" t="s">
        <v>54</v>
      </c>
    </row>
    <row r="631">
      <c r="A631" s="22" t="s">
        <v>1728</v>
      </c>
      <c r="B631" s="22" t="s">
        <v>5178</v>
      </c>
      <c r="C631" s="22" t="s">
        <v>5383</v>
      </c>
      <c r="D631" s="22" t="s">
        <v>1048</v>
      </c>
      <c r="E631" s="22">
        <v>1.0</v>
      </c>
      <c r="F631" s="22"/>
      <c r="G631" s="22" t="s">
        <v>273</v>
      </c>
      <c r="H631" s="26">
        <v>45998.0</v>
      </c>
      <c r="I631" s="22" t="s">
        <v>1624</v>
      </c>
      <c r="J631" s="22" t="s">
        <v>440</v>
      </c>
      <c r="K631" s="22" t="s">
        <v>1052</v>
      </c>
      <c r="L631" s="35" t="s">
        <v>5384</v>
      </c>
      <c r="M631" s="32" t="s">
        <v>54</v>
      </c>
    </row>
    <row r="632">
      <c r="A632" s="22" t="s">
        <v>1730</v>
      </c>
      <c r="B632" s="22" t="s">
        <v>5385</v>
      </c>
      <c r="C632" s="22" t="s">
        <v>3731</v>
      </c>
      <c r="D632" s="22" t="s">
        <v>96</v>
      </c>
      <c r="E632" s="22">
        <v>1.0</v>
      </c>
      <c r="F632" s="22"/>
      <c r="G632" s="22" t="s">
        <v>1284</v>
      </c>
      <c r="H632" s="26">
        <v>45993.0</v>
      </c>
      <c r="I632" s="22" t="s">
        <v>196</v>
      </c>
      <c r="J632" s="22" t="s">
        <v>83</v>
      </c>
      <c r="K632" s="22" t="s">
        <v>98</v>
      </c>
      <c r="L632" s="35" t="s">
        <v>5386</v>
      </c>
      <c r="M632" s="32" t="s">
        <v>55</v>
      </c>
    </row>
    <row r="633">
      <c r="A633" s="22" t="s">
        <v>157</v>
      </c>
      <c r="B633" s="22" t="s">
        <v>5387</v>
      </c>
      <c r="C633" s="22" t="s">
        <v>5388</v>
      </c>
      <c r="D633" s="22" t="s">
        <v>99</v>
      </c>
      <c r="E633" s="22">
        <v>1.0</v>
      </c>
      <c r="F633" s="22"/>
      <c r="G633" s="22" t="s">
        <v>82</v>
      </c>
      <c r="H633" s="23">
        <v>45990.0</v>
      </c>
      <c r="I633" s="22" t="s">
        <v>149</v>
      </c>
      <c r="J633" s="22" t="s">
        <v>83</v>
      </c>
      <c r="K633" s="22" t="s">
        <v>102</v>
      </c>
      <c r="L633" s="35" t="s">
        <v>5389</v>
      </c>
      <c r="M633" s="32" t="s">
        <v>105</v>
      </c>
    </row>
    <row r="634">
      <c r="A634" s="22" t="s">
        <v>1684</v>
      </c>
      <c r="B634" s="22" t="s">
        <v>5390</v>
      </c>
      <c r="C634" s="22" t="s">
        <v>5391</v>
      </c>
      <c r="D634" s="22" t="s">
        <v>449</v>
      </c>
      <c r="E634" s="22">
        <v>1.0</v>
      </c>
      <c r="F634" s="22"/>
      <c r="G634" s="22" t="s">
        <v>273</v>
      </c>
      <c r="H634" s="26">
        <v>45998.0</v>
      </c>
      <c r="I634" s="22" t="s">
        <v>522</v>
      </c>
      <c r="J634" s="22" t="s">
        <v>451</v>
      </c>
      <c r="K634" s="22" t="s">
        <v>454</v>
      </c>
      <c r="L634" s="35" t="s">
        <v>5392</v>
      </c>
      <c r="M634" s="32" t="s">
        <v>54</v>
      </c>
    </row>
    <row r="635">
      <c r="A635" s="22" t="s">
        <v>1734</v>
      </c>
      <c r="B635" s="22" t="s">
        <v>3802</v>
      </c>
      <c r="C635" s="22" t="s">
        <v>5393</v>
      </c>
      <c r="D635" s="22" t="s">
        <v>845</v>
      </c>
      <c r="E635" s="22">
        <v>1.0</v>
      </c>
      <c r="F635" s="22"/>
      <c r="G635" s="22" t="s">
        <v>273</v>
      </c>
      <c r="H635" s="26">
        <v>45998.0</v>
      </c>
      <c r="I635" s="22" t="s">
        <v>1442</v>
      </c>
      <c r="J635" s="22" t="s">
        <v>451</v>
      </c>
      <c r="K635" s="22" t="s">
        <v>847</v>
      </c>
      <c r="L635" s="35" t="s">
        <v>5394</v>
      </c>
      <c r="M635" s="32" t="s">
        <v>55</v>
      </c>
    </row>
    <row r="636">
      <c r="A636" s="22" t="s">
        <v>1736</v>
      </c>
      <c r="B636" s="22" t="s">
        <v>3808</v>
      </c>
      <c r="C636" s="22" t="s">
        <v>5395</v>
      </c>
      <c r="D636" s="22" t="s">
        <v>423</v>
      </c>
      <c r="E636" s="22">
        <v>1.0</v>
      </c>
      <c r="F636" s="22"/>
      <c r="G636" s="22" t="s">
        <v>273</v>
      </c>
      <c r="H636" s="26">
        <v>45998.0</v>
      </c>
      <c r="I636" s="22" t="s">
        <v>153</v>
      </c>
      <c r="J636" s="22" t="s">
        <v>369</v>
      </c>
      <c r="K636" s="22" t="s">
        <v>427</v>
      </c>
      <c r="L636" s="35" t="s">
        <v>5396</v>
      </c>
      <c r="M636" s="32" t="s">
        <v>95</v>
      </c>
    </row>
    <row r="637">
      <c r="A637" s="22" t="s">
        <v>1737</v>
      </c>
      <c r="B637" s="22" t="s">
        <v>5397</v>
      </c>
      <c r="C637" s="22" t="s">
        <v>5398</v>
      </c>
      <c r="D637" s="22" t="s">
        <v>458</v>
      </c>
      <c r="E637" s="22">
        <v>1.0</v>
      </c>
      <c r="F637" s="22"/>
      <c r="G637" s="22" t="s">
        <v>82</v>
      </c>
      <c r="H637" s="23">
        <v>46004.0</v>
      </c>
      <c r="I637" s="22" t="s">
        <v>211</v>
      </c>
      <c r="J637" s="22" t="s">
        <v>341</v>
      </c>
      <c r="K637" s="22" t="s">
        <v>462</v>
      </c>
      <c r="L637" s="35" t="s">
        <v>5399</v>
      </c>
      <c r="M637" s="32" t="s">
        <v>91</v>
      </c>
    </row>
    <row r="638">
      <c r="A638" s="22" t="s">
        <v>1738</v>
      </c>
      <c r="B638" s="22" t="s">
        <v>5400</v>
      </c>
      <c r="C638" s="22" t="s">
        <v>5401</v>
      </c>
      <c r="D638" s="22" t="s">
        <v>814</v>
      </c>
      <c r="E638" s="22">
        <v>1.0</v>
      </c>
      <c r="F638" s="22"/>
      <c r="G638" s="22" t="s">
        <v>82</v>
      </c>
      <c r="H638" s="26">
        <v>45997.0</v>
      </c>
      <c r="I638" s="22" t="s">
        <v>187</v>
      </c>
      <c r="J638" s="22" t="s">
        <v>698</v>
      </c>
      <c r="K638" s="22" t="s">
        <v>818</v>
      </c>
      <c r="L638" s="35" t="s">
        <v>5402</v>
      </c>
      <c r="M638" s="32" t="s">
        <v>127</v>
      </c>
    </row>
    <row r="639">
      <c r="A639" s="22" t="s">
        <v>1739</v>
      </c>
      <c r="B639" s="22" t="s">
        <v>5403</v>
      </c>
      <c r="C639" s="22" t="s">
        <v>5404</v>
      </c>
      <c r="D639" s="22" t="s">
        <v>584</v>
      </c>
      <c r="E639" s="22">
        <v>1.0</v>
      </c>
      <c r="F639" s="22"/>
      <c r="G639" s="22" t="s">
        <v>82</v>
      </c>
      <c r="H639" s="26">
        <v>45997.0</v>
      </c>
      <c r="I639" s="22" t="s">
        <v>153</v>
      </c>
      <c r="J639" s="22" t="s">
        <v>377</v>
      </c>
      <c r="K639" s="22" t="s">
        <v>586</v>
      </c>
      <c r="L639" s="35" t="s">
        <v>5405</v>
      </c>
      <c r="M639" s="32" t="s">
        <v>105</v>
      </c>
    </row>
    <row r="640">
      <c r="A640" s="22" t="s">
        <v>1740</v>
      </c>
      <c r="B640" s="22" t="s">
        <v>5406</v>
      </c>
      <c r="C640" s="22" t="s">
        <v>5407</v>
      </c>
      <c r="D640" s="22" t="s">
        <v>503</v>
      </c>
      <c r="E640" s="22">
        <v>1.0</v>
      </c>
      <c r="F640" s="22"/>
      <c r="G640" s="22" t="s">
        <v>82</v>
      </c>
      <c r="H640" s="23">
        <v>46004.0</v>
      </c>
      <c r="I640" s="22" t="s">
        <v>211</v>
      </c>
      <c r="J640" s="22" t="s">
        <v>341</v>
      </c>
      <c r="K640" s="22" t="s">
        <v>507</v>
      </c>
      <c r="L640" s="35" t="s">
        <v>5408</v>
      </c>
      <c r="M640" s="32" t="s">
        <v>54</v>
      </c>
    </row>
    <row r="641">
      <c r="A641" s="22" t="s">
        <v>1757</v>
      </c>
      <c r="B641" s="22" t="s">
        <v>5409</v>
      </c>
      <c r="C641" s="22" t="s">
        <v>5410</v>
      </c>
      <c r="D641" s="22" t="s">
        <v>620</v>
      </c>
      <c r="E641" s="22">
        <v>1.0</v>
      </c>
      <c r="F641" s="22"/>
      <c r="G641" s="22" t="s">
        <v>273</v>
      </c>
      <c r="H641" s="26">
        <v>45998.0</v>
      </c>
      <c r="I641" s="22" t="s">
        <v>196</v>
      </c>
      <c r="J641" s="22" t="s">
        <v>623</v>
      </c>
      <c r="K641" s="22" t="s">
        <v>626</v>
      </c>
      <c r="L641" s="35" t="s">
        <v>5411</v>
      </c>
      <c r="M641" s="32" t="s">
        <v>54</v>
      </c>
    </row>
    <row r="642">
      <c r="A642" s="22" t="s">
        <v>1745</v>
      </c>
      <c r="B642" s="22" t="s">
        <v>5412</v>
      </c>
      <c r="C642" s="22" t="s">
        <v>5413</v>
      </c>
      <c r="D642" s="22" t="s">
        <v>141</v>
      </c>
      <c r="E642" s="22">
        <v>1.0</v>
      </c>
      <c r="F642" s="22"/>
      <c r="G642" s="22" t="s">
        <v>273</v>
      </c>
      <c r="H642" s="26">
        <v>45998.0</v>
      </c>
      <c r="I642" s="22" t="s">
        <v>134</v>
      </c>
      <c r="J642" s="22" t="s">
        <v>83</v>
      </c>
      <c r="K642" s="22" t="s">
        <v>143</v>
      </c>
      <c r="L642" s="35" t="s">
        <v>5414</v>
      </c>
      <c r="M642" s="32" t="s">
        <v>54</v>
      </c>
    </row>
    <row r="643">
      <c r="A643" s="22" t="s">
        <v>1759</v>
      </c>
      <c r="B643" s="22" t="s">
        <v>5415</v>
      </c>
      <c r="C643" s="22" t="s">
        <v>5416</v>
      </c>
      <c r="D643" s="22" t="s">
        <v>478</v>
      </c>
      <c r="E643" s="22">
        <v>1.0</v>
      </c>
      <c r="F643" s="22"/>
      <c r="G643" s="22" t="s">
        <v>273</v>
      </c>
      <c r="H643" s="26">
        <v>45998.0</v>
      </c>
      <c r="I643" s="22" t="s">
        <v>134</v>
      </c>
      <c r="J643" s="22" t="s">
        <v>472</v>
      </c>
      <c r="K643" s="22" t="s">
        <v>483</v>
      </c>
      <c r="L643" s="35" t="s">
        <v>5417</v>
      </c>
      <c r="M643" s="32" t="s">
        <v>95</v>
      </c>
    </row>
    <row r="644">
      <c r="A644" s="22" t="s">
        <v>1746</v>
      </c>
      <c r="B644" s="22" t="s">
        <v>5418</v>
      </c>
      <c r="C644" s="22" t="s">
        <v>5419</v>
      </c>
      <c r="D644" s="22" t="s">
        <v>415</v>
      </c>
      <c r="E644" s="22">
        <v>1.0</v>
      </c>
      <c r="F644" s="22"/>
      <c r="G644" s="22" t="s">
        <v>82</v>
      </c>
      <c r="H644" s="26">
        <v>45997.0</v>
      </c>
      <c r="I644" s="22" t="s">
        <v>153</v>
      </c>
      <c r="J644" s="22" t="s">
        <v>377</v>
      </c>
      <c r="K644" s="22" t="s">
        <v>419</v>
      </c>
      <c r="L644" s="35" t="s">
        <v>5420</v>
      </c>
      <c r="M644" s="32" t="s">
        <v>91</v>
      </c>
    </row>
    <row r="645">
      <c r="A645" s="22" t="s">
        <v>1747</v>
      </c>
      <c r="B645" s="22" t="s">
        <v>5421</v>
      </c>
      <c r="C645" s="22" t="s">
        <v>5422</v>
      </c>
      <c r="D645" s="22" t="s">
        <v>950</v>
      </c>
      <c r="E645" s="22">
        <v>1.0</v>
      </c>
      <c r="F645" s="22"/>
      <c r="G645" s="22" t="s">
        <v>82</v>
      </c>
      <c r="H645" s="26">
        <v>45997.0</v>
      </c>
      <c r="I645" s="22" t="s">
        <v>187</v>
      </c>
      <c r="J645" s="22" t="s">
        <v>698</v>
      </c>
      <c r="K645" s="22" t="s">
        <v>952</v>
      </c>
      <c r="L645" s="35" t="s">
        <v>5423</v>
      </c>
      <c r="M645" s="32" t="s">
        <v>54</v>
      </c>
    </row>
    <row r="646">
      <c r="A646" s="22" t="s">
        <v>1749</v>
      </c>
      <c r="B646" s="22" t="s">
        <v>4571</v>
      </c>
      <c r="C646" s="22" t="s">
        <v>5424</v>
      </c>
      <c r="D646" s="22" t="s">
        <v>515</v>
      </c>
      <c r="E646" s="22">
        <v>1.0</v>
      </c>
      <c r="F646" s="22"/>
      <c r="G646" s="22" t="s">
        <v>82</v>
      </c>
      <c r="H646" s="26">
        <v>45997.0</v>
      </c>
      <c r="I646" s="22" t="s">
        <v>181</v>
      </c>
      <c r="J646" s="22" t="s">
        <v>472</v>
      </c>
      <c r="K646" s="22" t="s">
        <v>519</v>
      </c>
      <c r="L646" s="35" t="s">
        <v>5425</v>
      </c>
      <c r="M646" s="32" t="s">
        <v>55</v>
      </c>
    </row>
    <row r="647">
      <c r="A647" s="22" t="s">
        <v>1751</v>
      </c>
      <c r="B647" s="22" t="s">
        <v>5426</v>
      </c>
      <c r="C647" s="22" t="s">
        <v>5427</v>
      </c>
      <c r="D647" s="22" t="s">
        <v>732</v>
      </c>
      <c r="E647" s="22">
        <v>1.0</v>
      </c>
      <c r="F647" s="22"/>
      <c r="G647" s="22" t="s">
        <v>82</v>
      </c>
      <c r="H647" s="26">
        <v>45997.0</v>
      </c>
      <c r="I647" s="22" t="s">
        <v>168</v>
      </c>
      <c r="J647" s="22" t="s">
        <v>634</v>
      </c>
      <c r="K647" s="22" t="s">
        <v>737</v>
      </c>
      <c r="L647" s="35" t="s">
        <v>5428</v>
      </c>
      <c r="M647" s="32" t="s">
        <v>105</v>
      </c>
    </row>
    <row r="648">
      <c r="A648" s="22" t="s">
        <v>1775</v>
      </c>
      <c r="B648" s="22" t="s">
        <v>5429</v>
      </c>
      <c r="C648" s="22" t="s">
        <v>5430</v>
      </c>
      <c r="D648" s="22" t="s">
        <v>386</v>
      </c>
      <c r="E648" s="22">
        <v>1.0</v>
      </c>
      <c r="F648" s="22"/>
      <c r="G648" s="22" t="s">
        <v>82</v>
      </c>
      <c r="H648" s="26">
        <v>45997.0</v>
      </c>
      <c r="I648" s="22" t="s">
        <v>134</v>
      </c>
      <c r="J648" s="22" t="s">
        <v>311</v>
      </c>
      <c r="K648" s="22" t="s">
        <v>390</v>
      </c>
      <c r="L648" s="35" t="s">
        <v>5431</v>
      </c>
      <c r="M648" s="32" t="s">
        <v>55</v>
      </c>
    </row>
    <row r="649">
      <c r="A649" s="22" t="s">
        <v>1755</v>
      </c>
      <c r="B649" s="22" t="s">
        <v>3752</v>
      </c>
      <c r="C649" s="22" t="s">
        <v>5432</v>
      </c>
      <c r="D649" s="22" t="s">
        <v>584</v>
      </c>
      <c r="E649" s="22">
        <v>1.0</v>
      </c>
      <c r="F649" s="22"/>
      <c r="G649" s="22" t="s">
        <v>82</v>
      </c>
      <c r="H649" s="23">
        <v>46004.0</v>
      </c>
      <c r="I649" s="22" t="s">
        <v>134</v>
      </c>
      <c r="J649" s="22" t="s">
        <v>377</v>
      </c>
      <c r="K649" s="22" t="s">
        <v>586</v>
      </c>
      <c r="L649" s="35" t="s">
        <v>5433</v>
      </c>
      <c r="M649" s="32" t="s">
        <v>105</v>
      </c>
    </row>
    <row r="650">
      <c r="A650" s="22" t="s">
        <v>1795</v>
      </c>
      <c r="B650" s="22" t="s">
        <v>4150</v>
      </c>
      <c r="C650" s="22" t="s">
        <v>5434</v>
      </c>
      <c r="D650" s="22" t="s">
        <v>339</v>
      </c>
      <c r="E650" s="22">
        <v>1.0</v>
      </c>
      <c r="F650" s="22"/>
      <c r="G650" s="22" t="s">
        <v>82</v>
      </c>
      <c r="H650" s="26">
        <v>45997.0</v>
      </c>
      <c r="I650" s="22" t="s">
        <v>211</v>
      </c>
      <c r="J650" s="22" t="s">
        <v>341</v>
      </c>
      <c r="K650" s="22" t="s">
        <v>344</v>
      </c>
      <c r="L650" s="35" t="s">
        <v>5435</v>
      </c>
      <c r="M650" s="32" t="s">
        <v>55</v>
      </c>
    </row>
    <row r="651">
      <c r="A651" s="22" t="s">
        <v>1776</v>
      </c>
      <c r="B651" s="22" t="s">
        <v>3973</v>
      </c>
      <c r="C651" s="22" t="s">
        <v>5436</v>
      </c>
      <c r="D651" s="22" t="s">
        <v>595</v>
      </c>
      <c r="E651" s="22">
        <v>1.0</v>
      </c>
      <c r="F651" s="22"/>
      <c r="G651" s="22" t="s">
        <v>273</v>
      </c>
      <c r="H651" s="26">
        <v>45998.0</v>
      </c>
      <c r="I651" s="22" t="s">
        <v>153</v>
      </c>
      <c r="J651" s="22" t="s">
        <v>369</v>
      </c>
      <c r="K651" s="22" t="s">
        <v>599</v>
      </c>
      <c r="L651" s="35" t="s">
        <v>5437</v>
      </c>
      <c r="M651" s="32" t="s">
        <v>127</v>
      </c>
    </row>
    <row r="652">
      <c r="A652" s="22" t="s">
        <v>1761</v>
      </c>
      <c r="B652" s="22" t="s">
        <v>5438</v>
      </c>
      <c r="C652" s="22" t="s">
        <v>5439</v>
      </c>
      <c r="D652" s="22" t="s">
        <v>488</v>
      </c>
      <c r="E652" s="22">
        <v>1.0</v>
      </c>
      <c r="F652" s="22"/>
      <c r="G652" s="22" t="s">
        <v>273</v>
      </c>
      <c r="H652" s="26">
        <v>45998.0</v>
      </c>
      <c r="I652" s="22" t="s">
        <v>181</v>
      </c>
      <c r="J652" s="22" t="s">
        <v>311</v>
      </c>
      <c r="K652" s="22" t="s">
        <v>492</v>
      </c>
      <c r="L652" s="35" t="s">
        <v>5440</v>
      </c>
      <c r="M652" s="32" t="s">
        <v>95</v>
      </c>
    </row>
    <row r="653">
      <c r="A653" s="22" t="s">
        <v>1764</v>
      </c>
      <c r="B653" s="22" t="s">
        <v>5441</v>
      </c>
      <c r="C653" s="22" t="s">
        <v>4658</v>
      </c>
      <c r="D653" s="22" t="s">
        <v>1078</v>
      </c>
      <c r="E653" s="22">
        <v>1.0</v>
      </c>
      <c r="F653" s="22"/>
      <c r="G653" s="22" t="s">
        <v>82</v>
      </c>
      <c r="H653" s="26">
        <v>45997.0</v>
      </c>
      <c r="I653" s="22" t="s">
        <v>716</v>
      </c>
      <c r="J653" s="22" t="s">
        <v>717</v>
      </c>
      <c r="K653" s="22" t="s">
        <v>1082</v>
      </c>
      <c r="L653" s="35" t="s">
        <v>5442</v>
      </c>
      <c r="M653" s="32" t="s">
        <v>105</v>
      </c>
    </row>
    <row r="654">
      <c r="A654" s="22" t="s">
        <v>1766</v>
      </c>
      <c r="B654" s="22" t="s">
        <v>5443</v>
      </c>
      <c r="C654" s="22" t="s">
        <v>5444</v>
      </c>
      <c r="D654" s="22" t="s">
        <v>973</v>
      </c>
      <c r="E654" s="22">
        <v>1.0</v>
      </c>
      <c r="F654" s="22"/>
      <c r="G654" s="22" t="s">
        <v>273</v>
      </c>
      <c r="H654" s="26">
        <v>45998.0</v>
      </c>
      <c r="I654" s="22" t="s">
        <v>439</v>
      </c>
      <c r="J654" s="22" t="s">
        <v>440</v>
      </c>
      <c r="K654" s="22" t="s">
        <v>978</v>
      </c>
      <c r="L654" s="35" t="s">
        <v>5445</v>
      </c>
      <c r="M654" s="32" t="s">
        <v>105</v>
      </c>
    </row>
    <row r="655">
      <c r="A655" s="22" t="s">
        <v>5446</v>
      </c>
      <c r="B655" s="22" t="s">
        <v>5447</v>
      </c>
      <c r="C655" s="22" t="s">
        <v>5448</v>
      </c>
      <c r="D655" s="22" t="s">
        <v>4521</v>
      </c>
      <c r="E655" s="22">
        <v>1.0</v>
      </c>
      <c r="F655" s="22"/>
      <c r="G655" s="22" t="s">
        <v>294</v>
      </c>
      <c r="H655" s="26">
        <v>45992.0</v>
      </c>
      <c r="I655" s="22" t="s">
        <v>3353</v>
      </c>
      <c r="J655" s="22" t="s">
        <v>4399</v>
      </c>
      <c r="K655" s="22" t="s">
        <v>4522</v>
      </c>
      <c r="L655" s="35" t="s">
        <v>5449</v>
      </c>
      <c r="M655" s="32" t="s">
        <v>54</v>
      </c>
    </row>
    <row r="656">
      <c r="A656" s="22" t="s">
        <v>1768</v>
      </c>
      <c r="B656" s="22" t="s">
        <v>4827</v>
      </c>
      <c r="C656" s="22" t="s">
        <v>5450</v>
      </c>
      <c r="D656" s="22" t="s">
        <v>560</v>
      </c>
      <c r="E656" s="22">
        <v>1.0</v>
      </c>
      <c r="F656" s="22"/>
      <c r="G656" s="22" t="s">
        <v>273</v>
      </c>
      <c r="H656" s="23">
        <v>45991.0</v>
      </c>
      <c r="I656" s="22" t="s">
        <v>149</v>
      </c>
      <c r="J656" s="22" t="s">
        <v>356</v>
      </c>
      <c r="K656" s="22" t="s">
        <v>563</v>
      </c>
      <c r="L656" s="35" t="s">
        <v>5451</v>
      </c>
      <c r="M656" s="32" t="s">
        <v>91</v>
      </c>
    </row>
    <row r="657">
      <c r="A657" s="22" t="s">
        <v>1769</v>
      </c>
      <c r="B657" s="22" t="s">
        <v>4608</v>
      </c>
      <c r="C657" s="22" t="s">
        <v>5452</v>
      </c>
      <c r="D657" s="22" t="s">
        <v>1640</v>
      </c>
      <c r="E657" s="22">
        <v>1.0</v>
      </c>
      <c r="F657" s="22"/>
      <c r="G657" s="22" t="s">
        <v>82</v>
      </c>
      <c r="H657" s="26">
        <v>45997.0</v>
      </c>
      <c r="I657" s="22" t="s">
        <v>975</v>
      </c>
      <c r="J657" s="22" t="s">
        <v>1466</v>
      </c>
      <c r="K657" s="22" t="s">
        <v>1642</v>
      </c>
      <c r="L657" s="35" t="s">
        <v>5453</v>
      </c>
      <c r="M657" s="32" t="s">
        <v>127</v>
      </c>
    </row>
    <row r="658">
      <c r="A658" s="22" t="s">
        <v>1770</v>
      </c>
      <c r="B658" s="22" t="s">
        <v>4421</v>
      </c>
      <c r="C658" s="22" t="s">
        <v>5454</v>
      </c>
      <c r="D658" s="22" t="s">
        <v>423</v>
      </c>
      <c r="E658" s="22">
        <v>1.0</v>
      </c>
      <c r="F658" s="22"/>
      <c r="G658" s="22" t="s">
        <v>273</v>
      </c>
      <c r="H658" s="26">
        <v>45998.0</v>
      </c>
      <c r="I658" s="22" t="s">
        <v>153</v>
      </c>
      <c r="J658" s="22" t="s">
        <v>369</v>
      </c>
      <c r="K658" s="22" t="s">
        <v>427</v>
      </c>
      <c r="L658" s="35" t="s">
        <v>5455</v>
      </c>
      <c r="M658" s="32" t="s">
        <v>95</v>
      </c>
    </row>
    <row r="659">
      <c r="A659" s="22" t="s">
        <v>1732</v>
      </c>
      <c r="B659" s="22" t="s">
        <v>5456</v>
      </c>
      <c r="C659" s="22" t="s">
        <v>5457</v>
      </c>
      <c r="D659" s="22" t="s">
        <v>317</v>
      </c>
      <c r="E659" s="22">
        <v>1.0</v>
      </c>
      <c r="F659" s="22"/>
      <c r="G659" s="22" t="s">
        <v>82</v>
      </c>
      <c r="H659" s="26">
        <v>45997.0</v>
      </c>
      <c r="I659" s="22" t="s">
        <v>196</v>
      </c>
      <c r="J659" s="22" t="s">
        <v>319</v>
      </c>
      <c r="K659" s="22" t="s">
        <v>322</v>
      </c>
      <c r="L659" s="35" t="s">
        <v>5458</v>
      </c>
      <c r="M659" s="32" t="s">
        <v>55</v>
      </c>
    </row>
    <row r="660">
      <c r="A660" s="22" t="s">
        <v>1774</v>
      </c>
      <c r="B660" s="22" t="s">
        <v>4762</v>
      </c>
      <c r="C660" s="22" t="s">
        <v>5459</v>
      </c>
      <c r="D660" s="22" t="s">
        <v>1217</v>
      </c>
      <c r="E660" s="22">
        <v>1.0</v>
      </c>
      <c r="F660" s="22"/>
      <c r="G660" s="22" t="s">
        <v>82</v>
      </c>
      <c r="H660" s="26">
        <v>45997.0</v>
      </c>
      <c r="I660" s="22" t="s">
        <v>266</v>
      </c>
      <c r="J660" s="22" t="s">
        <v>605</v>
      </c>
      <c r="K660" s="22" t="s">
        <v>1219</v>
      </c>
      <c r="L660" s="35" t="s">
        <v>5460</v>
      </c>
      <c r="M660" s="32" t="s">
        <v>91</v>
      </c>
    </row>
    <row r="661">
      <c r="A661" s="22" t="s">
        <v>1793</v>
      </c>
      <c r="B661" s="22" t="s">
        <v>5461</v>
      </c>
      <c r="C661" s="22" t="s">
        <v>4209</v>
      </c>
      <c r="D661" s="22" t="s">
        <v>386</v>
      </c>
      <c r="E661" s="22">
        <v>1.0</v>
      </c>
      <c r="F661" s="22"/>
      <c r="G661" s="22" t="s">
        <v>336</v>
      </c>
      <c r="H661" s="26">
        <v>45995.0</v>
      </c>
      <c r="I661" s="22" t="s">
        <v>134</v>
      </c>
      <c r="J661" s="22" t="s">
        <v>311</v>
      </c>
      <c r="K661" s="22" t="s">
        <v>390</v>
      </c>
      <c r="L661" s="35" t="s">
        <v>5462</v>
      </c>
      <c r="M661" s="32" t="s">
        <v>55</v>
      </c>
    </row>
    <row r="662">
      <c r="A662" s="22" t="s">
        <v>1777</v>
      </c>
      <c r="B662" s="22" t="s">
        <v>5463</v>
      </c>
      <c r="C662" s="22" t="s">
        <v>5464</v>
      </c>
      <c r="D662" s="22" t="s">
        <v>375</v>
      </c>
      <c r="E662" s="22">
        <v>1.0</v>
      </c>
      <c r="F662" s="22"/>
      <c r="G662" s="22" t="s">
        <v>82</v>
      </c>
      <c r="H662" s="26">
        <v>45997.0</v>
      </c>
      <c r="I662" s="22" t="s">
        <v>134</v>
      </c>
      <c r="J662" s="22" t="s">
        <v>377</v>
      </c>
      <c r="K662" s="22" t="s">
        <v>380</v>
      </c>
      <c r="L662" s="35" t="s">
        <v>5465</v>
      </c>
      <c r="M662" s="32" t="s">
        <v>55</v>
      </c>
    </row>
    <row r="663">
      <c r="A663" s="22" t="s">
        <v>1796</v>
      </c>
      <c r="B663" s="22" t="s">
        <v>5466</v>
      </c>
      <c r="C663" s="22" t="s">
        <v>5467</v>
      </c>
      <c r="D663" s="22" t="s">
        <v>1242</v>
      </c>
      <c r="E663" s="22">
        <v>1.0</v>
      </c>
      <c r="F663" s="22"/>
      <c r="G663" s="22" t="s">
        <v>82</v>
      </c>
      <c r="H663" s="26">
        <v>45997.0</v>
      </c>
      <c r="I663" s="22" t="s">
        <v>439</v>
      </c>
      <c r="J663" s="22" t="s">
        <v>698</v>
      </c>
      <c r="K663" s="22" t="s">
        <v>1244</v>
      </c>
      <c r="L663" s="35" t="s">
        <v>5468</v>
      </c>
      <c r="M663" s="32" t="s">
        <v>95</v>
      </c>
    </row>
    <row r="664">
      <c r="A664" s="22" t="s">
        <v>1778</v>
      </c>
      <c r="B664" s="22" t="s">
        <v>4240</v>
      </c>
      <c r="C664" s="22" t="s">
        <v>5469</v>
      </c>
      <c r="D664" s="22" t="s">
        <v>814</v>
      </c>
      <c r="E664" s="22">
        <v>1.0</v>
      </c>
      <c r="F664" s="22"/>
      <c r="G664" s="22" t="s">
        <v>82</v>
      </c>
      <c r="H664" s="26">
        <v>45997.0</v>
      </c>
      <c r="I664" s="22" t="s">
        <v>211</v>
      </c>
      <c r="J664" s="22" t="s">
        <v>698</v>
      </c>
      <c r="K664" s="22" t="s">
        <v>818</v>
      </c>
      <c r="L664" s="35" t="s">
        <v>5470</v>
      </c>
      <c r="M664" s="32" t="s">
        <v>127</v>
      </c>
    </row>
    <row r="665">
      <c r="A665" s="22" t="s">
        <v>1780</v>
      </c>
      <c r="B665" s="22" t="s">
        <v>5471</v>
      </c>
      <c r="C665" s="22" t="s">
        <v>5472</v>
      </c>
      <c r="D665" s="22" t="s">
        <v>1779</v>
      </c>
      <c r="E665" s="22">
        <v>1.0</v>
      </c>
      <c r="F665" s="22"/>
      <c r="G665" s="22" t="s">
        <v>82</v>
      </c>
      <c r="H665" s="23">
        <v>46004.0</v>
      </c>
      <c r="I665" s="22" t="s">
        <v>134</v>
      </c>
      <c r="J665" s="22" t="s">
        <v>203</v>
      </c>
      <c r="K665" s="22" t="s">
        <v>1781</v>
      </c>
      <c r="L665" s="35" t="s">
        <v>5473</v>
      </c>
      <c r="M665" s="32" t="s">
        <v>127</v>
      </c>
    </row>
    <row r="666">
      <c r="A666" s="22" t="s">
        <v>1782</v>
      </c>
      <c r="B666" s="22" t="s">
        <v>4855</v>
      </c>
      <c r="C666" s="22" t="s">
        <v>5474</v>
      </c>
      <c r="D666" s="22" t="s">
        <v>1359</v>
      </c>
      <c r="E666" s="22">
        <v>1.0</v>
      </c>
      <c r="F666" s="22"/>
      <c r="G666" s="22" t="s">
        <v>82</v>
      </c>
      <c r="H666" s="26">
        <v>45997.0</v>
      </c>
      <c r="I666" s="22" t="s">
        <v>266</v>
      </c>
      <c r="J666" s="22" t="s">
        <v>605</v>
      </c>
      <c r="K666" s="22" t="s">
        <v>1363</v>
      </c>
      <c r="L666" s="35" t="s">
        <v>5475</v>
      </c>
      <c r="M666" s="32" t="s">
        <v>175</v>
      </c>
    </row>
    <row r="667">
      <c r="A667" s="22" t="s">
        <v>1785</v>
      </c>
      <c r="B667" s="22" t="s">
        <v>5476</v>
      </c>
      <c r="C667" s="22" t="s">
        <v>5477</v>
      </c>
      <c r="D667" s="22" t="s">
        <v>1783</v>
      </c>
      <c r="E667" s="22">
        <v>1.0</v>
      </c>
      <c r="F667" s="22"/>
      <c r="G667" s="22" t="s">
        <v>82</v>
      </c>
      <c r="H667" s="26">
        <v>45997.0</v>
      </c>
      <c r="I667" s="22" t="s">
        <v>219</v>
      </c>
      <c r="J667" s="22" t="s">
        <v>1466</v>
      </c>
      <c r="K667" s="22" t="s">
        <v>1787</v>
      </c>
      <c r="L667" s="35" t="s">
        <v>5478</v>
      </c>
      <c r="M667" s="32" t="s">
        <v>132</v>
      </c>
    </row>
    <row r="668">
      <c r="A668" s="22" t="s">
        <v>1785</v>
      </c>
      <c r="B668" s="22" t="s">
        <v>5476</v>
      </c>
      <c r="C668" s="22" t="s">
        <v>5477</v>
      </c>
      <c r="D668" s="25"/>
      <c r="E668" s="25"/>
      <c r="F668" s="22"/>
      <c r="G668" s="22" t="s">
        <v>82</v>
      </c>
      <c r="H668" s="26">
        <v>45997.0</v>
      </c>
      <c r="I668" s="22" t="s">
        <v>219</v>
      </c>
      <c r="J668" s="22" t="s">
        <v>1466</v>
      </c>
      <c r="K668" s="22" t="s">
        <v>1788</v>
      </c>
      <c r="L668" s="35" t="s">
        <v>5479</v>
      </c>
    </row>
    <row r="669">
      <c r="A669" s="22" t="s">
        <v>1790</v>
      </c>
      <c r="B669" s="22" t="s">
        <v>5480</v>
      </c>
      <c r="C669" s="22" t="s">
        <v>5481</v>
      </c>
      <c r="D669" s="22" t="s">
        <v>745</v>
      </c>
      <c r="E669" s="22">
        <v>1.0</v>
      </c>
      <c r="F669" s="22"/>
      <c r="G669" s="22" t="s">
        <v>202</v>
      </c>
      <c r="H669" s="26">
        <v>45996.0</v>
      </c>
      <c r="I669" s="22" t="s">
        <v>1117</v>
      </c>
      <c r="J669" s="22" t="s">
        <v>311</v>
      </c>
      <c r="K669" s="22" t="s">
        <v>747</v>
      </c>
      <c r="L669" s="35" t="s">
        <v>5482</v>
      </c>
      <c r="M669" s="32" t="s">
        <v>175</v>
      </c>
    </row>
    <row r="670">
      <c r="A670" s="22" t="s">
        <v>1797</v>
      </c>
      <c r="B670" s="22" t="s">
        <v>3938</v>
      </c>
      <c r="C670" s="22" t="s">
        <v>5483</v>
      </c>
      <c r="D670" s="22" t="s">
        <v>1217</v>
      </c>
      <c r="E670" s="22">
        <v>1.0</v>
      </c>
      <c r="F670" s="22"/>
      <c r="G670" s="22" t="s">
        <v>82</v>
      </c>
      <c r="H670" s="26">
        <v>45997.0</v>
      </c>
      <c r="I670" s="22" t="s">
        <v>149</v>
      </c>
      <c r="J670" s="22" t="s">
        <v>605</v>
      </c>
      <c r="K670" s="22" t="s">
        <v>1219</v>
      </c>
      <c r="L670" s="35" t="s">
        <v>5484</v>
      </c>
      <c r="M670" s="32" t="s">
        <v>91</v>
      </c>
    </row>
    <row r="671">
      <c r="A671" s="22" t="s">
        <v>1686</v>
      </c>
      <c r="B671" s="22" t="s">
        <v>3790</v>
      </c>
      <c r="C671" s="22" t="s">
        <v>5485</v>
      </c>
      <c r="D671" s="22" t="s">
        <v>386</v>
      </c>
      <c r="E671" s="22">
        <v>1.0</v>
      </c>
      <c r="F671" s="22"/>
      <c r="G671" s="22" t="s">
        <v>273</v>
      </c>
      <c r="H671" s="26">
        <v>45998.0</v>
      </c>
      <c r="I671" s="22" t="s">
        <v>134</v>
      </c>
      <c r="J671" s="22" t="s">
        <v>311</v>
      </c>
      <c r="K671" s="22" t="s">
        <v>390</v>
      </c>
      <c r="L671" s="35" t="s">
        <v>5486</v>
      </c>
      <c r="M671" s="32" t="s">
        <v>55</v>
      </c>
    </row>
    <row r="672">
      <c r="A672" s="22" t="s">
        <v>1809</v>
      </c>
      <c r="B672" s="22" t="s">
        <v>5130</v>
      </c>
      <c r="C672" s="22" t="s">
        <v>5487</v>
      </c>
      <c r="D672" s="22" t="s">
        <v>611</v>
      </c>
      <c r="E672" s="22">
        <v>1.0</v>
      </c>
      <c r="F672" s="22"/>
      <c r="G672" s="22" t="s">
        <v>273</v>
      </c>
      <c r="H672" s="26">
        <v>45998.0</v>
      </c>
      <c r="I672" s="22" t="s">
        <v>266</v>
      </c>
      <c r="J672" s="22" t="s">
        <v>369</v>
      </c>
      <c r="K672" s="22" t="s">
        <v>613</v>
      </c>
      <c r="L672" s="35" t="s">
        <v>5488</v>
      </c>
      <c r="M672" s="32" t="s">
        <v>105</v>
      </c>
    </row>
    <row r="673">
      <c r="A673" s="22" t="s">
        <v>1845</v>
      </c>
      <c r="B673" s="22" t="s">
        <v>5489</v>
      </c>
      <c r="C673" s="22" t="s">
        <v>5490</v>
      </c>
      <c r="D673" s="22" t="s">
        <v>692</v>
      </c>
      <c r="E673" s="22">
        <v>1.0</v>
      </c>
      <c r="F673" s="22"/>
      <c r="G673" s="22" t="s">
        <v>273</v>
      </c>
      <c r="H673" s="26">
        <v>45998.0</v>
      </c>
      <c r="I673" s="22" t="s">
        <v>153</v>
      </c>
      <c r="J673" s="22" t="s">
        <v>369</v>
      </c>
      <c r="K673" s="22" t="s">
        <v>694</v>
      </c>
      <c r="L673" s="35" t="s">
        <v>5491</v>
      </c>
      <c r="M673" s="32" t="s">
        <v>54</v>
      </c>
    </row>
    <row r="674">
      <c r="A674" s="22" t="s">
        <v>1799</v>
      </c>
      <c r="B674" s="22" t="s">
        <v>5492</v>
      </c>
      <c r="C674" s="22" t="s">
        <v>3815</v>
      </c>
      <c r="D674" s="22" t="s">
        <v>276</v>
      </c>
      <c r="E674" s="22">
        <v>1.0</v>
      </c>
      <c r="F674" s="22"/>
      <c r="G674" s="22" t="s">
        <v>82</v>
      </c>
      <c r="H674" s="26">
        <v>45997.0</v>
      </c>
      <c r="I674" s="22" t="s">
        <v>1624</v>
      </c>
      <c r="J674" s="22" t="s">
        <v>278</v>
      </c>
      <c r="K674" s="22" t="s">
        <v>281</v>
      </c>
      <c r="L674" s="35" t="s">
        <v>5493</v>
      </c>
      <c r="M674" s="32" t="s">
        <v>55</v>
      </c>
    </row>
    <row r="675">
      <c r="A675" s="22" t="s">
        <v>1802</v>
      </c>
      <c r="B675" s="22" t="s">
        <v>5089</v>
      </c>
      <c r="C675" s="22" t="s">
        <v>5270</v>
      </c>
      <c r="D675" s="22" t="s">
        <v>1554</v>
      </c>
      <c r="E675" s="22">
        <v>1.0</v>
      </c>
      <c r="F675" s="22"/>
      <c r="G675" s="22" t="s">
        <v>82</v>
      </c>
      <c r="H675" s="26">
        <v>45997.0</v>
      </c>
      <c r="I675" s="22" t="s">
        <v>177</v>
      </c>
      <c r="J675" s="22" t="s">
        <v>1466</v>
      </c>
      <c r="K675" s="22" t="s">
        <v>1556</v>
      </c>
      <c r="L675" s="35" t="s">
        <v>5494</v>
      </c>
      <c r="M675" s="32" t="s">
        <v>91</v>
      </c>
    </row>
    <row r="676">
      <c r="A676" s="22" t="s">
        <v>1804</v>
      </c>
      <c r="B676" s="22" t="s">
        <v>4479</v>
      </c>
      <c r="C676" s="22" t="s">
        <v>5495</v>
      </c>
      <c r="D676" s="22" t="s">
        <v>209</v>
      </c>
      <c r="E676" s="22">
        <v>1.0</v>
      </c>
      <c r="F676" s="22"/>
      <c r="G676" s="22" t="s">
        <v>82</v>
      </c>
      <c r="H676" s="26">
        <v>45997.0</v>
      </c>
      <c r="I676" s="22" t="s">
        <v>187</v>
      </c>
      <c r="J676" s="22" t="s">
        <v>111</v>
      </c>
      <c r="K676" s="22" t="s">
        <v>214</v>
      </c>
      <c r="L676" s="35" t="s">
        <v>5496</v>
      </c>
      <c r="M676" s="32" t="s">
        <v>91</v>
      </c>
    </row>
    <row r="677">
      <c r="A677" s="22" t="s">
        <v>1804</v>
      </c>
      <c r="B677" s="22" t="s">
        <v>4479</v>
      </c>
      <c r="C677" s="22" t="s">
        <v>5495</v>
      </c>
      <c r="D677" s="25"/>
      <c r="E677" s="25"/>
      <c r="F677" s="22"/>
      <c r="G677" s="22" t="s">
        <v>82</v>
      </c>
      <c r="H677" s="26">
        <v>45997.0</v>
      </c>
      <c r="I677" s="22" t="s">
        <v>187</v>
      </c>
      <c r="J677" s="22" t="s">
        <v>111</v>
      </c>
      <c r="K677" s="22" t="s">
        <v>1805</v>
      </c>
      <c r="L677" s="35" t="s">
        <v>5497</v>
      </c>
    </row>
    <row r="678">
      <c r="A678" s="22" t="s">
        <v>1807</v>
      </c>
      <c r="B678" s="22" t="s">
        <v>4289</v>
      </c>
      <c r="C678" s="22" t="s">
        <v>5498</v>
      </c>
      <c r="D678" s="22" t="s">
        <v>99</v>
      </c>
      <c r="E678" s="22">
        <v>1.0</v>
      </c>
      <c r="F678" s="22"/>
      <c r="G678" s="22" t="s">
        <v>287</v>
      </c>
      <c r="H678" s="26">
        <v>45994.0</v>
      </c>
      <c r="I678" s="22" t="s">
        <v>1572</v>
      </c>
      <c r="J678" s="22" t="s">
        <v>83</v>
      </c>
      <c r="K678" s="22" t="s">
        <v>102</v>
      </c>
      <c r="L678" s="35" t="s">
        <v>5499</v>
      </c>
      <c r="M678" s="32" t="s">
        <v>105</v>
      </c>
    </row>
    <row r="679">
      <c r="A679" s="22" t="s">
        <v>1808</v>
      </c>
      <c r="B679" s="22" t="s">
        <v>5500</v>
      </c>
      <c r="C679" s="22" t="s">
        <v>5501</v>
      </c>
      <c r="D679" s="22" t="s">
        <v>209</v>
      </c>
      <c r="E679" s="22">
        <v>1.0</v>
      </c>
      <c r="F679" s="22"/>
      <c r="G679" s="22" t="s">
        <v>82</v>
      </c>
      <c r="H679" s="26">
        <v>45997.0</v>
      </c>
      <c r="I679" s="22" t="s">
        <v>187</v>
      </c>
      <c r="J679" s="22" t="s">
        <v>111</v>
      </c>
      <c r="K679" s="22" t="s">
        <v>214</v>
      </c>
      <c r="L679" s="35" t="s">
        <v>5502</v>
      </c>
      <c r="M679" s="32" t="s">
        <v>91</v>
      </c>
    </row>
    <row r="680">
      <c r="A680" s="22" t="s">
        <v>1810</v>
      </c>
      <c r="B680" s="22" t="s">
        <v>3749</v>
      </c>
      <c r="C680" s="22" t="s">
        <v>5503</v>
      </c>
      <c r="D680" s="22" t="s">
        <v>689</v>
      </c>
      <c r="E680" s="22">
        <v>1.0</v>
      </c>
      <c r="F680" s="22"/>
      <c r="G680" s="22" t="s">
        <v>82</v>
      </c>
      <c r="H680" s="26">
        <v>45997.0</v>
      </c>
      <c r="I680" s="22" t="s">
        <v>153</v>
      </c>
      <c r="J680" s="22" t="s">
        <v>377</v>
      </c>
      <c r="K680" s="22" t="s">
        <v>691</v>
      </c>
      <c r="L680" s="35" t="s">
        <v>5504</v>
      </c>
      <c r="M680" s="32" t="s">
        <v>175</v>
      </c>
    </row>
    <row r="681">
      <c r="A681" s="22" t="s">
        <v>1868</v>
      </c>
      <c r="B681" s="22" t="s">
        <v>3886</v>
      </c>
      <c r="C681" s="22" t="s">
        <v>5505</v>
      </c>
      <c r="D681" s="22" t="s">
        <v>595</v>
      </c>
      <c r="E681" s="22">
        <v>1.0</v>
      </c>
      <c r="F681" s="22"/>
      <c r="G681" s="22" t="s">
        <v>273</v>
      </c>
      <c r="H681" s="26">
        <v>45998.0</v>
      </c>
      <c r="I681" s="22" t="s">
        <v>266</v>
      </c>
      <c r="J681" s="22" t="s">
        <v>369</v>
      </c>
      <c r="K681" s="22" t="s">
        <v>599</v>
      </c>
      <c r="L681" s="35" t="s">
        <v>5506</v>
      </c>
      <c r="M681" s="32" t="s">
        <v>127</v>
      </c>
    </row>
    <row r="682">
      <c r="A682" s="22" t="s">
        <v>1812</v>
      </c>
      <c r="B682" s="22" t="s">
        <v>4114</v>
      </c>
      <c r="C682" s="22" t="s">
        <v>4765</v>
      </c>
      <c r="D682" s="22" t="s">
        <v>1180</v>
      </c>
      <c r="E682" s="22">
        <v>1.0</v>
      </c>
      <c r="F682" s="22"/>
      <c r="G682" s="22" t="s">
        <v>82</v>
      </c>
      <c r="H682" s="26">
        <v>45997.0</v>
      </c>
      <c r="I682" s="22" t="s">
        <v>1117</v>
      </c>
      <c r="J682" s="22" t="s">
        <v>623</v>
      </c>
      <c r="K682" s="22" t="s">
        <v>1182</v>
      </c>
      <c r="L682" s="35" t="s">
        <v>5507</v>
      </c>
      <c r="M682" s="32" t="s">
        <v>105</v>
      </c>
    </row>
    <row r="683">
      <c r="A683" s="22" t="s">
        <v>1814</v>
      </c>
      <c r="B683" s="22" t="s">
        <v>5508</v>
      </c>
      <c r="C683" s="22" t="s">
        <v>5509</v>
      </c>
      <c r="D683" s="22" t="s">
        <v>692</v>
      </c>
      <c r="E683" s="22">
        <v>1.0</v>
      </c>
      <c r="F683" s="22"/>
      <c r="G683" s="22" t="s">
        <v>273</v>
      </c>
      <c r="H683" s="26">
        <v>45998.0</v>
      </c>
      <c r="I683" s="22" t="s">
        <v>153</v>
      </c>
      <c r="J683" s="22" t="s">
        <v>369</v>
      </c>
      <c r="K683" s="22" t="s">
        <v>694</v>
      </c>
      <c r="L683" s="35" t="s">
        <v>5510</v>
      </c>
      <c r="M683" s="32" t="s">
        <v>54</v>
      </c>
    </row>
    <row r="684">
      <c r="A684" s="22" t="s">
        <v>1815</v>
      </c>
      <c r="B684" s="22" t="s">
        <v>5511</v>
      </c>
      <c r="C684" s="22" t="s">
        <v>5512</v>
      </c>
      <c r="D684" s="22" t="s">
        <v>550</v>
      </c>
      <c r="E684" s="22">
        <v>1.0</v>
      </c>
      <c r="F684" s="22"/>
      <c r="G684" s="22" t="s">
        <v>82</v>
      </c>
      <c r="H684" s="26">
        <v>45997.0</v>
      </c>
      <c r="I684" s="22" t="s">
        <v>153</v>
      </c>
      <c r="J684" s="22" t="s">
        <v>377</v>
      </c>
      <c r="K684" s="22" t="s">
        <v>552</v>
      </c>
      <c r="L684" s="35" t="s">
        <v>5513</v>
      </c>
      <c r="M684" s="32" t="s">
        <v>95</v>
      </c>
    </row>
    <row r="685">
      <c r="A685" s="22" t="s">
        <v>1816</v>
      </c>
      <c r="B685" s="22" t="s">
        <v>3973</v>
      </c>
      <c r="C685" s="22" t="s">
        <v>5514</v>
      </c>
      <c r="D685" s="22" t="s">
        <v>950</v>
      </c>
      <c r="E685" s="22">
        <v>1.0</v>
      </c>
      <c r="F685" s="22"/>
      <c r="G685" s="22" t="s">
        <v>82</v>
      </c>
      <c r="H685" s="26">
        <v>45997.0</v>
      </c>
      <c r="I685" s="22" t="s">
        <v>187</v>
      </c>
      <c r="J685" s="22" t="s">
        <v>698</v>
      </c>
      <c r="K685" s="22" t="s">
        <v>952</v>
      </c>
      <c r="L685" s="35" t="s">
        <v>5515</v>
      </c>
      <c r="M685" s="32" t="s">
        <v>54</v>
      </c>
    </row>
    <row r="686">
      <c r="A686" s="22" t="s">
        <v>1818</v>
      </c>
      <c r="B686" s="22" t="s">
        <v>5516</v>
      </c>
      <c r="C686" s="22" t="s">
        <v>5517</v>
      </c>
      <c r="D686" s="22" t="s">
        <v>141</v>
      </c>
      <c r="E686" s="22">
        <v>1.0</v>
      </c>
      <c r="F686" s="22"/>
      <c r="G686" s="22" t="s">
        <v>202</v>
      </c>
      <c r="H686" s="26">
        <v>45996.0</v>
      </c>
      <c r="I686" s="22" t="s">
        <v>192</v>
      </c>
      <c r="J686" s="22" t="s">
        <v>83</v>
      </c>
      <c r="K686" s="22" t="s">
        <v>143</v>
      </c>
      <c r="L686" s="35" t="s">
        <v>5518</v>
      </c>
      <c r="M686" s="32" t="s">
        <v>54</v>
      </c>
    </row>
    <row r="687">
      <c r="A687" s="22" t="s">
        <v>1829</v>
      </c>
      <c r="B687" s="22" t="s">
        <v>4722</v>
      </c>
      <c r="C687" s="22" t="s">
        <v>3735</v>
      </c>
      <c r="D687" s="22" t="s">
        <v>1472</v>
      </c>
      <c r="E687" s="22">
        <v>1.0</v>
      </c>
      <c r="F687" s="22"/>
      <c r="G687" s="22" t="s">
        <v>82</v>
      </c>
      <c r="H687" s="26">
        <v>45997.0</v>
      </c>
      <c r="I687" s="22" t="s">
        <v>1822</v>
      </c>
      <c r="J687" s="22" t="s">
        <v>1466</v>
      </c>
      <c r="K687" s="22" t="s">
        <v>1474</v>
      </c>
      <c r="L687" s="35" t="s">
        <v>5519</v>
      </c>
      <c r="M687" s="32" t="s">
        <v>54</v>
      </c>
    </row>
    <row r="688">
      <c r="A688" s="22" t="s">
        <v>1823</v>
      </c>
      <c r="B688" s="22" t="s">
        <v>3692</v>
      </c>
      <c r="C688" s="22" t="s">
        <v>5520</v>
      </c>
      <c r="D688" s="22" t="s">
        <v>1640</v>
      </c>
      <c r="E688" s="22">
        <v>1.0</v>
      </c>
      <c r="F688" s="22"/>
      <c r="G688" s="22" t="s">
        <v>82</v>
      </c>
      <c r="H688" s="26">
        <v>45997.0</v>
      </c>
      <c r="I688" s="22" t="s">
        <v>1822</v>
      </c>
      <c r="J688" s="22" t="s">
        <v>1466</v>
      </c>
      <c r="K688" s="22" t="s">
        <v>1642</v>
      </c>
      <c r="L688" s="35" t="s">
        <v>5521</v>
      </c>
      <c r="M688" s="32" t="s">
        <v>127</v>
      </c>
    </row>
    <row r="689">
      <c r="A689" s="22" t="s">
        <v>1826</v>
      </c>
      <c r="B689" s="22" t="s">
        <v>5522</v>
      </c>
      <c r="C689" s="22" t="s">
        <v>5523</v>
      </c>
      <c r="D689" s="22" t="s">
        <v>367</v>
      </c>
      <c r="E689" s="22">
        <v>1.0</v>
      </c>
      <c r="F689" s="22"/>
      <c r="G689" s="22" t="s">
        <v>273</v>
      </c>
      <c r="H689" s="26">
        <v>45998.0</v>
      </c>
      <c r="I689" s="22" t="s">
        <v>153</v>
      </c>
      <c r="J689" s="22" t="s">
        <v>369</v>
      </c>
      <c r="K689" s="22" t="s">
        <v>372</v>
      </c>
      <c r="L689" s="35" t="s">
        <v>5524</v>
      </c>
      <c r="M689" s="32" t="s">
        <v>55</v>
      </c>
    </row>
    <row r="690">
      <c r="A690" s="22" t="s">
        <v>1827</v>
      </c>
      <c r="B690" s="22" t="s">
        <v>5525</v>
      </c>
      <c r="C690" s="22" t="s">
        <v>5526</v>
      </c>
      <c r="D690" s="22" t="s">
        <v>859</v>
      </c>
      <c r="E690" s="22">
        <v>1.0</v>
      </c>
      <c r="F690" s="22"/>
      <c r="G690" s="22" t="s">
        <v>82</v>
      </c>
      <c r="H690" s="26">
        <v>45997.0</v>
      </c>
      <c r="I690" s="22" t="s">
        <v>149</v>
      </c>
      <c r="J690" s="22" t="s">
        <v>605</v>
      </c>
      <c r="K690" s="22" t="s">
        <v>861</v>
      </c>
      <c r="L690" s="35" t="s">
        <v>5527</v>
      </c>
      <c r="M690" s="32" t="s">
        <v>95</v>
      </c>
    </row>
    <row r="691">
      <c r="A691" s="22" t="s">
        <v>1877</v>
      </c>
      <c r="B691" s="22" t="s">
        <v>5528</v>
      </c>
      <c r="C691" s="22" t="s">
        <v>5529</v>
      </c>
      <c r="D691" s="22" t="s">
        <v>837</v>
      </c>
      <c r="E691" s="22">
        <v>1.0</v>
      </c>
      <c r="F691" s="22"/>
      <c r="G691" s="22" t="s">
        <v>82</v>
      </c>
      <c r="H691" s="26">
        <v>45997.0</v>
      </c>
      <c r="I691" s="22" t="s">
        <v>975</v>
      </c>
      <c r="J691" s="22" t="s">
        <v>698</v>
      </c>
      <c r="K691" s="22" t="s">
        <v>839</v>
      </c>
      <c r="L691" s="35" t="s">
        <v>5530</v>
      </c>
      <c r="M691" s="32" t="s">
        <v>105</v>
      </c>
    </row>
    <row r="692">
      <c r="A692" s="22" t="s">
        <v>1830</v>
      </c>
      <c r="B692" s="22" t="s">
        <v>4959</v>
      </c>
      <c r="C692" s="22" t="s">
        <v>5531</v>
      </c>
      <c r="D692" s="22" t="s">
        <v>814</v>
      </c>
      <c r="E692" s="22">
        <v>1.0</v>
      </c>
      <c r="F692" s="22"/>
      <c r="G692" s="22" t="s">
        <v>82</v>
      </c>
      <c r="H692" s="26">
        <v>45997.0</v>
      </c>
      <c r="I692" s="22" t="s">
        <v>187</v>
      </c>
      <c r="J692" s="22" t="s">
        <v>698</v>
      </c>
      <c r="K692" s="22" t="s">
        <v>818</v>
      </c>
      <c r="L692" s="35" t="s">
        <v>5532</v>
      </c>
      <c r="M692" s="32" t="s">
        <v>127</v>
      </c>
    </row>
    <row r="693">
      <c r="A693" s="22" t="s">
        <v>1820</v>
      </c>
      <c r="B693" s="22" t="s">
        <v>4608</v>
      </c>
      <c r="C693" s="22" t="s">
        <v>5533</v>
      </c>
      <c r="D693" s="22" t="s">
        <v>415</v>
      </c>
      <c r="E693" s="22">
        <v>1.0</v>
      </c>
      <c r="F693" s="22"/>
      <c r="G693" s="22" t="s">
        <v>82</v>
      </c>
      <c r="H693" s="26">
        <v>45997.0</v>
      </c>
      <c r="I693" s="22" t="s">
        <v>149</v>
      </c>
      <c r="J693" s="22" t="s">
        <v>377</v>
      </c>
      <c r="K693" s="22" t="s">
        <v>419</v>
      </c>
      <c r="L693" s="35" t="s">
        <v>5534</v>
      </c>
      <c r="M693" s="32" t="s">
        <v>91</v>
      </c>
    </row>
    <row r="694">
      <c r="A694" s="22" t="s">
        <v>1753</v>
      </c>
      <c r="B694" s="22" t="s">
        <v>5535</v>
      </c>
      <c r="C694" s="22" t="s">
        <v>5536</v>
      </c>
      <c r="D694" s="22" t="s">
        <v>354</v>
      </c>
      <c r="E694" s="22">
        <v>1.0</v>
      </c>
      <c r="F694" s="22"/>
      <c r="G694" s="22" t="s">
        <v>273</v>
      </c>
      <c r="H694" s="23">
        <v>45991.0</v>
      </c>
      <c r="I694" s="22" t="s">
        <v>266</v>
      </c>
      <c r="J694" s="22" t="s">
        <v>356</v>
      </c>
      <c r="K694" s="22" t="s">
        <v>359</v>
      </c>
      <c r="L694" s="35" t="s">
        <v>5537</v>
      </c>
      <c r="M694" s="32" t="s">
        <v>54</v>
      </c>
    </row>
    <row r="695">
      <c r="A695" s="22" t="s">
        <v>1772</v>
      </c>
      <c r="B695" s="22" t="s">
        <v>5369</v>
      </c>
      <c r="C695" s="22" t="s">
        <v>5538</v>
      </c>
      <c r="D695" s="22" t="s">
        <v>375</v>
      </c>
      <c r="E695" s="22">
        <v>1.0</v>
      </c>
      <c r="F695" s="22"/>
      <c r="G695" s="22" t="s">
        <v>82</v>
      </c>
      <c r="H695" s="23">
        <v>46004.0</v>
      </c>
      <c r="I695" s="22" t="s">
        <v>252</v>
      </c>
      <c r="J695" s="22" t="s">
        <v>377</v>
      </c>
      <c r="K695" s="22" t="s">
        <v>380</v>
      </c>
      <c r="L695" s="35" t="s">
        <v>5539</v>
      </c>
      <c r="M695" s="32" t="s">
        <v>55</v>
      </c>
    </row>
    <row r="696">
      <c r="A696" s="22" t="s">
        <v>1831</v>
      </c>
      <c r="B696" s="22" t="s">
        <v>3855</v>
      </c>
      <c r="C696" s="22" t="s">
        <v>5540</v>
      </c>
      <c r="D696" s="22" t="s">
        <v>1246</v>
      </c>
      <c r="E696" s="22">
        <v>1.0</v>
      </c>
      <c r="F696" s="22"/>
      <c r="G696" s="22" t="s">
        <v>82</v>
      </c>
      <c r="H696" s="26">
        <v>45997.0</v>
      </c>
      <c r="I696" s="22" t="s">
        <v>149</v>
      </c>
      <c r="J696" s="22" t="s">
        <v>623</v>
      </c>
      <c r="K696" s="22" t="s">
        <v>1250</v>
      </c>
      <c r="L696" s="35" t="s">
        <v>5541</v>
      </c>
      <c r="M696" s="32" t="s">
        <v>175</v>
      </c>
    </row>
    <row r="697">
      <c r="A697" s="22" t="s">
        <v>1840</v>
      </c>
      <c r="B697" s="22" t="s">
        <v>4114</v>
      </c>
      <c r="C697" s="22" t="s">
        <v>3993</v>
      </c>
      <c r="D697" s="22" t="s">
        <v>580</v>
      </c>
      <c r="E697" s="22">
        <v>1.0</v>
      </c>
      <c r="F697" s="22"/>
      <c r="G697" s="22" t="s">
        <v>273</v>
      </c>
      <c r="H697" s="26">
        <v>45998.0</v>
      </c>
      <c r="I697" s="22" t="s">
        <v>266</v>
      </c>
      <c r="J697" s="22" t="s">
        <v>303</v>
      </c>
      <c r="K697" s="22" t="s">
        <v>583</v>
      </c>
      <c r="L697" s="35" t="s">
        <v>5542</v>
      </c>
      <c r="M697" s="32" t="s">
        <v>175</v>
      </c>
    </row>
    <row r="698">
      <c r="A698" s="22" t="s">
        <v>1842</v>
      </c>
      <c r="B698" s="22" t="s">
        <v>5543</v>
      </c>
      <c r="C698" s="22" t="s">
        <v>4471</v>
      </c>
      <c r="D698" s="22" t="s">
        <v>386</v>
      </c>
      <c r="E698" s="22">
        <v>1.0</v>
      </c>
      <c r="F698" s="22"/>
      <c r="G698" s="22" t="s">
        <v>82</v>
      </c>
      <c r="H698" s="26">
        <v>45997.0</v>
      </c>
      <c r="I698" s="22" t="s">
        <v>196</v>
      </c>
      <c r="J698" s="22" t="s">
        <v>311</v>
      </c>
      <c r="K698" s="22" t="s">
        <v>390</v>
      </c>
      <c r="L698" s="35" t="s">
        <v>5544</v>
      </c>
      <c r="M698" s="32" t="s">
        <v>55</v>
      </c>
    </row>
    <row r="699">
      <c r="A699" s="22" t="s">
        <v>1843</v>
      </c>
      <c r="B699" s="22" t="s">
        <v>5545</v>
      </c>
      <c r="C699" s="22" t="s">
        <v>5546</v>
      </c>
      <c r="D699" s="22" t="s">
        <v>689</v>
      </c>
      <c r="E699" s="22">
        <v>1.0</v>
      </c>
      <c r="F699" s="22"/>
      <c r="G699" s="22" t="s">
        <v>82</v>
      </c>
      <c r="H699" s="23">
        <v>46004.0</v>
      </c>
      <c r="I699" s="22" t="s">
        <v>153</v>
      </c>
      <c r="J699" s="22" t="s">
        <v>377</v>
      </c>
      <c r="K699" s="22" t="s">
        <v>691</v>
      </c>
      <c r="L699" s="35" t="s">
        <v>5547</v>
      </c>
      <c r="M699" s="32" t="s">
        <v>175</v>
      </c>
    </row>
    <row r="700">
      <c r="A700" s="22" t="s">
        <v>5548</v>
      </c>
      <c r="B700" s="22" t="s">
        <v>5549</v>
      </c>
      <c r="C700" s="22" t="s">
        <v>3826</v>
      </c>
      <c r="D700" s="22" t="s">
        <v>4025</v>
      </c>
      <c r="E700" s="22">
        <v>1.0</v>
      </c>
      <c r="F700" s="22"/>
      <c r="G700" s="22" t="s">
        <v>294</v>
      </c>
      <c r="H700" s="26">
        <v>45992.0</v>
      </c>
      <c r="I700" s="22" t="s">
        <v>497</v>
      </c>
      <c r="J700" s="22" t="s">
        <v>4026</v>
      </c>
      <c r="K700" s="22" t="s">
        <v>4027</v>
      </c>
      <c r="L700" s="35" t="s">
        <v>5550</v>
      </c>
      <c r="M700" s="32" t="s">
        <v>55</v>
      </c>
    </row>
    <row r="701">
      <c r="A701" s="22" t="s">
        <v>1844</v>
      </c>
      <c r="B701" s="22" t="s">
        <v>5551</v>
      </c>
      <c r="C701" s="22" t="s">
        <v>5552</v>
      </c>
      <c r="D701" s="22" t="s">
        <v>692</v>
      </c>
      <c r="E701" s="22">
        <v>1.0</v>
      </c>
      <c r="F701" s="22"/>
      <c r="G701" s="22" t="s">
        <v>273</v>
      </c>
      <c r="H701" s="26">
        <v>45998.0</v>
      </c>
      <c r="I701" s="22" t="s">
        <v>134</v>
      </c>
      <c r="J701" s="22" t="s">
        <v>369</v>
      </c>
      <c r="K701" s="22" t="s">
        <v>694</v>
      </c>
      <c r="L701" s="35" t="s">
        <v>5553</v>
      </c>
      <c r="M701" s="32" t="s">
        <v>54</v>
      </c>
    </row>
    <row r="702">
      <c r="A702" s="22" t="s">
        <v>1838</v>
      </c>
      <c r="B702" s="22" t="s">
        <v>5554</v>
      </c>
      <c r="C702" s="22" t="s">
        <v>5555</v>
      </c>
      <c r="D702" s="22" t="s">
        <v>367</v>
      </c>
      <c r="E702" s="22">
        <v>1.0</v>
      </c>
      <c r="F702" s="22"/>
      <c r="G702" s="22" t="s">
        <v>273</v>
      </c>
      <c r="H702" s="26">
        <v>45998.0</v>
      </c>
      <c r="I702" s="22" t="s">
        <v>153</v>
      </c>
      <c r="J702" s="22" t="s">
        <v>369</v>
      </c>
      <c r="K702" s="22" t="s">
        <v>372</v>
      </c>
      <c r="L702" s="35" t="s">
        <v>5556</v>
      </c>
      <c r="M702" s="32" t="s">
        <v>55</v>
      </c>
    </row>
    <row r="703">
      <c r="A703" s="22" t="s">
        <v>1846</v>
      </c>
      <c r="B703" s="22" t="s">
        <v>5557</v>
      </c>
      <c r="C703" s="22" t="s">
        <v>5558</v>
      </c>
      <c r="D703" s="22" t="s">
        <v>386</v>
      </c>
      <c r="E703" s="22">
        <v>1.0</v>
      </c>
      <c r="F703" s="22"/>
      <c r="G703" s="22" t="s">
        <v>273</v>
      </c>
      <c r="H703" s="26">
        <v>45998.0</v>
      </c>
      <c r="I703" s="22" t="s">
        <v>134</v>
      </c>
      <c r="J703" s="22" t="s">
        <v>311</v>
      </c>
      <c r="K703" s="22" t="s">
        <v>390</v>
      </c>
      <c r="L703" s="35" t="s">
        <v>5559</v>
      </c>
      <c r="M703" s="32" t="s">
        <v>55</v>
      </c>
    </row>
    <row r="704">
      <c r="A704" s="22" t="s">
        <v>1848</v>
      </c>
      <c r="B704" s="22" t="s">
        <v>5560</v>
      </c>
      <c r="C704" s="22" t="s">
        <v>5561</v>
      </c>
      <c r="D704" s="22" t="s">
        <v>309</v>
      </c>
      <c r="E704" s="22">
        <v>1.0</v>
      </c>
      <c r="F704" s="22"/>
      <c r="G704" s="22" t="s">
        <v>82</v>
      </c>
      <c r="H704" s="26">
        <v>45997.0</v>
      </c>
      <c r="I704" s="22" t="s">
        <v>196</v>
      </c>
      <c r="J704" s="22" t="s">
        <v>311</v>
      </c>
      <c r="K704" s="22" t="s">
        <v>314</v>
      </c>
      <c r="L704" s="35" t="s">
        <v>5562</v>
      </c>
      <c r="M704" s="32" t="s">
        <v>105</v>
      </c>
    </row>
    <row r="705">
      <c r="A705" s="22" t="s">
        <v>1849</v>
      </c>
      <c r="B705" s="22" t="s">
        <v>5563</v>
      </c>
      <c r="C705" s="22" t="s">
        <v>5564</v>
      </c>
      <c r="D705" s="22" t="s">
        <v>696</v>
      </c>
      <c r="E705" s="22">
        <v>1.0</v>
      </c>
      <c r="F705" s="22"/>
      <c r="G705" s="22" t="s">
        <v>82</v>
      </c>
      <c r="H705" s="26">
        <v>45997.0</v>
      </c>
      <c r="I705" s="22" t="s">
        <v>211</v>
      </c>
      <c r="J705" s="22" t="s">
        <v>698</v>
      </c>
      <c r="K705" s="22" t="s">
        <v>701</v>
      </c>
      <c r="L705" s="35" t="s">
        <v>5565</v>
      </c>
      <c r="M705" s="32" t="s">
        <v>55</v>
      </c>
    </row>
    <row r="706">
      <c r="A706" s="22" t="s">
        <v>1850</v>
      </c>
      <c r="B706" s="22" t="s">
        <v>5566</v>
      </c>
      <c r="C706" s="22" t="s">
        <v>5567</v>
      </c>
      <c r="D706" s="22" t="s">
        <v>789</v>
      </c>
      <c r="E706" s="22">
        <v>1.0</v>
      </c>
      <c r="F706" s="22"/>
      <c r="G706" s="22" t="s">
        <v>82</v>
      </c>
      <c r="H706" s="26">
        <v>45997.0</v>
      </c>
      <c r="I706" s="22" t="s">
        <v>149</v>
      </c>
      <c r="J706" s="22" t="s">
        <v>605</v>
      </c>
      <c r="K706" s="22" t="s">
        <v>794</v>
      </c>
      <c r="L706" s="35" t="s">
        <v>5568</v>
      </c>
      <c r="M706" s="32" t="s">
        <v>105</v>
      </c>
    </row>
    <row r="707">
      <c r="A707" s="22" t="s">
        <v>1852</v>
      </c>
      <c r="B707" s="22" t="s">
        <v>4234</v>
      </c>
      <c r="C707" s="22" t="s">
        <v>5569</v>
      </c>
      <c r="D707" s="22" t="s">
        <v>488</v>
      </c>
      <c r="E707" s="22">
        <v>1.0</v>
      </c>
      <c r="F707" s="22"/>
      <c r="G707" s="22" t="s">
        <v>273</v>
      </c>
      <c r="H707" s="26">
        <v>45998.0</v>
      </c>
      <c r="I707" s="22" t="s">
        <v>134</v>
      </c>
      <c r="J707" s="22" t="s">
        <v>311</v>
      </c>
      <c r="K707" s="22" t="s">
        <v>492</v>
      </c>
      <c r="L707" s="35" t="s">
        <v>5570</v>
      </c>
      <c r="M707" s="32" t="s">
        <v>95</v>
      </c>
    </row>
    <row r="708">
      <c r="A708" s="22" t="s">
        <v>1854</v>
      </c>
      <c r="B708" s="22" t="s">
        <v>5571</v>
      </c>
      <c r="C708" s="22" t="s">
        <v>5572</v>
      </c>
      <c r="D708" s="22" t="s">
        <v>1192</v>
      </c>
      <c r="E708" s="22">
        <v>1.0</v>
      </c>
      <c r="F708" s="22"/>
      <c r="G708" s="22" t="s">
        <v>273</v>
      </c>
      <c r="H708" s="26">
        <v>45998.0</v>
      </c>
      <c r="I708" s="22" t="s">
        <v>153</v>
      </c>
      <c r="J708" s="22" t="s">
        <v>717</v>
      </c>
      <c r="K708" s="22" t="s">
        <v>1196</v>
      </c>
      <c r="L708" s="35" t="s">
        <v>5573</v>
      </c>
      <c r="M708" s="32" t="s">
        <v>127</v>
      </c>
    </row>
    <row r="709">
      <c r="A709" s="22" t="s">
        <v>1856</v>
      </c>
      <c r="B709" s="22" t="s">
        <v>5574</v>
      </c>
      <c r="C709" s="22" t="s">
        <v>5575</v>
      </c>
      <c r="D709" s="22" t="s">
        <v>415</v>
      </c>
      <c r="E709" s="22">
        <v>1.0</v>
      </c>
      <c r="F709" s="22"/>
      <c r="G709" s="22" t="s">
        <v>82</v>
      </c>
      <c r="H709" s="26">
        <v>45997.0</v>
      </c>
      <c r="I709" s="22" t="s">
        <v>153</v>
      </c>
      <c r="J709" s="22" t="s">
        <v>377</v>
      </c>
      <c r="K709" s="22" t="s">
        <v>419</v>
      </c>
      <c r="L709" s="35" t="s">
        <v>5576</v>
      </c>
      <c r="M709" s="32" t="s">
        <v>91</v>
      </c>
    </row>
    <row r="710">
      <c r="A710" s="22" t="s">
        <v>1858</v>
      </c>
      <c r="B710" s="22" t="s">
        <v>5577</v>
      </c>
      <c r="C710" s="22" t="s">
        <v>5404</v>
      </c>
      <c r="D710" s="22" t="s">
        <v>96</v>
      </c>
      <c r="E710" s="22">
        <v>1.0</v>
      </c>
      <c r="F710" s="22"/>
      <c r="G710" s="22" t="s">
        <v>202</v>
      </c>
      <c r="H710" s="26">
        <v>45996.0</v>
      </c>
      <c r="I710" s="22" t="s">
        <v>149</v>
      </c>
      <c r="J710" s="22" t="s">
        <v>83</v>
      </c>
      <c r="K710" s="22" t="s">
        <v>98</v>
      </c>
      <c r="L710" s="35" t="s">
        <v>5578</v>
      </c>
      <c r="M710" s="32" t="s">
        <v>55</v>
      </c>
    </row>
    <row r="711">
      <c r="A711" s="22" t="s">
        <v>1926</v>
      </c>
      <c r="B711" s="22" t="s">
        <v>5261</v>
      </c>
      <c r="C711" s="22" t="s">
        <v>5579</v>
      </c>
      <c r="D711" s="22" t="s">
        <v>538</v>
      </c>
      <c r="E711" s="22">
        <v>1.0</v>
      </c>
      <c r="F711" s="22"/>
      <c r="G711" s="22" t="s">
        <v>273</v>
      </c>
      <c r="H711" s="26">
        <v>45998.0</v>
      </c>
      <c r="I711" s="22" t="s">
        <v>138</v>
      </c>
      <c r="J711" s="22" t="s">
        <v>369</v>
      </c>
      <c r="K711" s="22" t="s">
        <v>542</v>
      </c>
      <c r="L711" s="35" t="s">
        <v>5580</v>
      </c>
      <c r="M711" s="32" t="s">
        <v>91</v>
      </c>
    </row>
    <row r="712">
      <c r="A712" s="22" t="s">
        <v>1860</v>
      </c>
      <c r="B712" s="22" t="s">
        <v>4248</v>
      </c>
      <c r="C712" s="22" t="s">
        <v>5581</v>
      </c>
      <c r="D712" s="22" t="s">
        <v>478</v>
      </c>
      <c r="E712" s="22">
        <v>1.0</v>
      </c>
      <c r="F712" s="22"/>
      <c r="G712" s="22" t="s">
        <v>82</v>
      </c>
      <c r="H712" s="26">
        <v>45997.0</v>
      </c>
      <c r="I712" s="22" t="s">
        <v>145</v>
      </c>
      <c r="J712" s="22" t="s">
        <v>472</v>
      </c>
      <c r="K712" s="22" t="s">
        <v>483</v>
      </c>
      <c r="L712" s="35" t="s">
        <v>5582</v>
      </c>
      <c r="M712" s="32" t="s">
        <v>95</v>
      </c>
    </row>
    <row r="713">
      <c r="A713" s="22" t="s">
        <v>5583</v>
      </c>
      <c r="B713" s="22" t="s">
        <v>4582</v>
      </c>
      <c r="C713" s="22" t="s">
        <v>4603</v>
      </c>
      <c r="D713" s="22" t="s">
        <v>4398</v>
      </c>
      <c r="E713" s="22">
        <v>1.0</v>
      </c>
      <c r="F713" s="22"/>
      <c r="G713" s="22" t="s">
        <v>294</v>
      </c>
      <c r="H713" s="26">
        <v>45992.0</v>
      </c>
      <c r="I713" s="22" t="s">
        <v>266</v>
      </c>
      <c r="J713" s="22" t="s">
        <v>4399</v>
      </c>
      <c r="K713" s="22" t="s">
        <v>4400</v>
      </c>
      <c r="L713" s="35" t="s">
        <v>5584</v>
      </c>
      <c r="M713" s="32" t="s">
        <v>55</v>
      </c>
    </row>
    <row r="714">
      <c r="A714" s="22" t="s">
        <v>161</v>
      </c>
      <c r="B714" s="22" t="s">
        <v>4183</v>
      </c>
      <c r="C714" s="22" t="s">
        <v>5585</v>
      </c>
      <c r="D714" s="22" t="s">
        <v>158</v>
      </c>
      <c r="E714" s="22">
        <v>1.0</v>
      </c>
      <c r="F714" s="22"/>
      <c r="G714" s="22" t="s">
        <v>82</v>
      </c>
      <c r="H714" s="23">
        <v>45990.0</v>
      </c>
      <c r="I714" s="22" t="s">
        <v>160</v>
      </c>
      <c r="J714" s="22" t="s">
        <v>111</v>
      </c>
      <c r="K714" s="22" t="s">
        <v>163</v>
      </c>
      <c r="L714" s="35" t="s">
        <v>5586</v>
      </c>
      <c r="M714" s="32" t="s">
        <v>127</v>
      </c>
    </row>
    <row r="715">
      <c r="A715" s="22" t="s">
        <v>1862</v>
      </c>
      <c r="B715" s="22" t="s">
        <v>4479</v>
      </c>
      <c r="C715" s="22" t="s">
        <v>5587</v>
      </c>
      <c r="D715" s="22" t="s">
        <v>545</v>
      </c>
      <c r="E715" s="22">
        <v>1.0</v>
      </c>
      <c r="F715" s="22"/>
      <c r="G715" s="22" t="s">
        <v>273</v>
      </c>
      <c r="H715" s="23">
        <v>45991.0</v>
      </c>
      <c r="I715" s="22" t="s">
        <v>149</v>
      </c>
      <c r="J715" s="22" t="s">
        <v>356</v>
      </c>
      <c r="K715" s="22" t="s">
        <v>549</v>
      </c>
      <c r="L715" s="35" t="s">
        <v>5588</v>
      </c>
      <c r="M715" s="32" t="s">
        <v>55</v>
      </c>
    </row>
    <row r="716">
      <c r="A716" s="22" t="s">
        <v>1864</v>
      </c>
      <c r="B716" s="22" t="s">
        <v>3840</v>
      </c>
      <c r="C716" s="22" t="s">
        <v>5589</v>
      </c>
      <c r="D716" s="22" t="s">
        <v>979</v>
      </c>
      <c r="E716" s="22">
        <v>1.0</v>
      </c>
      <c r="F716" s="22"/>
      <c r="G716" s="22" t="s">
        <v>82</v>
      </c>
      <c r="H716" s="26">
        <v>45997.0</v>
      </c>
      <c r="I716" s="22" t="s">
        <v>1131</v>
      </c>
      <c r="J716" s="22" t="s">
        <v>605</v>
      </c>
      <c r="K716" s="22" t="s">
        <v>984</v>
      </c>
      <c r="L716" s="35" t="s">
        <v>5590</v>
      </c>
      <c r="M716" s="32" t="s">
        <v>55</v>
      </c>
    </row>
    <row r="717">
      <c r="A717" s="22" t="s">
        <v>1866</v>
      </c>
      <c r="B717" s="22" t="s">
        <v>3909</v>
      </c>
      <c r="C717" s="22" t="s">
        <v>4890</v>
      </c>
      <c r="D717" s="22" t="s">
        <v>408</v>
      </c>
      <c r="E717" s="22">
        <v>1.0</v>
      </c>
      <c r="F717" s="22"/>
      <c r="G717" s="22" t="s">
        <v>82</v>
      </c>
      <c r="H717" s="26">
        <v>45997.0</v>
      </c>
      <c r="I717" s="22" t="s">
        <v>153</v>
      </c>
      <c r="J717" s="22" t="s">
        <v>377</v>
      </c>
      <c r="K717" s="22" t="s">
        <v>412</v>
      </c>
      <c r="L717" s="35" t="s">
        <v>5591</v>
      </c>
      <c r="M717" s="32" t="s">
        <v>127</v>
      </c>
    </row>
    <row r="718">
      <c r="A718" s="22" t="s">
        <v>1867</v>
      </c>
      <c r="B718" s="22" t="s">
        <v>4114</v>
      </c>
      <c r="C718" s="22" t="s">
        <v>5592</v>
      </c>
      <c r="D718" s="22" t="s">
        <v>595</v>
      </c>
      <c r="E718" s="22">
        <v>1.0</v>
      </c>
      <c r="F718" s="22"/>
      <c r="G718" s="22" t="s">
        <v>273</v>
      </c>
      <c r="H718" s="26">
        <v>45998.0</v>
      </c>
      <c r="I718" s="22" t="s">
        <v>153</v>
      </c>
      <c r="J718" s="22" t="s">
        <v>369</v>
      </c>
      <c r="K718" s="22" t="s">
        <v>599</v>
      </c>
      <c r="L718" s="35" t="s">
        <v>5593</v>
      </c>
      <c r="M718" s="32" t="s">
        <v>127</v>
      </c>
    </row>
    <row r="719">
      <c r="A719" s="22" t="s">
        <v>169</v>
      </c>
      <c r="B719" s="22" t="s">
        <v>5594</v>
      </c>
      <c r="C719" s="22" t="s">
        <v>5595</v>
      </c>
      <c r="D719" s="22" t="s">
        <v>166</v>
      </c>
      <c r="E719" s="22">
        <v>1.0</v>
      </c>
      <c r="F719" s="22"/>
      <c r="G719" s="22" t="s">
        <v>82</v>
      </c>
      <c r="H719" s="23">
        <v>45990.0</v>
      </c>
      <c r="I719" s="22" t="s">
        <v>168</v>
      </c>
      <c r="J719" s="22" t="s">
        <v>111</v>
      </c>
      <c r="K719" s="22" t="s">
        <v>171</v>
      </c>
      <c r="L719" s="35" t="s">
        <v>5596</v>
      </c>
      <c r="M719" s="32" t="s">
        <v>55</v>
      </c>
    </row>
    <row r="720">
      <c r="A720" s="22" t="s">
        <v>1896</v>
      </c>
      <c r="B720" s="22" t="s">
        <v>5597</v>
      </c>
      <c r="C720" s="22" t="s">
        <v>5598</v>
      </c>
      <c r="D720" s="22" t="s">
        <v>386</v>
      </c>
      <c r="E720" s="22">
        <v>1.0</v>
      </c>
      <c r="F720" s="22"/>
      <c r="G720" s="22" t="s">
        <v>82</v>
      </c>
      <c r="H720" s="26">
        <v>45997.0</v>
      </c>
      <c r="I720" s="22" t="s">
        <v>1895</v>
      </c>
      <c r="J720" s="22" t="s">
        <v>311</v>
      </c>
      <c r="K720" s="22" t="s">
        <v>390</v>
      </c>
      <c r="L720" s="35" t="s">
        <v>5599</v>
      </c>
      <c r="M720" s="32" t="s">
        <v>55</v>
      </c>
    </row>
    <row r="721">
      <c r="A721" s="22" t="s">
        <v>1869</v>
      </c>
      <c r="B721" s="22" t="s">
        <v>5600</v>
      </c>
      <c r="C721" s="22" t="s">
        <v>5601</v>
      </c>
      <c r="D721" s="22" t="s">
        <v>1832</v>
      </c>
      <c r="E721" s="22">
        <v>1.0</v>
      </c>
      <c r="F721" s="22"/>
      <c r="G721" s="22" t="s">
        <v>82</v>
      </c>
      <c r="H721" s="26">
        <v>45997.0</v>
      </c>
      <c r="I721" s="22" t="s">
        <v>970</v>
      </c>
      <c r="J721" s="22" t="s">
        <v>698</v>
      </c>
      <c r="K721" s="22" t="s">
        <v>1834</v>
      </c>
      <c r="L721" s="35" t="s">
        <v>5602</v>
      </c>
      <c r="M721" s="32" t="s">
        <v>91</v>
      </c>
    </row>
    <row r="722">
      <c r="A722" s="22" t="s">
        <v>1870</v>
      </c>
      <c r="B722" s="22" t="s">
        <v>3671</v>
      </c>
      <c r="C722" s="22" t="s">
        <v>5603</v>
      </c>
      <c r="D722" s="22" t="s">
        <v>822</v>
      </c>
      <c r="E722" s="22">
        <v>1.0</v>
      </c>
      <c r="F722" s="22"/>
      <c r="G722" s="22" t="s">
        <v>82</v>
      </c>
      <c r="H722" s="26">
        <v>45997.0</v>
      </c>
      <c r="I722" s="22" t="s">
        <v>177</v>
      </c>
      <c r="J722" s="22" t="s">
        <v>634</v>
      </c>
      <c r="K722" s="22" t="s">
        <v>826</v>
      </c>
      <c r="L722" s="35" t="s">
        <v>5604</v>
      </c>
      <c r="M722" s="32" t="s">
        <v>55</v>
      </c>
    </row>
    <row r="723">
      <c r="A723" s="22" t="s">
        <v>1871</v>
      </c>
      <c r="B723" s="22" t="s">
        <v>5605</v>
      </c>
      <c r="C723" s="22" t="s">
        <v>5606</v>
      </c>
      <c r="D723" s="22" t="s">
        <v>354</v>
      </c>
      <c r="E723" s="22">
        <v>1.0</v>
      </c>
      <c r="F723" s="22"/>
      <c r="G723" s="22" t="s">
        <v>273</v>
      </c>
      <c r="H723" s="23">
        <v>45991.0</v>
      </c>
      <c r="I723" s="22" t="s">
        <v>266</v>
      </c>
      <c r="J723" s="22" t="s">
        <v>356</v>
      </c>
      <c r="K723" s="22" t="s">
        <v>359</v>
      </c>
      <c r="L723" s="35" t="s">
        <v>5607</v>
      </c>
      <c r="M723" s="32" t="s">
        <v>54</v>
      </c>
    </row>
    <row r="724">
      <c r="A724" s="22" t="s">
        <v>1872</v>
      </c>
      <c r="B724" s="22" t="s">
        <v>5608</v>
      </c>
      <c r="C724" s="22" t="s">
        <v>5609</v>
      </c>
      <c r="D724" s="22" t="s">
        <v>401</v>
      </c>
      <c r="E724" s="22">
        <v>1.0</v>
      </c>
      <c r="F724" s="22"/>
      <c r="G724" s="22" t="s">
        <v>82</v>
      </c>
      <c r="H724" s="26">
        <v>45997.0</v>
      </c>
      <c r="I724" s="22" t="s">
        <v>196</v>
      </c>
      <c r="J724" s="22" t="s">
        <v>319</v>
      </c>
      <c r="K724" s="22" t="s">
        <v>403</v>
      </c>
      <c r="L724" s="35" t="s">
        <v>5610</v>
      </c>
      <c r="M724" s="32" t="s">
        <v>127</v>
      </c>
    </row>
    <row r="725">
      <c r="A725" s="22" t="s">
        <v>1873</v>
      </c>
      <c r="B725" s="22" t="s">
        <v>4228</v>
      </c>
      <c r="C725" s="22" t="s">
        <v>5611</v>
      </c>
      <c r="D725" s="22" t="s">
        <v>979</v>
      </c>
      <c r="E725" s="22">
        <v>1.0</v>
      </c>
      <c r="F725" s="22"/>
      <c r="G725" s="22" t="s">
        <v>82</v>
      </c>
      <c r="H725" s="26">
        <v>45997.0</v>
      </c>
      <c r="I725" s="22" t="s">
        <v>149</v>
      </c>
      <c r="J725" s="22" t="s">
        <v>605</v>
      </c>
      <c r="K725" s="22" t="s">
        <v>984</v>
      </c>
      <c r="L725" s="35" t="s">
        <v>5612</v>
      </c>
      <c r="M725" s="32" t="s">
        <v>55</v>
      </c>
    </row>
    <row r="726">
      <c r="A726" s="22" t="s">
        <v>1861</v>
      </c>
      <c r="B726" s="22" t="s">
        <v>5613</v>
      </c>
      <c r="C726" s="22" t="s">
        <v>5614</v>
      </c>
      <c r="D726" s="22" t="s">
        <v>166</v>
      </c>
      <c r="E726" s="22">
        <v>1.0</v>
      </c>
      <c r="F726" s="22"/>
      <c r="G726" s="22" t="s">
        <v>82</v>
      </c>
      <c r="H726" s="26">
        <v>45997.0</v>
      </c>
      <c r="I726" s="22" t="s">
        <v>187</v>
      </c>
      <c r="J726" s="22" t="s">
        <v>111</v>
      </c>
      <c r="K726" s="22" t="s">
        <v>171</v>
      </c>
      <c r="L726" s="35" t="s">
        <v>5615</v>
      </c>
      <c r="M726" s="32" t="s">
        <v>55</v>
      </c>
    </row>
    <row r="727">
      <c r="A727" s="22" t="s">
        <v>1875</v>
      </c>
      <c r="B727" s="22" t="s">
        <v>5069</v>
      </c>
      <c r="C727" s="22" t="s">
        <v>5616</v>
      </c>
      <c r="D727" s="22" t="s">
        <v>1316</v>
      </c>
      <c r="E727" s="22">
        <v>1.0</v>
      </c>
      <c r="F727" s="22"/>
      <c r="G727" s="22" t="s">
        <v>273</v>
      </c>
      <c r="H727" s="23">
        <v>45991.0</v>
      </c>
      <c r="I727" s="22" t="s">
        <v>153</v>
      </c>
      <c r="J727" s="22" t="s">
        <v>329</v>
      </c>
      <c r="K727" s="22" t="s">
        <v>1318</v>
      </c>
      <c r="L727" s="35" t="s">
        <v>5617</v>
      </c>
      <c r="M727" s="32" t="s">
        <v>175</v>
      </c>
    </row>
    <row r="728">
      <c r="A728" s="22" t="s">
        <v>5618</v>
      </c>
      <c r="B728" s="22" t="s">
        <v>5014</v>
      </c>
      <c r="C728" s="22" t="s">
        <v>5619</v>
      </c>
      <c r="D728" s="22" t="s">
        <v>4741</v>
      </c>
      <c r="E728" s="22">
        <v>1.0</v>
      </c>
      <c r="F728" s="22"/>
      <c r="G728" s="22" t="s">
        <v>202</v>
      </c>
      <c r="H728" s="26">
        <v>45996.0</v>
      </c>
      <c r="I728" s="22" t="s">
        <v>196</v>
      </c>
      <c r="J728" s="22" t="s">
        <v>4325</v>
      </c>
      <c r="K728" s="22" t="s">
        <v>4742</v>
      </c>
      <c r="L728" s="35" t="s">
        <v>5620</v>
      </c>
      <c r="M728" s="32" t="s">
        <v>55</v>
      </c>
    </row>
    <row r="729">
      <c r="A729" s="22" t="s">
        <v>1876</v>
      </c>
      <c r="B729" s="22" t="s">
        <v>3959</v>
      </c>
      <c r="C729" s="22" t="s">
        <v>5621</v>
      </c>
      <c r="D729" s="22" t="s">
        <v>740</v>
      </c>
      <c r="E729" s="22">
        <v>1.0</v>
      </c>
      <c r="F729" s="22"/>
      <c r="G729" s="22" t="s">
        <v>273</v>
      </c>
      <c r="H729" s="26">
        <v>45998.0</v>
      </c>
      <c r="I729" s="22" t="s">
        <v>134</v>
      </c>
      <c r="J729" s="22" t="s">
        <v>303</v>
      </c>
      <c r="K729" s="22" t="s">
        <v>744</v>
      </c>
      <c r="L729" s="35" t="s">
        <v>5622</v>
      </c>
      <c r="M729" s="32" t="s">
        <v>91</v>
      </c>
    </row>
    <row r="730">
      <c r="A730" s="22" t="s">
        <v>1913</v>
      </c>
      <c r="B730" s="22" t="s">
        <v>3805</v>
      </c>
      <c r="C730" s="22" t="s">
        <v>5623</v>
      </c>
      <c r="D730" s="22" t="s">
        <v>141</v>
      </c>
      <c r="E730" s="22">
        <v>1.0</v>
      </c>
      <c r="F730" s="22"/>
      <c r="G730" s="22" t="s">
        <v>202</v>
      </c>
      <c r="H730" s="26">
        <v>45996.0</v>
      </c>
      <c r="I730" s="22" t="s">
        <v>153</v>
      </c>
      <c r="J730" s="22" t="s">
        <v>83</v>
      </c>
      <c r="K730" s="22" t="s">
        <v>143</v>
      </c>
      <c r="L730" s="35" t="s">
        <v>5624</v>
      </c>
      <c r="M730" s="32" t="s">
        <v>54</v>
      </c>
    </row>
    <row r="731">
      <c r="A731" s="22" t="s">
        <v>1879</v>
      </c>
      <c r="B731" s="22" t="s">
        <v>3889</v>
      </c>
      <c r="C731" s="22" t="s">
        <v>5625</v>
      </c>
      <c r="D731" s="22" t="s">
        <v>96</v>
      </c>
      <c r="E731" s="22">
        <v>1.0</v>
      </c>
      <c r="F731" s="22"/>
      <c r="G731" s="22" t="s">
        <v>336</v>
      </c>
      <c r="H731" s="26">
        <v>45995.0</v>
      </c>
      <c r="I731" s="22" t="s">
        <v>266</v>
      </c>
      <c r="J731" s="22" t="s">
        <v>83</v>
      </c>
      <c r="K731" s="22" t="s">
        <v>98</v>
      </c>
      <c r="L731" s="35" t="s">
        <v>5626</v>
      </c>
      <c r="M731" s="32" t="s">
        <v>55</v>
      </c>
    </row>
    <row r="732">
      <c r="A732" s="22" t="s">
        <v>1881</v>
      </c>
      <c r="B732" s="22" t="s">
        <v>4297</v>
      </c>
      <c r="C732" s="22" t="s">
        <v>5627</v>
      </c>
      <c r="D732" s="22" t="s">
        <v>1217</v>
      </c>
      <c r="E732" s="22">
        <v>1.0</v>
      </c>
      <c r="F732" s="22"/>
      <c r="G732" s="22" t="s">
        <v>82</v>
      </c>
      <c r="H732" s="26">
        <v>45997.0</v>
      </c>
      <c r="I732" s="22" t="s">
        <v>149</v>
      </c>
      <c r="J732" s="22" t="s">
        <v>605</v>
      </c>
      <c r="K732" s="22" t="s">
        <v>1219</v>
      </c>
      <c r="L732" s="35" t="s">
        <v>5628</v>
      </c>
      <c r="M732" s="32" t="s">
        <v>91</v>
      </c>
    </row>
    <row r="733">
      <c r="A733" s="22" t="s">
        <v>1883</v>
      </c>
      <c r="B733" s="22" t="s">
        <v>4754</v>
      </c>
      <c r="C733" s="22" t="s">
        <v>5629</v>
      </c>
      <c r="D733" s="22" t="s">
        <v>885</v>
      </c>
      <c r="E733" s="22">
        <v>1.0</v>
      </c>
      <c r="F733" s="22"/>
      <c r="G733" s="22" t="s">
        <v>82</v>
      </c>
      <c r="H733" s="26">
        <v>45997.0</v>
      </c>
      <c r="I733" s="22" t="s">
        <v>1400</v>
      </c>
      <c r="J733" s="22" t="s">
        <v>605</v>
      </c>
      <c r="K733" s="22" t="s">
        <v>890</v>
      </c>
      <c r="L733" s="35" t="s">
        <v>5630</v>
      </c>
      <c r="M733" s="32" t="s">
        <v>127</v>
      </c>
    </row>
    <row r="734">
      <c r="A734" s="22" t="s">
        <v>1885</v>
      </c>
      <c r="B734" s="22" t="s">
        <v>5631</v>
      </c>
      <c r="C734" s="22" t="s">
        <v>5632</v>
      </c>
      <c r="D734" s="22" t="s">
        <v>569</v>
      </c>
      <c r="E734" s="22">
        <v>1.0</v>
      </c>
      <c r="F734" s="22"/>
      <c r="G734" s="22" t="s">
        <v>273</v>
      </c>
      <c r="H734" s="26">
        <v>45998.0</v>
      </c>
      <c r="I734" s="22" t="s">
        <v>134</v>
      </c>
      <c r="J734" s="22" t="s">
        <v>472</v>
      </c>
      <c r="K734" s="22" t="s">
        <v>571</v>
      </c>
      <c r="L734" s="35" t="s">
        <v>5633</v>
      </c>
      <c r="M734" s="32" t="s">
        <v>105</v>
      </c>
    </row>
    <row r="735">
      <c r="A735" s="22" t="s">
        <v>1886</v>
      </c>
      <c r="B735" s="22" t="s">
        <v>5634</v>
      </c>
      <c r="C735" s="22" t="s">
        <v>5635</v>
      </c>
      <c r="D735" s="22" t="s">
        <v>423</v>
      </c>
      <c r="E735" s="22">
        <v>1.0</v>
      </c>
      <c r="F735" s="22"/>
      <c r="G735" s="22" t="s">
        <v>273</v>
      </c>
      <c r="H735" s="26">
        <v>45998.0</v>
      </c>
      <c r="I735" s="22" t="s">
        <v>153</v>
      </c>
      <c r="J735" s="22" t="s">
        <v>369</v>
      </c>
      <c r="K735" s="22" t="s">
        <v>427</v>
      </c>
      <c r="L735" s="35" t="s">
        <v>5636</v>
      </c>
      <c r="M735" s="32" t="s">
        <v>95</v>
      </c>
    </row>
    <row r="736">
      <c r="A736" s="22" t="s">
        <v>1887</v>
      </c>
      <c r="B736" s="22" t="s">
        <v>5637</v>
      </c>
      <c r="C736" s="22" t="s">
        <v>5638</v>
      </c>
      <c r="D736" s="22" t="s">
        <v>362</v>
      </c>
      <c r="E736" s="22">
        <v>1.0</v>
      </c>
      <c r="F736" s="22"/>
      <c r="G736" s="22" t="s">
        <v>82</v>
      </c>
      <c r="H736" s="26">
        <v>45997.0</v>
      </c>
      <c r="I736" s="22" t="s">
        <v>1624</v>
      </c>
      <c r="J736" s="22" t="s">
        <v>278</v>
      </c>
      <c r="K736" s="22" t="s">
        <v>366</v>
      </c>
      <c r="L736" s="35" t="s">
        <v>5639</v>
      </c>
      <c r="M736" s="32" t="s">
        <v>54</v>
      </c>
    </row>
    <row r="737">
      <c r="A737" s="22" t="s">
        <v>1888</v>
      </c>
      <c r="B737" s="22" t="s">
        <v>5640</v>
      </c>
      <c r="C737" s="22" t="s">
        <v>5641</v>
      </c>
      <c r="D737" s="22" t="s">
        <v>375</v>
      </c>
      <c r="E737" s="22">
        <v>1.0</v>
      </c>
      <c r="F737" s="22"/>
      <c r="G737" s="22" t="s">
        <v>82</v>
      </c>
      <c r="H737" s="26">
        <v>45997.0</v>
      </c>
      <c r="I737" s="22" t="s">
        <v>153</v>
      </c>
      <c r="J737" s="22" t="s">
        <v>377</v>
      </c>
      <c r="K737" s="22" t="s">
        <v>380</v>
      </c>
      <c r="L737" s="35" t="s">
        <v>5642</v>
      </c>
      <c r="M737" s="32" t="s">
        <v>55</v>
      </c>
    </row>
    <row r="738">
      <c r="A738" s="22" t="s">
        <v>1889</v>
      </c>
      <c r="B738" s="22" t="s">
        <v>4653</v>
      </c>
      <c r="C738" s="22" t="s">
        <v>5643</v>
      </c>
      <c r="D738" s="22" t="s">
        <v>580</v>
      </c>
      <c r="E738" s="22">
        <v>1.0</v>
      </c>
      <c r="F738" s="22"/>
      <c r="G738" s="22" t="s">
        <v>82</v>
      </c>
      <c r="H738" s="26">
        <v>45997.0</v>
      </c>
      <c r="I738" s="22" t="s">
        <v>134</v>
      </c>
      <c r="J738" s="22" t="s">
        <v>303</v>
      </c>
      <c r="K738" s="22" t="s">
        <v>583</v>
      </c>
      <c r="L738" s="35" t="s">
        <v>5644</v>
      </c>
      <c r="M738" s="32" t="s">
        <v>175</v>
      </c>
    </row>
    <row r="739">
      <c r="A739" s="22" t="s">
        <v>1891</v>
      </c>
      <c r="B739" s="22" t="s">
        <v>3918</v>
      </c>
      <c r="C739" s="22" t="s">
        <v>5645</v>
      </c>
      <c r="D739" s="22" t="s">
        <v>124</v>
      </c>
      <c r="E739" s="22">
        <v>1.0</v>
      </c>
      <c r="F739" s="22"/>
      <c r="G739" s="22" t="s">
        <v>202</v>
      </c>
      <c r="H739" s="26">
        <v>45996.0</v>
      </c>
      <c r="I739" s="22" t="s">
        <v>981</v>
      </c>
      <c r="J739" s="22" t="s">
        <v>83</v>
      </c>
      <c r="K739" s="22" t="s">
        <v>126</v>
      </c>
      <c r="L739" s="35" t="s">
        <v>5646</v>
      </c>
      <c r="M739" s="32" t="s">
        <v>127</v>
      </c>
    </row>
    <row r="740">
      <c r="A740" s="22" t="s">
        <v>1836</v>
      </c>
      <c r="B740" s="22" t="s">
        <v>5647</v>
      </c>
      <c r="C740" s="22" t="s">
        <v>5648</v>
      </c>
      <c r="D740" s="22" t="s">
        <v>484</v>
      </c>
      <c r="E740" s="22">
        <v>1.0</v>
      </c>
      <c r="F740" s="22"/>
      <c r="G740" s="22" t="s">
        <v>287</v>
      </c>
      <c r="H740" s="26">
        <v>45994.0</v>
      </c>
      <c r="I740" s="22" t="s">
        <v>266</v>
      </c>
      <c r="J740" s="22" t="s">
        <v>311</v>
      </c>
      <c r="K740" s="22" t="s">
        <v>487</v>
      </c>
      <c r="L740" s="35" t="s">
        <v>5649</v>
      </c>
      <c r="M740" s="32" t="s">
        <v>127</v>
      </c>
    </row>
    <row r="741">
      <c r="A741" s="22" t="s">
        <v>1922</v>
      </c>
      <c r="B741" s="22" t="s">
        <v>5650</v>
      </c>
      <c r="C741" s="22" t="s">
        <v>4873</v>
      </c>
      <c r="D741" s="22" t="s">
        <v>470</v>
      </c>
      <c r="E741" s="22">
        <v>1.0</v>
      </c>
      <c r="F741" s="22"/>
      <c r="G741" s="22" t="s">
        <v>82</v>
      </c>
      <c r="H741" s="26">
        <v>45997.0</v>
      </c>
      <c r="I741" s="22" t="s">
        <v>134</v>
      </c>
      <c r="J741" s="22" t="s">
        <v>472</v>
      </c>
      <c r="K741" s="22" t="s">
        <v>475</v>
      </c>
      <c r="L741" s="35" t="s">
        <v>5651</v>
      </c>
      <c r="M741" s="32" t="s">
        <v>91</v>
      </c>
    </row>
    <row r="742">
      <c r="A742" s="22" t="s">
        <v>1898</v>
      </c>
      <c r="B742" s="22" t="s">
        <v>5545</v>
      </c>
      <c r="C742" s="22" t="s">
        <v>5652</v>
      </c>
      <c r="D742" s="22" t="s">
        <v>80</v>
      </c>
      <c r="E742" s="22">
        <v>1.0</v>
      </c>
      <c r="F742" s="22"/>
      <c r="G742" s="22" t="s">
        <v>287</v>
      </c>
      <c r="H742" s="26">
        <v>45994.0</v>
      </c>
      <c r="I742" s="22" t="s">
        <v>153</v>
      </c>
      <c r="J742" s="22" t="s">
        <v>83</v>
      </c>
      <c r="K742" s="22" t="s">
        <v>86</v>
      </c>
      <c r="L742" s="35" t="s">
        <v>5653</v>
      </c>
      <c r="M742" s="32" t="s">
        <v>91</v>
      </c>
    </row>
    <row r="743">
      <c r="A743" s="22" t="s">
        <v>1900</v>
      </c>
      <c r="B743" s="22" t="s">
        <v>3840</v>
      </c>
      <c r="C743" s="22" t="s">
        <v>5654</v>
      </c>
      <c r="D743" s="22" t="s">
        <v>1899</v>
      </c>
      <c r="E743" s="22">
        <v>1.0</v>
      </c>
      <c r="F743" s="22"/>
      <c r="G743" s="22" t="s">
        <v>82</v>
      </c>
      <c r="H743" s="23">
        <v>46004.0</v>
      </c>
      <c r="I743" s="22" t="s">
        <v>134</v>
      </c>
      <c r="J743" s="22" t="s">
        <v>203</v>
      </c>
      <c r="K743" s="22" t="s">
        <v>1901</v>
      </c>
      <c r="L743" s="35" t="s">
        <v>5655</v>
      </c>
      <c r="M743" s="32" t="s">
        <v>105</v>
      </c>
    </row>
    <row r="744">
      <c r="A744" s="22" t="s">
        <v>1902</v>
      </c>
      <c r="B744" s="22" t="s">
        <v>5656</v>
      </c>
      <c r="C744" s="22" t="s">
        <v>5657</v>
      </c>
      <c r="D744" s="22" t="s">
        <v>209</v>
      </c>
      <c r="E744" s="22">
        <v>1.0</v>
      </c>
      <c r="F744" s="22"/>
      <c r="G744" s="22" t="s">
        <v>82</v>
      </c>
      <c r="H744" s="26">
        <v>45997.0</v>
      </c>
      <c r="I744" s="22" t="s">
        <v>187</v>
      </c>
      <c r="J744" s="22" t="s">
        <v>111</v>
      </c>
      <c r="K744" s="22" t="s">
        <v>214</v>
      </c>
      <c r="L744" s="35" t="s">
        <v>5658</v>
      </c>
      <c r="M744" s="32" t="s">
        <v>91</v>
      </c>
    </row>
    <row r="745">
      <c r="A745" s="22" t="s">
        <v>1904</v>
      </c>
      <c r="B745" s="22" t="s">
        <v>4827</v>
      </c>
      <c r="C745" s="22" t="s">
        <v>5659</v>
      </c>
      <c r="D745" s="22" t="s">
        <v>837</v>
      </c>
      <c r="E745" s="22">
        <v>1.0</v>
      </c>
      <c r="F745" s="22"/>
      <c r="G745" s="22" t="s">
        <v>82</v>
      </c>
      <c r="H745" s="26">
        <v>45997.0</v>
      </c>
      <c r="I745" s="22" t="s">
        <v>734</v>
      </c>
      <c r="J745" s="22" t="s">
        <v>698</v>
      </c>
      <c r="K745" s="22" t="s">
        <v>839</v>
      </c>
      <c r="L745" s="35" t="s">
        <v>5660</v>
      </c>
      <c r="M745" s="32" t="s">
        <v>105</v>
      </c>
    </row>
    <row r="746">
      <c r="A746" s="22" t="s">
        <v>1906</v>
      </c>
      <c r="B746" s="22" t="s">
        <v>5661</v>
      </c>
      <c r="C746" s="22" t="s">
        <v>5662</v>
      </c>
      <c r="D746" s="22" t="s">
        <v>1554</v>
      </c>
      <c r="E746" s="22">
        <v>1.0</v>
      </c>
      <c r="F746" s="22"/>
      <c r="G746" s="22" t="s">
        <v>82</v>
      </c>
      <c r="H746" s="26">
        <v>45997.0</v>
      </c>
      <c r="I746" s="22" t="s">
        <v>1822</v>
      </c>
      <c r="J746" s="22" t="s">
        <v>1466</v>
      </c>
      <c r="K746" s="22" t="s">
        <v>1556</v>
      </c>
      <c r="L746" s="35" t="s">
        <v>5663</v>
      </c>
      <c r="M746" s="32" t="s">
        <v>91</v>
      </c>
    </row>
    <row r="747">
      <c r="A747" s="22" t="s">
        <v>1908</v>
      </c>
      <c r="B747" s="22" t="s">
        <v>4611</v>
      </c>
      <c r="C747" s="22" t="s">
        <v>5664</v>
      </c>
      <c r="D747" s="22" t="s">
        <v>1180</v>
      </c>
      <c r="E747" s="22">
        <v>1.0</v>
      </c>
      <c r="F747" s="22"/>
      <c r="G747" s="22" t="s">
        <v>82</v>
      </c>
      <c r="H747" s="26">
        <v>45997.0</v>
      </c>
      <c r="I747" s="22" t="s">
        <v>181</v>
      </c>
      <c r="J747" s="22" t="s">
        <v>623</v>
      </c>
      <c r="K747" s="22" t="s">
        <v>1182</v>
      </c>
      <c r="L747" s="35" t="s">
        <v>5665</v>
      </c>
      <c r="M747" s="32" t="s">
        <v>105</v>
      </c>
    </row>
    <row r="748">
      <c r="A748" s="22" t="s">
        <v>1910</v>
      </c>
      <c r="B748" s="22" t="s">
        <v>5666</v>
      </c>
      <c r="C748" s="22" t="s">
        <v>5667</v>
      </c>
      <c r="D748" s="22" t="s">
        <v>686</v>
      </c>
      <c r="E748" s="22">
        <v>1.0</v>
      </c>
      <c r="F748" s="22"/>
      <c r="G748" s="22" t="s">
        <v>82</v>
      </c>
      <c r="H748" s="26">
        <v>45997.0</v>
      </c>
      <c r="I748" s="22" t="s">
        <v>134</v>
      </c>
      <c r="J748" s="22" t="s">
        <v>451</v>
      </c>
      <c r="K748" s="22" t="s">
        <v>688</v>
      </c>
      <c r="L748" s="35" t="s">
        <v>5668</v>
      </c>
      <c r="M748" s="32" t="s">
        <v>91</v>
      </c>
    </row>
    <row r="749">
      <c r="A749" s="22" t="s">
        <v>1911</v>
      </c>
      <c r="B749" s="22" t="s">
        <v>5669</v>
      </c>
      <c r="C749" s="22" t="s">
        <v>5670</v>
      </c>
      <c r="D749" s="22" t="s">
        <v>1180</v>
      </c>
      <c r="E749" s="22">
        <v>1.0</v>
      </c>
      <c r="F749" s="22"/>
      <c r="G749" s="22" t="s">
        <v>82</v>
      </c>
      <c r="H749" s="26">
        <v>45997.0</v>
      </c>
      <c r="I749" s="22" t="s">
        <v>149</v>
      </c>
      <c r="J749" s="22" t="s">
        <v>623</v>
      </c>
      <c r="K749" s="22" t="s">
        <v>1182</v>
      </c>
      <c r="L749" s="35" t="s">
        <v>5671</v>
      </c>
      <c r="M749" s="32" t="s">
        <v>105</v>
      </c>
    </row>
    <row r="750">
      <c r="A750" s="22" t="s">
        <v>1924</v>
      </c>
      <c r="B750" s="22" t="s">
        <v>3820</v>
      </c>
      <c r="C750" s="22" t="s">
        <v>5672</v>
      </c>
      <c r="D750" s="22" t="s">
        <v>354</v>
      </c>
      <c r="E750" s="22">
        <v>1.0</v>
      </c>
      <c r="F750" s="22"/>
      <c r="G750" s="22" t="s">
        <v>273</v>
      </c>
      <c r="H750" s="23">
        <v>45991.0</v>
      </c>
      <c r="I750" s="22" t="s">
        <v>252</v>
      </c>
      <c r="J750" s="22" t="s">
        <v>356</v>
      </c>
      <c r="K750" s="22" t="s">
        <v>359</v>
      </c>
      <c r="L750" s="35" t="s">
        <v>5673</v>
      </c>
      <c r="M750" s="32" t="s">
        <v>54</v>
      </c>
    </row>
    <row r="751">
      <c r="A751" s="22" t="s">
        <v>1915</v>
      </c>
      <c r="B751" s="22" t="s">
        <v>5674</v>
      </c>
      <c r="C751" s="22" t="s">
        <v>5675</v>
      </c>
      <c r="D751" s="22" t="s">
        <v>470</v>
      </c>
      <c r="E751" s="22">
        <v>1.0</v>
      </c>
      <c r="F751" s="22"/>
      <c r="G751" s="22" t="s">
        <v>82</v>
      </c>
      <c r="H751" s="26">
        <v>45997.0</v>
      </c>
      <c r="I751" s="22" t="s">
        <v>134</v>
      </c>
      <c r="J751" s="22" t="s">
        <v>472</v>
      </c>
      <c r="K751" s="22" t="s">
        <v>475</v>
      </c>
      <c r="L751" s="35" t="s">
        <v>5676</v>
      </c>
      <c r="M751" s="32" t="s">
        <v>91</v>
      </c>
    </row>
    <row r="752">
      <c r="A752" s="22" t="s">
        <v>1917</v>
      </c>
      <c r="B752" s="22" t="s">
        <v>4568</v>
      </c>
      <c r="C752" s="22" t="s">
        <v>5677</v>
      </c>
      <c r="D752" s="22" t="s">
        <v>478</v>
      </c>
      <c r="E752" s="22">
        <v>1.0</v>
      </c>
      <c r="F752" s="22"/>
      <c r="G752" s="22" t="s">
        <v>82</v>
      </c>
      <c r="H752" s="23">
        <v>46004.0</v>
      </c>
      <c r="I752" s="22" t="s">
        <v>149</v>
      </c>
      <c r="J752" s="22" t="s">
        <v>472</v>
      </c>
      <c r="K752" s="22" t="s">
        <v>483</v>
      </c>
      <c r="L752" s="35" t="s">
        <v>5678</v>
      </c>
      <c r="M752" s="32" t="s">
        <v>95</v>
      </c>
    </row>
    <row r="753">
      <c r="A753" s="22" t="s">
        <v>1919</v>
      </c>
      <c r="B753" s="22" t="s">
        <v>3855</v>
      </c>
      <c r="C753" s="22" t="s">
        <v>5679</v>
      </c>
      <c r="D753" s="22" t="s">
        <v>664</v>
      </c>
      <c r="E753" s="22">
        <v>1.0</v>
      </c>
      <c r="F753" s="22"/>
      <c r="G753" s="22" t="s">
        <v>82</v>
      </c>
      <c r="H753" s="26">
        <v>45997.0</v>
      </c>
      <c r="I753" s="22" t="s">
        <v>134</v>
      </c>
      <c r="J753" s="22" t="s">
        <v>472</v>
      </c>
      <c r="K753" s="22" t="s">
        <v>668</v>
      </c>
      <c r="L753" s="35" t="s">
        <v>5680</v>
      </c>
      <c r="M753" s="32" t="s">
        <v>175</v>
      </c>
    </row>
    <row r="754">
      <c r="A754" s="22" t="s">
        <v>1920</v>
      </c>
      <c r="B754" s="22" t="s">
        <v>4228</v>
      </c>
      <c r="C754" s="22" t="s">
        <v>5681</v>
      </c>
      <c r="D754" s="22" t="s">
        <v>885</v>
      </c>
      <c r="E754" s="22">
        <v>1.0</v>
      </c>
      <c r="F754" s="22"/>
      <c r="G754" s="22" t="s">
        <v>82</v>
      </c>
      <c r="H754" s="26">
        <v>45997.0</v>
      </c>
      <c r="I754" s="22" t="s">
        <v>149</v>
      </c>
      <c r="J754" s="22" t="s">
        <v>605</v>
      </c>
      <c r="K754" s="22" t="s">
        <v>890</v>
      </c>
      <c r="L754" s="35" t="s">
        <v>5682</v>
      </c>
      <c r="M754" s="32" t="s">
        <v>127</v>
      </c>
    </row>
    <row r="755">
      <c r="A755" s="22" t="s">
        <v>1921</v>
      </c>
      <c r="B755" s="22" t="s">
        <v>5683</v>
      </c>
      <c r="C755" s="22" t="s">
        <v>5684</v>
      </c>
      <c r="D755" s="22" t="s">
        <v>401</v>
      </c>
      <c r="E755" s="22">
        <v>1.0</v>
      </c>
      <c r="F755" s="22"/>
      <c r="G755" s="22" t="s">
        <v>82</v>
      </c>
      <c r="H755" s="26">
        <v>45997.0</v>
      </c>
      <c r="I755" s="22" t="s">
        <v>196</v>
      </c>
      <c r="J755" s="22" t="s">
        <v>319</v>
      </c>
      <c r="K755" s="22" t="s">
        <v>403</v>
      </c>
      <c r="L755" s="35" t="s">
        <v>5685</v>
      </c>
      <c r="M755" s="32" t="s">
        <v>127</v>
      </c>
    </row>
    <row r="756">
      <c r="A756" s="22" t="s">
        <v>1982</v>
      </c>
      <c r="B756" s="22" t="s">
        <v>5686</v>
      </c>
      <c r="C756" s="22" t="s">
        <v>4445</v>
      </c>
      <c r="D756" s="22" t="s">
        <v>1527</v>
      </c>
      <c r="E756" s="22">
        <v>1.0</v>
      </c>
      <c r="F756" s="22"/>
      <c r="G756" s="22" t="s">
        <v>82</v>
      </c>
      <c r="H756" s="26">
        <v>45997.0</v>
      </c>
      <c r="I756" s="22" t="s">
        <v>1981</v>
      </c>
      <c r="J756" s="22" t="s">
        <v>451</v>
      </c>
      <c r="K756" s="22" t="s">
        <v>1531</v>
      </c>
      <c r="L756" s="35" t="s">
        <v>5687</v>
      </c>
      <c r="M756" s="32" t="s">
        <v>105</v>
      </c>
    </row>
    <row r="757">
      <c r="A757" s="22" t="s">
        <v>1927</v>
      </c>
      <c r="B757" s="22" t="s">
        <v>5390</v>
      </c>
      <c r="C757" s="22" t="s">
        <v>5688</v>
      </c>
      <c r="D757" s="22" t="s">
        <v>437</v>
      </c>
      <c r="E757" s="22">
        <v>1.0</v>
      </c>
      <c r="F757" s="22"/>
      <c r="G757" s="22" t="s">
        <v>273</v>
      </c>
      <c r="H757" s="26">
        <v>45998.0</v>
      </c>
      <c r="I757" s="22" t="s">
        <v>187</v>
      </c>
      <c r="J757" s="22" t="s">
        <v>440</v>
      </c>
      <c r="K757" s="22" t="s">
        <v>443</v>
      </c>
      <c r="L757" s="35" t="s">
        <v>5689</v>
      </c>
      <c r="M757" s="32" t="s">
        <v>91</v>
      </c>
    </row>
    <row r="758">
      <c r="A758" s="22" t="s">
        <v>1978</v>
      </c>
      <c r="B758" s="22" t="s">
        <v>5690</v>
      </c>
      <c r="C758" s="22" t="s">
        <v>5691</v>
      </c>
      <c r="D758" s="22" t="s">
        <v>1359</v>
      </c>
      <c r="E758" s="22">
        <v>1.0</v>
      </c>
      <c r="F758" s="22"/>
      <c r="G758" s="22" t="s">
        <v>82</v>
      </c>
      <c r="H758" s="26">
        <v>45994.0</v>
      </c>
      <c r="I758" s="22" t="s">
        <v>149</v>
      </c>
      <c r="J758" s="22" t="s">
        <v>605</v>
      </c>
      <c r="K758" s="22" t="s">
        <v>1363</v>
      </c>
      <c r="L758" s="35" t="s">
        <v>5692</v>
      </c>
      <c r="M758" s="32" t="s">
        <v>175</v>
      </c>
    </row>
    <row r="759">
      <c r="A759" s="22" t="s">
        <v>1979</v>
      </c>
      <c r="B759" s="22" t="s">
        <v>5693</v>
      </c>
      <c r="C759" s="22" t="s">
        <v>5694</v>
      </c>
      <c r="D759" s="22" t="s">
        <v>696</v>
      </c>
      <c r="E759" s="22">
        <v>1.0</v>
      </c>
      <c r="F759" s="22"/>
      <c r="G759" s="22" t="s">
        <v>82</v>
      </c>
      <c r="H759" s="26">
        <v>45997.0</v>
      </c>
      <c r="I759" s="22" t="s">
        <v>187</v>
      </c>
      <c r="J759" s="22" t="s">
        <v>698</v>
      </c>
      <c r="K759" s="22" t="s">
        <v>701</v>
      </c>
      <c r="L759" s="35" t="s">
        <v>5695</v>
      </c>
      <c r="M759" s="32" t="s">
        <v>55</v>
      </c>
    </row>
    <row r="760">
      <c r="A760" s="22" t="s">
        <v>1928</v>
      </c>
      <c r="B760" s="22" t="s">
        <v>5696</v>
      </c>
      <c r="C760" s="22" t="s">
        <v>5697</v>
      </c>
      <c r="D760" s="22" t="s">
        <v>375</v>
      </c>
      <c r="E760" s="22">
        <v>1.0</v>
      </c>
      <c r="F760" s="22"/>
      <c r="G760" s="22" t="s">
        <v>82</v>
      </c>
      <c r="H760" s="23">
        <v>46004.0</v>
      </c>
      <c r="I760" s="22" t="s">
        <v>153</v>
      </c>
      <c r="J760" s="22" t="s">
        <v>377</v>
      </c>
      <c r="K760" s="22" t="s">
        <v>380</v>
      </c>
      <c r="L760" s="35" t="s">
        <v>5698</v>
      </c>
      <c r="M760" s="32" t="s">
        <v>55</v>
      </c>
    </row>
    <row r="761">
      <c r="A761" s="22" t="s">
        <v>1929</v>
      </c>
      <c r="B761" s="22" t="s">
        <v>5699</v>
      </c>
      <c r="C761" s="22" t="s">
        <v>4900</v>
      </c>
      <c r="D761" s="22" t="s">
        <v>595</v>
      </c>
      <c r="E761" s="22">
        <v>1.0</v>
      </c>
      <c r="F761" s="22"/>
      <c r="G761" s="22" t="s">
        <v>273</v>
      </c>
      <c r="H761" s="26">
        <v>45998.0</v>
      </c>
      <c r="I761" s="22" t="s">
        <v>153</v>
      </c>
      <c r="J761" s="22" t="s">
        <v>369</v>
      </c>
      <c r="K761" s="22" t="s">
        <v>599</v>
      </c>
      <c r="L761" s="35" t="s">
        <v>5700</v>
      </c>
      <c r="M761" s="32" t="s">
        <v>127</v>
      </c>
    </row>
    <row r="762">
      <c r="A762" s="22" t="s">
        <v>5701</v>
      </c>
      <c r="B762" s="22" t="s">
        <v>4790</v>
      </c>
      <c r="C762" s="22" t="s">
        <v>5702</v>
      </c>
      <c r="D762" s="22" t="s">
        <v>4398</v>
      </c>
      <c r="E762" s="22">
        <v>1.0</v>
      </c>
      <c r="F762" s="22"/>
      <c r="G762" s="22" t="s">
        <v>287</v>
      </c>
      <c r="H762" s="26">
        <v>45994.0</v>
      </c>
      <c r="I762" s="22" t="s">
        <v>266</v>
      </c>
      <c r="J762" s="22" t="s">
        <v>4399</v>
      </c>
      <c r="K762" s="22" t="s">
        <v>4400</v>
      </c>
      <c r="L762" s="35" t="s">
        <v>5703</v>
      </c>
      <c r="M762" s="32" t="s">
        <v>55</v>
      </c>
    </row>
    <row r="763">
      <c r="A763" s="22" t="s">
        <v>1930</v>
      </c>
      <c r="B763" s="22" t="s">
        <v>5261</v>
      </c>
      <c r="C763" s="22" t="s">
        <v>5704</v>
      </c>
      <c r="D763" s="22" t="s">
        <v>92</v>
      </c>
      <c r="E763" s="22">
        <v>1.0</v>
      </c>
      <c r="F763" s="22"/>
      <c r="G763" s="22" t="s">
        <v>82</v>
      </c>
      <c r="H763" s="26">
        <v>45997.0</v>
      </c>
      <c r="I763" s="22" t="s">
        <v>266</v>
      </c>
      <c r="J763" s="22" t="s">
        <v>83</v>
      </c>
      <c r="K763" s="22" t="s">
        <v>94</v>
      </c>
      <c r="L763" s="35" t="s">
        <v>5705</v>
      </c>
      <c r="M763" s="32" t="s">
        <v>95</v>
      </c>
    </row>
    <row r="764">
      <c r="A764" s="22" t="s">
        <v>1931</v>
      </c>
      <c r="B764" s="22" t="s">
        <v>5706</v>
      </c>
      <c r="C764" s="22" t="s">
        <v>5707</v>
      </c>
      <c r="D764" s="22" t="s">
        <v>415</v>
      </c>
      <c r="E764" s="22">
        <v>1.0</v>
      </c>
      <c r="F764" s="22"/>
      <c r="G764" s="22" t="s">
        <v>82</v>
      </c>
      <c r="H764" s="26">
        <v>45997.0</v>
      </c>
      <c r="I764" s="22" t="s">
        <v>145</v>
      </c>
      <c r="J764" s="22" t="s">
        <v>377</v>
      </c>
      <c r="K764" s="22" t="s">
        <v>419</v>
      </c>
      <c r="L764" s="35" t="s">
        <v>5708</v>
      </c>
      <c r="M764" s="32" t="s">
        <v>91</v>
      </c>
    </row>
    <row r="765">
      <c r="A765" s="22" t="s">
        <v>1932</v>
      </c>
      <c r="B765" s="22" t="s">
        <v>4289</v>
      </c>
      <c r="C765" s="22" t="s">
        <v>5709</v>
      </c>
      <c r="D765" s="22" t="s">
        <v>478</v>
      </c>
      <c r="E765" s="22">
        <v>1.0</v>
      </c>
      <c r="F765" s="22"/>
      <c r="G765" s="22" t="s">
        <v>82</v>
      </c>
      <c r="H765" s="26">
        <v>45997.0</v>
      </c>
      <c r="I765" s="22" t="s">
        <v>134</v>
      </c>
      <c r="J765" s="22" t="s">
        <v>472</v>
      </c>
      <c r="K765" s="22" t="s">
        <v>483</v>
      </c>
      <c r="L765" s="35" t="s">
        <v>5710</v>
      </c>
      <c r="M765" s="32" t="s">
        <v>95</v>
      </c>
    </row>
    <row r="766">
      <c r="A766" s="22" t="s">
        <v>1933</v>
      </c>
      <c r="B766" s="22" t="s">
        <v>5711</v>
      </c>
      <c r="C766" s="22" t="s">
        <v>5712</v>
      </c>
      <c r="D766" s="22" t="s">
        <v>209</v>
      </c>
      <c r="E766" s="22">
        <v>1.0</v>
      </c>
      <c r="F766" s="22"/>
      <c r="G766" s="22" t="s">
        <v>82</v>
      </c>
      <c r="H766" s="26">
        <v>45997.0</v>
      </c>
      <c r="I766" s="22" t="s">
        <v>187</v>
      </c>
      <c r="J766" s="22" t="s">
        <v>111</v>
      </c>
      <c r="K766" s="22" t="s">
        <v>214</v>
      </c>
      <c r="L766" s="35" t="s">
        <v>5713</v>
      </c>
      <c r="M766" s="32" t="s">
        <v>91</v>
      </c>
    </row>
    <row r="767">
      <c r="A767" s="22" t="s">
        <v>1934</v>
      </c>
      <c r="B767" s="22" t="s">
        <v>4543</v>
      </c>
      <c r="C767" s="22" t="s">
        <v>5714</v>
      </c>
      <c r="D767" s="22" t="s">
        <v>515</v>
      </c>
      <c r="E767" s="22">
        <v>1.0</v>
      </c>
      <c r="F767" s="22"/>
      <c r="G767" s="22" t="s">
        <v>82</v>
      </c>
      <c r="H767" s="26">
        <v>45997.0</v>
      </c>
      <c r="I767" s="22" t="s">
        <v>134</v>
      </c>
      <c r="J767" s="22" t="s">
        <v>472</v>
      </c>
      <c r="K767" s="22" t="s">
        <v>519</v>
      </c>
      <c r="L767" s="35" t="s">
        <v>5715</v>
      </c>
      <c r="M767" s="32" t="s">
        <v>55</v>
      </c>
    </row>
    <row r="768">
      <c r="A768" s="22" t="s">
        <v>1935</v>
      </c>
      <c r="B768" s="22" t="s">
        <v>3866</v>
      </c>
      <c r="C768" s="22" t="s">
        <v>5716</v>
      </c>
      <c r="D768" s="22" t="s">
        <v>867</v>
      </c>
      <c r="E768" s="22">
        <v>1.0</v>
      </c>
      <c r="F768" s="22"/>
      <c r="G768" s="22" t="s">
        <v>273</v>
      </c>
      <c r="H768" s="26">
        <v>45998.0</v>
      </c>
      <c r="I768" s="22" t="s">
        <v>149</v>
      </c>
      <c r="J768" s="22" t="s">
        <v>869</v>
      </c>
      <c r="K768" s="22" t="s">
        <v>872</v>
      </c>
      <c r="L768" s="35" t="s">
        <v>5717</v>
      </c>
      <c r="M768" s="32" t="s">
        <v>55</v>
      </c>
    </row>
    <row r="769">
      <c r="A769" s="22" t="s">
        <v>1893</v>
      </c>
      <c r="B769" s="22" t="s">
        <v>4904</v>
      </c>
      <c r="C769" s="22" t="s">
        <v>5718</v>
      </c>
      <c r="D769" s="22" t="s">
        <v>709</v>
      </c>
      <c r="E769" s="22">
        <v>1.0</v>
      </c>
      <c r="F769" s="22"/>
      <c r="G769" s="22" t="s">
        <v>273</v>
      </c>
      <c r="H769" s="26">
        <v>45998.0</v>
      </c>
      <c r="I769" s="22" t="s">
        <v>134</v>
      </c>
      <c r="J769" s="22" t="s">
        <v>311</v>
      </c>
      <c r="K769" s="22" t="s">
        <v>713</v>
      </c>
      <c r="L769" s="35" t="s">
        <v>5719</v>
      </c>
      <c r="M769" s="32" t="s">
        <v>91</v>
      </c>
    </row>
    <row r="770">
      <c r="A770" s="22" t="s">
        <v>1938</v>
      </c>
      <c r="B770" s="22" t="s">
        <v>4608</v>
      </c>
      <c r="C770" s="22" t="s">
        <v>5720</v>
      </c>
      <c r="D770" s="22" t="s">
        <v>166</v>
      </c>
      <c r="E770" s="22">
        <v>1.0</v>
      </c>
      <c r="F770" s="22"/>
      <c r="G770" s="22" t="s">
        <v>273</v>
      </c>
      <c r="H770" s="26">
        <v>45998.0</v>
      </c>
      <c r="I770" s="22" t="s">
        <v>1113</v>
      </c>
      <c r="J770" s="22" t="s">
        <v>111</v>
      </c>
      <c r="K770" s="22" t="s">
        <v>171</v>
      </c>
      <c r="L770" s="35" t="s">
        <v>5721</v>
      </c>
      <c r="M770" s="32" t="s">
        <v>55</v>
      </c>
    </row>
    <row r="771">
      <c r="A771" s="22" t="s">
        <v>1940</v>
      </c>
      <c r="B771" s="22" t="s">
        <v>4257</v>
      </c>
      <c r="C771" s="22" t="s">
        <v>5722</v>
      </c>
      <c r="D771" s="22" t="s">
        <v>158</v>
      </c>
      <c r="E771" s="22">
        <v>1.0</v>
      </c>
      <c r="F771" s="22"/>
      <c r="G771" s="22" t="s">
        <v>273</v>
      </c>
      <c r="H771" s="26">
        <v>45998.0</v>
      </c>
      <c r="I771" s="22" t="s">
        <v>1113</v>
      </c>
      <c r="J771" s="22" t="s">
        <v>111</v>
      </c>
      <c r="K771" s="22" t="s">
        <v>163</v>
      </c>
      <c r="L771" s="35" t="s">
        <v>5723</v>
      </c>
      <c r="M771" s="32" t="s">
        <v>127</v>
      </c>
    </row>
    <row r="772">
      <c r="A772" s="22" t="s">
        <v>1941</v>
      </c>
      <c r="B772" s="22" t="s">
        <v>4504</v>
      </c>
      <c r="C772" s="22" t="s">
        <v>5724</v>
      </c>
      <c r="D772" s="22" t="s">
        <v>408</v>
      </c>
      <c r="E772" s="22">
        <v>1.0</v>
      </c>
      <c r="F772" s="22"/>
      <c r="G772" s="22" t="s">
        <v>82</v>
      </c>
      <c r="H772" s="26">
        <v>45997.0</v>
      </c>
      <c r="I772" s="22" t="s">
        <v>153</v>
      </c>
      <c r="J772" s="22" t="s">
        <v>377</v>
      </c>
      <c r="K772" s="22" t="s">
        <v>412</v>
      </c>
      <c r="L772" s="35" t="s">
        <v>5725</v>
      </c>
      <c r="M772" s="32" t="s">
        <v>127</v>
      </c>
    </row>
    <row r="773">
      <c r="A773" s="22" t="s">
        <v>1942</v>
      </c>
      <c r="B773" s="22" t="s">
        <v>4717</v>
      </c>
      <c r="C773" s="22" t="s">
        <v>5726</v>
      </c>
      <c r="D773" s="22" t="s">
        <v>979</v>
      </c>
      <c r="E773" s="22">
        <v>1.0</v>
      </c>
      <c r="F773" s="22"/>
      <c r="G773" s="22" t="s">
        <v>82</v>
      </c>
      <c r="H773" s="26">
        <v>45997.0</v>
      </c>
      <c r="I773" s="22" t="s">
        <v>149</v>
      </c>
      <c r="J773" s="22" t="s">
        <v>605</v>
      </c>
      <c r="K773" s="22" t="s">
        <v>984</v>
      </c>
      <c r="L773" s="35" t="s">
        <v>5727</v>
      </c>
      <c r="M773" s="32" t="s">
        <v>55</v>
      </c>
    </row>
    <row r="774">
      <c r="A774" s="22" t="s">
        <v>1944</v>
      </c>
      <c r="B774" s="22" t="s">
        <v>4706</v>
      </c>
      <c r="C774" s="22" t="s">
        <v>5728</v>
      </c>
      <c r="D774" s="22" t="s">
        <v>569</v>
      </c>
      <c r="E774" s="22">
        <v>1.0</v>
      </c>
      <c r="F774" s="22"/>
      <c r="G774" s="22" t="s">
        <v>82</v>
      </c>
      <c r="H774" s="26">
        <v>45997.0</v>
      </c>
      <c r="I774" s="22" t="s">
        <v>145</v>
      </c>
      <c r="J774" s="22" t="s">
        <v>472</v>
      </c>
      <c r="K774" s="22" t="s">
        <v>571</v>
      </c>
      <c r="L774" s="35" t="s">
        <v>5729</v>
      </c>
      <c r="M774" s="32" t="s">
        <v>105</v>
      </c>
    </row>
    <row r="775">
      <c r="A775" s="22" t="s">
        <v>173</v>
      </c>
      <c r="B775" s="22" t="s">
        <v>5175</v>
      </c>
      <c r="C775" s="22" t="s">
        <v>5730</v>
      </c>
      <c r="D775" s="22" t="s">
        <v>172</v>
      </c>
      <c r="E775" s="22">
        <v>1.0</v>
      </c>
      <c r="F775" s="22"/>
      <c r="G775" s="22" t="s">
        <v>82</v>
      </c>
      <c r="H775" s="23">
        <v>45990.0</v>
      </c>
      <c r="I775" s="22" t="s">
        <v>138</v>
      </c>
      <c r="J775" s="22" t="s">
        <v>83</v>
      </c>
      <c r="K775" s="22" t="s">
        <v>174</v>
      </c>
      <c r="L775" s="35" t="s">
        <v>5731</v>
      </c>
      <c r="M775" s="32" t="s">
        <v>175</v>
      </c>
    </row>
    <row r="776">
      <c r="A776" s="22" t="s">
        <v>1945</v>
      </c>
      <c r="B776" s="22" t="s">
        <v>5732</v>
      </c>
      <c r="C776" s="22" t="s">
        <v>5733</v>
      </c>
      <c r="D776" s="22" t="s">
        <v>1151</v>
      </c>
      <c r="E776" s="22">
        <v>1.0</v>
      </c>
      <c r="F776" s="22"/>
      <c r="G776" s="22" t="s">
        <v>82</v>
      </c>
      <c r="H776" s="26">
        <v>45997.0</v>
      </c>
      <c r="I776" s="22" t="s">
        <v>134</v>
      </c>
      <c r="J776" s="22" t="s">
        <v>303</v>
      </c>
      <c r="K776" s="22" t="s">
        <v>1155</v>
      </c>
      <c r="L776" s="35" t="s">
        <v>5734</v>
      </c>
      <c r="M776" s="32" t="s">
        <v>54</v>
      </c>
    </row>
    <row r="777">
      <c r="A777" s="22" t="s">
        <v>1946</v>
      </c>
      <c r="B777" s="22" t="s">
        <v>3855</v>
      </c>
      <c r="C777" s="22" t="s">
        <v>5735</v>
      </c>
      <c r="D777" s="22" t="s">
        <v>822</v>
      </c>
      <c r="E777" s="22">
        <v>1.0</v>
      </c>
      <c r="F777" s="22"/>
      <c r="G777" s="22" t="s">
        <v>273</v>
      </c>
      <c r="H777" s="26">
        <v>45998.0</v>
      </c>
      <c r="I777" s="22" t="s">
        <v>177</v>
      </c>
      <c r="J777" s="22" t="s">
        <v>634</v>
      </c>
      <c r="K777" s="22" t="s">
        <v>826</v>
      </c>
      <c r="L777" s="35" t="s">
        <v>5736</v>
      </c>
      <c r="M777" s="32" t="s">
        <v>55</v>
      </c>
    </row>
    <row r="778">
      <c r="A778" s="22" t="s">
        <v>5737</v>
      </c>
      <c r="B778" s="22" t="s">
        <v>5738</v>
      </c>
      <c r="C778" s="22" t="s">
        <v>5739</v>
      </c>
      <c r="D778" s="22" t="s">
        <v>4521</v>
      </c>
      <c r="E778" s="22">
        <v>1.0</v>
      </c>
      <c r="F778" s="22"/>
      <c r="G778" s="22" t="s">
        <v>287</v>
      </c>
      <c r="H778" s="23">
        <v>46001.0</v>
      </c>
      <c r="I778" s="22" t="s">
        <v>302</v>
      </c>
      <c r="J778" s="22" t="s">
        <v>4399</v>
      </c>
      <c r="K778" s="22" t="s">
        <v>4522</v>
      </c>
      <c r="L778" s="35" t="s">
        <v>5740</v>
      </c>
      <c r="M778" s="32" t="s">
        <v>54</v>
      </c>
    </row>
    <row r="779">
      <c r="A779" s="22" t="s">
        <v>5741</v>
      </c>
      <c r="B779" s="22" t="s">
        <v>5742</v>
      </c>
      <c r="C779" s="22" t="s">
        <v>5743</v>
      </c>
      <c r="D779" s="22" t="s">
        <v>4105</v>
      </c>
      <c r="E779" s="22">
        <v>1.0</v>
      </c>
      <c r="F779" s="22"/>
      <c r="G779" s="22" t="s">
        <v>294</v>
      </c>
      <c r="H779" s="26">
        <v>45992.0</v>
      </c>
      <c r="I779" s="22" t="s">
        <v>497</v>
      </c>
      <c r="J779" s="22" t="s">
        <v>4026</v>
      </c>
      <c r="K779" s="22" t="s">
        <v>4106</v>
      </c>
      <c r="L779" s="35" t="s">
        <v>5744</v>
      </c>
      <c r="M779" s="32" t="s">
        <v>54</v>
      </c>
    </row>
    <row r="780">
      <c r="A780" s="22" t="s">
        <v>1947</v>
      </c>
      <c r="B780" s="22" t="s">
        <v>4877</v>
      </c>
      <c r="C780" s="22" t="s">
        <v>5745</v>
      </c>
      <c r="D780" s="22" t="s">
        <v>1175</v>
      </c>
      <c r="E780" s="22">
        <v>1.0</v>
      </c>
      <c r="F780" s="22"/>
      <c r="G780" s="22" t="s">
        <v>273</v>
      </c>
      <c r="H780" s="23">
        <v>45991.0</v>
      </c>
      <c r="I780" s="22" t="s">
        <v>134</v>
      </c>
      <c r="J780" s="22" t="s">
        <v>329</v>
      </c>
      <c r="K780" s="22" t="s">
        <v>1179</v>
      </c>
      <c r="L780" s="35" t="s">
        <v>5746</v>
      </c>
      <c r="M780" s="32" t="s">
        <v>127</v>
      </c>
    </row>
    <row r="781">
      <c r="A781" s="22" t="s">
        <v>1948</v>
      </c>
      <c r="B781" s="22" t="s">
        <v>4806</v>
      </c>
      <c r="C781" s="22" t="s">
        <v>5747</v>
      </c>
      <c r="D781" s="22" t="s">
        <v>640</v>
      </c>
      <c r="E781" s="22">
        <v>1.0</v>
      </c>
      <c r="F781" s="22"/>
      <c r="G781" s="22" t="s">
        <v>273</v>
      </c>
      <c r="H781" s="23">
        <v>45991.0</v>
      </c>
      <c r="I781" s="22" t="s">
        <v>196</v>
      </c>
      <c r="J781" s="22" t="s">
        <v>356</v>
      </c>
      <c r="K781" s="22" t="s">
        <v>642</v>
      </c>
      <c r="L781" s="35" t="s">
        <v>5748</v>
      </c>
      <c r="M781" s="32" t="s">
        <v>95</v>
      </c>
    </row>
    <row r="782">
      <c r="A782" s="22" t="s">
        <v>1874</v>
      </c>
      <c r="B782" s="22" t="s">
        <v>5749</v>
      </c>
      <c r="C782" s="22" t="s">
        <v>5750</v>
      </c>
      <c r="D782" s="22" t="s">
        <v>300</v>
      </c>
      <c r="E782" s="22">
        <v>1.0</v>
      </c>
      <c r="F782" s="22"/>
      <c r="G782" s="22" t="s">
        <v>273</v>
      </c>
      <c r="H782" s="26">
        <v>45998.0</v>
      </c>
      <c r="I782" s="22" t="s">
        <v>134</v>
      </c>
      <c r="J782" s="22" t="s">
        <v>303</v>
      </c>
      <c r="K782" s="22" t="s">
        <v>306</v>
      </c>
      <c r="L782" s="35" t="s">
        <v>5751</v>
      </c>
      <c r="M782" s="32" t="s">
        <v>55</v>
      </c>
    </row>
    <row r="783">
      <c r="A783" s="22" t="s">
        <v>1951</v>
      </c>
      <c r="B783" s="22" t="s">
        <v>3840</v>
      </c>
      <c r="C783" s="22" t="s">
        <v>5752</v>
      </c>
      <c r="D783" s="22" t="s">
        <v>592</v>
      </c>
      <c r="E783" s="22">
        <v>1.0</v>
      </c>
      <c r="F783" s="22"/>
      <c r="G783" s="22" t="s">
        <v>202</v>
      </c>
      <c r="H783" s="26">
        <v>45996.0</v>
      </c>
      <c r="I783" s="22" t="s">
        <v>149</v>
      </c>
      <c r="J783" s="22" t="s">
        <v>311</v>
      </c>
      <c r="K783" s="22" t="s">
        <v>594</v>
      </c>
      <c r="L783" s="35" t="s">
        <v>5753</v>
      </c>
      <c r="M783" s="32" t="s">
        <v>54</v>
      </c>
    </row>
    <row r="784">
      <c r="A784" s="22" t="s">
        <v>1953</v>
      </c>
      <c r="B784" s="22" t="s">
        <v>5754</v>
      </c>
      <c r="C784" s="22" t="s">
        <v>5755</v>
      </c>
      <c r="D784" s="22" t="s">
        <v>1242</v>
      </c>
      <c r="E784" s="22">
        <v>1.0</v>
      </c>
      <c r="F784" s="22"/>
      <c r="G784" s="22" t="s">
        <v>82</v>
      </c>
      <c r="H784" s="26">
        <v>45997.0</v>
      </c>
      <c r="I784" s="22" t="s">
        <v>187</v>
      </c>
      <c r="J784" s="22" t="s">
        <v>698</v>
      </c>
      <c r="K784" s="22" t="s">
        <v>1244</v>
      </c>
      <c r="L784" s="35" t="s">
        <v>5756</v>
      </c>
      <c r="M784" s="32" t="s">
        <v>95</v>
      </c>
    </row>
    <row r="785">
      <c r="A785" s="22" t="s">
        <v>1949</v>
      </c>
      <c r="B785" s="22" t="s">
        <v>5757</v>
      </c>
      <c r="C785" s="22" t="s">
        <v>5758</v>
      </c>
      <c r="D785" s="22" t="s">
        <v>367</v>
      </c>
      <c r="E785" s="22">
        <v>1.0</v>
      </c>
      <c r="F785" s="22"/>
      <c r="G785" s="22" t="s">
        <v>273</v>
      </c>
      <c r="H785" s="26">
        <v>45998.0</v>
      </c>
      <c r="I785" s="22" t="s">
        <v>149</v>
      </c>
      <c r="J785" s="22" t="s">
        <v>369</v>
      </c>
      <c r="K785" s="22" t="s">
        <v>372</v>
      </c>
      <c r="L785" s="35" t="s">
        <v>5759</v>
      </c>
      <c r="M785" s="32" t="s">
        <v>55</v>
      </c>
    </row>
    <row r="786">
      <c r="A786" s="22" t="s">
        <v>1833</v>
      </c>
      <c r="B786" s="22" t="s">
        <v>5760</v>
      </c>
      <c r="C786" s="22" t="s">
        <v>5761</v>
      </c>
      <c r="D786" s="22" t="s">
        <v>1832</v>
      </c>
      <c r="E786" s="22">
        <v>1.0</v>
      </c>
      <c r="F786" s="22"/>
      <c r="G786" s="22" t="s">
        <v>82</v>
      </c>
      <c r="H786" s="26">
        <v>45997.0</v>
      </c>
      <c r="I786" s="22" t="s">
        <v>187</v>
      </c>
      <c r="J786" s="22" t="s">
        <v>698</v>
      </c>
      <c r="K786" s="22" t="s">
        <v>1834</v>
      </c>
      <c r="L786" s="35" t="s">
        <v>5762</v>
      </c>
      <c r="M786" s="32" t="s">
        <v>91</v>
      </c>
    </row>
    <row r="787">
      <c r="A787" s="22" t="s">
        <v>1936</v>
      </c>
      <c r="B787" s="22" t="s">
        <v>5763</v>
      </c>
      <c r="C787" s="22" t="s">
        <v>5764</v>
      </c>
      <c r="D787" s="22" t="s">
        <v>99</v>
      </c>
      <c r="E787" s="22">
        <v>1.0</v>
      </c>
      <c r="F787" s="22"/>
      <c r="G787" s="22" t="s">
        <v>1284</v>
      </c>
      <c r="H787" s="26">
        <v>45993.0</v>
      </c>
      <c r="I787" s="22" t="s">
        <v>134</v>
      </c>
      <c r="J787" s="22" t="s">
        <v>83</v>
      </c>
      <c r="K787" s="22" t="s">
        <v>102</v>
      </c>
      <c r="L787" s="35" t="s">
        <v>5765</v>
      </c>
      <c r="M787" s="32" t="s">
        <v>105</v>
      </c>
    </row>
    <row r="788">
      <c r="A788" s="22" t="s">
        <v>1955</v>
      </c>
      <c r="B788" s="22" t="s">
        <v>5766</v>
      </c>
      <c r="C788" s="22" t="s">
        <v>5767</v>
      </c>
      <c r="D788" s="22" t="s">
        <v>602</v>
      </c>
      <c r="E788" s="22">
        <v>1.0</v>
      </c>
      <c r="F788" s="22"/>
      <c r="G788" s="22" t="s">
        <v>82</v>
      </c>
      <c r="H788" s="26">
        <v>45997.0</v>
      </c>
      <c r="I788" s="22" t="s">
        <v>149</v>
      </c>
      <c r="J788" s="22" t="s">
        <v>605</v>
      </c>
      <c r="K788" s="22" t="s">
        <v>608</v>
      </c>
      <c r="L788" s="35" t="s">
        <v>5768</v>
      </c>
      <c r="M788" s="32" t="s">
        <v>54</v>
      </c>
    </row>
    <row r="789">
      <c r="A789" s="22" t="s">
        <v>5769</v>
      </c>
      <c r="B789" s="22" t="s">
        <v>5770</v>
      </c>
      <c r="C789" s="22" t="s">
        <v>5771</v>
      </c>
      <c r="D789" s="22" t="s">
        <v>4025</v>
      </c>
      <c r="E789" s="22">
        <v>1.0</v>
      </c>
      <c r="F789" s="22"/>
      <c r="G789" s="22" t="s">
        <v>287</v>
      </c>
      <c r="H789" s="23">
        <v>46001.0</v>
      </c>
      <c r="I789" s="22" t="s">
        <v>192</v>
      </c>
      <c r="J789" s="22" t="s">
        <v>4026</v>
      </c>
      <c r="K789" s="22" t="s">
        <v>4027</v>
      </c>
      <c r="L789" s="35" t="s">
        <v>5772</v>
      </c>
      <c r="M789" s="32" t="s">
        <v>55</v>
      </c>
    </row>
    <row r="790">
      <c r="A790" s="22" t="s">
        <v>1958</v>
      </c>
      <c r="B790" s="22" t="s">
        <v>5773</v>
      </c>
      <c r="C790" s="22" t="s">
        <v>5774</v>
      </c>
      <c r="D790" s="22" t="s">
        <v>692</v>
      </c>
      <c r="E790" s="22">
        <v>1.0</v>
      </c>
      <c r="F790" s="22"/>
      <c r="G790" s="22" t="s">
        <v>273</v>
      </c>
      <c r="H790" s="26">
        <v>45998.0</v>
      </c>
      <c r="I790" s="22" t="s">
        <v>153</v>
      </c>
      <c r="J790" s="22" t="s">
        <v>369</v>
      </c>
      <c r="K790" s="22" t="s">
        <v>694</v>
      </c>
      <c r="L790" s="35" t="s">
        <v>5775</v>
      </c>
      <c r="M790" s="32" t="s">
        <v>54</v>
      </c>
    </row>
    <row r="791">
      <c r="A791" s="22" t="s">
        <v>1959</v>
      </c>
      <c r="B791" s="22" t="s">
        <v>3776</v>
      </c>
      <c r="C791" s="22" t="s">
        <v>5776</v>
      </c>
      <c r="D791" s="22" t="s">
        <v>1048</v>
      </c>
      <c r="E791" s="22">
        <v>1.0</v>
      </c>
      <c r="F791" s="22"/>
      <c r="G791" s="22" t="s">
        <v>273</v>
      </c>
      <c r="H791" s="26">
        <v>45998.0</v>
      </c>
      <c r="I791" s="22" t="s">
        <v>211</v>
      </c>
      <c r="J791" s="22" t="s">
        <v>440</v>
      </c>
      <c r="K791" s="22" t="s">
        <v>1052</v>
      </c>
      <c r="L791" s="35" t="s">
        <v>5777</v>
      </c>
      <c r="M791" s="32" t="s">
        <v>54</v>
      </c>
    </row>
    <row r="792">
      <c r="A792" s="22" t="s">
        <v>1961</v>
      </c>
      <c r="B792" s="22" t="s">
        <v>4907</v>
      </c>
      <c r="C792" s="22" t="s">
        <v>5778</v>
      </c>
      <c r="D792" s="22" t="s">
        <v>141</v>
      </c>
      <c r="E792" s="22">
        <v>1.0</v>
      </c>
      <c r="F792" s="22"/>
      <c r="G792" s="22" t="s">
        <v>202</v>
      </c>
      <c r="H792" s="26">
        <v>45996.0</v>
      </c>
      <c r="I792" s="22" t="s">
        <v>266</v>
      </c>
      <c r="J792" s="22" t="s">
        <v>83</v>
      </c>
      <c r="K792" s="22" t="s">
        <v>143</v>
      </c>
      <c r="L792" s="35" t="s">
        <v>5779</v>
      </c>
      <c r="M792" s="32" t="s">
        <v>54</v>
      </c>
    </row>
    <row r="793">
      <c r="A793" s="22" t="s">
        <v>1963</v>
      </c>
      <c r="B793" s="22" t="s">
        <v>3837</v>
      </c>
      <c r="C793" s="22" t="s">
        <v>4938</v>
      </c>
      <c r="D793" s="22" t="s">
        <v>789</v>
      </c>
      <c r="E793" s="22">
        <v>1.0</v>
      </c>
      <c r="F793" s="22"/>
      <c r="G793" s="22" t="s">
        <v>82</v>
      </c>
      <c r="H793" s="26">
        <v>45997.0</v>
      </c>
      <c r="I793" s="22" t="s">
        <v>149</v>
      </c>
      <c r="J793" s="22" t="s">
        <v>605</v>
      </c>
      <c r="K793" s="22" t="s">
        <v>794</v>
      </c>
      <c r="L793" s="35" t="s">
        <v>5780</v>
      </c>
      <c r="M793" s="32" t="s">
        <v>105</v>
      </c>
    </row>
    <row r="794">
      <c r="A794" s="22" t="s">
        <v>1965</v>
      </c>
      <c r="B794" s="22" t="s">
        <v>4074</v>
      </c>
      <c r="C794" s="22" t="s">
        <v>5781</v>
      </c>
      <c r="D794" s="22" t="s">
        <v>96</v>
      </c>
      <c r="E794" s="22">
        <v>1.0</v>
      </c>
      <c r="F794" s="22"/>
      <c r="G794" s="22" t="s">
        <v>273</v>
      </c>
      <c r="H794" s="23">
        <v>45991.0</v>
      </c>
      <c r="I794" s="22" t="s">
        <v>196</v>
      </c>
      <c r="J794" s="22" t="s">
        <v>83</v>
      </c>
      <c r="K794" s="22" t="s">
        <v>98</v>
      </c>
      <c r="L794" s="35" t="s">
        <v>5782</v>
      </c>
      <c r="M794" s="32" t="s">
        <v>55</v>
      </c>
    </row>
    <row r="795">
      <c r="A795" s="22" t="s">
        <v>1967</v>
      </c>
      <c r="B795" s="22" t="s">
        <v>5754</v>
      </c>
      <c r="C795" s="22" t="s">
        <v>3927</v>
      </c>
      <c r="D795" s="22" t="s">
        <v>550</v>
      </c>
      <c r="E795" s="22">
        <v>1.0</v>
      </c>
      <c r="F795" s="22"/>
      <c r="G795" s="22" t="s">
        <v>82</v>
      </c>
      <c r="H795" s="23">
        <v>46004.0</v>
      </c>
      <c r="I795" s="22" t="s">
        <v>153</v>
      </c>
      <c r="J795" s="22" t="s">
        <v>377</v>
      </c>
      <c r="K795" s="22" t="s">
        <v>552</v>
      </c>
      <c r="L795" s="35" t="s">
        <v>5783</v>
      </c>
      <c r="M795" s="32" t="s">
        <v>95</v>
      </c>
    </row>
    <row r="796">
      <c r="A796" s="22" t="s">
        <v>1968</v>
      </c>
      <c r="B796" s="22" t="s">
        <v>3674</v>
      </c>
      <c r="C796" s="22" t="s">
        <v>5784</v>
      </c>
      <c r="D796" s="22" t="s">
        <v>1180</v>
      </c>
      <c r="E796" s="22">
        <v>1.0</v>
      </c>
      <c r="F796" s="22"/>
      <c r="G796" s="22" t="s">
        <v>273</v>
      </c>
      <c r="H796" s="26">
        <v>45998.0</v>
      </c>
      <c r="I796" s="22" t="s">
        <v>149</v>
      </c>
      <c r="J796" s="22" t="s">
        <v>623</v>
      </c>
      <c r="K796" s="22" t="s">
        <v>1182</v>
      </c>
      <c r="L796" s="35" t="s">
        <v>5785</v>
      </c>
      <c r="M796" s="32" t="s">
        <v>105</v>
      </c>
    </row>
    <row r="797">
      <c r="A797" s="22" t="s">
        <v>1970</v>
      </c>
      <c r="B797" s="22" t="s">
        <v>5786</v>
      </c>
      <c r="C797" s="22" t="s">
        <v>5787</v>
      </c>
      <c r="D797" s="22" t="s">
        <v>327</v>
      </c>
      <c r="E797" s="22">
        <v>1.0</v>
      </c>
      <c r="F797" s="22"/>
      <c r="G797" s="22" t="s">
        <v>273</v>
      </c>
      <c r="H797" s="23">
        <v>45991.0</v>
      </c>
      <c r="I797" s="22" t="s">
        <v>252</v>
      </c>
      <c r="J797" s="22" t="s">
        <v>329</v>
      </c>
      <c r="K797" s="22" t="s">
        <v>332</v>
      </c>
      <c r="L797" s="35" t="s">
        <v>5788</v>
      </c>
      <c r="M797" s="32" t="s">
        <v>55</v>
      </c>
    </row>
    <row r="798">
      <c r="A798" s="22" t="s">
        <v>1972</v>
      </c>
      <c r="B798" s="22" t="s">
        <v>4096</v>
      </c>
      <c r="C798" s="22" t="s">
        <v>4760</v>
      </c>
      <c r="D798" s="22" t="s">
        <v>408</v>
      </c>
      <c r="E798" s="22">
        <v>1.0</v>
      </c>
      <c r="F798" s="22"/>
      <c r="G798" s="22" t="s">
        <v>82</v>
      </c>
      <c r="H798" s="23">
        <v>46004.0</v>
      </c>
      <c r="I798" s="22" t="s">
        <v>153</v>
      </c>
      <c r="J798" s="22" t="s">
        <v>377</v>
      </c>
      <c r="K798" s="22" t="s">
        <v>412</v>
      </c>
      <c r="L798" s="35" t="s">
        <v>5789</v>
      </c>
      <c r="M798" s="32" t="s">
        <v>127</v>
      </c>
    </row>
    <row r="799">
      <c r="A799" s="22" t="s">
        <v>1973</v>
      </c>
      <c r="B799" s="22" t="s">
        <v>5790</v>
      </c>
      <c r="C799" s="22" t="s">
        <v>5791</v>
      </c>
      <c r="D799" s="22" t="s">
        <v>478</v>
      </c>
      <c r="E799" s="22">
        <v>1.0</v>
      </c>
      <c r="F799" s="22"/>
      <c r="G799" s="22" t="s">
        <v>273</v>
      </c>
      <c r="H799" s="26">
        <v>45998.0</v>
      </c>
      <c r="I799" s="22" t="s">
        <v>266</v>
      </c>
      <c r="J799" s="22" t="s">
        <v>472</v>
      </c>
      <c r="K799" s="22" t="s">
        <v>483</v>
      </c>
      <c r="L799" s="35" t="s">
        <v>5792</v>
      </c>
      <c r="M799" s="32" t="s">
        <v>95</v>
      </c>
    </row>
    <row r="800">
      <c r="A800" s="22" t="s">
        <v>1974</v>
      </c>
      <c r="B800" s="22" t="s">
        <v>5793</v>
      </c>
      <c r="C800" s="22" t="s">
        <v>5794</v>
      </c>
      <c r="D800" s="22" t="s">
        <v>885</v>
      </c>
      <c r="E800" s="22">
        <v>1.0</v>
      </c>
      <c r="F800" s="22"/>
      <c r="G800" s="22" t="s">
        <v>82</v>
      </c>
      <c r="H800" s="26">
        <v>45997.0</v>
      </c>
      <c r="I800" s="22" t="s">
        <v>266</v>
      </c>
      <c r="J800" s="22" t="s">
        <v>605</v>
      </c>
      <c r="K800" s="22" t="s">
        <v>890</v>
      </c>
      <c r="L800" s="35" t="s">
        <v>5795</v>
      </c>
      <c r="M800" s="32" t="s">
        <v>127</v>
      </c>
    </row>
    <row r="801">
      <c r="A801" s="22" t="s">
        <v>1975</v>
      </c>
      <c r="B801" s="22" t="s">
        <v>4608</v>
      </c>
      <c r="C801" s="22" t="s">
        <v>5796</v>
      </c>
      <c r="D801" s="22" t="s">
        <v>912</v>
      </c>
      <c r="E801" s="22">
        <v>1.0</v>
      </c>
      <c r="F801" s="22"/>
      <c r="G801" s="22" t="s">
        <v>82</v>
      </c>
      <c r="H801" s="26">
        <v>45997.0</v>
      </c>
      <c r="I801" s="22" t="s">
        <v>153</v>
      </c>
      <c r="J801" s="22" t="s">
        <v>377</v>
      </c>
      <c r="K801" s="22" t="s">
        <v>914</v>
      </c>
      <c r="L801" s="35" t="s">
        <v>5797</v>
      </c>
      <c r="M801" s="32" t="s">
        <v>54</v>
      </c>
    </row>
    <row r="802">
      <c r="A802" s="22" t="s">
        <v>1976</v>
      </c>
      <c r="B802" s="22" t="s">
        <v>4759</v>
      </c>
      <c r="C802" s="22" t="s">
        <v>5798</v>
      </c>
      <c r="D802" s="22" t="s">
        <v>367</v>
      </c>
      <c r="E802" s="22">
        <v>1.0</v>
      </c>
      <c r="F802" s="22"/>
      <c r="G802" s="22" t="s">
        <v>273</v>
      </c>
      <c r="H802" s="26">
        <v>45998.0</v>
      </c>
      <c r="I802" s="22" t="s">
        <v>153</v>
      </c>
      <c r="J802" s="22" t="s">
        <v>369</v>
      </c>
      <c r="K802" s="22" t="s">
        <v>372</v>
      </c>
      <c r="L802" s="35" t="s">
        <v>5799</v>
      </c>
      <c r="M802" s="32" t="s">
        <v>55</v>
      </c>
    </row>
    <row r="803">
      <c r="A803" s="22" t="s">
        <v>1983</v>
      </c>
      <c r="B803" s="22" t="s">
        <v>3840</v>
      </c>
      <c r="C803" s="22" t="s">
        <v>5800</v>
      </c>
      <c r="D803" s="22" t="s">
        <v>902</v>
      </c>
      <c r="E803" s="22">
        <v>1.0</v>
      </c>
      <c r="F803" s="22"/>
      <c r="G803" s="22" t="s">
        <v>273</v>
      </c>
      <c r="H803" s="23">
        <v>45991.0</v>
      </c>
      <c r="I803" s="22" t="s">
        <v>149</v>
      </c>
      <c r="J803" s="22" t="s">
        <v>329</v>
      </c>
      <c r="K803" s="22" t="s">
        <v>906</v>
      </c>
      <c r="L803" s="35" t="s">
        <v>5801</v>
      </c>
      <c r="M803" s="32" t="s">
        <v>105</v>
      </c>
    </row>
    <row r="804">
      <c r="A804" s="22" t="s">
        <v>2036</v>
      </c>
      <c r="B804" s="22" t="s">
        <v>5802</v>
      </c>
      <c r="C804" s="22" t="s">
        <v>5803</v>
      </c>
      <c r="D804" s="22" t="s">
        <v>367</v>
      </c>
      <c r="E804" s="22">
        <v>1.0</v>
      </c>
      <c r="F804" s="22"/>
      <c r="G804" s="22" t="s">
        <v>273</v>
      </c>
      <c r="H804" s="26">
        <v>45998.0</v>
      </c>
      <c r="I804" s="22" t="s">
        <v>153</v>
      </c>
      <c r="J804" s="22" t="s">
        <v>369</v>
      </c>
      <c r="K804" s="22" t="s">
        <v>372</v>
      </c>
      <c r="L804" s="35" t="s">
        <v>5804</v>
      </c>
      <c r="M804" s="32" t="s">
        <v>55</v>
      </c>
    </row>
    <row r="805">
      <c r="A805" s="22" t="s">
        <v>2038</v>
      </c>
      <c r="B805" s="22" t="s">
        <v>5805</v>
      </c>
      <c r="C805" s="22" t="s">
        <v>5806</v>
      </c>
      <c r="D805" s="22" t="s">
        <v>2037</v>
      </c>
      <c r="E805" s="22">
        <v>1.0</v>
      </c>
      <c r="F805" s="22"/>
      <c r="G805" s="22" t="s">
        <v>273</v>
      </c>
      <c r="H805" s="26">
        <v>45998.0</v>
      </c>
      <c r="I805" s="22" t="s">
        <v>149</v>
      </c>
      <c r="J805" s="22" t="s">
        <v>869</v>
      </c>
      <c r="K805" s="22" t="s">
        <v>2039</v>
      </c>
      <c r="L805" s="35" t="s">
        <v>5807</v>
      </c>
      <c r="M805" s="32" t="s">
        <v>105</v>
      </c>
    </row>
    <row r="806">
      <c r="A806" s="22" t="s">
        <v>2041</v>
      </c>
      <c r="B806" s="22" t="s">
        <v>3776</v>
      </c>
      <c r="C806" s="22" t="s">
        <v>5808</v>
      </c>
      <c r="D806" s="22" t="s">
        <v>686</v>
      </c>
      <c r="E806" s="22">
        <v>1.0</v>
      </c>
      <c r="F806" s="22"/>
      <c r="G806" s="22" t="s">
        <v>82</v>
      </c>
      <c r="H806" s="26">
        <v>45997.0</v>
      </c>
      <c r="I806" s="22" t="s">
        <v>1442</v>
      </c>
      <c r="J806" s="22" t="s">
        <v>451</v>
      </c>
      <c r="K806" s="22" t="s">
        <v>688</v>
      </c>
      <c r="L806" s="35" t="s">
        <v>5809</v>
      </c>
      <c r="M806" s="32" t="s">
        <v>91</v>
      </c>
    </row>
    <row r="807">
      <c r="A807" s="22" t="s">
        <v>1984</v>
      </c>
      <c r="B807" s="22" t="s">
        <v>5810</v>
      </c>
      <c r="C807" s="22" t="s">
        <v>5073</v>
      </c>
      <c r="D807" s="22" t="s">
        <v>276</v>
      </c>
      <c r="E807" s="22">
        <v>1.0</v>
      </c>
      <c r="F807" s="22"/>
      <c r="G807" s="22" t="s">
        <v>82</v>
      </c>
      <c r="H807" s="26">
        <v>45997.0</v>
      </c>
      <c r="I807" s="22" t="s">
        <v>187</v>
      </c>
      <c r="J807" s="22" t="s">
        <v>278</v>
      </c>
      <c r="K807" s="22" t="s">
        <v>281</v>
      </c>
      <c r="L807" s="35" t="s">
        <v>5811</v>
      </c>
      <c r="M807" s="32" t="s">
        <v>55</v>
      </c>
    </row>
    <row r="808">
      <c r="A808" s="22" t="s">
        <v>1987</v>
      </c>
      <c r="B808" s="22" t="s">
        <v>3965</v>
      </c>
      <c r="C808" s="22" t="s">
        <v>5812</v>
      </c>
      <c r="D808" s="22" t="s">
        <v>643</v>
      </c>
      <c r="E808" s="22">
        <v>1.0</v>
      </c>
      <c r="F808" s="22"/>
      <c r="G808" s="22" t="s">
        <v>273</v>
      </c>
      <c r="H808" s="23">
        <v>46005.0</v>
      </c>
      <c r="I808" s="22" t="s">
        <v>168</v>
      </c>
      <c r="J808" s="22" t="s">
        <v>634</v>
      </c>
      <c r="K808" s="22" t="s">
        <v>647</v>
      </c>
      <c r="L808" s="35" t="s">
        <v>5813</v>
      </c>
      <c r="M808" s="32" t="s">
        <v>54</v>
      </c>
    </row>
    <row r="809">
      <c r="A809" s="22" t="s">
        <v>178</v>
      </c>
      <c r="B809" s="22" t="s">
        <v>4509</v>
      </c>
      <c r="C809" s="22" t="s">
        <v>5814</v>
      </c>
      <c r="D809" s="22" t="s">
        <v>166</v>
      </c>
      <c r="E809" s="22">
        <v>1.0</v>
      </c>
      <c r="F809" s="22"/>
      <c r="G809" s="22" t="s">
        <v>82</v>
      </c>
      <c r="H809" s="23">
        <v>45990.0</v>
      </c>
      <c r="I809" s="22" t="s">
        <v>177</v>
      </c>
      <c r="J809" s="22" t="s">
        <v>111</v>
      </c>
      <c r="K809" s="22" t="s">
        <v>171</v>
      </c>
      <c r="L809" s="35" t="s">
        <v>5815</v>
      </c>
      <c r="M809" s="32" t="s">
        <v>55</v>
      </c>
    </row>
    <row r="810">
      <c r="A810" s="22" t="s">
        <v>1989</v>
      </c>
      <c r="B810" s="22" t="s">
        <v>5136</v>
      </c>
      <c r="C810" s="22" t="s">
        <v>4097</v>
      </c>
      <c r="D810" s="22" t="s">
        <v>529</v>
      </c>
      <c r="E810" s="22">
        <v>1.0</v>
      </c>
      <c r="F810" s="22"/>
      <c r="G810" s="22" t="s">
        <v>82</v>
      </c>
      <c r="H810" s="26">
        <v>45997.0</v>
      </c>
      <c r="I810" s="22" t="s">
        <v>134</v>
      </c>
      <c r="J810" s="22" t="s">
        <v>472</v>
      </c>
      <c r="K810" s="22" t="s">
        <v>533</v>
      </c>
      <c r="L810" s="35" t="s">
        <v>5816</v>
      </c>
      <c r="M810" s="32" t="s">
        <v>127</v>
      </c>
    </row>
    <row r="811">
      <c r="A811" s="22" t="s">
        <v>1990</v>
      </c>
      <c r="B811" s="22" t="s">
        <v>3981</v>
      </c>
      <c r="C811" s="22" t="s">
        <v>5041</v>
      </c>
      <c r="D811" s="22" t="s">
        <v>538</v>
      </c>
      <c r="E811" s="22">
        <v>1.0</v>
      </c>
      <c r="F811" s="22"/>
      <c r="G811" s="22" t="s">
        <v>273</v>
      </c>
      <c r="H811" s="26">
        <v>45998.0</v>
      </c>
      <c r="I811" s="22" t="s">
        <v>149</v>
      </c>
      <c r="J811" s="22" t="s">
        <v>369</v>
      </c>
      <c r="K811" s="22" t="s">
        <v>542</v>
      </c>
      <c r="L811" s="35" t="s">
        <v>5817</v>
      </c>
      <c r="M811" s="32" t="s">
        <v>91</v>
      </c>
    </row>
    <row r="812">
      <c r="A812" s="22" t="s">
        <v>1991</v>
      </c>
      <c r="B812" s="22" t="s">
        <v>5818</v>
      </c>
      <c r="C812" s="22" t="s">
        <v>5819</v>
      </c>
      <c r="D812" s="22" t="s">
        <v>550</v>
      </c>
      <c r="E812" s="22">
        <v>1.0</v>
      </c>
      <c r="F812" s="22"/>
      <c r="G812" s="22" t="s">
        <v>82</v>
      </c>
      <c r="H812" s="26">
        <v>45997.0</v>
      </c>
      <c r="I812" s="22" t="s">
        <v>266</v>
      </c>
      <c r="J812" s="22" t="s">
        <v>377</v>
      </c>
      <c r="K812" s="22" t="s">
        <v>552</v>
      </c>
      <c r="L812" s="35" t="s">
        <v>5820</v>
      </c>
      <c r="M812" s="32" t="s">
        <v>95</v>
      </c>
    </row>
    <row r="813">
      <c r="A813" s="22" t="s">
        <v>1994</v>
      </c>
      <c r="B813" s="22" t="s">
        <v>5821</v>
      </c>
      <c r="C813" s="22" t="s">
        <v>5822</v>
      </c>
      <c r="D813" s="22" t="s">
        <v>924</v>
      </c>
      <c r="E813" s="22">
        <v>1.0</v>
      </c>
      <c r="F813" s="22"/>
      <c r="G813" s="22" t="s">
        <v>82</v>
      </c>
      <c r="H813" s="26">
        <v>45997.0</v>
      </c>
      <c r="I813" s="22" t="s">
        <v>1993</v>
      </c>
      <c r="J813" s="22" t="s">
        <v>623</v>
      </c>
      <c r="K813" s="22" t="s">
        <v>926</v>
      </c>
      <c r="L813" s="35" t="s">
        <v>5823</v>
      </c>
      <c r="M813" s="32" t="s">
        <v>55</v>
      </c>
    </row>
    <row r="814">
      <c r="A814" s="22" t="s">
        <v>1996</v>
      </c>
      <c r="B814" s="22" t="s">
        <v>4806</v>
      </c>
      <c r="C814" s="22" t="s">
        <v>5824</v>
      </c>
      <c r="D814" s="22" t="s">
        <v>573</v>
      </c>
      <c r="E814" s="22">
        <v>1.0</v>
      </c>
      <c r="F814" s="22"/>
      <c r="G814" s="22" t="s">
        <v>273</v>
      </c>
      <c r="H814" s="26">
        <v>45998.0</v>
      </c>
      <c r="I814" s="22" t="s">
        <v>187</v>
      </c>
      <c r="J814" s="22" t="s">
        <v>440</v>
      </c>
      <c r="K814" s="22" t="s">
        <v>577</v>
      </c>
      <c r="L814" s="35" t="s">
        <v>5825</v>
      </c>
      <c r="M814" s="32" t="s">
        <v>55</v>
      </c>
    </row>
    <row r="815">
      <c r="A815" s="22" t="s">
        <v>1997</v>
      </c>
      <c r="B815" s="22" t="s">
        <v>5826</v>
      </c>
      <c r="C815" s="22" t="s">
        <v>5827</v>
      </c>
      <c r="D815" s="22" t="s">
        <v>979</v>
      </c>
      <c r="E815" s="22">
        <v>1.0</v>
      </c>
      <c r="F815" s="22"/>
      <c r="G815" s="22" t="s">
        <v>82</v>
      </c>
      <c r="H815" s="26">
        <v>45997.0</v>
      </c>
      <c r="I815" s="22" t="s">
        <v>1117</v>
      </c>
      <c r="J815" s="22" t="s">
        <v>605</v>
      </c>
      <c r="K815" s="22" t="s">
        <v>984</v>
      </c>
      <c r="L815" s="35" t="s">
        <v>5828</v>
      </c>
      <c r="M815" s="32" t="s">
        <v>55</v>
      </c>
    </row>
    <row r="816">
      <c r="A816" s="22" t="s">
        <v>1998</v>
      </c>
      <c r="B816" s="22" t="s">
        <v>5829</v>
      </c>
      <c r="C816" s="22" t="s">
        <v>5830</v>
      </c>
      <c r="D816" s="22" t="s">
        <v>938</v>
      </c>
      <c r="E816" s="22">
        <v>1.0</v>
      </c>
      <c r="F816" s="22"/>
      <c r="G816" s="22" t="s">
        <v>82</v>
      </c>
      <c r="H816" s="26">
        <v>45997.0</v>
      </c>
      <c r="I816" s="22" t="s">
        <v>134</v>
      </c>
      <c r="J816" s="22" t="s">
        <v>472</v>
      </c>
      <c r="K816" s="22" t="s">
        <v>940</v>
      </c>
      <c r="L816" s="35" t="s">
        <v>5831</v>
      </c>
      <c r="M816" s="32" t="s">
        <v>54</v>
      </c>
    </row>
    <row r="817">
      <c r="A817" s="22" t="s">
        <v>1999</v>
      </c>
      <c r="B817" s="22" t="s">
        <v>5832</v>
      </c>
      <c r="C817" s="22" t="s">
        <v>5833</v>
      </c>
      <c r="D817" s="22" t="s">
        <v>979</v>
      </c>
      <c r="E817" s="22">
        <v>1.0</v>
      </c>
      <c r="F817" s="22"/>
      <c r="G817" s="22" t="s">
        <v>82</v>
      </c>
      <c r="H817" s="26">
        <v>45997.0</v>
      </c>
      <c r="I817" s="22" t="s">
        <v>1117</v>
      </c>
      <c r="J817" s="22" t="s">
        <v>605</v>
      </c>
      <c r="K817" s="22" t="s">
        <v>984</v>
      </c>
      <c r="L817" s="35" t="s">
        <v>5834</v>
      </c>
      <c r="M817" s="32" t="s">
        <v>55</v>
      </c>
    </row>
    <row r="818">
      <c r="A818" s="22" t="s">
        <v>2000</v>
      </c>
      <c r="B818" s="22" t="s">
        <v>4714</v>
      </c>
      <c r="C818" s="22" t="s">
        <v>5835</v>
      </c>
      <c r="D818" s="22" t="s">
        <v>96</v>
      </c>
      <c r="E818" s="22">
        <v>1.0</v>
      </c>
      <c r="F818" s="22"/>
      <c r="G818" s="22" t="s">
        <v>82</v>
      </c>
      <c r="H818" s="26">
        <v>45997.0</v>
      </c>
      <c r="I818" s="22" t="s">
        <v>138</v>
      </c>
      <c r="J818" s="22" t="s">
        <v>83</v>
      </c>
      <c r="K818" s="22" t="s">
        <v>98</v>
      </c>
      <c r="L818" s="35" t="s">
        <v>5836</v>
      </c>
      <c r="M818" s="32" t="s">
        <v>55</v>
      </c>
    </row>
    <row r="819">
      <c r="A819" s="22" t="s">
        <v>2001</v>
      </c>
      <c r="B819" s="22" t="s">
        <v>5837</v>
      </c>
      <c r="C819" s="22" t="s">
        <v>5838</v>
      </c>
      <c r="D819" s="22" t="s">
        <v>415</v>
      </c>
      <c r="E819" s="22">
        <v>1.0</v>
      </c>
      <c r="F819" s="22"/>
      <c r="G819" s="22" t="s">
        <v>82</v>
      </c>
      <c r="H819" s="26">
        <v>45997.0</v>
      </c>
      <c r="I819" s="22" t="s">
        <v>153</v>
      </c>
      <c r="J819" s="22" t="s">
        <v>377</v>
      </c>
      <c r="K819" s="22" t="s">
        <v>419</v>
      </c>
      <c r="L819" s="35" t="s">
        <v>5839</v>
      </c>
      <c r="M819" s="32" t="s">
        <v>91</v>
      </c>
    </row>
    <row r="820">
      <c r="A820" s="22" t="s">
        <v>2002</v>
      </c>
      <c r="B820" s="22" t="s">
        <v>3992</v>
      </c>
      <c r="C820" s="22" t="s">
        <v>5840</v>
      </c>
      <c r="D820" s="22" t="s">
        <v>515</v>
      </c>
      <c r="E820" s="22">
        <v>1.0</v>
      </c>
      <c r="F820" s="22"/>
      <c r="G820" s="22" t="s">
        <v>82</v>
      </c>
      <c r="H820" s="26">
        <v>45997.0</v>
      </c>
      <c r="I820" s="22" t="s">
        <v>134</v>
      </c>
      <c r="J820" s="22" t="s">
        <v>472</v>
      </c>
      <c r="K820" s="22" t="s">
        <v>519</v>
      </c>
      <c r="L820" s="35" t="s">
        <v>5841</v>
      </c>
      <c r="M820" s="32" t="s">
        <v>55</v>
      </c>
    </row>
    <row r="821">
      <c r="A821" s="22" t="s">
        <v>5842</v>
      </c>
      <c r="B821" s="22" t="s">
        <v>5843</v>
      </c>
      <c r="C821" s="22" t="s">
        <v>5844</v>
      </c>
      <c r="D821" s="22" t="s">
        <v>4741</v>
      </c>
      <c r="E821" s="22">
        <v>1.0</v>
      </c>
      <c r="F821" s="22"/>
      <c r="G821" s="22" t="s">
        <v>1284</v>
      </c>
      <c r="H821" s="26">
        <v>45993.0</v>
      </c>
      <c r="I821" s="22" t="s">
        <v>149</v>
      </c>
      <c r="J821" s="22" t="s">
        <v>4325</v>
      </c>
      <c r="K821" s="22" t="s">
        <v>4742</v>
      </c>
      <c r="L821" s="35" t="s">
        <v>5845</v>
      </c>
      <c r="M821" s="32" t="s">
        <v>55</v>
      </c>
    </row>
    <row r="822">
      <c r="A822" s="22" t="s">
        <v>2004</v>
      </c>
      <c r="B822" s="22" t="s">
        <v>5846</v>
      </c>
      <c r="C822" s="22" t="s">
        <v>5847</v>
      </c>
      <c r="D822" s="22" t="s">
        <v>845</v>
      </c>
      <c r="E822" s="22">
        <v>1.0</v>
      </c>
      <c r="F822" s="22"/>
      <c r="G822" s="22" t="s">
        <v>82</v>
      </c>
      <c r="H822" s="26">
        <v>45997.0</v>
      </c>
      <c r="I822" s="22" t="s">
        <v>1895</v>
      </c>
      <c r="J822" s="22" t="s">
        <v>451</v>
      </c>
      <c r="K822" s="22" t="s">
        <v>847</v>
      </c>
      <c r="L822" s="35" t="s">
        <v>5848</v>
      </c>
      <c r="M822" s="32" t="s">
        <v>55</v>
      </c>
    </row>
    <row r="823">
      <c r="A823" s="22" t="s">
        <v>2006</v>
      </c>
      <c r="B823" s="22" t="s">
        <v>5849</v>
      </c>
      <c r="C823" s="22" t="s">
        <v>5850</v>
      </c>
      <c r="D823" s="22" t="s">
        <v>1204</v>
      </c>
      <c r="E823" s="22">
        <v>1.0</v>
      </c>
      <c r="F823" s="22"/>
      <c r="G823" s="22" t="s">
        <v>82</v>
      </c>
      <c r="H823" s="26">
        <v>45997.0</v>
      </c>
      <c r="I823" s="22" t="s">
        <v>266</v>
      </c>
      <c r="J823" s="22" t="s">
        <v>623</v>
      </c>
      <c r="K823" s="22" t="s">
        <v>1208</v>
      </c>
      <c r="L823" s="35" t="s">
        <v>5851</v>
      </c>
      <c r="M823" s="32" t="s">
        <v>91</v>
      </c>
    </row>
    <row r="824">
      <c r="A824" s="22" t="s">
        <v>2008</v>
      </c>
      <c r="B824" s="22" t="s">
        <v>5852</v>
      </c>
      <c r="C824" s="22" t="s">
        <v>5853</v>
      </c>
      <c r="D824" s="22" t="s">
        <v>96</v>
      </c>
      <c r="E824" s="22">
        <v>1.0</v>
      </c>
      <c r="F824" s="22"/>
      <c r="G824" s="22" t="s">
        <v>273</v>
      </c>
      <c r="H824" s="23">
        <v>45991.0</v>
      </c>
      <c r="I824" s="22" t="s">
        <v>153</v>
      </c>
      <c r="J824" s="22" t="s">
        <v>83</v>
      </c>
      <c r="K824" s="22" t="s">
        <v>98</v>
      </c>
      <c r="L824" s="35" t="s">
        <v>5854</v>
      </c>
      <c r="M824" s="32" t="s">
        <v>55</v>
      </c>
    </row>
    <row r="825">
      <c r="A825" s="22" t="s">
        <v>1956</v>
      </c>
      <c r="B825" s="22" t="s">
        <v>4093</v>
      </c>
      <c r="C825" s="22" t="s">
        <v>5855</v>
      </c>
      <c r="D825" s="22" t="s">
        <v>92</v>
      </c>
      <c r="E825" s="22">
        <v>1.0</v>
      </c>
      <c r="F825" s="22"/>
      <c r="G825" s="22" t="s">
        <v>82</v>
      </c>
      <c r="H825" s="26">
        <v>45997.0</v>
      </c>
      <c r="I825" s="22" t="s">
        <v>149</v>
      </c>
      <c r="J825" s="22" t="s">
        <v>83</v>
      </c>
      <c r="K825" s="22" t="s">
        <v>94</v>
      </c>
      <c r="L825" s="35" t="s">
        <v>5856</v>
      </c>
      <c r="M825" s="32" t="s">
        <v>95</v>
      </c>
    </row>
    <row r="826">
      <c r="A826" s="22" t="s">
        <v>1957</v>
      </c>
      <c r="B826" s="22" t="s">
        <v>5857</v>
      </c>
      <c r="C826" s="22" t="s">
        <v>5858</v>
      </c>
      <c r="D826" s="22" t="s">
        <v>1554</v>
      </c>
      <c r="E826" s="22">
        <v>1.0</v>
      </c>
      <c r="F826" s="22"/>
      <c r="G826" s="22" t="s">
        <v>82</v>
      </c>
      <c r="H826" s="26">
        <v>45997.0</v>
      </c>
      <c r="I826" s="22" t="s">
        <v>1822</v>
      </c>
      <c r="J826" s="22" t="s">
        <v>1466</v>
      </c>
      <c r="K826" s="22" t="s">
        <v>1556</v>
      </c>
      <c r="L826" s="35" t="s">
        <v>5859</v>
      </c>
      <c r="M826" s="32" t="s">
        <v>91</v>
      </c>
    </row>
    <row r="827">
      <c r="A827" s="22" t="s">
        <v>1954</v>
      </c>
      <c r="B827" s="22" t="s">
        <v>5860</v>
      </c>
      <c r="C827" s="22" t="s">
        <v>5861</v>
      </c>
      <c r="D827" s="22" t="s">
        <v>1204</v>
      </c>
      <c r="E827" s="22">
        <v>1.0</v>
      </c>
      <c r="F827" s="22"/>
      <c r="G827" s="22" t="s">
        <v>82</v>
      </c>
      <c r="H827" s="26">
        <v>45997.0</v>
      </c>
      <c r="I827" s="22" t="s">
        <v>149</v>
      </c>
      <c r="J827" s="22" t="s">
        <v>623</v>
      </c>
      <c r="K827" s="22" t="s">
        <v>1208</v>
      </c>
      <c r="L827" s="35" t="s">
        <v>5862</v>
      </c>
      <c r="M827" s="32" t="s">
        <v>91</v>
      </c>
    </row>
    <row r="828">
      <c r="A828" s="22" t="s">
        <v>2013</v>
      </c>
      <c r="B828" s="22" t="s">
        <v>5863</v>
      </c>
      <c r="C828" s="22" t="s">
        <v>3930</v>
      </c>
      <c r="D828" s="22" t="s">
        <v>924</v>
      </c>
      <c r="E828" s="22">
        <v>1.0</v>
      </c>
      <c r="F828" s="22"/>
      <c r="G828" s="22" t="s">
        <v>82</v>
      </c>
      <c r="H828" s="26">
        <v>45997.0</v>
      </c>
      <c r="I828" s="22" t="s">
        <v>266</v>
      </c>
      <c r="J828" s="22" t="s">
        <v>623</v>
      </c>
      <c r="K828" s="22" t="s">
        <v>926</v>
      </c>
      <c r="L828" s="35" t="s">
        <v>5864</v>
      </c>
      <c r="M828" s="32" t="s">
        <v>55</v>
      </c>
    </row>
    <row r="829">
      <c r="A829" s="22" t="s">
        <v>2014</v>
      </c>
      <c r="B829" s="22" t="s">
        <v>3872</v>
      </c>
      <c r="C829" s="22" t="s">
        <v>5865</v>
      </c>
      <c r="D829" s="22" t="s">
        <v>879</v>
      </c>
      <c r="E829" s="22">
        <v>1.0</v>
      </c>
      <c r="F829" s="22"/>
      <c r="G829" s="22" t="s">
        <v>273</v>
      </c>
      <c r="H829" s="26">
        <v>45998.0</v>
      </c>
      <c r="I829" s="22" t="s">
        <v>149</v>
      </c>
      <c r="J829" s="22" t="s">
        <v>869</v>
      </c>
      <c r="K829" s="22" t="s">
        <v>881</v>
      </c>
      <c r="L829" s="35" t="s">
        <v>5866</v>
      </c>
      <c r="M829" s="32" t="s">
        <v>127</v>
      </c>
    </row>
    <row r="830">
      <c r="A830" s="22" t="s">
        <v>2015</v>
      </c>
      <c r="B830" s="22" t="s">
        <v>3674</v>
      </c>
      <c r="C830" s="22" t="s">
        <v>5867</v>
      </c>
      <c r="D830" s="22" t="s">
        <v>696</v>
      </c>
      <c r="E830" s="22">
        <v>1.0</v>
      </c>
      <c r="F830" s="22"/>
      <c r="G830" s="22" t="s">
        <v>82</v>
      </c>
      <c r="H830" s="26">
        <v>45997.0</v>
      </c>
      <c r="I830" s="22" t="s">
        <v>211</v>
      </c>
      <c r="J830" s="22" t="s">
        <v>698</v>
      </c>
      <c r="K830" s="22" t="s">
        <v>701</v>
      </c>
      <c r="L830" s="35" t="s">
        <v>5868</v>
      </c>
      <c r="M830" s="32" t="s">
        <v>55</v>
      </c>
    </row>
    <row r="831">
      <c r="A831" s="22" t="s">
        <v>2016</v>
      </c>
      <c r="B831" s="22" t="s">
        <v>5754</v>
      </c>
      <c r="C831" s="22" t="s">
        <v>5432</v>
      </c>
      <c r="D831" s="22" t="s">
        <v>569</v>
      </c>
      <c r="E831" s="22">
        <v>1.0</v>
      </c>
      <c r="F831" s="22"/>
      <c r="G831" s="22" t="s">
        <v>273</v>
      </c>
      <c r="H831" s="26">
        <v>45998.0</v>
      </c>
      <c r="I831" s="22" t="s">
        <v>134</v>
      </c>
      <c r="J831" s="22" t="s">
        <v>472</v>
      </c>
      <c r="K831" s="22" t="s">
        <v>571</v>
      </c>
      <c r="L831" s="35" t="s">
        <v>5869</v>
      </c>
      <c r="M831" s="32" t="s">
        <v>105</v>
      </c>
    </row>
    <row r="832">
      <c r="A832" s="22" t="s">
        <v>2017</v>
      </c>
      <c r="B832" s="22" t="s">
        <v>5870</v>
      </c>
      <c r="C832" s="22" t="s">
        <v>5871</v>
      </c>
      <c r="D832" s="22" t="s">
        <v>209</v>
      </c>
      <c r="E832" s="22">
        <v>1.0</v>
      </c>
      <c r="F832" s="22"/>
      <c r="G832" s="22" t="s">
        <v>82</v>
      </c>
      <c r="H832" s="26">
        <v>45997.0</v>
      </c>
      <c r="I832" s="22" t="s">
        <v>230</v>
      </c>
      <c r="J832" s="22" t="s">
        <v>111</v>
      </c>
      <c r="K832" s="22" t="s">
        <v>214</v>
      </c>
      <c r="L832" s="35" t="s">
        <v>5872</v>
      </c>
      <c r="M832" s="32" t="s">
        <v>91</v>
      </c>
    </row>
    <row r="833">
      <c r="A833" s="22" t="s">
        <v>2018</v>
      </c>
      <c r="B833" s="22" t="s">
        <v>4081</v>
      </c>
      <c r="C833" s="22" t="s">
        <v>4066</v>
      </c>
      <c r="D833" s="22" t="s">
        <v>696</v>
      </c>
      <c r="E833" s="22">
        <v>1.0</v>
      </c>
      <c r="F833" s="22"/>
      <c r="G833" s="22" t="s">
        <v>82</v>
      </c>
      <c r="H833" s="26">
        <v>45997.0</v>
      </c>
      <c r="I833" s="22" t="s">
        <v>187</v>
      </c>
      <c r="J833" s="22" t="s">
        <v>698</v>
      </c>
      <c r="K833" s="22" t="s">
        <v>701</v>
      </c>
      <c r="L833" s="35" t="s">
        <v>5873</v>
      </c>
      <c r="M833" s="32" t="s">
        <v>55</v>
      </c>
    </row>
    <row r="834">
      <c r="A834" s="22" t="s">
        <v>2018</v>
      </c>
      <c r="B834" s="22" t="s">
        <v>4081</v>
      </c>
      <c r="C834" s="22" t="s">
        <v>4066</v>
      </c>
      <c r="D834" s="22" t="s">
        <v>950</v>
      </c>
      <c r="E834" s="22">
        <v>1.0</v>
      </c>
      <c r="F834" s="22"/>
      <c r="G834" s="22" t="s">
        <v>82</v>
      </c>
      <c r="H834" s="26">
        <v>45997.0</v>
      </c>
      <c r="I834" s="22" t="s">
        <v>187</v>
      </c>
      <c r="J834" s="22" t="s">
        <v>698</v>
      </c>
      <c r="K834" s="22" t="s">
        <v>952</v>
      </c>
      <c r="L834" s="35" t="s">
        <v>5874</v>
      </c>
      <c r="M834" s="32" t="s">
        <v>54</v>
      </c>
    </row>
    <row r="835">
      <c r="A835" s="22" t="s">
        <v>2019</v>
      </c>
      <c r="B835" s="22" t="s">
        <v>4196</v>
      </c>
      <c r="C835" s="22" t="s">
        <v>5875</v>
      </c>
      <c r="D835" s="22" t="s">
        <v>912</v>
      </c>
      <c r="E835" s="22">
        <v>1.0</v>
      </c>
      <c r="F835" s="22"/>
      <c r="G835" s="22" t="s">
        <v>82</v>
      </c>
      <c r="H835" s="23">
        <v>46004.0</v>
      </c>
      <c r="I835" s="22" t="s">
        <v>248</v>
      </c>
      <c r="J835" s="22" t="s">
        <v>377</v>
      </c>
      <c r="K835" s="22" t="s">
        <v>914</v>
      </c>
      <c r="L835" s="35" t="s">
        <v>5876</v>
      </c>
      <c r="M835" s="32" t="s">
        <v>54</v>
      </c>
    </row>
    <row r="836">
      <c r="A836" s="22" t="s">
        <v>2020</v>
      </c>
      <c r="B836" s="22" t="s">
        <v>5236</v>
      </c>
      <c r="C836" s="22" t="s">
        <v>5877</v>
      </c>
      <c r="D836" s="22" t="s">
        <v>778</v>
      </c>
      <c r="E836" s="22">
        <v>1.0</v>
      </c>
      <c r="F836" s="22"/>
      <c r="G836" s="22" t="s">
        <v>273</v>
      </c>
      <c r="H836" s="26">
        <v>45998.0</v>
      </c>
      <c r="I836" s="22" t="s">
        <v>975</v>
      </c>
      <c r="J836" s="22" t="s">
        <v>440</v>
      </c>
      <c r="K836" s="22" t="s">
        <v>780</v>
      </c>
      <c r="L836" s="35" t="s">
        <v>5878</v>
      </c>
      <c r="M836" s="32" t="s">
        <v>127</v>
      </c>
    </row>
    <row r="837">
      <c r="A837" s="22" t="s">
        <v>2022</v>
      </c>
      <c r="B837" s="22" t="s">
        <v>5879</v>
      </c>
      <c r="C837" s="22" t="s">
        <v>5880</v>
      </c>
      <c r="D837" s="22" t="s">
        <v>2021</v>
      </c>
      <c r="E837" s="22">
        <v>1.0</v>
      </c>
      <c r="F837" s="22"/>
      <c r="G837" s="22" t="s">
        <v>82</v>
      </c>
      <c r="H837" s="26">
        <v>45997.0</v>
      </c>
      <c r="I837" s="22" t="s">
        <v>1117</v>
      </c>
      <c r="J837" s="22" t="s">
        <v>605</v>
      </c>
      <c r="K837" s="22" t="s">
        <v>2023</v>
      </c>
      <c r="L837" s="35" t="s">
        <v>5881</v>
      </c>
      <c r="M837" s="32" t="s">
        <v>132</v>
      </c>
    </row>
    <row r="838">
      <c r="A838" s="22" t="s">
        <v>2025</v>
      </c>
      <c r="B838" s="22" t="s">
        <v>5882</v>
      </c>
      <c r="C838" s="22" t="s">
        <v>5883</v>
      </c>
      <c r="D838" s="22" t="s">
        <v>309</v>
      </c>
      <c r="E838" s="22">
        <v>1.0</v>
      </c>
      <c r="F838" s="22"/>
      <c r="G838" s="22" t="s">
        <v>202</v>
      </c>
      <c r="H838" s="26">
        <v>45996.0</v>
      </c>
      <c r="I838" s="22" t="s">
        <v>134</v>
      </c>
      <c r="J838" s="22" t="s">
        <v>311</v>
      </c>
      <c r="K838" s="22" t="s">
        <v>314</v>
      </c>
      <c r="L838" s="35" t="s">
        <v>5884</v>
      </c>
      <c r="M838" s="32" t="s">
        <v>105</v>
      </c>
    </row>
    <row r="839">
      <c r="A839" s="22" t="s">
        <v>2027</v>
      </c>
      <c r="B839" s="22" t="s">
        <v>3973</v>
      </c>
      <c r="C839" s="22" t="s">
        <v>5885</v>
      </c>
      <c r="D839" s="22" t="s">
        <v>912</v>
      </c>
      <c r="E839" s="22">
        <v>1.0</v>
      </c>
      <c r="F839" s="22"/>
      <c r="G839" s="22" t="s">
        <v>82</v>
      </c>
      <c r="H839" s="26">
        <v>45997.0</v>
      </c>
      <c r="I839" s="22" t="s">
        <v>149</v>
      </c>
      <c r="J839" s="22" t="s">
        <v>377</v>
      </c>
      <c r="K839" s="22" t="s">
        <v>914</v>
      </c>
      <c r="L839" s="35" t="s">
        <v>5886</v>
      </c>
      <c r="M839" s="32" t="s">
        <v>54</v>
      </c>
    </row>
    <row r="840">
      <c r="A840" s="22" t="s">
        <v>2028</v>
      </c>
      <c r="B840" s="22" t="s">
        <v>5887</v>
      </c>
      <c r="C840" s="22" t="s">
        <v>5888</v>
      </c>
      <c r="D840" s="22" t="s">
        <v>415</v>
      </c>
      <c r="E840" s="22">
        <v>1.0</v>
      </c>
      <c r="F840" s="22"/>
      <c r="G840" s="22" t="s">
        <v>82</v>
      </c>
      <c r="H840" s="26">
        <v>45997.0</v>
      </c>
      <c r="I840" s="22" t="s">
        <v>248</v>
      </c>
      <c r="J840" s="22" t="s">
        <v>377</v>
      </c>
      <c r="K840" s="22" t="s">
        <v>419</v>
      </c>
      <c r="L840" s="35" t="s">
        <v>5889</v>
      </c>
      <c r="M840" s="32" t="s">
        <v>91</v>
      </c>
    </row>
    <row r="841">
      <c r="A841" s="22" t="s">
        <v>2030</v>
      </c>
      <c r="B841" s="22" t="s">
        <v>3938</v>
      </c>
      <c r="C841" s="22" t="s">
        <v>5890</v>
      </c>
      <c r="D841" s="22" t="s">
        <v>938</v>
      </c>
      <c r="E841" s="22">
        <v>1.0</v>
      </c>
      <c r="F841" s="22"/>
      <c r="G841" s="22" t="s">
        <v>273</v>
      </c>
      <c r="H841" s="26">
        <v>45998.0</v>
      </c>
      <c r="I841" s="22" t="s">
        <v>181</v>
      </c>
      <c r="J841" s="22" t="s">
        <v>472</v>
      </c>
      <c r="K841" s="22" t="s">
        <v>940</v>
      </c>
      <c r="L841" s="35" t="s">
        <v>5891</v>
      </c>
      <c r="M841" s="32" t="s">
        <v>54</v>
      </c>
    </row>
    <row r="842">
      <c r="A842" s="22" t="s">
        <v>2032</v>
      </c>
      <c r="B842" s="22" t="s">
        <v>5892</v>
      </c>
      <c r="C842" s="22" t="s">
        <v>5893</v>
      </c>
      <c r="D842" s="22" t="s">
        <v>96</v>
      </c>
      <c r="E842" s="22">
        <v>1.0</v>
      </c>
      <c r="F842" s="22"/>
      <c r="G842" s="22" t="s">
        <v>287</v>
      </c>
      <c r="H842" s="26">
        <v>45994.0</v>
      </c>
      <c r="I842" s="22" t="s">
        <v>153</v>
      </c>
      <c r="J842" s="22" t="s">
        <v>83</v>
      </c>
      <c r="K842" s="22" t="s">
        <v>98</v>
      </c>
      <c r="L842" s="35" t="s">
        <v>5894</v>
      </c>
      <c r="M842" s="32" t="s">
        <v>55</v>
      </c>
    </row>
    <row r="843">
      <c r="A843" s="22" t="s">
        <v>2034</v>
      </c>
      <c r="B843" s="22" t="s">
        <v>5895</v>
      </c>
      <c r="C843" s="22" t="s">
        <v>5896</v>
      </c>
      <c r="D843" s="22" t="s">
        <v>859</v>
      </c>
      <c r="E843" s="22">
        <v>1.0</v>
      </c>
      <c r="F843" s="22"/>
      <c r="G843" s="22" t="s">
        <v>82</v>
      </c>
      <c r="H843" s="26">
        <v>45997.0</v>
      </c>
      <c r="I843" s="22" t="s">
        <v>1073</v>
      </c>
      <c r="J843" s="22" t="s">
        <v>605</v>
      </c>
      <c r="K843" s="22" t="s">
        <v>861</v>
      </c>
      <c r="L843" s="35" t="s">
        <v>5897</v>
      </c>
      <c r="M843" s="32" t="s">
        <v>95</v>
      </c>
    </row>
    <row r="844">
      <c r="A844" s="22" t="s">
        <v>2044</v>
      </c>
      <c r="B844" s="22" t="s">
        <v>4479</v>
      </c>
      <c r="C844" s="22" t="s">
        <v>5898</v>
      </c>
      <c r="D844" s="22" t="s">
        <v>209</v>
      </c>
      <c r="E844" s="22">
        <v>1.0</v>
      </c>
      <c r="F844" s="22"/>
      <c r="G844" s="22" t="s">
        <v>82</v>
      </c>
      <c r="H844" s="26">
        <v>45997.0</v>
      </c>
      <c r="I844" s="22" t="s">
        <v>119</v>
      </c>
      <c r="J844" s="22" t="s">
        <v>111</v>
      </c>
      <c r="K844" s="22" t="s">
        <v>214</v>
      </c>
      <c r="L844" s="35" t="s">
        <v>5899</v>
      </c>
      <c r="M844" s="32" t="s">
        <v>91</v>
      </c>
    </row>
    <row r="845">
      <c r="A845" s="22" t="s">
        <v>2063</v>
      </c>
      <c r="B845" s="22" t="s">
        <v>5900</v>
      </c>
      <c r="C845" s="22" t="s">
        <v>5901</v>
      </c>
      <c r="D845" s="22" t="s">
        <v>580</v>
      </c>
      <c r="E845" s="22">
        <v>1.0</v>
      </c>
      <c r="F845" s="22"/>
      <c r="G845" s="22" t="s">
        <v>82</v>
      </c>
      <c r="H845" s="26">
        <v>45997.0</v>
      </c>
      <c r="I845" s="22" t="s">
        <v>266</v>
      </c>
      <c r="J845" s="22" t="s">
        <v>303</v>
      </c>
      <c r="K845" s="22" t="s">
        <v>583</v>
      </c>
      <c r="L845" s="35" t="s">
        <v>5902</v>
      </c>
      <c r="M845" s="32" t="s">
        <v>175</v>
      </c>
    </row>
    <row r="846">
      <c r="A846" s="22" t="s">
        <v>2064</v>
      </c>
      <c r="B846" s="22" t="s">
        <v>4261</v>
      </c>
      <c r="C846" s="22" t="s">
        <v>5903</v>
      </c>
      <c r="D846" s="22" t="s">
        <v>602</v>
      </c>
      <c r="E846" s="22">
        <v>1.0</v>
      </c>
      <c r="F846" s="22"/>
      <c r="G846" s="22" t="s">
        <v>82</v>
      </c>
      <c r="H846" s="26">
        <v>45997.0</v>
      </c>
      <c r="I846" s="22" t="s">
        <v>1117</v>
      </c>
      <c r="J846" s="22" t="s">
        <v>605</v>
      </c>
      <c r="K846" s="22" t="s">
        <v>608</v>
      </c>
      <c r="L846" s="35" t="s">
        <v>5904</v>
      </c>
      <c r="M846" s="32" t="s">
        <v>54</v>
      </c>
    </row>
    <row r="847">
      <c r="A847" s="22" t="s">
        <v>2065</v>
      </c>
      <c r="B847" s="22" t="s">
        <v>3820</v>
      </c>
      <c r="C847" s="22" t="s">
        <v>5163</v>
      </c>
      <c r="D847" s="22" t="s">
        <v>529</v>
      </c>
      <c r="E847" s="22">
        <v>1.0</v>
      </c>
      <c r="F847" s="22"/>
      <c r="G847" s="22" t="s">
        <v>273</v>
      </c>
      <c r="H847" s="26">
        <v>45998.0</v>
      </c>
      <c r="I847" s="22" t="s">
        <v>134</v>
      </c>
      <c r="J847" s="22" t="s">
        <v>472</v>
      </c>
      <c r="K847" s="22" t="s">
        <v>533</v>
      </c>
      <c r="L847" s="35" t="s">
        <v>5905</v>
      </c>
      <c r="M847" s="32" t="s">
        <v>127</v>
      </c>
    </row>
    <row r="848">
      <c r="A848" s="22" t="s">
        <v>2047</v>
      </c>
      <c r="B848" s="22" t="s">
        <v>5906</v>
      </c>
      <c r="C848" s="22" t="s">
        <v>5907</v>
      </c>
      <c r="D848" s="22" t="s">
        <v>185</v>
      </c>
      <c r="E848" s="22">
        <v>1.0</v>
      </c>
      <c r="F848" s="22"/>
      <c r="G848" s="22" t="s">
        <v>273</v>
      </c>
      <c r="H848" s="23">
        <v>45991.0</v>
      </c>
      <c r="I848" s="22" t="s">
        <v>168</v>
      </c>
      <c r="J848" s="22" t="s">
        <v>111</v>
      </c>
      <c r="K848" s="22" t="s">
        <v>190</v>
      </c>
      <c r="L848" s="35" t="s">
        <v>5908</v>
      </c>
      <c r="M848" s="32" t="s">
        <v>95</v>
      </c>
    </row>
    <row r="849">
      <c r="A849" s="22" t="s">
        <v>2049</v>
      </c>
      <c r="B849" s="22" t="s">
        <v>3938</v>
      </c>
      <c r="C849" s="22" t="s">
        <v>5909</v>
      </c>
      <c r="D849" s="22" t="s">
        <v>408</v>
      </c>
      <c r="E849" s="22">
        <v>1.0</v>
      </c>
      <c r="F849" s="22"/>
      <c r="G849" s="22" t="s">
        <v>82</v>
      </c>
      <c r="H849" s="26">
        <v>45997.0</v>
      </c>
      <c r="I849" s="22" t="s">
        <v>134</v>
      </c>
      <c r="J849" s="22" t="s">
        <v>377</v>
      </c>
      <c r="K849" s="22" t="s">
        <v>412</v>
      </c>
      <c r="L849" s="35" t="s">
        <v>5910</v>
      </c>
      <c r="M849" s="32" t="s">
        <v>127</v>
      </c>
    </row>
    <row r="850">
      <c r="A850" s="22" t="s">
        <v>2050</v>
      </c>
      <c r="B850" s="22" t="s">
        <v>5911</v>
      </c>
      <c r="C850" s="22" t="s">
        <v>5912</v>
      </c>
      <c r="D850" s="22" t="s">
        <v>1472</v>
      </c>
      <c r="E850" s="22">
        <v>1.0</v>
      </c>
      <c r="F850" s="22"/>
      <c r="G850" s="22" t="s">
        <v>82</v>
      </c>
      <c r="H850" s="26">
        <v>45997.0</v>
      </c>
      <c r="I850" s="22" t="s">
        <v>177</v>
      </c>
      <c r="J850" s="22" t="s">
        <v>1466</v>
      </c>
      <c r="K850" s="22" t="s">
        <v>1474</v>
      </c>
      <c r="L850" s="35" t="s">
        <v>5913</v>
      </c>
      <c r="M850" s="32" t="s">
        <v>54</v>
      </c>
    </row>
    <row r="851">
      <c r="A851" s="22" t="s">
        <v>2050</v>
      </c>
      <c r="B851" s="22" t="s">
        <v>5911</v>
      </c>
      <c r="C851" s="22" t="s">
        <v>5912</v>
      </c>
      <c r="D851" s="22" t="s">
        <v>1617</v>
      </c>
      <c r="E851" s="22">
        <v>1.0</v>
      </c>
      <c r="F851" s="22"/>
      <c r="G851" s="22" t="s">
        <v>82</v>
      </c>
      <c r="H851" s="26">
        <v>45997.0</v>
      </c>
      <c r="I851" s="22" t="s">
        <v>177</v>
      </c>
      <c r="J851" s="22" t="s">
        <v>1466</v>
      </c>
      <c r="K851" s="22" t="s">
        <v>1621</v>
      </c>
      <c r="L851" s="35" t="s">
        <v>5914</v>
      </c>
      <c r="M851" s="32" t="s">
        <v>95</v>
      </c>
    </row>
    <row r="852">
      <c r="A852" s="22" t="s">
        <v>2051</v>
      </c>
      <c r="B852" s="22" t="s">
        <v>3967</v>
      </c>
      <c r="C852" s="22" t="s">
        <v>5915</v>
      </c>
      <c r="D852" s="22" t="s">
        <v>573</v>
      </c>
      <c r="E852" s="22">
        <v>1.0</v>
      </c>
      <c r="F852" s="22"/>
      <c r="G852" s="22" t="s">
        <v>273</v>
      </c>
      <c r="H852" s="26">
        <v>45998.0</v>
      </c>
      <c r="I852" s="22" t="s">
        <v>177</v>
      </c>
      <c r="J852" s="22" t="s">
        <v>440</v>
      </c>
      <c r="K852" s="22" t="s">
        <v>577</v>
      </c>
      <c r="L852" s="35" t="s">
        <v>5916</v>
      </c>
      <c r="M852" s="32" t="s">
        <v>55</v>
      </c>
    </row>
    <row r="853">
      <c r="A853" s="22" t="s">
        <v>2053</v>
      </c>
      <c r="B853" s="22" t="s">
        <v>5917</v>
      </c>
      <c r="C853" s="22" t="s">
        <v>5918</v>
      </c>
      <c r="D853" s="22" t="s">
        <v>2052</v>
      </c>
      <c r="E853" s="22">
        <v>1.0</v>
      </c>
      <c r="F853" s="22"/>
      <c r="G853" s="22" t="s">
        <v>273</v>
      </c>
      <c r="H853" s="23">
        <v>45991.0</v>
      </c>
      <c r="I853" s="22" t="s">
        <v>134</v>
      </c>
      <c r="J853" s="22" t="s">
        <v>329</v>
      </c>
      <c r="K853" s="22" t="s">
        <v>2054</v>
      </c>
      <c r="L853" s="35" t="s">
        <v>5919</v>
      </c>
      <c r="M853" s="32" t="s">
        <v>132</v>
      </c>
    </row>
    <row r="854">
      <c r="A854" s="22" t="s">
        <v>2055</v>
      </c>
      <c r="B854" s="22" t="s">
        <v>5920</v>
      </c>
      <c r="C854" s="22" t="s">
        <v>5921</v>
      </c>
      <c r="D854" s="22" t="s">
        <v>573</v>
      </c>
      <c r="E854" s="22">
        <v>1.0</v>
      </c>
      <c r="F854" s="22"/>
      <c r="G854" s="22" t="s">
        <v>273</v>
      </c>
      <c r="H854" s="26">
        <v>45998.0</v>
      </c>
      <c r="I854" s="22" t="s">
        <v>439</v>
      </c>
      <c r="J854" s="22" t="s">
        <v>440</v>
      </c>
      <c r="K854" s="22" t="s">
        <v>577</v>
      </c>
      <c r="L854" s="35" t="s">
        <v>5922</v>
      </c>
      <c r="M854" s="32" t="s">
        <v>55</v>
      </c>
    </row>
    <row r="855">
      <c r="A855" s="22" t="s">
        <v>2056</v>
      </c>
      <c r="B855" s="22" t="s">
        <v>5920</v>
      </c>
      <c r="C855" s="22" t="s">
        <v>5921</v>
      </c>
      <c r="D855" s="22" t="s">
        <v>573</v>
      </c>
      <c r="E855" s="22">
        <v>1.0</v>
      </c>
      <c r="F855" s="22"/>
      <c r="G855" s="22" t="s">
        <v>273</v>
      </c>
      <c r="H855" s="26">
        <v>45998.0</v>
      </c>
      <c r="I855" s="22" t="s">
        <v>439</v>
      </c>
      <c r="J855" s="22" t="s">
        <v>440</v>
      </c>
      <c r="K855" s="22" t="s">
        <v>577</v>
      </c>
      <c r="L855" s="35" t="s">
        <v>5923</v>
      </c>
      <c r="M855" s="32" t="s">
        <v>55</v>
      </c>
    </row>
    <row r="856">
      <c r="A856" s="22" t="s">
        <v>2057</v>
      </c>
      <c r="B856" s="22" t="s">
        <v>3787</v>
      </c>
      <c r="C856" s="22" t="s">
        <v>4516</v>
      </c>
      <c r="D856" s="22" t="s">
        <v>692</v>
      </c>
      <c r="E856" s="22">
        <v>1.0</v>
      </c>
      <c r="F856" s="22"/>
      <c r="G856" s="22" t="s">
        <v>273</v>
      </c>
      <c r="H856" s="26">
        <v>45998.0</v>
      </c>
      <c r="I856" s="22" t="s">
        <v>149</v>
      </c>
      <c r="J856" s="22" t="s">
        <v>369</v>
      </c>
      <c r="K856" s="22" t="s">
        <v>694</v>
      </c>
      <c r="L856" s="35" t="s">
        <v>5924</v>
      </c>
      <c r="M856" s="32" t="s">
        <v>54</v>
      </c>
    </row>
    <row r="857">
      <c r="A857" s="22" t="s">
        <v>2060</v>
      </c>
      <c r="B857" s="22" t="s">
        <v>5925</v>
      </c>
      <c r="C857" s="22" t="s">
        <v>5926</v>
      </c>
      <c r="D857" s="22" t="s">
        <v>2058</v>
      </c>
      <c r="E857" s="22">
        <v>1.0</v>
      </c>
      <c r="F857" s="22"/>
      <c r="G857" s="22" t="s">
        <v>82</v>
      </c>
      <c r="H857" s="23">
        <v>46004.0</v>
      </c>
      <c r="I857" s="22" t="s">
        <v>196</v>
      </c>
      <c r="J857" s="22" t="s">
        <v>203</v>
      </c>
      <c r="K857" s="22" t="s">
        <v>2062</v>
      </c>
      <c r="L857" s="35" t="s">
        <v>5927</v>
      </c>
      <c r="M857" s="32" t="s">
        <v>91</v>
      </c>
    </row>
    <row r="858">
      <c r="A858" s="22" t="s">
        <v>2066</v>
      </c>
      <c r="B858" s="22" t="s">
        <v>5928</v>
      </c>
      <c r="C858" s="22" t="s">
        <v>5929</v>
      </c>
      <c r="D858" s="22" t="s">
        <v>550</v>
      </c>
      <c r="E858" s="22">
        <v>1.0</v>
      </c>
      <c r="F858" s="22"/>
      <c r="G858" s="22" t="s">
        <v>82</v>
      </c>
      <c r="H858" s="26">
        <v>45997.0</v>
      </c>
      <c r="I858" s="22" t="s">
        <v>153</v>
      </c>
      <c r="J858" s="22" t="s">
        <v>377</v>
      </c>
      <c r="K858" s="22" t="s">
        <v>552</v>
      </c>
      <c r="L858" s="35" t="s">
        <v>5930</v>
      </c>
      <c r="M858" s="32" t="s">
        <v>95</v>
      </c>
    </row>
    <row r="859">
      <c r="A859" s="22" t="s">
        <v>2117</v>
      </c>
      <c r="B859" s="22" t="s">
        <v>5014</v>
      </c>
      <c r="C859" s="22" t="s">
        <v>5931</v>
      </c>
      <c r="D859" s="22" t="s">
        <v>172</v>
      </c>
      <c r="E859" s="22">
        <v>1.0</v>
      </c>
      <c r="F859" s="22"/>
      <c r="G859" s="22" t="s">
        <v>273</v>
      </c>
      <c r="H859" s="26">
        <v>45998.0</v>
      </c>
      <c r="I859" s="22" t="s">
        <v>266</v>
      </c>
      <c r="J859" s="22" t="s">
        <v>83</v>
      </c>
      <c r="K859" s="22" t="s">
        <v>174</v>
      </c>
      <c r="L859" s="35" t="s">
        <v>5932</v>
      </c>
      <c r="M859" s="32" t="s">
        <v>175</v>
      </c>
    </row>
    <row r="860">
      <c r="A860" s="22" t="s">
        <v>2118</v>
      </c>
      <c r="B860" s="22" t="s">
        <v>5933</v>
      </c>
      <c r="C860" s="22" t="s">
        <v>5934</v>
      </c>
      <c r="D860" s="22" t="s">
        <v>1048</v>
      </c>
      <c r="E860" s="22">
        <v>1.0</v>
      </c>
      <c r="F860" s="22"/>
      <c r="G860" s="22" t="s">
        <v>273</v>
      </c>
      <c r="H860" s="26">
        <v>45998.0</v>
      </c>
      <c r="I860" s="22" t="s">
        <v>1624</v>
      </c>
      <c r="J860" s="22" t="s">
        <v>440</v>
      </c>
      <c r="K860" s="22" t="s">
        <v>1052</v>
      </c>
      <c r="L860" s="35" t="s">
        <v>5935</v>
      </c>
      <c r="M860" s="32" t="s">
        <v>54</v>
      </c>
    </row>
    <row r="861">
      <c r="A861" s="22" t="s">
        <v>2119</v>
      </c>
      <c r="B861" s="22" t="s">
        <v>5936</v>
      </c>
      <c r="C861" s="22" t="s">
        <v>5937</v>
      </c>
      <c r="D861" s="22" t="s">
        <v>595</v>
      </c>
      <c r="E861" s="22">
        <v>1.0</v>
      </c>
      <c r="F861" s="22"/>
      <c r="G861" s="22" t="s">
        <v>273</v>
      </c>
      <c r="H861" s="26">
        <v>45998.0</v>
      </c>
      <c r="I861" s="22" t="s">
        <v>196</v>
      </c>
      <c r="J861" s="22" t="s">
        <v>369</v>
      </c>
      <c r="K861" s="22" t="s">
        <v>599</v>
      </c>
      <c r="L861" s="35" t="s">
        <v>5938</v>
      </c>
      <c r="M861" s="32" t="s">
        <v>127</v>
      </c>
    </row>
    <row r="862">
      <c r="A862" s="22" t="s">
        <v>2067</v>
      </c>
      <c r="B862" s="22" t="s">
        <v>5939</v>
      </c>
      <c r="C862" s="22" t="s">
        <v>5940</v>
      </c>
      <c r="D862" s="22" t="s">
        <v>620</v>
      </c>
      <c r="E862" s="22">
        <v>1.0</v>
      </c>
      <c r="F862" s="22"/>
      <c r="G862" s="22" t="s">
        <v>273</v>
      </c>
      <c r="H862" s="26">
        <v>45998.0</v>
      </c>
      <c r="I862" s="22" t="s">
        <v>196</v>
      </c>
      <c r="J862" s="22" t="s">
        <v>623</v>
      </c>
      <c r="K862" s="22" t="s">
        <v>626</v>
      </c>
      <c r="L862" s="35" t="s">
        <v>5941</v>
      </c>
      <c r="M862" s="32" t="s">
        <v>54</v>
      </c>
    </row>
    <row r="863">
      <c r="A863" s="22" t="s">
        <v>2069</v>
      </c>
      <c r="B863" s="22" t="s">
        <v>5942</v>
      </c>
      <c r="C863" s="22" t="s">
        <v>5943</v>
      </c>
      <c r="D863" s="22" t="s">
        <v>789</v>
      </c>
      <c r="E863" s="22">
        <v>1.0</v>
      </c>
      <c r="F863" s="22"/>
      <c r="G863" s="22" t="s">
        <v>82</v>
      </c>
      <c r="H863" s="26">
        <v>45997.0</v>
      </c>
      <c r="I863" s="22" t="s">
        <v>196</v>
      </c>
      <c r="J863" s="22" t="s">
        <v>605</v>
      </c>
      <c r="K863" s="22" t="s">
        <v>794</v>
      </c>
      <c r="L863" s="35" t="s">
        <v>5944</v>
      </c>
      <c r="M863" s="32" t="s">
        <v>105</v>
      </c>
    </row>
    <row r="864">
      <c r="A864" s="22" t="s">
        <v>2071</v>
      </c>
      <c r="B864" s="22" t="s">
        <v>5945</v>
      </c>
      <c r="C864" s="22" t="s">
        <v>5946</v>
      </c>
      <c r="D864" s="22" t="s">
        <v>408</v>
      </c>
      <c r="E864" s="22">
        <v>1.0</v>
      </c>
      <c r="F864" s="22"/>
      <c r="G864" s="22" t="s">
        <v>82</v>
      </c>
      <c r="H864" s="26">
        <v>45997.0</v>
      </c>
      <c r="I864" s="22" t="s">
        <v>134</v>
      </c>
      <c r="J864" s="22" t="s">
        <v>377</v>
      </c>
      <c r="K864" s="22" t="s">
        <v>412</v>
      </c>
      <c r="L864" s="35" t="s">
        <v>5947</v>
      </c>
      <c r="M864" s="32" t="s">
        <v>127</v>
      </c>
    </row>
    <row r="865">
      <c r="A865" s="22" t="s">
        <v>2072</v>
      </c>
      <c r="B865" s="22" t="s">
        <v>3938</v>
      </c>
      <c r="C865" s="22" t="s">
        <v>5948</v>
      </c>
      <c r="D865" s="22" t="s">
        <v>141</v>
      </c>
      <c r="E865" s="22">
        <v>1.0</v>
      </c>
      <c r="F865" s="22"/>
      <c r="G865" s="22" t="s">
        <v>82</v>
      </c>
      <c r="H865" s="26">
        <v>45997.0</v>
      </c>
      <c r="I865" s="22" t="s">
        <v>224</v>
      </c>
      <c r="J865" s="22" t="s">
        <v>83</v>
      </c>
      <c r="K865" s="22" t="s">
        <v>143</v>
      </c>
      <c r="L865" s="35" t="s">
        <v>5949</v>
      </c>
      <c r="M865" s="32" t="s">
        <v>54</v>
      </c>
    </row>
    <row r="866">
      <c r="A866" s="22" t="s">
        <v>2010</v>
      </c>
      <c r="B866" s="22" t="s">
        <v>5950</v>
      </c>
      <c r="C866" s="22" t="s">
        <v>3693</v>
      </c>
      <c r="D866" s="22" t="s">
        <v>96</v>
      </c>
      <c r="E866" s="22">
        <v>1.0</v>
      </c>
      <c r="F866" s="22"/>
      <c r="G866" s="22" t="s">
        <v>82</v>
      </c>
      <c r="H866" s="26">
        <v>45997.0</v>
      </c>
      <c r="I866" s="22" t="s">
        <v>134</v>
      </c>
      <c r="J866" s="22" t="s">
        <v>83</v>
      </c>
      <c r="K866" s="22" t="s">
        <v>98</v>
      </c>
      <c r="L866" s="35" t="s">
        <v>5951</v>
      </c>
      <c r="M866" s="32" t="s">
        <v>55</v>
      </c>
    </row>
    <row r="867">
      <c r="A867" s="22" t="s">
        <v>2011</v>
      </c>
      <c r="B867" s="22" t="s">
        <v>4897</v>
      </c>
      <c r="C867" s="22" t="s">
        <v>5952</v>
      </c>
      <c r="D867" s="22" t="s">
        <v>1640</v>
      </c>
      <c r="E867" s="22">
        <v>1.0</v>
      </c>
      <c r="F867" s="22"/>
      <c r="G867" s="22" t="s">
        <v>82</v>
      </c>
      <c r="H867" s="26">
        <v>45997.0</v>
      </c>
      <c r="I867" s="22" t="s">
        <v>1822</v>
      </c>
      <c r="J867" s="22" t="s">
        <v>1466</v>
      </c>
      <c r="K867" s="22" t="s">
        <v>1642</v>
      </c>
      <c r="L867" s="35" t="s">
        <v>5953</v>
      </c>
      <c r="M867" s="32" t="s">
        <v>127</v>
      </c>
    </row>
    <row r="868">
      <c r="A868" s="22" t="s">
        <v>2012</v>
      </c>
      <c r="B868" s="22" t="s">
        <v>5954</v>
      </c>
      <c r="C868" s="22" t="s">
        <v>4534</v>
      </c>
      <c r="D868" s="22" t="s">
        <v>573</v>
      </c>
      <c r="E868" s="22">
        <v>1.0</v>
      </c>
      <c r="F868" s="22"/>
      <c r="G868" s="22" t="s">
        <v>273</v>
      </c>
      <c r="H868" s="26">
        <v>45998.0</v>
      </c>
      <c r="I868" s="22" t="s">
        <v>187</v>
      </c>
      <c r="J868" s="22" t="s">
        <v>440</v>
      </c>
      <c r="K868" s="22" t="s">
        <v>577</v>
      </c>
      <c r="L868" s="35" t="s">
        <v>5955</v>
      </c>
      <c r="M868" s="32" t="s">
        <v>55</v>
      </c>
    </row>
    <row r="869">
      <c r="A869" s="22" t="s">
        <v>2073</v>
      </c>
      <c r="B869" s="22" t="s">
        <v>3722</v>
      </c>
      <c r="C869" s="22" t="s">
        <v>5956</v>
      </c>
      <c r="D869" s="22" t="s">
        <v>96</v>
      </c>
      <c r="E869" s="22">
        <v>1.0</v>
      </c>
      <c r="F869" s="22"/>
      <c r="G869" s="22" t="s">
        <v>273</v>
      </c>
      <c r="H869" s="26">
        <v>45998.0</v>
      </c>
      <c r="I869" s="22" t="s">
        <v>134</v>
      </c>
      <c r="J869" s="22" t="s">
        <v>83</v>
      </c>
      <c r="K869" s="22" t="s">
        <v>98</v>
      </c>
      <c r="L869" s="35" t="s">
        <v>5957</v>
      </c>
      <c r="M869" s="32" t="s">
        <v>55</v>
      </c>
    </row>
    <row r="870">
      <c r="A870" s="22" t="s">
        <v>5958</v>
      </c>
      <c r="B870" s="22" t="s">
        <v>5959</v>
      </c>
      <c r="C870" s="22" t="s">
        <v>5960</v>
      </c>
      <c r="D870" s="22" t="s">
        <v>4105</v>
      </c>
      <c r="E870" s="22">
        <v>1.0</v>
      </c>
      <c r="F870" s="22"/>
      <c r="G870" s="22" t="s">
        <v>287</v>
      </c>
      <c r="H870" s="26">
        <v>45994.0</v>
      </c>
      <c r="I870" s="22" t="s">
        <v>196</v>
      </c>
      <c r="J870" s="22" t="s">
        <v>4026</v>
      </c>
      <c r="K870" s="22" t="s">
        <v>4106</v>
      </c>
      <c r="L870" s="35" t="s">
        <v>5961</v>
      </c>
      <c r="M870" s="32" t="s">
        <v>54</v>
      </c>
    </row>
    <row r="871">
      <c r="A871" s="22" t="s">
        <v>2077</v>
      </c>
      <c r="B871" s="22" t="s">
        <v>3895</v>
      </c>
      <c r="C871" s="22" t="s">
        <v>5962</v>
      </c>
      <c r="D871" s="22" t="s">
        <v>80</v>
      </c>
      <c r="E871" s="22">
        <v>1.0</v>
      </c>
      <c r="F871" s="22"/>
      <c r="G871" s="22" t="s">
        <v>202</v>
      </c>
      <c r="H871" s="26">
        <v>45996.0</v>
      </c>
      <c r="I871" s="22" t="s">
        <v>192</v>
      </c>
      <c r="J871" s="22" t="s">
        <v>83</v>
      </c>
      <c r="K871" s="22" t="s">
        <v>86</v>
      </c>
      <c r="L871" s="35" t="s">
        <v>5963</v>
      </c>
      <c r="M871" s="32" t="s">
        <v>91</v>
      </c>
    </row>
    <row r="872">
      <c r="A872" s="22" t="s">
        <v>2078</v>
      </c>
      <c r="B872" s="22" t="s">
        <v>3808</v>
      </c>
      <c r="C872" s="22" t="s">
        <v>5964</v>
      </c>
      <c r="D872" s="22" t="s">
        <v>550</v>
      </c>
      <c r="E872" s="22">
        <v>1.0</v>
      </c>
      <c r="F872" s="22"/>
      <c r="G872" s="22" t="s">
        <v>82</v>
      </c>
      <c r="H872" s="26">
        <v>45997.0</v>
      </c>
      <c r="I872" s="22" t="s">
        <v>134</v>
      </c>
      <c r="J872" s="22" t="s">
        <v>377</v>
      </c>
      <c r="K872" s="22" t="s">
        <v>552</v>
      </c>
      <c r="L872" s="35" t="s">
        <v>5965</v>
      </c>
      <c r="M872" s="32" t="s">
        <v>95</v>
      </c>
    </row>
    <row r="873">
      <c r="A873" s="22" t="s">
        <v>2078</v>
      </c>
      <c r="B873" s="22" t="s">
        <v>3808</v>
      </c>
      <c r="C873" s="22" t="s">
        <v>5964</v>
      </c>
      <c r="D873" s="25"/>
      <c r="E873" s="25"/>
      <c r="F873" s="22"/>
      <c r="G873" s="22" t="s">
        <v>82</v>
      </c>
      <c r="H873" s="26">
        <v>45997.0</v>
      </c>
      <c r="I873" s="22" t="s">
        <v>134</v>
      </c>
      <c r="J873" s="22" t="s">
        <v>377</v>
      </c>
      <c r="K873" s="22" t="s">
        <v>767</v>
      </c>
      <c r="L873" s="35" t="s">
        <v>5966</v>
      </c>
    </row>
    <row r="874">
      <c r="A874" s="22" t="s">
        <v>2079</v>
      </c>
      <c r="B874" s="22" t="s">
        <v>5967</v>
      </c>
      <c r="C874" s="22" t="s">
        <v>5968</v>
      </c>
      <c r="D874" s="22" t="s">
        <v>141</v>
      </c>
      <c r="E874" s="22">
        <v>1.0</v>
      </c>
      <c r="F874" s="22"/>
      <c r="G874" s="22" t="s">
        <v>82</v>
      </c>
      <c r="H874" s="26">
        <v>45997.0</v>
      </c>
      <c r="I874" s="22" t="s">
        <v>224</v>
      </c>
      <c r="J874" s="22" t="s">
        <v>83</v>
      </c>
      <c r="K874" s="22" t="s">
        <v>143</v>
      </c>
      <c r="L874" s="35" t="s">
        <v>5969</v>
      </c>
      <c r="M874" s="32" t="s">
        <v>54</v>
      </c>
    </row>
    <row r="875">
      <c r="A875" s="22" t="s">
        <v>2080</v>
      </c>
      <c r="B875" s="22" t="s">
        <v>5970</v>
      </c>
      <c r="C875" s="22" t="s">
        <v>5971</v>
      </c>
      <c r="D875" s="22" t="s">
        <v>415</v>
      </c>
      <c r="E875" s="22">
        <v>1.0</v>
      </c>
      <c r="F875" s="22"/>
      <c r="G875" s="22" t="s">
        <v>82</v>
      </c>
      <c r="H875" s="26">
        <v>45997.0</v>
      </c>
      <c r="I875" s="22" t="s">
        <v>153</v>
      </c>
      <c r="J875" s="22" t="s">
        <v>377</v>
      </c>
      <c r="K875" s="22" t="s">
        <v>419</v>
      </c>
      <c r="L875" s="35" t="s">
        <v>5972</v>
      </c>
      <c r="M875" s="32" t="s">
        <v>91</v>
      </c>
    </row>
    <row r="876">
      <c r="A876" s="22" t="s">
        <v>2081</v>
      </c>
      <c r="B876" s="22" t="s">
        <v>5973</v>
      </c>
      <c r="C876" s="22" t="s">
        <v>5974</v>
      </c>
      <c r="D876" s="22" t="s">
        <v>692</v>
      </c>
      <c r="E876" s="22">
        <v>1.0</v>
      </c>
      <c r="F876" s="22"/>
      <c r="G876" s="22" t="s">
        <v>273</v>
      </c>
      <c r="H876" s="26">
        <v>45998.0</v>
      </c>
      <c r="I876" s="22" t="s">
        <v>134</v>
      </c>
      <c r="J876" s="22" t="s">
        <v>369</v>
      </c>
      <c r="K876" s="22" t="s">
        <v>694</v>
      </c>
      <c r="L876" s="35" t="s">
        <v>5975</v>
      </c>
      <c r="M876" s="32" t="s">
        <v>54</v>
      </c>
    </row>
    <row r="877">
      <c r="A877" s="22" t="s">
        <v>2082</v>
      </c>
      <c r="B877" s="22" t="s">
        <v>3805</v>
      </c>
      <c r="C877" s="22" t="s">
        <v>5976</v>
      </c>
      <c r="D877" s="22" t="s">
        <v>515</v>
      </c>
      <c r="E877" s="22">
        <v>1.0</v>
      </c>
      <c r="F877" s="22"/>
      <c r="G877" s="22" t="s">
        <v>82</v>
      </c>
      <c r="H877" s="26">
        <v>45997.0</v>
      </c>
      <c r="I877" s="22" t="s">
        <v>149</v>
      </c>
      <c r="J877" s="22" t="s">
        <v>472</v>
      </c>
      <c r="K877" s="22" t="s">
        <v>519</v>
      </c>
      <c r="L877" s="35" t="s">
        <v>5977</v>
      </c>
      <c r="M877" s="32" t="s">
        <v>55</v>
      </c>
    </row>
    <row r="878">
      <c r="A878" s="22" t="s">
        <v>2083</v>
      </c>
      <c r="B878" s="22" t="s">
        <v>5978</v>
      </c>
      <c r="C878" s="22" t="s">
        <v>5979</v>
      </c>
      <c r="D878" s="22" t="s">
        <v>912</v>
      </c>
      <c r="E878" s="22">
        <v>1.0</v>
      </c>
      <c r="F878" s="22"/>
      <c r="G878" s="22" t="s">
        <v>82</v>
      </c>
      <c r="H878" s="26">
        <v>45997.0</v>
      </c>
      <c r="I878" s="22" t="s">
        <v>134</v>
      </c>
      <c r="J878" s="22" t="s">
        <v>377</v>
      </c>
      <c r="K878" s="22" t="s">
        <v>914</v>
      </c>
      <c r="L878" s="35" t="s">
        <v>5980</v>
      </c>
      <c r="M878" s="32" t="s">
        <v>54</v>
      </c>
    </row>
    <row r="879">
      <c r="A879" s="22" t="s">
        <v>2085</v>
      </c>
      <c r="B879" s="22" t="s">
        <v>3970</v>
      </c>
      <c r="C879" s="22" t="s">
        <v>5981</v>
      </c>
      <c r="D879" s="22" t="s">
        <v>99</v>
      </c>
      <c r="E879" s="22">
        <v>1.0</v>
      </c>
      <c r="F879" s="22"/>
      <c r="G879" s="22" t="s">
        <v>202</v>
      </c>
      <c r="H879" s="26">
        <v>45996.0</v>
      </c>
      <c r="I879" s="22" t="s">
        <v>224</v>
      </c>
      <c r="J879" s="22" t="s">
        <v>83</v>
      </c>
      <c r="K879" s="22" t="s">
        <v>102</v>
      </c>
      <c r="L879" s="35" t="s">
        <v>5982</v>
      </c>
      <c r="M879" s="32" t="s">
        <v>105</v>
      </c>
    </row>
    <row r="880">
      <c r="A880" s="22" t="s">
        <v>2088</v>
      </c>
      <c r="B880" s="22" t="s">
        <v>3901</v>
      </c>
      <c r="C880" s="22" t="s">
        <v>5983</v>
      </c>
      <c r="D880" s="22" t="s">
        <v>339</v>
      </c>
      <c r="E880" s="22">
        <v>1.0</v>
      </c>
      <c r="F880" s="22"/>
      <c r="G880" s="22" t="s">
        <v>82</v>
      </c>
      <c r="H880" s="26">
        <v>45997.0</v>
      </c>
      <c r="I880" s="22" t="s">
        <v>734</v>
      </c>
      <c r="J880" s="22" t="s">
        <v>341</v>
      </c>
      <c r="K880" s="22" t="s">
        <v>344</v>
      </c>
      <c r="L880" s="35" t="s">
        <v>5984</v>
      </c>
      <c r="M880" s="32" t="s">
        <v>55</v>
      </c>
    </row>
    <row r="881">
      <c r="A881" s="22" t="s">
        <v>2090</v>
      </c>
      <c r="B881" s="22" t="s">
        <v>5985</v>
      </c>
      <c r="C881" s="22" t="s">
        <v>5986</v>
      </c>
      <c r="D881" s="22" t="s">
        <v>740</v>
      </c>
      <c r="E881" s="22">
        <v>1.0</v>
      </c>
      <c r="F881" s="22"/>
      <c r="G881" s="22" t="s">
        <v>82</v>
      </c>
      <c r="H881" s="26">
        <v>45997.0</v>
      </c>
      <c r="I881" s="22" t="s">
        <v>134</v>
      </c>
      <c r="J881" s="22" t="s">
        <v>303</v>
      </c>
      <c r="K881" s="22" t="s">
        <v>744</v>
      </c>
      <c r="L881" s="35" t="s">
        <v>5987</v>
      </c>
      <c r="M881" s="32" t="s">
        <v>91</v>
      </c>
    </row>
    <row r="882">
      <c r="A882" s="22" t="s">
        <v>2090</v>
      </c>
      <c r="B882" s="22" t="s">
        <v>5985</v>
      </c>
      <c r="C882" s="22" t="s">
        <v>5986</v>
      </c>
      <c r="D882" s="25"/>
      <c r="E882" s="25"/>
      <c r="F882" s="22"/>
      <c r="G882" s="22" t="s">
        <v>82</v>
      </c>
      <c r="H882" s="26">
        <v>45997.0</v>
      </c>
      <c r="I882" s="22" t="s">
        <v>134</v>
      </c>
      <c r="J882" s="22" t="s">
        <v>303</v>
      </c>
      <c r="K882" s="22" t="s">
        <v>2091</v>
      </c>
      <c r="L882" s="35" t="s">
        <v>5988</v>
      </c>
    </row>
    <row r="883">
      <c r="A883" s="22" t="s">
        <v>2092</v>
      </c>
      <c r="B883" s="22" t="s">
        <v>3883</v>
      </c>
      <c r="C883" s="22" t="s">
        <v>5989</v>
      </c>
      <c r="D883" s="22" t="s">
        <v>778</v>
      </c>
      <c r="E883" s="22">
        <v>1.0</v>
      </c>
      <c r="F883" s="22"/>
      <c r="G883" s="22" t="s">
        <v>273</v>
      </c>
      <c r="H883" s="26">
        <v>45998.0</v>
      </c>
      <c r="I883" s="22" t="s">
        <v>975</v>
      </c>
      <c r="J883" s="22" t="s">
        <v>440</v>
      </c>
      <c r="K883" s="22" t="s">
        <v>780</v>
      </c>
      <c r="L883" s="35" t="s">
        <v>5990</v>
      </c>
      <c r="M883" s="32" t="s">
        <v>127</v>
      </c>
    </row>
    <row r="884">
      <c r="A884" s="22" t="s">
        <v>2094</v>
      </c>
      <c r="B884" s="22" t="s">
        <v>5991</v>
      </c>
      <c r="C884" s="22" t="s">
        <v>3726</v>
      </c>
      <c r="D884" s="22" t="s">
        <v>1423</v>
      </c>
      <c r="E884" s="22">
        <v>1.0</v>
      </c>
      <c r="F884" s="22"/>
      <c r="G884" s="22" t="s">
        <v>287</v>
      </c>
      <c r="H884" s="26">
        <v>45994.0</v>
      </c>
      <c r="I884" s="22" t="s">
        <v>153</v>
      </c>
      <c r="J884" s="22" t="s">
        <v>717</v>
      </c>
      <c r="K884" s="22" t="s">
        <v>1427</v>
      </c>
      <c r="L884" s="35" t="s">
        <v>5992</v>
      </c>
      <c r="M884" s="32" t="s">
        <v>95</v>
      </c>
    </row>
    <row r="885">
      <c r="A885" s="22" t="s">
        <v>2096</v>
      </c>
      <c r="B885" s="22" t="s">
        <v>5993</v>
      </c>
      <c r="C885" s="22" t="s">
        <v>5994</v>
      </c>
      <c r="D885" s="22" t="s">
        <v>724</v>
      </c>
      <c r="E885" s="22">
        <v>1.0</v>
      </c>
      <c r="F885" s="22"/>
      <c r="G885" s="22" t="s">
        <v>82</v>
      </c>
      <c r="H885" s="26">
        <v>45997.0</v>
      </c>
      <c r="I885" s="22" t="s">
        <v>196</v>
      </c>
      <c r="J885" s="22" t="s">
        <v>319</v>
      </c>
      <c r="K885" s="22" t="s">
        <v>726</v>
      </c>
      <c r="L885" s="35" t="s">
        <v>5995</v>
      </c>
      <c r="M885" s="32" t="s">
        <v>95</v>
      </c>
    </row>
    <row r="886">
      <c r="A886" s="22" t="s">
        <v>2099</v>
      </c>
      <c r="B886" s="22" t="s">
        <v>5996</v>
      </c>
      <c r="C886" s="22" t="s">
        <v>5997</v>
      </c>
      <c r="D886" s="22" t="s">
        <v>2097</v>
      </c>
      <c r="E886" s="22">
        <v>1.0</v>
      </c>
      <c r="F886" s="22"/>
      <c r="G886" s="22" t="s">
        <v>273</v>
      </c>
      <c r="H886" s="26">
        <v>45998.0</v>
      </c>
      <c r="I886" s="22" t="s">
        <v>266</v>
      </c>
      <c r="J886" s="22" t="s">
        <v>869</v>
      </c>
      <c r="K886" s="22" t="s">
        <v>2101</v>
      </c>
      <c r="L886" s="35" t="s">
        <v>5998</v>
      </c>
      <c r="M886" s="32" t="s">
        <v>91</v>
      </c>
    </row>
    <row r="887">
      <c r="A887" s="22" t="s">
        <v>182</v>
      </c>
      <c r="B887" s="22" t="s">
        <v>5999</v>
      </c>
      <c r="C887" s="22" t="s">
        <v>6000</v>
      </c>
      <c r="D887" s="22" t="s">
        <v>96</v>
      </c>
      <c r="E887" s="22">
        <v>1.0</v>
      </c>
      <c r="F887" s="22"/>
      <c r="G887" s="22" t="s">
        <v>82</v>
      </c>
      <c r="H887" s="23">
        <v>45990.0</v>
      </c>
      <c r="I887" s="22" t="s">
        <v>181</v>
      </c>
      <c r="J887" s="22" t="s">
        <v>83</v>
      </c>
      <c r="K887" s="22" t="s">
        <v>98</v>
      </c>
      <c r="L887" s="35" t="s">
        <v>6001</v>
      </c>
      <c r="M887" s="32" t="s">
        <v>55</v>
      </c>
    </row>
    <row r="888">
      <c r="A888" s="22" t="s">
        <v>2102</v>
      </c>
      <c r="B888" s="22" t="s">
        <v>5130</v>
      </c>
      <c r="C888" s="22" t="s">
        <v>6002</v>
      </c>
      <c r="D888" s="22" t="s">
        <v>643</v>
      </c>
      <c r="E888" s="22">
        <v>1.0</v>
      </c>
      <c r="F888" s="22"/>
      <c r="G888" s="22" t="s">
        <v>82</v>
      </c>
      <c r="H888" s="26">
        <v>45997.0</v>
      </c>
      <c r="I888" s="22" t="s">
        <v>970</v>
      </c>
      <c r="J888" s="22" t="s">
        <v>634</v>
      </c>
      <c r="K888" s="22" t="s">
        <v>647</v>
      </c>
      <c r="L888" s="35" t="s">
        <v>6003</v>
      </c>
      <c r="M888" s="32" t="s">
        <v>54</v>
      </c>
    </row>
    <row r="889">
      <c r="A889" s="22" t="s">
        <v>2103</v>
      </c>
      <c r="B889" s="22" t="s">
        <v>6004</v>
      </c>
      <c r="C889" s="22" t="s">
        <v>6005</v>
      </c>
      <c r="D889" s="22" t="s">
        <v>950</v>
      </c>
      <c r="E889" s="22">
        <v>1.0</v>
      </c>
      <c r="F889" s="22"/>
      <c r="G889" s="22" t="s">
        <v>82</v>
      </c>
      <c r="H889" s="26">
        <v>45997.0</v>
      </c>
      <c r="I889" s="22" t="s">
        <v>975</v>
      </c>
      <c r="J889" s="22" t="s">
        <v>698</v>
      </c>
      <c r="K889" s="22" t="s">
        <v>952</v>
      </c>
      <c r="L889" s="35" t="s">
        <v>6006</v>
      </c>
      <c r="M889" s="32" t="s">
        <v>54</v>
      </c>
    </row>
    <row r="890">
      <c r="A890" s="22" t="s">
        <v>2104</v>
      </c>
      <c r="B890" s="22" t="s">
        <v>6007</v>
      </c>
      <c r="C890" s="22" t="s">
        <v>6008</v>
      </c>
      <c r="D890" s="22" t="s">
        <v>423</v>
      </c>
      <c r="E890" s="22">
        <v>1.0</v>
      </c>
      <c r="F890" s="22"/>
      <c r="G890" s="22" t="s">
        <v>273</v>
      </c>
      <c r="H890" s="26">
        <v>45998.0</v>
      </c>
      <c r="I890" s="22" t="s">
        <v>196</v>
      </c>
      <c r="J890" s="22" t="s">
        <v>369</v>
      </c>
      <c r="K890" s="22" t="s">
        <v>427</v>
      </c>
      <c r="L890" s="35" t="s">
        <v>6009</v>
      </c>
      <c r="M890" s="32" t="s">
        <v>95</v>
      </c>
    </row>
    <row r="891">
      <c r="A891" s="22" t="s">
        <v>2074</v>
      </c>
      <c r="B891" s="22" t="s">
        <v>3734</v>
      </c>
      <c r="C891" s="22" t="s">
        <v>6010</v>
      </c>
      <c r="D891" s="22" t="s">
        <v>1634</v>
      </c>
      <c r="E891" s="22">
        <v>1.0</v>
      </c>
      <c r="F891" s="22"/>
      <c r="G891" s="22" t="s">
        <v>82</v>
      </c>
      <c r="H891" s="26">
        <v>45997.0</v>
      </c>
      <c r="I891" s="22" t="s">
        <v>177</v>
      </c>
      <c r="J891" s="22" t="s">
        <v>1466</v>
      </c>
      <c r="K891" s="22" t="s">
        <v>1639</v>
      </c>
      <c r="L891" s="35" t="s">
        <v>6011</v>
      </c>
      <c r="M891" s="32" t="s">
        <v>105</v>
      </c>
    </row>
    <row r="892">
      <c r="A892" s="22" t="s">
        <v>2075</v>
      </c>
      <c r="B892" s="22" t="s">
        <v>6012</v>
      </c>
      <c r="C892" s="22" t="s">
        <v>6013</v>
      </c>
      <c r="D892" s="22" t="s">
        <v>1634</v>
      </c>
      <c r="E892" s="22">
        <v>1.0</v>
      </c>
      <c r="F892" s="22"/>
      <c r="G892" s="22" t="s">
        <v>82</v>
      </c>
      <c r="H892" s="26">
        <v>45997.0</v>
      </c>
      <c r="I892" s="22" t="s">
        <v>177</v>
      </c>
      <c r="J892" s="22" t="s">
        <v>1466</v>
      </c>
      <c r="K892" s="22" t="s">
        <v>1639</v>
      </c>
      <c r="L892" s="35" t="s">
        <v>6014</v>
      </c>
      <c r="M892" s="32" t="s">
        <v>105</v>
      </c>
    </row>
    <row r="893">
      <c r="A893" s="22" t="s">
        <v>2076</v>
      </c>
      <c r="B893" s="22" t="s">
        <v>4722</v>
      </c>
      <c r="C893" s="22" t="s">
        <v>6015</v>
      </c>
      <c r="D893" s="22" t="s">
        <v>732</v>
      </c>
      <c r="E893" s="22">
        <v>1.0</v>
      </c>
      <c r="F893" s="22"/>
      <c r="G893" s="22" t="s">
        <v>287</v>
      </c>
      <c r="H893" s="23">
        <v>46001.0</v>
      </c>
      <c r="I893" s="22" t="s">
        <v>219</v>
      </c>
      <c r="J893" s="22" t="s">
        <v>634</v>
      </c>
      <c r="K893" s="22" t="s">
        <v>737</v>
      </c>
      <c r="L893" s="35" t="s">
        <v>6016</v>
      </c>
      <c r="M893" s="32" t="s">
        <v>105</v>
      </c>
    </row>
    <row r="894">
      <c r="A894" s="22" t="s">
        <v>2106</v>
      </c>
      <c r="B894" s="22" t="s">
        <v>6017</v>
      </c>
      <c r="C894" s="22" t="s">
        <v>6018</v>
      </c>
      <c r="D894" s="22" t="s">
        <v>1217</v>
      </c>
      <c r="E894" s="22">
        <v>1.0</v>
      </c>
      <c r="F894" s="22"/>
      <c r="G894" s="22" t="s">
        <v>82</v>
      </c>
      <c r="H894" s="26">
        <v>45997.0</v>
      </c>
      <c r="I894" s="22" t="s">
        <v>192</v>
      </c>
      <c r="J894" s="22" t="s">
        <v>605</v>
      </c>
      <c r="K894" s="22" t="s">
        <v>1219</v>
      </c>
      <c r="L894" s="35" t="s">
        <v>6019</v>
      </c>
      <c r="M894" s="32" t="s">
        <v>91</v>
      </c>
    </row>
    <row r="895">
      <c r="A895" s="22" t="s">
        <v>2111</v>
      </c>
      <c r="B895" s="22" t="s">
        <v>4896</v>
      </c>
      <c r="C895" s="22" t="s">
        <v>6020</v>
      </c>
      <c r="D895" s="22" t="s">
        <v>1048</v>
      </c>
      <c r="E895" s="22">
        <v>1.0</v>
      </c>
      <c r="F895" s="22"/>
      <c r="G895" s="22" t="s">
        <v>273</v>
      </c>
      <c r="H895" s="26">
        <v>45998.0</v>
      </c>
      <c r="I895" s="22" t="s">
        <v>177</v>
      </c>
      <c r="J895" s="22" t="s">
        <v>440</v>
      </c>
      <c r="K895" s="22" t="s">
        <v>1052</v>
      </c>
      <c r="L895" s="35" t="s">
        <v>6021</v>
      </c>
      <c r="M895" s="32" t="s">
        <v>54</v>
      </c>
    </row>
    <row r="896">
      <c r="A896" s="22" t="s">
        <v>2112</v>
      </c>
      <c r="B896" s="22" t="s">
        <v>5443</v>
      </c>
      <c r="C896" s="22" t="s">
        <v>6022</v>
      </c>
      <c r="D896" s="22" t="s">
        <v>973</v>
      </c>
      <c r="E896" s="22">
        <v>2.0</v>
      </c>
      <c r="F896" s="22"/>
      <c r="G896" s="22" t="s">
        <v>273</v>
      </c>
      <c r="H896" s="26">
        <v>45998.0</v>
      </c>
      <c r="I896" s="22" t="s">
        <v>187</v>
      </c>
      <c r="J896" s="22" t="s">
        <v>440</v>
      </c>
      <c r="K896" s="22" t="s">
        <v>978</v>
      </c>
      <c r="L896" s="35" t="s">
        <v>6023</v>
      </c>
      <c r="M896" s="32" t="s">
        <v>105</v>
      </c>
    </row>
    <row r="897">
      <c r="A897" s="22" t="s">
        <v>2113</v>
      </c>
      <c r="B897" s="22" t="s">
        <v>3965</v>
      </c>
      <c r="C897" s="22" t="s">
        <v>6024</v>
      </c>
      <c r="D897" s="22" t="s">
        <v>602</v>
      </c>
      <c r="E897" s="22">
        <v>1.0</v>
      </c>
      <c r="F897" s="22"/>
      <c r="G897" s="22" t="s">
        <v>82</v>
      </c>
      <c r="H897" s="26">
        <v>45997.0</v>
      </c>
      <c r="I897" s="22" t="s">
        <v>1117</v>
      </c>
      <c r="J897" s="22" t="s">
        <v>605</v>
      </c>
      <c r="K897" s="22" t="s">
        <v>608</v>
      </c>
      <c r="L897" s="35" t="s">
        <v>6025</v>
      </c>
      <c r="M897" s="32" t="s">
        <v>54</v>
      </c>
    </row>
    <row r="898">
      <c r="A898" s="22" t="s">
        <v>2116</v>
      </c>
      <c r="B898" s="22" t="s">
        <v>5574</v>
      </c>
      <c r="C898" s="22" t="s">
        <v>6026</v>
      </c>
      <c r="D898" s="22" t="s">
        <v>778</v>
      </c>
      <c r="E898" s="22">
        <v>1.0</v>
      </c>
      <c r="F898" s="22"/>
      <c r="G898" s="22" t="s">
        <v>273</v>
      </c>
      <c r="H898" s="26">
        <v>45998.0</v>
      </c>
      <c r="I898" s="22" t="s">
        <v>2115</v>
      </c>
      <c r="J898" s="22" t="s">
        <v>440</v>
      </c>
      <c r="K898" s="22" t="s">
        <v>780</v>
      </c>
      <c r="L898" s="35" t="s">
        <v>6027</v>
      </c>
      <c r="M898" s="32" t="s">
        <v>127</v>
      </c>
    </row>
    <row r="899">
      <c r="A899" s="22" t="s">
        <v>2120</v>
      </c>
      <c r="B899" s="22" t="s">
        <v>4790</v>
      </c>
      <c r="C899" s="22" t="s">
        <v>6028</v>
      </c>
      <c r="D899" s="22" t="s">
        <v>386</v>
      </c>
      <c r="E899" s="22">
        <v>1.0</v>
      </c>
      <c r="F899" s="22"/>
      <c r="G899" s="22" t="s">
        <v>273</v>
      </c>
      <c r="H899" s="26">
        <v>45998.0</v>
      </c>
      <c r="I899" s="22" t="s">
        <v>1131</v>
      </c>
      <c r="J899" s="22" t="s">
        <v>311</v>
      </c>
      <c r="K899" s="22" t="s">
        <v>390</v>
      </c>
      <c r="L899" s="35" t="s">
        <v>6029</v>
      </c>
      <c r="M899" s="32" t="s">
        <v>55</v>
      </c>
    </row>
    <row r="900">
      <c r="A900" s="22" t="s">
        <v>2121</v>
      </c>
      <c r="B900" s="22" t="s">
        <v>6030</v>
      </c>
      <c r="C900" s="22" t="s">
        <v>6031</v>
      </c>
      <c r="D900" s="22" t="s">
        <v>449</v>
      </c>
      <c r="E900" s="22">
        <v>1.0</v>
      </c>
      <c r="F900" s="22"/>
      <c r="G900" s="22" t="s">
        <v>82</v>
      </c>
      <c r="H900" s="26">
        <v>45997.0</v>
      </c>
      <c r="I900" s="22" t="s">
        <v>134</v>
      </c>
      <c r="J900" s="22" t="s">
        <v>451</v>
      </c>
      <c r="K900" s="22" t="s">
        <v>454</v>
      </c>
      <c r="L900" s="35" t="s">
        <v>6032</v>
      </c>
      <c r="M900" s="32" t="s">
        <v>54</v>
      </c>
    </row>
    <row r="901">
      <c r="A901" s="22" t="s">
        <v>2161</v>
      </c>
      <c r="B901" s="22" t="s">
        <v>6033</v>
      </c>
      <c r="C901" s="22" t="s">
        <v>6034</v>
      </c>
      <c r="D901" s="22" t="s">
        <v>401</v>
      </c>
      <c r="E901" s="22">
        <v>1.0</v>
      </c>
      <c r="F901" s="22"/>
      <c r="G901" s="22" t="s">
        <v>82</v>
      </c>
      <c r="H901" s="26">
        <v>45997.0</v>
      </c>
      <c r="I901" s="22" t="s">
        <v>196</v>
      </c>
      <c r="J901" s="22" t="s">
        <v>319</v>
      </c>
      <c r="K901" s="22" t="s">
        <v>403</v>
      </c>
      <c r="L901" s="35" t="s">
        <v>6035</v>
      </c>
      <c r="M901" s="32" t="s">
        <v>127</v>
      </c>
    </row>
    <row r="902">
      <c r="A902" s="22" t="s">
        <v>2162</v>
      </c>
      <c r="B902" s="22" t="s">
        <v>6036</v>
      </c>
      <c r="C902" s="22" t="s">
        <v>6037</v>
      </c>
      <c r="D902" s="22" t="s">
        <v>401</v>
      </c>
      <c r="E902" s="22">
        <v>1.0</v>
      </c>
      <c r="F902" s="22"/>
      <c r="G902" s="22" t="s">
        <v>82</v>
      </c>
      <c r="H902" s="26">
        <v>45997.0</v>
      </c>
      <c r="I902" s="22" t="s">
        <v>196</v>
      </c>
      <c r="J902" s="22" t="s">
        <v>319</v>
      </c>
      <c r="K902" s="22" t="s">
        <v>403</v>
      </c>
      <c r="L902" s="35" t="s">
        <v>6038</v>
      </c>
      <c r="M902" s="32" t="s">
        <v>127</v>
      </c>
    </row>
    <row r="903">
      <c r="A903" s="22" t="s">
        <v>2122</v>
      </c>
      <c r="B903" s="22" t="s">
        <v>6039</v>
      </c>
      <c r="C903" s="22" t="s">
        <v>6040</v>
      </c>
      <c r="D903" s="22" t="s">
        <v>529</v>
      </c>
      <c r="E903" s="22">
        <v>1.0</v>
      </c>
      <c r="F903" s="22"/>
      <c r="G903" s="22" t="s">
        <v>82</v>
      </c>
      <c r="H903" s="26">
        <v>45997.0</v>
      </c>
      <c r="I903" s="22" t="s">
        <v>134</v>
      </c>
      <c r="J903" s="22" t="s">
        <v>472</v>
      </c>
      <c r="K903" s="22" t="s">
        <v>533</v>
      </c>
      <c r="L903" s="35" t="s">
        <v>6041</v>
      </c>
      <c r="M903" s="32" t="s">
        <v>127</v>
      </c>
    </row>
    <row r="904">
      <c r="A904" s="22" t="s">
        <v>2123</v>
      </c>
      <c r="B904" s="22" t="s">
        <v>6042</v>
      </c>
      <c r="C904" s="22" t="s">
        <v>6043</v>
      </c>
      <c r="D904" s="22" t="s">
        <v>327</v>
      </c>
      <c r="E904" s="22">
        <v>1.0</v>
      </c>
      <c r="F904" s="22"/>
      <c r="G904" s="22" t="s">
        <v>273</v>
      </c>
      <c r="H904" s="23">
        <v>45991.0</v>
      </c>
      <c r="I904" s="22" t="s">
        <v>153</v>
      </c>
      <c r="J904" s="22" t="s">
        <v>329</v>
      </c>
      <c r="K904" s="22" t="s">
        <v>332</v>
      </c>
      <c r="L904" s="35" t="s">
        <v>6044</v>
      </c>
      <c r="M904" s="32" t="s">
        <v>55</v>
      </c>
    </row>
    <row r="905">
      <c r="A905" s="22" t="s">
        <v>2125</v>
      </c>
      <c r="B905" s="22" t="s">
        <v>6045</v>
      </c>
      <c r="C905" s="22" t="s">
        <v>6046</v>
      </c>
      <c r="D905" s="22" t="s">
        <v>300</v>
      </c>
      <c r="E905" s="22">
        <v>1.0</v>
      </c>
      <c r="F905" s="22"/>
      <c r="G905" s="22" t="s">
        <v>273</v>
      </c>
      <c r="H905" s="26">
        <v>45998.0</v>
      </c>
      <c r="I905" s="22" t="s">
        <v>1895</v>
      </c>
      <c r="J905" s="22" t="s">
        <v>303</v>
      </c>
      <c r="K905" s="22" t="s">
        <v>306</v>
      </c>
      <c r="L905" s="35" t="s">
        <v>6047</v>
      </c>
      <c r="M905" s="32" t="s">
        <v>55</v>
      </c>
    </row>
    <row r="906">
      <c r="A906" s="22" t="s">
        <v>2127</v>
      </c>
      <c r="B906" s="22" t="s">
        <v>4081</v>
      </c>
      <c r="C906" s="22" t="s">
        <v>6048</v>
      </c>
      <c r="D906" s="22" t="s">
        <v>375</v>
      </c>
      <c r="E906" s="22">
        <v>1.0</v>
      </c>
      <c r="F906" s="22"/>
      <c r="G906" s="22" t="s">
        <v>82</v>
      </c>
      <c r="H906" s="23">
        <v>46004.0</v>
      </c>
      <c r="I906" s="22" t="s">
        <v>153</v>
      </c>
      <c r="J906" s="22" t="s">
        <v>377</v>
      </c>
      <c r="K906" s="22" t="s">
        <v>380</v>
      </c>
      <c r="L906" s="35" t="s">
        <v>6049</v>
      </c>
      <c r="M906" s="32" t="s">
        <v>55</v>
      </c>
    </row>
    <row r="907">
      <c r="A907" s="22" t="s">
        <v>2129</v>
      </c>
      <c r="B907" s="22" t="s">
        <v>5069</v>
      </c>
      <c r="C907" s="22" t="s">
        <v>6050</v>
      </c>
      <c r="D907" s="22" t="s">
        <v>550</v>
      </c>
      <c r="E907" s="22">
        <v>1.0</v>
      </c>
      <c r="F907" s="22"/>
      <c r="G907" s="22" t="s">
        <v>82</v>
      </c>
      <c r="H907" s="26">
        <v>45997.0</v>
      </c>
      <c r="I907" s="22" t="s">
        <v>153</v>
      </c>
      <c r="J907" s="22" t="s">
        <v>377</v>
      </c>
      <c r="K907" s="22" t="s">
        <v>552</v>
      </c>
      <c r="L907" s="35" t="s">
        <v>6051</v>
      </c>
      <c r="M907" s="32" t="s">
        <v>95</v>
      </c>
    </row>
    <row r="908">
      <c r="A908" s="22" t="s">
        <v>2130</v>
      </c>
      <c r="B908" s="22" t="s">
        <v>4806</v>
      </c>
      <c r="C908" s="22" t="s">
        <v>6052</v>
      </c>
      <c r="D908" s="22" t="s">
        <v>679</v>
      </c>
      <c r="E908" s="22">
        <v>1.0</v>
      </c>
      <c r="F908" s="22"/>
      <c r="G908" s="22" t="s">
        <v>82</v>
      </c>
      <c r="H908" s="26">
        <v>45997.0</v>
      </c>
      <c r="I908" s="22" t="s">
        <v>211</v>
      </c>
      <c r="J908" s="22" t="s">
        <v>111</v>
      </c>
      <c r="K908" s="22" t="s">
        <v>683</v>
      </c>
      <c r="L908" s="35" t="s">
        <v>6053</v>
      </c>
      <c r="M908" s="32" t="s">
        <v>105</v>
      </c>
    </row>
    <row r="909">
      <c r="A909" s="22" t="s">
        <v>2131</v>
      </c>
      <c r="B909" s="22" t="s">
        <v>6054</v>
      </c>
      <c r="C909" s="22" t="s">
        <v>6055</v>
      </c>
      <c r="D909" s="22" t="s">
        <v>408</v>
      </c>
      <c r="E909" s="22">
        <v>1.0</v>
      </c>
      <c r="F909" s="22"/>
      <c r="G909" s="22" t="s">
        <v>82</v>
      </c>
      <c r="H909" s="26">
        <v>45997.0</v>
      </c>
      <c r="I909" s="22" t="s">
        <v>149</v>
      </c>
      <c r="J909" s="22" t="s">
        <v>377</v>
      </c>
      <c r="K909" s="22" t="s">
        <v>412</v>
      </c>
      <c r="L909" s="35" t="s">
        <v>6056</v>
      </c>
      <c r="M909" s="32" t="s">
        <v>127</v>
      </c>
    </row>
    <row r="910">
      <c r="A910" s="22" t="s">
        <v>2132</v>
      </c>
      <c r="B910" s="22" t="s">
        <v>6057</v>
      </c>
      <c r="C910" s="22" t="s">
        <v>6058</v>
      </c>
      <c r="D910" s="22" t="s">
        <v>124</v>
      </c>
      <c r="E910" s="22">
        <v>1.0</v>
      </c>
      <c r="F910" s="22"/>
      <c r="G910" s="22" t="s">
        <v>82</v>
      </c>
      <c r="H910" s="26">
        <v>45997.0</v>
      </c>
      <c r="I910" s="22" t="s">
        <v>149</v>
      </c>
      <c r="J910" s="22" t="s">
        <v>83</v>
      </c>
      <c r="K910" s="22" t="s">
        <v>126</v>
      </c>
      <c r="L910" s="35" t="s">
        <v>6059</v>
      </c>
      <c r="M910" s="32" t="s">
        <v>127</v>
      </c>
    </row>
    <row r="911">
      <c r="A911" s="22" t="s">
        <v>2135</v>
      </c>
      <c r="B911" s="22" t="s">
        <v>6060</v>
      </c>
      <c r="C911" s="22" t="s">
        <v>5929</v>
      </c>
      <c r="D911" s="22" t="s">
        <v>2133</v>
      </c>
      <c r="E911" s="22">
        <v>1.0</v>
      </c>
      <c r="F911" s="22"/>
      <c r="G911" s="22" t="s">
        <v>82</v>
      </c>
      <c r="H911" s="26">
        <v>45997.0</v>
      </c>
      <c r="I911" s="22" t="s">
        <v>522</v>
      </c>
      <c r="J911" s="22" t="s">
        <v>451</v>
      </c>
      <c r="K911" s="22" t="s">
        <v>2137</v>
      </c>
      <c r="L911" s="35" t="s">
        <v>6061</v>
      </c>
      <c r="M911" s="32" t="s">
        <v>175</v>
      </c>
    </row>
    <row r="912">
      <c r="A912" s="22" t="s">
        <v>2139</v>
      </c>
      <c r="B912" s="22" t="s">
        <v>6062</v>
      </c>
      <c r="C912" s="22" t="s">
        <v>6063</v>
      </c>
      <c r="D912" s="22" t="s">
        <v>1151</v>
      </c>
      <c r="E912" s="22">
        <v>1.0</v>
      </c>
      <c r="F912" s="22"/>
      <c r="G912" s="22" t="s">
        <v>82</v>
      </c>
      <c r="H912" s="26">
        <v>45997.0</v>
      </c>
      <c r="I912" s="22" t="s">
        <v>134</v>
      </c>
      <c r="J912" s="22" t="s">
        <v>303</v>
      </c>
      <c r="K912" s="22" t="s">
        <v>1155</v>
      </c>
      <c r="L912" s="35" t="s">
        <v>6064</v>
      </c>
      <c r="M912" s="32" t="s">
        <v>54</v>
      </c>
    </row>
    <row r="913">
      <c r="A913" s="22" t="s">
        <v>2160</v>
      </c>
      <c r="B913" s="22" t="s">
        <v>3820</v>
      </c>
      <c r="C913" s="22" t="s">
        <v>6065</v>
      </c>
      <c r="D913" s="22" t="s">
        <v>300</v>
      </c>
      <c r="E913" s="22">
        <v>1.0</v>
      </c>
      <c r="F913" s="22"/>
      <c r="G913" s="22" t="s">
        <v>82</v>
      </c>
      <c r="H913" s="26">
        <v>45997.0</v>
      </c>
      <c r="I913" s="22" t="s">
        <v>134</v>
      </c>
      <c r="J913" s="22" t="s">
        <v>303</v>
      </c>
      <c r="K913" s="22" t="s">
        <v>306</v>
      </c>
      <c r="L913" s="35" t="s">
        <v>6066</v>
      </c>
      <c r="M913" s="32" t="s">
        <v>55</v>
      </c>
    </row>
    <row r="914">
      <c r="A914" s="22" t="s">
        <v>2141</v>
      </c>
      <c r="B914" s="22" t="s">
        <v>6067</v>
      </c>
      <c r="C914" s="22" t="s">
        <v>6068</v>
      </c>
      <c r="D914" s="22" t="s">
        <v>2140</v>
      </c>
      <c r="E914" s="22">
        <v>1.0</v>
      </c>
      <c r="F914" s="22"/>
      <c r="G914" s="22" t="s">
        <v>82</v>
      </c>
      <c r="H914" s="26">
        <v>45997.0</v>
      </c>
      <c r="I914" s="22" t="s">
        <v>196</v>
      </c>
      <c r="J914" s="22" t="s">
        <v>319</v>
      </c>
      <c r="K914" s="22" t="s">
        <v>2142</v>
      </c>
      <c r="L914" s="35" t="s">
        <v>6069</v>
      </c>
      <c r="M914" s="32" t="s">
        <v>54</v>
      </c>
    </row>
    <row r="915">
      <c r="A915" s="22" t="s">
        <v>2143</v>
      </c>
      <c r="B915" s="22" t="s">
        <v>6070</v>
      </c>
      <c r="C915" s="22" t="s">
        <v>6071</v>
      </c>
      <c r="D915" s="22" t="s">
        <v>423</v>
      </c>
      <c r="E915" s="22">
        <v>1.0</v>
      </c>
      <c r="F915" s="22"/>
      <c r="G915" s="22" t="s">
        <v>273</v>
      </c>
      <c r="H915" s="26">
        <v>45998.0</v>
      </c>
      <c r="I915" s="22" t="s">
        <v>153</v>
      </c>
      <c r="J915" s="22" t="s">
        <v>369</v>
      </c>
      <c r="K915" s="22" t="s">
        <v>427</v>
      </c>
      <c r="L915" s="35" t="s">
        <v>6072</v>
      </c>
      <c r="M915" s="32" t="s">
        <v>95</v>
      </c>
    </row>
    <row r="916">
      <c r="A916" s="22" t="s">
        <v>2144</v>
      </c>
      <c r="B916" s="22" t="s">
        <v>6073</v>
      </c>
      <c r="C916" s="22" t="s">
        <v>6074</v>
      </c>
      <c r="D916" s="22" t="s">
        <v>172</v>
      </c>
      <c r="E916" s="22">
        <v>1.0</v>
      </c>
      <c r="F916" s="22"/>
      <c r="G916" s="22" t="s">
        <v>82</v>
      </c>
      <c r="H916" s="23">
        <v>45990.0</v>
      </c>
      <c r="I916" s="22" t="s">
        <v>224</v>
      </c>
      <c r="J916" s="22" t="s">
        <v>83</v>
      </c>
      <c r="K916" s="22" t="s">
        <v>174</v>
      </c>
      <c r="L916" s="35" t="s">
        <v>6075</v>
      </c>
      <c r="M916" s="32" t="s">
        <v>175</v>
      </c>
    </row>
    <row r="917">
      <c r="A917" s="22" t="s">
        <v>2146</v>
      </c>
      <c r="B917" s="22" t="s">
        <v>6076</v>
      </c>
      <c r="C917" s="22" t="s">
        <v>6077</v>
      </c>
      <c r="D917" s="22" t="s">
        <v>1224</v>
      </c>
      <c r="E917" s="22">
        <v>1.0</v>
      </c>
      <c r="F917" s="22"/>
      <c r="G917" s="22" t="s">
        <v>294</v>
      </c>
      <c r="H917" s="26">
        <v>45992.0</v>
      </c>
      <c r="I917" s="22" t="s">
        <v>134</v>
      </c>
      <c r="J917" s="22" t="s">
        <v>717</v>
      </c>
      <c r="K917" s="22" t="s">
        <v>1228</v>
      </c>
      <c r="L917" s="35" t="s">
        <v>6078</v>
      </c>
      <c r="M917" s="32" t="s">
        <v>91</v>
      </c>
    </row>
    <row r="918">
      <c r="A918" s="22" t="s">
        <v>2148</v>
      </c>
      <c r="B918" s="22" t="s">
        <v>6079</v>
      </c>
      <c r="C918" s="22" t="s">
        <v>6080</v>
      </c>
      <c r="D918" s="22" t="s">
        <v>488</v>
      </c>
      <c r="E918" s="22">
        <v>1.0</v>
      </c>
      <c r="F918" s="22"/>
      <c r="G918" s="22" t="s">
        <v>202</v>
      </c>
      <c r="H918" s="26">
        <v>45996.0</v>
      </c>
      <c r="I918" s="22" t="s">
        <v>134</v>
      </c>
      <c r="J918" s="22" t="s">
        <v>311</v>
      </c>
      <c r="K918" s="22" t="s">
        <v>492</v>
      </c>
      <c r="L918" s="35" t="s">
        <v>6081</v>
      </c>
      <c r="M918" s="32" t="s">
        <v>95</v>
      </c>
    </row>
    <row r="919">
      <c r="A919" s="22" t="s">
        <v>2150</v>
      </c>
      <c r="B919" s="22" t="s">
        <v>6082</v>
      </c>
      <c r="C919" s="22" t="s">
        <v>6083</v>
      </c>
      <c r="D919" s="22" t="s">
        <v>789</v>
      </c>
      <c r="E919" s="22">
        <v>1.0</v>
      </c>
      <c r="F919" s="22"/>
      <c r="G919" s="22" t="s">
        <v>82</v>
      </c>
      <c r="H919" s="26">
        <v>45997.0</v>
      </c>
      <c r="I919" s="22" t="s">
        <v>196</v>
      </c>
      <c r="J919" s="22" t="s">
        <v>605</v>
      </c>
      <c r="K919" s="22" t="s">
        <v>794</v>
      </c>
      <c r="L919" s="35" t="s">
        <v>6084</v>
      </c>
      <c r="M919" s="32" t="s">
        <v>105</v>
      </c>
    </row>
    <row r="920">
      <c r="A920" s="22" t="s">
        <v>2152</v>
      </c>
      <c r="B920" s="22" t="s">
        <v>6085</v>
      </c>
      <c r="C920" s="22" t="s">
        <v>6086</v>
      </c>
      <c r="D920" s="22" t="s">
        <v>484</v>
      </c>
      <c r="E920" s="22">
        <v>1.0</v>
      </c>
      <c r="F920" s="22"/>
      <c r="G920" s="22" t="s">
        <v>287</v>
      </c>
      <c r="H920" s="26">
        <v>45994.0</v>
      </c>
      <c r="I920" s="22" t="s">
        <v>1117</v>
      </c>
      <c r="J920" s="22" t="s">
        <v>311</v>
      </c>
      <c r="K920" s="22" t="s">
        <v>487</v>
      </c>
      <c r="L920" s="35" t="s">
        <v>6087</v>
      </c>
      <c r="M920" s="32" t="s">
        <v>127</v>
      </c>
    </row>
    <row r="921">
      <c r="A921" s="22" t="s">
        <v>2156</v>
      </c>
      <c r="B921" s="22" t="s">
        <v>3674</v>
      </c>
      <c r="C921" s="22" t="s">
        <v>3693</v>
      </c>
      <c r="D921" s="22" t="s">
        <v>1601</v>
      </c>
      <c r="E921" s="22">
        <v>1.0</v>
      </c>
      <c r="F921" s="22"/>
      <c r="G921" s="22" t="s">
        <v>202</v>
      </c>
      <c r="H921" s="26">
        <v>45996.0</v>
      </c>
      <c r="I921" s="22" t="s">
        <v>2155</v>
      </c>
      <c r="J921" s="22" t="s">
        <v>717</v>
      </c>
      <c r="K921" s="22" t="s">
        <v>1605</v>
      </c>
      <c r="L921" s="35" t="s">
        <v>6088</v>
      </c>
      <c r="M921" s="32" t="s">
        <v>175</v>
      </c>
    </row>
    <row r="922">
      <c r="A922" s="22" t="s">
        <v>2159</v>
      </c>
      <c r="B922" s="22" t="s">
        <v>5020</v>
      </c>
      <c r="C922" s="22" t="s">
        <v>5021</v>
      </c>
      <c r="D922" s="22" t="s">
        <v>408</v>
      </c>
      <c r="E922" s="22">
        <v>1.0</v>
      </c>
      <c r="F922" s="22"/>
      <c r="G922" s="22" t="s">
        <v>82</v>
      </c>
      <c r="H922" s="26">
        <v>45997.0</v>
      </c>
      <c r="I922" s="22" t="s">
        <v>138</v>
      </c>
      <c r="J922" s="22" t="s">
        <v>377</v>
      </c>
      <c r="K922" s="22" t="s">
        <v>412</v>
      </c>
      <c r="L922" s="35" t="s">
        <v>6089</v>
      </c>
      <c r="M922" s="32" t="s">
        <v>127</v>
      </c>
    </row>
    <row r="923">
      <c r="A923" s="22" t="s">
        <v>2163</v>
      </c>
      <c r="B923" s="22" t="s">
        <v>4248</v>
      </c>
      <c r="C923" s="22" t="s">
        <v>6090</v>
      </c>
      <c r="D923" s="22" t="s">
        <v>408</v>
      </c>
      <c r="E923" s="22">
        <v>1.0</v>
      </c>
      <c r="F923" s="22"/>
      <c r="G923" s="22" t="s">
        <v>82</v>
      </c>
      <c r="H923" s="26">
        <v>45997.0</v>
      </c>
      <c r="I923" s="22" t="s">
        <v>153</v>
      </c>
      <c r="J923" s="22" t="s">
        <v>377</v>
      </c>
      <c r="K923" s="22" t="s">
        <v>412</v>
      </c>
      <c r="L923" s="35" t="s">
        <v>6091</v>
      </c>
      <c r="M923" s="32" t="s">
        <v>127</v>
      </c>
    </row>
    <row r="924">
      <c r="A924" s="22" t="s">
        <v>2195</v>
      </c>
      <c r="B924" s="22" t="s">
        <v>4619</v>
      </c>
      <c r="C924" s="22" t="s">
        <v>6092</v>
      </c>
      <c r="D924" s="22" t="s">
        <v>124</v>
      </c>
      <c r="E924" s="22">
        <v>1.0</v>
      </c>
      <c r="F924" s="22"/>
      <c r="G924" s="22" t="s">
        <v>273</v>
      </c>
      <c r="H924" s="26">
        <v>45998.0</v>
      </c>
      <c r="I924" s="22" t="s">
        <v>149</v>
      </c>
      <c r="J924" s="22" t="s">
        <v>83</v>
      </c>
      <c r="K924" s="22" t="s">
        <v>126</v>
      </c>
      <c r="L924" s="35" t="s">
        <v>6093</v>
      </c>
      <c r="M924" s="32" t="s">
        <v>127</v>
      </c>
    </row>
    <row r="925">
      <c r="A925" s="22" t="s">
        <v>2196</v>
      </c>
      <c r="B925" s="22" t="s">
        <v>5175</v>
      </c>
      <c r="C925" s="22" t="s">
        <v>6094</v>
      </c>
      <c r="D925" s="22" t="s">
        <v>80</v>
      </c>
      <c r="E925" s="22">
        <v>1.0</v>
      </c>
      <c r="F925" s="22"/>
      <c r="G925" s="22" t="s">
        <v>273</v>
      </c>
      <c r="H925" s="23">
        <v>45991.0</v>
      </c>
      <c r="I925" s="22" t="s">
        <v>266</v>
      </c>
      <c r="J925" s="22" t="s">
        <v>83</v>
      </c>
      <c r="K925" s="22" t="s">
        <v>86</v>
      </c>
      <c r="L925" s="35" t="s">
        <v>6095</v>
      </c>
      <c r="M925" s="32" t="s">
        <v>91</v>
      </c>
    </row>
    <row r="926">
      <c r="A926" s="22" t="s">
        <v>2197</v>
      </c>
      <c r="B926" s="22" t="s">
        <v>4042</v>
      </c>
      <c r="C926" s="22" t="s">
        <v>3783</v>
      </c>
      <c r="D926" s="22" t="s">
        <v>96</v>
      </c>
      <c r="E926" s="22">
        <v>1.0</v>
      </c>
      <c r="F926" s="22"/>
      <c r="G926" s="22" t="s">
        <v>202</v>
      </c>
      <c r="H926" s="26">
        <v>45996.0</v>
      </c>
      <c r="I926" s="22" t="s">
        <v>224</v>
      </c>
      <c r="J926" s="22" t="s">
        <v>83</v>
      </c>
      <c r="K926" s="22" t="s">
        <v>98</v>
      </c>
      <c r="L926" s="35" t="s">
        <v>6096</v>
      </c>
      <c r="M926" s="32" t="s">
        <v>55</v>
      </c>
    </row>
    <row r="927">
      <c r="A927" s="22" t="s">
        <v>2164</v>
      </c>
      <c r="B927" s="22" t="s">
        <v>6097</v>
      </c>
      <c r="C927" s="22" t="s">
        <v>6098</v>
      </c>
      <c r="D927" s="22" t="s">
        <v>859</v>
      </c>
      <c r="E927" s="22">
        <v>1.0</v>
      </c>
      <c r="F927" s="22"/>
      <c r="G927" s="22" t="s">
        <v>82</v>
      </c>
      <c r="H927" s="26">
        <v>45997.0</v>
      </c>
      <c r="I927" s="22" t="s">
        <v>1117</v>
      </c>
      <c r="J927" s="22" t="s">
        <v>605</v>
      </c>
      <c r="K927" s="22" t="s">
        <v>861</v>
      </c>
      <c r="L927" s="35" t="s">
        <v>6099</v>
      </c>
      <c r="M927" s="32" t="s">
        <v>95</v>
      </c>
    </row>
    <row r="928">
      <c r="A928" s="22" t="s">
        <v>2165</v>
      </c>
      <c r="B928" s="22" t="s">
        <v>4827</v>
      </c>
      <c r="C928" s="22" t="s">
        <v>6100</v>
      </c>
      <c r="D928" s="22" t="s">
        <v>740</v>
      </c>
      <c r="E928" s="22">
        <v>1.0</v>
      </c>
      <c r="F928" s="22"/>
      <c r="G928" s="22" t="s">
        <v>273</v>
      </c>
      <c r="H928" s="26">
        <v>45998.0</v>
      </c>
      <c r="I928" s="22" t="s">
        <v>134</v>
      </c>
      <c r="J928" s="22" t="s">
        <v>303</v>
      </c>
      <c r="K928" s="22" t="s">
        <v>744</v>
      </c>
      <c r="L928" s="35" t="s">
        <v>6101</v>
      </c>
      <c r="M928" s="32" t="s">
        <v>91</v>
      </c>
    </row>
    <row r="929">
      <c r="A929" s="22" t="s">
        <v>2167</v>
      </c>
      <c r="B929" s="22" t="s">
        <v>6102</v>
      </c>
      <c r="C929" s="22" t="s">
        <v>6103</v>
      </c>
      <c r="D929" s="22" t="s">
        <v>1297</v>
      </c>
      <c r="E929" s="22">
        <v>1.0</v>
      </c>
      <c r="F929" s="22"/>
      <c r="G929" s="22" t="s">
        <v>273</v>
      </c>
      <c r="H929" s="26">
        <v>45998.0</v>
      </c>
      <c r="I929" s="22" t="s">
        <v>211</v>
      </c>
      <c r="J929" s="22" t="s">
        <v>111</v>
      </c>
      <c r="K929" s="22" t="s">
        <v>1302</v>
      </c>
      <c r="L929" s="35" t="s">
        <v>6104</v>
      </c>
      <c r="M929" s="32" t="s">
        <v>175</v>
      </c>
    </row>
    <row r="930">
      <c r="A930" s="22" t="s">
        <v>2108</v>
      </c>
      <c r="B930" s="22" t="s">
        <v>4848</v>
      </c>
      <c r="C930" s="22" t="s">
        <v>6105</v>
      </c>
      <c r="D930" s="22" t="s">
        <v>478</v>
      </c>
      <c r="E930" s="22">
        <v>1.0</v>
      </c>
      <c r="F930" s="22"/>
      <c r="G930" s="22" t="s">
        <v>82</v>
      </c>
      <c r="H930" s="26">
        <v>45997.0</v>
      </c>
      <c r="I930" s="22" t="s">
        <v>134</v>
      </c>
      <c r="J930" s="22" t="s">
        <v>472</v>
      </c>
      <c r="K930" s="22" t="s">
        <v>483</v>
      </c>
      <c r="L930" s="35" t="s">
        <v>6106</v>
      </c>
      <c r="M930" s="32" t="s">
        <v>95</v>
      </c>
    </row>
    <row r="931">
      <c r="A931" s="22" t="s">
        <v>2109</v>
      </c>
      <c r="B931" s="22" t="s">
        <v>6107</v>
      </c>
      <c r="C931" s="22" t="s">
        <v>6108</v>
      </c>
      <c r="D931" s="22" t="s">
        <v>1464</v>
      </c>
      <c r="E931" s="22">
        <v>1.0</v>
      </c>
      <c r="F931" s="22"/>
      <c r="G931" s="22" t="s">
        <v>82</v>
      </c>
      <c r="H931" s="26">
        <v>45997.0</v>
      </c>
      <c r="I931" s="22" t="s">
        <v>177</v>
      </c>
      <c r="J931" s="22" t="s">
        <v>1466</v>
      </c>
      <c r="K931" s="22" t="s">
        <v>1469</v>
      </c>
      <c r="L931" s="35" t="s">
        <v>6109</v>
      </c>
      <c r="M931" s="32" t="s">
        <v>55</v>
      </c>
    </row>
    <row r="932">
      <c r="A932" s="22" t="s">
        <v>2110</v>
      </c>
      <c r="B932" s="22" t="s">
        <v>5272</v>
      </c>
      <c r="C932" s="22" t="s">
        <v>6110</v>
      </c>
      <c r="D932" s="22" t="s">
        <v>714</v>
      </c>
      <c r="E932" s="22">
        <v>1.0</v>
      </c>
      <c r="F932" s="22"/>
      <c r="G932" s="22" t="s">
        <v>202</v>
      </c>
      <c r="H932" s="26">
        <v>45996.0</v>
      </c>
      <c r="I932" s="22" t="s">
        <v>153</v>
      </c>
      <c r="J932" s="22" t="s">
        <v>717</v>
      </c>
      <c r="K932" s="22" t="s">
        <v>720</v>
      </c>
      <c r="L932" s="35" t="s">
        <v>6111</v>
      </c>
      <c r="M932" s="32" t="s">
        <v>55</v>
      </c>
    </row>
    <row r="933">
      <c r="A933" s="22" t="s">
        <v>2170</v>
      </c>
      <c r="B933" s="22" t="s">
        <v>6112</v>
      </c>
      <c r="C933" s="22" t="s">
        <v>6113</v>
      </c>
      <c r="D933" s="22" t="s">
        <v>814</v>
      </c>
      <c r="E933" s="22">
        <v>1.0</v>
      </c>
      <c r="F933" s="22"/>
      <c r="G933" s="22" t="s">
        <v>82</v>
      </c>
      <c r="H933" s="26">
        <v>45997.0</v>
      </c>
      <c r="I933" s="22" t="s">
        <v>177</v>
      </c>
      <c r="J933" s="22" t="s">
        <v>698</v>
      </c>
      <c r="K933" s="22" t="s">
        <v>818</v>
      </c>
      <c r="L933" s="35" t="s">
        <v>6114</v>
      </c>
      <c r="M933" s="32" t="s">
        <v>127</v>
      </c>
    </row>
    <row r="934">
      <c r="A934" s="22" t="s">
        <v>2175</v>
      </c>
      <c r="B934" s="22" t="s">
        <v>4161</v>
      </c>
      <c r="C934" s="22" t="s">
        <v>4086</v>
      </c>
      <c r="D934" s="22" t="s">
        <v>386</v>
      </c>
      <c r="E934" s="22">
        <v>1.0</v>
      </c>
      <c r="F934" s="22"/>
      <c r="G934" s="22" t="s">
        <v>287</v>
      </c>
      <c r="H934" s="26">
        <v>45994.0</v>
      </c>
      <c r="I934" s="22" t="s">
        <v>522</v>
      </c>
      <c r="J934" s="22" t="s">
        <v>311</v>
      </c>
      <c r="K934" s="22" t="s">
        <v>390</v>
      </c>
      <c r="L934" s="35" t="s">
        <v>6115</v>
      </c>
      <c r="M934" s="32" t="s">
        <v>55</v>
      </c>
    </row>
    <row r="935">
      <c r="A935" s="22" t="s">
        <v>2177</v>
      </c>
      <c r="B935" s="22" t="s">
        <v>3901</v>
      </c>
      <c r="C935" s="22" t="s">
        <v>6116</v>
      </c>
      <c r="D935" s="22" t="s">
        <v>580</v>
      </c>
      <c r="E935" s="22">
        <v>1.0</v>
      </c>
      <c r="F935" s="22"/>
      <c r="G935" s="22" t="s">
        <v>82</v>
      </c>
      <c r="H935" s="26">
        <v>45997.0</v>
      </c>
      <c r="I935" s="22" t="s">
        <v>134</v>
      </c>
      <c r="J935" s="22" t="s">
        <v>303</v>
      </c>
      <c r="K935" s="22" t="s">
        <v>583</v>
      </c>
      <c r="L935" s="35" t="s">
        <v>6117</v>
      </c>
      <c r="M935" s="32" t="s">
        <v>175</v>
      </c>
    </row>
    <row r="936">
      <c r="A936" s="22" t="s">
        <v>2178</v>
      </c>
      <c r="B936" s="22" t="s">
        <v>6118</v>
      </c>
      <c r="C936" s="22" t="s">
        <v>6119</v>
      </c>
      <c r="D936" s="22" t="s">
        <v>837</v>
      </c>
      <c r="E936" s="22">
        <v>1.0</v>
      </c>
      <c r="F936" s="22"/>
      <c r="G936" s="22" t="s">
        <v>82</v>
      </c>
      <c r="H936" s="26">
        <v>45997.0</v>
      </c>
      <c r="I936" s="22" t="s">
        <v>439</v>
      </c>
      <c r="J936" s="22" t="s">
        <v>698</v>
      </c>
      <c r="K936" s="22" t="s">
        <v>839</v>
      </c>
      <c r="L936" s="35" t="s">
        <v>6120</v>
      </c>
      <c r="M936" s="32" t="s">
        <v>105</v>
      </c>
    </row>
    <row r="937">
      <c r="A937" s="22" t="s">
        <v>2179</v>
      </c>
      <c r="B937" s="22" t="s">
        <v>6121</v>
      </c>
      <c r="C937" s="22" t="s">
        <v>6122</v>
      </c>
      <c r="D937" s="22" t="s">
        <v>2133</v>
      </c>
      <c r="E937" s="22">
        <v>1.0</v>
      </c>
      <c r="F937" s="22"/>
      <c r="G937" s="22" t="s">
        <v>82</v>
      </c>
      <c r="H937" s="26">
        <v>45997.0</v>
      </c>
      <c r="I937" s="22" t="s">
        <v>149</v>
      </c>
      <c r="J937" s="22" t="s">
        <v>451</v>
      </c>
      <c r="K937" s="22" t="s">
        <v>2137</v>
      </c>
      <c r="L937" s="35" t="s">
        <v>6123</v>
      </c>
      <c r="M937" s="32" t="s">
        <v>175</v>
      </c>
    </row>
    <row r="938">
      <c r="A938" s="22" t="s">
        <v>2180</v>
      </c>
      <c r="B938" s="22" t="s">
        <v>3734</v>
      </c>
      <c r="C938" s="22" t="s">
        <v>6124</v>
      </c>
      <c r="D938" s="22" t="s">
        <v>885</v>
      </c>
      <c r="E938" s="22">
        <v>1.0</v>
      </c>
      <c r="F938" s="22"/>
      <c r="G938" s="22" t="s">
        <v>82</v>
      </c>
      <c r="H938" s="26">
        <v>45997.0</v>
      </c>
      <c r="I938" s="22" t="s">
        <v>1117</v>
      </c>
      <c r="J938" s="22" t="s">
        <v>605</v>
      </c>
      <c r="K938" s="22" t="s">
        <v>890</v>
      </c>
      <c r="L938" s="35" t="s">
        <v>6125</v>
      </c>
      <c r="M938" s="32" t="s">
        <v>127</v>
      </c>
    </row>
    <row r="939">
      <c r="A939" s="22" t="s">
        <v>2182</v>
      </c>
      <c r="B939" s="22" t="s">
        <v>6126</v>
      </c>
      <c r="C939" s="22" t="s">
        <v>6127</v>
      </c>
      <c r="D939" s="22" t="s">
        <v>2181</v>
      </c>
      <c r="E939" s="22">
        <v>1.0</v>
      </c>
      <c r="F939" s="22"/>
      <c r="G939" s="22" t="s">
        <v>273</v>
      </c>
      <c r="H939" s="26">
        <v>45998.0</v>
      </c>
      <c r="I939" s="22" t="s">
        <v>522</v>
      </c>
      <c r="J939" s="22" t="s">
        <v>303</v>
      </c>
      <c r="K939" s="22" t="s">
        <v>2183</v>
      </c>
      <c r="L939" s="35" t="s">
        <v>6128</v>
      </c>
      <c r="M939" s="32" t="s">
        <v>127</v>
      </c>
    </row>
    <row r="940">
      <c r="A940" s="22" t="s">
        <v>2184</v>
      </c>
      <c r="B940" s="22" t="s">
        <v>6039</v>
      </c>
      <c r="C940" s="22" t="s">
        <v>6129</v>
      </c>
      <c r="D940" s="22" t="s">
        <v>595</v>
      </c>
      <c r="E940" s="22">
        <v>1.0</v>
      </c>
      <c r="F940" s="22"/>
      <c r="G940" s="22" t="s">
        <v>273</v>
      </c>
      <c r="H940" s="26">
        <v>45998.0</v>
      </c>
      <c r="I940" s="22" t="s">
        <v>134</v>
      </c>
      <c r="J940" s="22" t="s">
        <v>369</v>
      </c>
      <c r="K940" s="22" t="s">
        <v>599</v>
      </c>
      <c r="L940" s="35" t="s">
        <v>6130</v>
      </c>
      <c r="M940" s="32" t="s">
        <v>127</v>
      </c>
    </row>
    <row r="941">
      <c r="A941" s="22" t="s">
        <v>2185</v>
      </c>
      <c r="B941" s="22" t="s">
        <v>5175</v>
      </c>
      <c r="C941" s="22" t="s">
        <v>6131</v>
      </c>
      <c r="D941" s="22" t="s">
        <v>96</v>
      </c>
      <c r="E941" s="22">
        <v>1.0</v>
      </c>
      <c r="F941" s="22"/>
      <c r="G941" s="22" t="s">
        <v>336</v>
      </c>
      <c r="H941" s="26">
        <v>45995.0</v>
      </c>
      <c r="I941" s="22" t="s">
        <v>266</v>
      </c>
      <c r="J941" s="22" t="s">
        <v>83</v>
      </c>
      <c r="K941" s="22" t="s">
        <v>98</v>
      </c>
      <c r="L941" s="35" t="s">
        <v>6132</v>
      </c>
      <c r="M941" s="32" t="s">
        <v>55</v>
      </c>
    </row>
    <row r="942">
      <c r="A942" s="22" t="s">
        <v>6133</v>
      </c>
      <c r="B942" s="22" t="s">
        <v>6134</v>
      </c>
      <c r="C942" s="22" t="s">
        <v>6135</v>
      </c>
      <c r="D942" s="22" t="s">
        <v>4398</v>
      </c>
      <c r="E942" s="22">
        <v>1.0</v>
      </c>
      <c r="F942" s="22"/>
      <c r="G942" s="22" t="s">
        <v>294</v>
      </c>
      <c r="H942" s="26">
        <v>45992.0</v>
      </c>
      <c r="I942" s="22" t="s">
        <v>266</v>
      </c>
      <c r="J942" s="22" t="s">
        <v>4399</v>
      </c>
      <c r="K942" s="22" t="s">
        <v>4400</v>
      </c>
      <c r="L942" s="35" t="s">
        <v>6136</v>
      </c>
      <c r="M942" s="32" t="s">
        <v>55</v>
      </c>
    </row>
    <row r="943">
      <c r="A943" s="22" t="s">
        <v>2188</v>
      </c>
      <c r="B943" s="22" t="s">
        <v>6137</v>
      </c>
      <c r="C943" s="22" t="s">
        <v>6138</v>
      </c>
      <c r="D943" s="22" t="s">
        <v>1464</v>
      </c>
      <c r="E943" s="22">
        <v>1.0</v>
      </c>
      <c r="F943" s="22"/>
      <c r="G943" s="22" t="s">
        <v>82</v>
      </c>
      <c r="H943" s="26">
        <v>45997.0</v>
      </c>
      <c r="I943" s="22" t="s">
        <v>2187</v>
      </c>
      <c r="J943" s="22" t="s">
        <v>1466</v>
      </c>
      <c r="K943" s="22" t="s">
        <v>1469</v>
      </c>
      <c r="L943" s="35" t="s">
        <v>6139</v>
      </c>
      <c r="M943" s="32" t="s">
        <v>55</v>
      </c>
    </row>
    <row r="944">
      <c r="A944" s="22" t="s">
        <v>184</v>
      </c>
      <c r="B944" s="22" t="s">
        <v>6140</v>
      </c>
      <c r="C944" s="22" t="s">
        <v>6141</v>
      </c>
      <c r="D944" s="22" t="s">
        <v>92</v>
      </c>
      <c r="E944" s="22">
        <v>1.0</v>
      </c>
      <c r="F944" s="22"/>
      <c r="G944" s="22" t="s">
        <v>82</v>
      </c>
      <c r="H944" s="23">
        <v>45990.0</v>
      </c>
      <c r="I944" s="22" t="s">
        <v>138</v>
      </c>
      <c r="J944" s="22" t="s">
        <v>83</v>
      </c>
      <c r="K944" s="22" t="s">
        <v>94</v>
      </c>
      <c r="L944" s="35" t="s">
        <v>6142</v>
      </c>
      <c r="M944" s="32" t="s">
        <v>95</v>
      </c>
    </row>
    <row r="945">
      <c r="A945" s="22" t="s">
        <v>2191</v>
      </c>
      <c r="B945" s="22" t="s">
        <v>6143</v>
      </c>
      <c r="C945" s="22" t="s">
        <v>6144</v>
      </c>
      <c r="D945" s="22" t="s">
        <v>200</v>
      </c>
      <c r="E945" s="22">
        <v>3.0</v>
      </c>
      <c r="F945" s="22"/>
      <c r="G945" s="22" t="s">
        <v>287</v>
      </c>
      <c r="H945" s="23">
        <v>45981.0</v>
      </c>
      <c r="I945" s="22" t="s">
        <v>149</v>
      </c>
      <c r="J945" s="22" t="s">
        <v>203</v>
      </c>
      <c r="K945" s="22" t="s">
        <v>206</v>
      </c>
      <c r="L945" s="35" t="s">
        <v>6145</v>
      </c>
      <c r="M945" s="32" t="s">
        <v>54</v>
      </c>
    </row>
    <row r="946">
      <c r="A946" s="22" t="s">
        <v>2191</v>
      </c>
      <c r="B946" s="22" t="s">
        <v>6143</v>
      </c>
      <c r="C946" s="22" t="s">
        <v>6144</v>
      </c>
      <c r="D946" s="22" t="s">
        <v>1899</v>
      </c>
      <c r="E946" s="22">
        <v>1.0</v>
      </c>
      <c r="F946" s="22"/>
      <c r="G946" s="22" t="s">
        <v>287</v>
      </c>
      <c r="H946" s="23">
        <v>45981.0</v>
      </c>
      <c r="I946" s="22" t="s">
        <v>149</v>
      </c>
      <c r="J946" s="22" t="s">
        <v>203</v>
      </c>
      <c r="K946" s="22" t="s">
        <v>1901</v>
      </c>
      <c r="L946" s="35" t="s">
        <v>6146</v>
      </c>
      <c r="M946" s="32" t="s">
        <v>105</v>
      </c>
    </row>
    <row r="947">
      <c r="A947" s="22" t="s">
        <v>2191</v>
      </c>
      <c r="B947" s="22" t="s">
        <v>6143</v>
      </c>
      <c r="C947" s="22" t="s">
        <v>6144</v>
      </c>
      <c r="D947" s="25"/>
      <c r="E947" s="25"/>
      <c r="F947" s="22"/>
      <c r="G947" s="22" t="s">
        <v>287</v>
      </c>
      <c r="H947" s="23">
        <v>45981.0</v>
      </c>
      <c r="I947" s="22" t="s">
        <v>149</v>
      </c>
      <c r="J947" s="22" t="s">
        <v>203</v>
      </c>
      <c r="K947" s="22" t="s">
        <v>2193</v>
      </c>
      <c r="L947" s="35" t="s">
        <v>6147</v>
      </c>
    </row>
    <row r="948">
      <c r="A948" s="22" t="s">
        <v>6148</v>
      </c>
      <c r="B948" s="22" t="s">
        <v>4582</v>
      </c>
      <c r="C948" s="22" t="s">
        <v>6149</v>
      </c>
      <c r="D948" s="22" t="s">
        <v>4521</v>
      </c>
      <c r="E948" s="22">
        <v>1.0</v>
      </c>
      <c r="F948" s="22"/>
      <c r="G948" s="22" t="s">
        <v>287</v>
      </c>
      <c r="H948" s="23">
        <v>46001.0</v>
      </c>
      <c r="I948" s="22" t="s">
        <v>266</v>
      </c>
      <c r="J948" s="22" t="s">
        <v>4399</v>
      </c>
      <c r="K948" s="22" t="s">
        <v>4522</v>
      </c>
      <c r="L948" s="35" t="s">
        <v>6150</v>
      </c>
      <c r="M948" s="32" t="s">
        <v>54</v>
      </c>
    </row>
    <row r="949">
      <c r="A949" s="22" t="s">
        <v>2194</v>
      </c>
      <c r="B949" s="22" t="s">
        <v>6151</v>
      </c>
      <c r="C949" s="22" t="s">
        <v>6152</v>
      </c>
      <c r="D949" s="22" t="s">
        <v>912</v>
      </c>
      <c r="E949" s="22">
        <v>1.0</v>
      </c>
      <c r="F949" s="22"/>
      <c r="G949" s="22" t="s">
        <v>82</v>
      </c>
      <c r="H949" s="26">
        <v>45997.0</v>
      </c>
      <c r="I949" s="22" t="s">
        <v>248</v>
      </c>
      <c r="J949" s="22" t="s">
        <v>377</v>
      </c>
      <c r="K949" s="22" t="s">
        <v>914</v>
      </c>
      <c r="L949" s="35" t="s">
        <v>6153</v>
      </c>
      <c r="M949" s="32" t="s">
        <v>54</v>
      </c>
    </row>
    <row r="950">
      <c r="A950" s="22" t="s">
        <v>2194</v>
      </c>
      <c r="B950" s="22" t="s">
        <v>6151</v>
      </c>
      <c r="C950" s="22" t="s">
        <v>6152</v>
      </c>
      <c r="D950" s="25"/>
      <c r="E950" s="25"/>
      <c r="F950" s="22"/>
      <c r="G950" s="22" t="s">
        <v>82</v>
      </c>
      <c r="H950" s="26">
        <v>45997.0</v>
      </c>
      <c r="I950" s="22" t="s">
        <v>248</v>
      </c>
      <c r="J950" s="22" t="s">
        <v>377</v>
      </c>
      <c r="K950" s="22" t="s">
        <v>767</v>
      </c>
      <c r="L950" s="35" t="s">
        <v>6154</v>
      </c>
    </row>
    <row r="951">
      <c r="A951" s="22" t="s">
        <v>2198</v>
      </c>
      <c r="B951" s="22" t="s">
        <v>3805</v>
      </c>
      <c r="C951" s="22" t="s">
        <v>6155</v>
      </c>
      <c r="D951" s="22" t="s">
        <v>584</v>
      </c>
      <c r="E951" s="22">
        <v>1.0</v>
      </c>
      <c r="F951" s="22"/>
      <c r="G951" s="22" t="s">
        <v>82</v>
      </c>
      <c r="H951" s="26">
        <v>45997.0</v>
      </c>
      <c r="I951" s="22" t="s">
        <v>266</v>
      </c>
      <c r="J951" s="22" t="s">
        <v>377</v>
      </c>
      <c r="K951" s="22" t="s">
        <v>586</v>
      </c>
      <c r="L951" s="35" t="s">
        <v>6156</v>
      </c>
      <c r="M951" s="32" t="s">
        <v>105</v>
      </c>
    </row>
    <row r="952">
      <c r="A952" s="22" t="s">
        <v>2244</v>
      </c>
      <c r="B952" s="22" t="s">
        <v>4568</v>
      </c>
      <c r="C952" s="22" t="s">
        <v>4403</v>
      </c>
      <c r="D952" s="22" t="s">
        <v>2243</v>
      </c>
      <c r="E952" s="22">
        <v>1.0</v>
      </c>
      <c r="F952" s="22"/>
      <c r="G952" s="22" t="s">
        <v>273</v>
      </c>
      <c r="H952" s="23">
        <v>45991.0</v>
      </c>
      <c r="I952" s="22" t="s">
        <v>196</v>
      </c>
      <c r="J952" s="22" t="s">
        <v>356</v>
      </c>
      <c r="K952" s="22" t="s">
        <v>2245</v>
      </c>
      <c r="L952" s="35" t="s">
        <v>6157</v>
      </c>
      <c r="M952" s="32" t="s">
        <v>175</v>
      </c>
    </row>
    <row r="953">
      <c r="A953" s="22" t="s">
        <v>2246</v>
      </c>
      <c r="B953" s="22" t="s">
        <v>6158</v>
      </c>
      <c r="C953" s="22" t="s">
        <v>6159</v>
      </c>
      <c r="D953" s="22" t="s">
        <v>538</v>
      </c>
      <c r="E953" s="22">
        <v>1.0</v>
      </c>
      <c r="F953" s="22"/>
      <c r="G953" s="22" t="s">
        <v>273</v>
      </c>
      <c r="H953" s="26">
        <v>45998.0</v>
      </c>
      <c r="I953" s="22" t="s">
        <v>153</v>
      </c>
      <c r="J953" s="22" t="s">
        <v>369</v>
      </c>
      <c r="K953" s="22" t="s">
        <v>542</v>
      </c>
      <c r="L953" s="35" t="s">
        <v>6160</v>
      </c>
      <c r="M953" s="32" t="s">
        <v>91</v>
      </c>
    </row>
    <row r="954">
      <c r="A954" s="22" t="s">
        <v>2247</v>
      </c>
      <c r="B954" s="22" t="s">
        <v>5508</v>
      </c>
      <c r="C954" s="22" t="s">
        <v>4351</v>
      </c>
      <c r="D954" s="22" t="s">
        <v>664</v>
      </c>
      <c r="E954" s="22">
        <v>1.0</v>
      </c>
      <c r="F954" s="22"/>
      <c r="G954" s="22" t="s">
        <v>273</v>
      </c>
      <c r="H954" s="26">
        <v>45998.0</v>
      </c>
      <c r="I954" s="22" t="s">
        <v>134</v>
      </c>
      <c r="J954" s="22" t="s">
        <v>472</v>
      </c>
      <c r="K954" s="22" t="s">
        <v>668</v>
      </c>
      <c r="L954" s="35" t="s">
        <v>6161</v>
      </c>
      <c r="M954" s="32" t="s">
        <v>175</v>
      </c>
    </row>
    <row r="955">
      <c r="A955" s="22" t="s">
        <v>6162</v>
      </c>
      <c r="B955" s="22" t="s">
        <v>4081</v>
      </c>
      <c r="C955" s="22" t="s">
        <v>4788</v>
      </c>
      <c r="D955" s="22" t="s">
        <v>4398</v>
      </c>
      <c r="E955" s="22">
        <v>1.0</v>
      </c>
      <c r="F955" s="22"/>
      <c r="G955" s="22" t="s">
        <v>294</v>
      </c>
      <c r="H955" s="26">
        <v>45992.0</v>
      </c>
      <c r="I955" s="22" t="s">
        <v>266</v>
      </c>
      <c r="J955" s="22" t="s">
        <v>4399</v>
      </c>
      <c r="K955" s="22" t="s">
        <v>4400</v>
      </c>
      <c r="L955" s="35" t="s">
        <v>6163</v>
      </c>
      <c r="M955" s="32" t="s">
        <v>55</v>
      </c>
    </row>
    <row r="956">
      <c r="A956" s="22" t="s">
        <v>2199</v>
      </c>
      <c r="B956" s="22" t="s">
        <v>6164</v>
      </c>
      <c r="C956" s="22" t="s">
        <v>6165</v>
      </c>
      <c r="D956" s="22" t="s">
        <v>415</v>
      </c>
      <c r="E956" s="22">
        <v>1.0</v>
      </c>
      <c r="F956" s="22"/>
      <c r="G956" s="22" t="s">
        <v>82</v>
      </c>
      <c r="H956" s="26">
        <v>45997.0</v>
      </c>
      <c r="I956" s="22" t="s">
        <v>153</v>
      </c>
      <c r="J956" s="22" t="s">
        <v>377</v>
      </c>
      <c r="K956" s="22" t="s">
        <v>419</v>
      </c>
      <c r="L956" s="35" t="s">
        <v>6166</v>
      </c>
      <c r="M956" s="32" t="s">
        <v>91</v>
      </c>
    </row>
    <row r="957">
      <c r="A957" s="22" t="s">
        <v>2199</v>
      </c>
      <c r="B957" s="22" t="s">
        <v>6164</v>
      </c>
      <c r="C957" s="22" t="s">
        <v>6165</v>
      </c>
      <c r="D957" s="25"/>
      <c r="E957" s="25"/>
      <c r="F957" s="22"/>
      <c r="G957" s="22" t="s">
        <v>82</v>
      </c>
      <c r="H957" s="26">
        <v>45997.0</v>
      </c>
      <c r="I957" s="22" t="s">
        <v>153</v>
      </c>
      <c r="J957" s="22" t="s">
        <v>377</v>
      </c>
      <c r="K957" s="22" t="s">
        <v>767</v>
      </c>
      <c r="L957" s="35" t="s">
        <v>6167</v>
      </c>
    </row>
    <row r="958">
      <c r="A958" s="22" t="s">
        <v>2200</v>
      </c>
      <c r="B958" s="22" t="s">
        <v>6168</v>
      </c>
      <c r="C958" s="22" t="s">
        <v>6169</v>
      </c>
      <c r="D958" s="22" t="s">
        <v>973</v>
      </c>
      <c r="E958" s="22">
        <v>1.0</v>
      </c>
      <c r="F958" s="22"/>
      <c r="G958" s="22" t="s">
        <v>273</v>
      </c>
      <c r="H958" s="26">
        <v>45998.0</v>
      </c>
      <c r="I958" s="22" t="s">
        <v>187</v>
      </c>
      <c r="J958" s="22" t="s">
        <v>440</v>
      </c>
      <c r="K958" s="22" t="s">
        <v>978</v>
      </c>
      <c r="L958" s="35" t="s">
        <v>6170</v>
      </c>
      <c r="M958" s="32" t="s">
        <v>105</v>
      </c>
    </row>
    <row r="959">
      <c r="A959" s="22" t="s">
        <v>2202</v>
      </c>
      <c r="B959" s="22" t="s">
        <v>5936</v>
      </c>
      <c r="C959" s="22" t="s">
        <v>6171</v>
      </c>
      <c r="D959" s="22" t="s">
        <v>752</v>
      </c>
      <c r="E959" s="22">
        <v>1.0</v>
      </c>
      <c r="F959" s="22"/>
      <c r="G959" s="22" t="s">
        <v>82</v>
      </c>
      <c r="H959" s="26">
        <v>45997.0</v>
      </c>
      <c r="I959" s="22" t="s">
        <v>181</v>
      </c>
      <c r="J959" s="22" t="s">
        <v>319</v>
      </c>
      <c r="K959" s="22" t="s">
        <v>754</v>
      </c>
      <c r="L959" s="35" t="s">
        <v>6172</v>
      </c>
      <c r="M959" s="32" t="s">
        <v>175</v>
      </c>
    </row>
    <row r="960">
      <c r="A960" s="22" t="s">
        <v>2202</v>
      </c>
      <c r="B960" s="22" t="s">
        <v>5936</v>
      </c>
      <c r="C960" s="22" t="s">
        <v>6171</v>
      </c>
      <c r="D960" s="25"/>
      <c r="E960" s="25"/>
      <c r="F960" s="22"/>
      <c r="G960" s="22" t="s">
        <v>82</v>
      </c>
      <c r="H960" s="26">
        <v>45997.0</v>
      </c>
      <c r="I960" s="22" t="s">
        <v>181</v>
      </c>
      <c r="J960" s="22" t="s">
        <v>319</v>
      </c>
      <c r="K960" s="22" t="s">
        <v>2203</v>
      </c>
      <c r="L960" s="35" t="s">
        <v>6173</v>
      </c>
    </row>
    <row r="961">
      <c r="A961" s="22" t="s">
        <v>2205</v>
      </c>
      <c r="B961" s="22" t="s">
        <v>6174</v>
      </c>
      <c r="C961" s="22" t="s">
        <v>6175</v>
      </c>
      <c r="D961" s="22" t="s">
        <v>124</v>
      </c>
      <c r="E961" s="22">
        <v>1.0</v>
      </c>
      <c r="F961" s="22"/>
      <c r="G961" s="22" t="s">
        <v>336</v>
      </c>
      <c r="H961" s="26">
        <v>45995.0</v>
      </c>
      <c r="I961" s="22" t="s">
        <v>192</v>
      </c>
      <c r="J961" s="22" t="s">
        <v>83</v>
      </c>
      <c r="K961" s="22" t="s">
        <v>126</v>
      </c>
      <c r="L961" s="35" t="s">
        <v>6176</v>
      </c>
      <c r="M961" s="32" t="s">
        <v>127</v>
      </c>
    </row>
    <row r="962">
      <c r="A962" s="22" t="s">
        <v>2208</v>
      </c>
      <c r="B962" s="22" t="s">
        <v>6177</v>
      </c>
      <c r="C962" s="22" t="s">
        <v>6178</v>
      </c>
      <c r="D962" s="22" t="s">
        <v>1175</v>
      </c>
      <c r="E962" s="22">
        <v>1.0</v>
      </c>
      <c r="F962" s="22"/>
      <c r="G962" s="22" t="s">
        <v>273</v>
      </c>
      <c r="H962" s="23">
        <v>45991.0</v>
      </c>
      <c r="I962" s="22" t="s">
        <v>219</v>
      </c>
      <c r="J962" s="22" t="s">
        <v>329</v>
      </c>
      <c r="K962" s="22" t="s">
        <v>1179</v>
      </c>
      <c r="L962" s="35" t="s">
        <v>6179</v>
      </c>
      <c r="M962" s="32" t="s">
        <v>127</v>
      </c>
    </row>
    <row r="963">
      <c r="A963" s="22" t="s">
        <v>2172</v>
      </c>
      <c r="B963" s="22" t="s">
        <v>6180</v>
      </c>
      <c r="C963" s="22" t="s">
        <v>6181</v>
      </c>
      <c r="D963" s="22" t="s">
        <v>172</v>
      </c>
      <c r="E963" s="22">
        <v>1.0</v>
      </c>
      <c r="F963" s="22"/>
      <c r="G963" s="22" t="s">
        <v>273</v>
      </c>
      <c r="H963" s="23">
        <v>45991.0</v>
      </c>
      <c r="I963" s="22" t="s">
        <v>153</v>
      </c>
      <c r="J963" s="22" t="s">
        <v>83</v>
      </c>
      <c r="K963" s="22" t="s">
        <v>174</v>
      </c>
      <c r="L963" s="35" t="s">
        <v>6182</v>
      </c>
      <c r="M963" s="32" t="s">
        <v>175</v>
      </c>
    </row>
    <row r="964">
      <c r="A964" s="22" t="s">
        <v>6183</v>
      </c>
      <c r="B964" s="22" t="s">
        <v>5711</v>
      </c>
      <c r="C964" s="22" t="s">
        <v>6184</v>
      </c>
      <c r="D964" s="22" t="s">
        <v>4044</v>
      </c>
      <c r="E964" s="22">
        <v>1.0</v>
      </c>
      <c r="F964" s="22"/>
      <c r="G964" s="22" t="s">
        <v>1284</v>
      </c>
      <c r="H964" s="26">
        <v>45993.0</v>
      </c>
      <c r="I964" s="22" t="s">
        <v>1400</v>
      </c>
      <c r="J964" s="22" t="s">
        <v>4045</v>
      </c>
      <c r="K964" s="22" t="s">
        <v>4046</v>
      </c>
      <c r="L964" s="35" t="s">
        <v>6185</v>
      </c>
      <c r="M964" s="32" t="s">
        <v>55</v>
      </c>
    </row>
    <row r="965">
      <c r="A965" s="22" t="s">
        <v>2173</v>
      </c>
      <c r="B965" s="22" t="s">
        <v>6186</v>
      </c>
      <c r="C965" s="22" t="s">
        <v>6187</v>
      </c>
      <c r="D965" s="22" t="s">
        <v>1085</v>
      </c>
      <c r="E965" s="22">
        <v>1.0</v>
      </c>
      <c r="F965" s="22"/>
      <c r="G965" s="22" t="s">
        <v>273</v>
      </c>
      <c r="H965" s="26">
        <v>45998.0</v>
      </c>
      <c r="I965" s="22" t="s">
        <v>149</v>
      </c>
      <c r="J965" s="22" t="s">
        <v>623</v>
      </c>
      <c r="K965" s="22" t="s">
        <v>1087</v>
      </c>
      <c r="L965" s="35" t="s">
        <v>6188</v>
      </c>
      <c r="M965" s="32" t="s">
        <v>127</v>
      </c>
    </row>
    <row r="966">
      <c r="A966" s="22" t="s">
        <v>2210</v>
      </c>
      <c r="B966" s="22" t="s">
        <v>4830</v>
      </c>
      <c r="C966" s="22" t="s">
        <v>6189</v>
      </c>
      <c r="D966" s="22" t="s">
        <v>696</v>
      </c>
      <c r="E966" s="22">
        <v>1.0</v>
      </c>
      <c r="F966" s="22"/>
      <c r="G966" s="22" t="s">
        <v>82</v>
      </c>
      <c r="H966" s="26">
        <v>45997.0</v>
      </c>
      <c r="I966" s="22" t="s">
        <v>439</v>
      </c>
      <c r="J966" s="22" t="s">
        <v>698</v>
      </c>
      <c r="K966" s="22" t="s">
        <v>701</v>
      </c>
      <c r="L966" s="35" t="s">
        <v>6190</v>
      </c>
      <c r="M966" s="32" t="s">
        <v>55</v>
      </c>
    </row>
    <row r="967">
      <c r="A967" s="22" t="s">
        <v>2215</v>
      </c>
      <c r="B967" s="22" t="s">
        <v>6191</v>
      </c>
      <c r="C967" s="22" t="s">
        <v>4732</v>
      </c>
      <c r="D967" s="22" t="s">
        <v>573</v>
      </c>
      <c r="E967" s="22">
        <v>1.0</v>
      </c>
      <c r="F967" s="22"/>
      <c r="G967" s="22" t="s">
        <v>273</v>
      </c>
      <c r="H967" s="26">
        <v>45998.0</v>
      </c>
      <c r="I967" s="22" t="s">
        <v>439</v>
      </c>
      <c r="J967" s="22" t="s">
        <v>440</v>
      </c>
      <c r="K967" s="22" t="s">
        <v>577</v>
      </c>
      <c r="L967" s="35" t="s">
        <v>6192</v>
      </c>
      <c r="M967" s="32" t="s">
        <v>55</v>
      </c>
    </row>
    <row r="968">
      <c r="A968" s="22" t="s">
        <v>2216</v>
      </c>
      <c r="B968" s="22" t="s">
        <v>6193</v>
      </c>
      <c r="C968" s="22" t="s">
        <v>6194</v>
      </c>
      <c r="D968" s="22" t="s">
        <v>1105</v>
      </c>
      <c r="E968" s="22">
        <v>1.0</v>
      </c>
      <c r="F968" s="22"/>
      <c r="G968" s="22" t="s">
        <v>273</v>
      </c>
      <c r="H968" s="23">
        <v>45991.0</v>
      </c>
      <c r="I968" s="22" t="s">
        <v>153</v>
      </c>
      <c r="J968" s="22" t="s">
        <v>329</v>
      </c>
      <c r="K968" s="22" t="s">
        <v>1107</v>
      </c>
      <c r="L968" s="35" t="s">
        <v>6195</v>
      </c>
      <c r="M968" s="32" t="s">
        <v>95</v>
      </c>
    </row>
    <row r="969">
      <c r="A969" s="22" t="s">
        <v>2217</v>
      </c>
      <c r="B969" s="22" t="s">
        <v>4081</v>
      </c>
      <c r="C969" s="22" t="s">
        <v>6196</v>
      </c>
      <c r="D969" s="22" t="s">
        <v>545</v>
      </c>
      <c r="E969" s="22">
        <v>1.0</v>
      </c>
      <c r="F969" s="22"/>
      <c r="G969" s="22" t="s">
        <v>273</v>
      </c>
      <c r="H969" s="23">
        <v>45991.0</v>
      </c>
      <c r="I969" s="22" t="s">
        <v>266</v>
      </c>
      <c r="J969" s="22" t="s">
        <v>356</v>
      </c>
      <c r="K969" s="22" t="s">
        <v>549</v>
      </c>
      <c r="L969" s="35" t="s">
        <v>6197</v>
      </c>
      <c r="M969" s="32" t="s">
        <v>55</v>
      </c>
    </row>
    <row r="970">
      <c r="A970" s="22" t="s">
        <v>2218</v>
      </c>
      <c r="B970" s="22" t="s">
        <v>3846</v>
      </c>
      <c r="C970" s="22" t="s">
        <v>6198</v>
      </c>
      <c r="D970" s="22" t="s">
        <v>1359</v>
      </c>
      <c r="E970" s="22">
        <v>1.0</v>
      </c>
      <c r="F970" s="22"/>
      <c r="G970" s="22" t="s">
        <v>82</v>
      </c>
      <c r="H970" s="26">
        <v>45997.0</v>
      </c>
      <c r="I970" s="22" t="s">
        <v>1073</v>
      </c>
      <c r="J970" s="22" t="s">
        <v>605</v>
      </c>
      <c r="K970" s="22" t="s">
        <v>1363</v>
      </c>
      <c r="L970" s="35" t="s">
        <v>6199</v>
      </c>
      <c r="M970" s="32" t="s">
        <v>175</v>
      </c>
    </row>
    <row r="971">
      <c r="A971" s="22" t="s">
        <v>188</v>
      </c>
      <c r="B971" s="22" t="s">
        <v>6200</v>
      </c>
      <c r="C971" s="22" t="s">
        <v>6201</v>
      </c>
      <c r="D971" s="22" t="s">
        <v>185</v>
      </c>
      <c r="E971" s="22">
        <v>1.0</v>
      </c>
      <c r="F971" s="22"/>
      <c r="G971" s="22" t="s">
        <v>82</v>
      </c>
      <c r="H971" s="23">
        <v>45990.0</v>
      </c>
      <c r="I971" s="22" t="s">
        <v>187</v>
      </c>
      <c r="J971" s="22" t="s">
        <v>111</v>
      </c>
      <c r="K971" s="22" t="s">
        <v>190</v>
      </c>
      <c r="L971" s="35" t="s">
        <v>6202</v>
      </c>
      <c r="M971" s="32" t="s">
        <v>95</v>
      </c>
    </row>
    <row r="972">
      <c r="A972" s="22" t="s">
        <v>2219</v>
      </c>
      <c r="B972" s="22" t="s">
        <v>4318</v>
      </c>
      <c r="C972" s="22" t="s">
        <v>6203</v>
      </c>
      <c r="D972" s="22" t="s">
        <v>80</v>
      </c>
      <c r="E972" s="22">
        <v>1.0</v>
      </c>
      <c r="F972" s="22"/>
      <c r="G972" s="22" t="s">
        <v>273</v>
      </c>
      <c r="H972" s="26">
        <v>45998.0</v>
      </c>
      <c r="I972" s="22" t="s">
        <v>134</v>
      </c>
      <c r="J972" s="22" t="s">
        <v>83</v>
      </c>
      <c r="K972" s="22" t="s">
        <v>86</v>
      </c>
      <c r="L972" s="35" t="s">
        <v>6204</v>
      </c>
      <c r="M972" s="32" t="s">
        <v>91</v>
      </c>
    </row>
    <row r="973">
      <c r="A973" s="22" t="s">
        <v>2220</v>
      </c>
      <c r="B973" s="22" t="s">
        <v>4907</v>
      </c>
      <c r="C973" s="22" t="s">
        <v>6205</v>
      </c>
      <c r="D973" s="22" t="s">
        <v>300</v>
      </c>
      <c r="E973" s="22">
        <v>1.0</v>
      </c>
      <c r="F973" s="22"/>
      <c r="G973" s="22" t="s">
        <v>82</v>
      </c>
      <c r="H973" s="26">
        <v>45997.0</v>
      </c>
      <c r="I973" s="22" t="s">
        <v>134</v>
      </c>
      <c r="J973" s="22" t="s">
        <v>303</v>
      </c>
      <c r="K973" s="22" t="s">
        <v>306</v>
      </c>
      <c r="L973" s="35" t="s">
        <v>6206</v>
      </c>
      <c r="M973" s="32" t="s">
        <v>55</v>
      </c>
    </row>
    <row r="974">
      <c r="A974" s="22" t="s">
        <v>6207</v>
      </c>
      <c r="B974" s="22" t="s">
        <v>6208</v>
      </c>
      <c r="C974" s="22" t="s">
        <v>6209</v>
      </c>
      <c r="D974" s="22" t="s">
        <v>4521</v>
      </c>
      <c r="E974" s="22">
        <v>1.0</v>
      </c>
      <c r="F974" s="22"/>
      <c r="G974" s="22" t="s">
        <v>294</v>
      </c>
      <c r="H974" s="26">
        <v>45992.0</v>
      </c>
      <c r="I974" s="22" t="s">
        <v>266</v>
      </c>
      <c r="J974" s="22" t="s">
        <v>4399</v>
      </c>
      <c r="K974" s="22" t="s">
        <v>4522</v>
      </c>
      <c r="L974" s="35" t="s">
        <v>6210</v>
      </c>
      <c r="M974" s="32" t="s">
        <v>54</v>
      </c>
    </row>
    <row r="975">
      <c r="A975" s="22" t="s">
        <v>2221</v>
      </c>
      <c r="B975" s="22" t="s">
        <v>6211</v>
      </c>
      <c r="C975" s="22" t="s">
        <v>6212</v>
      </c>
      <c r="D975" s="22" t="s">
        <v>124</v>
      </c>
      <c r="E975" s="22">
        <v>1.0</v>
      </c>
      <c r="F975" s="22"/>
      <c r="G975" s="22" t="s">
        <v>82</v>
      </c>
      <c r="H975" s="26">
        <v>45997.0</v>
      </c>
      <c r="I975" s="22" t="s">
        <v>149</v>
      </c>
      <c r="J975" s="22" t="s">
        <v>83</v>
      </c>
      <c r="K975" s="22" t="s">
        <v>126</v>
      </c>
      <c r="L975" s="35" t="s">
        <v>6213</v>
      </c>
      <c r="M975" s="32" t="s">
        <v>127</v>
      </c>
    </row>
    <row r="976">
      <c r="A976" s="22" t="s">
        <v>2222</v>
      </c>
      <c r="B976" s="22" t="s">
        <v>6214</v>
      </c>
      <c r="C976" s="22" t="s">
        <v>4707</v>
      </c>
      <c r="D976" s="22" t="s">
        <v>859</v>
      </c>
      <c r="E976" s="22">
        <v>1.0</v>
      </c>
      <c r="F976" s="22"/>
      <c r="G976" s="22" t="s">
        <v>82</v>
      </c>
      <c r="H976" s="26">
        <v>45997.0</v>
      </c>
      <c r="I976" s="22" t="s">
        <v>181</v>
      </c>
      <c r="J976" s="22" t="s">
        <v>605</v>
      </c>
      <c r="K976" s="22" t="s">
        <v>861</v>
      </c>
      <c r="L976" s="35" t="s">
        <v>6215</v>
      </c>
      <c r="M976" s="32" t="s">
        <v>95</v>
      </c>
    </row>
    <row r="977">
      <c r="A977" s="22" t="s">
        <v>2223</v>
      </c>
      <c r="B977" s="22" t="s">
        <v>5409</v>
      </c>
      <c r="C977" s="22" t="s">
        <v>6216</v>
      </c>
      <c r="D977" s="22" t="s">
        <v>470</v>
      </c>
      <c r="E977" s="22">
        <v>1.0</v>
      </c>
      <c r="F977" s="22"/>
      <c r="G977" s="22" t="s">
        <v>273</v>
      </c>
      <c r="H977" s="26">
        <v>45998.0</v>
      </c>
      <c r="I977" s="22" t="s">
        <v>134</v>
      </c>
      <c r="J977" s="22" t="s">
        <v>472</v>
      </c>
      <c r="K977" s="22" t="s">
        <v>475</v>
      </c>
      <c r="L977" s="35" t="s">
        <v>6217</v>
      </c>
      <c r="M977" s="32" t="s">
        <v>91</v>
      </c>
    </row>
    <row r="978">
      <c r="A978" s="22" t="s">
        <v>2225</v>
      </c>
      <c r="B978" s="22" t="s">
        <v>4638</v>
      </c>
      <c r="C978" s="22" t="s">
        <v>6218</v>
      </c>
      <c r="D978" s="22" t="s">
        <v>488</v>
      </c>
      <c r="E978" s="22">
        <v>1.0</v>
      </c>
      <c r="F978" s="22"/>
      <c r="G978" s="22" t="s">
        <v>202</v>
      </c>
      <c r="H978" s="23">
        <v>46003.0</v>
      </c>
      <c r="I978" s="22" t="s">
        <v>522</v>
      </c>
      <c r="J978" s="22" t="s">
        <v>311</v>
      </c>
      <c r="K978" s="22" t="s">
        <v>492</v>
      </c>
      <c r="L978" s="35" t="s">
        <v>6219</v>
      </c>
      <c r="M978" s="32" t="s">
        <v>95</v>
      </c>
    </row>
    <row r="979">
      <c r="A979" s="22" t="s">
        <v>2228</v>
      </c>
      <c r="B979" s="22" t="s">
        <v>5760</v>
      </c>
      <c r="C979" s="22" t="s">
        <v>6220</v>
      </c>
      <c r="D979" s="22" t="s">
        <v>1105</v>
      </c>
      <c r="E979" s="22">
        <v>1.0</v>
      </c>
      <c r="F979" s="22"/>
      <c r="G979" s="22" t="s">
        <v>273</v>
      </c>
      <c r="H979" s="23">
        <v>45991.0</v>
      </c>
      <c r="I979" s="22" t="s">
        <v>230</v>
      </c>
      <c r="J979" s="22" t="s">
        <v>329</v>
      </c>
      <c r="K979" s="22" t="s">
        <v>1107</v>
      </c>
      <c r="L979" s="35" t="s">
        <v>6221</v>
      </c>
      <c r="M979" s="32" t="s">
        <v>95</v>
      </c>
    </row>
    <row r="980">
      <c r="A980" s="22" t="s">
        <v>2231</v>
      </c>
      <c r="B980" s="22" t="s">
        <v>6222</v>
      </c>
      <c r="C980" s="22" t="s">
        <v>6223</v>
      </c>
      <c r="D980" s="22" t="s">
        <v>124</v>
      </c>
      <c r="E980" s="22">
        <v>1.0</v>
      </c>
      <c r="F980" s="22"/>
      <c r="G980" s="22" t="s">
        <v>273</v>
      </c>
      <c r="H980" s="26">
        <v>45998.0</v>
      </c>
      <c r="I980" s="22" t="s">
        <v>192</v>
      </c>
      <c r="J980" s="22" t="s">
        <v>83</v>
      </c>
      <c r="K980" s="22" t="s">
        <v>126</v>
      </c>
      <c r="L980" s="35" t="s">
        <v>6224</v>
      </c>
      <c r="M980" s="32" t="s">
        <v>127</v>
      </c>
    </row>
    <row r="981">
      <c r="A981" s="22" t="s">
        <v>2233</v>
      </c>
      <c r="B981" s="22" t="s">
        <v>4111</v>
      </c>
      <c r="C981" s="22" t="s">
        <v>6225</v>
      </c>
      <c r="D981" s="22" t="s">
        <v>2181</v>
      </c>
      <c r="E981" s="22">
        <v>1.0</v>
      </c>
      <c r="F981" s="22"/>
      <c r="G981" s="22" t="s">
        <v>82</v>
      </c>
      <c r="H981" s="26">
        <v>45997.0</v>
      </c>
      <c r="I981" s="22" t="s">
        <v>134</v>
      </c>
      <c r="J981" s="22" t="s">
        <v>303</v>
      </c>
      <c r="K981" s="22" t="s">
        <v>2183</v>
      </c>
      <c r="L981" s="35" t="s">
        <v>6226</v>
      </c>
      <c r="M981" s="32" t="s">
        <v>127</v>
      </c>
    </row>
    <row r="982">
      <c r="A982" s="22" t="s">
        <v>2234</v>
      </c>
      <c r="B982" s="22" t="s">
        <v>6227</v>
      </c>
      <c r="C982" s="22" t="s">
        <v>6228</v>
      </c>
      <c r="D982" s="22" t="s">
        <v>300</v>
      </c>
      <c r="E982" s="22">
        <v>1.0</v>
      </c>
      <c r="F982" s="22"/>
      <c r="G982" s="22" t="s">
        <v>82</v>
      </c>
      <c r="H982" s="26">
        <v>45997.0</v>
      </c>
      <c r="I982" s="22" t="s">
        <v>134</v>
      </c>
      <c r="J982" s="22" t="s">
        <v>303</v>
      </c>
      <c r="K982" s="22" t="s">
        <v>306</v>
      </c>
      <c r="L982" s="35" t="s">
        <v>6229</v>
      </c>
      <c r="M982" s="32" t="s">
        <v>55</v>
      </c>
    </row>
    <row r="983">
      <c r="A983" s="22" t="s">
        <v>2211</v>
      </c>
      <c r="B983" s="22" t="s">
        <v>6230</v>
      </c>
      <c r="C983" s="22" t="s">
        <v>6231</v>
      </c>
      <c r="D983" s="22" t="s">
        <v>108</v>
      </c>
      <c r="E983" s="22">
        <v>1.0</v>
      </c>
      <c r="F983" s="22"/>
      <c r="G983" s="22" t="s">
        <v>273</v>
      </c>
      <c r="H983" s="26">
        <v>45998.0</v>
      </c>
      <c r="I983" s="22" t="s">
        <v>211</v>
      </c>
      <c r="J983" s="22" t="s">
        <v>111</v>
      </c>
      <c r="K983" s="22" t="s">
        <v>114</v>
      </c>
      <c r="L983" s="35" t="s">
        <v>6232</v>
      </c>
      <c r="M983" s="32" t="s">
        <v>54</v>
      </c>
    </row>
    <row r="984">
      <c r="A984" s="22" t="s">
        <v>6233</v>
      </c>
      <c r="B984" s="22" t="s">
        <v>4412</v>
      </c>
      <c r="C984" s="22" t="s">
        <v>6234</v>
      </c>
      <c r="D984" s="22" t="s">
        <v>4398</v>
      </c>
      <c r="E984" s="22">
        <v>1.0</v>
      </c>
      <c r="F984" s="22"/>
      <c r="G984" s="22" t="s">
        <v>294</v>
      </c>
      <c r="H984" s="26">
        <v>45999.0</v>
      </c>
      <c r="I984" s="22" t="s">
        <v>266</v>
      </c>
      <c r="J984" s="22" t="s">
        <v>4399</v>
      </c>
      <c r="K984" s="22" t="s">
        <v>4400</v>
      </c>
      <c r="L984" s="35" t="s">
        <v>6235</v>
      </c>
      <c r="M984" s="32" t="s">
        <v>55</v>
      </c>
    </row>
    <row r="985">
      <c r="A985" s="22" t="s">
        <v>2213</v>
      </c>
      <c r="B985" s="22" t="s">
        <v>6236</v>
      </c>
      <c r="C985" s="22" t="s">
        <v>6237</v>
      </c>
      <c r="D985" s="22" t="s">
        <v>859</v>
      </c>
      <c r="E985" s="22">
        <v>1.0</v>
      </c>
      <c r="F985" s="22"/>
      <c r="G985" s="22" t="s">
        <v>82</v>
      </c>
      <c r="H985" s="26">
        <v>45997.0</v>
      </c>
      <c r="I985" s="22" t="s">
        <v>181</v>
      </c>
      <c r="J985" s="22" t="s">
        <v>605</v>
      </c>
      <c r="K985" s="22" t="s">
        <v>861</v>
      </c>
      <c r="L985" s="35" t="s">
        <v>6238</v>
      </c>
      <c r="M985" s="32" t="s">
        <v>95</v>
      </c>
    </row>
    <row r="986">
      <c r="A986" s="22" t="s">
        <v>2235</v>
      </c>
      <c r="B986" s="22" t="s">
        <v>6239</v>
      </c>
      <c r="C986" s="22" t="s">
        <v>6240</v>
      </c>
      <c r="D986" s="22" t="s">
        <v>845</v>
      </c>
      <c r="E986" s="22">
        <v>1.0</v>
      </c>
      <c r="F986" s="22"/>
      <c r="G986" s="22" t="s">
        <v>82</v>
      </c>
      <c r="H986" s="26">
        <v>45997.0</v>
      </c>
      <c r="I986" s="22" t="s">
        <v>134</v>
      </c>
      <c r="J986" s="22" t="s">
        <v>451</v>
      </c>
      <c r="K986" s="22" t="s">
        <v>847</v>
      </c>
      <c r="L986" s="35" t="s">
        <v>6241</v>
      </c>
      <c r="M986" s="32" t="s">
        <v>55</v>
      </c>
    </row>
    <row r="987">
      <c r="A987" s="22" t="s">
        <v>2236</v>
      </c>
      <c r="B987" s="22" t="s">
        <v>4334</v>
      </c>
      <c r="C987" s="22" t="s">
        <v>6242</v>
      </c>
      <c r="D987" s="22" t="s">
        <v>550</v>
      </c>
      <c r="E987" s="22">
        <v>1.0</v>
      </c>
      <c r="F987" s="22"/>
      <c r="G987" s="22" t="s">
        <v>82</v>
      </c>
      <c r="H987" s="23">
        <v>46004.0</v>
      </c>
      <c r="I987" s="22" t="s">
        <v>248</v>
      </c>
      <c r="J987" s="22" t="s">
        <v>377</v>
      </c>
      <c r="K987" s="22" t="s">
        <v>552</v>
      </c>
      <c r="L987" s="35" t="s">
        <v>6243</v>
      </c>
      <c r="M987" s="32" t="s">
        <v>95</v>
      </c>
    </row>
    <row r="988">
      <c r="A988" s="22" t="s">
        <v>2238</v>
      </c>
      <c r="B988" s="22" t="s">
        <v>4289</v>
      </c>
      <c r="C988" s="22" t="s">
        <v>6244</v>
      </c>
      <c r="D988" s="22" t="s">
        <v>1200</v>
      </c>
      <c r="E988" s="22">
        <v>1.0</v>
      </c>
      <c r="F988" s="22"/>
      <c r="G988" s="22" t="s">
        <v>82</v>
      </c>
      <c r="H988" s="26">
        <v>45997.0</v>
      </c>
      <c r="I988" s="22" t="s">
        <v>439</v>
      </c>
      <c r="J988" s="22" t="s">
        <v>278</v>
      </c>
      <c r="K988" s="22" t="s">
        <v>1203</v>
      </c>
      <c r="L988" s="35" t="s">
        <v>6245</v>
      </c>
      <c r="M988" s="32" t="s">
        <v>91</v>
      </c>
    </row>
    <row r="989">
      <c r="A989" s="22" t="s">
        <v>2241</v>
      </c>
      <c r="B989" s="22" t="s">
        <v>3793</v>
      </c>
      <c r="C989" s="22" t="s">
        <v>6246</v>
      </c>
      <c r="D989" s="22" t="s">
        <v>632</v>
      </c>
      <c r="E989" s="22">
        <v>1.0</v>
      </c>
      <c r="F989" s="22"/>
      <c r="G989" s="22" t="s">
        <v>82</v>
      </c>
      <c r="H989" s="23">
        <v>46004.0</v>
      </c>
      <c r="I989" s="22" t="s">
        <v>970</v>
      </c>
      <c r="J989" s="22" t="s">
        <v>634</v>
      </c>
      <c r="K989" s="22" t="s">
        <v>637</v>
      </c>
      <c r="L989" s="35" t="s">
        <v>6247</v>
      </c>
      <c r="M989" s="32" t="s">
        <v>91</v>
      </c>
    </row>
    <row r="990">
      <c r="A990" s="22" t="s">
        <v>193</v>
      </c>
      <c r="B990" s="22" t="s">
        <v>6248</v>
      </c>
      <c r="C990" s="22" t="s">
        <v>6249</v>
      </c>
      <c r="D990" s="22" t="s">
        <v>96</v>
      </c>
      <c r="E990" s="22">
        <v>1.0</v>
      </c>
      <c r="F990" s="22"/>
      <c r="G990" s="22" t="s">
        <v>82</v>
      </c>
      <c r="H990" s="23">
        <v>45990.0</v>
      </c>
      <c r="I990" s="22" t="s">
        <v>192</v>
      </c>
      <c r="J990" s="22" t="s">
        <v>83</v>
      </c>
      <c r="K990" s="22" t="s">
        <v>98</v>
      </c>
      <c r="L990" s="35" t="s">
        <v>6250</v>
      </c>
      <c r="M990" s="32" t="s">
        <v>55</v>
      </c>
    </row>
    <row r="991">
      <c r="A991" s="22" t="s">
        <v>2249</v>
      </c>
      <c r="B991" s="22" t="s">
        <v>6251</v>
      </c>
      <c r="C991" s="22" t="s">
        <v>3935</v>
      </c>
      <c r="D991" s="22" t="s">
        <v>640</v>
      </c>
      <c r="E991" s="22">
        <v>1.0</v>
      </c>
      <c r="F991" s="22"/>
      <c r="G991" s="22" t="s">
        <v>273</v>
      </c>
      <c r="H991" s="23">
        <v>45991.0</v>
      </c>
      <c r="I991" s="22" t="s">
        <v>248</v>
      </c>
      <c r="J991" s="22" t="s">
        <v>356</v>
      </c>
      <c r="K991" s="22" t="s">
        <v>642</v>
      </c>
      <c r="L991" s="35" t="s">
        <v>6252</v>
      </c>
      <c r="M991" s="32" t="s">
        <v>95</v>
      </c>
    </row>
    <row r="992">
      <c r="A992" s="22" t="s">
        <v>2252</v>
      </c>
      <c r="B992" s="22" t="s">
        <v>3805</v>
      </c>
      <c r="C992" s="22" t="s">
        <v>6253</v>
      </c>
      <c r="D992" s="22" t="s">
        <v>96</v>
      </c>
      <c r="E992" s="22">
        <v>1.0</v>
      </c>
      <c r="F992" s="22"/>
      <c r="G992" s="22" t="s">
        <v>273</v>
      </c>
      <c r="H992" s="23">
        <v>45991.0</v>
      </c>
      <c r="I992" s="22" t="s">
        <v>192</v>
      </c>
      <c r="J992" s="22" t="s">
        <v>83</v>
      </c>
      <c r="K992" s="22" t="s">
        <v>98</v>
      </c>
      <c r="L992" s="35" t="s">
        <v>6254</v>
      </c>
      <c r="M992" s="32" t="s">
        <v>55</v>
      </c>
    </row>
    <row r="993">
      <c r="A993" s="22" t="s">
        <v>2254</v>
      </c>
      <c r="B993" s="22" t="s">
        <v>6255</v>
      </c>
      <c r="C993" s="22" t="s">
        <v>6256</v>
      </c>
      <c r="D993" s="22" t="s">
        <v>458</v>
      </c>
      <c r="E993" s="22">
        <v>1.0</v>
      </c>
      <c r="F993" s="22"/>
      <c r="G993" s="22" t="s">
        <v>82</v>
      </c>
      <c r="H993" s="26">
        <v>45997.0</v>
      </c>
      <c r="I993" s="22" t="s">
        <v>211</v>
      </c>
      <c r="J993" s="22" t="s">
        <v>341</v>
      </c>
      <c r="K993" s="22" t="s">
        <v>462</v>
      </c>
      <c r="L993" s="35" t="s">
        <v>6257</v>
      </c>
      <c r="M993" s="32" t="s">
        <v>91</v>
      </c>
    </row>
    <row r="994">
      <c r="A994" s="22" t="s">
        <v>2255</v>
      </c>
      <c r="B994" s="22" t="s">
        <v>4717</v>
      </c>
      <c r="C994" s="22" t="s">
        <v>6258</v>
      </c>
      <c r="D994" s="22" t="s">
        <v>408</v>
      </c>
      <c r="E994" s="22">
        <v>1.0</v>
      </c>
      <c r="F994" s="22"/>
      <c r="G994" s="22" t="s">
        <v>82</v>
      </c>
      <c r="H994" s="26">
        <v>45997.0</v>
      </c>
      <c r="I994" s="22" t="s">
        <v>266</v>
      </c>
      <c r="J994" s="22" t="s">
        <v>377</v>
      </c>
      <c r="K994" s="22" t="s">
        <v>412</v>
      </c>
      <c r="L994" s="35" t="s">
        <v>6259</v>
      </c>
      <c r="M994" s="32" t="s">
        <v>127</v>
      </c>
    </row>
    <row r="995">
      <c r="A995" s="22" t="s">
        <v>2256</v>
      </c>
      <c r="B995" s="22" t="s">
        <v>6102</v>
      </c>
      <c r="C995" s="22" t="s">
        <v>6260</v>
      </c>
      <c r="D995" s="22" t="s">
        <v>276</v>
      </c>
      <c r="E995" s="22">
        <v>1.0</v>
      </c>
      <c r="F995" s="22"/>
      <c r="G995" s="22" t="s">
        <v>82</v>
      </c>
      <c r="H995" s="26">
        <v>45997.0</v>
      </c>
      <c r="I995" s="22" t="s">
        <v>187</v>
      </c>
      <c r="J995" s="22" t="s">
        <v>278</v>
      </c>
      <c r="K995" s="22" t="s">
        <v>281</v>
      </c>
      <c r="L995" s="35" t="s">
        <v>6261</v>
      </c>
      <c r="M995" s="32" t="s">
        <v>55</v>
      </c>
    </row>
    <row r="996">
      <c r="A996" s="22" t="s">
        <v>2258</v>
      </c>
      <c r="B996" s="22" t="s">
        <v>3674</v>
      </c>
      <c r="C996" s="22" t="s">
        <v>6262</v>
      </c>
      <c r="D996" s="22" t="s">
        <v>643</v>
      </c>
      <c r="E996" s="22">
        <v>1.0</v>
      </c>
      <c r="F996" s="22"/>
      <c r="G996" s="22" t="s">
        <v>82</v>
      </c>
      <c r="H996" s="26">
        <v>45997.0</v>
      </c>
      <c r="I996" s="22" t="s">
        <v>934</v>
      </c>
      <c r="J996" s="22" t="s">
        <v>634</v>
      </c>
      <c r="K996" s="22" t="s">
        <v>647</v>
      </c>
      <c r="L996" s="35" t="s">
        <v>6263</v>
      </c>
      <c r="M996" s="32" t="s">
        <v>54</v>
      </c>
    </row>
    <row r="997">
      <c r="A997" s="22" t="s">
        <v>2260</v>
      </c>
      <c r="B997" s="22" t="s">
        <v>4228</v>
      </c>
      <c r="C997" s="22" t="s">
        <v>5439</v>
      </c>
      <c r="D997" s="22" t="s">
        <v>96</v>
      </c>
      <c r="E997" s="22">
        <v>1.0</v>
      </c>
      <c r="F997" s="22"/>
      <c r="G997" s="22" t="s">
        <v>273</v>
      </c>
      <c r="H997" s="26">
        <v>45998.0</v>
      </c>
      <c r="I997" s="22" t="s">
        <v>196</v>
      </c>
      <c r="J997" s="22" t="s">
        <v>83</v>
      </c>
      <c r="K997" s="22" t="s">
        <v>98</v>
      </c>
      <c r="L997" s="35" t="s">
        <v>6264</v>
      </c>
      <c r="M997" s="32" t="s">
        <v>55</v>
      </c>
    </row>
    <row r="998">
      <c r="A998" s="22" t="s">
        <v>2261</v>
      </c>
      <c r="B998" s="22" t="s">
        <v>6265</v>
      </c>
      <c r="C998" s="22" t="s">
        <v>6266</v>
      </c>
      <c r="D998" s="22" t="s">
        <v>515</v>
      </c>
      <c r="E998" s="22">
        <v>1.0</v>
      </c>
      <c r="F998" s="22"/>
      <c r="G998" s="22" t="s">
        <v>273</v>
      </c>
      <c r="H998" s="26">
        <v>45998.0</v>
      </c>
      <c r="I998" s="22" t="s">
        <v>181</v>
      </c>
      <c r="J998" s="22" t="s">
        <v>472</v>
      </c>
      <c r="K998" s="22" t="s">
        <v>519</v>
      </c>
      <c r="L998" s="35" t="s">
        <v>6267</v>
      </c>
      <c r="M998" s="32" t="s">
        <v>55</v>
      </c>
    </row>
    <row r="999">
      <c r="A999" s="22" t="s">
        <v>2262</v>
      </c>
      <c r="B999" s="22" t="s">
        <v>6268</v>
      </c>
      <c r="C999" s="22" t="s">
        <v>6269</v>
      </c>
      <c r="D999" s="22" t="s">
        <v>1175</v>
      </c>
      <c r="E999" s="22">
        <v>1.0</v>
      </c>
      <c r="F999" s="22"/>
      <c r="G999" s="22" t="s">
        <v>273</v>
      </c>
      <c r="H999" s="23">
        <v>45991.0</v>
      </c>
      <c r="I999" s="22" t="s">
        <v>134</v>
      </c>
      <c r="J999" s="22" t="s">
        <v>329</v>
      </c>
      <c r="K999" s="22" t="s">
        <v>1179</v>
      </c>
      <c r="L999" s="35" t="s">
        <v>6270</v>
      </c>
      <c r="M999" s="32" t="s">
        <v>127</v>
      </c>
    </row>
    <row r="1000">
      <c r="A1000" s="22" t="s">
        <v>2263</v>
      </c>
      <c r="B1000" s="22" t="s">
        <v>6036</v>
      </c>
      <c r="C1000" s="22" t="s">
        <v>6028</v>
      </c>
      <c r="D1000" s="22" t="s">
        <v>950</v>
      </c>
      <c r="E1000" s="22">
        <v>1.0</v>
      </c>
      <c r="F1000" s="22"/>
      <c r="G1000" s="22" t="s">
        <v>82</v>
      </c>
      <c r="H1000" s="26">
        <v>45997.0</v>
      </c>
      <c r="I1000" s="22" t="s">
        <v>187</v>
      </c>
      <c r="J1000" s="22" t="s">
        <v>698</v>
      </c>
      <c r="K1000" s="22" t="s">
        <v>952</v>
      </c>
      <c r="L1000" s="35" t="s">
        <v>6271</v>
      </c>
      <c r="M1000" s="32" t="s">
        <v>54</v>
      </c>
    </row>
    <row r="1001">
      <c r="A1001" s="22" t="s">
        <v>2264</v>
      </c>
      <c r="B1001" s="22" t="s">
        <v>3866</v>
      </c>
      <c r="C1001" s="22" t="s">
        <v>6272</v>
      </c>
      <c r="D1001" s="22" t="s">
        <v>592</v>
      </c>
      <c r="E1001" s="22">
        <v>1.0</v>
      </c>
      <c r="F1001" s="22"/>
      <c r="G1001" s="22" t="s">
        <v>336</v>
      </c>
      <c r="H1001" s="23">
        <v>46002.0</v>
      </c>
      <c r="I1001" s="22" t="s">
        <v>134</v>
      </c>
      <c r="J1001" s="22" t="s">
        <v>311</v>
      </c>
      <c r="K1001" s="22" t="s">
        <v>594</v>
      </c>
      <c r="L1001" s="35" t="s">
        <v>6273</v>
      </c>
      <c r="M1001" s="32" t="s">
        <v>54</v>
      </c>
    </row>
    <row r="1002">
      <c r="A1002" s="22" t="s">
        <v>2267</v>
      </c>
      <c r="B1002" s="22" t="s">
        <v>6274</v>
      </c>
      <c r="C1002" s="22" t="s">
        <v>6275</v>
      </c>
      <c r="D1002" s="22" t="s">
        <v>602</v>
      </c>
      <c r="E1002" s="22">
        <v>1.0</v>
      </c>
      <c r="F1002" s="22"/>
      <c r="G1002" s="22" t="s">
        <v>82</v>
      </c>
      <c r="H1002" s="26">
        <v>45997.0</v>
      </c>
      <c r="I1002" s="22" t="s">
        <v>2266</v>
      </c>
      <c r="J1002" s="22" t="s">
        <v>605</v>
      </c>
      <c r="K1002" s="22" t="s">
        <v>608</v>
      </c>
      <c r="L1002" s="35" t="s">
        <v>6276</v>
      </c>
      <c r="M1002" s="32" t="s">
        <v>54</v>
      </c>
    </row>
    <row r="1003">
      <c r="A1003" s="22" t="s">
        <v>2269</v>
      </c>
      <c r="B1003" s="22" t="s">
        <v>3906</v>
      </c>
      <c r="C1003" s="22" t="s">
        <v>4603</v>
      </c>
      <c r="D1003" s="22" t="s">
        <v>166</v>
      </c>
      <c r="E1003" s="22">
        <v>1.0</v>
      </c>
      <c r="F1003" s="22"/>
      <c r="G1003" s="22" t="s">
        <v>273</v>
      </c>
      <c r="H1003" s="26">
        <v>45998.0</v>
      </c>
      <c r="I1003" s="22" t="s">
        <v>211</v>
      </c>
      <c r="J1003" s="22" t="s">
        <v>111</v>
      </c>
      <c r="K1003" s="22" t="s">
        <v>171</v>
      </c>
      <c r="L1003" s="35" t="s">
        <v>6277</v>
      </c>
      <c r="M1003" s="32" t="s">
        <v>55</v>
      </c>
    </row>
    <row r="1004">
      <c r="A1004" s="22" t="s">
        <v>2270</v>
      </c>
      <c r="B1004" s="22" t="s">
        <v>6278</v>
      </c>
      <c r="C1004" s="22" t="s">
        <v>2</v>
      </c>
      <c r="D1004" s="22" t="s">
        <v>1370</v>
      </c>
      <c r="E1004" s="22">
        <v>1.0</v>
      </c>
      <c r="F1004" s="22"/>
      <c r="G1004" s="22" t="s">
        <v>273</v>
      </c>
      <c r="H1004" s="23">
        <v>45991.0</v>
      </c>
      <c r="I1004" s="22" t="s">
        <v>134</v>
      </c>
      <c r="J1004" s="22" t="s">
        <v>329</v>
      </c>
      <c r="K1004" s="22" t="s">
        <v>1372</v>
      </c>
      <c r="L1004" s="35" t="s">
        <v>6279</v>
      </c>
      <c r="M1004" s="32" t="s">
        <v>91</v>
      </c>
    </row>
    <row r="1005">
      <c r="A1005" s="22" t="s">
        <v>2271</v>
      </c>
      <c r="B1005" s="22" t="s">
        <v>4019</v>
      </c>
      <c r="C1005" s="22" t="s">
        <v>6280</v>
      </c>
      <c r="D1005" s="22" t="s">
        <v>550</v>
      </c>
      <c r="E1005" s="22">
        <v>1.0</v>
      </c>
      <c r="F1005" s="22"/>
      <c r="G1005" s="22" t="s">
        <v>82</v>
      </c>
      <c r="H1005" s="26">
        <v>45997.0</v>
      </c>
      <c r="I1005" s="22" t="s">
        <v>153</v>
      </c>
      <c r="J1005" s="22" t="s">
        <v>377</v>
      </c>
      <c r="K1005" s="22" t="s">
        <v>552</v>
      </c>
      <c r="L1005" s="35" t="s">
        <v>6281</v>
      </c>
      <c r="M1005" s="32" t="s">
        <v>95</v>
      </c>
    </row>
    <row r="1006">
      <c r="A1006" s="22" t="s">
        <v>2273</v>
      </c>
      <c r="B1006" s="22" t="s">
        <v>6282</v>
      </c>
      <c r="C1006" s="22" t="s">
        <v>6283</v>
      </c>
      <c r="D1006" s="22" t="s">
        <v>141</v>
      </c>
      <c r="E1006" s="22">
        <v>1.0</v>
      </c>
      <c r="F1006" s="22"/>
      <c r="G1006" s="22" t="s">
        <v>294</v>
      </c>
      <c r="H1006" s="26">
        <v>45992.0</v>
      </c>
      <c r="I1006" s="22" t="s">
        <v>266</v>
      </c>
      <c r="J1006" s="22" t="s">
        <v>83</v>
      </c>
      <c r="K1006" s="22" t="s">
        <v>143</v>
      </c>
      <c r="L1006" s="35" t="s">
        <v>6284</v>
      </c>
      <c r="M1006" s="32" t="s">
        <v>54</v>
      </c>
    </row>
    <row r="1007">
      <c r="A1007" s="22" t="s">
        <v>2275</v>
      </c>
      <c r="B1007" s="22" t="s">
        <v>4424</v>
      </c>
      <c r="C1007" s="22" t="s">
        <v>3927</v>
      </c>
      <c r="D1007" s="22" t="s">
        <v>709</v>
      </c>
      <c r="E1007" s="22">
        <v>1.0</v>
      </c>
      <c r="F1007" s="22"/>
      <c r="G1007" s="22" t="s">
        <v>82</v>
      </c>
      <c r="H1007" s="26">
        <v>45997.0</v>
      </c>
      <c r="I1007" s="22" t="s">
        <v>266</v>
      </c>
      <c r="J1007" s="22" t="s">
        <v>311</v>
      </c>
      <c r="K1007" s="22" t="s">
        <v>713</v>
      </c>
      <c r="L1007" s="35" t="s">
        <v>6285</v>
      </c>
      <c r="M1007" s="32" t="s">
        <v>91</v>
      </c>
    </row>
    <row r="1008">
      <c r="A1008" s="22" t="s">
        <v>2276</v>
      </c>
      <c r="B1008" s="22" t="s">
        <v>3901</v>
      </c>
      <c r="C1008" s="22" t="s">
        <v>6286</v>
      </c>
      <c r="D1008" s="22" t="s">
        <v>1269</v>
      </c>
      <c r="E1008" s="22">
        <v>1.0</v>
      </c>
      <c r="F1008" s="22"/>
      <c r="G1008" s="22" t="s">
        <v>273</v>
      </c>
      <c r="H1008" s="23">
        <v>45991.0</v>
      </c>
      <c r="I1008" s="22" t="s">
        <v>149</v>
      </c>
      <c r="J1008" s="22" t="s">
        <v>356</v>
      </c>
      <c r="K1008" s="22" t="s">
        <v>1271</v>
      </c>
      <c r="L1008" s="35" t="s">
        <v>6287</v>
      </c>
      <c r="M1008" s="32" t="s">
        <v>105</v>
      </c>
    </row>
    <row r="1009">
      <c r="A1009" s="22" t="s">
        <v>2301</v>
      </c>
      <c r="B1009" s="22" t="s">
        <v>6288</v>
      </c>
      <c r="C1009" s="22" t="s">
        <v>6289</v>
      </c>
      <c r="D1009" s="22" t="s">
        <v>924</v>
      </c>
      <c r="E1009" s="22">
        <v>1.0</v>
      </c>
      <c r="F1009" s="22"/>
      <c r="G1009" s="22" t="s">
        <v>82</v>
      </c>
      <c r="H1009" s="26">
        <v>45997.0</v>
      </c>
      <c r="I1009" s="22" t="s">
        <v>2155</v>
      </c>
      <c r="J1009" s="22" t="s">
        <v>623</v>
      </c>
      <c r="K1009" s="22" t="s">
        <v>926</v>
      </c>
      <c r="L1009" s="35" t="s">
        <v>6290</v>
      </c>
      <c r="M1009" s="32" t="s">
        <v>55</v>
      </c>
    </row>
    <row r="1010">
      <c r="A1010" s="22" t="s">
        <v>2303</v>
      </c>
      <c r="B1010" s="22" t="s">
        <v>3866</v>
      </c>
      <c r="C1010" s="22" t="s">
        <v>6291</v>
      </c>
      <c r="D1010" s="22" t="s">
        <v>470</v>
      </c>
      <c r="E1010" s="22">
        <v>1.0</v>
      </c>
      <c r="F1010" s="22"/>
      <c r="G1010" s="22" t="s">
        <v>273</v>
      </c>
      <c r="H1010" s="26">
        <v>45998.0</v>
      </c>
      <c r="I1010" s="22" t="s">
        <v>134</v>
      </c>
      <c r="J1010" s="22" t="s">
        <v>472</v>
      </c>
      <c r="K1010" s="22" t="s">
        <v>475</v>
      </c>
      <c r="L1010" s="35" t="s">
        <v>6292</v>
      </c>
      <c r="M1010" s="32" t="s">
        <v>91</v>
      </c>
    </row>
    <row r="1011">
      <c r="A1011" s="22" t="s">
        <v>2304</v>
      </c>
      <c r="B1011" s="22" t="s">
        <v>6293</v>
      </c>
      <c r="C1011" s="22" t="s">
        <v>6294</v>
      </c>
      <c r="D1011" s="22" t="s">
        <v>408</v>
      </c>
      <c r="E1011" s="22">
        <v>1.0</v>
      </c>
      <c r="F1011" s="22"/>
      <c r="G1011" s="22" t="s">
        <v>82</v>
      </c>
      <c r="H1011" s="26">
        <v>45997.0</v>
      </c>
      <c r="I1011" s="22" t="s">
        <v>153</v>
      </c>
      <c r="J1011" s="22" t="s">
        <v>377</v>
      </c>
      <c r="K1011" s="22" t="s">
        <v>412</v>
      </c>
      <c r="L1011" s="35" t="s">
        <v>6295</v>
      </c>
      <c r="M1011" s="32" t="s">
        <v>127</v>
      </c>
    </row>
    <row r="1012">
      <c r="A1012" s="22" t="s">
        <v>2304</v>
      </c>
      <c r="B1012" s="22" t="s">
        <v>6293</v>
      </c>
      <c r="C1012" s="22" t="s">
        <v>6294</v>
      </c>
      <c r="D1012" s="25"/>
      <c r="E1012" s="25"/>
      <c r="F1012" s="22"/>
      <c r="G1012" s="22" t="s">
        <v>82</v>
      </c>
      <c r="H1012" s="26">
        <v>45997.0</v>
      </c>
      <c r="I1012" s="22" t="s">
        <v>153</v>
      </c>
      <c r="J1012" s="22" t="s">
        <v>377</v>
      </c>
      <c r="K1012" s="22" t="s">
        <v>767</v>
      </c>
      <c r="L1012" s="35" t="s">
        <v>6296</v>
      </c>
    </row>
    <row r="1013">
      <c r="A1013" s="22" t="s">
        <v>2277</v>
      </c>
      <c r="B1013" s="22" t="s">
        <v>6297</v>
      </c>
      <c r="C1013" s="22" t="s">
        <v>6298</v>
      </c>
      <c r="D1013" s="22" t="s">
        <v>300</v>
      </c>
      <c r="E1013" s="22">
        <v>1.0</v>
      </c>
      <c r="F1013" s="22"/>
      <c r="G1013" s="22" t="s">
        <v>82</v>
      </c>
      <c r="H1013" s="26">
        <v>45997.0</v>
      </c>
      <c r="I1013" s="22" t="s">
        <v>149</v>
      </c>
      <c r="J1013" s="22" t="s">
        <v>303</v>
      </c>
      <c r="K1013" s="22" t="s">
        <v>306</v>
      </c>
      <c r="L1013" s="35" t="s">
        <v>6299</v>
      </c>
      <c r="M1013" s="32" t="s">
        <v>55</v>
      </c>
    </row>
    <row r="1014">
      <c r="A1014" s="22" t="s">
        <v>2285</v>
      </c>
      <c r="B1014" s="22" t="s">
        <v>5939</v>
      </c>
      <c r="C1014" s="22" t="s">
        <v>6300</v>
      </c>
      <c r="D1014" s="22" t="s">
        <v>632</v>
      </c>
      <c r="E1014" s="22">
        <v>1.0</v>
      </c>
      <c r="F1014" s="22"/>
      <c r="G1014" s="22" t="s">
        <v>273</v>
      </c>
      <c r="H1014" s="26">
        <v>45998.0</v>
      </c>
      <c r="I1014" s="22" t="s">
        <v>841</v>
      </c>
      <c r="J1014" s="22" t="s">
        <v>634</v>
      </c>
      <c r="K1014" s="22" t="s">
        <v>637</v>
      </c>
      <c r="L1014" s="35" t="s">
        <v>6301</v>
      </c>
      <c r="M1014" s="32" t="s">
        <v>91</v>
      </c>
    </row>
    <row r="1015">
      <c r="A1015" s="22" t="s">
        <v>2286</v>
      </c>
      <c r="B1015" s="22" t="s">
        <v>6302</v>
      </c>
      <c r="C1015" s="22" t="s">
        <v>6303</v>
      </c>
      <c r="D1015" s="22" t="s">
        <v>1105</v>
      </c>
      <c r="E1015" s="22">
        <v>1.0</v>
      </c>
      <c r="F1015" s="22"/>
      <c r="G1015" s="22" t="s">
        <v>273</v>
      </c>
      <c r="H1015" s="23">
        <v>45991.0</v>
      </c>
      <c r="I1015" s="22" t="s">
        <v>153</v>
      </c>
      <c r="J1015" s="22" t="s">
        <v>329</v>
      </c>
      <c r="K1015" s="22" t="s">
        <v>1107</v>
      </c>
      <c r="L1015" s="35" t="s">
        <v>6304</v>
      </c>
      <c r="M1015" s="32" t="s">
        <v>95</v>
      </c>
    </row>
    <row r="1016">
      <c r="A1016" s="22" t="s">
        <v>2287</v>
      </c>
      <c r="B1016" s="22" t="s">
        <v>4964</v>
      </c>
      <c r="C1016" s="22" t="s">
        <v>5257</v>
      </c>
      <c r="D1016" s="22" t="s">
        <v>758</v>
      </c>
      <c r="E1016" s="22">
        <v>1.0</v>
      </c>
      <c r="F1016" s="22"/>
      <c r="G1016" s="22" t="s">
        <v>202</v>
      </c>
      <c r="H1016" s="26">
        <v>45996.0</v>
      </c>
      <c r="I1016" s="22" t="s">
        <v>153</v>
      </c>
      <c r="J1016" s="22" t="s">
        <v>717</v>
      </c>
      <c r="K1016" s="22" t="s">
        <v>762</v>
      </c>
      <c r="L1016" s="35" t="s">
        <v>6305</v>
      </c>
      <c r="M1016" s="32" t="s">
        <v>54</v>
      </c>
    </row>
    <row r="1017">
      <c r="A1017" s="22" t="s">
        <v>197</v>
      </c>
      <c r="B1017" s="22" t="s">
        <v>4365</v>
      </c>
      <c r="C1017" s="22" t="s">
        <v>3927</v>
      </c>
      <c r="D1017" s="22" t="s">
        <v>92</v>
      </c>
      <c r="E1017" s="22">
        <v>1.0</v>
      </c>
      <c r="F1017" s="22"/>
      <c r="G1017" s="22" t="s">
        <v>82</v>
      </c>
      <c r="H1017" s="23">
        <v>45990.0</v>
      </c>
      <c r="I1017" s="22" t="s">
        <v>196</v>
      </c>
      <c r="J1017" s="22" t="s">
        <v>83</v>
      </c>
      <c r="K1017" s="22" t="s">
        <v>94</v>
      </c>
      <c r="L1017" s="35" t="s">
        <v>6306</v>
      </c>
      <c r="M1017" s="32" t="s">
        <v>95</v>
      </c>
    </row>
    <row r="1018">
      <c r="A1018" s="22" t="s">
        <v>2288</v>
      </c>
      <c r="B1018" s="22" t="s">
        <v>4053</v>
      </c>
      <c r="C1018" s="22" t="s">
        <v>3826</v>
      </c>
      <c r="D1018" s="22" t="s">
        <v>300</v>
      </c>
      <c r="E1018" s="22">
        <v>1.0</v>
      </c>
      <c r="F1018" s="22"/>
      <c r="G1018" s="22" t="s">
        <v>273</v>
      </c>
      <c r="H1018" s="26">
        <v>45998.0</v>
      </c>
      <c r="I1018" s="22" t="s">
        <v>266</v>
      </c>
      <c r="J1018" s="22" t="s">
        <v>303</v>
      </c>
      <c r="K1018" s="22" t="s">
        <v>306</v>
      </c>
      <c r="L1018" s="35" t="s">
        <v>6307</v>
      </c>
      <c r="M1018" s="32" t="s">
        <v>55</v>
      </c>
    </row>
    <row r="1019">
      <c r="A1019" s="22" t="s">
        <v>2289</v>
      </c>
      <c r="B1019" s="22" t="s">
        <v>6039</v>
      </c>
      <c r="C1019" s="22" t="s">
        <v>3705</v>
      </c>
      <c r="D1019" s="22" t="s">
        <v>141</v>
      </c>
      <c r="E1019" s="22">
        <v>1.0</v>
      </c>
      <c r="F1019" s="22"/>
      <c r="G1019" s="22" t="s">
        <v>273</v>
      </c>
      <c r="H1019" s="26">
        <v>45998.0</v>
      </c>
      <c r="I1019" s="22" t="s">
        <v>153</v>
      </c>
      <c r="J1019" s="22" t="s">
        <v>83</v>
      </c>
      <c r="K1019" s="22" t="s">
        <v>143</v>
      </c>
      <c r="L1019" s="35" t="s">
        <v>6308</v>
      </c>
      <c r="M1019" s="32" t="s">
        <v>54</v>
      </c>
    </row>
    <row r="1020">
      <c r="A1020" s="22" t="s">
        <v>2290</v>
      </c>
      <c r="B1020" s="22" t="s">
        <v>6309</v>
      </c>
      <c r="C1020" s="22" t="s">
        <v>6310</v>
      </c>
      <c r="D1020" s="22" t="s">
        <v>979</v>
      </c>
      <c r="E1020" s="22">
        <v>1.0</v>
      </c>
      <c r="F1020" s="22"/>
      <c r="G1020" s="22" t="s">
        <v>82</v>
      </c>
      <c r="H1020" s="26">
        <v>45997.0</v>
      </c>
      <c r="I1020" s="22" t="s">
        <v>1117</v>
      </c>
      <c r="J1020" s="22" t="s">
        <v>605</v>
      </c>
      <c r="K1020" s="22" t="s">
        <v>984</v>
      </c>
      <c r="L1020" s="35" t="s">
        <v>6311</v>
      </c>
      <c r="M1020" s="32" t="s">
        <v>55</v>
      </c>
    </row>
    <row r="1021">
      <c r="A1021" s="22" t="s">
        <v>2291</v>
      </c>
      <c r="B1021" s="22" t="s">
        <v>6312</v>
      </c>
      <c r="C1021" s="22" t="s">
        <v>6313</v>
      </c>
      <c r="D1021" s="22" t="s">
        <v>692</v>
      </c>
      <c r="E1021" s="22">
        <v>1.0</v>
      </c>
      <c r="F1021" s="22"/>
      <c r="G1021" s="22" t="s">
        <v>273</v>
      </c>
      <c r="H1021" s="26">
        <v>45998.0</v>
      </c>
      <c r="I1021" s="22" t="s">
        <v>134</v>
      </c>
      <c r="J1021" s="22" t="s">
        <v>369</v>
      </c>
      <c r="K1021" s="22" t="s">
        <v>694</v>
      </c>
      <c r="L1021" s="35" t="s">
        <v>6314</v>
      </c>
      <c r="M1021" s="32" t="s">
        <v>54</v>
      </c>
    </row>
    <row r="1022">
      <c r="A1022" s="22" t="s">
        <v>2294</v>
      </c>
      <c r="B1022" s="22" t="s">
        <v>5939</v>
      </c>
      <c r="C1022" s="22" t="s">
        <v>6315</v>
      </c>
      <c r="D1022" s="22" t="s">
        <v>1622</v>
      </c>
      <c r="E1022" s="22">
        <v>1.0</v>
      </c>
      <c r="F1022" s="22"/>
      <c r="G1022" s="22" t="s">
        <v>82</v>
      </c>
      <c r="H1022" s="26">
        <v>45997.0</v>
      </c>
      <c r="I1022" s="22" t="s">
        <v>2293</v>
      </c>
      <c r="J1022" s="22" t="s">
        <v>1466</v>
      </c>
      <c r="K1022" s="22" t="s">
        <v>1627</v>
      </c>
      <c r="L1022" s="35" t="s">
        <v>6316</v>
      </c>
      <c r="M1022" s="32" t="s">
        <v>175</v>
      </c>
    </row>
    <row r="1023">
      <c r="A1023" s="22" t="s">
        <v>2296</v>
      </c>
      <c r="B1023" s="22" t="s">
        <v>3683</v>
      </c>
      <c r="C1023" s="22" t="s">
        <v>6317</v>
      </c>
      <c r="D1023" s="22" t="s">
        <v>902</v>
      </c>
      <c r="E1023" s="22">
        <v>1.0</v>
      </c>
      <c r="F1023" s="22"/>
      <c r="G1023" s="22" t="s">
        <v>273</v>
      </c>
      <c r="H1023" s="23">
        <v>45991.0</v>
      </c>
      <c r="I1023" s="22" t="s">
        <v>149</v>
      </c>
      <c r="J1023" s="22" t="s">
        <v>329</v>
      </c>
      <c r="K1023" s="22" t="s">
        <v>906</v>
      </c>
      <c r="L1023" s="35" t="s">
        <v>6318</v>
      </c>
      <c r="M1023" s="32" t="s">
        <v>105</v>
      </c>
    </row>
    <row r="1024">
      <c r="A1024" s="22" t="s">
        <v>6319</v>
      </c>
      <c r="B1024" s="22" t="s">
        <v>6320</v>
      </c>
      <c r="C1024" s="22" t="s">
        <v>6321</v>
      </c>
      <c r="D1024" s="22" t="s">
        <v>4741</v>
      </c>
      <c r="E1024" s="22">
        <v>1.0</v>
      </c>
      <c r="F1024" s="22"/>
      <c r="G1024" s="22" t="s">
        <v>1284</v>
      </c>
      <c r="H1024" s="26">
        <v>45993.0</v>
      </c>
      <c r="I1024" s="22" t="s">
        <v>196</v>
      </c>
      <c r="J1024" s="22" t="s">
        <v>4325</v>
      </c>
      <c r="K1024" s="22" t="s">
        <v>4742</v>
      </c>
      <c r="L1024" s="35" t="s">
        <v>6322</v>
      </c>
      <c r="M1024" s="32" t="s">
        <v>55</v>
      </c>
    </row>
    <row r="1025">
      <c r="A1025" s="22" t="s">
        <v>6323</v>
      </c>
      <c r="B1025" s="22" t="s">
        <v>3938</v>
      </c>
      <c r="C1025" s="22" t="s">
        <v>6324</v>
      </c>
      <c r="D1025" s="22" t="s">
        <v>4741</v>
      </c>
      <c r="E1025" s="22">
        <v>1.0</v>
      </c>
      <c r="F1025" s="22"/>
      <c r="G1025" s="22" t="s">
        <v>1284</v>
      </c>
      <c r="H1025" s="26">
        <v>45993.0</v>
      </c>
      <c r="I1025" s="22" t="s">
        <v>497</v>
      </c>
      <c r="J1025" s="22" t="s">
        <v>4325</v>
      </c>
      <c r="K1025" s="22" t="s">
        <v>4742</v>
      </c>
      <c r="L1025" s="35" t="s">
        <v>6325</v>
      </c>
      <c r="M1025" s="32" t="s">
        <v>55</v>
      </c>
    </row>
    <row r="1026">
      <c r="A1026" s="22" t="s">
        <v>2298</v>
      </c>
      <c r="B1026" s="22" t="s">
        <v>6326</v>
      </c>
      <c r="C1026" s="22" t="s">
        <v>6327</v>
      </c>
      <c r="D1026" s="22" t="s">
        <v>2297</v>
      </c>
      <c r="E1026" s="22">
        <v>1.0</v>
      </c>
      <c r="F1026" s="22"/>
      <c r="G1026" s="22" t="s">
        <v>273</v>
      </c>
      <c r="H1026" s="26">
        <v>45998.0</v>
      </c>
      <c r="I1026" s="22" t="s">
        <v>187</v>
      </c>
      <c r="J1026" s="22" t="s">
        <v>440</v>
      </c>
      <c r="K1026" s="22" t="s">
        <v>2299</v>
      </c>
      <c r="L1026" s="35" t="s">
        <v>6328</v>
      </c>
      <c r="M1026" s="32" t="s">
        <v>175</v>
      </c>
    </row>
    <row r="1027">
      <c r="A1027" s="22" t="s">
        <v>2305</v>
      </c>
      <c r="B1027" s="22" t="s">
        <v>6329</v>
      </c>
      <c r="C1027" s="22" t="s">
        <v>6330</v>
      </c>
      <c r="D1027" s="22" t="s">
        <v>96</v>
      </c>
      <c r="E1027" s="22">
        <v>1.0</v>
      </c>
      <c r="F1027" s="22"/>
      <c r="G1027" s="22" t="s">
        <v>82</v>
      </c>
      <c r="H1027" s="26">
        <v>45997.0</v>
      </c>
      <c r="I1027" s="22" t="s">
        <v>153</v>
      </c>
      <c r="J1027" s="22" t="s">
        <v>83</v>
      </c>
      <c r="K1027" s="22" t="s">
        <v>98</v>
      </c>
      <c r="L1027" s="35" t="s">
        <v>6331</v>
      </c>
      <c r="M1027" s="32" t="s">
        <v>55</v>
      </c>
    </row>
    <row r="1028">
      <c r="A1028" s="22" t="s">
        <v>2331</v>
      </c>
      <c r="B1028" s="22" t="s">
        <v>4955</v>
      </c>
      <c r="C1028" s="22" t="s">
        <v>4488</v>
      </c>
      <c r="D1028" s="22" t="s">
        <v>80</v>
      </c>
      <c r="E1028" s="22">
        <v>2.0</v>
      </c>
      <c r="F1028" s="22"/>
      <c r="G1028" s="22" t="s">
        <v>82</v>
      </c>
      <c r="H1028" s="26">
        <v>45997.0</v>
      </c>
      <c r="I1028" s="22" t="s">
        <v>224</v>
      </c>
      <c r="J1028" s="22" t="s">
        <v>83</v>
      </c>
      <c r="K1028" s="22" t="s">
        <v>86</v>
      </c>
      <c r="L1028" s="35" t="s">
        <v>6332</v>
      </c>
      <c r="M1028" s="32" t="s">
        <v>91</v>
      </c>
    </row>
    <row r="1029">
      <c r="A1029" s="22" t="s">
        <v>2332</v>
      </c>
      <c r="B1029" s="22" t="s">
        <v>6333</v>
      </c>
      <c r="C1029" s="22" t="s">
        <v>4757</v>
      </c>
      <c r="D1029" s="22" t="s">
        <v>96</v>
      </c>
      <c r="E1029" s="22">
        <v>1.0</v>
      </c>
      <c r="F1029" s="22"/>
      <c r="G1029" s="22" t="s">
        <v>82</v>
      </c>
      <c r="H1029" s="26">
        <v>45997.0</v>
      </c>
      <c r="I1029" s="22" t="s">
        <v>153</v>
      </c>
      <c r="J1029" s="22" t="s">
        <v>83</v>
      </c>
      <c r="K1029" s="22" t="s">
        <v>98</v>
      </c>
      <c r="L1029" s="35" t="s">
        <v>6334</v>
      </c>
      <c r="M1029" s="32" t="s">
        <v>55</v>
      </c>
    </row>
    <row r="1030">
      <c r="A1030" s="22" t="s">
        <v>2333</v>
      </c>
      <c r="B1030" s="22" t="s">
        <v>6335</v>
      </c>
      <c r="C1030" s="22" t="s">
        <v>6336</v>
      </c>
      <c r="D1030" s="22" t="s">
        <v>367</v>
      </c>
      <c r="E1030" s="22">
        <v>1.0</v>
      </c>
      <c r="F1030" s="22"/>
      <c r="G1030" s="22" t="s">
        <v>273</v>
      </c>
      <c r="H1030" s="26">
        <v>45998.0</v>
      </c>
      <c r="I1030" s="22" t="s">
        <v>149</v>
      </c>
      <c r="J1030" s="22" t="s">
        <v>369</v>
      </c>
      <c r="K1030" s="22" t="s">
        <v>372</v>
      </c>
      <c r="L1030" s="35" t="s">
        <v>6337</v>
      </c>
      <c r="M1030" s="32" t="s">
        <v>55</v>
      </c>
    </row>
    <row r="1031">
      <c r="A1031" s="22" t="s">
        <v>2307</v>
      </c>
      <c r="B1031" s="22" t="s">
        <v>3752</v>
      </c>
      <c r="C1031" s="22" t="s">
        <v>6338</v>
      </c>
      <c r="D1031" s="22" t="s">
        <v>803</v>
      </c>
      <c r="E1031" s="22">
        <v>1.0</v>
      </c>
      <c r="F1031" s="22"/>
      <c r="G1031" s="22" t="s">
        <v>273</v>
      </c>
      <c r="H1031" s="26">
        <v>45998.0</v>
      </c>
      <c r="I1031" s="22" t="s">
        <v>266</v>
      </c>
      <c r="J1031" s="22" t="s">
        <v>623</v>
      </c>
      <c r="K1031" s="22" t="s">
        <v>805</v>
      </c>
      <c r="L1031" s="35" t="s">
        <v>6339</v>
      </c>
      <c r="M1031" s="32" t="s">
        <v>95</v>
      </c>
    </row>
    <row r="1032">
      <c r="A1032" s="22" t="s">
        <v>2310</v>
      </c>
      <c r="B1032" s="22" t="s">
        <v>4334</v>
      </c>
      <c r="C1032" s="22" t="s">
        <v>6340</v>
      </c>
      <c r="D1032" s="22" t="s">
        <v>2309</v>
      </c>
      <c r="E1032" s="22">
        <v>1.0</v>
      </c>
      <c r="F1032" s="22"/>
      <c r="G1032" s="22" t="s">
        <v>273</v>
      </c>
      <c r="H1032" s="26">
        <v>45998.0</v>
      </c>
      <c r="I1032" s="22" t="s">
        <v>149</v>
      </c>
      <c r="J1032" s="22" t="s">
        <v>869</v>
      </c>
      <c r="K1032" s="22" t="s">
        <v>2311</v>
      </c>
      <c r="L1032" s="35" t="s">
        <v>6341</v>
      </c>
      <c r="M1032" s="32" t="s">
        <v>95</v>
      </c>
    </row>
    <row r="1033">
      <c r="A1033" s="22" t="s">
        <v>2312</v>
      </c>
      <c r="B1033" s="22" t="s">
        <v>5760</v>
      </c>
      <c r="C1033" s="22" t="s">
        <v>6342</v>
      </c>
      <c r="D1033" s="22" t="s">
        <v>1242</v>
      </c>
      <c r="E1033" s="22">
        <v>1.0</v>
      </c>
      <c r="F1033" s="22"/>
      <c r="G1033" s="22" t="s">
        <v>82</v>
      </c>
      <c r="H1033" s="26">
        <v>45997.0</v>
      </c>
      <c r="I1033" s="22" t="s">
        <v>187</v>
      </c>
      <c r="J1033" s="22" t="s">
        <v>698</v>
      </c>
      <c r="K1033" s="22" t="s">
        <v>1244</v>
      </c>
      <c r="L1033" s="35" t="s">
        <v>6343</v>
      </c>
      <c r="M1033" s="32" t="s">
        <v>95</v>
      </c>
    </row>
    <row r="1034">
      <c r="A1034" s="22" t="s">
        <v>199</v>
      </c>
      <c r="B1034" s="22" t="s">
        <v>5390</v>
      </c>
      <c r="C1034" s="22" t="s">
        <v>4086</v>
      </c>
      <c r="D1034" s="22" t="s">
        <v>158</v>
      </c>
      <c r="E1034" s="22">
        <v>1.0</v>
      </c>
      <c r="F1034" s="22"/>
      <c r="G1034" s="22" t="s">
        <v>82</v>
      </c>
      <c r="H1034" s="23">
        <v>45990.0</v>
      </c>
      <c r="I1034" s="22" t="s">
        <v>110</v>
      </c>
      <c r="J1034" s="22" t="s">
        <v>111</v>
      </c>
      <c r="K1034" s="22" t="s">
        <v>163</v>
      </c>
      <c r="L1034" s="35" t="s">
        <v>6344</v>
      </c>
      <c r="M1034" s="32" t="s">
        <v>127</v>
      </c>
    </row>
    <row r="1035">
      <c r="A1035" s="22" t="s">
        <v>2313</v>
      </c>
      <c r="B1035" s="22" t="s">
        <v>6345</v>
      </c>
      <c r="C1035" s="22" t="s">
        <v>6346</v>
      </c>
      <c r="D1035" s="22" t="s">
        <v>912</v>
      </c>
      <c r="E1035" s="22">
        <v>1.0</v>
      </c>
      <c r="F1035" s="22"/>
      <c r="G1035" s="22" t="s">
        <v>82</v>
      </c>
      <c r="H1035" s="23">
        <v>46004.0</v>
      </c>
      <c r="I1035" s="22" t="s">
        <v>153</v>
      </c>
      <c r="J1035" s="22" t="s">
        <v>377</v>
      </c>
      <c r="K1035" s="22" t="s">
        <v>914</v>
      </c>
      <c r="L1035" s="35" t="s">
        <v>6347</v>
      </c>
      <c r="M1035" s="32" t="s">
        <v>54</v>
      </c>
    </row>
    <row r="1036">
      <c r="A1036" s="22" t="s">
        <v>2315</v>
      </c>
      <c r="B1036" s="22" t="s">
        <v>6348</v>
      </c>
      <c r="C1036" s="22" t="s">
        <v>6349</v>
      </c>
      <c r="D1036" s="22" t="s">
        <v>488</v>
      </c>
      <c r="E1036" s="22">
        <v>1.0</v>
      </c>
      <c r="F1036" s="22"/>
      <c r="G1036" s="22" t="s">
        <v>202</v>
      </c>
      <c r="H1036" s="26">
        <v>45996.0</v>
      </c>
      <c r="I1036" s="22" t="s">
        <v>266</v>
      </c>
      <c r="J1036" s="22" t="s">
        <v>311</v>
      </c>
      <c r="K1036" s="22" t="s">
        <v>492</v>
      </c>
      <c r="L1036" s="35" t="s">
        <v>6350</v>
      </c>
      <c r="M1036" s="32" t="s">
        <v>95</v>
      </c>
    </row>
    <row r="1037">
      <c r="A1037" s="22" t="s">
        <v>2317</v>
      </c>
      <c r="B1037" s="22" t="s">
        <v>6351</v>
      </c>
      <c r="C1037" s="22" t="s">
        <v>6352</v>
      </c>
      <c r="D1037" s="22" t="s">
        <v>664</v>
      </c>
      <c r="E1037" s="22">
        <v>1.0</v>
      </c>
      <c r="F1037" s="22"/>
      <c r="G1037" s="22" t="s">
        <v>82</v>
      </c>
      <c r="H1037" s="26">
        <v>45997.0</v>
      </c>
      <c r="I1037" s="22" t="s">
        <v>196</v>
      </c>
      <c r="J1037" s="22" t="s">
        <v>472</v>
      </c>
      <c r="K1037" s="22" t="s">
        <v>668</v>
      </c>
      <c r="L1037" s="35" t="s">
        <v>6353</v>
      </c>
      <c r="M1037" s="32" t="s">
        <v>175</v>
      </c>
    </row>
    <row r="1038">
      <c r="A1038" s="22" t="s">
        <v>2318</v>
      </c>
      <c r="B1038" s="22" t="s">
        <v>6354</v>
      </c>
      <c r="C1038" s="22" t="s">
        <v>6355</v>
      </c>
      <c r="D1038" s="22" t="s">
        <v>806</v>
      </c>
      <c r="E1038" s="22">
        <v>1.0</v>
      </c>
      <c r="F1038" s="22"/>
      <c r="G1038" s="22" t="s">
        <v>82</v>
      </c>
      <c r="H1038" s="26">
        <v>45997.0</v>
      </c>
      <c r="I1038" s="22" t="s">
        <v>187</v>
      </c>
      <c r="J1038" s="22" t="s">
        <v>278</v>
      </c>
      <c r="K1038" s="22" t="s">
        <v>809</v>
      </c>
      <c r="L1038" s="35" t="s">
        <v>6356</v>
      </c>
      <c r="M1038" s="32" t="s">
        <v>95</v>
      </c>
    </row>
    <row r="1039">
      <c r="A1039" s="22" t="s">
        <v>2319</v>
      </c>
      <c r="B1039" s="22" t="s">
        <v>6357</v>
      </c>
      <c r="C1039" s="22" t="s">
        <v>6358</v>
      </c>
      <c r="D1039" s="22" t="s">
        <v>96</v>
      </c>
      <c r="E1039" s="22">
        <v>1.0</v>
      </c>
      <c r="F1039" s="22"/>
      <c r="G1039" s="22" t="s">
        <v>82</v>
      </c>
      <c r="H1039" s="26">
        <v>45997.0</v>
      </c>
      <c r="I1039" s="22" t="s">
        <v>149</v>
      </c>
      <c r="J1039" s="22" t="s">
        <v>83</v>
      </c>
      <c r="K1039" s="22" t="s">
        <v>98</v>
      </c>
      <c r="L1039" s="35" t="s">
        <v>6359</v>
      </c>
      <c r="M1039" s="32" t="s">
        <v>55</v>
      </c>
    </row>
    <row r="1040">
      <c r="A1040" s="22" t="s">
        <v>2321</v>
      </c>
      <c r="B1040" s="22" t="s">
        <v>6360</v>
      </c>
      <c r="C1040" s="22" t="s">
        <v>6361</v>
      </c>
      <c r="D1040" s="22" t="s">
        <v>80</v>
      </c>
      <c r="E1040" s="22">
        <v>1.0</v>
      </c>
      <c r="F1040" s="22"/>
      <c r="G1040" s="22" t="s">
        <v>82</v>
      </c>
      <c r="H1040" s="26">
        <v>45997.0</v>
      </c>
      <c r="I1040" s="22" t="s">
        <v>196</v>
      </c>
      <c r="J1040" s="22" t="s">
        <v>83</v>
      </c>
      <c r="K1040" s="22" t="s">
        <v>86</v>
      </c>
      <c r="L1040" s="35" t="s">
        <v>6362</v>
      </c>
      <c r="M1040" s="32" t="s">
        <v>91</v>
      </c>
    </row>
    <row r="1041">
      <c r="A1041" s="22" t="s">
        <v>2323</v>
      </c>
      <c r="B1041" s="22" t="s">
        <v>6363</v>
      </c>
      <c r="C1041" s="22" t="s">
        <v>6364</v>
      </c>
      <c r="D1041" s="22" t="s">
        <v>185</v>
      </c>
      <c r="E1041" s="22">
        <v>1.0</v>
      </c>
      <c r="F1041" s="22"/>
      <c r="G1041" s="22" t="s">
        <v>273</v>
      </c>
      <c r="H1041" s="23">
        <v>45991.0</v>
      </c>
      <c r="I1041" s="22" t="s">
        <v>211</v>
      </c>
      <c r="J1041" s="22" t="s">
        <v>111</v>
      </c>
      <c r="K1041" s="22" t="s">
        <v>190</v>
      </c>
      <c r="L1041" s="35" t="s">
        <v>6365</v>
      </c>
      <c r="M1041" s="32" t="s">
        <v>95</v>
      </c>
    </row>
    <row r="1042">
      <c r="A1042" s="22" t="s">
        <v>2325</v>
      </c>
      <c r="B1042" s="22" t="s">
        <v>3698</v>
      </c>
      <c r="C1042" s="22" t="s">
        <v>6366</v>
      </c>
      <c r="D1042" s="22" t="s">
        <v>386</v>
      </c>
      <c r="E1042" s="22">
        <v>1.0</v>
      </c>
      <c r="F1042" s="22"/>
      <c r="G1042" s="22" t="s">
        <v>336</v>
      </c>
      <c r="H1042" s="26">
        <v>45995.0</v>
      </c>
      <c r="I1042" s="22" t="s">
        <v>149</v>
      </c>
      <c r="J1042" s="22" t="s">
        <v>311</v>
      </c>
      <c r="K1042" s="22" t="s">
        <v>390</v>
      </c>
      <c r="L1042" s="35" t="s">
        <v>6367</v>
      </c>
      <c r="M1042" s="32" t="s">
        <v>55</v>
      </c>
    </row>
    <row r="1043">
      <c r="A1043" s="22" t="s">
        <v>2328</v>
      </c>
      <c r="B1043" s="22" t="s">
        <v>6368</v>
      </c>
      <c r="C1043" s="22" t="s">
        <v>6369</v>
      </c>
      <c r="D1043" s="22" t="s">
        <v>1224</v>
      </c>
      <c r="E1043" s="22">
        <v>1.0</v>
      </c>
      <c r="F1043" s="22"/>
      <c r="G1043" s="22" t="s">
        <v>82</v>
      </c>
      <c r="H1043" s="26">
        <v>45997.0</v>
      </c>
      <c r="I1043" s="22" t="s">
        <v>196</v>
      </c>
      <c r="J1043" s="22" t="s">
        <v>717</v>
      </c>
      <c r="K1043" s="22" t="s">
        <v>1228</v>
      </c>
      <c r="L1043" s="35" t="s">
        <v>6370</v>
      </c>
      <c r="M1043" s="32" t="s">
        <v>91</v>
      </c>
    </row>
    <row r="1044">
      <c r="A1044" s="22" t="s">
        <v>2330</v>
      </c>
      <c r="B1044" s="22" t="s">
        <v>6371</v>
      </c>
      <c r="C1044" s="22" t="s">
        <v>6372</v>
      </c>
      <c r="D1044" s="22" t="s">
        <v>124</v>
      </c>
      <c r="E1044" s="22">
        <v>1.0</v>
      </c>
      <c r="F1044" s="22"/>
      <c r="G1044" s="22" t="s">
        <v>273</v>
      </c>
      <c r="H1044" s="23">
        <v>45991.0</v>
      </c>
      <c r="I1044" s="22" t="s">
        <v>134</v>
      </c>
      <c r="J1044" s="22" t="s">
        <v>83</v>
      </c>
      <c r="K1044" s="22" t="s">
        <v>126</v>
      </c>
      <c r="L1044" s="35" t="s">
        <v>6373</v>
      </c>
      <c r="M1044" s="32" t="s">
        <v>127</v>
      </c>
    </row>
    <row r="1045">
      <c r="A1045" s="22" t="s">
        <v>2334</v>
      </c>
      <c r="B1045" s="22" t="s">
        <v>4479</v>
      </c>
      <c r="C1045" s="22" t="s">
        <v>6374</v>
      </c>
      <c r="D1045" s="22" t="s">
        <v>1423</v>
      </c>
      <c r="E1045" s="22">
        <v>1.0</v>
      </c>
      <c r="F1045" s="22"/>
      <c r="G1045" s="22" t="s">
        <v>202</v>
      </c>
      <c r="H1045" s="26">
        <v>45996.0</v>
      </c>
      <c r="I1045" s="22" t="s">
        <v>153</v>
      </c>
      <c r="J1045" s="22" t="s">
        <v>717</v>
      </c>
      <c r="K1045" s="22" t="s">
        <v>1427</v>
      </c>
      <c r="L1045" s="35" t="s">
        <v>6375</v>
      </c>
      <c r="M1045" s="32" t="s">
        <v>95</v>
      </c>
    </row>
    <row r="1046">
      <c r="A1046" s="22" t="s">
        <v>2389</v>
      </c>
      <c r="B1046" s="22" t="s">
        <v>6376</v>
      </c>
      <c r="C1046" s="22" t="s">
        <v>3783</v>
      </c>
      <c r="D1046" s="22" t="s">
        <v>92</v>
      </c>
      <c r="E1046" s="22">
        <v>1.0</v>
      </c>
      <c r="F1046" s="22"/>
      <c r="G1046" s="22" t="s">
        <v>82</v>
      </c>
      <c r="H1046" s="23">
        <v>45990.0</v>
      </c>
      <c r="I1046" s="22" t="s">
        <v>149</v>
      </c>
      <c r="J1046" s="22" t="s">
        <v>83</v>
      </c>
      <c r="K1046" s="22" t="s">
        <v>94</v>
      </c>
      <c r="L1046" s="35" t="s">
        <v>6377</v>
      </c>
      <c r="M1046" s="32" t="s">
        <v>95</v>
      </c>
    </row>
    <row r="1047">
      <c r="A1047" s="22" t="s">
        <v>2390</v>
      </c>
      <c r="B1047" s="22" t="s">
        <v>6378</v>
      </c>
      <c r="C1047" s="22" t="s">
        <v>6379</v>
      </c>
      <c r="D1047" s="22" t="s">
        <v>529</v>
      </c>
      <c r="E1047" s="22">
        <v>1.0</v>
      </c>
      <c r="F1047" s="22"/>
      <c r="G1047" s="22" t="s">
        <v>82</v>
      </c>
      <c r="H1047" s="26">
        <v>45997.0</v>
      </c>
      <c r="I1047" s="22" t="s">
        <v>134</v>
      </c>
      <c r="J1047" s="22" t="s">
        <v>472</v>
      </c>
      <c r="K1047" s="22" t="s">
        <v>533</v>
      </c>
      <c r="L1047" s="35" t="s">
        <v>6380</v>
      </c>
      <c r="M1047" s="32" t="s">
        <v>127</v>
      </c>
    </row>
    <row r="1048">
      <c r="A1048" s="22" t="s">
        <v>2392</v>
      </c>
      <c r="B1048" s="22" t="s">
        <v>5696</v>
      </c>
      <c r="C1048" s="22" t="s">
        <v>6381</v>
      </c>
      <c r="D1048" s="22" t="s">
        <v>124</v>
      </c>
      <c r="E1048" s="22">
        <v>1.0</v>
      </c>
      <c r="F1048" s="22"/>
      <c r="G1048" s="22" t="s">
        <v>202</v>
      </c>
      <c r="H1048" s="26">
        <v>45996.0</v>
      </c>
      <c r="I1048" s="22" t="s">
        <v>134</v>
      </c>
      <c r="J1048" s="22" t="s">
        <v>83</v>
      </c>
      <c r="K1048" s="22" t="s">
        <v>126</v>
      </c>
      <c r="L1048" s="35" t="s">
        <v>6382</v>
      </c>
      <c r="M1048" s="32" t="s">
        <v>127</v>
      </c>
    </row>
    <row r="1049">
      <c r="A1049" s="22" t="s">
        <v>2336</v>
      </c>
      <c r="B1049" s="22" t="s">
        <v>6383</v>
      </c>
      <c r="C1049" s="22" t="s">
        <v>6384</v>
      </c>
      <c r="D1049" s="22" t="s">
        <v>828</v>
      </c>
      <c r="E1049" s="22">
        <v>1.0</v>
      </c>
      <c r="F1049" s="22"/>
      <c r="G1049" s="22" t="s">
        <v>82</v>
      </c>
      <c r="H1049" s="26">
        <v>45997.0</v>
      </c>
      <c r="I1049" s="22" t="s">
        <v>177</v>
      </c>
      <c r="J1049" s="22" t="s">
        <v>634</v>
      </c>
      <c r="K1049" s="22" t="s">
        <v>830</v>
      </c>
      <c r="L1049" s="35" t="s">
        <v>6385</v>
      </c>
      <c r="M1049" s="32" t="s">
        <v>95</v>
      </c>
    </row>
    <row r="1050">
      <c r="A1050" s="22" t="s">
        <v>2337</v>
      </c>
      <c r="B1050" s="22" t="s">
        <v>6386</v>
      </c>
      <c r="C1050" s="22" t="s">
        <v>5968</v>
      </c>
      <c r="D1050" s="22" t="s">
        <v>845</v>
      </c>
      <c r="E1050" s="22">
        <v>1.0</v>
      </c>
      <c r="F1050" s="22"/>
      <c r="G1050" s="22" t="s">
        <v>82</v>
      </c>
      <c r="H1050" s="26">
        <v>45997.0</v>
      </c>
      <c r="I1050" s="22" t="s">
        <v>522</v>
      </c>
      <c r="J1050" s="22" t="s">
        <v>451</v>
      </c>
      <c r="K1050" s="22" t="s">
        <v>847</v>
      </c>
      <c r="L1050" s="35" t="s">
        <v>6387</v>
      </c>
      <c r="M1050" s="32" t="s">
        <v>55</v>
      </c>
    </row>
    <row r="1051">
      <c r="A1051" s="22" t="s">
        <v>2338</v>
      </c>
      <c r="B1051" s="22" t="s">
        <v>6388</v>
      </c>
      <c r="C1051" s="22" t="s">
        <v>4624</v>
      </c>
      <c r="D1051" s="22" t="s">
        <v>362</v>
      </c>
      <c r="E1051" s="22">
        <v>1.0</v>
      </c>
      <c r="F1051" s="22"/>
      <c r="G1051" s="22" t="s">
        <v>82</v>
      </c>
      <c r="H1051" s="26">
        <v>45997.0</v>
      </c>
      <c r="I1051" s="22" t="s">
        <v>187</v>
      </c>
      <c r="J1051" s="22" t="s">
        <v>278</v>
      </c>
      <c r="K1051" s="22" t="s">
        <v>366</v>
      </c>
      <c r="L1051" s="35" t="s">
        <v>6389</v>
      </c>
      <c r="M1051" s="32" t="s">
        <v>54</v>
      </c>
    </row>
    <row r="1052">
      <c r="A1052" s="22" t="s">
        <v>2340</v>
      </c>
      <c r="B1052" s="22" t="s">
        <v>3946</v>
      </c>
      <c r="C1052" s="22" t="s">
        <v>6390</v>
      </c>
      <c r="D1052" s="22" t="s">
        <v>141</v>
      </c>
      <c r="E1052" s="22">
        <v>1.0</v>
      </c>
      <c r="F1052" s="22"/>
      <c r="G1052" s="22" t="s">
        <v>82</v>
      </c>
      <c r="H1052" s="26">
        <v>45997.0</v>
      </c>
      <c r="I1052" s="22" t="s">
        <v>192</v>
      </c>
      <c r="J1052" s="22" t="s">
        <v>83</v>
      </c>
      <c r="K1052" s="22" t="s">
        <v>143</v>
      </c>
      <c r="L1052" s="35" t="s">
        <v>6391</v>
      </c>
      <c r="M1052" s="32" t="s">
        <v>54</v>
      </c>
    </row>
    <row r="1053">
      <c r="A1053" s="22" t="s">
        <v>2342</v>
      </c>
      <c r="B1053" s="22" t="s">
        <v>5127</v>
      </c>
      <c r="C1053" s="22" t="s">
        <v>6392</v>
      </c>
      <c r="D1053" s="22" t="s">
        <v>529</v>
      </c>
      <c r="E1053" s="22">
        <v>1.0</v>
      </c>
      <c r="F1053" s="22"/>
      <c r="G1053" s="22" t="s">
        <v>82</v>
      </c>
      <c r="H1053" s="26">
        <v>45997.0</v>
      </c>
      <c r="I1053" s="22" t="s">
        <v>134</v>
      </c>
      <c r="J1053" s="22" t="s">
        <v>472</v>
      </c>
      <c r="K1053" s="22" t="s">
        <v>533</v>
      </c>
      <c r="L1053" s="35" t="s">
        <v>6393</v>
      </c>
      <c r="M1053" s="32" t="s">
        <v>127</v>
      </c>
    </row>
    <row r="1054">
      <c r="A1054" s="22" t="s">
        <v>2343</v>
      </c>
      <c r="B1054" s="22" t="s">
        <v>3825</v>
      </c>
      <c r="C1054" s="22" t="s">
        <v>6394</v>
      </c>
      <c r="D1054" s="22" t="s">
        <v>80</v>
      </c>
      <c r="E1054" s="22">
        <v>1.0</v>
      </c>
      <c r="F1054" s="22"/>
      <c r="G1054" s="22" t="s">
        <v>202</v>
      </c>
      <c r="H1054" s="26">
        <v>45996.0</v>
      </c>
      <c r="I1054" s="22" t="s">
        <v>153</v>
      </c>
      <c r="J1054" s="22" t="s">
        <v>83</v>
      </c>
      <c r="K1054" s="22" t="s">
        <v>86</v>
      </c>
      <c r="L1054" s="35" t="s">
        <v>6395</v>
      </c>
      <c r="M1054" s="32" t="s">
        <v>91</v>
      </c>
    </row>
    <row r="1055">
      <c r="A1055" s="22" t="s">
        <v>2278</v>
      </c>
      <c r="B1055" s="22" t="s">
        <v>6396</v>
      </c>
      <c r="C1055" s="22" t="s">
        <v>6397</v>
      </c>
      <c r="D1055" s="22" t="s">
        <v>1370</v>
      </c>
      <c r="E1055" s="22">
        <v>1.0</v>
      </c>
      <c r="F1055" s="22"/>
      <c r="G1055" s="22" t="s">
        <v>273</v>
      </c>
      <c r="H1055" s="23">
        <v>45991.0</v>
      </c>
      <c r="I1055" s="22" t="s">
        <v>134</v>
      </c>
      <c r="J1055" s="22" t="s">
        <v>329</v>
      </c>
      <c r="K1055" s="22" t="s">
        <v>1372</v>
      </c>
      <c r="L1055" s="35" t="s">
        <v>6398</v>
      </c>
      <c r="M1055" s="32" t="s">
        <v>91</v>
      </c>
    </row>
    <row r="1056">
      <c r="A1056" s="22" t="s">
        <v>2280</v>
      </c>
      <c r="B1056" s="22" t="s">
        <v>4267</v>
      </c>
      <c r="C1056" s="22" t="s">
        <v>5758</v>
      </c>
      <c r="D1056" s="22" t="s">
        <v>1703</v>
      </c>
      <c r="E1056" s="22">
        <v>1.0</v>
      </c>
      <c r="F1056" s="22"/>
      <c r="G1056" s="22" t="s">
        <v>82</v>
      </c>
      <c r="H1056" s="26">
        <v>45997.0</v>
      </c>
      <c r="I1056" s="22" t="s">
        <v>177</v>
      </c>
      <c r="J1056" s="22" t="s">
        <v>278</v>
      </c>
      <c r="K1056" s="22" t="s">
        <v>1705</v>
      </c>
      <c r="L1056" s="35" t="s">
        <v>6399</v>
      </c>
      <c r="M1056" s="32" t="s">
        <v>105</v>
      </c>
    </row>
    <row r="1057">
      <c r="A1057" s="22" t="s">
        <v>2283</v>
      </c>
      <c r="B1057" s="22" t="s">
        <v>4228</v>
      </c>
      <c r="C1057" s="22" t="s">
        <v>6400</v>
      </c>
      <c r="D1057" s="22" t="s">
        <v>141</v>
      </c>
      <c r="E1057" s="22">
        <v>1.0</v>
      </c>
      <c r="F1057" s="22"/>
      <c r="G1057" s="22" t="s">
        <v>294</v>
      </c>
      <c r="H1057" s="26">
        <v>45992.0</v>
      </c>
      <c r="I1057" s="22" t="s">
        <v>138</v>
      </c>
      <c r="J1057" s="22" t="s">
        <v>83</v>
      </c>
      <c r="K1057" s="22" t="s">
        <v>143</v>
      </c>
      <c r="L1057" s="35" t="s">
        <v>6401</v>
      </c>
      <c r="M1057" s="32" t="s">
        <v>54</v>
      </c>
    </row>
    <row r="1058">
      <c r="A1058" s="22" t="s">
        <v>2344</v>
      </c>
      <c r="B1058" s="22" t="s">
        <v>4114</v>
      </c>
      <c r="C1058" s="22" t="s">
        <v>6402</v>
      </c>
      <c r="D1058" s="22" t="s">
        <v>879</v>
      </c>
      <c r="E1058" s="22">
        <v>1.0</v>
      </c>
      <c r="F1058" s="22"/>
      <c r="G1058" s="22" t="s">
        <v>273</v>
      </c>
      <c r="H1058" s="26">
        <v>45998.0</v>
      </c>
      <c r="I1058" s="22" t="s">
        <v>149</v>
      </c>
      <c r="J1058" s="22" t="s">
        <v>869</v>
      </c>
      <c r="K1058" s="22" t="s">
        <v>881</v>
      </c>
      <c r="L1058" s="35" t="s">
        <v>6403</v>
      </c>
      <c r="M1058" s="32" t="s">
        <v>127</v>
      </c>
    </row>
    <row r="1059">
      <c r="A1059" s="22" t="s">
        <v>2348</v>
      </c>
      <c r="B1059" s="22" t="s">
        <v>3921</v>
      </c>
      <c r="C1059" s="22" t="s">
        <v>6404</v>
      </c>
      <c r="D1059" s="22" t="s">
        <v>837</v>
      </c>
      <c r="E1059" s="22">
        <v>1.0</v>
      </c>
      <c r="F1059" s="22"/>
      <c r="G1059" s="22" t="s">
        <v>82</v>
      </c>
      <c r="H1059" s="26">
        <v>45997.0</v>
      </c>
      <c r="I1059" s="22" t="s">
        <v>439</v>
      </c>
      <c r="J1059" s="22" t="s">
        <v>698</v>
      </c>
      <c r="K1059" s="22" t="s">
        <v>839</v>
      </c>
      <c r="L1059" s="35" t="s">
        <v>6405</v>
      </c>
      <c r="M1059" s="32" t="s">
        <v>105</v>
      </c>
    </row>
    <row r="1060">
      <c r="A1060" s="22" t="s">
        <v>2349</v>
      </c>
      <c r="B1060" s="22" t="s">
        <v>5014</v>
      </c>
      <c r="C1060" s="22" t="s">
        <v>6406</v>
      </c>
      <c r="D1060" s="22" t="s">
        <v>686</v>
      </c>
      <c r="E1060" s="22">
        <v>1.0</v>
      </c>
      <c r="F1060" s="22"/>
      <c r="G1060" s="22" t="s">
        <v>82</v>
      </c>
      <c r="H1060" s="26">
        <v>45997.0</v>
      </c>
      <c r="I1060" s="22" t="s">
        <v>134</v>
      </c>
      <c r="J1060" s="22" t="s">
        <v>451</v>
      </c>
      <c r="K1060" s="22" t="s">
        <v>688</v>
      </c>
      <c r="L1060" s="35" t="s">
        <v>6407</v>
      </c>
      <c r="M1060" s="32" t="s">
        <v>91</v>
      </c>
    </row>
    <row r="1061">
      <c r="A1061" s="22" t="s">
        <v>2350</v>
      </c>
      <c r="B1061" s="22" t="s">
        <v>6408</v>
      </c>
      <c r="C1061" s="22" t="s">
        <v>6409</v>
      </c>
      <c r="D1061" s="22" t="s">
        <v>689</v>
      </c>
      <c r="E1061" s="22">
        <v>1.0</v>
      </c>
      <c r="F1061" s="22"/>
      <c r="G1061" s="22" t="s">
        <v>82</v>
      </c>
      <c r="H1061" s="23">
        <v>46004.0</v>
      </c>
      <c r="I1061" s="22" t="s">
        <v>149</v>
      </c>
      <c r="J1061" s="22" t="s">
        <v>377</v>
      </c>
      <c r="K1061" s="22" t="s">
        <v>691</v>
      </c>
      <c r="L1061" s="35" t="s">
        <v>6410</v>
      </c>
      <c r="M1061" s="32" t="s">
        <v>175</v>
      </c>
    </row>
    <row r="1062">
      <c r="A1062" s="22" t="s">
        <v>2351</v>
      </c>
      <c r="B1062" s="22" t="s">
        <v>6411</v>
      </c>
      <c r="C1062" s="22" t="s">
        <v>6412</v>
      </c>
      <c r="D1062" s="22" t="s">
        <v>1217</v>
      </c>
      <c r="E1062" s="22">
        <v>1.0</v>
      </c>
      <c r="F1062" s="22"/>
      <c r="G1062" s="22" t="s">
        <v>82</v>
      </c>
      <c r="H1062" s="26">
        <v>45997.0</v>
      </c>
      <c r="I1062" s="22" t="s">
        <v>1117</v>
      </c>
      <c r="J1062" s="22" t="s">
        <v>605</v>
      </c>
      <c r="K1062" s="22" t="s">
        <v>1219</v>
      </c>
      <c r="L1062" s="35" t="s">
        <v>6413</v>
      </c>
      <c r="M1062" s="32" t="s">
        <v>91</v>
      </c>
    </row>
    <row r="1063">
      <c r="A1063" s="22" t="s">
        <v>2354</v>
      </c>
      <c r="B1063" s="22" t="s">
        <v>6143</v>
      </c>
      <c r="C1063" s="22" t="s">
        <v>6144</v>
      </c>
      <c r="D1063" s="22" t="s">
        <v>200</v>
      </c>
      <c r="E1063" s="22">
        <v>1.0</v>
      </c>
      <c r="F1063" s="22"/>
      <c r="G1063" s="22" t="s">
        <v>82</v>
      </c>
      <c r="H1063" s="23">
        <v>45982.0</v>
      </c>
      <c r="I1063" s="22" t="s">
        <v>134</v>
      </c>
      <c r="J1063" s="22" t="s">
        <v>203</v>
      </c>
      <c r="K1063" s="22" t="s">
        <v>206</v>
      </c>
      <c r="L1063" s="35" t="s">
        <v>6414</v>
      </c>
      <c r="M1063" s="32" t="s">
        <v>54</v>
      </c>
    </row>
    <row r="1064">
      <c r="A1064" s="22" t="s">
        <v>2354</v>
      </c>
      <c r="B1064" s="22" t="s">
        <v>6143</v>
      </c>
      <c r="C1064" s="22" t="s">
        <v>6144</v>
      </c>
      <c r="D1064" s="22" t="s">
        <v>1899</v>
      </c>
      <c r="E1064" s="22">
        <v>1.0</v>
      </c>
      <c r="F1064" s="22"/>
      <c r="G1064" s="22" t="s">
        <v>82</v>
      </c>
      <c r="H1064" s="23">
        <v>45982.0</v>
      </c>
      <c r="I1064" s="22" t="s">
        <v>134</v>
      </c>
      <c r="J1064" s="22" t="s">
        <v>203</v>
      </c>
      <c r="K1064" s="22" t="s">
        <v>1901</v>
      </c>
      <c r="L1064" s="35" t="s">
        <v>6415</v>
      </c>
      <c r="M1064" s="32" t="s">
        <v>105</v>
      </c>
    </row>
    <row r="1065">
      <c r="A1065" s="22" t="s">
        <v>2354</v>
      </c>
      <c r="B1065" s="22" t="s">
        <v>6143</v>
      </c>
      <c r="C1065" s="22" t="s">
        <v>6144</v>
      </c>
      <c r="D1065" s="25"/>
      <c r="E1065" s="25"/>
      <c r="F1065" s="22"/>
      <c r="G1065" s="22" t="s">
        <v>82</v>
      </c>
      <c r="H1065" s="23">
        <v>45982.0</v>
      </c>
      <c r="I1065" s="22" t="s">
        <v>134</v>
      </c>
      <c r="J1065" s="22" t="s">
        <v>203</v>
      </c>
      <c r="K1065" s="22" t="s">
        <v>2352</v>
      </c>
      <c r="L1065" s="35" t="s">
        <v>6416</v>
      </c>
    </row>
    <row r="1066">
      <c r="A1066" s="22" t="s">
        <v>2356</v>
      </c>
      <c r="B1066" s="22" t="s">
        <v>6417</v>
      </c>
      <c r="C1066" s="22" t="s">
        <v>4390</v>
      </c>
      <c r="D1066" s="22" t="s">
        <v>92</v>
      </c>
      <c r="E1066" s="22">
        <v>1.0</v>
      </c>
      <c r="F1066" s="22"/>
      <c r="G1066" s="22" t="s">
        <v>1284</v>
      </c>
      <c r="H1066" s="26">
        <v>45993.0</v>
      </c>
      <c r="I1066" s="22" t="s">
        <v>252</v>
      </c>
      <c r="J1066" s="22" t="s">
        <v>83</v>
      </c>
      <c r="K1066" s="22" t="s">
        <v>94</v>
      </c>
      <c r="L1066" s="35" t="s">
        <v>6418</v>
      </c>
      <c r="M1066" s="32" t="s">
        <v>95</v>
      </c>
    </row>
    <row r="1067">
      <c r="A1067" s="22" t="s">
        <v>2358</v>
      </c>
      <c r="B1067" s="22" t="s">
        <v>4467</v>
      </c>
      <c r="C1067" s="22" t="s">
        <v>6419</v>
      </c>
      <c r="D1067" s="22" t="s">
        <v>560</v>
      </c>
      <c r="E1067" s="22">
        <v>1.0</v>
      </c>
      <c r="F1067" s="22"/>
      <c r="G1067" s="22" t="s">
        <v>273</v>
      </c>
      <c r="H1067" s="23">
        <v>45991.0</v>
      </c>
      <c r="I1067" s="22" t="s">
        <v>149</v>
      </c>
      <c r="J1067" s="22" t="s">
        <v>356</v>
      </c>
      <c r="K1067" s="22" t="s">
        <v>563</v>
      </c>
      <c r="L1067" s="35" t="s">
        <v>6420</v>
      </c>
      <c r="M1067" s="32" t="s">
        <v>91</v>
      </c>
    </row>
    <row r="1068">
      <c r="A1068" s="22" t="s">
        <v>2359</v>
      </c>
      <c r="B1068" s="22" t="s">
        <v>3834</v>
      </c>
      <c r="C1068" s="22" t="s">
        <v>6421</v>
      </c>
      <c r="D1068" s="22" t="s">
        <v>375</v>
      </c>
      <c r="E1068" s="22">
        <v>1.0</v>
      </c>
      <c r="F1068" s="22"/>
      <c r="G1068" s="22" t="s">
        <v>82</v>
      </c>
      <c r="H1068" s="26">
        <v>45997.0</v>
      </c>
      <c r="I1068" s="22" t="s">
        <v>153</v>
      </c>
      <c r="J1068" s="22" t="s">
        <v>377</v>
      </c>
      <c r="K1068" s="22" t="s">
        <v>380</v>
      </c>
      <c r="L1068" s="35" t="s">
        <v>6422</v>
      </c>
      <c r="M1068" s="32" t="s">
        <v>55</v>
      </c>
    </row>
    <row r="1069">
      <c r="A1069" s="22" t="s">
        <v>2361</v>
      </c>
      <c r="B1069" s="22" t="s">
        <v>3946</v>
      </c>
      <c r="C1069" s="22" t="s">
        <v>6423</v>
      </c>
      <c r="D1069" s="22" t="s">
        <v>339</v>
      </c>
      <c r="E1069" s="22">
        <v>1.0</v>
      </c>
      <c r="F1069" s="22"/>
      <c r="G1069" s="22" t="s">
        <v>82</v>
      </c>
      <c r="H1069" s="26">
        <v>45997.0</v>
      </c>
      <c r="I1069" s="22" t="s">
        <v>1054</v>
      </c>
      <c r="J1069" s="22" t="s">
        <v>341</v>
      </c>
      <c r="K1069" s="22" t="s">
        <v>344</v>
      </c>
      <c r="L1069" s="35" t="s">
        <v>6424</v>
      </c>
      <c r="M1069" s="32" t="s">
        <v>55</v>
      </c>
    </row>
    <row r="1070">
      <c r="A1070" s="22" t="s">
        <v>2363</v>
      </c>
      <c r="B1070" s="22" t="s">
        <v>4074</v>
      </c>
      <c r="C1070" s="22" t="s">
        <v>6425</v>
      </c>
      <c r="D1070" s="22" t="s">
        <v>515</v>
      </c>
      <c r="E1070" s="22">
        <v>1.0</v>
      </c>
      <c r="F1070" s="22"/>
      <c r="G1070" s="22" t="s">
        <v>82</v>
      </c>
      <c r="H1070" s="23">
        <v>46004.0</v>
      </c>
      <c r="I1070" s="22" t="s">
        <v>134</v>
      </c>
      <c r="J1070" s="22" t="s">
        <v>472</v>
      </c>
      <c r="K1070" s="22" t="s">
        <v>519</v>
      </c>
      <c r="L1070" s="35" t="s">
        <v>6426</v>
      </c>
      <c r="M1070" s="32" t="s">
        <v>55</v>
      </c>
    </row>
    <row r="1071">
      <c r="A1071" s="22" t="s">
        <v>2364</v>
      </c>
      <c r="B1071" s="22" t="s">
        <v>6427</v>
      </c>
      <c r="C1071" s="22" t="s">
        <v>6428</v>
      </c>
      <c r="D1071" s="22" t="s">
        <v>92</v>
      </c>
      <c r="E1071" s="22">
        <v>1.0</v>
      </c>
      <c r="F1071" s="22"/>
      <c r="G1071" s="22" t="s">
        <v>273</v>
      </c>
      <c r="H1071" s="23">
        <v>45991.0</v>
      </c>
      <c r="I1071" s="22" t="s">
        <v>149</v>
      </c>
      <c r="J1071" s="22" t="s">
        <v>83</v>
      </c>
      <c r="K1071" s="22" t="s">
        <v>94</v>
      </c>
      <c r="L1071" s="35" t="s">
        <v>6429</v>
      </c>
      <c r="M1071" s="32" t="s">
        <v>95</v>
      </c>
    </row>
    <row r="1072">
      <c r="A1072" s="22" t="s">
        <v>2366</v>
      </c>
      <c r="B1072" s="22" t="s">
        <v>3787</v>
      </c>
      <c r="C1072" s="22" t="s">
        <v>6430</v>
      </c>
      <c r="D1072" s="22" t="s">
        <v>209</v>
      </c>
      <c r="E1072" s="22">
        <v>1.0</v>
      </c>
      <c r="F1072" s="22"/>
      <c r="G1072" s="22" t="s">
        <v>82</v>
      </c>
      <c r="H1072" s="26">
        <v>45997.0</v>
      </c>
      <c r="I1072" s="22" t="s">
        <v>177</v>
      </c>
      <c r="J1072" s="22" t="s">
        <v>111</v>
      </c>
      <c r="K1072" s="22" t="s">
        <v>214</v>
      </c>
      <c r="L1072" s="35" t="s">
        <v>6431</v>
      </c>
      <c r="M1072" s="32" t="s">
        <v>91</v>
      </c>
    </row>
    <row r="1073">
      <c r="A1073" s="22" t="s">
        <v>2369</v>
      </c>
      <c r="B1073" s="22" t="s">
        <v>6432</v>
      </c>
      <c r="C1073" s="22" t="s">
        <v>6433</v>
      </c>
      <c r="D1073" s="22" t="s">
        <v>92</v>
      </c>
      <c r="E1073" s="22">
        <v>1.0</v>
      </c>
      <c r="F1073" s="22"/>
      <c r="G1073" s="22" t="s">
        <v>82</v>
      </c>
      <c r="H1073" s="26">
        <v>45997.0</v>
      </c>
      <c r="I1073" s="22" t="s">
        <v>480</v>
      </c>
      <c r="J1073" s="22" t="s">
        <v>83</v>
      </c>
      <c r="K1073" s="22" t="s">
        <v>94</v>
      </c>
      <c r="L1073" s="35" t="s">
        <v>6434</v>
      </c>
      <c r="M1073" s="32" t="s">
        <v>95</v>
      </c>
    </row>
    <row r="1074">
      <c r="A1074" s="22" t="s">
        <v>2371</v>
      </c>
      <c r="B1074" s="22" t="s">
        <v>6435</v>
      </c>
      <c r="C1074" s="22" t="s">
        <v>6436</v>
      </c>
      <c r="D1074" s="22" t="s">
        <v>141</v>
      </c>
      <c r="E1074" s="22">
        <v>1.0</v>
      </c>
      <c r="F1074" s="22"/>
      <c r="G1074" s="22" t="s">
        <v>273</v>
      </c>
      <c r="H1074" s="26">
        <v>45998.0</v>
      </c>
      <c r="I1074" s="22" t="s">
        <v>266</v>
      </c>
      <c r="J1074" s="22" t="s">
        <v>83</v>
      </c>
      <c r="K1074" s="22" t="s">
        <v>143</v>
      </c>
      <c r="L1074" s="35" t="s">
        <v>6437</v>
      </c>
      <c r="M1074" s="32" t="s">
        <v>54</v>
      </c>
    </row>
    <row r="1075">
      <c r="A1075" s="22" t="s">
        <v>212</v>
      </c>
      <c r="B1075" s="22" t="s">
        <v>4114</v>
      </c>
      <c r="C1075" s="22" t="s">
        <v>6438</v>
      </c>
      <c r="D1075" s="22" t="s">
        <v>209</v>
      </c>
      <c r="E1075" s="22">
        <v>1.0</v>
      </c>
      <c r="F1075" s="22"/>
      <c r="G1075" s="22" t="s">
        <v>82</v>
      </c>
      <c r="H1075" s="23">
        <v>45990.0</v>
      </c>
      <c r="I1075" s="22" t="s">
        <v>211</v>
      </c>
      <c r="J1075" s="22" t="s">
        <v>111</v>
      </c>
      <c r="K1075" s="22" t="s">
        <v>214</v>
      </c>
      <c r="L1075" s="35" t="s">
        <v>6439</v>
      </c>
      <c r="M1075" s="32" t="s">
        <v>91</v>
      </c>
    </row>
    <row r="1076">
      <c r="A1076" s="22" t="s">
        <v>2372</v>
      </c>
      <c r="B1076" s="22" t="s">
        <v>6440</v>
      </c>
      <c r="C1076" s="22" t="s">
        <v>3936</v>
      </c>
      <c r="D1076" s="22" t="s">
        <v>592</v>
      </c>
      <c r="E1076" s="22">
        <v>1.0</v>
      </c>
      <c r="F1076" s="22"/>
      <c r="G1076" s="22" t="s">
        <v>273</v>
      </c>
      <c r="H1076" s="26">
        <v>45998.0</v>
      </c>
      <c r="I1076" s="22" t="s">
        <v>149</v>
      </c>
      <c r="J1076" s="22" t="s">
        <v>311</v>
      </c>
      <c r="K1076" s="22" t="s">
        <v>594</v>
      </c>
      <c r="L1076" s="35" t="s">
        <v>6441</v>
      </c>
      <c r="M1076" s="32" t="s">
        <v>54</v>
      </c>
    </row>
    <row r="1077">
      <c r="A1077" s="22" t="s">
        <v>6442</v>
      </c>
      <c r="B1077" s="22" t="s">
        <v>4872</v>
      </c>
      <c r="C1077" s="22" t="s">
        <v>6443</v>
      </c>
      <c r="D1077" s="22" t="s">
        <v>4565</v>
      </c>
      <c r="E1077" s="22">
        <v>1.0</v>
      </c>
      <c r="F1077" s="22"/>
      <c r="G1077" s="22" t="s">
        <v>294</v>
      </c>
      <c r="H1077" s="26">
        <v>45992.0</v>
      </c>
      <c r="I1077" s="22" t="s">
        <v>149</v>
      </c>
      <c r="J1077" s="22" t="s">
        <v>4346</v>
      </c>
      <c r="K1077" s="22" t="s">
        <v>4566</v>
      </c>
      <c r="L1077" s="35" t="s">
        <v>6444</v>
      </c>
      <c r="M1077" s="32" t="s">
        <v>54</v>
      </c>
    </row>
    <row r="1078">
      <c r="A1078" s="22" t="s">
        <v>2373</v>
      </c>
      <c r="B1078" s="22" t="s">
        <v>5028</v>
      </c>
      <c r="C1078" s="22" t="s">
        <v>6445</v>
      </c>
      <c r="D1078" s="22" t="s">
        <v>367</v>
      </c>
      <c r="E1078" s="22">
        <v>1.0</v>
      </c>
      <c r="F1078" s="22"/>
      <c r="G1078" s="22" t="s">
        <v>273</v>
      </c>
      <c r="H1078" s="26">
        <v>45998.0</v>
      </c>
      <c r="I1078" s="22" t="s">
        <v>134</v>
      </c>
      <c r="J1078" s="22" t="s">
        <v>369</v>
      </c>
      <c r="K1078" s="22" t="s">
        <v>372</v>
      </c>
      <c r="L1078" s="35" t="s">
        <v>6446</v>
      </c>
      <c r="M1078" s="32" t="s">
        <v>55</v>
      </c>
    </row>
    <row r="1079">
      <c r="A1079" s="22" t="s">
        <v>2374</v>
      </c>
      <c r="B1079" s="22" t="s">
        <v>3793</v>
      </c>
      <c r="C1079" s="22" t="s">
        <v>6447</v>
      </c>
      <c r="D1079" s="22" t="s">
        <v>367</v>
      </c>
      <c r="E1079" s="22">
        <v>1.0</v>
      </c>
      <c r="F1079" s="22"/>
      <c r="G1079" s="22" t="s">
        <v>273</v>
      </c>
      <c r="H1079" s="26">
        <v>45998.0</v>
      </c>
      <c r="I1079" s="22" t="s">
        <v>266</v>
      </c>
      <c r="J1079" s="22" t="s">
        <v>369</v>
      </c>
      <c r="K1079" s="22" t="s">
        <v>372</v>
      </c>
      <c r="L1079" s="35" t="s">
        <v>6448</v>
      </c>
      <c r="M1079" s="32" t="s">
        <v>55</v>
      </c>
    </row>
    <row r="1080">
      <c r="A1080" s="22" t="s">
        <v>2375</v>
      </c>
      <c r="B1080" s="22" t="s">
        <v>4114</v>
      </c>
      <c r="C1080" s="22" t="s">
        <v>6449</v>
      </c>
      <c r="D1080" s="22" t="s">
        <v>803</v>
      </c>
      <c r="E1080" s="22">
        <v>1.0</v>
      </c>
      <c r="F1080" s="22"/>
      <c r="G1080" s="22" t="s">
        <v>82</v>
      </c>
      <c r="H1080" s="26">
        <v>45997.0</v>
      </c>
      <c r="I1080" s="22" t="s">
        <v>266</v>
      </c>
      <c r="J1080" s="22" t="s">
        <v>623</v>
      </c>
      <c r="K1080" s="22" t="s">
        <v>805</v>
      </c>
      <c r="L1080" s="35" t="s">
        <v>6450</v>
      </c>
      <c r="M1080" s="32" t="s">
        <v>95</v>
      </c>
    </row>
    <row r="1081">
      <c r="A1081" s="22" t="s">
        <v>2376</v>
      </c>
      <c r="B1081" s="22" t="s">
        <v>4441</v>
      </c>
      <c r="C1081" s="22" t="s">
        <v>5574</v>
      </c>
      <c r="D1081" s="22" t="s">
        <v>778</v>
      </c>
      <c r="E1081" s="22">
        <v>1.0</v>
      </c>
      <c r="F1081" s="22"/>
      <c r="G1081" s="22" t="s">
        <v>273</v>
      </c>
      <c r="H1081" s="26">
        <v>45998.0</v>
      </c>
      <c r="I1081" s="22" t="s">
        <v>439</v>
      </c>
      <c r="J1081" s="22" t="s">
        <v>440</v>
      </c>
      <c r="K1081" s="22" t="s">
        <v>780</v>
      </c>
      <c r="L1081" s="35" t="s">
        <v>6451</v>
      </c>
      <c r="M1081" s="32" t="s">
        <v>127</v>
      </c>
    </row>
    <row r="1082">
      <c r="A1082" s="22" t="s">
        <v>2345</v>
      </c>
      <c r="B1082" s="22" t="s">
        <v>3825</v>
      </c>
      <c r="C1082" s="22" t="s">
        <v>6452</v>
      </c>
      <c r="D1082" s="22" t="s">
        <v>495</v>
      </c>
      <c r="E1082" s="22">
        <v>1.0</v>
      </c>
      <c r="F1082" s="22"/>
      <c r="G1082" s="22" t="s">
        <v>273</v>
      </c>
      <c r="H1082" s="23">
        <v>45991.0</v>
      </c>
      <c r="I1082" s="22" t="s">
        <v>145</v>
      </c>
      <c r="J1082" s="22" t="s">
        <v>329</v>
      </c>
      <c r="K1082" s="22" t="s">
        <v>500</v>
      </c>
      <c r="L1082" s="35" t="s">
        <v>6453</v>
      </c>
      <c r="M1082" s="32" t="s">
        <v>54</v>
      </c>
    </row>
    <row r="1083">
      <c r="A1083" s="22" t="s">
        <v>2346</v>
      </c>
      <c r="B1083" s="22" t="s">
        <v>3959</v>
      </c>
      <c r="C1083" s="22" t="s">
        <v>6454</v>
      </c>
      <c r="D1083" s="22" t="s">
        <v>96</v>
      </c>
      <c r="E1083" s="22">
        <v>1.0</v>
      </c>
      <c r="F1083" s="22"/>
      <c r="G1083" s="22" t="s">
        <v>273</v>
      </c>
      <c r="H1083" s="23">
        <v>45991.0</v>
      </c>
      <c r="I1083" s="22" t="s">
        <v>153</v>
      </c>
      <c r="J1083" s="22" t="s">
        <v>83</v>
      </c>
      <c r="K1083" s="22" t="s">
        <v>98</v>
      </c>
      <c r="L1083" s="35" t="s">
        <v>6455</v>
      </c>
      <c r="M1083" s="32" t="s">
        <v>55</v>
      </c>
    </row>
    <row r="1084">
      <c r="A1084" s="22" t="s">
        <v>2347</v>
      </c>
      <c r="B1084" s="22" t="s">
        <v>6456</v>
      </c>
      <c r="C1084" s="22" t="s">
        <v>6457</v>
      </c>
      <c r="D1084" s="22" t="s">
        <v>1217</v>
      </c>
      <c r="E1084" s="22">
        <v>1.0</v>
      </c>
      <c r="F1084" s="22"/>
      <c r="G1084" s="22" t="s">
        <v>82</v>
      </c>
      <c r="H1084" s="26">
        <v>45997.0</v>
      </c>
      <c r="I1084" s="22" t="s">
        <v>196</v>
      </c>
      <c r="J1084" s="22" t="s">
        <v>605</v>
      </c>
      <c r="K1084" s="22" t="s">
        <v>1219</v>
      </c>
      <c r="L1084" s="35" t="s">
        <v>6458</v>
      </c>
      <c r="M1084" s="32" t="s">
        <v>91</v>
      </c>
    </row>
    <row r="1085">
      <c r="A1085" s="22" t="s">
        <v>2377</v>
      </c>
      <c r="B1085" s="22" t="s">
        <v>6459</v>
      </c>
      <c r="C1085" s="22" t="s">
        <v>6460</v>
      </c>
      <c r="D1085" s="22" t="s">
        <v>692</v>
      </c>
      <c r="E1085" s="22">
        <v>1.0</v>
      </c>
      <c r="F1085" s="22"/>
      <c r="G1085" s="22" t="s">
        <v>273</v>
      </c>
      <c r="H1085" s="26">
        <v>45998.0</v>
      </c>
      <c r="I1085" s="22" t="s">
        <v>153</v>
      </c>
      <c r="J1085" s="22" t="s">
        <v>369</v>
      </c>
      <c r="K1085" s="22" t="s">
        <v>694</v>
      </c>
      <c r="L1085" s="35" t="s">
        <v>6461</v>
      </c>
      <c r="M1085" s="32" t="s">
        <v>54</v>
      </c>
    </row>
    <row r="1086">
      <c r="A1086" s="22" t="s">
        <v>2381</v>
      </c>
      <c r="B1086" s="22" t="s">
        <v>6462</v>
      </c>
      <c r="C1086" s="22" t="s">
        <v>6463</v>
      </c>
      <c r="D1086" s="22" t="s">
        <v>495</v>
      </c>
      <c r="E1086" s="22">
        <v>1.0</v>
      </c>
      <c r="F1086" s="22"/>
      <c r="G1086" s="22" t="s">
        <v>273</v>
      </c>
      <c r="H1086" s="23">
        <v>45991.0</v>
      </c>
      <c r="I1086" s="22" t="s">
        <v>138</v>
      </c>
      <c r="J1086" s="22" t="s">
        <v>329</v>
      </c>
      <c r="K1086" s="22" t="s">
        <v>500</v>
      </c>
      <c r="L1086" s="35" t="s">
        <v>6464</v>
      </c>
      <c r="M1086" s="32" t="s">
        <v>54</v>
      </c>
    </row>
    <row r="1087">
      <c r="A1087" s="22" t="s">
        <v>2383</v>
      </c>
      <c r="B1087" s="22" t="s">
        <v>5574</v>
      </c>
      <c r="C1087" s="22" t="s">
        <v>6465</v>
      </c>
      <c r="D1087" s="22" t="s">
        <v>1078</v>
      </c>
      <c r="E1087" s="22">
        <v>1.0</v>
      </c>
      <c r="F1087" s="22"/>
      <c r="G1087" s="22" t="s">
        <v>1284</v>
      </c>
      <c r="H1087" s="26">
        <v>45993.0</v>
      </c>
      <c r="I1087" s="22" t="s">
        <v>149</v>
      </c>
      <c r="J1087" s="22" t="s">
        <v>717</v>
      </c>
      <c r="K1087" s="22" t="s">
        <v>1082</v>
      </c>
      <c r="L1087" s="35" t="s">
        <v>6466</v>
      </c>
      <c r="M1087" s="32" t="s">
        <v>105</v>
      </c>
    </row>
    <row r="1088">
      <c r="A1088" s="22" t="s">
        <v>2383</v>
      </c>
      <c r="B1088" s="22" t="s">
        <v>5574</v>
      </c>
      <c r="C1088" s="22" t="s">
        <v>6465</v>
      </c>
      <c r="D1088" s="22" t="s">
        <v>1601</v>
      </c>
      <c r="E1088" s="22">
        <v>1.0</v>
      </c>
      <c r="F1088" s="22"/>
      <c r="G1088" s="22" t="s">
        <v>1284</v>
      </c>
      <c r="H1088" s="26">
        <v>45993.0</v>
      </c>
      <c r="I1088" s="22" t="s">
        <v>149</v>
      </c>
      <c r="J1088" s="22" t="s">
        <v>717</v>
      </c>
      <c r="K1088" s="22" t="s">
        <v>1605</v>
      </c>
      <c r="L1088" s="35" t="s">
        <v>6467</v>
      </c>
      <c r="M1088" s="32" t="s">
        <v>175</v>
      </c>
    </row>
    <row r="1089">
      <c r="A1089" s="22" t="s">
        <v>2385</v>
      </c>
      <c r="B1089" s="22" t="s">
        <v>6468</v>
      </c>
      <c r="C1089" s="22" t="s">
        <v>6469</v>
      </c>
      <c r="D1089" s="22" t="s">
        <v>879</v>
      </c>
      <c r="E1089" s="22">
        <v>1.0</v>
      </c>
      <c r="F1089" s="22"/>
      <c r="G1089" s="22" t="s">
        <v>273</v>
      </c>
      <c r="H1089" s="26">
        <v>45998.0</v>
      </c>
      <c r="I1089" s="22" t="s">
        <v>149</v>
      </c>
      <c r="J1089" s="22" t="s">
        <v>869</v>
      </c>
      <c r="K1089" s="22" t="s">
        <v>881</v>
      </c>
      <c r="L1089" s="35" t="s">
        <v>6470</v>
      </c>
      <c r="M1089" s="32" t="s">
        <v>127</v>
      </c>
    </row>
    <row r="1090">
      <c r="A1090" s="22" t="s">
        <v>2386</v>
      </c>
      <c r="B1090" s="22" t="s">
        <v>4600</v>
      </c>
      <c r="C1090" s="22" t="s">
        <v>6471</v>
      </c>
      <c r="D1090" s="22" t="s">
        <v>80</v>
      </c>
      <c r="E1090" s="22">
        <v>1.0</v>
      </c>
      <c r="F1090" s="22"/>
      <c r="G1090" s="22" t="s">
        <v>273</v>
      </c>
      <c r="H1090" s="26">
        <v>45998.0</v>
      </c>
      <c r="I1090" s="22" t="s">
        <v>196</v>
      </c>
      <c r="J1090" s="22" t="s">
        <v>83</v>
      </c>
      <c r="K1090" s="22" t="s">
        <v>86</v>
      </c>
      <c r="L1090" s="35" t="s">
        <v>6472</v>
      </c>
      <c r="M1090" s="32" t="s">
        <v>91</v>
      </c>
    </row>
    <row r="1091">
      <c r="A1091" s="22" t="s">
        <v>2387</v>
      </c>
      <c r="B1091" s="22" t="s">
        <v>5461</v>
      </c>
      <c r="C1091" s="22" t="s">
        <v>6473</v>
      </c>
      <c r="D1091" s="22" t="s">
        <v>689</v>
      </c>
      <c r="E1091" s="22">
        <v>1.0</v>
      </c>
      <c r="F1091" s="22"/>
      <c r="G1091" s="22" t="s">
        <v>82</v>
      </c>
      <c r="H1091" s="26">
        <v>45997.0</v>
      </c>
      <c r="I1091" s="22" t="s">
        <v>153</v>
      </c>
      <c r="J1091" s="22" t="s">
        <v>377</v>
      </c>
      <c r="K1091" s="22" t="s">
        <v>691</v>
      </c>
      <c r="L1091" s="35" t="s">
        <v>6474</v>
      </c>
      <c r="M1091" s="32" t="s">
        <v>175</v>
      </c>
    </row>
    <row r="1092">
      <c r="A1092" s="22" t="s">
        <v>2388</v>
      </c>
      <c r="B1092" s="22" t="s">
        <v>4228</v>
      </c>
      <c r="C1092" s="22" t="s">
        <v>6475</v>
      </c>
      <c r="D1092" s="22" t="s">
        <v>595</v>
      </c>
      <c r="E1092" s="22">
        <v>1.0</v>
      </c>
      <c r="F1092" s="22"/>
      <c r="G1092" s="22" t="s">
        <v>273</v>
      </c>
      <c r="H1092" s="26">
        <v>45998.0</v>
      </c>
      <c r="I1092" s="22" t="s">
        <v>196</v>
      </c>
      <c r="J1092" s="22" t="s">
        <v>369</v>
      </c>
      <c r="K1092" s="22" t="s">
        <v>599</v>
      </c>
      <c r="L1092" s="35" t="s">
        <v>6476</v>
      </c>
      <c r="M1092" s="32" t="s">
        <v>127</v>
      </c>
    </row>
    <row r="1093">
      <c r="A1093" s="22" t="s">
        <v>2394</v>
      </c>
      <c r="B1093" s="22" t="s">
        <v>3749</v>
      </c>
      <c r="C1093" s="22" t="s">
        <v>6477</v>
      </c>
      <c r="D1093" s="22" t="s">
        <v>814</v>
      </c>
      <c r="E1093" s="22">
        <v>1.0</v>
      </c>
      <c r="F1093" s="22"/>
      <c r="G1093" s="22" t="s">
        <v>82</v>
      </c>
      <c r="H1093" s="26">
        <v>45997.0</v>
      </c>
      <c r="I1093" s="22" t="s">
        <v>187</v>
      </c>
      <c r="J1093" s="22" t="s">
        <v>698</v>
      </c>
      <c r="K1093" s="22" t="s">
        <v>818</v>
      </c>
      <c r="L1093" s="35" t="s">
        <v>6478</v>
      </c>
      <c r="M1093" s="32" t="s">
        <v>127</v>
      </c>
    </row>
    <row r="1094">
      <c r="A1094" s="22" t="s">
        <v>2432</v>
      </c>
      <c r="B1094" s="22" t="s">
        <v>4150</v>
      </c>
      <c r="C1094" s="22" t="s">
        <v>6479</v>
      </c>
      <c r="D1094" s="22" t="s">
        <v>658</v>
      </c>
      <c r="E1094" s="22">
        <v>1.0</v>
      </c>
      <c r="F1094" s="22"/>
      <c r="G1094" s="22" t="s">
        <v>82</v>
      </c>
      <c r="H1094" s="23">
        <v>46004.0</v>
      </c>
      <c r="I1094" s="22" t="s">
        <v>1054</v>
      </c>
      <c r="J1094" s="22" t="s">
        <v>341</v>
      </c>
      <c r="K1094" s="22" t="s">
        <v>662</v>
      </c>
      <c r="L1094" s="35" t="s">
        <v>6480</v>
      </c>
      <c r="M1094" s="32" t="s">
        <v>95</v>
      </c>
    </row>
    <row r="1095">
      <c r="A1095" s="22" t="s">
        <v>2435</v>
      </c>
      <c r="B1095" s="22" t="s">
        <v>6481</v>
      </c>
      <c r="C1095" s="22" t="s">
        <v>6392</v>
      </c>
      <c r="D1095" s="22" t="s">
        <v>96</v>
      </c>
      <c r="E1095" s="22">
        <v>1.0</v>
      </c>
      <c r="F1095" s="22"/>
      <c r="G1095" s="22" t="s">
        <v>287</v>
      </c>
      <c r="H1095" s="26">
        <v>45994.0</v>
      </c>
      <c r="I1095" s="22" t="s">
        <v>134</v>
      </c>
      <c r="J1095" s="22" t="s">
        <v>83</v>
      </c>
      <c r="K1095" s="22" t="s">
        <v>98</v>
      </c>
      <c r="L1095" s="35" t="s">
        <v>6482</v>
      </c>
      <c r="M1095" s="32" t="s">
        <v>55</v>
      </c>
    </row>
    <row r="1096">
      <c r="A1096" s="22" t="s">
        <v>215</v>
      </c>
      <c r="B1096" s="22" t="s">
        <v>6483</v>
      </c>
      <c r="C1096" s="22" t="s">
        <v>6484</v>
      </c>
      <c r="D1096" s="22" t="s">
        <v>80</v>
      </c>
      <c r="E1096" s="22">
        <v>1.0</v>
      </c>
      <c r="F1096" s="22"/>
      <c r="G1096" s="22" t="s">
        <v>82</v>
      </c>
      <c r="H1096" s="23">
        <v>45990.0</v>
      </c>
      <c r="I1096" s="22" t="s">
        <v>149</v>
      </c>
      <c r="J1096" s="22" t="s">
        <v>83</v>
      </c>
      <c r="K1096" s="22" t="s">
        <v>86</v>
      </c>
      <c r="L1096" s="35" t="s">
        <v>6485</v>
      </c>
      <c r="M1096" s="32" t="s">
        <v>91</v>
      </c>
    </row>
    <row r="1097">
      <c r="A1097" s="22" t="s">
        <v>2396</v>
      </c>
      <c r="B1097" s="22" t="s">
        <v>6486</v>
      </c>
      <c r="C1097" s="22" t="s">
        <v>6487</v>
      </c>
      <c r="D1097" s="22" t="s">
        <v>80</v>
      </c>
      <c r="E1097" s="22">
        <v>1.0</v>
      </c>
      <c r="F1097" s="22"/>
      <c r="G1097" s="22" t="s">
        <v>294</v>
      </c>
      <c r="H1097" s="26">
        <v>45992.0</v>
      </c>
      <c r="I1097" s="22" t="s">
        <v>981</v>
      </c>
      <c r="J1097" s="22" t="s">
        <v>83</v>
      </c>
      <c r="K1097" s="22" t="s">
        <v>86</v>
      </c>
      <c r="L1097" s="35" t="s">
        <v>6488</v>
      </c>
      <c r="M1097" s="32" t="s">
        <v>91</v>
      </c>
    </row>
    <row r="1098">
      <c r="A1098" s="22" t="s">
        <v>2398</v>
      </c>
      <c r="B1098" s="22" t="s">
        <v>6432</v>
      </c>
      <c r="C1098" s="22" t="s">
        <v>6489</v>
      </c>
      <c r="D1098" s="22" t="s">
        <v>692</v>
      </c>
      <c r="E1098" s="22">
        <v>1.0</v>
      </c>
      <c r="F1098" s="22"/>
      <c r="G1098" s="22" t="s">
        <v>273</v>
      </c>
      <c r="H1098" s="26">
        <v>45998.0</v>
      </c>
      <c r="I1098" s="22" t="s">
        <v>138</v>
      </c>
      <c r="J1098" s="22" t="s">
        <v>369</v>
      </c>
      <c r="K1098" s="22" t="s">
        <v>694</v>
      </c>
      <c r="L1098" s="35" t="s">
        <v>6490</v>
      </c>
      <c r="M1098" s="32" t="s">
        <v>54</v>
      </c>
    </row>
    <row r="1099">
      <c r="A1099" s="22" t="s">
        <v>2399</v>
      </c>
      <c r="B1099" s="22" t="s">
        <v>5207</v>
      </c>
      <c r="C1099" s="22" t="s">
        <v>6491</v>
      </c>
      <c r="D1099" s="22" t="s">
        <v>879</v>
      </c>
      <c r="E1099" s="22">
        <v>1.0</v>
      </c>
      <c r="F1099" s="22"/>
      <c r="G1099" s="22" t="s">
        <v>273</v>
      </c>
      <c r="H1099" s="26">
        <v>45998.0</v>
      </c>
      <c r="I1099" s="22" t="s">
        <v>196</v>
      </c>
      <c r="J1099" s="22" t="s">
        <v>869</v>
      </c>
      <c r="K1099" s="22" t="s">
        <v>881</v>
      </c>
      <c r="L1099" s="35" t="s">
        <v>6492</v>
      </c>
      <c r="M1099" s="32" t="s">
        <v>127</v>
      </c>
    </row>
    <row r="1100">
      <c r="A1100" s="22" t="s">
        <v>2401</v>
      </c>
      <c r="B1100" s="22" t="s">
        <v>6493</v>
      </c>
      <c r="C1100" s="22" t="s">
        <v>6494</v>
      </c>
      <c r="D1100" s="22" t="s">
        <v>1078</v>
      </c>
      <c r="E1100" s="22">
        <v>1.0</v>
      </c>
      <c r="F1100" s="22"/>
      <c r="G1100" s="22" t="s">
        <v>336</v>
      </c>
      <c r="H1100" s="26">
        <v>45995.0</v>
      </c>
      <c r="I1100" s="22" t="s">
        <v>153</v>
      </c>
      <c r="J1100" s="22" t="s">
        <v>717</v>
      </c>
      <c r="K1100" s="22" t="s">
        <v>1082</v>
      </c>
      <c r="L1100" s="35" t="s">
        <v>6495</v>
      </c>
      <c r="M1100" s="32" t="s">
        <v>105</v>
      </c>
    </row>
    <row r="1101">
      <c r="A1101" s="22" t="s">
        <v>2403</v>
      </c>
      <c r="B1101" s="22" t="s">
        <v>4778</v>
      </c>
      <c r="C1101" s="22" t="s">
        <v>6496</v>
      </c>
      <c r="D1101" s="22" t="s">
        <v>166</v>
      </c>
      <c r="E1101" s="22">
        <v>1.0</v>
      </c>
      <c r="F1101" s="22"/>
      <c r="G1101" s="22" t="s">
        <v>82</v>
      </c>
      <c r="H1101" s="26">
        <v>45997.0</v>
      </c>
      <c r="I1101" s="22" t="s">
        <v>187</v>
      </c>
      <c r="J1101" s="22" t="s">
        <v>111</v>
      </c>
      <c r="K1101" s="22" t="s">
        <v>171</v>
      </c>
      <c r="L1101" s="35" t="s">
        <v>6497</v>
      </c>
      <c r="M1101" s="32" t="s">
        <v>55</v>
      </c>
    </row>
    <row r="1102">
      <c r="A1102" s="22" t="s">
        <v>2404</v>
      </c>
      <c r="B1102" s="22" t="s">
        <v>5220</v>
      </c>
      <c r="C1102" s="22" t="s">
        <v>6498</v>
      </c>
      <c r="D1102" s="22" t="s">
        <v>99</v>
      </c>
      <c r="E1102" s="22">
        <v>1.0</v>
      </c>
      <c r="F1102" s="22"/>
      <c r="G1102" s="22" t="s">
        <v>273</v>
      </c>
      <c r="H1102" s="26">
        <v>45998.0</v>
      </c>
      <c r="I1102" s="22" t="s">
        <v>149</v>
      </c>
      <c r="J1102" s="22" t="s">
        <v>83</v>
      </c>
      <c r="K1102" s="22" t="s">
        <v>102</v>
      </c>
      <c r="L1102" s="35" t="s">
        <v>6499</v>
      </c>
      <c r="M1102" s="32" t="s">
        <v>105</v>
      </c>
    </row>
    <row r="1103">
      <c r="A1103" s="22" t="s">
        <v>2405</v>
      </c>
      <c r="B1103" s="22" t="s">
        <v>3992</v>
      </c>
      <c r="C1103" s="22" t="s">
        <v>6500</v>
      </c>
      <c r="D1103" s="22" t="s">
        <v>437</v>
      </c>
      <c r="E1103" s="22">
        <v>1.0</v>
      </c>
      <c r="F1103" s="22"/>
      <c r="G1103" s="22" t="s">
        <v>273</v>
      </c>
      <c r="H1103" s="26">
        <v>45998.0</v>
      </c>
      <c r="I1103" s="22" t="s">
        <v>187</v>
      </c>
      <c r="J1103" s="22" t="s">
        <v>440</v>
      </c>
      <c r="K1103" s="22" t="s">
        <v>443</v>
      </c>
      <c r="L1103" s="35" t="s">
        <v>6501</v>
      </c>
      <c r="M1103" s="32" t="s">
        <v>91</v>
      </c>
    </row>
    <row r="1104">
      <c r="A1104" s="22" t="s">
        <v>2406</v>
      </c>
      <c r="B1104" s="22" t="s">
        <v>6502</v>
      </c>
      <c r="C1104" s="22" t="s">
        <v>3856</v>
      </c>
      <c r="D1104" s="22" t="s">
        <v>545</v>
      </c>
      <c r="E1104" s="22">
        <v>2.0</v>
      </c>
      <c r="F1104" s="22"/>
      <c r="G1104" s="22" t="s">
        <v>273</v>
      </c>
      <c r="H1104" s="23">
        <v>45991.0</v>
      </c>
      <c r="I1104" s="22" t="s">
        <v>149</v>
      </c>
      <c r="J1104" s="22" t="s">
        <v>356</v>
      </c>
      <c r="K1104" s="22" t="s">
        <v>549</v>
      </c>
      <c r="L1104" s="35" t="s">
        <v>6503</v>
      </c>
      <c r="M1104" s="32" t="s">
        <v>55</v>
      </c>
    </row>
    <row r="1105">
      <c r="A1105" s="22" t="s">
        <v>2407</v>
      </c>
      <c r="B1105" s="22" t="s">
        <v>6504</v>
      </c>
      <c r="C1105" s="22" t="s">
        <v>6505</v>
      </c>
      <c r="D1105" s="22" t="s">
        <v>1779</v>
      </c>
      <c r="E1105" s="22">
        <v>1.0</v>
      </c>
      <c r="F1105" s="22"/>
      <c r="G1105" s="22" t="s">
        <v>82</v>
      </c>
      <c r="H1105" s="23">
        <v>46004.0</v>
      </c>
      <c r="I1105" s="22" t="s">
        <v>134</v>
      </c>
      <c r="J1105" s="22" t="s">
        <v>203</v>
      </c>
      <c r="K1105" s="22" t="s">
        <v>1781</v>
      </c>
      <c r="L1105" s="35" t="s">
        <v>6506</v>
      </c>
      <c r="M1105" s="32" t="s">
        <v>127</v>
      </c>
    </row>
    <row r="1106">
      <c r="A1106" s="22" t="s">
        <v>2408</v>
      </c>
      <c r="B1106" s="22" t="s">
        <v>6507</v>
      </c>
      <c r="C1106" s="22" t="s">
        <v>6508</v>
      </c>
      <c r="D1106" s="22" t="s">
        <v>859</v>
      </c>
      <c r="E1106" s="22">
        <v>1.0</v>
      </c>
      <c r="F1106" s="22"/>
      <c r="G1106" s="22" t="s">
        <v>82</v>
      </c>
      <c r="H1106" s="26">
        <v>45997.0</v>
      </c>
      <c r="I1106" s="22" t="s">
        <v>1117</v>
      </c>
      <c r="J1106" s="22" t="s">
        <v>605</v>
      </c>
      <c r="K1106" s="22" t="s">
        <v>861</v>
      </c>
      <c r="L1106" s="35" t="s">
        <v>6509</v>
      </c>
      <c r="M1106" s="32" t="s">
        <v>95</v>
      </c>
    </row>
    <row r="1107">
      <c r="A1107" s="22" t="s">
        <v>2409</v>
      </c>
      <c r="B1107" s="22" t="s">
        <v>4297</v>
      </c>
      <c r="C1107" s="22" t="s">
        <v>6510</v>
      </c>
      <c r="D1107" s="22" t="s">
        <v>1634</v>
      </c>
      <c r="E1107" s="22">
        <v>2.0</v>
      </c>
      <c r="F1107" s="22"/>
      <c r="G1107" s="22" t="s">
        <v>82</v>
      </c>
      <c r="H1107" s="26">
        <v>45997.0</v>
      </c>
      <c r="I1107" s="22" t="s">
        <v>2293</v>
      </c>
      <c r="J1107" s="22" t="s">
        <v>1466</v>
      </c>
      <c r="K1107" s="22" t="s">
        <v>1639</v>
      </c>
      <c r="L1107" s="35" t="s">
        <v>6511</v>
      </c>
      <c r="M1107" s="32" t="s">
        <v>105</v>
      </c>
    </row>
    <row r="1108">
      <c r="A1108" s="22" t="s">
        <v>2410</v>
      </c>
      <c r="B1108" s="22" t="s">
        <v>5409</v>
      </c>
      <c r="C1108" s="22" t="s">
        <v>6512</v>
      </c>
      <c r="D1108" s="22" t="s">
        <v>166</v>
      </c>
      <c r="E1108" s="22">
        <v>1.0</v>
      </c>
      <c r="F1108" s="22"/>
      <c r="G1108" s="22" t="s">
        <v>273</v>
      </c>
      <c r="H1108" s="26">
        <v>45998.0</v>
      </c>
      <c r="I1108" s="22" t="s">
        <v>211</v>
      </c>
      <c r="J1108" s="22" t="s">
        <v>111</v>
      </c>
      <c r="K1108" s="22" t="s">
        <v>171</v>
      </c>
      <c r="L1108" s="35" t="s">
        <v>6513</v>
      </c>
      <c r="M1108" s="32" t="s">
        <v>55</v>
      </c>
    </row>
    <row r="1109">
      <c r="A1109" s="22" t="s">
        <v>2411</v>
      </c>
      <c r="B1109" s="22" t="s">
        <v>6514</v>
      </c>
      <c r="C1109" s="22" t="s">
        <v>6515</v>
      </c>
      <c r="D1109" s="22" t="s">
        <v>354</v>
      </c>
      <c r="E1109" s="22">
        <v>1.0</v>
      </c>
      <c r="F1109" s="22"/>
      <c r="G1109" s="22" t="s">
        <v>273</v>
      </c>
      <c r="H1109" s="23">
        <v>45991.0</v>
      </c>
      <c r="I1109" s="22" t="s">
        <v>480</v>
      </c>
      <c r="J1109" s="22" t="s">
        <v>356</v>
      </c>
      <c r="K1109" s="22" t="s">
        <v>359</v>
      </c>
      <c r="L1109" s="35" t="s">
        <v>6516</v>
      </c>
      <c r="M1109" s="32" t="s">
        <v>54</v>
      </c>
    </row>
    <row r="1110">
      <c r="A1110" s="22" t="s">
        <v>2412</v>
      </c>
      <c r="B1110" s="22" t="s">
        <v>6517</v>
      </c>
      <c r="C1110" s="22" t="s">
        <v>6518</v>
      </c>
      <c r="D1110" s="22" t="s">
        <v>569</v>
      </c>
      <c r="E1110" s="22">
        <v>1.0</v>
      </c>
      <c r="F1110" s="22"/>
      <c r="G1110" s="22" t="s">
        <v>82</v>
      </c>
      <c r="H1110" s="26">
        <v>45997.0</v>
      </c>
      <c r="I1110" s="22" t="s">
        <v>134</v>
      </c>
      <c r="J1110" s="22" t="s">
        <v>472</v>
      </c>
      <c r="K1110" s="22" t="s">
        <v>571</v>
      </c>
      <c r="L1110" s="35" t="s">
        <v>6519</v>
      </c>
      <c r="M1110" s="32" t="s">
        <v>105</v>
      </c>
    </row>
    <row r="1111">
      <c r="A1111" s="22" t="s">
        <v>2413</v>
      </c>
      <c r="B1111" s="22" t="s">
        <v>6520</v>
      </c>
      <c r="C1111" s="22" t="s">
        <v>6521</v>
      </c>
      <c r="D1111" s="22" t="s">
        <v>437</v>
      </c>
      <c r="E1111" s="22">
        <v>1.0</v>
      </c>
      <c r="F1111" s="22"/>
      <c r="G1111" s="22" t="s">
        <v>273</v>
      </c>
      <c r="H1111" s="26">
        <v>45998.0</v>
      </c>
      <c r="I1111" s="22" t="s">
        <v>439</v>
      </c>
      <c r="J1111" s="22" t="s">
        <v>440</v>
      </c>
      <c r="K1111" s="22" t="s">
        <v>443</v>
      </c>
      <c r="L1111" s="35" t="s">
        <v>6522</v>
      </c>
      <c r="M1111" s="32" t="s">
        <v>91</v>
      </c>
    </row>
    <row r="1112">
      <c r="A1112" s="22" t="s">
        <v>2414</v>
      </c>
      <c r="B1112" s="22" t="s">
        <v>6523</v>
      </c>
      <c r="C1112" s="22" t="s">
        <v>6074</v>
      </c>
      <c r="D1112" s="22" t="s">
        <v>1622</v>
      </c>
      <c r="E1112" s="22">
        <v>1.0</v>
      </c>
      <c r="F1112" s="22"/>
      <c r="G1112" s="22" t="s">
        <v>82</v>
      </c>
      <c r="H1112" s="26">
        <v>45997.0</v>
      </c>
      <c r="I1112" s="22" t="s">
        <v>2293</v>
      </c>
      <c r="J1112" s="22" t="s">
        <v>1466</v>
      </c>
      <c r="K1112" s="22" t="s">
        <v>1627</v>
      </c>
      <c r="L1112" s="35" t="s">
        <v>6524</v>
      </c>
      <c r="M1112" s="32" t="s">
        <v>175</v>
      </c>
    </row>
    <row r="1113">
      <c r="A1113" s="22" t="s">
        <v>2416</v>
      </c>
      <c r="B1113" s="22" t="s">
        <v>3889</v>
      </c>
      <c r="C1113" s="22" t="s">
        <v>5404</v>
      </c>
      <c r="D1113" s="22" t="s">
        <v>276</v>
      </c>
      <c r="E1113" s="22">
        <v>1.0</v>
      </c>
      <c r="F1113" s="22"/>
      <c r="G1113" s="22" t="s">
        <v>82</v>
      </c>
      <c r="H1113" s="26">
        <v>45997.0</v>
      </c>
      <c r="I1113" s="22" t="s">
        <v>975</v>
      </c>
      <c r="J1113" s="22" t="s">
        <v>278</v>
      </c>
      <c r="K1113" s="22" t="s">
        <v>281</v>
      </c>
      <c r="L1113" s="35" t="s">
        <v>6525</v>
      </c>
      <c r="M1113" s="32" t="s">
        <v>55</v>
      </c>
    </row>
    <row r="1114">
      <c r="A1114" s="22" t="s">
        <v>2418</v>
      </c>
      <c r="B1114" s="22" t="s">
        <v>6526</v>
      </c>
      <c r="C1114" s="22" t="s">
        <v>6527</v>
      </c>
      <c r="D1114" s="22" t="s">
        <v>124</v>
      </c>
      <c r="E1114" s="22">
        <v>1.0</v>
      </c>
      <c r="F1114" s="22"/>
      <c r="G1114" s="22" t="s">
        <v>273</v>
      </c>
      <c r="H1114" s="26">
        <v>45998.0</v>
      </c>
      <c r="I1114" s="22" t="s">
        <v>134</v>
      </c>
      <c r="J1114" s="22" t="s">
        <v>83</v>
      </c>
      <c r="K1114" s="22" t="s">
        <v>126</v>
      </c>
      <c r="L1114" s="35" t="s">
        <v>6528</v>
      </c>
      <c r="M1114" s="32" t="s">
        <v>127</v>
      </c>
    </row>
    <row r="1115">
      <c r="A1115" s="22" t="s">
        <v>2420</v>
      </c>
      <c r="B1115" s="22" t="s">
        <v>4081</v>
      </c>
      <c r="C1115" s="22" t="s">
        <v>6529</v>
      </c>
      <c r="D1115" s="22" t="s">
        <v>96</v>
      </c>
      <c r="E1115" s="22">
        <v>1.0</v>
      </c>
      <c r="F1115" s="22"/>
      <c r="G1115" s="22" t="s">
        <v>273</v>
      </c>
      <c r="H1115" s="23">
        <v>45991.0</v>
      </c>
      <c r="I1115" s="22" t="s">
        <v>1400</v>
      </c>
      <c r="J1115" s="22" t="s">
        <v>83</v>
      </c>
      <c r="K1115" s="22" t="s">
        <v>98</v>
      </c>
      <c r="L1115" s="35" t="s">
        <v>6530</v>
      </c>
      <c r="M1115" s="32" t="s">
        <v>55</v>
      </c>
    </row>
    <row r="1116">
      <c r="A1116" s="22" t="s">
        <v>2422</v>
      </c>
      <c r="B1116" s="22" t="s">
        <v>3820</v>
      </c>
      <c r="C1116" s="22" t="s">
        <v>6531</v>
      </c>
      <c r="D1116" s="22" t="s">
        <v>569</v>
      </c>
      <c r="E1116" s="22">
        <v>2.0</v>
      </c>
      <c r="F1116" s="22"/>
      <c r="G1116" s="22" t="s">
        <v>273</v>
      </c>
      <c r="H1116" s="26">
        <v>45998.0</v>
      </c>
      <c r="I1116" s="22" t="s">
        <v>134</v>
      </c>
      <c r="J1116" s="22" t="s">
        <v>472</v>
      </c>
      <c r="K1116" s="22" t="s">
        <v>571</v>
      </c>
      <c r="L1116" s="35" t="s">
        <v>6532</v>
      </c>
      <c r="M1116" s="32" t="s">
        <v>105</v>
      </c>
    </row>
    <row r="1117">
      <c r="A1117" s="22" t="s">
        <v>2423</v>
      </c>
      <c r="B1117" s="22" t="s">
        <v>3992</v>
      </c>
      <c r="C1117" s="22" t="s">
        <v>6533</v>
      </c>
      <c r="D1117" s="22" t="s">
        <v>692</v>
      </c>
      <c r="E1117" s="22">
        <v>1.0</v>
      </c>
      <c r="F1117" s="22"/>
      <c r="G1117" s="22" t="s">
        <v>273</v>
      </c>
      <c r="H1117" s="26">
        <v>45998.0</v>
      </c>
      <c r="I1117" s="22" t="s">
        <v>138</v>
      </c>
      <c r="J1117" s="22" t="s">
        <v>369</v>
      </c>
      <c r="K1117" s="22" t="s">
        <v>694</v>
      </c>
      <c r="L1117" s="35" t="s">
        <v>6534</v>
      </c>
      <c r="M1117" s="32" t="s">
        <v>54</v>
      </c>
    </row>
    <row r="1118">
      <c r="A1118" s="22" t="s">
        <v>2424</v>
      </c>
      <c r="B1118" s="22" t="s">
        <v>4943</v>
      </c>
      <c r="C1118" s="22" t="s">
        <v>6535</v>
      </c>
      <c r="D1118" s="22" t="s">
        <v>1204</v>
      </c>
      <c r="E1118" s="22">
        <v>1.0</v>
      </c>
      <c r="F1118" s="22"/>
      <c r="G1118" s="22" t="s">
        <v>82</v>
      </c>
      <c r="H1118" s="26">
        <v>45997.0</v>
      </c>
      <c r="I1118" s="22" t="s">
        <v>149</v>
      </c>
      <c r="J1118" s="22" t="s">
        <v>623</v>
      </c>
      <c r="K1118" s="22" t="s">
        <v>1208</v>
      </c>
      <c r="L1118" s="35" t="s">
        <v>6536</v>
      </c>
      <c r="M1118" s="32" t="s">
        <v>91</v>
      </c>
    </row>
    <row r="1119">
      <c r="A1119" s="22" t="s">
        <v>2425</v>
      </c>
      <c r="B1119" s="22" t="s">
        <v>6537</v>
      </c>
      <c r="C1119" s="22" t="s">
        <v>6538</v>
      </c>
      <c r="D1119" s="22" t="s">
        <v>166</v>
      </c>
      <c r="E1119" s="22">
        <v>1.0</v>
      </c>
      <c r="F1119" s="22"/>
      <c r="G1119" s="22" t="s">
        <v>82</v>
      </c>
      <c r="H1119" s="26">
        <v>45997.0</v>
      </c>
      <c r="I1119" s="22" t="s">
        <v>187</v>
      </c>
      <c r="J1119" s="22" t="s">
        <v>111</v>
      </c>
      <c r="K1119" s="22" t="s">
        <v>171</v>
      </c>
      <c r="L1119" s="35" t="s">
        <v>6539</v>
      </c>
      <c r="M1119" s="32" t="s">
        <v>55</v>
      </c>
    </row>
    <row r="1120">
      <c r="A1120" s="22" t="s">
        <v>2426</v>
      </c>
      <c r="B1120" s="22" t="s">
        <v>4638</v>
      </c>
      <c r="C1120" s="22" t="s">
        <v>6540</v>
      </c>
      <c r="D1120" s="22" t="s">
        <v>632</v>
      </c>
      <c r="E1120" s="22">
        <v>1.0</v>
      </c>
      <c r="F1120" s="22"/>
      <c r="G1120" s="22" t="s">
        <v>82</v>
      </c>
      <c r="H1120" s="26">
        <v>45997.0</v>
      </c>
      <c r="I1120" s="22" t="s">
        <v>177</v>
      </c>
      <c r="J1120" s="22" t="s">
        <v>634</v>
      </c>
      <c r="K1120" s="22" t="s">
        <v>637</v>
      </c>
      <c r="L1120" s="35" t="s">
        <v>6541</v>
      </c>
      <c r="M1120" s="32" t="s">
        <v>91</v>
      </c>
    </row>
    <row r="1121">
      <c r="A1121" s="22" t="s">
        <v>2427</v>
      </c>
      <c r="B1121" s="22" t="s">
        <v>5574</v>
      </c>
      <c r="C1121" s="22" t="s">
        <v>6542</v>
      </c>
      <c r="D1121" s="22" t="s">
        <v>437</v>
      </c>
      <c r="E1121" s="22">
        <v>1.0</v>
      </c>
      <c r="F1121" s="22"/>
      <c r="G1121" s="22" t="s">
        <v>273</v>
      </c>
      <c r="H1121" s="26">
        <v>45998.0</v>
      </c>
      <c r="I1121" s="22" t="s">
        <v>975</v>
      </c>
      <c r="J1121" s="22" t="s">
        <v>440</v>
      </c>
      <c r="K1121" s="22" t="s">
        <v>443</v>
      </c>
      <c r="L1121" s="35" t="s">
        <v>6543</v>
      </c>
      <c r="M1121" s="32" t="s">
        <v>91</v>
      </c>
    </row>
    <row r="1122">
      <c r="A1122" s="22" t="s">
        <v>2428</v>
      </c>
      <c r="B1122" s="22" t="s">
        <v>5409</v>
      </c>
      <c r="C1122" s="22" t="s">
        <v>6544</v>
      </c>
      <c r="D1122" s="22" t="s">
        <v>1674</v>
      </c>
      <c r="E1122" s="22">
        <v>1.0</v>
      </c>
      <c r="F1122" s="22"/>
      <c r="G1122" s="22" t="s">
        <v>273</v>
      </c>
      <c r="H1122" s="26">
        <v>45998.0</v>
      </c>
      <c r="I1122" s="22" t="s">
        <v>187</v>
      </c>
      <c r="J1122" s="22" t="s">
        <v>440</v>
      </c>
      <c r="K1122" s="22" t="s">
        <v>1678</v>
      </c>
      <c r="L1122" s="35" t="s">
        <v>6545</v>
      </c>
      <c r="M1122" s="32" t="s">
        <v>95</v>
      </c>
    </row>
    <row r="1123">
      <c r="A1123" s="22" t="s">
        <v>2429</v>
      </c>
      <c r="B1123" s="22" t="s">
        <v>4427</v>
      </c>
      <c r="C1123" s="22" t="s">
        <v>6546</v>
      </c>
      <c r="D1123" s="22" t="s">
        <v>99</v>
      </c>
      <c r="E1123" s="22">
        <v>1.0</v>
      </c>
      <c r="F1123" s="22"/>
      <c r="G1123" s="22" t="s">
        <v>273</v>
      </c>
      <c r="H1123" s="26">
        <v>45998.0</v>
      </c>
      <c r="I1123" s="22" t="s">
        <v>134</v>
      </c>
      <c r="J1123" s="22" t="s">
        <v>83</v>
      </c>
      <c r="K1123" s="22" t="s">
        <v>102</v>
      </c>
      <c r="L1123" s="35" t="s">
        <v>6547</v>
      </c>
      <c r="M1123" s="32" t="s">
        <v>105</v>
      </c>
    </row>
    <row r="1124">
      <c r="A1124" s="22" t="s">
        <v>2430</v>
      </c>
      <c r="B1124" s="22" t="s">
        <v>6548</v>
      </c>
      <c r="C1124" s="22" t="s">
        <v>6549</v>
      </c>
      <c r="D1124" s="22" t="s">
        <v>973</v>
      </c>
      <c r="E1124" s="22">
        <v>1.0</v>
      </c>
      <c r="F1124" s="22"/>
      <c r="G1124" s="22" t="s">
        <v>273</v>
      </c>
      <c r="H1124" s="26">
        <v>45998.0</v>
      </c>
      <c r="I1124" s="22" t="s">
        <v>1624</v>
      </c>
      <c r="J1124" s="22" t="s">
        <v>440</v>
      </c>
      <c r="K1124" s="22" t="s">
        <v>978</v>
      </c>
      <c r="L1124" s="35" t="s">
        <v>6550</v>
      </c>
      <c r="M1124" s="32" t="s">
        <v>105</v>
      </c>
    </row>
    <row r="1125">
      <c r="A1125" s="22" t="s">
        <v>2437</v>
      </c>
      <c r="B1125" s="22" t="s">
        <v>6551</v>
      </c>
      <c r="C1125" s="22" t="s">
        <v>6552</v>
      </c>
      <c r="D1125" s="22" t="s">
        <v>96</v>
      </c>
      <c r="E1125" s="22">
        <v>1.0</v>
      </c>
      <c r="F1125" s="22"/>
      <c r="G1125" s="22" t="s">
        <v>82</v>
      </c>
      <c r="H1125" s="26">
        <v>45997.0</v>
      </c>
      <c r="I1125" s="22" t="s">
        <v>153</v>
      </c>
      <c r="J1125" s="22" t="s">
        <v>83</v>
      </c>
      <c r="K1125" s="22" t="s">
        <v>98</v>
      </c>
      <c r="L1125" s="35" t="s">
        <v>6553</v>
      </c>
      <c r="M1125" s="32" t="s">
        <v>55</v>
      </c>
    </row>
    <row r="1126">
      <c r="A1126" s="22" t="s">
        <v>2463</v>
      </c>
      <c r="B1126" s="22" t="s">
        <v>6554</v>
      </c>
      <c r="C1126" s="22" t="s">
        <v>6555</v>
      </c>
      <c r="D1126" s="22" t="s">
        <v>80</v>
      </c>
      <c r="E1126" s="22">
        <v>1.0</v>
      </c>
      <c r="F1126" s="22"/>
      <c r="G1126" s="22" t="s">
        <v>287</v>
      </c>
      <c r="H1126" s="26">
        <v>45994.0</v>
      </c>
      <c r="I1126" s="22" t="s">
        <v>192</v>
      </c>
      <c r="J1126" s="22" t="s">
        <v>83</v>
      </c>
      <c r="K1126" s="22" t="s">
        <v>86</v>
      </c>
      <c r="L1126" s="35" t="s">
        <v>6556</v>
      </c>
      <c r="M1126" s="32" t="s">
        <v>91</v>
      </c>
    </row>
    <row r="1127">
      <c r="A1127" s="22" t="s">
        <v>2465</v>
      </c>
      <c r="B1127" s="22" t="s">
        <v>6557</v>
      </c>
      <c r="C1127" s="22" t="s">
        <v>6558</v>
      </c>
      <c r="D1127" s="22" t="s">
        <v>569</v>
      </c>
      <c r="E1127" s="22">
        <v>1.0</v>
      </c>
      <c r="F1127" s="22"/>
      <c r="G1127" s="22" t="s">
        <v>82</v>
      </c>
      <c r="H1127" s="26">
        <v>45997.0</v>
      </c>
      <c r="I1127" s="22" t="s">
        <v>134</v>
      </c>
      <c r="J1127" s="22" t="s">
        <v>472</v>
      </c>
      <c r="K1127" s="22" t="s">
        <v>571</v>
      </c>
      <c r="L1127" s="35" t="s">
        <v>6559</v>
      </c>
      <c r="M1127" s="32" t="s">
        <v>105</v>
      </c>
    </row>
    <row r="1128">
      <c r="A1128" s="22" t="s">
        <v>2378</v>
      </c>
      <c r="B1128" s="22" t="s">
        <v>6560</v>
      </c>
      <c r="C1128" s="22" t="s">
        <v>5452</v>
      </c>
      <c r="D1128" s="22" t="s">
        <v>124</v>
      </c>
      <c r="E1128" s="22">
        <v>1.0</v>
      </c>
      <c r="F1128" s="22"/>
      <c r="G1128" s="22" t="s">
        <v>82</v>
      </c>
      <c r="H1128" s="26">
        <v>45997.0</v>
      </c>
      <c r="I1128" s="22" t="s">
        <v>138</v>
      </c>
      <c r="J1128" s="22" t="s">
        <v>83</v>
      </c>
      <c r="K1128" s="22" t="s">
        <v>126</v>
      </c>
      <c r="L1128" s="35" t="s">
        <v>6561</v>
      </c>
      <c r="M1128" s="32" t="s">
        <v>127</v>
      </c>
    </row>
    <row r="1129">
      <c r="A1129" s="22" t="s">
        <v>2380</v>
      </c>
      <c r="B1129" s="22" t="s">
        <v>5220</v>
      </c>
      <c r="C1129" s="22" t="s">
        <v>6562</v>
      </c>
      <c r="D1129" s="22" t="s">
        <v>632</v>
      </c>
      <c r="E1129" s="22">
        <v>1.0</v>
      </c>
      <c r="F1129" s="22"/>
      <c r="G1129" s="22" t="s">
        <v>82</v>
      </c>
      <c r="H1129" s="26">
        <v>45997.0</v>
      </c>
      <c r="I1129" s="22" t="s">
        <v>970</v>
      </c>
      <c r="J1129" s="22" t="s">
        <v>634</v>
      </c>
      <c r="K1129" s="22" t="s">
        <v>637</v>
      </c>
      <c r="L1129" s="35" t="s">
        <v>6563</v>
      </c>
      <c r="M1129" s="32" t="s">
        <v>91</v>
      </c>
    </row>
    <row r="1130">
      <c r="A1130" s="22" t="s">
        <v>2379</v>
      </c>
      <c r="B1130" s="22" t="s">
        <v>4261</v>
      </c>
      <c r="C1130" s="22" t="s">
        <v>5920</v>
      </c>
      <c r="D1130" s="22" t="s">
        <v>1674</v>
      </c>
      <c r="E1130" s="22">
        <v>1.0</v>
      </c>
      <c r="F1130" s="22"/>
      <c r="G1130" s="22" t="s">
        <v>273</v>
      </c>
      <c r="H1130" s="26">
        <v>45998.0</v>
      </c>
      <c r="I1130" s="22" t="s">
        <v>187</v>
      </c>
      <c r="J1130" s="22" t="s">
        <v>440</v>
      </c>
      <c r="K1130" s="22" t="s">
        <v>1678</v>
      </c>
      <c r="L1130" s="35" t="s">
        <v>6564</v>
      </c>
      <c r="M1130" s="32" t="s">
        <v>95</v>
      </c>
    </row>
    <row r="1131">
      <c r="A1131" s="22" t="s">
        <v>2379</v>
      </c>
      <c r="B1131" s="22" t="s">
        <v>4261</v>
      </c>
      <c r="C1131" s="22" t="s">
        <v>5920</v>
      </c>
      <c r="D1131" s="22" t="s">
        <v>437</v>
      </c>
      <c r="E1131" s="22">
        <v>1.0</v>
      </c>
      <c r="F1131" s="22"/>
      <c r="G1131" s="22" t="s">
        <v>273</v>
      </c>
      <c r="H1131" s="26">
        <v>45998.0</v>
      </c>
      <c r="I1131" s="22" t="s">
        <v>187</v>
      </c>
      <c r="J1131" s="22" t="s">
        <v>440</v>
      </c>
      <c r="K1131" s="22" t="s">
        <v>443</v>
      </c>
      <c r="L1131" s="35" t="s">
        <v>6565</v>
      </c>
      <c r="M1131" s="32" t="s">
        <v>91</v>
      </c>
    </row>
    <row r="1132">
      <c r="A1132" s="22" t="s">
        <v>2379</v>
      </c>
      <c r="B1132" s="22" t="s">
        <v>4261</v>
      </c>
      <c r="C1132" s="22" t="s">
        <v>5920</v>
      </c>
      <c r="D1132" s="22" t="s">
        <v>1048</v>
      </c>
      <c r="E1132" s="22">
        <v>1.0</v>
      </c>
      <c r="F1132" s="22"/>
      <c r="G1132" s="22" t="s">
        <v>273</v>
      </c>
      <c r="H1132" s="26">
        <v>45998.0</v>
      </c>
      <c r="I1132" s="22" t="s">
        <v>187</v>
      </c>
      <c r="J1132" s="22" t="s">
        <v>440</v>
      </c>
      <c r="K1132" s="22" t="s">
        <v>1052</v>
      </c>
      <c r="L1132" s="35" t="s">
        <v>6566</v>
      </c>
      <c r="M1132" s="32" t="s">
        <v>54</v>
      </c>
    </row>
    <row r="1133">
      <c r="A1133" s="22" t="s">
        <v>2466</v>
      </c>
      <c r="B1133" s="22" t="s">
        <v>6567</v>
      </c>
      <c r="C1133" s="22" t="s">
        <v>4920</v>
      </c>
      <c r="D1133" s="22" t="s">
        <v>96</v>
      </c>
      <c r="E1133" s="22">
        <v>1.0</v>
      </c>
      <c r="F1133" s="22"/>
      <c r="G1133" s="22" t="s">
        <v>202</v>
      </c>
      <c r="H1133" s="26">
        <v>45996.0</v>
      </c>
      <c r="I1133" s="22" t="s">
        <v>153</v>
      </c>
      <c r="J1133" s="22" t="s">
        <v>83</v>
      </c>
      <c r="K1133" s="22" t="s">
        <v>98</v>
      </c>
      <c r="L1133" s="35" t="s">
        <v>6568</v>
      </c>
      <c r="M1133" s="32" t="s">
        <v>55</v>
      </c>
    </row>
    <row r="1134">
      <c r="A1134" s="22" t="s">
        <v>2440</v>
      </c>
      <c r="B1134" s="22" t="s">
        <v>3973</v>
      </c>
      <c r="C1134" s="22" t="s">
        <v>6569</v>
      </c>
      <c r="D1134" s="22" t="s">
        <v>124</v>
      </c>
      <c r="E1134" s="22">
        <v>1.0</v>
      </c>
      <c r="F1134" s="22"/>
      <c r="G1134" s="22" t="s">
        <v>202</v>
      </c>
      <c r="H1134" s="26">
        <v>45996.0</v>
      </c>
      <c r="I1134" s="22" t="s">
        <v>149</v>
      </c>
      <c r="J1134" s="22" t="s">
        <v>83</v>
      </c>
      <c r="K1134" s="22" t="s">
        <v>126</v>
      </c>
      <c r="L1134" s="35" t="s">
        <v>6570</v>
      </c>
      <c r="M1134" s="32" t="s">
        <v>127</v>
      </c>
    </row>
    <row r="1135">
      <c r="A1135" s="22" t="s">
        <v>2441</v>
      </c>
      <c r="B1135" s="22" t="s">
        <v>6571</v>
      </c>
      <c r="C1135" s="22" t="s">
        <v>6572</v>
      </c>
      <c r="D1135" s="22" t="s">
        <v>584</v>
      </c>
      <c r="E1135" s="22">
        <v>1.0</v>
      </c>
      <c r="F1135" s="22"/>
      <c r="G1135" s="22" t="s">
        <v>82</v>
      </c>
      <c r="H1135" s="23">
        <v>46004.0</v>
      </c>
      <c r="I1135" s="22" t="s">
        <v>134</v>
      </c>
      <c r="J1135" s="22" t="s">
        <v>377</v>
      </c>
      <c r="K1135" s="22" t="s">
        <v>586</v>
      </c>
      <c r="L1135" s="35" t="s">
        <v>6573</v>
      </c>
      <c r="M1135" s="32" t="s">
        <v>105</v>
      </c>
    </row>
    <row r="1136">
      <c r="A1136" s="22" t="s">
        <v>2442</v>
      </c>
      <c r="B1136" s="22" t="s">
        <v>4081</v>
      </c>
      <c r="C1136" s="22" t="s">
        <v>6574</v>
      </c>
      <c r="D1136" s="22" t="s">
        <v>96</v>
      </c>
      <c r="E1136" s="22">
        <v>1.0</v>
      </c>
      <c r="F1136" s="22"/>
      <c r="G1136" s="22" t="s">
        <v>273</v>
      </c>
      <c r="H1136" s="26">
        <v>45998.0</v>
      </c>
      <c r="I1136" s="22" t="s">
        <v>153</v>
      </c>
      <c r="J1136" s="22" t="s">
        <v>83</v>
      </c>
      <c r="K1136" s="22" t="s">
        <v>98</v>
      </c>
      <c r="L1136" s="35" t="s">
        <v>6575</v>
      </c>
      <c r="M1136" s="32" t="s">
        <v>55</v>
      </c>
    </row>
    <row r="1137">
      <c r="A1137" s="22" t="s">
        <v>2443</v>
      </c>
      <c r="B1137" s="22" t="s">
        <v>6576</v>
      </c>
      <c r="C1137" s="22" t="s">
        <v>6577</v>
      </c>
      <c r="D1137" s="22" t="s">
        <v>209</v>
      </c>
      <c r="E1137" s="22">
        <v>1.0</v>
      </c>
      <c r="F1137" s="22"/>
      <c r="G1137" s="22" t="s">
        <v>82</v>
      </c>
      <c r="H1137" s="26">
        <v>45997.0</v>
      </c>
      <c r="I1137" s="22" t="s">
        <v>187</v>
      </c>
      <c r="J1137" s="22" t="s">
        <v>111</v>
      </c>
      <c r="K1137" s="22" t="s">
        <v>214</v>
      </c>
      <c r="L1137" s="35" t="s">
        <v>6578</v>
      </c>
      <c r="M1137" s="32" t="s">
        <v>91</v>
      </c>
    </row>
    <row r="1138">
      <c r="A1138" s="22" t="s">
        <v>2444</v>
      </c>
      <c r="B1138" s="22" t="s">
        <v>6579</v>
      </c>
      <c r="C1138" s="22" t="s">
        <v>6580</v>
      </c>
      <c r="D1138" s="22" t="s">
        <v>375</v>
      </c>
      <c r="E1138" s="22">
        <v>1.0</v>
      </c>
      <c r="F1138" s="22"/>
      <c r="G1138" s="22" t="s">
        <v>82</v>
      </c>
      <c r="H1138" s="26">
        <v>45997.0</v>
      </c>
      <c r="I1138" s="22" t="s">
        <v>138</v>
      </c>
      <c r="J1138" s="22" t="s">
        <v>377</v>
      </c>
      <c r="K1138" s="22" t="s">
        <v>380</v>
      </c>
      <c r="L1138" s="35" t="s">
        <v>6581</v>
      </c>
      <c r="M1138" s="32" t="s">
        <v>55</v>
      </c>
    </row>
    <row r="1139">
      <c r="A1139" s="22" t="s">
        <v>2445</v>
      </c>
      <c r="B1139" s="22" t="s">
        <v>6368</v>
      </c>
      <c r="C1139" s="22" t="s">
        <v>6582</v>
      </c>
      <c r="D1139" s="22" t="s">
        <v>124</v>
      </c>
      <c r="E1139" s="22">
        <v>1.0</v>
      </c>
      <c r="F1139" s="22"/>
      <c r="G1139" s="22" t="s">
        <v>82</v>
      </c>
      <c r="H1139" s="26">
        <v>45997.0</v>
      </c>
      <c r="I1139" s="22" t="s">
        <v>134</v>
      </c>
      <c r="J1139" s="22" t="s">
        <v>83</v>
      </c>
      <c r="K1139" s="22" t="s">
        <v>126</v>
      </c>
      <c r="L1139" s="35" t="s">
        <v>6583</v>
      </c>
      <c r="M1139" s="32" t="s">
        <v>127</v>
      </c>
    </row>
    <row r="1140">
      <c r="A1140" s="22" t="s">
        <v>2446</v>
      </c>
      <c r="B1140" s="22" t="s">
        <v>6584</v>
      </c>
      <c r="C1140" s="22" t="s">
        <v>6585</v>
      </c>
      <c r="D1140" s="22" t="s">
        <v>1617</v>
      </c>
      <c r="E1140" s="22">
        <v>1.0</v>
      </c>
      <c r="F1140" s="22"/>
      <c r="G1140" s="22" t="s">
        <v>82</v>
      </c>
      <c r="H1140" s="26">
        <v>45997.0</v>
      </c>
      <c r="I1140" s="22" t="s">
        <v>2293</v>
      </c>
      <c r="J1140" s="22" t="s">
        <v>1466</v>
      </c>
      <c r="K1140" s="22" t="s">
        <v>1621</v>
      </c>
      <c r="L1140" s="35" t="s">
        <v>6586</v>
      </c>
      <c r="M1140" s="32" t="s">
        <v>95</v>
      </c>
    </row>
    <row r="1141">
      <c r="A1141" s="22" t="s">
        <v>2447</v>
      </c>
      <c r="B1141" s="22" t="s">
        <v>3866</v>
      </c>
      <c r="C1141" s="22" t="s">
        <v>6587</v>
      </c>
      <c r="D1141" s="22" t="s">
        <v>375</v>
      </c>
      <c r="E1141" s="22">
        <v>1.0</v>
      </c>
      <c r="F1141" s="22"/>
      <c r="G1141" s="22" t="s">
        <v>82</v>
      </c>
      <c r="H1141" s="26">
        <v>45997.0</v>
      </c>
      <c r="I1141" s="22" t="s">
        <v>145</v>
      </c>
      <c r="J1141" s="22" t="s">
        <v>377</v>
      </c>
      <c r="K1141" s="22" t="s">
        <v>380</v>
      </c>
      <c r="L1141" s="35" t="s">
        <v>6588</v>
      </c>
      <c r="M1141" s="32" t="s">
        <v>55</v>
      </c>
    </row>
    <row r="1142">
      <c r="A1142" s="22" t="s">
        <v>2448</v>
      </c>
      <c r="B1142" s="22" t="s">
        <v>6589</v>
      </c>
      <c r="C1142" s="22" t="s">
        <v>6590</v>
      </c>
      <c r="D1142" s="22" t="s">
        <v>859</v>
      </c>
      <c r="E1142" s="22">
        <v>1.0</v>
      </c>
      <c r="F1142" s="22"/>
      <c r="G1142" s="22" t="s">
        <v>82</v>
      </c>
      <c r="H1142" s="26">
        <v>45997.0</v>
      </c>
      <c r="I1142" s="22" t="s">
        <v>1117</v>
      </c>
      <c r="J1142" s="22" t="s">
        <v>605</v>
      </c>
      <c r="K1142" s="22" t="s">
        <v>861</v>
      </c>
      <c r="L1142" s="35" t="s">
        <v>6591</v>
      </c>
      <c r="M1142" s="32" t="s">
        <v>95</v>
      </c>
    </row>
    <row r="1143">
      <c r="A1143" s="22" t="s">
        <v>2449</v>
      </c>
      <c r="B1143" s="22" t="s">
        <v>6592</v>
      </c>
      <c r="C1143" s="22" t="s">
        <v>3859</v>
      </c>
      <c r="D1143" s="22" t="s">
        <v>1832</v>
      </c>
      <c r="E1143" s="22">
        <v>1.0</v>
      </c>
      <c r="F1143" s="22"/>
      <c r="G1143" s="22" t="s">
        <v>82</v>
      </c>
      <c r="H1143" s="26">
        <v>45997.0</v>
      </c>
      <c r="I1143" s="22" t="s">
        <v>734</v>
      </c>
      <c r="J1143" s="22" t="s">
        <v>698</v>
      </c>
      <c r="K1143" s="22" t="s">
        <v>1834</v>
      </c>
      <c r="L1143" s="35" t="s">
        <v>6593</v>
      </c>
      <c r="M1143" s="32" t="s">
        <v>91</v>
      </c>
    </row>
    <row r="1144">
      <c r="A1144" s="22" t="s">
        <v>2450</v>
      </c>
      <c r="B1144" s="22" t="s">
        <v>6594</v>
      </c>
      <c r="C1144" s="22" t="s">
        <v>3927</v>
      </c>
      <c r="D1144" s="22" t="s">
        <v>822</v>
      </c>
      <c r="E1144" s="22">
        <v>1.0</v>
      </c>
      <c r="F1144" s="22"/>
      <c r="G1144" s="22" t="s">
        <v>273</v>
      </c>
      <c r="H1144" s="26">
        <v>45998.0</v>
      </c>
      <c r="I1144" s="22" t="s">
        <v>177</v>
      </c>
      <c r="J1144" s="22" t="s">
        <v>634</v>
      </c>
      <c r="K1144" s="22" t="s">
        <v>826</v>
      </c>
      <c r="L1144" s="35" t="s">
        <v>6595</v>
      </c>
      <c r="M1144" s="32" t="s">
        <v>55</v>
      </c>
    </row>
    <row r="1145">
      <c r="A1145" s="22" t="s">
        <v>2451</v>
      </c>
      <c r="B1145" s="22" t="s">
        <v>3889</v>
      </c>
      <c r="C1145" s="22" t="s">
        <v>6596</v>
      </c>
      <c r="D1145" s="22" t="s">
        <v>96</v>
      </c>
      <c r="E1145" s="22">
        <v>1.0</v>
      </c>
      <c r="F1145" s="22"/>
      <c r="G1145" s="22" t="s">
        <v>273</v>
      </c>
      <c r="H1145" s="26">
        <v>45998.0</v>
      </c>
      <c r="I1145" s="22" t="s">
        <v>138</v>
      </c>
      <c r="J1145" s="22" t="s">
        <v>83</v>
      </c>
      <c r="K1145" s="22" t="s">
        <v>98</v>
      </c>
      <c r="L1145" s="35" t="s">
        <v>6597</v>
      </c>
      <c r="M1145" s="32" t="s">
        <v>55</v>
      </c>
    </row>
    <row r="1146">
      <c r="A1146" s="22" t="s">
        <v>2453</v>
      </c>
      <c r="B1146" s="22" t="s">
        <v>4855</v>
      </c>
      <c r="C1146" s="22" t="s">
        <v>6598</v>
      </c>
      <c r="D1146" s="22" t="s">
        <v>495</v>
      </c>
      <c r="E1146" s="22">
        <v>1.0</v>
      </c>
      <c r="F1146" s="22"/>
      <c r="G1146" s="22" t="s">
        <v>273</v>
      </c>
      <c r="H1146" s="23">
        <v>45991.0</v>
      </c>
      <c r="I1146" s="22" t="s">
        <v>177</v>
      </c>
      <c r="J1146" s="22" t="s">
        <v>329</v>
      </c>
      <c r="K1146" s="22" t="s">
        <v>500</v>
      </c>
      <c r="L1146" s="35" t="s">
        <v>6599</v>
      </c>
      <c r="M1146" s="32" t="s">
        <v>54</v>
      </c>
    </row>
    <row r="1147">
      <c r="A1147" s="22" t="s">
        <v>2455</v>
      </c>
      <c r="B1147" s="22" t="s">
        <v>6600</v>
      </c>
      <c r="C1147" s="22" t="s">
        <v>6601</v>
      </c>
      <c r="D1147" s="22" t="s">
        <v>885</v>
      </c>
      <c r="E1147" s="22">
        <v>1.0</v>
      </c>
      <c r="F1147" s="22"/>
      <c r="G1147" s="22" t="s">
        <v>82</v>
      </c>
      <c r="H1147" s="26">
        <v>45997.0</v>
      </c>
      <c r="I1147" s="22" t="s">
        <v>192</v>
      </c>
      <c r="J1147" s="22" t="s">
        <v>605</v>
      </c>
      <c r="K1147" s="22" t="s">
        <v>890</v>
      </c>
      <c r="L1147" s="35" t="s">
        <v>6602</v>
      </c>
      <c r="M1147" s="32" t="s">
        <v>127</v>
      </c>
    </row>
    <row r="1148">
      <c r="A1148" s="22" t="s">
        <v>2457</v>
      </c>
      <c r="B1148" s="22" t="s">
        <v>5600</v>
      </c>
      <c r="C1148" s="22" t="s">
        <v>5144</v>
      </c>
      <c r="D1148" s="22" t="s">
        <v>592</v>
      </c>
      <c r="E1148" s="22">
        <v>1.0</v>
      </c>
      <c r="F1148" s="22"/>
      <c r="G1148" s="22" t="s">
        <v>273</v>
      </c>
      <c r="H1148" s="26">
        <v>45998.0</v>
      </c>
      <c r="I1148" s="22" t="s">
        <v>196</v>
      </c>
      <c r="J1148" s="22" t="s">
        <v>311</v>
      </c>
      <c r="K1148" s="22" t="s">
        <v>594</v>
      </c>
      <c r="L1148" s="35" t="s">
        <v>6603</v>
      </c>
      <c r="M1148" s="32" t="s">
        <v>54</v>
      </c>
    </row>
    <row r="1149">
      <c r="A1149" s="22" t="s">
        <v>2460</v>
      </c>
      <c r="B1149" s="22" t="s">
        <v>4081</v>
      </c>
      <c r="C1149" s="22" t="s">
        <v>6604</v>
      </c>
      <c r="D1149" s="22" t="s">
        <v>1085</v>
      </c>
      <c r="E1149" s="22">
        <v>1.0</v>
      </c>
      <c r="F1149" s="22"/>
      <c r="G1149" s="22" t="s">
        <v>273</v>
      </c>
      <c r="H1149" s="26">
        <v>45998.0</v>
      </c>
      <c r="I1149" s="22" t="s">
        <v>1073</v>
      </c>
      <c r="J1149" s="22" t="s">
        <v>623</v>
      </c>
      <c r="K1149" s="22" t="s">
        <v>1087</v>
      </c>
      <c r="L1149" s="35" t="s">
        <v>6605</v>
      </c>
      <c r="M1149" s="32" t="s">
        <v>127</v>
      </c>
    </row>
    <row r="1150">
      <c r="A1150" s="22" t="s">
        <v>2467</v>
      </c>
      <c r="B1150" s="22" t="s">
        <v>6606</v>
      </c>
      <c r="C1150" s="22" t="s">
        <v>6607</v>
      </c>
      <c r="D1150" s="22" t="s">
        <v>979</v>
      </c>
      <c r="E1150" s="22">
        <v>1.0</v>
      </c>
      <c r="F1150" s="22"/>
      <c r="G1150" s="22" t="s">
        <v>82</v>
      </c>
      <c r="H1150" s="26">
        <v>45997.0</v>
      </c>
      <c r="I1150" s="22" t="s">
        <v>1073</v>
      </c>
      <c r="J1150" s="22" t="s">
        <v>605</v>
      </c>
      <c r="K1150" s="22" t="s">
        <v>984</v>
      </c>
      <c r="L1150" s="35" t="s">
        <v>6608</v>
      </c>
      <c r="M1150" s="32" t="s">
        <v>55</v>
      </c>
    </row>
    <row r="1151">
      <c r="A1151" s="22" t="s">
        <v>2515</v>
      </c>
      <c r="B1151" s="22" t="s">
        <v>6609</v>
      </c>
      <c r="C1151" s="22" t="s">
        <v>6610</v>
      </c>
      <c r="D1151" s="22" t="s">
        <v>620</v>
      </c>
      <c r="E1151" s="22">
        <v>1.0</v>
      </c>
      <c r="F1151" s="22"/>
      <c r="G1151" s="22" t="s">
        <v>82</v>
      </c>
      <c r="H1151" s="26">
        <v>45997.0</v>
      </c>
      <c r="I1151" s="22" t="s">
        <v>196</v>
      </c>
      <c r="J1151" s="22" t="s">
        <v>623</v>
      </c>
      <c r="K1151" s="22" t="s">
        <v>626</v>
      </c>
      <c r="L1151" s="35" t="s">
        <v>6611</v>
      </c>
      <c r="M1151" s="32" t="s">
        <v>54</v>
      </c>
    </row>
    <row r="1152">
      <c r="A1152" s="22" t="s">
        <v>2517</v>
      </c>
      <c r="B1152" s="22" t="s">
        <v>6612</v>
      </c>
      <c r="C1152" s="22" t="s">
        <v>4020</v>
      </c>
      <c r="D1152" s="22" t="s">
        <v>595</v>
      </c>
      <c r="E1152" s="22">
        <v>1.0</v>
      </c>
      <c r="F1152" s="22"/>
      <c r="G1152" s="22" t="s">
        <v>273</v>
      </c>
      <c r="H1152" s="26">
        <v>45998.0</v>
      </c>
      <c r="I1152" s="22" t="s">
        <v>149</v>
      </c>
      <c r="J1152" s="22" t="s">
        <v>369</v>
      </c>
      <c r="K1152" s="22" t="s">
        <v>599</v>
      </c>
      <c r="L1152" s="35" t="s">
        <v>6613</v>
      </c>
      <c r="M1152" s="32" t="s">
        <v>127</v>
      </c>
    </row>
    <row r="1153">
      <c r="A1153" s="22" t="s">
        <v>2518</v>
      </c>
      <c r="B1153" s="22" t="s">
        <v>3808</v>
      </c>
      <c r="C1153" s="22" t="s">
        <v>6614</v>
      </c>
      <c r="D1153" s="22" t="s">
        <v>1359</v>
      </c>
      <c r="E1153" s="22">
        <v>1.0</v>
      </c>
      <c r="F1153" s="22"/>
      <c r="G1153" s="22" t="s">
        <v>82</v>
      </c>
      <c r="H1153" s="26">
        <v>45997.0</v>
      </c>
      <c r="I1153" s="22" t="s">
        <v>266</v>
      </c>
      <c r="J1153" s="22" t="s">
        <v>605</v>
      </c>
      <c r="K1153" s="22" t="s">
        <v>1363</v>
      </c>
      <c r="L1153" s="35" t="s">
        <v>6615</v>
      </c>
      <c r="M1153" s="32" t="s">
        <v>175</v>
      </c>
    </row>
    <row r="1154">
      <c r="A1154" s="22" t="s">
        <v>2468</v>
      </c>
      <c r="B1154" s="22" t="s">
        <v>6616</v>
      </c>
      <c r="C1154" s="22" t="s">
        <v>6617</v>
      </c>
      <c r="D1154" s="22" t="s">
        <v>1180</v>
      </c>
      <c r="E1154" s="22">
        <v>1.0</v>
      </c>
      <c r="F1154" s="22"/>
      <c r="G1154" s="22" t="s">
        <v>273</v>
      </c>
      <c r="H1154" s="26">
        <v>45998.0</v>
      </c>
      <c r="I1154" s="22" t="s">
        <v>149</v>
      </c>
      <c r="J1154" s="22" t="s">
        <v>623</v>
      </c>
      <c r="K1154" s="22" t="s">
        <v>1182</v>
      </c>
      <c r="L1154" s="35" t="s">
        <v>6618</v>
      </c>
      <c r="M1154" s="32" t="s">
        <v>105</v>
      </c>
    </row>
    <row r="1155">
      <c r="A1155" s="22" t="s">
        <v>2469</v>
      </c>
      <c r="B1155" s="22" t="s">
        <v>6619</v>
      </c>
      <c r="C1155" s="22" t="s">
        <v>6620</v>
      </c>
      <c r="D1155" s="22" t="s">
        <v>1464</v>
      </c>
      <c r="E1155" s="22">
        <v>1.0</v>
      </c>
      <c r="F1155" s="22"/>
      <c r="G1155" s="22" t="s">
        <v>82</v>
      </c>
      <c r="H1155" s="26">
        <v>45997.0</v>
      </c>
      <c r="I1155" s="22" t="s">
        <v>2293</v>
      </c>
      <c r="J1155" s="22" t="s">
        <v>1466</v>
      </c>
      <c r="K1155" s="22" t="s">
        <v>1469</v>
      </c>
      <c r="L1155" s="35" t="s">
        <v>6621</v>
      </c>
      <c r="M1155" s="32" t="s">
        <v>55</v>
      </c>
    </row>
    <row r="1156">
      <c r="A1156" s="22" t="s">
        <v>2470</v>
      </c>
      <c r="B1156" s="22" t="s">
        <v>6622</v>
      </c>
      <c r="C1156" s="22" t="s">
        <v>6623</v>
      </c>
      <c r="D1156" s="22" t="s">
        <v>1472</v>
      </c>
      <c r="E1156" s="22">
        <v>1.0</v>
      </c>
      <c r="F1156" s="22"/>
      <c r="G1156" s="22" t="s">
        <v>82</v>
      </c>
      <c r="H1156" s="26">
        <v>45997.0</v>
      </c>
      <c r="I1156" s="22" t="s">
        <v>2293</v>
      </c>
      <c r="J1156" s="22" t="s">
        <v>1466</v>
      </c>
      <c r="K1156" s="22" t="s">
        <v>1474</v>
      </c>
      <c r="L1156" s="35" t="s">
        <v>6624</v>
      </c>
      <c r="M1156" s="32" t="s">
        <v>54</v>
      </c>
    </row>
    <row r="1157">
      <c r="A1157" s="22" t="s">
        <v>2472</v>
      </c>
      <c r="B1157" s="22" t="s">
        <v>3984</v>
      </c>
      <c r="C1157" s="22" t="s">
        <v>6625</v>
      </c>
      <c r="D1157" s="22" t="s">
        <v>96</v>
      </c>
      <c r="E1157" s="22">
        <v>1.0</v>
      </c>
      <c r="F1157" s="22"/>
      <c r="G1157" s="22" t="s">
        <v>202</v>
      </c>
      <c r="H1157" s="26">
        <v>45996.0</v>
      </c>
      <c r="I1157" s="22" t="s">
        <v>248</v>
      </c>
      <c r="J1157" s="22" t="s">
        <v>83</v>
      </c>
      <c r="K1157" s="22" t="s">
        <v>98</v>
      </c>
      <c r="L1157" s="35" t="s">
        <v>6626</v>
      </c>
      <c r="M1157" s="32" t="s">
        <v>55</v>
      </c>
    </row>
    <row r="1158">
      <c r="A1158" s="22" t="s">
        <v>2474</v>
      </c>
      <c r="B1158" s="22" t="s">
        <v>6627</v>
      </c>
      <c r="C1158" s="22" t="s">
        <v>6628</v>
      </c>
      <c r="D1158" s="22" t="s">
        <v>80</v>
      </c>
      <c r="E1158" s="22">
        <v>1.0</v>
      </c>
      <c r="F1158" s="22"/>
      <c r="G1158" s="22" t="s">
        <v>273</v>
      </c>
      <c r="H1158" s="23">
        <v>45991.0</v>
      </c>
      <c r="I1158" s="22" t="s">
        <v>153</v>
      </c>
      <c r="J1158" s="22" t="s">
        <v>83</v>
      </c>
      <c r="K1158" s="22" t="s">
        <v>86</v>
      </c>
      <c r="L1158" s="35" t="s">
        <v>6629</v>
      </c>
      <c r="M1158" s="32" t="s">
        <v>91</v>
      </c>
    </row>
    <row r="1159">
      <c r="A1159" s="22" t="s">
        <v>2475</v>
      </c>
      <c r="B1159" s="22" t="s">
        <v>4060</v>
      </c>
      <c r="C1159" s="22" t="s">
        <v>4663</v>
      </c>
      <c r="D1159" s="22" t="s">
        <v>515</v>
      </c>
      <c r="E1159" s="22">
        <v>1.0</v>
      </c>
      <c r="F1159" s="22"/>
      <c r="G1159" s="22" t="s">
        <v>273</v>
      </c>
      <c r="H1159" s="26">
        <v>45998.0</v>
      </c>
      <c r="I1159" s="22" t="s">
        <v>134</v>
      </c>
      <c r="J1159" s="22" t="s">
        <v>472</v>
      </c>
      <c r="K1159" s="22" t="s">
        <v>519</v>
      </c>
      <c r="L1159" s="35" t="s">
        <v>6630</v>
      </c>
      <c r="M1159" s="32" t="s">
        <v>55</v>
      </c>
    </row>
    <row r="1160">
      <c r="A1160" s="22" t="s">
        <v>2477</v>
      </c>
      <c r="B1160" s="22" t="s">
        <v>6631</v>
      </c>
      <c r="C1160" s="22" t="s">
        <v>6632</v>
      </c>
      <c r="D1160" s="22" t="s">
        <v>172</v>
      </c>
      <c r="E1160" s="22">
        <v>1.0</v>
      </c>
      <c r="F1160" s="22"/>
      <c r="G1160" s="22" t="s">
        <v>82</v>
      </c>
      <c r="H1160" s="23">
        <v>45990.0</v>
      </c>
      <c r="I1160" s="22" t="s">
        <v>134</v>
      </c>
      <c r="J1160" s="22" t="s">
        <v>83</v>
      </c>
      <c r="K1160" s="22" t="s">
        <v>174</v>
      </c>
      <c r="L1160" s="35" t="s">
        <v>6633</v>
      </c>
      <c r="M1160" s="32" t="s">
        <v>175</v>
      </c>
    </row>
    <row r="1161">
      <c r="A1161" s="22" t="s">
        <v>2478</v>
      </c>
      <c r="B1161" s="22" t="s">
        <v>6634</v>
      </c>
      <c r="C1161" s="22" t="s">
        <v>6635</v>
      </c>
      <c r="D1161" s="22" t="s">
        <v>1180</v>
      </c>
      <c r="E1161" s="22">
        <v>1.0</v>
      </c>
      <c r="F1161" s="22"/>
      <c r="G1161" s="22" t="s">
        <v>273</v>
      </c>
      <c r="H1161" s="26">
        <v>45998.0</v>
      </c>
      <c r="I1161" s="22" t="s">
        <v>149</v>
      </c>
      <c r="J1161" s="22" t="s">
        <v>623</v>
      </c>
      <c r="K1161" s="22" t="s">
        <v>1182</v>
      </c>
      <c r="L1161" s="35" t="s">
        <v>6636</v>
      </c>
      <c r="M1161" s="32" t="s">
        <v>105</v>
      </c>
    </row>
    <row r="1162">
      <c r="A1162" s="22" t="s">
        <v>2479</v>
      </c>
      <c r="B1162" s="22" t="s">
        <v>4042</v>
      </c>
      <c r="C1162" s="22" t="s">
        <v>6637</v>
      </c>
      <c r="D1162" s="22" t="s">
        <v>96</v>
      </c>
      <c r="E1162" s="22">
        <v>1.0</v>
      </c>
      <c r="F1162" s="22"/>
      <c r="G1162" s="22" t="s">
        <v>82</v>
      </c>
      <c r="H1162" s="26">
        <v>45997.0</v>
      </c>
      <c r="I1162" s="22" t="s">
        <v>149</v>
      </c>
      <c r="J1162" s="22" t="s">
        <v>83</v>
      </c>
      <c r="K1162" s="22" t="s">
        <v>98</v>
      </c>
      <c r="L1162" s="35" t="s">
        <v>6638</v>
      </c>
      <c r="M1162" s="32" t="s">
        <v>55</v>
      </c>
    </row>
    <row r="1163">
      <c r="A1163" s="22" t="s">
        <v>2481</v>
      </c>
      <c r="B1163" s="22" t="s">
        <v>3946</v>
      </c>
      <c r="C1163" s="22" t="s">
        <v>6639</v>
      </c>
      <c r="D1163" s="22" t="s">
        <v>484</v>
      </c>
      <c r="E1163" s="22">
        <v>1.0</v>
      </c>
      <c r="F1163" s="22"/>
      <c r="G1163" s="22" t="s">
        <v>202</v>
      </c>
      <c r="H1163" s="23">
        <v>46003.0</v>
      </c>
      <c r="I1163" s="22" t="s">
        <v>181</v>
      </c>
      <c r="J1163" s="22" t="s">
        <v>311</v>
      </c>
      <c r="K1163" s="22" t="s">
        <v>487</v>
      </c>
      <c r="L1163" s="35" t="s">
        <v>6640</v>
      </c>
      <c r="M1163" s="32" t="s">
        <v>127</v>
      </c>
    </row>
    <row r="1164">
      <c r="A1164" s="22" t="s">
        <v>2483</v>
      </c>
      <c r="B1164" s="22" t="s">
        <v>4509</v>
      </c>
      <c r="C1164" s="22" t="s">
        <v>6641</v>
      </c>
      <c r="D1164" s="22" t="s">
        <v>463</v>
      </c>
      <c r="E1164" s="22">
        <v>1.0</v>
      </c>
      <c r="F1164" s="22"/>
      <c r="G1164" s="22" t="s">
        <v>273</v>
      </c>
      <c r="H1164" s="26">
        <v>45998.0</v>
      </c>
      <c r="I1164" s="22" t="s">
        <v>149</v>
      </c>
      <c r="J1164" s="22" t="s">
        <v>303</v>
      </c>
      <c r="K1164" s="22" t="s">
        <v>467</v>
      </c>
      <c r="L1164" s="35" t="s">
        <v>6642</v>
      </c>
      <c r="M1164" s="32" t="s">
        <v>105</v>
      </c>
    </row>
    <row r="1165">
      <c r="A1165" s="22" t="s">
        <v>2484</v>
      </c>
      <c r="B1165" s="22" t="s">
        <v>4071</v>
      </c>
      <c r="C1165" s="22" t="s">
        <v>6643</v>
      </c>
      <c r="D1165" s="22" t="s">
        <v>1200</v>
      </c>
      <c r="E1165" s="22">
        <v>1.0</v>
      </c>
      <c r="F1165" s="22"/>
      <c r="G1165" s="22" t="s">
        <v>82</v>
      </c>
      <c r="H1165" s="26">
        <v>45997.0</v>
      </c>
      <c r="I1165" s="22" t="s">
        <v>187</v>
      </c>
      <c r="J1165" s="22" t="s">
        <v>278</v>
      </c>
      <c r="K1165" s="22" t="s">
        <v>1203</v>
      </c>
      <c r="L1165" s="35" t="s">
        <v>6644</v>
      </c>
      <c r="M1165" s="32" t="s">
        <v>91</v>
      </c>
    </row>
    <row r="1166">
      <c r="A1166" s="22" t="s">
        <v>2485</v>
      </c>
      <c r="B1166" s="22" t="s">
        <v>6645</v>
      </c>
      <c r="C1166" s="22" t="s">
        <v>6646</v>
      </c>
      <c r="D1166" s="22" t="s">
        <v>696</v>
      </c>
      <c r="E1166" s="22">
        <v>1.0</v>
      </c>
      <c r="F1166" s="22"/>
      <c r="G1166" s="22" t="s">
        <v>82</v>
      </c>
      <c r="H1166" s="26">
        <v>45997.0</v>
      </c>
      <c r="I1166" s="22" t="s">
        <v>177</v>
      </c>
      <c r="J1166" s="22" t="s">
        <v>698</v>
      </c>
      <c r="K1166" s="22" t="s">
        <v>701</v>
      </c>
      <c r="L1166" s="35" t="s">
        <v>6647</v>
      </c>
      <c r="M1166" s="32" t="s">
        <v>55</v>
      </c>
    </row>
    <row r="1167">
      <c r="A1167" s="22" t="s">
        <v>6648</v>
      </c>
      <c r="B1167" s="22" t="s">
        <v>6649</v>
      </c>
      <c r="C1167" s="22" t="s">
        <v>6650</v>
      </c>
      <c r="D1167" s="22" t="s">
        <v>4398</v>
      </c>
      <c r="E1167" s="22">
        <v>1.0</v>
      </c>
      <c r="F1167" s="22"/>
      <c r="G1167" s="22" t="s">
        <v>287</v>
      </c>
      <c r="H1167" s="23">
        <v>46001.0</v>
      </c>
      <c r="I1167" s="22" t="s">
        <v>196</v>
      </c>
      <c r="J1167" s="22" t="s">
        <v>4399</v>
      </c>
      <c r="K1167" s="22" t="s">
        <v>4400</v>
      </c>
      <c r="L1167" s="35" t="s">
        <v>6651</v>
      </c>
      <c r="M1167" s="32" t="s">
        <v>55</v>
      </c>
    </row>
    <row r="1168">
      <c r="A1168" s="22" t="s">
        <v>2438</v>
      </c>
      <c r="B1168" s="22" t="s">
        <v>6652</v>
      </c>
      <c r="C1168" s="22" t="s">
        <v>6653</v>
      </c>
      <c r="D1168" s="22" t="s">
        <v>938</v>
      </c>
      <c r="E1168" s="22">
        <v>1.0</v>
      </c>
      <c r="F1168" s="22"/>
      <c r="G1168" s="22" t="s">
        <v>82</v>
      </c>
      <c r="H1168" s="26">
        <v>45997.0</v>
      </c>
      <c r="I1168" s="22" t="s">
        <v>134</v>
      </c>
      <c r="J1168" s="22" t="s">
        <v>472</v>
      </c>
      <c r="K1168" s="22" t="s">
        <v>940</v>
      </c>
      <c r="L1168" s="35" t="s">
        <v>6654</v>
      </c>
      <c r="M1168" s="32" t="s">
        <v>54</v>
      </c>
    </row>
    <row r="1169">
      <c r="A1169" s="22" t="s">
        <v>2439</v>
      </c>
      <c r="B1169" s="22" t="s">
        <v>6655</v>
      </c>
      <c r="C1169" s="22" t="s">
        <v>6656</v>
      </c>
      <c r="D1169" s="22" t="s">
        <v>347</v>
      </c>
      <c r="E1169" s="22">
        <v>1.0</v>
      </c>
      <c r="F1169" s="22"/>
      <c r="G1169" s="22" t="s">
        <v>82</v>
      </c>
      <c r="H1169" s="26">
        <v>45997.0</v>
      </c>
      <c r="I1169" s="22" t="s">
        <v>439</v>
      </c>
      <c r="J1169" s="22" t="s">
        <v>278</v>
      </c>
      <c r="K1169" s="22" t="s">
        <v>350</v>
      </c>
      <c r="L1169" s="35" t="s">
        <v>6657</v>
      </c>
      <c r="M1169" s="32" t="s">
        <v>127</v>
      </c>
    </row>
    <row r="1170">
      <c r="A1170" s="22" t="s">
        <v>2487</v>
      </c>
      <c r="B1170" s="22" t="s">
        <v>6658</v>
      </c>
      <c r="C1170" s="22" t="s">
        <v>6659</v>
      </c>
      <c r="D1170" s="22" t="s">
        <v>912</v>
      </c>
      <c r="E1170" s="22">
        <v>1.0</v>
      </c>
      <c r="F1170" s="22"/>
      <c r="G1170" s="22" t="s">
        <v>82</v>
      </c>
      <c r="H1170" s="23">
        <v>46004.0</v>
      </c>
      <c r="I1170" s="22" t="s">
        <v>153</v>
      </c>
      <c r="J1170" s="22" t="s">
        <v>377</v>
      </c>
      <c r="K1170" s="22" t="s">
        <v>914</v>
      </c>
      <c r="L1170" s="35" t="s">
        <v>6660</v>
      </c>
      <c r="M1170" s="32" t="s">
        <v>54</v>
      </c>
    </row>
    <row r="1171">
      <c r="A1171" s="22" t="s">
        <v>2491</v>
      </c>
      <c r="B1171" s="22" t="s">
        <v>6661</v>
      </c>
      <c r="C1171" s="22" t="s">
        <v>6662</v>
      </c>
      <c r="D1171" s="22" t="s">
        <v>538</v>
      </c>
      <c r="E1171" s="22">
        <v>1.0</v>
      </c>
      <c r="F1171" s="22"/>
      <c r="G1171" s="22" t="s">
        <v>273</v>
      </c>
      <c r="H1171" s="26">
        <v>45998.0</v>
      </c>
      <c r="I1171" s="22" t="s">
        <v>138</v>
      </c>
      <c r="J1171" s="22" t="s">
        <v>369</v>
      </c>
      <c r="K1171" s="22" t="s">
        <v>542</v>
      </c>
      <c r="L1171" s="35" t="s">
        <v>6663</v>
      </c>
      <c r="M1171" s="32" t="s">
        <v>91</v>
      </c>
    </row>
    <row r="1172">
      <c r="A1172" s="22" t="s">
        <v>2492</v>
      </c>
      <c r="B1172" s="22" t="s">
        <v>4515</v>
      </c>
      <c r="C1172" s="22" t="s">
        <v>6664</v>
      </c>
      <c r="D1172" s="22" t="s">
        <v>789</v>
      </c>
      <c r="E1172" s="22">
        <v>1.0</v>
      </c>
      <c r="F1172" s="22"/>
      <c r="G1172" s="22" t="s">
        <v>82</v>
      </c>
      <c r="H1172" s="26">
        <v>45997.0</v>
      </c>
      <c r="I1172" s="22" t="s">
        <v>1131</v>
      </c>
      <c r="J1172" s="22" t="s">
        <v>605</v>
      </c>
      <c r="K1172" s="22" t="s">
        <v>794</v>
      </c>
      <c r="L1172" s="35" t="s">
        <v>6665</v>
      </c>
      <c r="M1172" s="32" t="s">
        <v>105</v>
      </c>
    </row>
    <row r="1173">
      <c r="A1173" s="22" t="s">
        <v>2494</v>
      </c>
      <c r="B1173" s="22" t="s">
        <v>6666</v>
      </c>
      <c r="C1173" s="22" t="s">
        <v>6667</v>
      </c>
      <c r="D1173" s="22" t="s">
        <v>592</v>
      </c>
      <c r="E1173" s="22">
        <v>2.0</v>
      </c>
      <c r="F1173" s="22"/>
      <c r="G1173" s="22" t="s">
        <v>273</v>
      </c>
      <c r="H1173" s="26">
        <v>45998.0</v>
      </c>
      <c r="I1173" s="22" t="s">
        <v>134</v>
      </c>
      <c r="J1173" s="22" t="s">
        <v>311</v>
      </c>
      <c r="K1173" s="22" t="s">
        <v>594</v>
      </c>
      <c r="L1173" s="35" t="s">
        <v>6668</v>
      </c>
      <c r="M1173" s="32" t="s">
        <v>54</v>
      </c>
    </row>
    <row r="1174">
      <c r="A1174" s="22" t="s">
        <v>2495</v>
      </c>
      <c r="B1174" s="22" t="s">
        <v>4768</v>
      </c>
      <c r="C1174" s="22" t="s">
        <v>6669</v>
      </c>
      <c r="D1174" s="22" t="s">
        <v>80</v>
      </c>
      <c r="E1174" s="22">
        <v>1.0</v>
      </c>
      <c r="F1174" s="22"/>
      <c r="G1174" s="22" t="s">
        <v>82</v>
      </c>
      <c r="H1174" s="26">
        <v>45997.0</v>
      </c>
      <c r="I1174" s="22" t="s">
        <v>134</v>
      </c>
      <c r="J1174" s="22" t="s">
        <v>83</v>
      </c>
      <c r="K1174" s="22" t="s">
        <v>86</v>
      </c>
      <c r="L1174" s="35" t="s">
        <v>6670</v>
      </c>
      <c r="M1174" s="32" t="s">
        <v>91</v>
      </c>
    </row>
    <row r="1175">
      <c r="A1175" s="22" t="s">
        <v>2496</v>
      </c>
      <c r="B1175" s="22" t="s">
        <v>4484</v>
      </c>
      <c r="C1175" s="22" t="s">
        <v>6671</v>
      </c>
      <c r="D1175" s="22" t="s">
        <v>80</v>
      </c>
      <c r="E1175" s="22">
        <v>1.0</v>
      </c>
      <c r="F1175" s="22"/>
      <c r="G1175" s="22" t="s">
        <v>273</v>
      </c>
      <c r="H1175" s="26">
        <v>45998.0</v>
      </c>
      <c r="I1175" s="22" t="s">
        <v>266</v>
      </c>
      <c r="J1175" s="22" t="s">
        <v>83</v>
      </c>
      <c r="K1175" s="22" t="s">
        <v>86</v>
      </c>
      <c r="L1175" s="35" t="s">
        <v>6672</v>
      </c>
      <c r="M1175" s="32" t="s">
        <v>91</v>
      </c>
    </row>
    <row r="1176">
      <c r="A1176" s="22" t="s">
        <v>2498</v>
      </c>
      <c r="B1176" s="22" t="s">
        <v>4830</v>
      </c>
      <c r="C1176" s="22" t="s">
        <v>6673</v>
      </c>
      <c r="D1176" s="22" t="s">
        <v>463</v>
      </c>
      <c r="E1176" s="22">
        <v>1.0</v>
      </c>
      <c r="F1176" s="22"/>
      <c r="G1176" s="22" t="s">
        <v>82</v>
      </c>
      <c r="H1176" s="26">
        <v>45997.0</v>
      </c>
      <c r="I1176" s="22" t="s">
        <v>1895</v>
      </c>
      <c r="J1176" s="22" t="s">
        <v>303</v>
      </c>
      <c r="K1176" s="22" t="s">
        <v>467</v>
      </c>
      <c r="L1176" s="35" t="s">
        <v>6674</v>
      </c>
      <c r="M1176" s="32" t="s">
        <v>105</v>
      </c>
    </row>
    <row r="1177">
      <c r="A1177" s="22" t="s">
        <v>2500</v>
      </c>
      <c r="B1177" s="22" t="s">
        <v>3909</v>
      </c>
      <c r="C1177" s="22" t="s">
        <v>6675</v>
      </c>
      <c r="D1177" s="22" t="s">
        <v>515</v>
      </c>
      <c r="E1177" s="22">
        <v>1.0</v>
      </c>
      <c r="F1177" s="22"/>
      <c r="G1177" s="22" t="s">
        <v>82</v>
      </c>
      <c r="H1177" s="26">
        <v>45997.0</v>
      </c>
      <c r="I1177" s="22" t="s">
        <v>134</v>
      </c>
      <c r="J1177" s="22" t="s">
        <v>472</v>
      </c>
      <c r="K1177" s="22" t="s">
        <v>519</v>
      </c>
      <c r="L1177" s="35" t="s">
        <v>6676</v>
      </c>
      <c r="M1177" s="32" t="s">
        <v>55</v>
      </c>
    </row>
    <row r="1178">
      <c r="A1178" s="22" t="s">
        <v>2502</v>
      </c>
      <c r="B1178" s="22" t="s">
        <v>6677</v>
      </c>
      <c r="C1178" s="22" t="s">
        <v>6678</v>
      </c>
      <c r="D1178" s="22" t="s">
        <v>709</v>
      </c>
      <c r="E1178" s="22">
        <v>1.0</v>
      </c>
      <c r="F1178" s="22"/>
      <c r="G1178" s="22" t="s">
        <v>273</v>
      </c>
      <c r="H1178" s="26">
        <v>45998.0</v>
      </c>
      <c r="I1178" s="22" t="s">
        <v>1117</v>
      </c>
      <c r="J1178" s="22" t="s">
        <v>311</v>
      </c>
      <c r="K1178" s="22" t="s">
        <v>713</v>
      </c>
      <c r="L1178" s="35" t="s">
        <v>6679</v>
      </c>
      <c r="M1178" s="32" t="s">
        <v>91</v>
      </c>
    </row>
    <row r="1179">
      <c r="A1179" s="22" t="s">
        <v>2488</v>
      </c>
      <c r="B1179" s="22" t="s">
        <v>5217</v>
      </c>
      <c r="C1179" s="22" t="s">
        <v>6680</v>
      </c>
      <c r="D1179" s="22" t="s">
        <v>515</v>
      </c>
      <c r="E1179" s="22">
        <v>1.0</v>
      </c>
      <c r="F1179" s="22"/>
      <c r="G1179" s="22" t="s">
        <v>82</v>
      </c>
      <c r="H1179" s="26">
        <v>45997.0</v>
      </c>
      <c r="I1179" s="22" t="s">
        <v>134</v>
      </c>
      <c r="J1179" s="22" t="s">
        <v>472</v>
      </c>
      <c r="K1179" s="22" t="s">
        <v>519</v>
      </c>
      <c r="L1179" s="35" t="s">
        <v>6681</v>
      </c>
      <c r="M1179" s="32" t="s">
        <v>55</v>
      </c>
    </row>
    <row r="1180">
      <c r="A1180" s="22" t="s">
        <v>2489</v>
      </c>
      <c r="B1180" s="22" t="s">
        <v>6682</v>
      </c>
      <c r="C1180" s="22" t="s">
        <v>6635</v>
      </c>
      <c r="D1180" s="22" t="s">
        <v>550</v>
      </c>
      <c r="E1180" s="22">
        <v>1.0</v>
      </c>
      <c r="F1180" s="22"/>
      <c r="G1180" s="22" t="s">
        <v>82</v>
      </c>
      <c r="H1180" s="26">
        <v>45997.0</v>
      </c>
      <c r="I1180" s="22" t="s">
        <v>138</v>
      </c>
      <c r="J1180" s="22" t="s">
        <v>377</v>
      </c>
      <c r="K1180" s="22" t="s">
        <v>552</v>
      </c>
      <c r="L1180" s="35" t="s">
        <v>6683</v>
      </c>
      <c r="M1180" s="32" t="s">
        <v>95</v>
      </c>
    </row>
    <row r="1181">
      <c r="A1181" s="22" t="s">
        <v>2490</v>
      </c>
      <c r="B1181" s="22" t="s">
        <v>6684</v>
      </c>
      <c r="C1181" s="22" t="s">
        <v>6685</v>
      </c>
      <c r="D1181" s="22" t="s">
        <v>276</v>
      </c>
      <c r="E1181" s="22">
        <v>1.0</v>
      </c>
      <c r="F1181" s="22"/>
      <c r="G1181" s="22" t="s">
        <v>82</v>
      </c>
      <c r="H1181" s="26">
        <v>45997.0</v>
      </c>
      <c r="I1181" s="22" t="s">
        <v>439</v>
      </c>
      <c r="J1181" s="22" t="s">
        <v>278</v>
      </c>
      <c r="K1181" s="22" t="s">
        <v>281</v>
      </c>
      <c r="L1181" s="35" t="s">
        <v>6686</v>
      </c>
      <c r="M1181" s="32" t="s">
        <v>55</v>
      </c>
    </row>
    <row r="1182">
      <c r="A1182" s="22" t="s">
        <v>2504</v>
      </c>
      <c r="B1182" s="22" t="s">
        <v>4464</v>
      </c>
      <c r="C1182" s="22" t="s">
        <v>6687</v>
      </c>
      <c r="D1182" s="22" t="s">
        <v>649</v>
      </c>
      <c r="E1182" s="22">
        <v>1.0</v>
      </c>
      <c r="F1182" s="22"/>
      <c r="G1182" s="22" t="s">
        <v>82</v>
      </c>
      <c r="H1182" s="26">
        <v>45997.0</v>
      </c>
      <c r="I1182" s="22" t="s">
        <v>181</v>
      </c>
      <c r="J1182" s="22" t="s">
        <v>319</v>
      </c>
      <c r="K1182" s="22" t="s">
        <v>651</v>
      </c>
      <c r="L1182" s="35" t="s">
        <v>6688</v>
      </c>
      <c r="M1182" s="32" t="s">
        <v>91</v>
      </c>
    </row>
    <row r="1183">
      <c r="A1183" s="22" t="s">
        <v>2505</v>
      </c>
      <c r="B1183" s="22" t="s">
        <v>4582</v>
      </c>
      <c r="C1183" s="22" t="s">
        <v>6689</v>
      </c>
      <c r="D1183" s="22" t="s">
        <v>1246</v>
      </c>
      <c r="E1183" s="22">
        <v>1.0</v>
      </c>
      <c r="F1183" s="22"/>
      <c r="G1183" s="22" t="s">
        <v>82</v>
      </c>
      <c r="H1183" s="26">
        <v>45997.0</v>
      </c>
      <c r="I1183" s="22" t="s">
        <v>149</v>
      </c>
      <c r="J1183" s="22" t="s">
        <v>623</v>
      </c>
      <c r="K1183" s="22" t="s">
        <v>1250</v>
      </c>
      <c r="L1183" s="35" t="s">
        <v>6690</v>
      </c>
      <c r="M1183" s="32" t="s">
        <v>175</v>
      </c>
    </row>
    <row r="1184">
      <c r="A1184" s="22" t="s">
        <v>216</v>
      </c>
      <c r="B1184" s="22" t="s">
        <v>6619</v>
      </c>
      <c r="C1184" s="22" t="s">
        <v>6691</v>
      </c>
      <c r="D1184" s="22" t="s">
        <v>166</v>
      </c>
      <c r="E1184" s="22">
        <v>1.0</v>
      </c>
      <c r="F1184" s="22"/>
      <c r="G1184" s="22" t="s">
        <v>82</v>
      </c>
      <c r="H1184" s="23">
        <v>45990.0</v>
      </c>
      <c r="I1184" s="22" t="s">
        <v>160</v>
      </c>
      <c r="J1184" s="22" t="s">
        <v>111</v>
      </c>
      <c r="K1184" s="22" t="s">
        <v>171</v>
      </c>
      <c r="L1184" s="35" t="s">
        <v>6692</v>
      </c>
      <c r="M1184" s="32" t="s">
        <v>55</v>
      </c>
    </row>
    <row r="1185">
      <c r="A1185" s="22" t="s">
        <v>2506</v>
      </c>
      <c r="B1185" s="22" t="s">
        <v>6693</v>
      </c>
      <c r="C1185" s="22" t="s">
        <v>6694</v>
      </c>
      <c r="D1185" s="22" t="s">
        <v>595</v>
      </c>
      <c r="E1185" s="22">
        <v>1.0</v>
      </c>
      <c r="F1185" s="22"/>
      <c r="G1185" s="22" t="s">
        <v>273</v>
      </c>
      <c r="H1185" s="26">
        <v>45998.0</v>
      </c>
      <c r="I1185" s="22" t="s">
        <v>153</v>
      </c>
      <c r="J1185" s="22" t="s">
        <v>369</v>
      </c>
      <c r="K1185" s="22" t="s">
        <v>599</v>
      </c>
      <c r="L1185" s="35" t="s">
        <v>6695</v>
      </c>
      <c r="M1185" s="32" t="s">
        <v>127</v>
      </c>
    </row>
    <row r="1186">
      <c r="A1186" s="22" t="s">
        <v>2512</v>
      </c>
      <c r="B1186" s="22" t="s">
        <v>5136</v>
      </c>
      <c r="C1186" s="22" t="s">
        <v>6696</v>
      </c>
      <c r="D1186" s="22" t="s">
        <v>1242</v>
      </c>
      <c r="E1186" s="22">
        <v>1.0</v>
      </c>
      <c r="F1186" s="22"/>
      <c r="G1186" s="22" t="s">
        <v>82</v>
      </c>
      <c r="H1186" s="26">
        <v>45997.0</v>
      </c>
      <c r="I1186" s="22" t="s">
        <v>970</v>
      </c>
      <c r="J1186" s="22" t="s">
        <v>698</v>
      </c>
      <c r="K1186" s="22" t="s">
        <v>1244</v>
      </c>
      <c r="L1186" s="35" t="s">
        <v>6697</v>
      </c>
      <c r="M1186" s="32" t="s">
        <v>95</v>
      </c>
    </row>
    <row r="1187">
      <c r="A1187" s="22" t="s">
        <v>2513</v>
      </c>
      <c r="B1187" s="22" t="s">
        <v>6698</v>
      </c>
      <c r="C1187" s="22" t="s">
        <v>6699</v>
      </c>
      <c r="D1187" s="22" t="s">
        <v>529</v>
      </c>
      <c r="E1187" s="22">
        <v>1.0</v>
      </c>
      <c r="F1187" s="22"/>
      <c r="G1187" s="22" t="s">
        <v>82</v>
      </c>
      <c r="H1187" s="26">
        <v>45997.0</v>
      </c>
      <c r="I1187" s="22" t="s">
        <v>145</v>
      </c>
      <c r="J1187" s="22" t="s">
        <v>472</v>
      </c>
      <c r="K1187" s="22" t="s">
        <v>533</v>
      </c>
      <c r="L1187" s="35" t="s">
        <v>6700</v>
      </c>
      <c r="M1187" s="32" t="s">
        <v>127</v>
      </c>
    </row>
    <row r="1188">
      <c r="A1188" s="22" t="s">
        <v>2508</v>
      </c>
      <c r="B1188" s="22" t="s">
        <v>6701</v>
      </c>
      <c r="C1188" s="22" t="s">
        <v>6702</v>
      </c>
      <c r="D1188" s="22" t="s">
        <v>96</v>
      </c>
      <c r="E1188" s="22">
        <v>1.0</v>
      </c>
      <c r="F1188" s="22"/>
      <c r="G1188" s="22" t="s">
        <v>202</v>
      </c>
      <c r="H1188" s="26">
        <v>45996.0</v>
      </c>
      <c r="I1188" s="22" t="s">
        <v>235</v>
      </c>
      <c r="J1188" s="22" t="s">
        <v>83</v>
      </c>
      <c r="K1188" s="22" t="s">
        <v>98</v>
      </c>
      <c r="L1188" s="35" t="s">
        <v>6703</v>
      </c>
      <c r="M1188" s="32" t="s">
        <v>55</v>
      </c>
    </row>
    <row r="1189">
      <c r="A1189" s="22" t="s">
        <v>2510</v>
      </c>
      <c r="B1189" s="22" t="s">
        <v>3918</v>
      </c>
      <c r="C1189" s="22" t="s">
        <v>6704</v>
      </c>
      <c r="D1189" s="22" t="s">
        <v>503</v>
      </c>
      <c r="E1189" s="22">
        <v>1.0</v>
      </c>
      <c r="F1189" s="22"/>
      <c r="G1189" s="22" t="s">
        <v>82</v>
      </c>
      <c r="H1189" s="26">
        <v>45997.0</v>
      </c>
      <c r="I1189" s="22" t="s">
        <v>211</v>
      </c>
      <c r="J1189" s="22" t="s">
        <v>341</v>
      </c>
      <c r="K1189" s="22" t="s">
        <v>507</v>
      </c>
      <c r="L1189" s="35" t="s">
        <v>6705</v>
      </c>
      <c r="M1189" s="32" t="s">
        <v>54</v>
      </c>
    </row>
    <row r="1190">
      <c r="A1190" s="22" t="s">
        <v>2511</v>
      </c>
      <c r="B1190" s="22" t="s">
        <v>6706</v>
      </c>
      <c r="C1190" s="22" t="s">
        <v>6707</v>
      </c>
      <c r="D1190" s="22" t="s">
        <v>1359</v>
      </c>
      <c r="E1190" s="22">
        <v>1.0</v>
      </c>
      <c r="F1190" s="22"/>
      <c r="G1190" s="22" t="s">
        <v>82</v>
      </c>
      <c r="H1190" s="26">
        <v>45997.0</v>
      </c>
      <c r="I1190" s="22" t="s">
        <v>1117</v>
      </c>
      <c r="J1190" s="22" t="s">
        <v>605</v>
      </c>
      <c r="K1190" s="22" t="s">
        <v>1363</v>
      </c>
      <c r="L1190" s="35" t="s">
        <v>6708</v>
      </c>
      <c r="M1190" s="32" t="s">
        <v>175</v>
      </c>
    </row>
    <row r="1191">
      <c r="A1191" s="22" t="s">
        <v>2520</v>
      </c>
      <c r="B1191" s="22" t="s">
        <v>6709</v>
      </c>
      <c r="C1191" s="22" t="s">
        <v>6710</v>
      </c>
      <c r="D1191" s="22" t="s">
        <v>80</v>
      </c>
      <c r="E1191" s="22">
        <v>1.0</v>
      </c>
      <c r="F1191" s="22"/>
      <c r="G1191" s="22" t="s">
        <v>336</v>
      </c>
      <c r="H1191" s="26">
        <v>45995.0</v>
      </c>
      <c r="I1191" s="22" t="s">
        <v>480</v>
      </c>
      <c r="J1191" s="22" t="s">
        <v>83</v>
      </c>
      <c r="K1191" s="22" t="s">
        <v>86</v>
      </c>
      <c r="L1191" s="35" t="s">
        <v>6711</v>
      </c>
      <c r="M1191" s="32" t="s">
        <v>91</v>
      </c>
    </row>
    <row r="1192">
      <c r="A1192" s="22" t="s">
        <v>2522</v>
      </c>
      <c r="B1192" s="22" t="s">
        <v>6712</v>
      </c>
      <c r="C1192" s="22" t="s">
        <v>6713</v>
      </c>
      <c r="D1192" s="22" t="s">
        <v>714</v>
      </c>
      <c r="E1192" s="22">
        <v>1.0</v>
      </c>
      <c r="F1192" s="22"/>
      <c r="G1192" s="22" t="s">
        <v>82</v>
      </c>
      <c r="H1192" s="26">
        <v>45997.0</v>
      </c>
      <c r="I1192" s="22" t="s">
        <v>716</v>
      </c>
      <c r="J1192" s="22" t="s">
        <v>717</v>
      </c>
      <c r="K1192" s="22" t="s">
        <v>720</v>
      </c>
      <c r="L1192" s="35" t="s">
        <v>6714</v>
      </c>
      <c r="M1192" s="32" t="s">
        <v>55</v>
      </c>
    </row>
    <row r="1193">
      <c r="A1193" s="22" t="s">
        <v>2523</v>
      </c>
      <c r="B1193" s="22" t="s">
        <v>6715</v>
      </c>
      <c r="C1193" s="22" t="s">
        <v>6716</v>
      </c>
      <c r="D1193" s="22" t="s">
        <v>679</v>
      </c>
      <c r="E1193" s="22">
        <v>1.0</v>
      </c>
      <c r="F1193" s="22"/>
      <c r="G1193" s="22" t="s">
        <v>82</v>
      </c>
      <c r="H1193" s="26">
        <v>45997.0</v>
      </c>
      <c r="I1193" s="22" t="s">
        <v>177</v>
      </c>
      <c r="J1193" s="22" t="s">
        <v>111</v>
      </c>
      <c r="K1193" s="22" t="s">
        <v>683</v>
      </c>
      <c r="L1193" s="35" t="s">
        <v>6717</v>
      </c>
      <c r="M1193" s="32" t="s">
        <v>105</v>
      </c>
    </row>
    <row r="1194">
      <c r="A1194" s="22" t="s">
        <v>2524</v>
      </c>
      <c r="B1194" s="22" t="s">
        <v>5766</v>
      </c>
      <c r="C1194" s="22" t="s">
        <v>4121</v>
      </c>
      <c r="D1194" s="22" t="s">
        <v>1527</v>
      </c>
      <c r="E1194" s="22">
        <v>1.0</v>
      </c>
      <c r="F1194" s="22"/>
      <c r="G1194" s="22" t="s">
        <v>82</v>
      </c>
      <c r="H1194" s="26">
        <v>45997.0</v>
      </c>
      <c r="I1194" s="22" t="s">
        <v>134</v>
      </c>
      <c r="J1194" s="22" t="s">
        <v>451</v>
      </c>
      <c r="K1194" s="22" t="s">
        <v>1531</v>
      </c>
      <c r="L1194" s="35" t="s">
        <v>6718</v>
      </c>
      <c r="M1194" s="32" t="s">
        <v>105</v>
      </c>
    </row>
    <row r="1195">
      <c r="A1195" s="22" t="s">
        <v>2526</v>
      </c>
      <c r="B1195" s="22" t="s">
        <v>6619</v>
      </c>
      <c r="C1195" s="22" t="s">
        <v>6719</v>
      </c>
      <c r="D1195" s="22" t="s">
        <v>375</v>
      </c>
      <c r="E1195" s="22">
        <v>1.0</v>
      </c>
      <c r="F1195" s="22"/>
      <c r="G1195" s="22" t="s">
        <v>82</v>
      </c>
      <c r="H1195" s="23">
        <v>46004.0</v>
      </c>
      <c r="I1195" s="22" t="s">
        <v>138</v>
      </c>
      <c r="J1195" s="22" t="s">
        <v>377</v>
      </c>
      <c r="K1195" s="22" t="s">
        <v>380</v>
      </c>
      <c r="L1195" s="35" t="s">
        <v>6720</v>
      </c>
      <c r="M1195" s="32" t="s">
        <v>55</v>
      </c>
    </row>
    <row r="1196">
      <c r="A1196" s="22" t="s">
        <v>2528</v>
      </c>
      <c r="B1196" s="22" t="s">
        <v>3981</v>
      </c>
      <c r="C1196" s="22" t="s">
        <v>6721</v>
      </c>
      <c r="D1196" s="22" t="s">
        <v>401</v>
      </c>
      <c r="E1196" s="22">
        <v>1.0</v>
      </c>
      <c r="F1196" s="22"/>
      <c r="G1196" s="22" t="s">
        <v>82</v>
      </c>
      <c r="H1196" s="26">
        <v>45997.0</v>
      </c>
      <c r="I1196" s="22" t="s">
        <v>181</v>
      </c>
      <c r="J1196" s="22" t="s">
        <v>319</v>
      </c>
      <c r="K1196" s="22" t="s">
        <v>403</v>
      </c>
      <c r="L1196" s="35" t="s">
        <v>6722</v>
      </c>
      <c r="M1196" s="32" t="s">
        <v>127</v>
      </c>
    </row>
    <row r="1197">
      <c r="A1197" s="22" t="s">
        <v>2529</v>
      </c>
      <c r="B1197" s="22" t="s">
        <v>6723</v>
      </c>
      <c r="C1197" s="22" t="s">
        <v>6724</v>
      </c>
      <c r="D1197" s="22" t="s">
        <v>879</v>
      </c>
      <c r="E1197" s="22">
        <v>1.0</v>
      </c>
      <c r="F1197" s="22"/>
      <c r="G1197" s="22" t="s">
        <v>273</v>
      </c>
      <c r="H1197" s="26">
        <v>45998.0</v>
      </c>
      <c r="I1197" s="22" t="s">
        <v>149</v>
      </c>
      <c r="J1197" s="22" t="s">
        <v>869</v>
      </c>
      <c r="K1197" s="22" t="s">
        <v>881</v>
      </c>
      <c r="L1197" s="35" t="s">
        <v>6725</v>
      </c>
      <c r="M1197" s="32" t="s">
        <v>127</v>
      </c>
    </row>
    <row r="1198">
      <c r="A1198" s="22" t="s">
        <v>2530</v>
      </c>
      <c r="B1198" s="22" t="s">
        <v>6726</v>
      </c>
      <c r="C1198" s="22" t="s">
        <v>6727</v>
      </c>
      <c r="D1198" s="22" t="s">
        <v>408</v>
      </c>
      <c r="E1198" s="22">
        <v>1.0</v>
      </c>
      <c r="F1198" s="22"/>
      <c r="G1198" s="22" t="s">
        <v>82</v>
      </c>
      <c r="H1198" s="26">
        <v>45997.0</v>
      </c>
      <c r="I1198" s="22" t="s">
        <v>145</v>
      </c>
      <c r="J1198" s="22" t="s">
        <v>377</v>
      </c>
      <c r="K1198" s="22" t="s">
        <v>412</v>
      </c>
      <c r="L1198" s="35" t="s">
        <v>6728</v>
      </c>
      <c r="M1198" s="32" t="s">
        <v>127</v>
      </c>
    </row>
    <row r="1199">
      <c r="A1199" s="22" t="s">
        <v>6729</v>
      </c>
      <c r="B1199" s="22" t="s">
        <v>6730</v>
      </c>
      <c r="C1199" s="22" t="s">
        <v>6731</v>
      </c>
      <c r="D1199" s="22" t="s">
        <v>4741</v>
      </c>
      <c r="E1199" s="22">
        <v>1.0</v>
      </c>
      <c r="F1199" s="22"/>
      <c r="G1199" s="22" t="s">
        <v>202</v>
      </c>
      <c r="H1199" s="26">
        <v>45996.0</v>
      </c>
      <c r="I1199" s="22" t="s">
        <v>192</v>
      </c>
      <c r="J1199" s="22" t="s">
        <v>4325</v>
      </c>
      <c r="K1199" s="22" t="s">
        <v>4742</v>
      </c>
      <c r="L1199" s="35" t="s">
        <v>6732</v>
      </c>
      <c r="M1199" s="32" t="s">
        <v>55</v>
      </c>
    </row>
    <row r="1200">
      <c r="A1200" s="22" t="s">
        <v>2531</v>
      </c>
      <c r="B1200" s="22" t="s">
        <v>6733</v>
      </c>
      <c r="C1200" s="22" t="s">
        <v>6734</v>
      </c>
      <c r="D1200" s="22" t="s">
        <v>484</v>
      </c>
      <c r="E1200" s="22">
        <v>1.0</v>
      </c>
      <c r="F1200" s="22"/>
      <c r="G1200" s="22" t="s">
        <v>202</v>
      </c>
      <c r="H1200" s="26">
        <v>45996.0</v>
      </c>
      <c r="I1200" s="22" t="s">
        <v>134</v>
      </c>
      <c r="J1200" s="22" t="s">
        <v>311</v>
      </c>
      <c r="K1200" s="22" t="s">
        <v>487</v>
      </c>
      <c r="L1200" s="35" t="s">
        <v>6735</v>
      </c>
      <c r="M1200" s="32" t="s">
        <v>127</v>
      </c>
    </row>
    <row r="1201">
      <c r="A1201" s="22" t="s">
        <v>2532</v>
      </c>
      <c r="B1201" s="22" t="s">
        <v>6236</v>
      </c>
      <c r="C1201" s="22" t="s">
        <v>6643</v>
      </c>
      <c r="D1201" s="22" t="s">
        <v>92</v>
      </c>
      <c r="E1201" s="22">
        <v>1.0</v>
      </c>
      <c r="F1201" s="22"/>
      <c r="G1201" s="22" t="s">
        <v>82</v>
      </c>
      <c r="H1201" s="26">
        <v>45997.0</v>
      </c>
      <c r="I1201" s="22" t="s">
        <v>138</v>
      </c>
      <c r="J1201" s="22" t="s">
        <v>83</v>
      </c>
      <c r="K1201" s="22" t="s">
        <v>94</v>
      </c>
      <c r="L1201" s="35" t="s">
        <v>6736</v>
      </c>
      <c r="M1201" s="32" t="s">
        <v>95</v>
      </c>
    </row>
    <row r="1202">
      <c r="A1202" s="22" t="s">
        <v>2534</v>
      </c>
      <c r="B1202" s="22" t="s">
        <v>6737</v>
      </c>
      <c r="C1202" s="22" t="s">
        <v>6738</v>
      </c>
      <c r="D1202" s="22" t="s">
        <v>1554</v>
      </c>
      <c r="E1202" s="22">
        <v>1.0</v>
      </c>
      <c r="F1202" s="22"/>
      <c r="G1202" s="22" t="s">
        <v>82</v>
      </c>
      <c r="H1202" s="26">
        <v>45997.0</v>
      </c>
      <c r="I1202" s="22" t="s">
        <v>734</v>
      </c>
      <c r="J1202" s="22" t="s">
        <v>1466</v>
      </c>
      <c r="K1202" s="22" t="s">
        <v>1556</v>
      </c>
      <c r="L1202" s="35" t="s">
        <v>6739</v>
      </c>
      <c r="M1202" s="32" t="s">
        <v>91</v>
      </c>
    </row>
    <row r="1203">
      <c r="A1203" s="22" t="s">
        <v>2536</v>
      </c>
      <c r="B1203" s="22" t="s">
        <v>4387</v>
      </c>
      <c r="C1203" s="22" t="s">
        <v>6740</v>
      </c>
      <c r="D1203" s="22" t="s">
        <v>602</v>
      </c>
      <c r="E1203" s="22">
        <v>1.0</v>
      </c>
      <c r="F1203" s="22"/>
      <c r="G1203" s="22" t="s">
        <v>82</v>
      </c>
      <c r="H1203" s="26">
        <v>45997.0</v>
      </c>
      <c r="I1203" s="22" t="s">
        <v>1117</v>
      </c>
      <c r="J1203" s="22" t="s">
        <v>605</v>
      </c>
      <c r="K1203" s="22" t="s">
        <v>608</v>
      </c>
      <c r="L1203" s="35" t="s">
        <v>6741</v>
      </c>
      <c r="M1203" s="32" t="s">
        <v>54</v>
      </c>
    </row>
    <row r="1204">
      <c r="A1204" s="22" t="s">
        <v>2537</v>
      </c>
      <c r="B1204" s="22" t="s">
        <v>6742</v>
      </c>
      <c r="C1204" s="22" t="s">
        <v>6743</v>
      </c>
      <c r="D1204" s="22" t="s">
        <v>495</v>
      </c>
      <c r="E1204" s="22">
        <v>1.0</v>
      </c>
      <c r="F1204" s="22"/>
      <c r="G1204" s="22" t="s">
        <v>273</v>
      </c>
      <c r="H1204" s="23">
        <v>45991.0</v>
      </c>
      <c r="I1204" s="22" t="s">
        <v>153</v>
      </c>
      <c r="J1204" s="22" t="s">
        <v>329</v>
      </c>
      <c r="K1204" s="22" t="s">
        <v>500</v>
      </c>
      <c r="L1204" s="35" t="s">
        <v>6744</v>
      </c>
      <c r="M1204" s="32" t="s">
        <v>54</v>
      </c>
    </row>
    <row r="1205">
      <c r="A1205" s="22" t="s">
        <v>2538</v>
      </c>
      <c r="B1205" s="22" t="s">
        <v>6745</v>
      </c>
      <c r="C1205" s="22" t="s">
        <v>6746</v>
      </c>
      <c r="D1205" s="22" t="s">
        <v>664</v>
      </c>
      <c r="E1205" s="22">
        <v>1.0</v>
      </c>
      <c r="F1205" s="22"/>
      <c r="G1205" s="22" t="s">
        <v>82</v>
      </c>
      <c r="H1205" s="26">
        <v>45997.0</v>
      </c>
      <c r="I1205" s="22" t="s">
        <v>134</v>
      </c>
      <c r="J1205" s="22" t="s">
        <v>472</v>
      </c>
      <c r="K1205" s="22" t="s">
        <v>668</v>
      </c>
      <c r="L1205" s="35" t="s">
        <v>6747</v>
      </c>
      <c r="M1205" s="32" t="s">
        <v>175</v>
      </c>
    </row>
    <row r="1206">
      <c r="A1206" s="22" t="s">
        <v>2539</v>
      </c>
      <c r="B1206" s="22" t="s">
        <v>6748</v>
      </c>
      <c r="C1206" s="22" t="s">
        <v>6749</v>
      </c>
      <c r="D1206" s="22" t="s">
        <v>354</v>
      </c>
      <c r="E1206" s="22">
        <v>1.0</v>
      </c>
      <c r="F1206" s="22"/>
      <c r="G1206" s="22" t="s">
        <v>273</v>
      </c>
      <c r="H1206" s="23">
        <v>45991.0</v>
      </c>
      <c r="I1206" s="22" t="s">
        <v>248</v>
      </c>
      <c r="J1206" s="22" t="s">
        <v>356</v>
      </c>
      <c r="K1206" s="22" t="s">
        <v>359</v>
      </c>
      <c r="L1206" s="35" t="s">
        <v>6750</v>
      </c>
      <c r="M1206" s="32" t="s">
        <v>54</v>
      </c>
    </row>
    <row r="1207">
      <c r="A1207" s="22" t="s">
        <v>2540</v>
      </c>
      <c r="B1207" s="22" t="s">
        <v>6751</v>
      </c>
      <c r="C1207" s="22" t="s">
        <v>6752</v>
      </c>
      <c r="D1207" s="22" t="s">
        <v>362</v>
      </c>
      <c r="E1207" s="22">
        <v>1.0</v>
      </c>
      <c r="F1207" s="22"/>
      <c r="G1207" s="22" t="s">
        <v>82</v>
      </c>
      <c r="H1207" s="26">
        <v>45997.0</v>
      </c>
      <c r="I1207" s="22" t="s">
        <v>439</v>
      </c>
      <c r="J1207" s="22" t="s">
        <v>278</v>
      </c>
      <c r="K1207" s="22" t="s">
        <v>366</v>
      </c>
      <c r="L1207" s="35" t="s">
        <v>6753</v>
      </c>
      <c r="M1207" s="32" t="s">
        <v>54</v>
      </c>
    </row>
    <row r="1208">
      <c r="A1208" s="22" t="s">
        <v>217</v>
      </c>
      <c r="B1208" s="22" t="s">
        <v>6754</v>
      </c>
      <c r="C1208" s="22" t="s">
        <v>6755</v>
      </c>
      <c r="D1208" s="22" t="s">
        <v>99</v>
      </c>
      <c r="E1208" s="22">
        <v>1.0</v>
      </c>
      <c r="F1208" s="22"/>
      <c r="G1208" s="22" t="s">
        <v>82</v>
      </c>
      <c r="H1208" s="23">
        <v>45990.0</v>
      </c>
      <c r="I1208" s="22" t="s">
        <v>149</v>
      </c>
      <c r="J1208" s="22" t="s">
        <v>83</v>
      </c>
      <c r="K1208" s="22" t="s">
        <v>102</v>
      </c>
      <c r="L1208" s="35" t="s">
        <v>6756</v>
      </c>
      <c r="M1208" s="32" t="s">
        <v>105</v>
      </c>
    </row>
    <row r="1209">
      <c r="A1209" s="22" t="s">
        <v>2542</v>
      </c>
      <c r="B1209" s="22" t="s">
        <v>4063</v>
      </c>
      <c r="C1209" s="22" t="s">
        <v>6757</v>
      </c>
      <c r="D1209" s="22" t="s">
        <v>458</v>
      </c>
      <c r="E1209" s="22">
        <v>1.0</v>
      </c>
      <c r="F1209" s="22"/>
      <c r="G1209" s="22" t="s">
        <v>82</v>
      </c>
      <c r="H1209" s="23">
        <v>46004.0</v>
      </c>
      <c r="I1209" s="22" t="s">
        <v>734</v>
      </c>
      <c r="J1209" s="22" t="s">
        <v>341</v>
      </c>
      <c r="K1209" s="22" t="s">
        <v>462</v>
      </c>
      <c r="L1209" s="35" t="s">
        <v>6758</v>
      </c>
      <c r="M1209" s="32" t="s">
        <v>91</v>
      </c>
    </row>
    <row r="1210">
      <c r="A1210" s="22" t="s">
        <v>2544</v>
      </c>
      <c r="B1210" s="22" t="s">
        <v>6481</v>
      </c>
      <c r="C1210" s="22" t="s">
        <v>6759</v>
      </c>
      <c r="D1210" s="22" t="s">
        <v>1151</v>
      </c>
      <c r="E1210" s="22">
        <v>1.0</v>
      </c>
      <c r="F1210" s="22"/>
      <c r="G1210" s="22" t="s">
        <v>82</v>
      </c>
      <c r="H1210" s="26">
        <v>45997.0</v>
      </c>
      <c r="I1210" s="22" t="s">
        <v>134</v>
      </c>
      <c r="J1210" s="22" t="s">
        <v>303</v>
      </c>
      <c r="K1210" s="22" t="s">
        <v>1155</v>
      </c>
      <c r="L1210" s="35" t="s">
        <v>6760</v>
      </c>
      <c r="M1210" s="32" t="s">
        <v>54</v>
      </c>
    </row>
    <row r="1211">
      <c r="A1211" s="22" t="s">
        <v>2545</v>
      </c>
      <c r="B1211" s="22" t="s">
        <v>3698</v>
      </c>
      <c r="C1211" s="22" t="s">
        <v>6761</v>
      </c>
      <c r="D1211" s="22" t="s">
        <v>689</v>
      </c>
      <c r="E1211" s="22">
        <v>1.0</v>
      </c>
      <c r="F1211" s="22"/>
      <c r="G1211" s="22" t="s">
        <v>82</v>
      </c>
      <c r="H1211" s="26">
        <v>45997.0</v>
      </c>
      <c r="I1211" s="22" t="s">
        <v>153</v>
      </c>
      <c r="J1211" s="22" t="s">
        <v>377</v>
      </c>
      <c r="K1211" s="22" t="s">
        <v>691</v>
      </c>
      <c r="L1211" s="35" t="s">
        <v>6762</v>
      </c>
      <c r="M1211" s="32" t="s">
        <v>175</v>
      </c>
    </row>
    <row r="1212">
      <c r="A1212" s="22" t="s">
        <v>2547</v>
      </c>
      <c r="B1212" s="22" t="s">
        <v>6763</v>
      </c>
      <c r="C1212" s="22" t="s">
        <v>6764</v>
      </c>
      <c r="D1212" s="22" t="s">
        <v>92</v>
      </c>
      <c r="E1212" s="22">
        <v>1.0</v>
      </c>
      <c r="F1212" s="22"/>
      <c r="G1212" s="22" t="s">
        <v>82</v>
      </c>
      <c r="H1212" s="26">
        <v>45997.0</v>
      </c>
      <c r="I1212" s="22" t="s">
        <v>243</v>
      </c>
      <c r="J1212" s="22" t="s">
        <v>83</v>
      </c>
      <c r="K1212" s="22" t="s">
        <v>94</v>
      </c>
      <c r="L1212" s="35" t="s">
        <v>6765</v>
      </c>
      <c r="M1212" s="32" t="s">
        <v>95</v>
      </c>
    </row>
    <row r="1213">
      <c r="A1213" s="22" t="s">
        <v>2550</v>
      </c>
      <c r="B1213" s="22" t="s">
        <v>6766</v>
      </c>
      <c r="C1213" s="22" t="s">
        <v>6767</v>
      </c>
      <c r="D1213" s="22" t="s">
        <v>92</v>
      </c>
      <c r="E1213" s="22">
        <v>1.0</v>
      </c>
      <c r="F1213" s="22"/>
      <c r="G1213" s="22" t="s">
        <v>294</v>
      </c>
      <c r="H1213" s="26">
        <v>45992.0</v>
      </c>
      <c r="I1213" s="22" t="s">
        <v>134</v>
      </c>
      <c r="J1213" s="22" t="s">
        <v>83</v>
      </c>
      <c r="K1213" s="22" t="s">
        <v>94</v>
      </c>
      <c r="L1213" s="35" t="s">
        <v>6768</v>
      </c>
      <c r="M1213" s="32" t="s">
        <v>95</v>
      </c>
    </row>
    <row r="1214">
      <c r="A1214" s="22" t="s">
        <v>2552</v>
      </c>
      <c r="B1214" s="22" t="s">
        <v>6769</v>
      </c>
      <c r="C1214" s="22" t="s">
        <v>6770</v>
      </c>
      <c r="D1214" s="22" t="s">
        <v>837</v>
      </c>
      <c r="E1214" s="22">
        <v>1.0</v>
      </c>
      <c r="F1214" s="22"/>
      <c r="G1214" s="22" t="s">
        <v>82</v>
      </c>
      <c r="H1214" s="26">
        <v>45997.0</v>
      </c>
      <c r="I1214" s="22" t="s">
        <v>187</v>
      </c>
      <c r="J1214" s="22" t="s">
        <v>698</v>
      </c>
      <c r="K1214" s="22" t="s">
        <v>839</v>
      </c>
      <c r="L1214" s="35" t="s">
        <v>6771</v>
      </c>
      <c r="M1214" s="32" t="s">
        <v>105</v>
      </c>
    </row>
    <row r="1215">
      <c r="A1215" s="22" t="s">
        <v>2554</v>
      </c>
      <c r="B1215" s="22" t="s">
        <v>6772</v>
      </c>
      <c r="C1215" s="22" t="s">
        <v>6773</v>
      </c>
      <c r="D1215" s="22" t="s">
        <v>80</v>
      </c>
      <c r="E1215" s="22">
        <v>1.0</v>
      </c>
      <c r="F1215" s="22"/>
      <c r="G1215" s="22" t="s">
        <v>82</v>
      </c>
      <c r="H1215" s="26">
        <v>45997.0</v>
      </c>
      <c r="I1215" s="22" t="s">
        <v>252</v>
      </c>
      <c r="J1215" s="22" t="s">
        <v>83</v>
      </c>
      <c r="K1215" s="22" t="s">
        <v>86</v>
      </c>
      <c r="L1215" s="35" t="s">
        <v>6774</v>
      </c>
      <c r="M1215" s="32" t="s">
        <v>91</v>
      </c>
    </row>
    <row r="1216">
      <c r="A1216" s="22" t="s">
        <v>2557</v>
      </c>
      <c r="B1216" s="22" t="s">
        <v>6775</v>
      </c>
      <c r="C1216" s="22" t="s">
        <v>6776</v>
      </c>
      <c r="D1216" s="22" t="s">
        <v>1640</v>
      </c>
      <c r="E1216" s="22">
        <v>1.0</v>
      </c>
      <c r="F1216" s="22"/>
      <c r="G1216" s="22" t="s">
        <v>82</v>
      </c>
      <c r="H1216" s="26">
        <v>45997.0</v>
      </c>
      <c r="I1216" s="22" t="s">
        <v>841</v>
      </c>
      <c r="J1216" s="22" t="s">
        <v>1466</v>
      </c>
      <c r="K1216" s="22" t="s">
        <v>1642</v>
      </c>
      <c r="L1216" s="35" t="s">
        <v>6777</v>
      </c>
      <c r="M1216" s="32" t="s">
        <v>127</v>
      </c>
    </row>
    <row r="1217">
      <c r="A1217" s="22" t="s">
        <v>220</v>
      </c>
      <c r="B1217" s="22" t="s">
        <v>6778</v>
      </c>
      <c r="C1217" s="22" t="s">
        <v>6779</v>
      </c>
      <c r="D1217" s="22" t="s">
        <v>209</v>
      </c>
      <c r="E1217" s="22">
        <v>1.0</v>
      </c>
      <c r="F1217" s="22"/>
      <c r="G1217" s="22" t="s">
        <v>82</v>
      </c>
      <c r="H1217" s="23">
        <v>45990.0</v>
      </c>
      <c r="I1217" s="22" t="s">
        <v>219</v>
      </c>
      <c r="J1217" s="22" t="s">
        <v>111</v>
      </c>
      <c r="K1217" s="22" t="s">
        <v>214</v>
      </c>
      <c r="L1217" s="35" t="s">
        <v>6780</v>
      </c>
      <c r="M1217" s="32" t="s">
        <v>91</v>
      </c>
    </row>
    <row r="1218">
      <c r="A1218" s="22" t="s">
        <v>2559</v>
      </c>
      <c r="B1218" s="22" t="s">
        <v>4509</v>
      </c>
      <c r="C1218" s="22" t="s">
        <v>6781</v>
      </c>
      <c r="D1218" s="22" t="s">
        <v>209</v>
      </c>
      <c r="E1218" s="22">
        <v>1.0</v>
      </c>
      <c r="F1218" s="22"/>
      <c r="G1218" s="22" t="s">
        <v>82</v>
      </c>
      <c r="H1218" s="26">
        <v>45997.0</v>
      </c>
      <c r="I1218" s="22" t="s">
        <v>219</v>
      </c>
      <c r="J1218" s="22" t="s">
        <v>111</v>
      </c>
      <c r="K1218" s="22" t="s">
        <v>214</v>
      </c>
      <c r="L1218" s="35" t="s">
        <v>6782</v>
      </c>
      <c r="M1218" s="32" t="s">
        <v>91</v>
      </c>
    </row>
    <row r="1219">
      <c r="A1219" s="22" t="s">
        <v>2565</v>
      </c>
      <c r="B1219" s="22" t="s">
        <v>6783</v>
      </c>
      <c r="C1219" s="22" t="s">
        <v>6784</v>
      </c>
      <c r="D1219" s="22" t="s">
        <v>979</v>
      </c>
      <c r="E1219" s="22">
        <v>1.0</v>
      </c>
      <c r="F1219" s="22"/>
      <c r="G1219" s="22" t="s">
        <v>82</v>
      </c>
      <c r="H1219" s="26">
        <v>45997.0</v>
      </c>
      <c r="I1219" s="22" t="s">
        <v>1117</v>
      </c>
      <c r="J1219" s="22" t="s">
        <v>605</v>
      </c>
      <c r="K1219" s="22" t="s">
        <v>984</v>
      </c>
      <c r="L1219" s="35" t="s">
        <v>6785</v>
      </c>
      <c r="M1219" s="32" t="s">
        <v>55</v>
      </c>
    </row>
    <row r="1220">
      <c r="A1220" s="22" t="s">
        <v>2580</v>
      </c>
      <c r="B1220" s="22" t="s">
        <v>4509</v>
      </c>
      <c r="C1220" s="22" t="s">
        <v>6786</v>
      </c>
      <c r="D1220" s="22" t="s">
        <v>709</v>
      </c>
      <c r="E1220" s="22">
        <v>1.0</v>
      </c>
      <c r="F1220" s="22"/>
      <c r="G1220" s="22" t="s">
        <v>82</v>
      </c>
      <c r="H1220" s="26">
        <v>45997.0</v>
      </c>
      <c r="I1220" s="22" t="s">
        <v>134</v>
      </c>
      <c r="J1220" s="22" t="s">
        <v>311</v>
      </c>
      <c r="K1220" s="22" t="s">
        <v>713</v>
      </c>
      <c r="L1220" s="35" t="s">
        <v>6787</v>
      </c>
      <c r="M1220" s="32" t="s">
        <v>91</v>
      </c>
    </row>
    <row r="1221">
      <c r="A1221" s="22" t="s">
        <v>2560</v>
      </c>
      <c r="B1221" s="22" t="s">
        <v>3840</v>
      </c>
      <c r="C1221" s="22" t="s">
        <v>6788</v>
      </c>
      <c r="D1221" s="22" t="s">
        <v>538</v>
      </c>
      <c r="E1221" s="22">
        <v>1.0</v>
      </c>
      <c r="F1221" s="22"/>
      <c r="G1221" s="22" t="s">
        <v>273</v>
      </c>
      <c r="H1221" s="26">
        <v>45998.0</v>
      </c>
      <c r="I1221" s="22" t="s">
        <v>153</v>
      </c>
      <c r="J1221" s="22" t="s">
        <v>369</v>
      </c>
      <c r="K1221" s="22" t="s">
        <v>542</v>
      </c>
      <c r="L1221" s="35" t="s">
        <v>6789</v>
      </c>
      <c r="M1221" s="32" t="s">
        <v>91</v>
      </c>
    </row>
    <row r="1222">
      <c r="A1222" s="22" t="s">
        <v>2561</v>
      </c>
      <c r="B1222" s="22" t="s">
        <v>6790</v>
      </c>
      <c r="C1222" s="22" t="s">
        <v>6791</v>
      </c>
      <c r="D1222" s="22" t="s">
        <v>1224</v>
      </c>
      <c r="E1222" s="22">
        <v>1.0</v>
      </c>
      <c r="F1222" s="22"/>
      <c r="G1222" s="22" t="s">
        <v>202</v>
      </c>
      <c r="H1222" s="26">
        <v>45996.0</v>
      </c>
      <c r="I1222" s="22" t="s">
        <v>196</v>
      </c>
      <c r="J1222" s="22" t="s">
        <v>717</v>
      </c>
      <c r="K1222" s="22" t="s">
        <v>1228</v>
      </c>
      <c r="L1222" s="35" t="s">
        <v>6792</v>
      </c>
      <c r="M1222" s="32" t="s">
        <v>91</v>
      </c>
    </row>
    <row r="1223">
      <c r="A1223" s="22" t="s">
        <v>2563</v>
      </c>
      <c r="B1223" s="22" t="s">
        <v>4297</v>
      </c>
      <c r="C1223" s="22" t="s">
        <v>6793</v>
      </c>
      <c r="D1223" s="22" t="s">
        <v>124</v>
      </c>
      <c r="E1223" s="22">
        <v>1.0</v>
      </c>
      <c r="F1223" s="22"/>
      <c r="G1223" s="22" t="s">
        <v>1284</v>
      </c>
      <c r="H1223" s="26">
        <v>45993.0</v>
      </c>
      <c r="I1223" s="22" t="s">
        <v>145</v>
      </c>
      <c r="J1223" s="22" t="s">
        <v>83</v>
      </c>
      <c r="K1223" s="22" t="s">
        <v>126</v>
      </c>
      <c r="L1223" s="35" t="s">
        <v>6794</v>
      </c>
      <c r="M1223" s="32" t="s">
        <v>127</v>
      </c>
    </row>
    <row r="1224">
      <c r="A1224" s="22" t="s">
        <v>2581</v>
      </c>
      <c r="B1224" s="22" t="s">
        <v>4653</v>
      </c>
      <c r="C1224" s="22" t="s">
        <v>6795</v>
      </c>
      <c r="D1224" s="22" t="s">
        <v>778</v>
      </c>
      <c r="E1224" s="22">
        <v>1.0</v>
      </c>
      <c r="F1224" s="22"/>
      <c r="G1224" s="22" t="s">
        <v>273</v>
      </c>
      <c r="H1224" s="26">
        <v>45998.0</v>
      </c>
      <c r="I1224" s="22" t="s">
        <v>187</v>
      </c>
      <c r="J1224" s="22" t="s">
        <v>440</v>
      </c>
      <c r="K1224" s="22" t="s">
        <v>780</v>
      </c>
      <c r="L1224" s="35" t="s">
        <v>6796</v>
      </c>
      <c r="M1224" s="32" t="s">
        <v>127</v>
      </c>
    </row>
    <row r="1225">
      <c r="A1225" s="22" t="s">
        <v>2568</v>
      </c>
      <c r="B1225" s="22" t="s">
        <v>6797</v>
      </c>
      <c r="C1225" s="22" t="s">
        <v>6798</v>
      </c>
      <c r="D1225" s="22" t="s">
        <v>96</v>
      </c>
      <c r="E1225" s="22">
        <v>1.0</v>
      </c>
      <c r="F1225" s="22"/>
      <c r="G1225" s="22" t="s">
        <v>202</v>
      </c>
      <c r="H1225" s="26">
        <v>45996.0</v>
      </c>
      <c r="I1225" s="22" t="s">
        <v>134</v>
      </c>
      <c r="J1225" s="22" t="s">
        <v>83</v>
      </c>
      <c r="K1225" s="22" t="s">
        <v>98</v>
      </c>
      <c r="L1225" s="35" t="s">
        <v>6799</v>
      </c>
      <c r="M1225" s="32" t="s">
        <v>55</v>
      </c>
    </row>
    <row r="1226">
      <c r="A1226" s="22" t="s">
        <v>2569</v>
      </c>
      <c r="B1226" s="22" t="s">
        <v>4334</v>
      </c>
      <c r="C1226" s="22" t="s">
        <v>6800</v>
      </c>
      <c r="D1226" s="22" t="s">
        <v>386</v>
      </c>
      <c r="E1226" s="22">
        <v>1.0</v>
      </c>
      <c r="F1226" s="22"/>
      <c r="G1226" s="22" t="s">
        <v>287</v>
      </c>
      <c r="H1226" s="26">
        <v>45994.0</v>
      </c>
      <c r="I1226" s="22" t="s">
        <v>134</v>
      </c>
      <c r="J1226" s="22" t="s">
        <v>311</v>
      </c>
      <c r="K1226" s="22" t="s">
        <v>390</v>
      </c>
      <c r="L1226" s="35" t="s">
        <v>6801</v>
      </c>
      <c r="M1226" s="32" t="s">
        <v>55</v>
      </c>
    </row>
    <row r="1227">
      <c r="A1227" s="22" t="s">
        <v>2570</v>
      </c>
      <c r="B1227" s="22" t="s">
        <v>6802</v>
      </c>
      <c r="C1227" s="22" t="s">
        <v>6803</v>
      </c>
      <c r="D1227" s="22" t="s">
        <v>99</v>
      </c>
      <c r="E1227" s="22">
        <v>1.0</v>
      </c>
      <c r="F1227" s="22"/>
      <c r="G1227" s="22" t="s">
        <v>82</v>
      </c>
      <c r="H1227" s="26">
        <v>45997.0</v>
      </c>
      <c r="I1227" s="22" t="s">
        <v>145</v>
      </c>
      <c r="J1227" s="22" t="s">
        <v>83</v>
      </c>
      <c r="K1227" s="22" t="s">
        <v>102</v>
      </c>
      <c r="L1227" s="35" t="s">
        <v>6804</v>
      </c>
      <c r="M1227" s="32" t="s">
        <v>105</v>
      </c>
    </row>
    <row r="1228">
      <c r="A1228" s="22" t="s">
        <v>2571</v>
      </c>
      <c r="B1228" s="22" t="s">
        <v>6805</v>
      </c>
      <c r="C1228" s="22" t="s">
        <v>6806</v>
      </c>
      <c r="D1228" s="22" t="s">
        <v>327</v>
      </c>
      <c r="E1228" s="22">
        <v>1.0</v>
      </c>
      <c r="F1228" s="22"/>
      <c r="G1228" s="22" t="s">
        <v>273</v>
      </c>
      <c r="H1228" s="23">
        <v>45991.0</v>
      </c>
      <c r="I1228" s="22" t="s">
        <v>248</v>
      </c>
      <c r="J1228" s="22" t="s">
        <v>329</v>
      </c>
      <c r="K1228" s="22" t="s">
        <v>332</v>
      </c>
      <c r="L1228" s="35" t="s">
        <v>6807</v>
      </c>
      <c r="M1228" s="32" t="s">
        <v>55</v>
      </c>
    </row>
    <row r="1229">
      <c r="A1229" s="22" t="s">
        <v>2573</v>
      </c>
      <c r="B1229" s="22" t="s">
        <v>6808</v>
      </c>
      <c r="C1229" s="22" t="s">
        <v>6809</v>
      </c>
      <c r="D1229" s="22" t="s">
        <v>828</v>
      </c>
      <c r="E1229" s="22">
        <v>1.0</v>
      </c>
      <c r="F1229" s="22"/>
      <c r="G1229" s="22" t="s">
        <v>82</v>
      </c>
      <c r="H1229" s="26">
        <v>45997.0</v>
      </c>
      <c r="I1229" s="22" t="s">
        <v>219</v>
      </c>
      <c r="J1229" s="22" t="s">
        <v>634</v>
      </c>
      <c r="K1229" s="22" t="s">
        <v>830</v>
      </c>
      <c r="L1229" s="35" t="s">
        <v>6810</v>
      </c>
      <c r="M1229" s="32" t="s">
        <v>95</v>
      </c>
    </row>
    <row r="1230">
      <c r="A1230" s="22" t="s">
        <v>2575</v>
      </c>
      <c r="B1230" s="22" t="s">
        <v>6811</v>
      </c>
      <c r="C1230" s="22" t="s">
        <v>6812</v>
      </c>
      <c r="D1230" s="22" t="s">
        <v>1832</v>
      </c>
      <c r="E1230" s="22">
        <v>1.0</v>
      </c>
      <c r="F1230" s="22"/>
      <c r="G1230" s="22" t="s">
        <v>82</v>
      </c>
      <c r="H1230" s="26">
        <v>45997.0</v>
      </c>
      <c r="I1230" s="22" t="s">
        <v>177</v>
      </c>
      <c r="J1230" s="22" t="s">
        <v>698</v>
      </c>
      <c r="K1230" s="22" t="s">
        <v>1834</v>
      </c>
      <c r="L1230" s="35" t="s">
        <v>6813</v>
      </c>
      <c r="M1230" s="32" t="s">
        <v>91</v>
      </c>
    </row>
    <row r="1231">
      <c r="A1231" s="22" t="s">
        <v>2576</v>
      </c>
      <c r="B1231" s="22" t="s">
        <v>5742</v>
      </c>
      <c r="C1231" s="22" t="s">
        <v>6814</v>
      </c>
      <c r="D1231" s="22" t="s">
        <v>863</v>
      </c>
      <c r="E1231" s="22">
        <v>1.0</v>
      </c>
      <c r="F1231" s="22"/>
      <c r="G1231" s="22" t="s">
        <v>82</v>
      </c>
      <c r="H1231" s="26">
        <v>45997.0</v>
      </c>
      <c r="I1231" s="22" t="s">
        <v>187</v>
      </c>
      <c r="J1231" s="22" t="s">
        <v>698</v>
      </c>
      <c r="K1231" s="22" t="s">
        <v>865</v>
      </c>
      <c r="L1231" s="35" t="s">
        <v>6815</v>
      </c>
      <c r="M1231" s="32" t="s">
        <v>175</v>
      </c>
    </row>
    <row r="1232">
      <c r="A1232" s="22" t="s">
        <v>2577</v>
      </c>
      <c r="B1232" s="22" t="s">
        <v>4427</v>
      </c>
      <c r="C1232" s="22" t="s">
        <v>6816</v>
      </c>
      <c r="D1232" s="22" t="s">
        <v>1832</v>
      </c>
      <c r="E1232" s="22">
        <v>1.0</v>
      </c>
      <c r="F1232" s="22"/>
      <c r="G1232" s="22" t="s">
        <v>82</v>
      </c>
      <c r="H1232" s="26">
        <v>45997.0</v>
      </c>
      <c r="I1232" s="22" t="s">
        <v>187</v>
      </c>
      <c r="J1232" s="22" t="s">
        <v>698</v>
      </c>
      <c r="K1232" s="22" t="s">
        <v>1834</v>
      </c>
      <c r="L1232" s="35" t="s">
        <v>6817</v>
      </c>
      <c r="M1232" s="32" t="s">
        <v>91</v>
      </c>
    </row>
    <row r="1233">
      <c r="A1233" s="22" t="s">
        <v>2578</v>
      </c>
      <c r="B1233" s="22" t="s">
        <v>5127</v>
      </c>
      <c r="C1233" s="22" t="s">
        <v>6818</v>
      </c>
      <c r="D1233" s="22" t="s">
        <v>470</v>
      </c>
      <c r="E1233" s="22">
        <v>1.0</v>
      </c>
      <c r="F1233" s="22"/>
      <c r="G1233" s="22" t="s">
        <v>273</v>
      </c>
      <c r="H1233" s="26">
        <v>45998.0</v>
      </c>
      <c r="I1233" s="22" t="s">
        <v>134</v>
      </c>
      <c r="J1233" s="22" t="s">
        <v>472</v>
      </c>
      <c r="K1233" s="22" t="s">
        <v>475</v>
      </c>
      <c r="L1233" s="35" t="s">
        <v>6819</v>
      </c>
      <c r="M1233" s="32" t="s">
        <v>91</v>
      </c>
    </row>
    <row r="1234">
      <c r="A1234" s="22" t="s">
        <v>6820</v>
      </c>
      <c r="B1234" s="22" t="s">
        <v>6821</v>
      </c>
      <c r="C1234" s="22" t="s">
        <v>6822</v>
      </c>
      <c r="D1234" s="22" t="s">
        <v>4345</v>
      </c>
      <c r="E1234" s="22">
        <v>1.0</v>
      </c>
      <c r="F1234" s="22"/>
      <c r="G1234" s="22" t="s">
        <v>336</v>
      </c>
      <c r="H1234" s="26">
        <v>45995.0</v>
      </c>
      <c r="I1234" s="22" t="s">
        <v>192</v>
      </c>
      <c r="J1234" s="22" t="s">
        <v>4346</v>
      </c>
      <c r="K1234" s="22" t="s">
        <v>4347</v>
      </c>
      <c r="L1234" s="35" t="s">
        <v>6823</v>
      </c>
      <c r="M1234" s="32" t="s">
        <v>55</v>
      </c>
    </row>
    <row r="1235">
      <c r="A1235" s="22" t="s">
        <v>2579</v>
      </c>
      <c r="B1235" s="22" t="s">
        <v>5111</v>
      </c>
      <c r="C1235" s="22" t="s">
        <v>6824</v>
      </c>
      <c r="D1235" s="22" t="s">
        <v>859</v>
      </c>
      <c r="E1235" s="22">
        <v>1.0</v>
      </c>
      <c r="F1235" s="22"/>
      <c r="G1235" s="22" t="s">
        <v>82</v>
      </c>
      <c r="H1235" s="26">
        <v>45997.0</v>
      </c>
      <c r="I1235" s="22" t="s">
        <v>522</v>
      </c>
      <c r="J1235" s="22" t="s">
        <v>605</v>
      </c>
      <c r="K1235" s="22" t="s">
        <v>861</v>
      </c>
      <c r="L1235" s="35" t="s">
        <v>6825</v>
      </c>
      <c r="M1235" s="32" t="s">
        <v>95</v>
      </c>
    </row>
    <row r="1236">
      <c r="A1236" s="22" t="s">
        <v>2583</v>
      </c>
      <c r="B1236" s="22" t="s">
        <v>4099</v>
      </c>
      <c r="C1236" s="22" t="s">
        <v>6826</v>
      </c>
      <c r="D1236" s="22" t="s">
        <v>912</v>
      </c>
      <c r="E1236" s="22">
        <v>1.0</v>
      </c>
      <c r="F1236" s="22"/>
      <c r="G1236" s="22" t="s">
        <v>82</v>
      </c>
      <c r="H1236" s="23">
        <v>46004.0</v>
      </c>
      <c r="I1236" s="22" t="s">
        <v>145</v>
      </c>
      <c r="J1236" s="22" t="s">
        <v>377</v>
      </c>
      <c r="K1236" s="22" t="s">
        <v>914</v>
      </c>
      <c r="L1236" s="35" t="s">
        <v>6827</v>
      </c>
      <c r="M1236" s="32" t="s">
        <v>54</v>
      </c>
    </row>
    <row r="1237">
      <c r="A1237" s="22" t="s">
        <v>2638</v>
      </c>
      <c r="B1237" s="22" t="s">
        <v>6828</v>
      </c>
      <c r="C1237" s="22" t="s">
        <v>6829</v>
      </c>
      <c r="D1237" s="22" t="s">
        <v>408</v>
      </c>
      <c r="E1237" s="22">
        <v>1.0</v>
      </c>
      <c r="F1237" s="22"/>
      <c r="G1237" s="22" t="s">
        <v>82</v>
      </c>
      <c r="H1237" s="26">
        <v>45997.0</v>
      </c>
      <c r="I1237" s="22" t="s">
        <v>153</v>
      </c>
      <c r="J1237" s="22" t="s">
        <v>377</v>
      </c>
      <c r="K1237" s="22" t="s">
        <v>412</v>
      </c>
      <c r="L1237" s="35" t="s">
        <v>6830</v>
      </c>
      <c r="M1237" s="32" t="s">
        <v>127</v>
      </c>
    </row>
    <row r="1238">
      <c r="A1238" s="22" t="s">
        <v>6831</v>
      </c>
      <c r="B1238" s="22" t="s">
        <v>6832</v>
      </c>
      <c r="C1238" s="22" t="s">
        <v>6833</v>
      </c>
      <c r="D1238" s="22" t="s">
        <v>4521</v>
      </c>
      <c r="E1238" s="22">
        <v>1.0</v>
      </c>
      <c r="F1238" s="22"/>
      <c r="G1238" s="22" t="s">
        <v>294</v>
      </c>
      <c r="H1238" s="26">
        <v>45999.0</v>
      </c>
      <c r="I1238" s="22" t="s">
        <v>266</v>
      </c>
      <c r="J1238" s="22" t="s">
        <v>4399</v>
      </c>
      <c r="K1238" s="22" t="s">
        <v>4522</v>
      </c>
      <c r="L1238" s="35" t="s">
        <v>6834</v>
      </c>
      <c r="M1238" s="32" t="s">
        <v>54</v>
      </c>
    </row>
    <row r="1239">
      <c r="A1239" s="22" t="s">
        <v>2639</v>
      </c>
      <c r="B1239" s="22" t="s">
        <v>6616</v>
      </c>
      <c r="C1239" s="22" t="s">
        <v>6835</v>
      </c>
      <c r="D1239" s="22" t="s">
        <v>692</v>
      </c>
      <c r="E1239" s="22">
        <v>1.0</v>
      </c>
      <c r="F1239" s="22"/>
      <c r="G1239" s="22" t="s">
        <v>273</v>
      </c>
      <c r="H1239" s="26">
        <v>45998.0</v>
      </c>
      <c r="I1239" s="22" t="s">
        <v>134</v>
      </c>
      <c r="J1239" s="22" t="s">
        <v>369</v>
      </c>
      <c r="K1239" s="22" t="s">
        <v>694</v>
      </c>
      <c r="L1239" s="35" t="s">
        <v>6836</v>
      </c>
      <c r="M1239" s="32" t="s">
        <v>54</v>
      </c>
    </row>
    <row r="1240">
      <c r="A1240" s="22" t="s">
        <v>2640</v>
      </c>
      <c r="B1240" s="22" t="s">
        <v>6837</v>
      </c>
      <c r="C1240" s="22" t="s">
        <v>4061</v>
      </c>
      <c r="D1240" s="22" t="s">
        <v>979</v>
      </c>
      <c r="E1240" s="22">
        <v>1.0</v>
      </c>
      <c r="F1240" s="22"/>
      <c r="G1240" s="22" t="s">
        <v>82</v>
      </c>
      <c r="H1240" s="26">
        <v>45997.0</v>
      </c>
      <c r="I1240" s="22" t="s">
        <v>1073</v>
      </c>
      <c r="J1240" s="22" t="s">
        <v>605</v>
      </c>
      <c r="K1240" s="22" t="s">
        <v>984</v>
      </c>
      <c r="L1240" s="35" t="s">
        <v>6838</v>
      </c>
      <c r="M1240" s="32" t="s">
        <v>55</v>
      </c>
    </row>
    <row r="1241">
      <c r="A1241" s="22" t="s">
        <v>2584</v>
      </c>
      <c r="B1241" s="22" t="s">
        <v>6839</v>
      </c>
      <c r="C1241" s="22" t="s">
        <v>6840</v>
      </c>
      <c r="D1241" s="22" t="s">
        <v>99</v>
      </c>
      <c r="E1241" s="22">
        <v>1.0</v>
      </c>
      <c r="F1241" s="22"/>
      <c r="G1241" s="22" t="s">
        <v>82</v>
      </c>
      <c r="H1241" s="26">
        <v>45997.0</v>
      </c>
      <c r="I1241" s="22" t="s">
        <v>134</v>
      </c>
      <c r="J1241" s="22" t="s">
        <v>83</v>
      </c>
      <c r="K1241" s="22" t="s">
        <v>102</v>
      </c>
      <c r="L1241" s="35" t="s">
        <v>6841</v>
      </c>
      <c r="M1241" s="32" t="s">
        <v>105</v>
      </c>
    </row>
    <row r="1242">
      <c r="A1242" s="22" t="s">
        <v>2585</v>
      </c>
      <c r="B1242" s="22" t="s">
        <v>6842</v>
      </c>
      <c r="C1242" s="22" t="s">
        <v>3783</v>
      </c>
      <c r="D1242" s="22" t="s">
        <v>1265</v>
      </c>
      <c r="E1242" s="22">
        <v>1.0</v>
      </c>
      <c r="F1242" s="22"/>
      <c r="G1242" s="22" t="s">
        <v>82</v>
      </c>
      <c r="H1242" s="26">
        <v>45997.0</v>
      </c>
      <c r="I1242" s="22" t="s">
        <v>211</v>
      </c>
      <c r="J1242" s="22" t="s">
        <v>341</v>
      </c>
      <c r="K1242" s="22" t="s">
        <v>1266</v>
      </c>
      <c r="L1242" s="35" t="s">
        <v>6843</v>
      </c>
      <c r="M1242" s="32" t="s">
        <v>127</v>
      </c>
    </row>
    <row r="1243">
      <c r="A1243" s="22" t="s">
        <v>2587</v>
      </c>
      <c r="B1243" s="22" t="s">
        <v>4476</v>
      </c>
      <c r="C1243" s="22" t="s">
        <v>5776</v>
      </c>
      <c r="D1243" s="22" t="s">
        <v>172</v>
      </c>
      <c r="E1243" s="22">
        <v>1.0</v>
      </c>
      <c r="F1243" s="22"/>
      <c r="G1243" s="22" t="s">
        <v>273</v>
      </c>
      <c r="H1243" s="23">
        <v>45991.0</v>
      </c>
      <c r="I1243" s="22" t="s">
        <v>497</v>
      </c>
      <c r="J1243" s="22" t="s">
        <v>83</v>
      </c>
      <c r="K1243" s="22" t="s">
        <v>174</v>
      </c>
      <c r="L1243" s="35" t="s">
        <v>6844</v>
      </c>
      <c r="M1243" s="32" t="s">
        <v>175</v>
      </c>
    </row>
    <row r="1244">
      <c r="A1244" s="22" t="s">
        <v>2589</v>
      </c>
      <c r="B1244" s="22" t="s">
        <v>5390</v>
      </c>
      <c r="C1244" s="22" t="s">
        <v>6845</v>
      </c>
      <c r="D1244" s="22" t="s">
        <v>415</v>
      </c>
      <c r="E1244" s="22">
        <v>1.0</v>
      </c>
      <c r="F1244" s="22"/>
      <c r="G1244" s="22" t="s">
        <v>82</v>
      </c>
      <c r="H1244" s="26">
        <v>45997.0</v>
      </c>
      <c r="I1244" s="22" t="s">
        <v>149</v>
      </c>
      <c r="J1244" s="22" t="s">
        <v>377</v>
      </c>
      <c r="K1244" s="22" t="s">
        <v>419</v>
      </c>
      <c r="L1244" s="35" t="s">
        <v>6846</v>
      </c>
      <c r="M1244" s="32" t="s">
        <v>91</v>
      </c>
    </row>
    <row r="1245">
      <c r="A1245" s="22" t="s">
        <v>2590</v>
      </c>
      <c r="B1245" s="22" t="s">
        <v>6847</v>
      </c>
      <c r="C1245" s="22" t="s">
        <v>6848</v>
      </c>
      <c r="D1245" s="22" t="s">
        <v>515</v>
      </c>
      <c r="E1245" s="22">
        <v>1.0</v>
      </c>
      <c r="F1245" s="22"/>
      <c r="G1245" s="22" t="s">
        <v>82</v>
      </c>
      <c r="H1245" s="26">
        <v>45997.0</v>
      </c>
      <c r="I1245" s="22" t="s">
        <v>134</v>
      </c>
      <c r="J1245" s="22" t="s">
        <v>472</v>
      </c>
      <c r="K1245" s="22" t="s">
        <v>519</v>
      </c>
      <c r="L1245" s="35" t="s">
        <v>6849</v>
      </c>
      <c r="M1245" s="32" t="s">
        <v>55</v>
      </c>
    </row>
    <row r="1246">
      <c r="A1246" s="22" t="s">
        <v>222</v>
      </c>
      <c r="B1246" s="22" t="s">
        <v>6850</v>
      </c>
      <c r="C1246" s="22" t="s">
        <v>6851</v>
      </c>
      <c r="D1246" s="22" t="s">
        <v>141</v>
      </c>
      <c r="E1246" s="22">
        <v>1.0</v>
      </c>
      <c r="F1246" s="22"/>
      <c r="G1246" s="22" t="s">
        <v>82</v>
      </c>
      <c r="H1246" s="23">
        <v>45990.0</v>
      </c>
      <c r="I1246" s="22" t="s">
        <v>138</v>
      </c>
      <c r="J1246" s="22" t="s">
        <v>83</v>
      </c>
      <c r="K1246" s="22" t="s">
        <v>143</v>
      </c>
      <c r="L1246" s="35" t="s">
        <v>6852</v>
      </c>
      <c r="M1246" s="32" t="s">
        <v>54</v>
      </c>
    </row>
    <row r="1247">
      <c r="A1247" s="22" t="s">
        <v>2591</v>
      </c>
      <c r="B1247" s="22" t="s">
        <v>3901</v>
      </c>
      <c r="C1247" s="22" t="s">
        <v>6853</v>
      </c>
      <c r="D1247" s="22" t="s">
        <v>401</v>
      </c>
      <c r="E1247" s="22">
        <v>1.0</v>
      </c>
      <c r="F1247" s="22"/>
      <c r="G1247" s="22" t="s">
        <v>82</v>
      </c>
      <c r="H1247" s="26">
        <v>45997.0</v>
      </c>
      <c r="I1247" s="22" t="s">
        <v>196</v>
      </c>
      <c r="J1247" s="22" t="s">
        <v>319</v>
      </c>
      <c r="K1247" s="22" t="s">
        <v>403</v>
      </c>
      <c r="L1247" s="35" t="s">
        <v>6854</v>
      </c>
      <c r="M1247" s="32" t="s">
        <v>127</v>
      </c>
    </row>
    <row r="1248">
      <c r="A1248" s="22" t="s">
        <v>2592</v>
      </c>
      <c r="B1248" s="22" t="s">
        <v>6855</v>
      </c>
      <c r="C1248" s="22" t="s">
        <v>6856</v>
      </c>
      <c r="D1248" s="22" t="s">
        <v>141</v>
      </c>
      <c r="E1248" s="22">
        <v>1.0</v>
      </c>
      <c r="F1248" s="22"/>
      <c r="G1248" s="22" t="s">
        <v>82</v>
      </c>
      <c r="H1248" s="26">
        <v>45997.0</v>
      </c>
      <c r="I1248" s="22" t="s">
        <v>134</v>
      </c>
      <c r="J1248" s="22" t="s">
        <v>83</v>
      </c>
      <c r="K1248" s="22" t="s">
        <v>143</v>
      </c>
      <c r="L1248" s="35" t="s">
        <v>6857</v>
      </c>
      <c r="M1248" s="32" t="s">
        <v>54</v>
      </c>
    </row>
    <row r="1249">
      <c r="A1249" s="22" t="s">
        <v>2593</v>
      </c>
      <c r="B1249" s="22" t="s">
        <v>6357</v>
      </c>
      <c r="C1249" s="22" t="s">
        <v>6858</v>
      </c>
      <c r="D1249" s="22" t="s">
        <v>1464</v>
      </c>
      <c r="E1249" s="22">
        <v>1.0</v>
      </c>
      <c r="F1249" s="22"/>
      <c r="G1249" s="22" t="s">
        <v>82</v>
      </c>
      <c r="H1249" s="26">
        <v>45997.0</v>
      </c>
      <c r="I1249" s="22" t="s">
        <v>841</v>
      </c>
      <c r="J1249" s="22" t="s">
        <v>1466</v>
      </c>
      <c r="K1249" s="22" t="s">
        <v>1469</v>
      </c>
      <c r="L1249" s="35" t="s">
        <v>6859</v>
      </c>
      <c r="M1249" s="32" t="s">
        <v>55</v>
      </c>
    </row>
    <row r="1250">
      <c r="A1250" s="22" t="s">
        <v>2594</v>
      </c>
      <c r="B1250" s="22" t="s">
        <v>6432</v>
      </c>
      <c r="C1250" s="22" t="s">
        <v>6860</v>
      </c>
      <c r="D1250" s="22" t="s">
        <v>99</v>
      </c>
      <c r="E1250" s="22">
        <v>1.0</v>
      </c>
      <c r="F1250" s="22"/>
      <c r="G1250" s="22" t="s">
        <v>273</v>
      </c>
      <c r="H1250" s="26">
        <v>45998.0</v>
      </c>
      <c r="I1250" s="22" t="s">
        <v>153</v>
      </c>
      <c r="J1250" s="22" t="s">
        <v>83</v>
      </c>
      <c r="K1250" s="22" t="s">
        <v>102</v>
      </c>
      <c r="L1250" s="35" t="s">
        <v>6861</v>
      </c>
      <c r="M1250" s="32" t="s">
        <v>105</v>
      </c>
    </row>
    <row r="1251">
      <c r="A1251" s="22" t="s">
        <v>2596</v>
      </c>
      <c r="B1251" s="22" t="s">
        <v>6862</v>
      </c>
      <c r="C1251" s="22" t="s">
        <v>6863</v>
      </c>
      <c r="D1251" s="22" t="s">
        <v>185</v>
      </c>
      <c r="E1251" s="22">
        <v>1.0</v>
      </c>
      <c r="F1251" s="22"/>
      <c r="G1251" s="22" t="s">
        <v>82</v>
      </c>
      <c r="H1251" s="26">
        <v>45997.0</v>
      </c>
      <c r="I1251" s="22" t="s">
        <v>1636</v>
      </c>
      <c r="J1251" s="22" t="s">
        <v>111</v>
      </c>
      <c r="K1251" s="22" t="s">
        <v>190</v>
      </c>
      <c r="L1251" s="35" t="s">
        <v>6864</v>
      </c>
      <c r="M1251" s="32" t="s">
        <v>95</v>
      </c>
    </row>
    <row r="1252">
      <c r="A1252" s="22" t="s">
        <v>2598</v>
      </c>
      <c r="B1252" s="22" t="s">
        <v>6865</v>
      </c>
      <c r="C1252" s="22" t="s">
        <v>6240</v>
      </c>
      <c r="D1252" s="22" t="s">
        <v>172</v>
      </c>
      <c r="E1252" s="22">
        <v>1.0</v>
      </c>
      <c r="F1252" s="22"/>
      <c r="G1252" s="22" t="s">
        <v>273</v>
      </c>
      <c r="H1252" s="26">
        <v>45998.0</v>
      </c>
      <c r="I1252" s="22" t="s">
        <v>196</v>
      </c>
      <c r="J1252" s="22" t="s">
        <v>83</v>
      </c>
      <c r="K1252" s="22" t="s">
        <v>174</v>
      </c>
      <c r="L1252" s="35" t="s">
        <v>6866</v>
      </c>
      <c r="M1252" s="32" t="s">
        <v>175</v>
      </c>
    </row>
    <row r="1253">
      <c r="A1253" s="22" t="s">
        <v>2599</v>
      </c>
      <c r="B1253" s="22" t="s">
        <v>3840</v>
      </c>
      <c r="C1253" s="22" t="s">
        <v>6867</v>
      </c>
      <c r="D1253" s="22" t="s">
        <v>696</v>
      </c>
      <c r="E1253" s="22">
        <v>1.0</v>
      </c>
      <c r="F1253" s="22"/>
      <c r="G1253" s="22" t="s">
        <v>82</v>
      </c>
      <c r="H1253" s="26">
        <v>45997.0</v>
      </c>
      <c r="I1253" s="22" t="s">
        <v>187</v>
      </c>
      <c r="J1253" s="22" t="s">
        <v>698</v>
      </c>
      <c r="K1253" s="22" t="s">
        <v>701</v>
      </c>
      <c r="L1253" s="35" t="s">
        <v>6868</v>
      </c>
      <c r="M1253" s="32" t="s">
        <v>55</v>
      </c>
    </row>
    <row r="1254">
      <c r="A1254" s="22" t="s">
        <v>2601</v>
      </c>
      <c r="B1254" s="22" t="s">
        <v>6869</v>
      </c>
      <c r="C1254" s="22" t="s">
        <v>6110</v>
      </c>
      <c r="D1254" s="22" t="s">
        <v>463</v>
      </c>
      <c r="E1254" s="22">
        <v>1.0</v>
      </c>
      <c r="F1254" s="22"/>
      <c r="G1254" s="22" t="s">
        <v>273</v>
      </c>
      <c r="H1254" s="26">
        <v>45998.0</v>
      </c>
      <c r="I1254" s="22" t="s">
        <v>1117</v>
      </c>
      <c r="J1254" s="22" t="s">
        <v>303</v>
      </c>
      <c r="K1254" s="22" t="s">
        <v>467</v>
      </c>
      <c r="L1254" s="35" t="s">
        <v>6870</v>
      </c>
      <c r="M1254" s="32" t="s">
        <v>105</v>
      </c>
    </row>
    <row r="1255">
      <c r="A1255" s="22" t="s">
        <v>2582</v>
      </c>
      <c r="B1255" s="22" t="s">
        <v>6871</v>
      </c>
      <c r="C1255" s="22" t="s">
        <v>6872</v>
      </c>
      <c r="D1255" s="22" t="s">
        <v>386</v>
      </c>
      <c r="E1255" s="22">
        <v>1.0</v>
      </c>
      <c r="F1255" s="22"/>
      <c r="G1255" s="22" t="s">
        <v>336</v>
      </c>
      <c r="H1255" s="26">
        <v>45995.0</v>
      </c>
      <c r="I1255" s="22" t="s">
        <v>134</v>
      </c>
      <c r="J1255" s="22" t="s">
        <v>311</v>
      </c>
      <c r="K1255" s="22" t="s">
        <v>390</v>
      </c>
      <c r="L1255" s="35" t="s">
        <v>6873</v>
      </c>
      <c r="M1255" s="32" t="s">
        <v>55</v>
      </c>
    </row>
    <row r="1256">
      <c r="A1256" s="22" t="s">
        <v>2566</v>
      </c>
      <c r="B1256" s="22" t="s">
        <v>5236</v>
      </c>
      <c r="C1256" s="22" t="s">
        <v>6874</v>
      </c>
      <c r="D1256" s="22" t="s">
        <v>185</v>
      </c>
      <c r="E1256" s="22">
        <v>1.0</v>
      </c>
      <c r="F1256" s="22"/>
      <c r="G1256" s="22" t="s">
        <v>273</v>
      </c>
      <c r="H1256" s="23">
        <v>45991.0</v>
      </c>
      <c r="I1256" s="22" t="s">
        <v>168</v>
      </c>
      <c r="J1256" s="22" t="s">
        <v>111</v>
      </c>
      <c r="K1256" s="22" t="s">
        <v>190</v>
      </c>
      <c r="L1256" s="35" t="s">
        <v>6875</v>
      </c>
      <c r="M1256" s="32" t="s">
        <v>95</v>
      </c>
    </row>
    <row r="1257">
      <c r="A1257" s="22" t="s">
        <v>2567</v>
      </c>
      <c r="B1257" s="22" t="s">
        <v>3674</v>
      </c>
      <c r="C1257" s="22" t="s">
        <v>6876</v>
      </c>
      <c r="D1257" s="22" t="s">
        <v>386</v>
      </c>
      <c r="E1257" s="22">
        <v>1.0</v>
      </c>
      <c r="F1257" s="22"/>
      <c r="G1257" s="22" t="s">
        <v>202</v>
      </c>
      <c r="H1257" s="26">
        <v>45996.0</v>
      </c>
      <c r="I1257" s="22" t="s">
        <v>134</v>
      </c>
      <c r="J1257" s="22" t="s">
        <v>311</v>
      </c>
      <c r="K1257" s="22" t="s">
        <v>390</v>
      </c>
      <c r="L1257" s="35" t="s">
        <v>6877</v>
      </c>
      <c r="M1257" s="32" t="s">
        <v>55</v>
      </c>
    </row>
    <row r="1258">
      <c r="A1258" s="22" t="s">
        <v>2603</v>
      </c>
      <c r="B1258" s="22" t="s">
        <v>3909</v>
      </c>
      <c r="C1258" s="22" t="s">
        <v>6878</v>
      </c>
      <c r="D1258" s="22" t="s">
        <v>423</v>
      </c>
      <c r="E1258" s="22">
        <v>1.0</v>
      </c>
      <c r="F1258" s="22"/>
      <c r="G1258" s="22" t="s">
        <v>273</v>
      </c>
      <c r="H1258" s="26">
        <v>45998.0</v>
      </c>
      <c r="I1258" s="22" t="s">
        <v>134</v>
      </c>
      <c r="J1258" s="22" t="s">
        <v>369</v>
      </c>
      <c r="K1258" s="22" t="s">
        <v>427</v>
      </c>
      <c r="L1258" s="35" t="s">
        <v>6879</v>
      </c>
      <c r="M1258" s="32" t="s">
        <v>95</v>
      </c>
    </row>
    <row r="1259">
      <c r="A1259" s="22" t="s">
        <v>2610</v>
      </c>
      <c r="B1259" s="22" t="s">
        <v>5757</v>
      </c>
      <c r="C1259" s="22" t="s">
        <v>6880</v>
      </c>
      <c r="D1259" s="22" t="s">
        <v>1224</v>
      </c>
      <c r="E1259" s="22">
        <v>1.0</v>
      </c>
      <c r="F1259" s="22"/>
      <c r="G1259" s="22" t="s">
        <v>336</v>
      </c>
      <c r="H1259" s="26">
        <v>45995.0</v>
      </c>
      <c r="I1259" s="22" t="s">
        <v>153</v>
      </c>
      <c r="J1259" s="22" t="s">
        <v>717</v>
      </c>
      <c r="K1259" s="22" t="s">
        <v>1228</v>
      </c>
      <c r="L1259" s="35" t="s">
        <v>6881</v>
      </c>
      <c r="M1259" s="32" t="s">
        <v>91</v>
      </c>
    </row>
    <row r="1260">
      <c r="A1260" s="22" t="s">
        <v>2611</v>
      </c>
      <c r="B1260" s="22" t="s">
        <v>3938</v>
      </c>
      <c r="C1260" s="22" t="s">
        <v>6882</v>
      </c>
      <c r="D1260" s="22" t="s">
        <v>584</v>
      </c>
      <c r="E1260" s="22">
        <v>1.0</v>
      </c>
      <c r="F1260" s="22"/>
      <c r="G1260" s="22" t="s">
        <v>82</v>
      </c>
      <c r="H1260" s="26">
        <v>45997.0</v>
      </c>
      <c r="I1260" s="22" t="s">
        <v>266</v>
      </c>
      <c r="J1260" s="22" t="s">
        <v>377</v>
      </c>
      <c r="K1260" s="22" t="s">
        <v>586</v>
      </c>
      <c r="L1260" s="35" t="s">
        <v>6883</v>
      </c>
      <c r="M1260" s="32" t="s">
        <v>105</v>
      </c>
    </row>
    <row r="1261">
      <c r="A1261" s="22" t="s">
        <v>2613</v>
      </c>
      <c r="B1261" s="22" t="s">
        <v>6884</v>
      </c>
      <c r="C1261" s="22" t="s">
        <v>6885</v>
      </c>
      <c r="D1261" s="22" t="s">
        <v>172</v>
      </c>
      <c r="E1261" s="22">
        <v>1.0</v>
      </c>
      <c r="F1261" s="22"/>
      <c r="G1261" s="22" t="s">
        <v>273</v>
      </c>
      <c r="H1261" s="23">
        <v>45991.0</v>
      </c>
      <c r="I1261" s="22" t="s">
        <v>145</v>
      </c>
      <c r="J1261" s="22" t="s">
        <v>83</v>
      </c>
      <c r="K1261" s="22" t="s">
        <v>174</v>
      </c>
      <c r="L1261" s="35" t="s">
        <v>6886</v>
      </c>
      <c r="M1261" s="32" t="s">
        <v>175</v>
      </c>
    </row>
    <row r="1262">
      <c r="A1262" s="22" t="s">
        <v>2616</v>
      </c>
      <c r="B1262" s="22" t="s">
        <v>4504</v>
      </c>
      <c r="C1262" s="22" t="s">
        <v>5041</v>
      </c>
      <c r="D1262" s="22" t="s">
        <v>92</v>
      </c>
      <c r="E1262" s="22">
        <v>1.0</v>
      </c>
      <c r="F1262" s="22"/>
      <c r="G1262" s="22" t="s">
        <v>294</v>
      </c>
      <c r="H1262" s="26">
        <v>45992.0</v>
      </c>
      <c r="I1262" s="22" t="s">
        <v>1400</v>
      </c>
      <c r="J1262" s="22" t="s">
        <v>83</v>
      </c>
      <c r="K1262" s="22" t="s">
        <v>94</v>
      </c>
      <c r="L1262" s="35" t="s">
        <v>6887</v>
      </c>
      <c r="M1262" s="32" t="s">
        <v>95</v>
      </c>
    </row>
    <row r="1263">
      <c r="A1263" s="22" t="s">
        <v>2618</v>
      </c>
      <c r="B1263" s="22" t="s">
        <v>3846</v>
      </c>
      <c r="C1263" s="22" t="s">
        <v>6888</v>
      </c>
      <c r="D1263" s="22" t="s">
        <v>912</v>
      </c>
      <c r="E1263" s="22">
        <v>1.0</v>
      </c>
      <c r="F1263" s="22"/>
      <c r="G1263" s="22" t="s">
        <v>82</v>
      </c>
      <c r="H1263" s="23">
        <v>46004.0</v>
      </c>
      <c r="I1263" s="22" t="s">
        <v>153</v>
      </c>
      <c r="J1263" s="22" t="s">
        <v>377</v>
      </c>
      <c r="K1263" s="22" t="s">
        <v>914</v>
      </c>
      <c r="L1263" s="35" t="s">
        <v>6889</v>
      </c>
      <c r="M1263" s="32" t="s">
        <v>54</v>
      </c>
    </row>
    <row r="1264">
      <c r="A1264" s="22" t="s">
        <v>2604</v>
      </c>
      <c r="B1264" s="22" t="s">
        <v>6890</v>
      </c>
      <c r="C1264" s="22" t="s">
        <v>6891</v>
      </c>
      <c r="D1264" s="22" t="s">
        <v>696</v>
      </c>
      <c r="E1264" s="22">
        <v>1.0</v>
      </c>
      <c r="F1264" s="22"/>
      <c r="G1264" s="22" t="s">
        <v>82</v>
      </c>
      <c r="H1264" s="26">
        <v>45997.0</v>
      </c>
      <c r="I1264" s="22" t="s">
        <v>187</v>
      </c>
      <c r="J1264" s="22" t="s">
        <v>698</v>
      </c>
      <c r="K1264" s="22" t="s">
        <v>701</v>
      </c>
      <c r="L1264" s="35" t="s">
        <v>6892</v>
      </c>
      <c r="M1264" s="32" t="s">
        <v>55</v>
      </c>
    </row>
    <row r="1265">
      <c r="A1265" s="22" t="s">
        <v>2606</v>
      </c>
      <c r="B1265" s="22" t="s">
        <v>6893</v>
      </c>
      <c r="C1265" s="22" t="s">
        <v>6707</v>
      </c>
      <c r="D1265" s="22" t="s">
        <v>99</v>
      </c>
      <c r="E1265" s="22">
        <v>1.0</v>
      </c>
      <c r="F1265" s="22"/>
      <c r="G1265" s="22" t="s">
        <v>1284</v>
      </c>
      <c r="H1265" s="26">
        <v>45993.0</v>
      </c>
      <c r="I1265" s="22" t="s">
        <v>266</v>
      </c>
      <c r="J1265" s="22" t="s">
        <v>83</v>
      </c>
      <c r="K1265" s="22" t="s">
        <v>102</v>
      </c>
      <c r="L1265" s="35" t="s">
        <v>6894</v>
      </c>
      <c r="M1265" s="32" t="s">
        <v>105</v>
      </c>
    </row>
    <row r="1266">
      <c r="A1266" s="22" t="s">
        <v>2609</v>
      </c>
      <c r="B1266" s="22" t="s">
        <v>6895</v>
      </c>
      <c r="C1266" s="22" t="s">
        <v>6896</v>
      </c>
      <c r="D1266" s="22" t="s">
        <v>1078</v>
      </c>
      <c r="E1266" s="22">
        <v>1.0</v>
      </c>
      <c r="F1266" s="22"/>
      <c r="G1266" s="22" t="s">
        <v>273</v>
      </c>
      <c r="H1266" s="26">
        <v>45998.0</v>
      </c>
      <c r="I1266" s="22" t="s">
        <v>149</v>
      </c>
      <c r="J1266" s="22" t="s">
        <v>717</v>
      </c>
      <c r="K1266" s="22" t="s">
        <v>1082</v>
      </c>
      <c r="L1266" s="35" t="s">
        <v>6897</v>
      </c>
      <c r="M1266" s="32" t="s">
        <v>105</v>
      </c>
    </row>
    <row r="1267">
      <c r="A1267" s="22" t="s">
        <v>2619</v>
      </c>
      <c r="B1267" s="22" t="s">
        <v>5887</v>
      </c>
      <c r="C1267" s="22" t="s">
        <v>4485</v>
      </c>
      <c r="D1267" s="22" t="s">
        <v>367</v>
      </c>
      <c r="E1267" s="22">
        <v>1.0</v>
      </c>
      <c r="F1267" s="22"/>
      <c r="G1267" s="22" t="s">
        <v>273</v>
      </c>
      <c r="H1267" s="26">
        <v>45998.0</v>
      </c>
      <c r="I1267" s="22" t="s">
        <v>138</v>
      </c>
      <c r="J1267" s="22" t="s">
        <v>369</v>
      </c>
      <c r="K1267" s="22" t="s">
        <v>372</v>
      </c>
      <c r="L1267" s="35" t="s">
        <v>6898</v>
      </c>
      <c r="M1267" s="32" t="s">
        <v>55</v>
      </c>
    </row>
    <row r="1268">
      <c r="A1268" s="22" t="s">
        <v>2624</v>
      </c>
      <c r="B1268" s="22" t="s">
        <v>5545</v>
      </c>
      <c r="C1268" s="22" t="s">
        <v>6899</v>
      </c>
      <c r="D1268" s="22" t="s">
        <v>327</v>
      </c>
      <c r="E1268" s="22">
        <v>1.0</v>
      </c>
      <c r="F1268" s="22"/>
      <c r="G1268" s="22" t="s">
        <v>273</v>
      </c>
      <c r="H1268" s="23">
        <v>45991.0</v>
      </c>
      <c r="I1268" s="22" t="s">
        <v>134</v>
      </c>
      <c r="J1268" s="22" t="s">
        <v>329</v>
      </c>
      <c r="K1268" s="22" t="s">
        <v>332</v>
      </c>
      <c r="L1268" s="35" t="s">
        <v>6900</v>
      </c>
      <c r="M1268" s="32" t="s">
        <v>55</v>
      </c>
    </row>
    <row r="1269">
      <c r="A1269" s="22" t="s">
        <v>2625</v>
      </c>
      <c r="B1269" s="22" t="s">
        <v>6901</v>
      </c>
      <c r="C1269" s="22" t="s">
        <v>6902</v>
      </c>
      <c r="D1269" s="22" t="s">
        <v>1151</v>
      </c>
      <c r="E1269" s="22">
        <v>1.0</v>
      </c>
      <c r="F1269" s="22"/>
      <c r="G1269" s="22" t="s">
        <v>273</v>
      </c>
      <c r="H1269" s="26">
        <v>45998.0</v>
      </c>
      <c r="I1269" s="22" t="s">
        <v>302</v>
      </c>
      <c r="J1269" s="22" t="s">
        <v>303</v>
      </c>
      <c r="K1269" s="22" t="s">
        <v>1155</v>
      </c>
      <c r="L1269" s="35" t="s">
        <v>6903</v>
      </c>
      <c r="M1269" s="32" t="s">
        <v>54</v>
      </c>
    </row>
    <row r="1270">
      <c r="A1270" s="22" t="s">
        <v>2626</v>
      </c>
      <c r="B1270" s="22" t="s">
        <v>6904</v>
      </c>
      <c r="C1270" s="22" t="s">
        <v>6905</v>
      </c>
      <c r="D1270" s="22" t="s">
        <v>1217</v>
      </c>
      <c r="E1270" s="22">
        <v>1.0</v>
      </c>
      <c r="F1270" s="22"/>
      <c r="G1270" s="22" t="s">
        <v>82</v>
      </c>
      <c r="H1270" s="26">
        <v>45997.0</v>
      </c>
      <c r="I1270" s="22" t="s">
        <v>1117</v>
      </c>
      <c r="J1270" s="22" t="s">
        <v>605</v>
      </c>
      <c r="K1270" s="22" t="s">
        <v>1219</v>
      </c>
      <c r="L1270" s="35" t="s">
        <v>6906</v>
      </c>
      <c r="M1270" s="32" t="s">
        <v>91</v>
      </c>
    </row>
    <row r="1271">
      <c r="A1271" s="22" t="s">
        <v>2627</v>
      </c>
      <c r="B1271" s="22" t="s">
        <v>3840</v>
      </c>
      <c r="C1271" s="22" t="s">
        <v>6907</v>
      </c>
      <c r="D1271" s="22" t="s">
        <v>1217</v>
      </c>
      <c r="E1271" s="22">
        <v>1.0</v>
      </c>
      <c r="F1271" s="22"/>
      <c r="G1271" s="22" t="s">
        <v>82</v>
      </c>
      <c r="H1271" s="26">
        <v>45997.0</v>
      </c>
      <c r="I1271" s="22" t="s">
        <v>1117</v>
      </c>
      <c r="J1271" s="22" t="s">
        <v>605</v>
      </c>
      <c r="K1271" s="22" t="s">
        <v>1219</v>
      </c>
      <c r="L1271" s="35" t="s">
        <v>6908</v>
      </c>
      <c r="M1271" s="32" t="s">
        <v>91</v>
      </c>
    </row>
    <row r="1272">
      <c r="A1272" s="22" t="s">
        <v>2629</v>
      </c>
      <c r="B1272" s="22" t="s">
        <v>5754</v>
      </c>
      <c r="C1272" s="22" t="s">
        <v>6909</v>
      </c>
      <c r="D1272" s="22" t="s">
        <v>1423</v>
      </c>
      <c r="E1272" s="22">
        <v>1.0</v>
      </c>
      <c r="F1272" s="22"/>
      <c r="G1272" s="22" t="s">
        <v>82</v>
      </c>
      <c r="H1272" s="26">
        <v>45997.0</v>
      </c>
      <c r="I1272" s="22" t="s">
        <v>266</v>
      </c>
      <c r="J1272" s="22" t="s">
        <v>717</v>
      </c>
      <c r="K1272" s="22" t="s">
        <v>1427</v>
      </c>
      <c r="L1272" s="35" t="s">
        <v>6910</v>
      </c>
      <c r="M1272" s="32" t="s">
        <v>95</v>
      </c>
    </row>
    <row r="1273">
      <c r="A1273" s="22" t="s">
        <v>2631</v>
      </c>
      <c r="B1273" s="22" t="s">
        <v>6227</v>
      </c>
      <c r="C1273" s="22" t="s">
        <v>6911</v>
      </c>
      <c r="D1273" s="22" t="s">
        <v>463</v>
      </c>
      <c r="E1273" s="22">
        <v>1.0</v>
      </c>
      <c r="F1273" s="22"/>
      <c r="G1273" s="22" t="s">
        <v>82</v>
      </c>
      <c r="H1273" s="26">
        <v>45997.0</v>
      </c>
      <c r="I1273" s="22" t="s">
        <v>134</v>
      </c>
      <c r="J1273" s="22" t="s">
        <v>303</v>
      </c>
      <c r="K1273" s="22" t="s">
        <v>467</v>
      </c>
      <c r="L1273" s="35" t="s">
        <v>6912</v>
      </c>
      <c r="M1273" s="32" t="s">
        <v>105</v>
      </c>
    </row>
    <row r="1274">
      <c r="A1274" s="22" t="s">
        <v>2632</v>
      </c>
      <c r="B1274" s="22" t="s">
        <v>6913</v>
      </c>
      <c r="C1274" s="22" t="s">
        <v>6914</v>
      </c>
      <c r="D1274" s="22" t="s">
        <v>814</v>
      </c>
      <c r="E1274" s="22">
        <v>1.0</v>
      </c>
      <c r="F1274" s="22"/>
      <c r="G1274" s="22" t="s">
        <v>82</v>
      </c>
      <c r="H1274" s="26">
        <v>45997.0</v>
      </c>
      <c r="I1274" s="22" t="s">
        <v>439</v>
      </c>
      <c r="J1274" s="22" t="s">
        <v>698</v>
      </c>
      <c r="K1274" s="22" t="s">
        <v>818</v>
      </c>
      <c r="L1274" s="35" t="s">
        <v>6915</v>
      </c>
      <c r="M1274" s="32" t="s">
        <v>127</v>
      </c>
    </row>
    <row r="1275">
      <c r="A1275" s="22" t="s">
        <v>225</v>
      </c>
      <c r="B1275" s="22" t="s">
        <v>3808</v>
      </c>
      <c r="C1275" s="22" t="s">
        <v>6916</v>
      </c>
      <c r="D1275" s="22" t="s">
        <v>96</v>
      </c>
      <c r="E1275" s="22">
        <v>1.0</v>
      </c>
      <c r="F1275" s="22"/>
      <c r="G1275" s="22" t="s">
        <v>82</v>
      </c>
      <c r="H1275" s="23">
        <v>45990.0</v>
      </c>
      <c r="I1275" s="22" t="s">
        <v>224</v>
      </c>
      <c r="J1275" s="22" t="s">
        <v>83</v>
      </c>
      <c r="K1275" s="22" t="s">
        <v>98</v>
      </c>
      <c r="L1275" s="35" t="s">
        <v>6917</v>
      </c>
      <c r="M1275" s="32" t="s">
        <v>55</v>
      </c>
    </row>
    <row r="1276">
      <c r="A1276" s="22" t="s">
        <v>2634</v>
      </c>
      <c r="B1276" s="22" t="s">
        <v>6918</v>
      </c>
      <c r="C1276" s="22" t="s">
        <v>6919</v>
      </c>
      <c r="D1276" s="22" t="s">
        <v>979</v>
      </c>
      <c r="E1276" s="22">
        <v>1.0</v>
      </c>
      <c r="F1276" s="22"/>
      <c r="G1276" s="22" t="s">
        <v>82</v>
      </c>
      <c r="H1276" s="26">
        <v>45997.0</v>
      </c>
      <c r="I1276" s="22" t="s">
        <v>1572</v>
      </c>
      <c r="J1276" s="22" t="s">
        <v>605</v>
      </c>
      <c r="K1276" s="22" t="s">
        <v>984</v>
      </c>
      <c r="L1276" s="35" t="s">
        <v>6920</v>
      </c>
      <c r="M1276" s="32" t="s">
        <v>55</v>
      </c>
    </row>
    <row r="1277">
      <c r="A1277" s="22" t="s">
        <v>2636</v>
      </c>
      <c r="B1277" s="22" t="s">
        <v>4196</v>
      </c>
      <c r="C1277" s="22" t="s">
        <v>6921</v>
      </c>
      <c r="D1277" s="22" t="s">
        <v>664</v>
      </c>
      <c r="E1277" s="22">
        <v>1.0</v>
      </c>
      <c r="F1277" s="22"/>
      <c r="G1277" s="22" t="s">
        <v>82</v>
      </c>
      <c r="H1277" s="26">
        <v>45997.0</v>
      </c>
      <c r="I1277" s="22" t="s">
        <v>134</v>
      </c>
      <c r="J1277" s="22" t="s">
        <v>472</v>
      </c>
      <c r="K1277" s="22" t="s">
        <v>668</v>
      </c>
      <c r="L1277" s="35" t="s">
        <v>6922</v>
      </c>
      <c r="M1277" s="32" t="s">
        <v>175</v>
      </c>
    </row>
    <row r="1278">
      <c r="A1278" s="22" t="s">
        <v>2637</v>
      </c>
      <c r="B1278" s="22" t="s">
        <v>6682</v>
      </c>
      <c r="C1278" s="22" t="s">
        <v>4278</v>
      </c>
      <c r="D1278" s="22" t="s">
        <v>1151</v>
      </c>
      <c r="E1278" s="22">
        <v>1.0</v>
      </c>
      <c r="F1278" s="22"/>
      <c r="G1278" s="22" t="s">
        <v>82</v>
      </c>
      <c r="H1278" s="26">
        <v>45997.0</v>
      </c>
      <c r="I1278" s="22" t="s">
        <v>134</v>
      </c>
      <c r="J1278" s="22" t="s">
        <v>303</v>
      </c>
      <c r="K1278" s="22" t="s">
        <v>1155</v>
      </c>
      <c r="L1278" s="35" t="s">
        <v>6923</v>
      </c>
      <c r="M1278" s="32" t="s">
        <v>54</v>
      </c>
    </row>
    <row r="1279">
      <c r="A1279" s="22" t="s">
        <v>2643</v>
      </c>
      <c r="B1279" s="22" t="s">
        <v>5017</v>
      </c>
      <c r="C1279" s="22" t="s">
        <v>6924</v>
      </c>
      <c r="D1279" s="22" t="s">
        <v>822</v>
      </c>
      <c r="E1279" s="22">
        <v>1.0</v>
      </c>
      <c r="F1279" s="22"/>
      <c r="G1279" s="22" t="s">
        <v>287</v>
      </c>
      <c r="H1279" s="23">
        <v>46001.0</v>
      </c>
      <c r="I1279" s="22" t="s">
        <v>2642</v>
      </c>
      <c r="J1279" s="22" t="s">
        <v>634</v>
      </c>
      <c r="K1279" s="22" t="s">
        <v>826</v>
      </c>
      <c r="L1279" s="35" t="s">
        <v>6925</v>
      </c>
      <c r="M1279" s="32" t="s">
        <v>55</v>
      </c>
    </row>
    <row r="1280">
      <c r="A1280" s="22" t="s">
        <v>2681</v>
      </c>
      <c r="B1280" s="22" t="s">
        <v>6926</v>
      </c>
      <c r="C1280" s="22" t="s">
        <v>6927</v>
      </c>
      <c r="D1280" s="22" t="s">
        <v>515</v>
      </c>
      <c r="E1280" s="22">
        <v>1.0</v>
      </c>
      <c r="F1280" s="22"/>
      <c r="G1280" s="22" t="s">
        <v>273</v>
      </c>
      <c r="H1280" s="26">
        <v>45998.0</v>
      </c>
      <c r="I1280" s="22" t="s">
        <v>243</v>
      </c>
      <c r="J1280" s="22" t="s">
        <v>472</v>
      </c>
      <c r="K1280" s="22" t="s">
        <v>519</v>
      </c>
      <c r="L1280" s="35" t="s">
        <v>6928</v>
      </c>
      <c r="M1280" s="32" t="s">
        <v>55</v>
      </c>
    </row>
    <row r="1281">
      <c r="A1281" s="22" t="s">
        <v>2683</v>
      </c>
      <c r="B1281" s="22" t="s">
        <v>6929</v>
      </c>
      <c r="C1281" s="22" t="s">
        <v>6930</v>
      </c>
      <c r="D1281" s="22" t="s">
        <v>80</v>
      </c>
      <c r="E1281" s="22">
        <v>1.0</v>
      </c>
      <c r="F1281" s="22"/>
      <c r="G1281" s="22" t="s">
        <v>82</v>
      </c>
      <c r="H1281" s="26">
        <v>45997.0</v>
      </c>
      <c r="I1281" s="22" t="s">
        <v>149</v>
      </c>
      <c r="J1281" s="22" t="s">
        <v>83</v>
      </c>
      <c r="K1281" s="22" t="s">
        <v>86</v>
      </c>
      <c r="L1281" s="35" t="s">
        <v>6931</v>
      </c>
      <c r="M1281" s="32" t="s">
        <v>91</v>
      </c>
    </row>
    <row r="1282">
      <c r="A1282" s="22" t="s">
        <v>2684</v>
      </c>
      <c r="B1282" s="22" t="s">
        <v>5288</v>
      </c>
      <c r="C1282" s="22" t="s">
        <v>6685</v>
      </c>
      <c r="D1282" s="22" t="s">
        <v>692</v>
      </c>
      <c r="E1282" s="22">
        <v>1.0</v>
      </c>
      <c r="F1282" s="22"/>
      <c r="G1282" s="22" t="s">
        <v>273</v>
      </c>
      <c r="H1282" s="26">
        <v>45998.0</v>
      </c>
      <c r="I1282" s="22" t="s">
        <v>153</v>
      </c>
      <c r="J1282" s="22" t="s">
        <v>369</v>
      </c>
      <c r="K1282" s="22" t="s">
        <v>694</v>
      </c>
      <c r="L1282" s="35" t="s">
        <v>6932</v>
      </c>
      <c r="M1282" s="32" t="s">
        <v>54</v>
      </c>
    </row>
    <row r="1283">
      <c r="A1283" s="22" t="s">
        <v>2645</v>
      </c>
      <c r="B1283" s="22" t="s">
        <v>6933</v>
      </c>
      <c r="C1283" s="22" t="s">
        <v>4304</v>
      </c>
      <c r="D1283" s="22" t="s">
        <v>1472</v>
      </c>
      <c r="E1283" s="22">
        <v>1.0</v>
      </c>
      <c r="F1283" s="22"/>
      <c r="G1283" s="22" t="s">
        <v>82</v>
      </c>
      <c r="H1283" s="26">
        <v>45997.0</v>
      </c>
      <c r="I1283" s="22" t="s">
        <v>841</v>
      </c>
      <c r="J1283" s="22" t="s">
        <v>1466</v>
      </c>
      <c r="K1283" s="22" t="s">
        <v>1474</v>
      </c>
      <c r="L1283" s="35" t="s">
        <v>6934</v>
      </c>
      <c r="M1283" s="32" t="s">
        <v>54</v>
      </c>
    </row>
    <row r="1284">
      <c r="A1284" s="22" t="s">
        <v>2646</v>
      </c>
      <c r="B1284" s="22" t="s">
        <v>4778</v>
      </c>
      <c r="C1284" s="22" t="s">
        <v>6935</v>
      </c>
      <c r="D1284" s="22" t="s">
        <v>470</v>
      </c>
      <c r="E1284" s="22">
        <v>1.0</v>
      </c>
      <c r="F1284" s="22"/>
      <c r="G1284" s="22" t="s">
        <v>273</v>
      </c>
      <c r="H1284" s="26">
        <v>45998.0</v>
      </c>
      <c r="I1284" s="22" t="s">
        <v>145</v>
      </c>
      <c r="J1284" s="22" t="s">
        <v>472</v>
      </c>
      <c r="K1284" s="22" t="s">
        <v>475</v>
      </c>
      <c r="L1284" s="35" t="s">
        <v>6936</v>
      </c>
      <c r="M1284" s="32" t="s">
        <v>91</v>
      </c>
    </row>
    <row r="1285">
      <c r="A1285" s="22" t="s">
        <v>2647</v>
      </c>
      <c r="B1285" s="22" t="s">
        <v>6937</v>
      </c>
      <c r="C1285" s="22" t="s">
        <v>6938</v>
      </c>
      <c r="D1285" s="22" t="s">
        <v>845</v>
      </c>
      <c r="E1285" s="22">
        <v>1.0</v>
      </c>
      <c r="F1285" s="22"/>
      <c r="G1285" s="22" t="s">
        <v>82</v>
      </c>
      <c r="H1285" s="26">
        <v>45997.0</v>
      </c>
      <c r="I1285" s="22" t="s">
        <v>134</v>
      </c>
      <c r="J1285" s="22" t="s">
        <v>451</v>
      </c>
      <c r="K1285" s="22" t="s">
        <v>847</v>
      </c>
      <c r="L1285" s="35" t="s">
        <v>6939</v>
      </c>
      <c r="M1285" s="32" t="s">
        <v>55</v>
      </c>
    </row>
    <row r="1286">
      <c r="A1286" s="22" t="s">
        <v>2648</v>
      </c>
      <c r="B1286" s="22" t="s">
        <v>6594</v>
      </c>
      <c r="C1286" s="22" t="s">
        <v>6940</v>
      </c>
      <c r="D1286" s="22" t="s">
        <v>1265</v>
      </c>
      <c r="E1286" s="22">
        <v>1.0</v>
      </c>
      <c r="F1286" s="22"/>
      <c r="G1286" s="22" t="s">
        <v>82</v>
      </c>
      <c r="H1286" s="26">
        <v>45997.0</v>
      </c>
      <c r="I1286" s="22" t="s">
        <v>211</v>
      </c>
      <c r="J1286" s="22" t="s">
        <v>341</v>
      </c>
      <c r="K1286" s="22" t="s">
        <v>1266</v>
      </c>
      <c r="L1286" s="35" t="s">
        <v>6941</v>
      </c>
      <c r="M1286" s="32" t="s">
        <v>127</v>
      </c>
    </row>
    <row r="1287">
      <c r="A1287" s="22" t="s">
        <v>2649</v>
      </c>
      <c r="B1287" s="22" t="s">
        <v>5415</v>
      </c>
      <c r="C1287" s="22" t="s">
        <v>6942</v>
      </c>
      <c r="D1287" s="22" t="s">
        <v>2037</v>
      </c>
      <c r="E1287" s="22">
        <v>1.0</v>
      </c>
      <c r="F1287" s="22"/>
      <c r="G1287" s="22" t="s">
        <v>273</v>
      </c>
      <c r="H1287" s="26">
        <v>45998.0</v>
      </c>
      <c r="I1287" s="22" t="s">
        <v>266</v>
      </c>
      <c r="J1287" s="22" t="s">
        <v>869</v>
      </c>
      <c r="K1287" s="22" t="s">
        <v>2039</v>
      </c>
      <c r="L1287" s="35" t="s">
        <v>6943</v>
      </c>
      <c r="M1287" s="32" t="s">
        <v>105</v>
      </c>
    </row>
    <row r="1288">
      <c r="A1288" s="22" t="s">
        <v>2650</v>
      </c>
      <c r="B1288" s="22" t="s">
        <v>4706</v>
      </c>
      <c r="C1288" s="22" t="s">
        <v>6944</v>
      </c>
      <c r="D1288" s="22" t="s">
        <v>912</v>
      </c>
      <c r="E1288" s="22">
        <v>1.0</v>
      </c>
      <c r="F1288" s="22"/>
      <c r="G1288" s="22" t="s">
        <v>82</v>
      </c>
      <c r="H1288" s="23">
        <v>46004.0</v>
      </c>
      <c r="I1288" s="22" t="s">
        <v>134</v>
      </c>
      <c r="J1288" s="22" t="s">
        <v>377</v>
      </c>
      <c r="K1288" s="22" t="s">
        <v>914</v>
      </c>
      <c r="L1288" s="35" t="s">
        <v>6945</v>
      </c>
      <c r="M1288" s="32" t="s">
        <v>54</v>
      </c>
    </row>
    <row r="1289">
      <c r="A1289" s="22" t="s">
        <v>2651</v>
      </c>
      <c r="B1289" s="22" t="s">
        <v>6946</v>
      </c>
      <c r="C1289" s="22" t="s">
        <v>6947</v>
      </c>
      <c r="D1289" s="22" t="s">
        <v>632</v>
      </c>
      <c r="E1289" s="22">
        <v>1.0</v>
      </c>
      <c r="F1289" s="22"/>
      <c r="G1289" s="22" t="s">
        <v>82</v>
      </c>
      <c r="H1289" s="26">
        <v>45997.0</v>
      </c>
      <c r="I1289" s="22" t="s">
        <v>211</v>
      </c>
      <c r="J1289" s="22" t="s">
        <v>634</v>
      </c>
      <c r="K1289" s="22" t="s">
        <v>637</v>
      </c>
      <c r="L1289" s="35" t="s">
        <v>6948</v>
      </c>
      <c r="M1289" s="32" t="s">
        <v>91</v>
      </c>
    </row>
    <row r="1290">
      <c r="A1290" s="22" t="s">
        <v>2652</v>
      </c>
      <c r="B1290" s="22" t="s">
        <v>4011</v>
      </c>
      <c r="C1290" s="22" t="s">
        <v>6949</v>
      </c>
      <c r="D1290" s="22" t="s">
        <v>1472</v>
      </c>
      <c r="E1290" s="22">
        <v>1.0</v>
      </c>
      <c r="F1290" s="22"/>
      <c r="G1290" s="22" t="s">
        <v>82</v>
      </c>
      <c r="H1290" s="26">
        <v>45997.0</v>
      </c>
      <c r="I1290" s="22" t="s">
        <v>841</v>
      </c>
      <c r="J1290" s="22" t="s">
        <v>1466</v>
      </c>
      <c r="K1290" s="22" t="s">
        <v>1474</v>
      </c>
      <c r="L1290" s="35" t="s">
        <v>6950</v>
      </c>
      <c r="M1290" s="32" t="s">
        <v>54</v>
      </c>
    </row>
    <row r="1291">
      <c r="A1291" s="22" t="s">
        <v>2653</v>
      </c>
      <c r="B1291" s="22" t="s">
        <v>6951</v>
      </c>
      <c r="C1291" s="22" t="s">
        <v>6952</v>
      </c>
      <c r="D1291" s="22" t="s">
        <v>96</v>
      </c>
      <c r="E1291" s="22">
        <v>1.0</v>
      </c>
      <c r="F1291" s="22"/>
      <c r="G1291" s="22" t="s">
        <v>273</v>
      </c>
      <c r="H1291" s="23">
        <v>45991.0</v>
      </c>
      <c r="I1291" s="22" t="s">
        <v>149</v>
      </c>
      <c r="J1291" s="22" t="s">
        <v>83</v>
      </c>
      <c r="K1291" s="22" t="s">
        <v>98</v>
      </c>
      <c r="L1291" s="35" t="s">
        <v>6953</v>
      </c>
      <c r="M1291" s="32" t="s">
        <v>55</v>
      </c>
    </row>
    <row r="1292">
      <c r="A1292" s="22" t="s">
        <v>227</v>
      </c>
      <c r="B1292" s="22" t="s">
        <v>6954</v>
      </c>
      <c r="C1292" s="22" t="s">
        <v>6955</v>
      </c>
      <c r="D1292" s="22" t="s">
        <v>80</v>
      </c>
      <c r="E1292" s="22">
        <v>1.0</v>
      </c>
      <c r="F1292" s="22"/>
      <c r="G1292" s="22" t="s">
        <v>82</v>
      </c>
      <c r="H1292" s="23">
        <v>45990.0</v>
      </c>
      <c r="I1292" s="22" t="s">
        <v>153</v>
      </c>
      <c r="J1292" s="22" t="s">
        <v>83</v>
      </c>
      <c r="K1292" s="22" t="s">
        <v>86</v>
      </c>
      <c r="L1292" s="35" t="s">
        <v>6956</v>
      </c>
      <c r="M1292" s="32" t="s">
        <v>91</v>
      </c>
    </row>
    <row r="1293">
      <c r="A1293" s="22" t="s">
        <v>2654</v>
      </c>
      <c r="B1293" s="22" t="s">
        <v>4619</v>
      </c>
      <c r="C1293" s="22" t="s">
        <v>6957</v>
      </c>
      <c r="D1293" s="22" t="s">
        <v>1217</v>
      </c>
      <c r="E1293" s="22">
        <v>1.0</v>
      </c>
      <c r="F1293" s="22"/>
      <c r="G1293" s="22" t="s">
        <v>82</v>
      </c>
      <c r="H1293" s="26">
        <v>45997.0</v>
      </c>
      <c r="I1293" s="22" t="s">
        <v>1117</v>
      </c>
      <c r="J1293" s="22" t="s">
        <v>605</v>
      </c>
      <c r="K1293" s="22" t="s">
        <v>1219</v>
      </c>
      <c r="L1293" s="35" t="s">
        <v>6958</v>
      </c>
      <c r="M1293" s="32" t="s">
        <v>91</v>
      </c>
    </row>
    <row r="1294">
      <c r="A1294" s="22" t="s">
        <v>2656</v>
      </c>
      <c r="B1294" s="22" t="s">
        <v>6959</v>
      </c>
      <c r="C1294" s="22" t="s">
        <v>6960</v>
      </c>
      <c r="D1294" s="22" t="s">
        <v>592</v>
      </c>
      <c r="E1294" s="22">
        <v>1.0</v>
      </c>
      <c r="F1294" s="22"/>
      <c r="G1294" s="22" t="s">
        <v>82</v>
      </c>
      <c r="H1294" s="26">
        <v>45997.0</v>
      </c>
      <c r="I1294" s="22" t="s">
        <v>181</v>
      </c>
      <c r="J1294" s="22" t="s">
        <v>311</v>
      </c>
      <c r="K1294" s="22" t="s">
        <v>594</v>
      </c>
      <c r="L1294" s="35" t="s">
        <v>6961</v>
      </c>
      <c r="M1294" s="32" t="s">
        <v>54</v>
      </c>
    </row>
    <row r="1295">
      <c r="A1295" s="22" t="s">
        <v>2658</v>
      </c>
      <c r="B1295" s="22" t="s">
        <v>3820</v>
      </c>
      <c r="C1295" s="22" t="s">
        <v>6962</v>
      </c>
      <c r="D1295" s="22" t="s">
        <v>96</v>
      </c>
      <c r="E1295" s="22">
        <v>1.0</v>
      </c>
      <c r="F1295" s="22"/>
      <c r="G1295" s="22" t="s">
        <v>273</v>
      </c>
      <c r="H1295" s="26">
        <v>45998.0</v>
      </c>
      <c r="I1295" s="22" t="s">
        <v>134</v>
      </c>
      <c r="J1295" s="22" t="s">
        <v>83</v>
      </c>
      <c r="K1295" s="22" t="s">
        <v>98</v>
      </c>
      <c r="L1295" s="35" t="s">
        <v>6963</v>
      </c>
      <c r="M1295" s="32" t="s">
        <v>55</v>
      </c>
    </row>
    <row r="1296">
      <c r="A1296" s="22" t="s">
        <v>2661</v>
      </c>
      <c r="B1296" s="22" t="s">
        <v>6039</v>
      </c>
      <c r="C1296" s="22" t="s">
        <v>6964</v>
      </c>
      <c r="D1296" s="22" t="s">
        <v>2659</v>
      </c>
      <c r="E1296" s="22">
        <v>1.0</v>
      </c>
      <c r="F1296" s="22"/>
      <c r="G1296" s="22" t="s">
        <v>273</v>
      </c>
      <c r="H1296" s="23">
        <v>45991.0</v>
      </c>
      <c r="I1296" s="22" t="s">
        <v>266</v>
      </c>
      <c r="J1296" s="22" t="s">
        <v>356</v>
      </c>
      <c r="K1296" s="22" t="s">
        <v>2662</v>
      </c>
      <c r="L1296" s="35" t="s">
        <v>6965</v>
      </c>
      <c r="M1296" s="32" t="s">
        <v>127</v>
      </c>
    </row>
    <row r="1297">
      <c r="A1297" s="22" t="s">
        <v>2663</v>
      </c>
      <c r="B1297" s="22" t="s">
        <v>3921</v>
      </c>
      <c r="C1297" s="22" t="s">
        <v>6966</v>
      </c>
      <c r="D1297" s="22" t="s">
        <v>962</v>
      </c>
      <c r="E1297" s="22">
        <v>1.0</v>
      </c>
      <c r="F1297" s="22"/>
      <c r="G1297" s="22" t="s">
        <v>82</v>
      </c>
      <c r="H1297" s="26">
        <v>45997.0</v>
      </c>
      <c r="I1297" s="22" t="s">
        <v>734</v>
      </c>
      <c r="J1297" s="22" t="s">
        <v>634</v>
      </c>
      <c r="K1297" s="22" t="s">
        <v>966</v>
      </c>
      <c r="L1297" s="35" t="s">
        <v>6967</v>
      </c>
      <c r="M1297" s="32" t="s">
        <v>127</v>
      </c>
    </row>
    <row r="1298">
      <c r="A1298" s="22" t="s">
        <v>2665</v>
      </c>
      <c r="B1298" s="22" t="s">
        <v>4495</v>
      </c>
      <c r="C1298" s="22" t="s">
        <v>6968</v>
      </c>
      <c r="D1298" s="22" t="s">
        <v>714</v>
      </c>
      <c r="E1298" s="22">
        <v>1.0</v>
      </c>
      <c r="F1298" s="22"/>
      <c r="G1298" s="22" t="s">
        <v>82</v>
      </c>
      <c r="H1298" s="26">
        <v>45997.0</v>
      </c>
      <c r="I1298" s="22" t="s">
        <v>192</v>
      </c>
      <c r="J1298" s="22" t="s">
        <v>717</v>
      </c>
      <c r="K1298" s="22" t="s">
        <v>720</v>
      </c>
      <c r="L1298" s="35" t="s">
        <v>6969</v>
      </c>
      <c r="M1298" s="32" t="s">
        <v>55</v>
      </c>
    </row>
    <row r="1299">
      <c r="A1299" s="22" t="s">
        <v>2668</v>
      </c>
      <c r="B1299" s="22" t="s">
        <v>5064</v>
      </c>
      <c r="C1299" s="22" t="s">
        <v>6970</v>
      </c>
      <c r="D1299" s="22" t="s">
        <v>1192</v>
      </c>
      <c r="E1299" s="22">
        <v>1.0</v>
      </c>
      <c r="F1299" s="22"/>
      <c r="G1299" s="22" t="s">
        <v>273</v>
      </c>
      <c r="H1299" s="26">
        <v>45998.0</v>
      </c>
      <c r="I1299" s="22" t="s">
        <v>153</v>
      </c>
      <c r="J1299" s="22" t="s">
        <v>717</v>
      </c>
      <c r="K1299" s="22" t="s">
        <v>1196</v>
      </c>
      <c r="L1299" s="35" t="s">
        <v>6971</v>
      </c>
      <c r="M1299" s="32" t="s">
        <v>127</v>
      </c>
    </row>
    <row r="1300">
      <c r="A1300" s="22" t="s">
        <v>2669</v>
      </c>
      <c r="B1300" s="22" t="s">
        <v>6297</v>
      </c>
      <c r="C1300" s="22" t="s">
        <v>5838</v>
      </c>
      <c r="D1300" s="22" t="s">
        <v>573</v>
      </c>
      <c r="E1300" s="22">
        <v>1.0</v>
      </c>
      <c r="F1300" s="22"/>
      <c r="G1300" s="22" t="s">
        <v>273</v>
      </c>
      <c r="H1300" s="26">
        <v>45998.0</v>
      </c>
      <c r="I1300" s="22" t="s">
        <v>975</v>
      </c>
      <c r="J1300" s="22" t="s">
        <v>440</v>
      </c>
      <c r="K1300" s="22" t="s">
        <v>577</v>
      </c>
      <c r="L1300" s="35" t="s">
        <v>6972</v>
      </c>
      <c r="M1300" s="32" t="s">
        <v>55</v>
      </c>
    </row>
    <row r="1301">
      <c r="A1301" s="22" t="s">
        <v>2670</v>
      </c>
      <c r="B1301" s="22" t="s">
        <v>6973</v>
      </c>
      <c r="C1301" s="22" t="s">
        <v>6974</v>
      </c>
      <c r="D1301" s="22" t="s">
        <v>859</v>
      </c>
      <c r="E1301" s="22">
        <v>1.0</v>
      </c>
      <c r="F1301" s="22"/>
      <c r="G1301" s="22" t="s">
        <v>82</v>
      </c>
      <c r="H1301" s="26">
        <v>45997.0</v>
      </c>
      <c r="I1301" s="22" t="s">
        <v>1073</v>
      </c>
      <c r="J1301" s="22" t="s">
        <v>605</v>
      </c>
      <c r="K1301" s="22" t="s">
        <v>861</v>
      </c>
      <c r="L1301" s="35" t="s">
        <v>6975</v>
      </c>
      <c r="M1301" s="32" t="s">
        <v>95</v>
      </c>
    </row>
    <row r="1302">
      <c r="A1302" s="22" t="s">
        <v>2671</v>
      </c>
      <c r="B1302" s="22" t="s">
        <v>5390</v>
      </c>
      <c r="C1302" s="22" t="s">
        <v>6976</v>
      </c>
      <c r="D1302" s="22" t="s">
        <v>1560</v>
      </c>
      <c r="E1302" s="22">
        <v>1.0</v>
      </c>
      <c r="F1302" s="22"/>
      <c r="G1302" s="22" t="s">
        <v>82</v>
      </c>
      <c r="H1302" s="23">
        <v>46004.0</v>
      </c>
      <c r="I1302" s="22" t="s">
        <v>211</v>
      </c>
      <c r="J1302" s="22" t="s">
        <v>341</v>
      </c>
      <c r="K1302" s="22" t="s">
        <v>1562</v>
      </c>
      <c r="L1302" s="35" t="s">
        <v>6977</v>
      </c>
      <c r="M1302" s="32" t="s">
        <v>175</v>
      </c>
    </row>
    <row r="1303">
      <c r="A1303" s="22" t="s">
        <v>2672</v>
      </c>
      <c r="B1303" s="22" t="s">
        <v>4074</v>
      </c>
      <c r="C1303" s="22" t="s">
        <v>6978</v>
      </c>
      <c r="D1303" s="22" t="s">
        <v>640</v>
      </c>
      <c r="E1303" s="22">
        <v>1.0</v>
      </c>
      <c r="F1303" s="22"/>
      <c r="G1303" s="22" t="s">
        <v>273</v>
      </c>
      <c r="H1303" s="23">
        <v>45991.0</v>
      </c>
      <c r="I1303" s="22" t="s">
        <v>149</v>
      </c>
      <c r="J1303" s="22" t="s">
        <v>356</v>
      </c>
      <c r="K1303" s="22" t="s">
        <v>642</v>
      </c>
      <c r="L1303" s="35" t="s">
        <v>6979</v>
      </c>
      <c r="M1303" s="32" t="s">
        <v>95</v>
      </c>
    </row>
    <row r="1304">
      <c r="A1304" s="22" t="s">
        <v>2673</v>
      </c>
      <c r="B1304" s="22" t="s">
        <v>6980</v>
      </c>
      <c r="C1304" s="22" t="s">
        <v>6981</v>
      </c>
      <c r="D1304" s="22" t="s">
        <v>317</v>
      </c>
      <c r="E1304" s="22">
        <v>1.0</v>
      </c>
      <c r="F1304" s="22"/>
      <c r="G1304" s="22" t="s">
        <v>82</v>
      </c>
      <c r="H1304" s="26">
        <v>45997.0</v>
      </c>
      <c r="I1304" s="22" t="s">
        <v>196</v>
      </c>
      <c r="J1304" s="22" t="s">
        <v>319</v>
      </c>
      <c r="K1304" s="22" t="s">
        <v>322</v>
      </c>
      <c r="L1304" s="35" t="s">
        <v>6982</v>
      </c>
      <c r="M1304" s="32" t="s">
        <v>55</v>
      </c>
    </row>
    <row r="1305">
      <c r="A1305" s="22" t="s">
        <v>2620</v>
      </c>
      <c r="B1305" s="22" t="s">
        <v>4768</v>
      </c>
      <c r="C1305" s="22" t="s">
        <v>6983</v>
      </c>
      <c r="D1305" s="22" t="s">
        <v>538</v>
      </c>
      <c r="E1305" s="22">
        <v>1.0</v>
      </c>
      <c r="F1305" s="22"/>
      <c r="G1305" s="22" t="s">
        <v>273</v>
      </c>
      <c r="H1305" s="26">
        <v>45998.0</v>
      </c>
      <c r="I1305" s="22" t="s">
        <v>153</v>
      </c>
      <c r="J1305" s="22" t="s">
        <v>369</v>
      </c>
      <c r="K1305" s="22" t="s">
        <v>542</v>
      </c>
      <c r="L1305" s="35" t="s">
        <v>6984</v>
      </c>
      <c r="M1305" s="32" t="s">
        <v>91</v>
      </c>
    </row>
    <row r="1306">
      <c r="A1306" s="22" t="s">
        <v>2622</v>
      </c>
      <c r="B1306" s="22" t="s">
        <v>6985</v>
      </c>
      <c r="C1306" s="22" t="s">
        <v>6986</v>
      </c>
      <c r="D1306" s="22" t="s">
        <v>863</v>
      </c>
      <c r="E1306" s="22">
        <v>1.0</v>
      </c>
      <c r="F1306" s="22"/>
      <c r="G1306" s="22" t="s">
        <v>82</v>
      </c>
      <c r="H1306" s="26">
        <v>45997.0</v>
      </c>
      <c r="I1306" s="22" t="s">
        <v>970</v>
      </c>
      <c r="J1306" s="22" t="s">
        <v>698</v>
      </c>
      <c r="K1306" s="22" t="s">
        <v>865</v>
      </c>
      <c r="L1306" s="35" t="s">
        <v>6987</v>
      </c>
      <c r="M1306" s="32" t="s">
        <v>175</v>
      </c>
    </row>
    <row r="1307">
      <c r="A1307" s="22" t="s">
        <v>2623</v>
      </c>
      <c r="B1307" s="22" t="s">
        <v>6988</v>
      </c>
      <c r="C1307" s="22" t="s">
        <v>6989</v>
      </c>
      <c r="D1307" s="22" t="s">
        <v>529</v>
      </c>
      <c r="E1307" s="22">
        <v>1.0</v>
      </c>
      <c r="F1307" s="22"/>
      <c r="G1307" s="22" t="s">
        <v>273</v>
      </c>
      <c r="H1307" s="26">
        <v>45998.0</v>
      </c>
      <c r="I1307" s="22" t="s">
        <v>266</v>
      </c>
      <c r="J1307" s="22" t="s">
        <v>472</v>
      </c>
      <c r="K1307" s="22" t="s">
        <v>533</v>
      </c>
      <c r="L1307" s="35" t="s">
        <v>6990</v>
      </c>
      <c r="M1307" s="32" t="s">
        <v>127</v>
      </c>
    </row>
    <row r="1308">
      <c r="A1308" s="22" t="s">
        <v>2674</v>
      </c>
      <c r="B1308" s="22" t="s">
        <v>4382</v>
      </c>
      <c r="C1308" s="22" t="s">
        <v>6991</v>
      </c>
      <c r="D1308" s="22" t="s">
        <v>172</v>
      </c>
      <c r="E1308" s="22">
        <v>1.0</v>
      </c>
      <c r="F1308" s="22"/>
      <c r="G1308" s="22" t="s">
        <v>273</v>
      </c>
      <c r="H1308" s="23">
        <v>45991.0</v>
      </c>
      <c r="I1308" s="22" t="s">
        <v>153</v>
      </c>
      <c r="J1308" s="22" t="s">
        <v>83</v>
      </c>
      <c r="K1308" s="22" t="s">
        <v>174</v>
      </c>
      <c r="L1308" s="35" t="s">
        <v>6992</v>
      </c>
      <c r="M1308" s="32" t="s">
        <v>175</v>
      </c>
    </row>
    <row r="1309">
      <c r="A1309" s="22" t="s">
        <v>2685</v>
      </c>
      <c r="B1309" s="22" t="s">
        <v>6236</v>
      </c>
      <c r="C1309" s="22" t="s">
        <v>6993</v>
      </c>
      <c r="D1309" s="22" t="s">
        <v>595</v>
      </c>
      <c r="E1309" s="22">
        <v>1.0</v>
      </c>
      <c r="F1309" s="22"/>
      <c r="G1309" s="22" t="s">
        <v>273</v>
      </c>
      <c r="H1309" s="26">
        <v>45998.0</v>
      </c>
      <c r="I1309" s="22" t="s">
        <v>153</v>
      </c>
      <c r="J1309" s="22" t="s">
        <v>369</v>
      </c>
      <c r="K1309" s="22" t="s">
        <v>599</v>
      </c>
      <c r="L1309" s="35" t="s">
        <v>6994</v>
      </c>
      <c r="M1309" s="32" t="s">
        <v>127</v>
      </c>
    </row>
    <row r="1310">
      <c r="A1310" s="22" t="s">
        <v>2708</v>
      </c>
      <c r="B1310" s="22" t="s">
        <v>5241</v>
      </c>
      <c r="C1310" s="22" t="s">
        <v>6995</v>
      </c>
      <c r="D1310" s="22" t="s">
        <v>408</v>
      </c>
      <c r="E1310" s="22">
        <v>1.0</v>
      </c>
      <c r="F1310" s="22"/>
      <c r="G1310" s="22" t="s">
        <v>82</v>
      </c>
      <c r="H1310" s="26">
        <v>45997.0</v>
      </c>
      <c r="I1310" s="22" t="s">
        <v>138</v>
      </c>
      <c r="J1310" s="22" t="s">
        <v>377</v>
      </c>
      <c r="K1310" s="22" t="s">
        <v>412</v>
      </c>
      <c r="L1310" s="35" t="s">
        <v>6996</v>
      </c>
      <c r="M1310" s="32" t="s">
        <v>127</v>
      </c>
    </row>
    <row r="1311">
      <c r="A1311" s="22" t="s">
        <v>2676</v>
      </c>
      <c r="B1311" s="22" t="s">
        <v>4790</v>
      </c>
      <c r="C1311" s="22" t="s">
        <v>6997</v>
      </c>
      <c r="D1311" s="22" t="s">
        <v>309</v>
      </c>
      <c r="E1311" s="22">
        <v>1.0</v>
      </c>
      <c r="F1311" s="22"/>
      <c r="G1311" s="22" t="s">
        <v>82</v>
      </c>
      <c r="H1311" s="26">
        <v>45997.0</v>
      </c>
      <c r="I1311" s="22" t="s">
        <v>192</v>
      </c>
      <c r="J1311" s="22" t="s">
        <v>311</v>
      </c>
      <c r="K1311" s="22" t="s">
        <v>314</v>
      </c>
      <c r="L1311" s="35" t="s">
        <v>6998</v>
      </c>
      <c r="M1311" s="32" t="s">
        <v>105</v>
      </c>
    </row>
    <row r="1312">
      <c r="A1312" s="22" t="s">
        <v>2678</v>
      </c>
      <c r="B1312" s="22" t="s">
        <v>4412</v>
      </c>
      <c r="C1312" s="22" t="s">
        <v>5407</v>
      </c>
      <c r="D1312" s="22" t="s">
        <v>859</v>
      </c>
      <c r="E1312" s="22">
        <v>1.0</v>
      </c>
      <c r="F1312" s="22"/>
      <c r="G1312" s="22" t="s">
        <v>82</v>
      </c>
      <c r="H1312" s="26">
        <v>45997.0</v>
      </c>
      <c r="I1312" s="22" t="s">
        <v>1117</v>
      </c>
      <c r="J1312" s="22" t="s">
        <v>605</v>
      </c>
      <c r="K1312" s="22" t="s">
        <v>861</v>
      </c>
      <c r="L1312" s="35" t="s">
        <v>6999</v>
      </c>
      <c r="M1312" s="32" t="s">
        <v>95</v>
      </c>
    </row>
    <row r="1313">
      <c r="A1313" s="22" t="s">
        <v>2679</v>
      </c>
      <c r="B1313" s="22" t="s">
        <v>7000</v>
      </c>
      <c r="C1313" s="22" t="s">
        <v>7001</v>
      </c>
      <c r="D1313" s="22" t="s">
        <v>158</v>
      </c>
      <c r="E1313" s="22">
        <v>1.0</v>
      </c>
      <c r="F1313" s="22"/>
      <c r="G1313" s="22" t="s">
        <v>82</v>
      </c>
      <c r="H1313" s="26">
        <v>45997.0</v>
      </c>
      <c r="I1313" s="22" t="s">
        <v>219</v>
      </c>
      <c r="J1313" s="22" t="s">
        <v>111</v>
      </c>
      <c r="K1313" s="22" t="s">
        <v>163</v>
      </c>
      <c r="L1313" s="35" t="s">
        <v>7002</v>
      </c>
      <c r="M1313" s="32" t="s">
        <v>127</v>
      </c>
    </row>
    <row r="1314">
      <c r="A1314" s="22" t="s">
        <v>2709</v>
      </c>
      <c r="B1314" s="22" t="s">
        <v>7003</v>
      </c>
      <c r="C1314" s="22" t="s">
        <v>4061</v>
      </c>
      <c r="D1314" s="22" t="s">
        <v>979</v>
      </c>
      <c r="E1314" s="22">
        <v>1.0</v>
      </c>
      <c r="F1314" s="22"/>
      <c r="G1314" s="22" t="s">
        <v>82</v>
      </c>
      <c r="H1314" s="26">
        <v>45997.0</v>
      </c>
      <c r="I1314" s="22" t="s">
        <v>1117</v>
      </c>
      <c r="J1314" s="22" t="s">
        <v>605</v>
      </c>
      <c r="K1314" s="22" t="s">
        <v>984</v>
      </c>
      <c r="L1314" s="35" t="s">
        <v>7004</v>
      </c>
      <c r="M1314" s="32" t="s">
        <v>55</v>
      </c>
    </row>
    <row r="1315">
      <c r="A1315" s="22" t="s">
        <v>2688</v>
      </c>
      <c r="B1315" s="22" t="s">
        <v>3674</v>
      </c>
      <c r="C1315" s="22" t="s">
        <v>7005</v>
      </c>
      <c r="D1315" s="22" t="s">
        <v>458</v>
      </c>
      <c r="E1315" s="22">
        <v>1.0</v>
      </c>
      <c r="F1315" s="22"/>
      <c r="G1315" s="22" t="s">
        <v>82</v>
      </c>
      <c r="H1315" s="23">
        <v>46004.0</v>
      </c>
      <c r="I1315" s="22" t="s">
        <v>211</v>
      </c>
      <c r="J1315" s="22" t="s">
        <v>341</v>
      </c>
      <c r="K1315" s="22" t="s">
        <v>462</v>
      </c>
      <c r="L1315" s="35" t="s">
        <v>7006</v>
      </c>
      <c r="M1315" s="32" t="s">
        <v>91</v>
      </c>
    </row>
    <row r="1316">
      <c r="A1316" s="22" t="s">
        <v>2689</v>
      </c>
      <c r="B1316" s="22" t="s">
        <v>7007</v>
      </c>
      <c r="C1316" s="22" t="s">
        <v>7008</v>
      </c>
      <c r="D1316" s="22" t="s">
        <v>484</v>
      </c>
      <c r="E1316" s="22">
        <v>1.0</v>
      </c>
      <c r="F1316" s="22"/>
      <c r="G1316" s="22" t="s">
        <v>82</v>
      </c>
      <c r="H1316" s="26">
        <v>45997.0</v>
      </c>
      <c r="I1316" s="22" t="s">
        <v>134</v>
      </c>
      <c r="J1316" s="22" t="s">
        <v>311</v>
      </c>
      <c r="K1316" s="22" t="s">
        <v>487</v>
      </c>
      <c r="L1316" s="35" t="s">
        <v>7009</v>
      </c>
      <c r="M1316" s="32" t="s">
        <v>127</v>
      </c>
    </row>
    <row r="1317">
      <c r="A1317" s="22" t="s">
        <v>2690</v>
      </c>
      <c r="B1317" s="22" t="s">
        <v>7010</v>
      </c>
      <c r="C1317" s="22" t="s">
        <v>7011</v>
      </c>
      <c r="D1317" s="22" t="s">
        <v>859</v>
      </c>
      <c r="E1317" s="22">
        <v>1.0</v>
      </c>
      <c r="F1317" s="22"/>
      <c r="G1317" s="22" t="s">
        <v>82</v>
      </c>
      <c r="H1317" s="26">
        <v>45997.0</v>
      </c>
      <c r="I1317" s="22" t="s">
        <v>522</v>
      </c>
      <c r="J1317" s="22" t="s">
        <v>605</v>
      </c>
      <c r="K1317" s="22" t="s">
        <v>861</v>
      </c>
      <c r="L1317" s="35" t="s">
        <v>7012</v>
      </c>
      <c r="M1317" s="32" t="s">
        <v>95</v>
      </c>
    </row>
    <row r="1318">
      <c r="A1318" s="22" t="s">
        <v>2691</v>
      </c>
      <c r="B1318" s="22" t="s">
        <v>7013</v>
      </c>
      <c r="C1318" s="22" t="s">
        <v>7014</v>
      </c>
      <c r="D1318" s="22" t="s">
        <v>569</v>
      </c>
      <c r="E1318" s="22">
        <v>1.0</v>
      </c>
      <c r="F1318" s="22"/>
      <c r="G1318" s="22" t="s">
        <v>82</v>
      </c>
      <c r="H1318" s="26">
        <v>45997.0</v>
      </c>
      <c r="I1318" s="22" t="s">
        <v>145</v>
      </c>
      <c r="J1318" s="22" t="s">
        <v>472</v>
      </c>
      <c r="K1318" s="22" t="s">
        <v>571</v>
      </c>
      <c r="L1318" s="35" t="s">
        <v>7015</v>
      </c>
      <c r="M1318" s="32" t="s">
        <v>105</v>
      </c>
    </row>
    <row r="1319">
      <c r="A1319" s="22" t="s">
        <v>2692</v>
      </c>
      <c r="B1319" s="22" t="s">
        <v>3787</v>
      </c>
      <c r="C1319" s="22" t="s">
        <v>7016</v>
      </c>
      <c r="D1319" s="22" t="s">
        <v>470</v>
      </c>
      <c r="E1319" s="22">
        <v>1.0</v>
      </c>
      <c r="F1319" s="22"/>
      <c r="G1319" s="22" t="s">
        <v>82</v>
      </c>
      <c r="H1319" s="26">
        <v>45997.0</v>
      </c>
      <c r="I1319" s="22" t="s">
        <v>134</v>
      </c>
      <c r="J1319" s="22" t="s">
        <v>472</v>
      </c>
      <c r="K1319" s="22" t="s">
        <v>475</v>
      </c>
      <c r="L1319" s="35" t="s">
        <v>7017</v>
      </c>
      <c r="M1319" s="32" t="s">
        <v>91</v>
      </c>
    </row>
    <row r="1320">
      <c r="A1320" s="22" t="s">
        <v>2693</v>
      </c>
      <c r="B1320" s="22" t="s">
        <v>7018</v>
      </c>
      <c r="C1320" s="22" t="s">
        <v>7019</v>
      </c>
      <c r="D1320" s="22" t="s">
        <v>696</v>
      </c>
      <c r="E1320" s="22">
        <v>1.0</v>
      </c>
      <c r="F1320" s="22"/>
      <c r="G1320" s="22" t="s">
        <v>82</v>
      </c>
      <c r="H1320" s="26">
        <v>45997.0</v>
      </c>
      <c r="I1320" s="22" t="s">
        <v>439</v>
      </c>
      <c r="J1320" s="22" t="s">
        <v>698</v>
      </c>
      <c r="K1320" s="22" t="s">
        <v>701</v>
      </c>
      <c r="L1320" s="35" t="s">
        <v>7020</v>
      </c>
      <c r="M1320" s="32" t="s">
        <v>55</v>
      </c>
    </row>
    <row r="1321">
      <c r="A1321" s="22" t="s">
        <v>2694</v>
      </c>
      <c r="B1321" s="22" t="s">
        <v>4421</v>
      </c>
      <c r="C1321" s="22" t="s">
        <v>7021</v>
      </c>
      <c r="D1321" s="22" t="s">
        <v>752</v>
      </c>
      <c r="E1321" s="22">
        <v>1.0</v>
      </c>
      <c r="F1321" s="22"/>
      <c r="G1321" s="22" t="s">
        <v>82</v>
      </c>
      <c r="H1321" s="26">
        <v>45997.0</v>
      </c>
      <c r="I1321" s="22" t="s">
        <v>196</v>
      </c>
      <c r="J1321" s="22" t="s">
        <v>319</v>
      </c>
      <c r="K1321" s="22" t="s">
        <v>754</v>
      </c>
      <c r="L1321" s="35" t="s">
        <v>7022</v>
      </c>
      <c r="M1321" s="32" t="s">
        <v>175</v>
      </c>
    </row>
    <row r="1322">
      <c r="A1322" s="22" t="s">
        <v>2695</v>
      </c>
      <c r="B1322" s="22" t="s">
        <v>4283</v>
      </c>
      <c r="C1322" s="22" t="s">
        <v>7023</v>
      </c>
      <c r="D1322" s="22" t="s">
        <v>172</v>
      </c>
      <c r="E1322" s="22">
        <v>1.0</v>
      </c>
      <c r="F1322" s="22"/>
      <c r="G1322" s="22" t="s">
        <v>273</v>
      </c>
      <c r="H1322" s="26">
        <v>45998.0</v>
      </c>
      <c r="I1322" s="22" t="s">
        <v>266</v>
      </c>
      <c r="J1322" s="22" t="s">
        <v>83</v>
      </c>
      <c r="K1322" s="22" t="s">
        <v>174</v>
      </c>
      <c r="L1322" s="35" t="s">
        <v>7024</v>
      </c>
      <c r="M1322" s="32" t="s">
        <v>175</v>
      </c>
    </row>
    <row r="1323">
      <c r="A1323" s="22" t="s">
        <v>2697</v>
      </c>
      <c r="B1323" s="22" t="s">
        <v>7025</v>
      </c>
      <c r="C1323" s="22" t="s">
        <v>7026</v>
      </c>
      <c r="D1323" s="22" t="s">
        <v>962</v>
      </c>
      <c r="E1323" s="22">
        <v>1.0</v>
      </c>
      <c r="F1323" s="22"/>
      <c r="G1323" s="22" t="s">
        <v>82</v>
      </c>
      <c r="H1323" s="23">
        <v>46004.0</v>
      </c>
      <c r="I1323" s="22" t="s">
        <v>1054</v>
      </c>
      <c r="J1323" s="22" t="s">
        <v>634</v>
      </c>
      <c r="K1323" s="22" t="s">
        <v>966</v>
      </c>
      <c r="L1323" s="35" t="s">
        <v>7027</v>
      </c>
      <c r="M1323" s="32" t="s">
        <v>127</v>
      </c>
    </row>
    <row r="1324">
      <c r="A1324" s="22" t="s">
        <v>2700</v>
      </c>
      <c r="B1324" s="22" t="s">
        <v>7028</v>
      </c>
      <c r="C1324" s="22" t="s">
        <v>7029</v>
      </c>
      <c r="D1324" s="22" t="s">
        <v>2037</v>
      </c>
      <c r="E1324" s="22">
        <v>1.0</v>
      </c>
      <c r="F1324" s="22"/>
      <c r="G1324" s="22" t="s">
        <v>273</v>
      </c>
      <c r="H1324" s="26">
        <v>45998.0</v>
      </c>
      <c r="I1324" s="22" t="s">
        <v>2155</v>
      </c>
      <c r="J1324" s="22" t="s">
        <v>869</v>
      </c>
      <c r="K1324" s="22" t="s">
        <v>2039</v>
      </c>
      <c r="L1324" s="35" t="s">
        <v>7030</v>
      </c>
      <c r="M1324" s="32" t="s">
        <v>105</v>
      </c>
    </row>
    <row r="1325">
      <c r="A1325" s="22" t="s">
        <v>2702</v>
      </c>
      <c r="B1325" s="22" t="s">
        <v>3895</v>
      </c>
      <c r="C1325" s="22" t="s">
        <v>7031</v>
      </c>
      <c r="D1325" s="22" t="s">
        <v>859</v>
      </c>
      <c r="E1325" s="22">
        <v>1.0</v>
      </c>
      <c r="F1325" s="22"/>
      <c r="G1325" s="22" t="s">
        <v>82</v>
      </c>
      <c r="H1325" s="26">
        <v>45997.0</v>
      </c>
      <c r="I1325" s="22" t="s">
        <v>522</v>
      </c>
      <c r="J1325" s="22" t="s">
        <v>605</v>
      </c>
      <c r="K1325" s="22" t="s">
        <v>861</v>
      </c>
      <c r="L1325" s="35" t="s">
        <v>7032</v>
      </c>
      <c r="M1325" s="32" t="s">
        <v>95</v>
      </c>
    </row>
    <row r="1326">
      <c r="A1326" s="22" t="s">
        <v>2703</v>
      </c>
      <c r="B1326" s="22" t="s">
        <v>7033</v>
      </c>
      <c r="C1326" s="22" t="s">
        <v>7034</v>
      </c>
      <c r="D1326" s="22" t="s">
        <v>515</v>
      </c>
      <c r="E1326" s="22">
        <v>1.0</v>
      </c>
      <c r="F1326" s="22"/>
      <c r="G1326" s="22" t="s">
        <v>273</v>
      </c>
      <c r="H1326" s="26">
        <v>45998.0</v>
      </c>
      <c r="I1326" s="22" t="s">
        <v>145</v>
      </c>
      <c r="J1326" s="22" t="s">
        <v>472</v>
      </c>
      <c r="K1326" s="22" t="s">
        <v>519</v>
      </c>
      <c r="L1326" s="35" t="s">
        <v>7035</v>
      </c>
      <c r="M1326" s="32" t="s">
        <v>55</v>
      </c>
    </row>
    <row r="1327">
      <c r="A1327" s="22" t="s">
        <v>2704</v>
      </c>
      <c r="B1327" s="22" t="s">
        <v>4619</v>
      </c>
      <c r="C1327" s="22" t="s">
        <v>7036</v>
      </c>
      <c r="D1327" s="22" t="s">
        <v>470</v>
      </c>
      <c r="E1327" s="22">
        <v>1.0</v>
      </c>
      <c r="F1327" s="22"/>
      <c r="G1327" s="22" t="s">
        <v>82</v>
      </c>
      <c r="H1327" s="26">
        <v>45997.0</v>
      </c>
      <c r="I1327" s="22" t="s">
        <v>134</v>
      </c>
      <c r="J1327" s="22" t="s">
        <v>472</v>
      </c>
      <c r="K1327" s="22" t="s">
        <v>475</v>
      </c>
      <c r="L1327" s="35" t="s">
        <v>7037</v>
      </c>
      <c r="M1327" s="32" t="s">
        <v>91</v>
      </c>
    </row>
    <row r="1328">
      <c r="A1328" s="22" t="s">
        <v>2705</v>
      </c>
      <c r="B1328" s="22" t="s">
        <v>4147</v>
      </c>
      <c r="C1328" s="22" t="s">
        <v>4203</v>
      </c>
      <c r="D1328" s="22" t="s">
        <v>602</v>
      </c>
      <c r="E1328" s="22">
        <v>1.0</v>
      </c>
      <c r="F1328" s="22"/>
      <c r="G1328" s="22" t="s">
        <v>82</v>
      </c>
      <c r="H1328" s="26">
        <v>45997.0</v>
      </c>
      <c r="I1328" s="22" t="s">
        <v>1400</v>
      </c>
      <c r="J1328" s="22" t="s">
        <v>605</v>
      </c>
      <c r="K1328" s="22" t="s">
        <v>608</v>
      </c>
      <c r="L1328" s="35" t="s">
        <v>7038</v>
      </c>
      <c r="M1328" s="32" t="s">
        <v>54</v>
      </c>
    </row>
    <row r="1329">
      <c r="A1329" s="22" t="s">
        <v>2706</v>
      </c>
      <c r="B1329" s="22" t="s">
        <v>7039</v>
      </c>
      <c r="C1329" s="22" t="s">
        <v>7040</v>
      </c>
      <c r="D1329" s="22" t="s">
        <v>463</v>
      </c>
      <c r="E1329" s="22">
        <v>1.0</v>
      </c>
      <c r="F1329" s="22"/>
      <c r="G1329" s="22" t="s">
        <v>82</v>
      </c>
      <c r="H1329" s="26">
        <v>45997.0</v>
      </c>
      <c r="I1329" s="22" t="s">
        <v>1073</v>
      </c>
      <c r="J1329" s="22" t="s">
        <v>303</v>
      </c>
      <c r="K1329" s="22" t="s">
        <v>467</v>
      </c>
      <c r="L1329" s="35" t="s">
        <v>7041</v>
      </c>
      <c r="M1329" s="32" t="s">
        <v>105</v>
      </c>
    </row>
    <row r="1330">
      <c r="A1330" s="22" t="s">
        <v>2707</v>
      </c>
      <c r="B1330" s="22" t="s">
        <v>7042</v>
      </c>
      <c r="C1330" s="22" t="s">
        <v>7043</v>
      </c>
      <c r="D1330" s="22" t="s">
        <v>96</v>
      </c>
      <c r="E1330" s="22">
        <v>1.0</v>
      </c>
      <c r="F1330" s="22"/>
      <c r="G1330" s="22" t="s">
        <v>273</v>
      </c>
      <c r="H1330" s="23">
        <v>45991.0</v>
      </c>
      <c r="I1330" s="22" t="s">
        <v>1400</v>
      </c>
      <c r="J1330" s="22" t="s">
        <v>83</v>
      </c>
      <c r="K1330" s="22" t="s">
        <v>98</v>
      </c>
      <c r="L1330" s="35" t="s">
        <v>7044</v>
      </c>
      <c r="M1330" s="32" t="s">
        <v>55</v>
      </c>
    </row>
    <row r="1331">
      <c r="A1331" s="22" t="s">
        <v>7045</v>
      </c>
      <c r="B1331" s="22" t="s">
        <v>5390</v>
      </c>
      <c r="C1331" s="22" t="s">
        <v>7046</v>
      </c>
      <c r="D1331" s="22" t="s">
        <v>4521</v>
      </c>
      <c r="E1331" s="22">
        <v>1.0</v>
      </c>
      <c r="F1331" s="22"/>
      <c r="G1331" s="22" t="s">
        <v>294</v>
      </c>
      <c r="H1331" s="26">
        <v>45999.0</v>
      </c>
      <c r="I1331" s="22" t="s">
        <v>1131</v>
      </c>
      <c r="J1331" s="22" t="s">
        <v>4399</v>
      </c>
      <c r="K1331" s="22" t="s">
        <v>4522</v>
      </c>
      <c r="L1331" s="35" t="s">
        <v>7047</v>
      </c>
      <c r="M1331" s="32" t="s">
        <v>54</v>
      </c>
    </row>
    <row r="1332">
      <c r="A1332" s="22" t="s">
        <v>2710</v>
      </c>
      <c r="B1332" s="22" t="s">
        <v>5025</v>
      </c>
      <c r="C1332" s="22" t="s">
        <v>7048</v>
      </c>
      <c r="D1332" s="22" t="s">
        <v>560</v>
      </c>
      <c r="E1332" s="22">
        <v>1.0</v>
      </c>
      <c r="F1332" s="22"/>
      <c r="G1332" s="22" t="s">
        <v>273</v>
      </c>
      <c r="H1332" s="23">
        <v>45991.0</v>
      </c>
      <c r="I1332" s="22" t="s">
        <v>149</v>
      </c>
      <c r="J1332" s="22" t="s">
        <v>356</v>
      </c>
      <c r="K1332" s="22" t="s">
        <v>563</v>
      </c>
      <c r="L1332" s="35" t="s">
        <v>7049</v>
      </c>
      <c r="M1332" s="32" t="s">
        <v>91</v>
      </c>
    </row>
    <row r="1333">
      <c r="A1333" s="22" t="s">
        <v>2750</v>
      </c>
      <c r="B1333" s="22" t="s">
        <v>7050</v>
      </c>
      <c r="C1333" s="22" t="s">
        <v>7051</v>
      </c>
      <c r="D1333" s="22" t="s">
        <v>141</v>
      </c>
      <c r="E1333" s="22">
        <v>1.0</v>
      </c>
      <c r="F1333" s="22"/>
      <c r="G1333" s="22" t="s">
        <v>202</v>
      </c>
      <c r="H1333" s="26">
        <v>45996.0</v>
      </c>
      <c r="I1333" s="22" t="s">
        <v>224</v>
      </c>
      <c r="J1333" s="22" t="s">
        <v>83</v>
      </c>
      <c r="K1333" s="22" t="s">
        <v>143</v>
      </c>
      <c r="L1333" s="35" t="s">
        <v>7052</v>
      </c>
      <c r="M1333" s="32" t="s">
        <v>54</v>
      </c>
    </row>
    <row r="1334">
      <c r="A1334" s="22" t="s">
        <v>2751</v>
      </c>
      <c r="B1334" s="22" t="s">
        <v>7053</v>
      </c>
      <c r="C1334" s="22" t="s">
        <v>7054</v>
      </c>
      <c r="D1334" s="22" t="s">
        <v>1779</v>
      </c>
      <c r="E1334" s="22">
        <v>1.0</v>
      </c>
      <c r="F1334" s="22"/>
      <c r="G1334" s="22" t="s">
        <v>82</v>
      </c>
      <c r="H1334" s="23">
        <v>46004.0</v>
      </c>
      <c r="I1334" s="22" t="s">
        <v>134</v>
      </c>
      <c r="J1334" s="22" t="s">
        <v>203</v>
      </c>
      <c r="K1334" s="22" t="s">
        <v>1781</v>
      </c>
      <c r="L1334" s="35" t="s">
        <v>7055</v>
      </c>
      <c r="M1334" s="32" t="s">
        <v>127</v>
      </c>
    </row>
    <row r="1335">
      <c r="A1335" s="22" t="s">
        <v>2753</v>
      </c>
      <c r="B1335" s="22" t="s">
        <v>7056</v>
      </c>
      <c r="C1335" s="22" t="s">
        <v>7057</v>
      </c>
      <c r="D1335" s="22" t="s">
        <v>1105</v>
      </c>
      <c r="E1335" s="22">
        <v>1.0</v>
      </c>
      <c r="F1335" s="22"/>
      <c r="G1335" s="22" t="s">
        <v>273</v>
      </c>
      <c r="H1335" s="23">
        <v>45991.0</v>
      </c>
      <c r="I1335" s="22" t="s">
        <v>187</v>
      </c>
      <c r="J1335" s="22" t="s">
        <v>329</v>
      </c>
      <c r="K1335" s="22" t="s">
        <v>1107</v>
      </c>
      <c r="L1335" s="35" t="s">
        <v>7058</v>
      </c>
      <c r="M1335" s="32" t="s">
        <v>95</v>
      </c>
    </row>
    <row r="1336">
      <c r="A1336" s="22" t="s">
        <v>231</v>
      </c>
      <c r="B1336" s="22" t="s">
        <v>3892</v>
      </c>
      <c r="C1336" s="22" t="s">
        <v>7059</v>
      </c>
      <c r="D1336" s="22" t="s">
        <v>166</v>
      </c>
      <c r="E1336" s="22">
        <v>1.0</v>
      </c>
      <c r="F1336" s="22"/>
      <c r="G1336" s="22" t="s">
        <v>82</v>
      </c>
      <c r="H1336" s="23">
        <v>45990.0</v>
      </c>
      <c r="I1336" s="22" t="s">
        <v>230</v>
      </c>
      <c r="J1336" s="22" t="s">
        <v>111</v>
      </c>
      <c r="K1336" s="22" t="s">
        <v>171</v>
      </c>
      <c r="L1336" s="35" t="s">
        <v>7060</v>
      </c>
      <c r="M1336" s="32" t="s">
        <v>55</v>
      </c>
    </row>
    <row r="1337">
      <c r="A1337" s="22" t="s">
        <v>2711</v>
      </c>
      <c r="B1337" s="22" t="s">
        <v>7061</v>
      </c>
      <c r="C1337" s="22" t="s">
        <v>7062</v>
      </c>
      <c r="D1337" s="22" t="s">
        <v>415</v>
      </c>
      <c r="E1337" s="22">
        <v>1.0</v>
      </c>
      <c r="F1337" s="22"/>
      <c r="G1337" s="22" t="s">
        <v>82</v>
      </c>
      <c r="H1337" s="26">
        <v>45997.0</v>
      </c>
      <c r="I1337" s="22" t="s">
        <v>248</v>
      </c>
      <c r="J1337" s="22" t="s">
        <v>377</v>
      </c>
      <c r="K1337" s="22" t="s">
        <v>419</v>
      </c>
      <c r="L1337" s="35" t="s">
        <v>7063</v>
      </c>
      <c r="M1337" s="32" t="s">
        <v>91</v>
      </c>
    </row>
    <row r="1338">
      <c r="A1338" s="22" t="s">
        <v>2713</v>
      </c>
      <c r="B1338" s="22" t="s">
        <v>7064</v>
      </c>
      <c r="C1338" s="22" t="s">
        <v>7065</v>
      </c>
      <c r="D1338" s="22" t="s">
        <v>141</v>
      </c>
      <c r="E1338" s="22">
        <v>1.0</v>
      </c>
      <c r="F1338" s="22"/>
      <c r="G1338" s="22" t="s">
        <v>273</v>
      </c>
      <c r="H1338" s="26">
        <v>45998.0</v>
      </c>
      <c r="I1338" s="22" t="s">
        <v>181</v>
      </c>
      <c r="J1338" s="22" t="s">
        <v>83</v>
      </c>
      <c r="K1338" s="22" t="s">
        <v>143</v>
      </c>
      <c r="L1338" s="35" t="s">
        <v>7066</v>
      </c>
      <c r="M1338" s="32" t="s">
        <v>54</v>
      </c>
    </row>
    <row r="1339">
      <c r="A1339" s="22" t="s">
        <v>2715</v>
      </c>
      <c r="B1339" s="22" t="s">
        <v>5805</v>
      </c>
      <c r="C1339" s="22" t="s">
        <v>7067</v>
      </c>
      <c r="D1339" s="22" t="s">
        <v>643</v>
      </c>
      <c r="E1339" s="22">
        <v>1.0</v>
      </c>
      <c r="F1339" s="22"/>
      <c r="G1339" s="22" t="s">
        <v>273</v>
      </c>
      <c r="H1339" s="23">
        <v>46005.0</v>
      </c>
      <c r="I1339" s="22" t="s">
        <v>177</v>
      </c>
      <c r="J1339" s="22" t="s">
        <v>634</v>
      </c>
      <c r="K1339" s="22" t="s">
        <v>647</v>
      </c>
      <c r="L1339" s="35" t="s">
        <v>7068</v>
      </c>
      <c r="M1339" s="32" t="s">
        <v>54</v>
      </c>
    </row>
    <row r="1340">
      <c r="A1340" s="22" t="s">
        <v>2716</v>
      </c>
      <c r="B1340" s="22" t="s">
        <v>4294</v>
      </c>
      <c r="C1340" s="22" t="s">
        <v>7069</v>
      </c>
      <c r="D1340" s="22" t="s">
        <v>96</v>
      </c>
      <c r="E1340" s="22">
        <v>1.0</v>
      </c>
      <c r="F1340" s="22"/>
      <c r="G1340" s="22" t="s">
        <v>273</v>
      </c>
      <c r="H1340" s="26">
        <v>45998.0</v>
      </c>
      <c r="I1340" s="22" t="s">
        <v>134</v>
      </c>
      <c r="J1340" s="22" t="s">
        <v>83</v>
      </c>
      <c r="K1340" s="22" t="s">
        <v>98</v>
      </c>
      <c r="L1340" s="35" t="s">
        <v>7070</v>
      </c>
      <c r="M1340" s="32" t="s">
        <v>55</v>
      </c>
    </row>
    <row r="1341">
      <c r="A1341" s="22" t="s">
        <v>2717</v>
      </c>
      <c r="B1341" s="22" t="s">
        <v>3752</v>
      </c>
      <c r="C1341" s="22" t="s">
        <v>7071</v>
      </c>
      <c r="D1341" s="22" t="s">
        <v>709</v>
      </c>
      <c r="E1341" s="22">
        <v>1.0</v>
      </c>
      <c r="F1341" s="22"/>
      <c r="G1341" s="22" t="s">
        <v>202</v>
      </c>
      <c r="H1341" s="26">
        <v>45996.0</v>
      </c>
      <c r="I1341" s="22" t="s">
        <v>134</v>
      </c>
      <c r="J1341" s="22" t="s">
        <v>311</v>
      </c>
      <c r="K1341" s="22" t="s">
        <v>713</v>
      </c>
      <c r="L1341" s="35" t="s">
        <v>7072</v>
      </c>
      <c r="M1341" s="32" t="s">
        <v>91</v>
      </c>
    </row>
    <row r="1342">
      <c r="A1342" s="22" t="s">
        <v>2718</v>
      </c>
      <c r="B1342" s="22" t="s">
        <v>7073</v>
      </c>
      <c r="C1342" s="22" t="s">
        <v>7074</v>
      </c>
      <c r="D1342" s="22" t="s">
        <v>96</v>
      </c>
      <c r="E1342" s="22">
        <v>1.0</v>
      </c>
      <c r="F1342" s="22"/>
      <c r="G1342" s="22" t="s">
        <v>82</v>
      </c>
      <c r="H1342" s="26">
        <v>45997.0</v>
      </c>
      <c r="I1342" s="22" t="s">
        <v>266</v>
      </c>
      <c r="J1342" s="22" t="s">
        <v>83</v>
      </c>
      <c r="K1342" s="22" t="s">
        <v>98</v>
      </c>
      <c r="L1342" s="35" t="s">
        <v>7075</v>
      </c>
      <c r="M1342" s="32" t="s">
        <v>55</v>
      </c>
    </row>
    <row r="1343">
      <c r="A1343" s="22" t="s">
        <v>2719</v>
      </c>
      <c r="B1343" s="22" t="s">
        <v>4982</v>
      </c>
      <c r="C1343" s="22" t="s">
        <v>7076</v>
      </c>
      <c r="D1343" s="22" t="s">
        <v>924</v>
      </c>
      <c r="E1343" s="22">
        <v>1.0</v>
      </c>
      <c r="F1343" s="22"/>
      <c r="G1343" s="22" t="s">
        <v>273</v>
      </c>
      <c r="H1343" s="26">
        <v>45998.0</v>
      </c>
      <c r="I1343" s="22" t="s">
        <v>149</v>
      </c>
      <c r="J1343" s="22" t="s">
        <v>623</v>
      </c>
      <c r="K1343" s="22" t="s">
        <v>926</v>
      </c>
      <c r="L1343" s="35" t="s">
        <v>7077</v>
      </c>
      <c r="M1343" s="32" t="s">
        <v>55</v>
      </c>
    </row>
    <row r="1344">
      <c r="A1344" s="22" t="s">
        <v>2720</v>
      </c>
      <c r="B1344" s="22" t="s">
        <v>5220</v>
      </c>
      <c r="C1344" s="22" t="s">
        <v>6445</v>
      </c>
      <c r="D1344" s="22" t="s">
        <v>124</v>
      </c>
      <c r="E1344" s="22">
        <v>1.0</v>
      </c>
      <c r="F1344" s="22"/>
      <c r="G1344" s="22" t="s">
        <v>273</v>
      </c>
      <c r="H1344" s="26">
        <v>45998.0</v>
      </c>
      <c r="I1344" s="22" t="s">
        <v>138</v>
      </c>
      <c r="J1344" s="22" t="s">
        <v>83</v>
      </c>
      <c r="K1344" s="22" t="s">
        <v>126</v>
      </c>
      <c r="L1344" s="35" t="s">
        <v>7078</v>
      </c>
      <c r="M1344" s="32" t="s">
        <v>127</v>
      </c>
    </row>
    <row r="1345">
      <c r="A1345" s="22" t="s">
        <v>2721</v>
      </c>
      <c r="B1345" s="22" t="s">
        <v>7079</v>
      </c>
      <c r="C1345" s="22" t="s">
        <v>7080</v>
      </c>
      <c r="D1345" s="22" t="s">
        <v>1048</v>
      </c>
      <c r="E1345" s="22">
        <v>1.0</v>
      </c>
      <c r="F1345" s="22"/>
      <c r="G1345" s="22" t="s">
        <v>273</v>
      </c>
      <c r="H1345" s="26">
        <v>45998.0</v>
      </c>
      <c r="I1345" s="22" t="s">
        <v>211</v>
      </c>
      <c r="J1345" s="22" t="s">
        <v>440</v>
      </c>
      <c r="K1345" s="22" t="s">
        <v>1052</v>
      </c>
      <c r="L1345" s="35" t="s">
        <v>7081</v>
      </c>
      <c r="M1345" s="32" t="s">
        <v>54</v>
      </c>
    </row>
    <row r="1346">
      <c r="A1346" s="22" t="s">
        <v>228</v>
      </c>
      <c r="B1346" s="22" t="s">
        <v>7082</v>
      </c>
      <c r="C1346" s="22" t="s">
        <v>6110</v>
      </c>
      <c r="D1346" s="22" t="s">
        <v>80</v>
      </c>
      <c r="E1346" s="22">
        <v>1.0</v>
      </c>
      <c r="F1346" s="22"/>
      <c r="G1346" s="22" t="s">
        <v>82</v>
      </c>
      <c r="H1346" s="23">
        <v>45990.0</v>
      </c>
      <c r="I1346" s="22" t="s">
        <v>134</v>
      </c>
      <c r="J1346" s="22" t="s">
        <v>83</v>
      </c>
      <c r="K1346" s="22" t="s">
        <v>86</v>
      </c>
      <c r="L1346" s="35" t="s">
        <v>7083</v>
      </c>
      <c r="M1346" s="32" t="s">
        <v>91</v>
      </c>
    </row>
    <row r="1347">
      <c r="A1347" s="22" t="s">
        <v>2686</v>
      </c>
      <c r="B1347" s="22" t="s">
        <v>4784</v>
      </c>
      <c r="C1347" s="22" t="s">
        <v>7084</v>
      </c>
      <c r="D1347" s="22" t="s">
        <v>415</v>
      </c>
      <c r="E1347" s="22">
        <v>1.0</v>
      </c>
      <c r="F1347" s="22"/>
      <c r="G1347" s="22" t="s">
        <v>82</v>
      </c>
      <c r="H1347" s="26">
        <v>45997.0</v>
      </c>
      <c r="I1347" s="22" t="s">
        <v>149</v>
      </c>
      <c r="J1347" s="22" t="s">
        <v>377</v>
      </c>
      <c r="K1347" s="22" t="s">
        <v>419</v>
      </c>
      <c r="L1347" s="35" t="s">
        <v>7085</v>
      </c>
      <c r="M1347" s="32" t="s">
        <v>91</v>
      </c>
    </row>
    <row r="1348">
      <c r="A1348" s="22" t="s">
        <v>2687</v>
      </c>
      <c r="B1348" s="22" t="s">
        <v>3981</v>
      </c>
      <c r="C1348" s="22" t="s">
        <v>7086</v>
      </c>
      <c r="D1348" s="22" t="s">
        <v>664</v>
      </c>
      <c r="E1348" s="22">
        <v>1.0</v>
      </c>
      <c r="F1348" s="22"/>
      <c r="G1348" s="22" t="s">
        <v>82</v>
      </c>
      <c r="H1348" s="26">
        <v>45997.0</v>
      </c>
      <c r="I1348" s="22" t="s">
        <v>134</v>
      </c>
      <c r="J1348" s="22" t="s">
        <v>472</v>
      </c>
      <c r="K1348" s="22" t="s">
        <v>668</v>
      </c>
      <c r="L1348" s="35" t="s">
        <v>7087</v>
      </c>
      <c r="M1348" s="32" t="s">
        <v>175</v>
      </c>
    </row>
    <row r="1349">
      <c r="A1349" s="22" t="s">
        <v>2722</v>
      </c>
      <c r="B1349" s="22" t="s">
        <v>6557</v>
      </c>
      <c r="C1349" s="22" t="s">
        <v>7088</v>
      </c>
      <c r="D1349" s="22" t="s">
        <v>96</v>
      </c>
      <c r="E1349" s="22">
        <v>1.0</v>
      </c>
      <c r="F1349" s="22"/>
      <c r="G1349" s="22" t="s">
        <v>273</v>
      </c>
      <c r="H1349" s="23">
        <v>45991.0</v>
      </c>
      <c r="I1349" s="22" t="s">
        <v>134</v>
      </c>
      <c r="J1349" s="22" t="s">
        <v>83</v>
      </c>
      <c r="K1349" s="22" t="s">
        <v>98</v>
      </c>
      <c r="L1349" s="35" t="s">
        <v>7089</v>
      </c>
      <c r="M1349" s="32" t="s">
        <v>55</v>
      </c>
    </row>
    <row r="1350">
      <c r="A1350" s="22" t="s">
        <v>2728</v>
      </c>
      <c r="B1350" s="22" t="s">
        <v>7090</v>
      </c>
      <c r="C1350" s="22" t="s">
        <v>7091</v>
      </c>
      <c r="D1350" s="22" t="s">
        <v>458</v>
      </c>
      <c r="E1350" s="22">
        <v>1.0</v>
      </c>
      <c r="F1350" s="22"/>
      <c r="G1350" s="22" t="s">
        <v>82</v>
      </c>
      <c r="H1350" s="26">
        <v>45997.0</v>
      </c>
      <c r="I1350" s="22" t="s">
        <v>211</v>
      </c>
      <c r="J1350" s="22" t="s">
        <v>341</v>
      </c>
      <c r="K1350" s="22" t="s">
        <v>462</v>
      </c>
      <c r="L1350" s="35" t="s">
        <v>7092</v>
      </c>
      <c r="M1350" s="32" t="s">
        <v>91</v>
      </c>
    </row>
    <row r="1351">
      <c r="A1351" s="22" t="s">
        <v>2731</v>
      </c>
      <c r="B1351" s="22" t="s">
        <v>7093</v>
      </c>
      <c r="C1351" s="22" t="s">
        <v>7094</v>
      </c>
      <c r="D1351" s="22" t="s">
        <v>1617</v>
      </c>
      <c r="E1351" s="22">
        <v>1.0</v>
      </c>
      <c r="F1351" s="22"/>
      <c r="G1351" s="22" t="s">
        <v>82</v>
      </c>
      <c r="H1351" s="26">
        <v>45997.0</v>
      </c>
      <c r="I1351" s="22" t="s">
        <v>2730</v>
      </c>
      <c r="J1351" s="22" t="s">
        <v>1466</v>
      </c>
      <c r="K1351" s="22" t="s">
        <v>1621</v>
      </c>
      <c r="L1351" s="35" t="s">
        <v>7095</v>
      </c>
      <c r="M1351" s="32" t="s">
        <v>95</v>
      </c>
    </row>
    <row r="1352">
      <c r="A1352" s="22" t="s">
        <v>2733</v>
      </c>
      <c r="B1352" s="22" t="s">
        <v>3918</v>
      </c>
      <c r="C1352" s="22" t="s">
        <v>7096</v>
      </c>
      <c r="D1352" s="22" t="s">
        <v>124</v>
      </c>
      <c r="E1352" s="22">
        <v>1.0</v>
      </c>
      <c r="F1352" s="22"/>
      <c r="G1352" s="22" t="s">
        <v>273</v>
      </c>
      <c r="H1352" s="26">
        <v>45998.0</v>
      </c>
      <c r="I1352" s="22" t="s">
        <v>153</v>
      </c>
      <c r="J1352" s="22" t="s">
        <v>83</v>
      </c>
      <c r="K1352" s="22" t="s">
        <v>126</v>
      </c>
      <c r="L1352" s="35" t="s">
        <v>7097</v>
      </c>
      <c r="M1352" s="32" t="s">
        <v>127</v>
      </c>
    </row>
    <row r="1353">
      <c r="A1353" s="22" t="s">
        <v>2734</v>
      </c>
      <c r="B1353" s="22" t="s">
        <v>3901</v>
      </c>
      <c r="C1353" s="22" t="s">
        <v>7098</v>
      </c>
      <c r="D1353" s="22" t="s">
        <v>529</v>
      </c>
      <c r="E1353" s="22">
        <v>1.0</v>
      </c>
      <c r="F1353" s="22"/>
      <c r="G1353" s="22" t="s">
        <v>273</v>
      </c>
      <c r="H1353" s="26">
        <v>45998.0</v>
      </c>
      <c r="I1353" s="22" t="s">
        <v>134</v>
      </c>
      <c r="J1353" s="22" t="s">
        <v>472</v>
      </c>
      <c r="K1353" s="22" t="s">
        <v>533</v>
      </c>
      <c r="L1353" s="35" t="s">
        <v>7099</v>
      </c>
      <c r="M1353" s="32" t="s">
        <v>127</v>
      </c>
    </row>
    <row r="1354">
      <c r="A1354" s="22" t="s">
        <v>2735</v>
      </c>
      <c r="B1354" s="22" t="s">
        <v>3674</v>
      </c>
      <c r="C1354" s="22" t="s">
        <v>7100</v>
      </c>
      <c r="D1354" s="22" t="s">
        <v>902</v>
      </c>
      <c r="E1354" s="22">
        <v>1.0</v>
      </c>
      <c r="F1354" s="22"/>
      <c r="G1354" s="22" t="s">
        <v>273</v>
      </c>
      <c r="H1354" s="23">
        <v>45991.0</v>
      </c>
      <c r="I1354" s="22" t="s">
        <v>145</v>
      </c>
      <c r="J1354" s="22" t="s">
        <v>329</v>
      </c>
      <c r="K1354" s="22" t="s">
        <v>906</v>
      </c>
      <c r="L1354" s="35" t="s">
        <v>7101</v>
      </c>
      <c r="M1354" s="32" t="s">
        <v>105</v>
      </c>
    </row>
    <row r="1355">
      <c r="A1355" s="22" t="s">
        <v>2736</v>
      </c>
      <c r="B1355" s="22" t="s">
        <v>4648</v>
      </c>
      <c r="C1355" s="22" t="s">
        <v>7102</v>
      </c>
      <c r="D1355" s="22" t="s">
        <v>979</v>
      </c>
      <c r="E1355" s="22">
        <v>1.0</v>
      </c>
      <c r="F1355" s="22"/>
      <c r="G1355" s="22" t="s">
        <v>82</v>
      </c>
      <c r="H1355" s="26">
        <v>45997.0</v>
      </c>
      <c r="I1355" s="22" t="s">
        <v>522</v>
      </c>
      <c r="J1355" s="22" t="s">
        <v>605</v>
      </c>
      <c r="K1355" s="22" t="s">
        <v>984</v>
      </c>
      <c r="L1355" s="35" t="s">
        <v>7103</v>
      </c>
      <c r="M1355" s="32" t="s">
        <v>55</v>
      </c>
    </row>
    <row r="1356">
      <c r="A1356" s="22" t="s">
        <v>2737</v>
      </c>
      <c r="B1356" s="22" t="s">
        <v>5014</v>
      </c>
      <c r="C1356" s="22" t="s">
        <v>7104</v>
      </c>
      <c r="D1356" s="22" t="s">
        <v>859</v>
      </c>
      <c r="E1356" s="22">
        <v>1.0</v>
      </c>
      <c r="F1356" s="22"/>
      <c r="G1356" s="22" t="s">
        <v>82</v>
      </c>
      <c r="H1356" s="26">
        <v>45997.0</v>
      </c>
      <c r="I1356" s="22" t="s">
        <v>522</v>
      </c>
      <c r="J1356" s="22" t="s">
        <v>605</v>
      </c>
      <c r="K1356" s="22" t="s">
        <v>861</v>
      </c>
      <c r="L1356" s="35" t="s">
        <v>7105</v>
      </c>
      <c r="M1356" s="32" t="s">
        <v>95</v>
      </c>
    </row>
    <row r="1357">
      <c r="A1357" s="22" t="s">
        <v>2738</v>
      </c>
      <c r="B1357" s="22" t="s">
        <v>7106</v>
      </c>
      <c r="C1357" s="22" t="s">
        <v>7107</v>
      </c>
      <c r="D1357" s="22" t="s">
        <v>649</v>
      </c>
      <c r="E1357" s="22">
        <v>1.0</v>
      </c>
      <c r="F1357" s="22"/>
      <c r="G1357" s="22" t="s">
        <v>82</v>
      </c>
      <c r="H1357" s="26">
        <v>45997.0</v>
      </c>
      <c r="I1357" s="22" t="s">
        <v>196</v>
      </c>
      <c r="J1357" s="22" t="s">
        <v>319</v>
      </c>
      <c r="K1357" s="22" t="s">
        <v>651</v>
      </c>
      <c r="L1357" s="35" t="s">
        <v>7108</v>
      </c>
      <c r="M1357" s="32" t="s">
        <v>91</v>
      </c>
    </row>
    <row r="1358">
      <c r="A1358" s="22" t="s">
        <v>2739</v>
      </c>
      <c r="B1358" s="22" t="s">
        <v>7109</v>
      </c>
      <c r="C1358" s="22" t="s">
        <v>7110</v>
      </c>
      <c r="D1358" s="22" t="s">
        <v>108</v>
      </c>
      <c r="E1358" s="22">
        <v>1.0</v>
      </c>
      <c r="F1358" s="22"/>
      <c r="G1358" s="22" t="s">
        <v>273</v>
      </c>
      <c r="H1358" s="26">
        <v>45998.0</v>
      </c>
      <c r="I1358" s="22" t="s">
        <v>211</v>
      </c>
      <c r="J1358" s="22" t="s">
        <v>111</v>
      </c>
      <c r="K1358" s="22" t="s">
        <v>114</v>
      </c>
      <c r="L1358" s="35" t="s">
        <v>7111</v>
      </c>
      <c r="M1358" s="32" t="s">
        <v>54</v>
      </c>
    </row>
    <row r="1359">
      <c r="A1359" s="22" t="s">
        <v>2740</v>
      </c>
      <c r="B1359" s="22" t="s">
        <v>7112</v>
      </c>
      <c r="C1359" s="22" t="s">
        <v>7113</v>
      </c>
      <c r="D1359" s="22" t="s">
        <v>423</v>
      </c>
      <c r="E1359" s="22">
        <v>1.0</v>
      </c>
      <c r="F1359" s="22"/>
      <c r="G1359" s="22" t="s">
        <v>273</v>
      </c>
      <c r="H1359" s="26">
        <v>45998.0</v>
      </c>
      <c r="I1359" s="22" t="s">
        <v>134</v>
      </c>
      <c r="J1359" s="22" t="s">
        <v>369</v>
      </c>
      <c r="K1359" s="22" t="s">
        <v>427</v>
      </c>
      <c r="L1359" s="35" t="s">
        <v>7114</v>
      </c>
      <c r="M1359" s="32" t="s">
        <v>95</v>
      </c>
    </row>
    <row r="1360">
      <c r="A1360" s="22" t="s">
        <v>2724</v>
      </c>
      <c r="B1360" s="22" t="s">
        <v>3701</v>
      </c>
      <c r="C1360" s="22" t="s">
        <v>4841</v>
      </c>
      <c r="D1360" s="22" t="s">
        <v>141</v>
      </c>
      <c r="E1360" s="22">
        <v>1.0</v>
      </c>
      <c r="F1360" s="22"/>
      <c r="G1360" s="22" t="s">
        <v>202</v>
      </c>
      <c r="H1360" s="26">
        <v>45996.0</v>
      </c>
      <c r="I1360" s="22" t="s">
        <v>1400</v>
      </c>
      <c r="J1360" s="22" t="s">
        <v>83</v>
      </c>
      <c r="K1360" s="22" t="s">
        <v>143</v>
      </c>
      <c r="L1360" s="35" t="s">
        <v>7115</v>
      </c>
      <c r="M1360" s="32" t="s">
        <v>54</v>
      </c>
    </row>
    <row r="1361">
      <c r="A1361" s="22" t="s">
        <v>2726</v>
      </c>
      <c r="B1361" s="22" t="s">
        <v>7116</v>
      </c>
      <c r="C1361" s="22" t="s">
        <v>7117</v>
      </c>
      <c r="D1361" s="22" t="s">
        <v>166</v>
      </c>
      <c r="E1361" s="22">
        <v>1.0</v>
      </c>
      <c r="F1361" s="22"/>
      <c r="G1361" s="22" t="s">
        <v>273</v>
      </c>
      <c r="H1361" s="23">
        <v>45991.0</v>
      </c>
      <c r="I1361" s="22" t="s">
        <v>211</v>
      </c>
      <c r="J1361" s="22" t="s">
        <v>111</v>
      </c>
      <c r="K1361" s="22" t="s">
        <v>171</v>
      </c>
      <c r="L1361" s="35" t="s">
        <v>7118</v>
      </c>
      <c r="M1361" s="32" t="s">
        <v>55</v>
      </c>
    </row>
    <row r="1362">
      <c r="A1362" s="22" t="s">
        <v>2727</v>
      </c>
      <c r="B1362" s="22" t="s">
        <v>7119</v>
      </c>
      <c r="C1362" s="22" t="s">
        <v>7120</v>
      </c>
      <c r="D1362" s="22" t="s">
        <v>595</v>
      </c>
      <c r="E1362" s="22">
        <v>1.0</v>
      </c>
      <c r="F1362" s="22"/>
      <c r="G1362" s="22" t="s">
        <v>273</v>
      </c>
      <c r="H1362" s="26">
        <v>45998.0</v>
      </c>
      <c r="I1362" s="22" t="s">
        <v>138</v>
      </c>
      <c r="J1362" s="22" t="s">
        <v>369</v>
      </c>
      <c r="K1362" s="22" t="s">
        <v>599</v>
      </c>
      <c r="L1362" s="35" t="s">
        <v>7121</v>
      </c>
      <c r="M1362" s="32" t="s">
        <v>127</v>
      </c>
    </row>
    <row r="1363">
      <c r="A1363" s="22" t="s">
        <v>2742</v>
      </c>
      <c r="B1363" s="22" t="s">
        <v>7122</v>
      </c>
      <c r="C1363" s="22" t="s">
        <v>7123</v>
      </c>
      <c r="D1363" s="22" t="s">
        <v>124</v>
      </c>
      <c r="E1363" s="22">
        <v>1.0</v>
      </c>
      <c r="F1363" s="22"/>
      <c r="G1363" s="22" t="s">
        <v>336</v>
      </c>
      <c r="H1363" s="26">
        <v>45995.0</v>
      </c>
      <c r="I1363" s="22" t="s">
        <v>196</v>
      </c>
      <c r="J1363" s="22" t="s">
        <v>83</v>
      </c>
      <c r="K1363" s="22" t="s">
        <v>126</v>
      </c>
      <c r="L1363" s="35" t="s">
        <v>7124</v>
      </c>
      <c r="M1363" s="32" t="s">
        <v>127</v>
      </c>
    </row>
    <row r="1364">
      <c r="A1364" s="22" t="s">
        <v>2746</v>
      </c>
      <c r="B1364" s="22" t="s">
        <v>7125</v>
      </c>
      <c r="C1364" s="22" t="s">
        <v>7126</v>
      </c>
      <c r="D1364" s="22" t="s">
        <v>166</v>
      </c>
      <c r="E1364" s="22">
        <v>1.0</v>
      </c>
      <c r="F1364" s="22"/>
      <c r="G1364" s="22" t="s">
        <v>82</v>
      </c>
      <c r="H1364" s="26">
        <v>45997.0</v>
      </c>
      <c r="I1364" s="22" t="s">
        <v>119</v>
      </c>
      <c r="J1364" s="22" t="s">
        <v>111</v>
      </c>
      <c r="K1364" s="22" t="s">
        <v>171</v>
      </c>
      <c r="L1364" s="35" t="s">
        <v>7127</v>
      </c>
      <c r="M1364" s="32" t="s">
        <v>55</v>
      </c>
    </row>
    <row r="1365">
      <c r="A1365" s="22" t="s">
        <v>2747</v>
      </c>
      <c r="B1365" s="22" t="s">
        <v>7128</v>
      </c>
      <c r="C1365" s="22" t="s">
        <v>7129</v>
      </c>
      <c r="D1365" s="22" t="s">
        <v>80</v>
      </c>
      <c r="E1365" s="22">
        <v>1.0</v>
      </c>
      <c r="F1365" s="22"/>
      <c r="G1365" s="22" t="s">
        <v>273</v>
      </c>
      <c r="H1365" s="26">
        <v>45998.0</v>
      </c>
      <c r="I1365" s="22" t="s">
        <v>153</v>
      </c>
      <c r="J1365" s="22" t="s">
        <v>83</v>
      </c>
      <c r="K1365" s="22" t="s">
        <v>86</v>
      </c>
      <c r="L1365" s="35" t="s">
        <v>7130</v>
      </c>
      <c r="M1365" s="32" t="s">
        <v>91</v>
      </c>
    </row>
    <row r="1366">
      <c r="A1366" s="22" t="s">
        <v>2749</v>
      </c>
      <c r="B1366" s="22" t="s">
        <v>4318</v>
      </c>
      <c r="C1366" s="22" t="s">
        <v>4644</v>
      </c>
      <c r="D1366" s="22" t="s">
        <v>592</v>
      </c>
      <c r="E1366" s="22">
        <v>1.0</v>
      </c>
      <c r="F1366" s="22"/>
      <c r="G1366" s="22" t="s">
        <v>202</v>
      </c>
      <c r="H1366" s="26">
        <v>45996.0</v>
      </c>
      <c r="I1366" s="22" t="s">
        <v>149</v>
      </c>
      <c r="J1366" s="22" t="s">
        <v>311</v>
      </c>
      <c r="K1366" s="22" t="s">
        <v>594</v>
      </c>
      <c r="L1366" s="35" t="s">
        <v>7131</v>
      </c>
      <c r="M1366" s="32" t="s">
        <v>54</v>
      </c>
    </row>
    <row r="1367">
      <c r="A1367" s="22" t="s">
        <v>233</v>
      </c>
      <c r="B1367" s="22" t="s">
        <v>7132</v>
      </c>
      <c r="C1367" s="22" t="s">
        <v>7133</v>
      </c>
      <c r="D1367" s="22" t="s">
        <v>96</v>
      </c>
      <c r="E1367" s="22">
        <v>1.0</v>
      </c>
      <c r="F1367" s="22"/>
      <c r="G1367" s="22" t="s">
        <v>82</v>
      </c>
      <c r="H1367" s="23">
        <v>45990.0</v>
      </c>
      <c r="I1367" s="22" t="s">
        <v>149</v>
      </c>
      <c r="J1367" s="22" t="s">
        <v>83</v>
      </c>
      <c r="K1367" s="22" t="s">
        <v>98</v>
      </c>
      <c r="L1367" s="35" t="s">
        <v>7134</v>
      </c>
      <c r="M1367" s="32" t="s">
        <v>55</v>
      </c>
    </row>
    <row r="1368">
      <c r="A1368" s="22" t="s">
        <v>2788</v>
      </c>
      <c r="B1368" s="22" t="s">
        <v>4504</v>
      </c>
      <c r="C1368" s="22" t="s">
        <v>7135</v>
      </c>
      <c r="D1368" s="22" t="s">
        <v>1832</v>
      </c>
      <c r="E1368" s="22">
        <v>1.0</v>
      </c>
      <c r="F1368" s="22"/>
      <c r="G1368" s="22" t="s">
        <v>82</v>
      </c>
      <c r="H1368" s="26">
        <v>45997.0</v>
      </c>
      <c r="I1368" s="22" t="s">
        <v>187</v>
      </c>
      <c r="J1368" s="22" t="s">
        <v>698</v>
      </c>
      <c r="K1368" s="22" t="s">
        <v>1834</v>
      </c>
      <c r="L1368" s="35" t="s">
        <v>7136</v>
      </c>
      <c r="M1368" s="32" t="s">
        <v>91</v>
      </c>
    </row>
    <row r="1369">
      <c r="A1369" s="22" t="s">
        <v>2789</v>
      </c>
      <c r="B1369" s="22" t="s">
        <v>7137</v>
      </c>
      <c r="C1369" s="22" t="s">
        <v>7138</v>
      </c>
      <c r="D1369" s="22" t="s">
        <v>80</v>
      </c>
      <c r="E1369" s="22">
        <v>1.0</v>
      </c>
      <c r="F1369" s="22"/>
      <c r="G1369" s="22" t="s">
        <v>273</v>
      </c>
      <c r="H1369" s="23">
        <v>45991.0</v>
      </c>
      <c r="I1369" s="22" t="s">
        <v>145</v>
      </c>
      <c r="J1369" s="22" t="s">
        <v>83</v>
      </c>
      <c r="K1369" s="22" t="s">
        <v>86</v>
      </c>
      <c r="L1369" s="35" t="s">
        <v>7139</v>
      </c>
      <c r="M1369" s="32" t="s">
        <v>91</v>
      </c>
    </row>
    <row r="1370">
      <c r="A1370" s="22" t="s">
        <v>2790</v>
      </c>
      <c r="B1370" s="22" t="s">
        <v>4038</v>
      </c>
      <c r="C1370" s="22" t="s">
        <v>7140</v>
      </c>
      <c r="D1370" s="22" t="s">
        <v>401</v>
      </c>
      <c r="E1370" s="22">
        <v>1.0</v>
      </c>
      <c r="F1370" s="22"/>
      <c r="G1370" s="22" t="s">
        <v>82</v>
      </c>
      <c r="H1370" s="26">
        <v>45997.0</v>
      </c>
      <c r="I1370" s="22" t="s">
        <v>196</v>
      </c>
      <c r="J1370" s="22" t="s">
        <v>319</v>
      </c>
      <c r="K1370" s="22" t="s">
        <v>403</v>
      </c>
      <c r="L1370" s="35" t="s">
        <v>7141</v>
      </c>
      <c r="M1370" s="32" t="s">
        <v>127</v>
      </c>
    </row>
    <row r="1371">
      <c r="A1371" s="22" t="s">
        <v>2755</v>
      </c>
      <c r="B1371" s="22" t="s">
        <v>7142</v>
      </c>
      <c r="C1371" s="22" t="s">
        <v>6512</v>
      </c>
      <c r="D1371" s="22" t="s">
        <v>80</v>
      </c>
      <c r="E1371" s="22">
        <v>1.0</v>
      </c>
      <c r="F1371" s="22"/>
      <c r="G1371" s="22" t="s">
        <v>82</v>
      </c>
      <c r="H1371" s="26">
        <v>45997.0</v>
      </c>
      <c r="I1371" s="22" t="s">
        <v>153</v>
      </c>
      <c r="J1371" s="22" t="s">
        <v>83</v>
      </c>
      <c r="K1371" s="22" t="s">
        <v>86</v>
      </c>
      <c r="L1371" s="35" t="s">
        <v>7143</v>
      </c>
      <c r="M1371" s="32" t="s">
        <v>91</v>
      </c>
    </row>
    <row r="1372">
      <c r="A1372" s="22" t="s">
        <v>2756</v>
      </c>
      <c r="B1372" s="22" t="s">
        <v>3992</v>
      </c>
      <c r="C1372" s="22" t="s">
        <v>7144</v>
      </c>
      <c r="D1372" s="22" t="s">
        <v>912</v>
      </c>
      <c r="E1372" s="22">
        <v>1.0</v>
      </c>
      <c r="F1372" s="22"/>
      <c r="G1372" s="22" t="s">
        <v>82</v>
      </c>
      <c r="H1372" s="23">
        <v>46004.0</v>
      </c>
      <c r="I1372" s="22" t="s">
        <v>153</v>
      </c>
      <c r="J1372" s="22" t="s">
        <v>377</v>
      </c>
      <c r="K1372" s="22" t="s">
        <v>914</v>
      </c>
      <c r="L1372" s="35" t="s">
        <v>7145</v>
      </c>
      <c r="M1372" s="32" t="s">
        <v>54</v>
      </c>
    </row>
    <row r="1373">
      <c r="A1373" s="22" t="s">
        <v>2757</v>
      </c>
      <c r="B1373" s="22" t="s">
        <v>7146</v>
      </c>
      <c r="C1373" s="22" t="s">
        <v>7147</v>
      </c>
      <c r="D1373" s="22" t="s">
        <v>141</v>
      </c>
      <c r="E1373" s="22">
        <v>1.0</v>
      </c>
      <c r="F1373" s="22"/>
      <c r="G1373" s="22" t="s">
        <v>82</v>
      </c>
      <c r="H1373" s="26">
        <v>45997.0</v>
      </c>
      <c r="I1373" s="22" t="s">
        <v>138</v>
      </c>
      <c r="J1373" s="22" t="s">
        <v>83</v>
      </c>
      <c r="K1373" s="22" t="s">
        <v>143</v>
      </c>
      <c r="L1373" s="35" t="s">
        <v>7148</v>
      </c>
      <c r="M1373" s="32" t="s">
        <v>54</v>
      </c>
    </row>
    <row r="1374">
      <c r="A1374" s="22" t="s">
        <v>2758</v>
      </c>
      <c r="B1374" s="22" t="s">
        <v>7149</v>
      </c>
      <c r="C1374" s="22" t="s">
        <v>7150</v>
      </c>
      <c r="D1374" s="22" t="s">
        <v>692</v>
      </c>
      <c r="E1374" s="22">
        <v>1.0</v>
      </c>
      <c r="F1374" s="22"/>
      <c r="G1374" s="22" t="s">
        <v>273</v>
      </c>
      <c r="H1374" s="26">
        <v>45998.0</v>
      </c>
      <c r="I1374" s="22" t="s">
        <v>153</v>
      </c>
      <c r="J1374" s="22" t="s">
        <v>369</v>
      </c>
      <c r="K1374" s="22" t="s">
        <v>694</v>
      </c>
      <c r="L1374" s="35" t="s">
        <v>7151</v>
      </c>
      <c r="M1374" s="32" t="s">
        <v>54</v>
      </c>
    </row>
    <row r="1375">
      <c r="A1375" s="22" t="s">
        <v>2759</v>
      </c>
      <c r="B1375" s="22" t="s">
        <v>4971</v>
      </c>
      <c r="C1375" s="22" t="s">
        <v>7152</v>
      </c>
      <c r="D1375" s="22" t="s">
        <v>375</v>
      </c>
      <c r="E1375" s="22">
        <v>1.0</v>
      </c>
      <c r="F1375" s="22"/>
      <c r="G1375" s="22" t="s">
        <v>82</v>
      </c>
      <c r="H1375" s="23">
        <v>46004.0</v>
      </c>
      <c r="I1375" s="22" t="s">
        <v>134</v>
      </c>
      <c r="J1375" s="22" t="s">
        <v>377</v>
      </c>
      <c r="K1375" s="22" t="s">
        <v>380</v>
      </c>
      <c r="L1375" s="35" t="s">
        <v>7153</v>
      </c>
      <c r="M1375" s="32" t="s">
        <v>55</v>
      </c>
    </row>
    <row r="1376">
      <c r="A1376" s="22" t="s">
        <v>2760</v>
      </c>
      <c r="B1376" s="22" t="s">
        <v>3674</v>
      </c>
      <c r="C1376" s="22" t="s">
        <v>7154</v>
      </c>
      <c r="D1376" s="22" t="s">
        <v>885</v>
      </c>
      <c r="E1376" s="22">
        <v>1.0</v>
      </c>
      <c r="F1376" s="22"/>
      <c r="G1376" s="22" t="s">
        <v>82</v>
      </c>
      <c r="H1376" s="26">
        <v>45997.0</v>
      </c>
      <c r="I1376" s="22" t="s">
        <v>1073</v>
      </c>
      <c r="J1376" s="22" t="s">
        <v>605</v>
      </c>
      <c r="K1376" s="22" t="s">
        <v>890</v>
      </c>
      <c r="L1376" s="35" t="s">
        <v>7155</v>
      </c>
      <c r="M1376" s="32" t="s">
        <v>127</v>
      </c>
    </row>
    <row r="1377">
      <c r="A1377" s="22" t="s">
        <v>2762</v>
      </c>
      <c r="B1377" s="22" t="s">
        <v>7156</v>
      </c>
      <c r="C1377" s="22" t="s">
        <v>7157</v>
      </c>
      <c r="D1377" s="22" t="s">
        <v>80</v>
      </c>
      <c r="E1377" s="22">
        <v>1.0</v>
      </c>
      <c r="F1377" s="22"/>
      <c r="G1377" s="22" t="s">
        <v>202</v>
      </c>
      <c r="H1377" s="26">
        <v>45996.0</v>
      </c>
      <c r="I1377" s="22" t="s">
        <v>138</v>
      </c>
      <c r="J1377" s="22" t="s">
        <v>83</v>
      </c>
      <c r="K1377" s="22" t="s">
        <v>86</v>
      </c>
      <c r="L1377" s="35" t="s">
        <v>7158</v>
      </c>
      <c r="M1377" s="32" t="s">
        <v>91</v>
      </c>
    </row>
    <row r="1378">
      <c r="A1378" s="22" t="s">
        <v>2764</v>
      </c>
      <c r="B1378" s="22" t="s">
        <v>3805</v>
      </c>
      <c r="C1378" s="22" t="s">
        <v>7159</v>
      </c>
      <c r="D1378" s="22" t="s">
        <v>80</v>
      </c>
      <c r="E1378" s="22">
        <v>1.0</v>
      </c>
      <c r="F1378" s="22"/>
      <c r="G1378" s="22" t="s">
        <v>82</v>
      </c>
      <c r="H1378" s="26">
        <v>45997.0</v>
      </c>
      <c r="I1378" s="22" t="s">
        <v>224</v>
      </c>
      <c r="J1378" s="22" t="s">
        <v>83</v>
      </c>
      <c r="K1378" s="22" t="s">
        <v>86</v>
      </c>
      <c r="L1378" s="35" t="s">
        <v>7160</v>
      </c>
      <c r="M1378" s="32" t="s">
        <v>91</v>
      </c>
    </row>
    <row r="1379">
      <c r="A1379" s="22" t="s">
        <v>2765</v>
      </c>
      <c r="B1379" s="22" t="s">
        <v>3671</v>
      </c>
      <c r="C1379" s="22" t="s">
        <v>7161</v>
      </c>
      <c r="D1379" s="22" t="s">
        <v>96</v>
      </c>
      <c r="E1379" s="22">
        <v>1.0</v>
      </c>
      <c r="F1379" s="22"/>
      <c r="G1379" s="22" t="s">
        <v>202</v>
      </c>
      <c r="H1379" s="26">
        <v>45996.0</v>
      </c>
      <c r="I1379" s="22" t="s">
        <v>192</v>
      </c>
      <c r="J1379" s="22" t="s">
        <v>83</v>
      </c>
      <c r="K1379" s="22" t="s">
        <v>98</v>
      </c>
      <c r="L1379" s="35" t="s">
        <v>7162</v>
      </c>
      <c r="M1379" s="32" t="s">
        <v>55</v>
      </c>
    </row>
    <row r="1380">
      <c r="A1380" s="22" t="s">
        <v>2766</v>
      </c>
      <c r="B1380" s="22" t="s">
        <v>3883</v>
      </c>
      <c r="C1380" s="22" t="s">
        <v>7163</v>
      </c>
      <c r="D1380" s="22" t="s">
        <v>789</v>
      </c>
      <c r="E1380" s="22">
        <v>1.0</v>
      </c>
      <c r="F1380" s="22"/>
      <c r="G1380" s="22" t="s">
        <v>82</v>
      </c>
      <c r="H1380" s="26">
        <v>45997.0</v>
      </c>
      <c r="I1380" s="22" t="s">
        <v>1131</v>
      </c>
      <c r="J1380" s="22" t="s">
        <v>605</v>
      </c>
      <c r="K1380" s="22" t="s">
        <v>794</v>
      </c>
      <c r="L1380" s="35" t="s">
        <v>7164</v>
      </c>
      <c r="M1380" s="32" t="s">
        <v>105</v>
      </c>
    </row>
    <row r="1381">
      <c r="A1381" s="22" t="s">
        <v>2768</v>
      </c>
      <c r="B1381" s="22" t="s">
        <v>4827</v>
      </c>
      <c r="C1381" s="22" t="s">
        <v>7165</v>
      </c>
      <c r="D1381" s="22" t="s">
        <v>401</v>
      </c>
      <c r="E1381" s="22">
        <v>1.0</v>
      </c>
      <c r="F1381" s="22"/>
      <c r="G1381" s="22" t="s">
        <v>82</v>
      </c>
      <c r="H1381" s="26">
        <v>45997.0</v>
      </c>
      <c r="I1381" s="22" t="s">
        <v>1131</v>
      </c>
      <c r="J1381" s="22" t="s">
        <v>319</v>
      </c>
      <c r="K1381" s="22" t="s">
        <v>403</v>
      </c>
      <c r="L1381" s="35" t="s">
        <v>7166</v>
      </c>
      <c r="M1381" s="32" t="s">
        <v>127</v>
      </c>
    </row>
    <row r="1382">
      <c r="A1382" s="22" t="s">
        <v>2768</v>
      </c>
      <c r="B1382" s="22" t="s">
        <v>4827</v>
      </c>
      <c r="C1382" s="22" t="s">
        <v>7165</v>
      </c>
      <c r="D1382" s="25"/>
      <c r="E1382" s="25"/>
      <c r="F1382" s="22"/>
      <c r="G1382" s="22" t="s">
        <v>82</v>
      </c>
      <c r="H1382" s="26">
        <v>45997.0</v>
      </c>
      <c r="I1382" s="22" t="s">
        <v>1131</v>
      </c>
      <c r="J1382" s="22" t="s">
        <v>319</v>
      </c>
      <c r="K1382" s="22" t="s">
        <v>2770</v>
      </c>
      <c r="L1382" s="35" t="s">
        <v>7167</v>
      </c>
    </row>
    <row r="1383">
      <c r="A1383" s="22" t="s">
        <v>236</v>
      </c>
      <c r="B1383" s="22" t="s">
        <v>3909</v>
      </c>
      <c r="C1383" s="22" t="s">
        <v>7168</v>
      </c>
      <c r="D1383" s="22" t="s">
        <v>141</v>
      </c>
      <c r="E1383" s="22">
        <v>1.0</v>
      </c>
      <c r="F1383" s="22"/>
      <c r="G1383" s="22" t="s">
        <v>82</v>
      </c>
      <c r="H1383" s="23">
        <v>45990.0</v>
      </c>
      <c r="I1383" s="22" t="s">
        <v>235</v>
      </c>
      <c r="J1383" s="22" t="s">
        <v>83</v>
      </c>
      <c r="K1383" s="22" t="s">
        <v>143</v>
      </c>
      <c r="L1383" s="35" t="s">
        <v>7169</v>
      </c>
      <c r="M1383" s="32" t="s">
        <v>54</v>
      </c>
    </row>
    <row r="1384">
      <c r="A1384" s="22" t="s">
        <v>2771</v>
      </c>
      <c r="B1384" s="22" t="s">
        <v>7170</v>
      </c>
      <c r="C1384" s="22" t="s">
        <v>6046</v>
      </c>
      <c r="D1384" s="22" t="s">
        <v>696</v>
      </c>
      <c r="E1384" s="22">
        <v>1.0</v>
      </c>
      <c r="F1384" s="22"/>
      <c r="G1384" s="22" t="s">
        <v>82</v>
      </c>
      <c r="H1384" s="26">
        <v>45997.0</v>
      </c>
      <c r="I1384" s="22" t="s">
        <v>975</v>
      </c>
      <c r="J1384" s="22" t="s">
        <v>698</v>
      </c>
      <c r="K1384" s="22" t="s">
        <v>701</v>
      </c>
      <c r="L1384" s="35" t="s">
        <v>7171</v>
      </c>
      <c r="M1384" s="32" t="s">
        <v>55</v>
      </c>
    </row>
    <row r="1385">
      <c r="A1385" s="22" t="s">
        <v>2772</v>
      </c>
      <c r="B1385" s="22" t="s">
        <v>7172</v>
      </c>
      <c r="C1385" s="22" t="s">
        <v>7173</v>
      </c>
      <c r="D1385" s="22" t="s">
        <v>1269</v>
      </c>
      <c r="E1385" s="22">
        <v>1.0</v>
      </c>
      <c r="F1385" s="22"/>
      <c r="G1385" s="22" t="s">
        <v>273</v>
      </c>
      <c r="H1385" s="23">
        <v>45991.0</v>
      </c>
      <c r="I1385" s="22" t="s">
        <v>149</v>
      </c>
      <c r="J1385" s="22" t="s">
        <v>356</v>
      </c>
      <c r="K1385" s="22" t="s">
        <v>1271</v>
      </c>
      <c r="L1385" s="35" t="s">
        <v>7174</v>
      </c>
      <c r="M1385" s="32" t="s">
        <v>105</v>
      </c>
    </row>
    <row r="1386">
      <c r="A1386" s="22" t="s">
        <v>2773</v>
      </c>
      <c r="B1386" s="22" t="s">
        <v>7175</v>
      </c>
      <c r="C1386" s="22" t="s">
        <v>7176</v>
      </c>
      <c r="D1386" s="22" t="s">
        <v>80</v>
      </c>
      <c r="E1386" s="22">
        <v>1.0</v>
      </c>
      <c r="F1386" s="22"/>
      <c r="G1386" s="22" t="s">
        <v>82</v>
      </c>
      <c r="H1386" s="26">
        <v>45997.0</v>
      </c>
      <c r="I1386" s="22" t="s">
        <v>224</v>
      </c>
      <c r="J1386" s="22" t="s">
        <v>83</v>
      </c>
      <c r="K1386" s="22" t="s">
        <v>86</v>
      </c>
      <c r="L1386" s="35" t="s">
        <v>7177</v>
      </c>
      <c r="M1386" s="32" t="s">
        <v>91</v>
      </c>
    </row>
    <row r="1387">
      <c r="A1387" s="22" t="s">
        <v>2774</v>
      </c>
      <c r="B1387" s="22" t="s">
        <v>3820</v>
      </c>
      <c r="C1387" s="22" t="s">
        <v>7178</v>
      </c>
      <c r="D1387" s="22" t="s">
        <v>309</v>
      </c>
      <c r="E1387" s="22">
        <v>1.0</v>
      </c>
      <c r="F1387" s="22"/>
      <c r="G1387" s="22" t="s">
        <v>287</v>
      </c>
      <c r="H1387" s="23">
        <v>46001.0</v>
      </c>
      <c r="I1387" s="22" t="s">
        <v>134</v>
      </c>
      <c r="J1387" s="22" t="s">
        <v>311</v>
      </c>
      <c r="K1387" s="22" t="s">
        <v>314</v>
      </c>
      <c r="L1387" s="35" t="s">
        <v>7179</v>
      </c>
      <c r="M1387" s="32" t="s">
        <v>105</v>
      </c>
    </row>
    <row r="1388">
      <c r="A1388" s="22" t="s">
        <v>2775</v>
      </c>
      <c r="B1388" s="22" t="s">
        <v>5438</v>
      </c>
      <c r="C1388" s="22" t="s">
        <v>7180</v>
      </c>
      <c r="D1388" s="22" t="s">
        <v>463</v>
      </c>
      <c r="E1388" s="22">
        <v>1.0</v>
      </c>
      <c r="F1388" s="22"/>
      <c r="G1388" s="22" t="s">
        <v>273</v>
      </c>
      <c r="H1388" s="26">
        <v>45998.0</v>
      </c>
      <c r="I1388" s="22" t="s">
        <v>134</v>
      </c>
      <c r="J1388" s="22" t="s">
        <v>303</v>
      </c>
      <c r="K1388" s="22" t="s">
        <v>467</v>
      </c>
      <c r="L1388" s="35" t="s">
        <v>7181</v>
      </c>
      <c r="M1388" s="32" t="s">
        <v>105</v>
      </c>
    </row>
    <row r="1389">
      <c r="A1389" s="22" t="s">
        <v>2776</v>
      </c>
      <c r="B1389" s="22" t="s">
        <v>7182</v>
      </c>
      <c r="C1389" s="22" t="s">
        <v>7183</v>
      </c>
      <c r="D1389" s="22" t="s">
        <v>141</v>
      </c>
      <c r="E1389" s="22">
        <v>1.0</v>
      </c>
      <c r="F1389" s="22"/>
      <c r="G1389" s="22" t="s">
        <v>202</v>
      </c>
      <c r="H1389" s="26">
        <v>45996.0</v>
      </c>
      <c r="I1389" s="22" t="s">
        <v>192</v>
      </c>
      <c r="J1389" s="22" t="s">
        <v>83</v>
      </c>
      <c r="K1389" s="22" t="s">
        <v>143</v>
      </c>
      <c r="L1389" s="35" t="s">
        <v>7184</v>
      </c>
      <c r="M1389" s="32" t="s">
        <v>54</v>
      </c>
    </row>
    <row r="1390">
      <c r="A1390" s="22" t="s">
        <v>2777</v>
      </c>
      <c r="B1390" s="22" t="s">
        <v>7185</v>
      </c>
      <c r="C1390" s="22" t="s">
        <v>7186</v>
      </c>
      <c r="D1390" s="22" t="s">
        <v>96</v>
      </c>
      <c r="E1390" s="22">
        <v>1.0</v>
      </c>
      <c r="F1390" s="22"/>
      <c r="G1390" s="22" t="s">
        <v>202</v>
      </c>
      <c r="H1390" s="26">
        <v>45996.0</v>
      </c>
      <c r="I1390" s="22" t="s">
        <v>134</v>
      </c>
      <c r="J1390" s="22" t="s">
        <v>83</v>
      </c>
      <c r="K1390" s="22" t="s">
        <v>98</v>
      </c>
      <c r="L1390" s="35" t="s">
        <v>7187</v>
      </c>
      <c r="M1390" s="32" t="s">
        <v>55</v>
      </c>
    </row>
    <row r="1391">
      <c r="A1391" s="22" t="s">
        <v>2778</v>
      </c>
      <c r="B1391" s="22" t="s">
        <v>7188</v>
      </c>
      <c r="C1391" s="22" t="s">
        <v>7189</v>
      </c>
      <c r="D1391" s="22" t="s">
        <v>80</v>
      </c>
      <c r="E1391" s="22">
        <v>1.0</v>
      </c>
      <c r="F1391" s="22"/>
      <c r="G1391" s="22" t="s">
        <v>82</v>
      </c>
      <c r="H1391" s="26">
        <v>45997.0</v>
      </c>
      <c r="I1391" s="22" t="s">
        <v>153</v>
      </c>
      <c r="J1391" s="22" t="s">
        <v>83</v>
      </c>
      <c r="K1391" s="22" t="s">
        <v>86</v>
      </c>
      <c r="L1391" s="35" t="s">
        <v>7190</v>
      </c>
      <c r="M1391" s="32" t="s">
        <v>91</v>
      </c>
    </row>
    <row r="1392">
      <c r="A1392" s="22" t="s">
        <v>2779</v>
      </c>
      <c r="B1392" s="22" t="s">
        <v>4421</v>
      </c>
      <c r="C1392" s="22" t="s">
        <v>7191</v>
      </c>
      <c r="D1392" s="22" t="s">
        <v>401</v>
      </c>
      <c r="E1392" s="22">
        <v>1.0</v>
      </c>
      <c r="F1392" s="22"/>
      <c r="G1392" s="22" t="s">
        <v>82</v>
      </c>
      <c r="H1392" s="26">
        <v>45997.0</v>
      </c>
      <c r="I1392" s="22" t="s">
        <v>196</v>
      </c>
      <c r="J1392" s="22" t="s">
        <v>319</v>
      </c>
      <c r="K1392" s="22" t="s">
        <v>403</v>
      </c>
      <c r="L1392" s="35" t="s">
        <v>7192</v>
      </c>
      <c r="M1392" s="32" t="s">
        <v>127</v>
      </c>
    </row>
    <row r="1393">
      <c r="A1393" s="22" t="s">
        <v>238</v>
      </c>
      <c r="B1393" s="22" t="s">
        <v>7193</v>
      </c>
      <c r="C1393" s="22" t="s">
        <v>7194</v>
      </c>
      <c r="D1393" s="22" t="s">
        <v>124</v>
      </c>
      <c r="E1393" s="22">
        <v>1.0</v>
      </c>
      <c r="F1393" s="22"/>
      <c r="G1393" s="22" t="s">
        <v>82</v>
      </c>
      <c r="H1393" s="23">
        <v>45990.0</v>
      </c>
      <c r="I1393" s="22" t="s">
        <v>134</v>
      </c>
      <c r="J1393" s="22" t="s">
        <v>83</v>
      </c>
      <c r="K1393" s="22" t="s">
        <v>126</v>
      </c>
      <c r="L1393" s="35" t="s">
        <v>7195</v>
      </c>
      <c r="M1393" s="32" t="s">
        <v>127</v>
      </c>
    </row>
    <row r="1394">
      <c r="A1394" s="22" t="s">
        <v>2780</v>
      </c>
      <c r="B1394" s="22" t="s">
        <v>5288</v>
      </c>
      <c r="C1394" s="22" t="s">
        <v>3930</v>
      </c>
      <c r="D1394" s="22" t="s">
        <v>1634</v>
      </c>
      <c r="E1394" s="22">
        <v>1.0</v>
      </c>
      <c r="F1394" s="22"/>
      <c r="G1394" s="22" t="s">
        <v>82</v>
      </c>
      <c r="H1394" s="26">
        <v>45997.0</v>
      </c>
      <c r="I1394" s="22" t="s">
        <v>841</v>
      </c>
      <c r="J1394" s="22" t="s">
        <v>1466</v>
      </c>
      <c r="K1394" s="22" t="s">
        <v>1639</v>
      </c>
      <c r="L1394" s="35" t="s">
        <v>7196</v>
      </c>
      <c r="M1394" s="32" t="s">
        <v>105</v>
      </c>
    </row>
    <row r="1395">
      <c r="A1395" s="22" t="s">
        <v>2781</v>
      </c>
      <c r="B1395" s="22" t="s">
        <v>5699</v>
      </c>
      <c r="C1395" s="22" t="s">
        <v>7197</v>
      </c>
      <c r="D1395" s="22" t="s">
        <v>584</v>
      </c>
      <c r="E1395" s="22">
        <v>1.0</v>
      </c>
      <c r="F1395" s="22"/>
      <c r="G1395" s="22" t="s">
        <v>82</v>
      </c>
      <c r="H1395" s="26">
        <v>45997.0</v>
      </c>
      <c r="I1395" s="22" t="s">
        <v>134</v>
      </c>
      <c r="J1395" s="22" t="s">
        <v>377</v>
      </c>
      <c r="K1395" s="22" t="s">
        <v>586</v>
      </c>
      <c r="L1395" s="35" t="s">
        <v>7198</v>
      </c>
      <c r="M1395" s="32" t="s">
        <v>105</v>
      </c>
    </row>
    <row r="1396">
      <c r="A1396" s="22" t="s">
        <v>2781</v>
      </c>
      <c r="B1396" s="22" t="s">
        <v>5699</v>
      </c>
      <c r="C1396" s="22" t="s">
        <v>7197</v>
      </c>
      <c r="D1396" s="25"/>
      <c r="E1396" s="25"/>
      <c r="F1396" s="22"/>
      <c r="G1396" s="22" t="s">
        <v>82</v>
      </c>
      <c r="H1396" s="26">
        <v>45997.0</v>
      </c>
      <c r="I1396" s="22" t="s">
        <v>134</v>
      </c>
      <c r="J1396" s="22" t="s">
        <v>377</v>
      </c>
      <c r="K1396" s="22" t="s">
        <v>767</v>
      </c>
      <c r="L1396" s="35" t="s">
        <v>7199</v>
      </c>
    </row>
    <row r="1397">
      <c r="A1397" s="22" t="s">
        <v>239</v>
      </c>
      <c r="B1397" s="22" t="s">
        <v>3855</v>
      </c>
      <c r="C1397" s="22" t="s">
        <v>7200</v>
      </c>
      <c r="D1397" s="22" t="s">
        <v>141</v>
      </c>
      <c r="E1397" s="22">
        <v>1.0</v>
      </c>
      <c r="F1397" s="22"/>
      <c r="G1397" s="22" t="s">
        <v>82</v>
      </c>
      <c r="H1397" s="23">
        <v>45990.0</v>
      </c>
      <c r="I1397" s="22" t="s">
        <v>138</v>
      </c>
      <c r="J1397" s="22" t="s">
        <v>83</v>
      </c>
      <c r="K1397" s="22" t="s">
        <v>143</v>
      </c>
      <c r="L1397" s="35" t="s">
        <v>7201</v>
      </c>
      <c r="M1397" s="32" t="s">
        <v>54</v>
      </c>
    </row>
    <row r="1398">
      <c r="A1398" s="22" t="s">
        <v>2782</v>
      </c>
      <c r="B1398" s="22" t="s">
        <v>3808</v>
      </c>
      <c r="C1398" s="22" t="s">
        <v>7202</v>
      </c>
      <c r="D1398" s="22" t="s">
        <v>560</v>
      </c>
      <c r="E1398" s="22">
        <v>1.0</v>
      </c>
      <c r="F1398" s="22"/>
      <c r="G1398" s="22" t="s">
        <v>273</v>
      </c>
      <c r="H1398" s="23">
        <v>45991.0</v>
      </c>
      <c r="I1398" s="22" t="s">
        <v>149</v>
      </c>
      <c r="J1398" s="22" t="s">
        <v>356</v>
      </c>
      <c r="K1398" s="22" t="s">
        <v>563</v>
      </c>
      <c r="L1398" s="35" t="s">
        <v>7203</v>
      </c>
      <c r="M1398" s="32" t="s">
        <v>91</v>
      </c>
    </row>
    <row r="1399">
      <c r="A1399" s="22" t="s">
        <v>2783</v>
      </c>
      <c r="B1399" s="22" t="s">
        <v>7204</v>
      </c>
      <c r="C1399" s="22" t="s">
        <v>3944</v>
      </c>
      <c r="D1399" s="22" t="s">
        <v>828</v>
      </c>
      <c r="E1399" s="22">
        <v>1.0</v>
      </c>
      <c r="F1399" s="22"/>
      <c r="G1399" s="22" t="s">
        <v>82</v>
      </c>
      <c r="H1399" s="26">
        <v>45997.0</v>
      </c>
      <c r="I1399" s="22" t="s">
        <v>177</v>
      </c>
      <c r="J1399" s="22" t="s">
        <v>634</v>
      </c>
      <c r="K1399" s="22" t="s">
        <v>830</v>
      </c>
      <c r="L1399" s="35" t="s">
        <v>7205</v>
      </c>
      <c r="M1399" s="32" t="s">
        <v>95</v>
      </c>
    </row>
    <row r="1400">
      <c r="A1400" s="22" t="s">
        <v>2784</v>
      </c>
      <c r="B1400" s="22" t="s">
        <v>7206</v>
      </c>
      <c r="C1400" s="22" t="s">
        <v>7207</v>
      </c>
      <c r="D1400" s="22" t="s">
        <v>354</v>
      </c>
      <c r="E1400" s="22">
        <v>1.0</v>
      </c>
      <c r="F1400" s="22"/>
      <c r="G1400" s="22" t="s">
        <v>273</v>
      </c>
      <c r="H1400" s="23">
        <v>45991.0</v>
      </c>
      <c r="I1400" s="22" t="s">
        <v>149</v>
      </c>
      <c r="J1400" s="22" t="s">
        <v>356</v>
      </c>
      <c r="K1400" s="22" t="s">
        <v>359</v>
      </c>
      <c r="L1400" s="35" t="s">
        <v>7208</v>
      </c>
      <c r="M1400" s="32" t="s">
        <v>54</v>
      </c>
    </row>
    <row r="1401">
      <c r="A1401" s="22" t="s">
        <v>2785</v>
      </c>
      <c r="B1401" s="22" t="s">
        <v>3734</v>
      </c>
      <c r="C1401" s="22" t="s">
        <v>7209</v>
      </c>
      <c r="D1401" s="22" t="s">
        <v>375</v>
      </c>
      <c r="E1401" s="22">
        <v>1.0</v>
      </c>
      <c r="F1401" s="22"/>
      <c r="G1401" s="22" t="s">
        <v>82</v>
      </c>
      <c r="H1401" s="26">
        <v>45997.0</v>
      </c>
      <c r="I1401" s="22" t="s">
        <v>145</v>
      </c>
      <c r="J1401" s="22" t="s">
        <v>377</v>
      </c>
      <c r="K1401" s="22" t="s">
        <v>380</v>
      </c>
      <c r="L1401" s="35" t="s">
        <v>7210</v>
      </c>
      <c r="M1401" s="32" t="s">
        <v>55</v>
      </c>
    </row>
    <row r="1402">
      <c r="A1402" s="22" t="s">
        <v>2786</v>
      </c>
      <c r="B1402" s="22" t="s">
        <v>4700</v>
      </c>
      <c r="C1402" s="22" t="s">
        <v>7211</v>
      </c>
      <c r="D1402" s="22" t="s">
        <v>354</v>
      </c>
      <c r="E1402" s="22">
        <v>1.0</v>
      </c>
      <c r="F1402" s="22"/>
      <c r="G1402" s="22" t="s">
        <v>273</v>
      </c>
      <c r="H1402" s="23">
        <v>45991.0</v>
      </c>
      <c r="I1402" s="22" t="s">
        <v>149</v>
      </c>
      <c r="J1402" s="22" t="s">
        <v>356</v>
      </c>
      <c r="K1402" s="22" t="s">
        <v>359</v>
      </c>
      <c r="L1402" s="35" t="s">
        <v>7212</v>
      </c>
      <c r="M1402" s="32" t="s">
        <v>54</v>
      </c>
    </row>
    <row r="1403">
      <c r="A1403" s="22" t="s">
        <v>7213</v>
      </c>
      <c r="B1403" s="22" t="s">
        <v>4382</v>
      </c>
      <c r="C1403" s="22" t="s">
        <v>7214</v>
      </c>
      <c r="D1403" s="22" t="s">
        <v>4324</v>
      </c>
      <c r="E1403" s="22">
        <v>1.0</v>
      </c>
      <c r="F1403" s="22"/>
      <c r="G1403" s="22" t="s">
        <v>202</v>
      </c>
      <c r="H1403" s="26">
        <v>45996.0</v>
      </c>
      <c r="I1403" s="22" t="s">
        <v>981</v>
      </c>
      <c r="J1403" s="22" t="s">
        <v>4325</v>
      </c>
      <c r="K1403" s="22" t="s">
        <v>4326</v>
      </c>
      <c r="L1403" s="35" t="s">
        <v>7215</v>
      </c>
      <c r="M1403" s="32" t="s">
        <v>54</v>
      </c>
    </row>
    <row r="1404">
      <c r="A1404" s="22" t="s">
        <v>2787</v>
      </c>
      <c r="B1404" s="22" t="s">
        <v>7216</v>
      </c>
      <c r="C1404" s="22" t="s">
        <v>7217</v>
      </c>
      <c r="D1404" s="22" t="s">
        <v>924</v>
      </c>
      <c r="E1404" s="22">
        <v>1.0</v>
      </c>
      <c r="F1404" s="22"/>
      <c r="G1404" s="22" t="s">
        <v>273</v>
      </c>
      <c r="H1404" s="26">
        <v>45998.0</v>
      </c>
      <c r="I1404" s="22" t="s">
        <v>149</v>
      </c>
      <c r="J1404" s="22" t="s">
        <v>623</v>
      </c>
      <c r="K1404" s="22" t="s">
        <v>926</v>
      </c>
      <c r="L1404" s="35" t="s">
        <v>7218</v>
      </c>
      <c r="M1404" s="32" t="s">
        <v>55</v>
      </c>
    </row>
    <row r="1405">
      <c r="A1405" s="22" t="s">
        <v>2791</v>
      </c>
      <c r="B1405" s="22" t="s">
        <v>7219</v>
      </c>
      <c r="C1405" s="22" t="s">
        <v>4351</v>
      </c>
      <c r="D1405" s="22" t="s">
        <v>732</v>
      </c>
      <c r="E1405" s="22">
        <v>1.0</v>
      </c>
      <c r="F1405" s="22"/>
      <c r="G1405" s="22" t="s">
        <v>82</v>
      </c>
      <c r="H1405" s="26">
        <v>45997.0</v>
      </c>
      <c r="I1405" s="22" t="s">
        <v>177</v>
      </c>
      <c r="J1405" s="22" t="s">
        <v>634</v>
      </c>
      <c r="K1405" s="22" t="s">
        <v>737</v>
      </c>
      <c r="L1405" s="35" t="s">
        <v>7220</v>
      </c>
      <c r="M1405" s="32" t="s">
        <v>105</v>
      </c>
    </row>
    <row r="1406">
      <c r="A1406" s="22" t="s">
        <v>244</v>
      </c>
      <c r="B1406" s="22" t="s">
        <v>7221</v>
      </c>
      <c r="C1406" s="22" t="s">
        <v>3856</v>
      </c>
      <c r="D1406" s="22" t="s">
        <v>99</v>
      </c>
      <c r="E1406" s="22">
        <v>1.0</v>
      </c>
      <c r="F1406" s="22"/>
      <c r="G1406" s="22" t="s">
        <v>82</v>
      </c>
      <c r="H1406" s="23">
        <v>45990.0</v>
      </c>
      <c r="I1406" s="22" t="s">
        <v>243</v>
      </c>
      <c r="J1406" s="22" t="s">
        <v>83</v>
      </c>
      <c r="K1406" s="22" t="s">
        <v>102</v>
      </c>
      <c r="L1406" s="35" t="s">
        <v>7222</v>
      </c>
      <c r="M1406" s="32" t="s">
        <v>105</v>
      </c>
    </row>
    <row r="1407">
      <c r="A1407" s="22" t="s">
        <v>2744</v>
      </c>
      <c r="B1407" s="22" t="s">
        <v>7223</v>
      </c>
      <c r="C1407" s="22" t="s">
        <v>7224</v>
      </c>
      <c r="D1407" s="22" t="s">
        <v>478</v>
      </c>
      <c r="E1407" s="22">
        <v>1.0</v>
      </c>
      <c r="F1407" s="22"/>
      <c r="G1407" s="22" t="s">
        <v>273</v>
      </c>
      <c r="H1407" s="26">
        <v>45998.0</v>
      </c>
      <c r="I1407" s="22" t="s">
        <v>134</v>
      </c>
      <c r="J1407" s="22" t="s">
        <v>472</v>
      </c>
      <c r="K1407" s="22" t="s">
        <v>483</v>
      </c>
      <c r="L1407" s="35" t="s">
        <v>7225</v>
      </c>
      <c r="M1407" s="32" t="s">
        <v>95</v>
      </c>
    </row>
    <row r="1408">
      <c r="A1408" s="22" t="s">
        <v>2745</v>
      </c>
      <c r="B1408" s="22" t="s">
        <v>4455</v>
      </c>
      <c r="C1408" s="22" t="s">
        <v>7226</v>
      </c>
      <c r="D1408" s="22" t="s">
        <v>1175</v>
      </c>
      <c r="E1408" s="22">
        <v>1.0</v>
      </c>
      <c r="F1408" s="22"/>
      <c r="G1408" s="22" t="s">
        <v>273</v>
      </c>
      <c r="H1408" s="23">
        <v>45991.0</v>
      </c>
      <c r="I1408" s="22" t="s">
        <v>134</v>
      </c>
      <c r="J1408" s="22" t="s">
        <v>329</v>
      </c>
      <c r="K1408" s="22" t="s">
        <v>1179</v>
      </c>
      <c r="L1408" s="35" t="s">
        <v>7227</v>
      </c>
      <c r="M1408" s="32" t="s">
        <v>127</v>
      </c>
    </row>
    <row r="1409">
      <c r="A1409" s="22" t="s">
        <v>7228</v>
      </c>
      <c r="B1409" s="22" t="s">
        <v>7229</v>
      </c>
      <c r="C1409" s="22" t="s">
        <v>5952</v>
      </c>
      <c r="D1409" s="22" t="s">
        <v>4345</v>
      </c>
      <c r="E1409" s="22">
        <v>1.0</v>
      </c>
      <c r="F1409" s="22"/>
      <c r="G1409" s="22" t="s">
        <v>294</v>
      </c>
      <c r="H1409" s="26">
        <v>45992.0</v>
      </c>
      <c r="I1409" s="22" t="s">
        <v>981</v>
      </c>
      <c r="J1409" s="22" t="s">
        <v>4346</v>
      </c>
      <c r="K1409" s="22" t="s">
        <v>4347</v>
      </c>
      <c r="L1409" s="35" t="s">
        <v>7230</v>
      </c>
      <c r="M1409" s="32" t="s">
        <v>55</v>
      </c>
    </row>
    <row r="1410">
      <c r="A1410" s="22" t="s">
        <v>2819</v>
      </c>
      <c r="B1410" s="22" t="s">
        <v>7231</v>
      </c>
      <c r="C1410" s="22" t="s">
        <v>7232</v>
      </c>
      <c r="D1410" s="22" t="s">
        <v>1200</v>
      </c>
      <c r="E1410" s="22">
        <v>1.0</v>
      </c>
      <c r="F1410" s="22"/>
      <c r="G1410" s="22" t="s">
        <v>82</v>
      </c>
      <c r="H1410" s="26">
        <v>45997.0</v>
      </c>
      <c r="I1410" s="22" t="s">
        <v>934</v>
      </c>
      <c r="J1410" s="22" t="s">
        <v>278</v>
      </c>
      <c r="K1410" s="22" t="s">
        <v>1203</v>
      </c>
      <c r="L1410" s="35" t="s">
        <v>7233</v>
      </c>
      <c r="M1410" s="32" t="s">
        <v>91</v>
      </c>
    </row>
    <row r="1411">
      <c r="A1411" s="22" t="s">
        <v>2796</v>
      </c>
      <c r="B1411" s="22" t="s">
        <v>4228</v>
      </c>
      <c r="C1411" s="22" t="s">
        <v>7234</v>
      </c>
      <c r="D1411" s="22" t="s">
        <v>1634</v>
      </c>
      <c r="E1411" s="22">
        <v>1.0</v>
      </c>
      <c r="F1411" s="22"/>
      <c r="G1411" s="22" t="s">
        <v>82</v>
      </c>
      <c r="H1411" s="26">
        <v>45997.0</v>
      </c>
      <c r="I1411" s="22" t="s">
        <v>211</v>
      </c>
      <c r="J1411" s="22" t="s">
        <v>1466</v>
      </c>
      <c r="K1411" s="22" t="s">
        <v>1639</v>
      </c>
      <c r="L1411" s="35" t="s">
        <v>7235</v>
      </c>
      <c r="M1411" s="32" t="s">
        <v>105</v>
      </c>
    </row>
    <row r="1412">
      <c r="A1412" s="22" t="s">
        <v>2799</v>
      </c>
      <c r="B1412" s="22" t="s">
        <v>5113</v>
      </c>
      <c r="C1412" s="22" t="s">
        <v>7236</v>
      </c>
      <c r="D1412" s="22" t="s">
        <v>867</v>
      </c>
      <c r="E1412" s="22">
        <v>1.0</v>
      </c>
      <c r="F1412" s="22"/>
      <c r="G1412" s="22" t="s">
        <v>273</v>
      </c>
      <c r="H1412" s="26">
        <v>45998.0</v>
      </c>
      <c r="I1412" s="22" t="s">
        <v>1117</v>
      </c>
      <c r="J1412" s="22" t="s">
        <v>869</v>
      </c>
      <c r="K1412" s="22" t="s">
        <v>872</v>
      </c>
      <c r="L1412" s="35" t="s">
        <v>7237</v>
      </c>
      <c r="M1412" s="32" t="s">
        <v>55</v>
      </c>
    </row>
    <row r="1413">
      <c r="A1413" s="22" t="s">
        <v>2801</v>
      </c>
      <c r="B1413" s="22" t="s">
        <v>7238</v>
      </c>
      <c r="C1413" s="22" t="s">
        <v>3927</v>
      </c>
      <c r="D1413" s="22" t="s">
        <v>141</v>
      </c>
      <c r="E1413" s="22">
        <v>1.0</v>
      </c>
      <c r="F1413" s="22"/>
      <c r="G1413" s="22" t="s">
        <v>273</v>
      </c>
      <c r="H1413" s="23">
        <v>45991.0</v>
      </c>
      <c r="I1413" s="22" t="s">
        <v>138</v>
      </c>
      <c r="J1413" s="22" t="s">
        <v>83</v>
      </c>
      <c r="K1413" s="22" t="s">
        <v>143</v>
      </c>
      <c r="L1413" s="35" t="s">
        <v>7239</v>
      </c>
      <c r="M1413" s="32" t="s">
        <v>54</v>
      </c>
    </row>
    <row r="1414">
      <c r="A1414" s="22" t="s">
        <v>7240</v>
      </c>
      <c r="B1414" s="22" t="s">
        <v>3866</v>
      </c>
      <c r="C1414" s="22" t="s">
        <v>4049</v>
      </c>
      <c r="D1414" s="22" t="s">
        <v>4521</v>
      </c>
      <c r="E1414" s="22">
        <v>1.0</v>
      </c>
      <c r="F1414" s="22"/>
      <c r="G1414" s="22" t="s">
        <v>287</v>
      </c>
      <c r="H1414" s="23">
        <v>46001.0</v>
      </c>
      <c r="I1414" s="22" t="s">
        <v>266</v>
      </c>
      <c r="J1414" s="22" t="s">
        <v>4399</v>
      </c>
      <c r="K1414" s="22" t="s">
        <v>4522</v>
      </c>
      <c r="L1414" s="35" t="s">
        <v>7241</v>
      </c>
      <c r="M1414" s="32" t="s">
        <v>54</v>
      </c>
    </row>
    <row r="1415">
      <c r="A1415" s="22" t="s">
        <v>2802</v>
      </c>
      <c r="B1415" s="22" t="s">
        <v>4504</v>
      </c>
      <c r="C1415" s="22" t="s">
        <v>4259</v>
      </c>
      <c r="D1415" s="22" t="s">
        <v>80</v>
      </c>
      <c r="E1415" s="22">
        <v>1.0</v>
      </c>
      <c r="F1415" s="22"/>
      <c r="G1415" s="22" t="s">
        <v>82</v>
      </c>
      <c r="H1415" s="26">
        <v>45997.0</v>
      </c>
      <c r="I1415" s="22" t="s">
        <v>138</v>
      </c>
      <c r="J1415" s="22" t="s">
        <v>83</v>
      </c>
      <c r="K1415" s="22" t="s">
        <v>86</v>
      </c>
      <c r="L1415" s="35" t="s">
        <v>7242</v>
      </c>
      <c r="M1415" s="32" t="s">
        <v>91</v>
      </c>
    </row>
    <row r="1416">
      <c r="A1416" s="22" t="s">
        <v>241</v>
      </c>
      <c r="B1416" s="22" t="s">
        <v>7243</v>
      </c>
      <c r="C1416" s="22" t="s">
        <v>7244</v>
      </c>
      <c r="D1416" s="22" t="s">
        <v>108</v>
      </c>
      <c r="E1416" s="22">
        <v>1.0</v>
      </c>
      <c r="F1416" s="22"/>
      <c r="G1416" s="22" t="s">
        <v>82</v>
      </c>
      <c r="H1416" s="23">
        <v>45990.0</v>
      </c>
      <c r="I1416" s="22" t="s">
        <v>230</v>
      </c>
      <c r="J1416" s="22" t="s">
        <v>111</v>
      </c>
      <c r="K1416" s="22" t="s">
        <v>114</v>
      </c>
      <c r="L1416" s="35" t="s">
        <v>7245</v>
      </c>
      <c r="M1416" s="32" t="s">
        <v>54</v>
      </c>
    </row>
    <row r="1417">
      <c r="A1417" s="22" t="s">
        <v>2803</v>
      </c>
      <c r="B1417" s="22" t="s">
        <v>3734</v>
      </c>
      <c r="C1417" s="22" t="s">
        <v>3735</v>
      </c>
      <c r="D1417" s="22" t="s">
        <v>783</v>
      </c>
      <c r="E1417" s="22">
        <v>1.0</v>
      </c>
      <c r="F1417" s="22"/>
      <c r="G1417" s="22" t="s">
        <v>273</v>
      </c>
      <c r="H1417" s="26">
        <v>45998.0</v>
      </c>
      <c r="I1417" s="22" t="s">
        <v>149</v>
      </c>
      <c r="J1417" s="22" t="s">
        <v>303</v>
      </c>
      <c r="K1417" s="22" t="s">
        <v>785</v>
      </c>
      <c r="L1417" s="35" t="s">
        <v>7246</v>
      </c>
      <c r="M1417" s="32" t="s">
        <v>95</v>
      </c>
    </row>
    <row r="1418">
      <c r="A1418" s="22" t="s">
        <v>2804</v>
      </c>
      <c r="B1418" s="22" t="s">
        <v>7247</v>
      </c>
      <c r="C1418" s="22" t="s">
        <v>7248</v>
      </c>
      <c r="D1418" s="22" t="s">
        <v>1242</v>
      </c>
      <c r="E1418" s="22">
        <v>1.0</v>
      </c>
      <c r="F1418" s="22"/>
      <c r="G1418" s="22" t="s">
        <v>82</v>
      </c>
      <c r="H1418" s="26">
        <v>45997.0</v>
      </c>
      <c r="I1418" s="22" t="s">
        <v>187</v>
      </c>
      <c r="J1418" s="22" t="s">
        <v>698</v>
      </c>
      <c r="K1418" s="22" t="s">
        <v>1244</v>
      </c>
      <c r="L1418" s="35" t="s">
        <v>7249</v>
      </c>
      <c r="M1418" s="32" t="s">
        <v>95</v>
      </c>
    </row>
    <row r="1419">
      <c r="A1419" s="22" t="s">
        <v>7250</v>
      </c>
      <c r="B1419" s="22" t="s">
        <v>7251</v>
      </c>
      <c r="C1419" s="22" t="s">
        <v>6687</v>
      </c>
      <c r="D1419" s="22" t="s">
        <v>4398</v>
      </c>
      <c r="E1419" s="22">
        <v>1.0</v>
      </c>
      <c r="F1419" s="22"/>
      <c r="G1419" s="22" t="s">
        <v>294</v>
      </c>
      <c r="H1419" s="26">
        <v>45999.0</v>
      </c>
      <c r="I1419" s="22" t="s">
        <v>266</v>
      </c>
      <c r="J1419" s="22" t="s">
        <v>4399</v>
      </c>
      <c r="K1419" s="22" t="s">
        <v>4400</v>
      </c>
      <c r="L1419" s="35" t="s">
        <v>7252</v>
      </c>
      <c r="M1419" s="32" t="s">
        <v>55</v>
      </c>
    </row>
    <row r="1420">
      <c r="A1420" s="22" t="s">
        <v>2805</v>
      </c>
      <c r="B1420" s="22" t="s">
        <v>3855</v>
      </c>
      <c r="C1420" s="22" t="s">
        <v>4056</v>
      </c>
      <c r="D1420" s="22" t="s">
        <v>595</v>
      </c>
      <c r="E1420" s="22">
        <v>1.0</v>
      </c>
      <c r="F1420" s="22"/>
      <c r="G1420" s="22" t="s">
        <v>273</v>
      </c>
      <c r="H1420" s="26">
        <v>45998.0</v>
      </c>
      <c r="I1420" s="22" t="s">
        <v>153</v>
      </c>
      <c r="J1420" s="22" t="s">
        <v>369</v>
      </c>
      <c r="K1420" s="22" t="s">
        <v>599</v>
      </c>
      <c r="L1420" s="35" t="s">
        <v>7253</v>
      </c>
      <c r="M1420" s="32" t="s">
        <v>127</v>
      </c>
    </row>
    <row r="1421">
      <c r="A1421" s="22" t="s">
        <v>2806</v>
      </c>
      <c r="B1421" s="22" t="s">
        <v>7254</v>
      </c>
      <c r="C1421" s="22" t="s">
        <v>7255</v>
      </c>
      <c r="D1421" s="22" t="s">
        <v>415</v>
      </c>
      <c r="E1421" s="22">
        <v>1.0</v>
      </c>
      <c r="F1421" s="22"/>
      <c r="G1421" s="22" t="s">
        <v>82</v>
      </c>
      <c r="H1421" s="23">
        <v>46004.0</v>
      </c>
      <c r="I1421" s="22" t="s">
        <v>134</v>
      </c>
      <c r="J1421" s="22" t="s">
        <v>377</v>
      </c>
      <c r="K1421" s="22" t="s">
        <v>419</v>
      </c>
      <c r="L1421" s="35" t="s">
        <v>7256</v>
      </c>
      <c r="M1421" s="32" t="s">
        <v>91</v>
      </c>
    </row>
    <row r="1422">
      <c r="A1422" s="22" t="s">
        <v>2808</v>
      </c>
      <c r="B1422" s="22" t="s">
        <v>4869</v>
      </c>
      <c r="C1422" s="22" t="s">
        <v>5750</v>
      </c>
      <c r="D1422" s="22" t="s">
        <v>96</v>
      </c>
      <c r="E1422" s="22">
        <v>1.0</v>
      </c>
      <c r="F1422" s="22"/>
      <c r="G1422" s="22" t="s">
        <v>294</v>
      </c>
      <c r="H1422" s="26">
        <v>45992.0</v>
      </c>
      <c r="I1422" s="22" t="s">
        <v>1572</v>
      </c>
      <c r="J1422" s="22" t="s">
        <v>83</v>
      </c>
      <c r="K1422" s="22" t="s">
        <v>98</v>
      </c>
      <c r="L1422" s="35" t="s">
        <v>7257</v>
      </c>
      <c r="M1422" s="32" t="s">
        <v>55</v>
      </c>
    </row>
    <row r="1423">
      <c r="A1423" s="22" t="s">
        <v>2810</v>
      </c>
      <c r="B1423" s="22" t="s">
        <v>4245</v>
      </c>
      <c r="C1423" s="22" t="s">
        <v>4760</v>
      </c>
      <c r="D1423" s="22" t="s">
        <v>515</v>
      </c>
      <c r="E1423" s="22">
        <v>1.0</v>
      </c>
      <c r="F1423" s="22"/>
      <c r="G1423" s="22" t="s">
        <v>82</v>
      </c>
      <c r="H1423" s="26">
        <v>45997.0</v>
      </c>
      <c r="I1423" s="22" t="s">
        <v>134</v>
      </c>
      <c r="J1423" s="22" t="s">
        <v>472</v>
      </c>
      <c r="K1423" s="22" t="s">
        <v>519</v>
      </c>
      <c r="L1423" s="35" t="s">
        <v>7258</v>
      </c>
      <c r="M1423" s="32" t="s">
        <v>55</v>
      </c>
    </row>
    <row r="1424">
      <c r="A1424" s="22" t="s">
        <v>2811</v>
      </c>
      <c r="B1424" s="22" t="s">
        <v>4081</v>
      </c>
      <c r="C1424" s="22" t="s">
        <v>7259</v>
      </c>
      <c r="D1424" s="22" t="s">
        <v>822</v>
      </c>
      <c r="E1424" s="22">
        <v>1.0</v>
      </c>
      <c r="F1424" s="22"/>
      <c r="G1424" s="22" t="s">
        <v>82</v>
      </c>
      <c r="H1424" s="26">
        <v>45997.0</v>
      </c>
      <c r="I1424" s="22" t="s">
        <v>841</v>
      </c>
      <c r="J1424" s="22" t="s">
        <v>634</v>
      </c>
      <c r="K1424" s="22" t="s">
        <v>826</v>
      </c>
      <c r="L1424" s="35" t="s">
        <v>7260</v>
      </c>
      <c r="M1424" s="32" t="s">
        <v>55</v>
      </c>
    </row>
    <row r="1425">
      <c r="A1425" s="22" t="s">
        <v>2812</v>
      </c>
      <c r="B1425" s="22" t="s">
        <v>4038</v>
      </c>
      <c r="C1425" s="22" t="s">
        <v>6086</v>
      </c>
      <c r="D1425" s="22" t="s">
        <v>696</v>
      </c>
      <c r="E1425" s="22">
        <v>1.0</v>
      </c>
      <c r="F1425" s="22"/>
      <c r="G1425" s="22" t="s">
        <v>82</v>
      </c>
      <c r="H1425" s="26">
        <v>45997.0</v>
      </c>
      <c r="I1425" s="22" t="s">
        <v>975</v>
      </c>
      <c r="J1425" s="22" t="s">
        <v>698</v>
      </c>
      <c r="K1425" s="22" t="s">
        <v>701</v>
      </c>
      <c r="L1425" s="35" t="s">
        <v>7261</v>
      </c>
      <c r="M1425" s="32" t="s">
        <v>55</v>
      </c>
    </row>
    <row r="1426">
      <c r="A1426" s="22" t="s">
        <v>2813</v>
      </c>
      <c r="B1426" s="22" t="s">
        <v>7262</v>
      </c>
      <c r="C1426" s="22" t="s">
        <v>7263</v>
      </c>
      <c r="D1426" s="22" t="s">
        <v>495</v>
      </c>
      <c r="E1426" s="22">
        <v>1.0</v>
      </c>
      <c r="F1426" s="22"/>
      <c r="G1426" s="22" t="s">
        <v>273</v>
      </c>
      <c r="H1426" s="23">
        <v>45991.0</v>
      </c>
      <c r="I1426" s="22" t="s">
        <v>145</v>
      </c>
      <c r="J1426" s="22" t="s">
        <v>329</v>
      </c>
      <c r="K1426" s="22" t="s">
        <v>500</v>
      </c>
      <c r="L1426" s="35" t="s">
        <v>7264</v>
      </c>
      <c r="M1426" s="32" t="s">
        <v>54</v>
      </c>
    </row>
    <row r="1427">
      <c r="A1427" s="22" t="s">
        <v>2814</v>
      </c>
      <c r="B1427" s="22" t="s">
        <v>4267</v>
      </c>
      <c r="C1427" s="22" t="s">
        <v>7265</v>
      </c>
      <c r="D1427" s="22" t="s">
        <v>96</v>
      </c>
      <c r="E1427" s="22">
        <v>1.0</v>
      </c>
      <c r="F1427" s="22"/>
      <c r="G1427" s="22" t="s">
        <v>273</v>
      </c>
      <c r="H1427" s="23">
        <v>45991.0</v>
      </c>
      <c r="I1427" s="22" t="s">
        <v>149</v>
      </c>
      <c r="J1427" s="22" t="s">
        <v>83</v>
      </c>
      <c r="K1427" s="22" t="s">
        <v>98</v>
      </c>
      <c r="L1427" s="35" t="s">
        <v>7266</v>
      </c>
      <c r="M1427" s="32" t="s">
        <v>55</v>
      </c>
    </row>
    <row r="1428">
      <c r="A1428" s="22" t="s">
        <v>2816</v>
      </c>
      <c r="B1428" s="22" t="s">
        <v>7267</v>
      </c>
      <c r="C1428" s="22" t="s">
        <v>7268</v>
      </c>
      <c r="D1428" s="22" t="s">
        <v>643</v>
      </c>
      <c r="E1428" s="22">
        <v>1.0</v>
      </c>
      <c r="F1428" s="22"/>
      <c r="G1428" s="22" t="s">
        <v>273</v>
      </c>
      <c r="H1428" s="23">
        <v>46005.0</v>
      </c>
      <c r="I1428" s="22" t="s">
        <v>219</v>
      </c>
      <c r="J1428" s="22" t="s">
        <v>634</v>
      </c>
      <c r="K1428" s="22" t="s">
        <v>647</v>
      </c>
      <c r="L1428" s="35" t="s">
        <v>7269</v>
      </c>
      <c r="M1428" s="32" t="s">
        <v>54</v>
      </c>
    </row>
    <row r="1429">
      <c r="A1429" s="22" t="s">
        <v>2822</v>
      </c>
      <c r="B1429" s="22" t="s">
        <v>7270</v>
      </c>
      <c r="C1429" s="22" t="s">
        <v>7271</v>
      </c>
      <c r="D1429" s="22" t="s">
        <v>979</v>
      </c>
      <c r="E1429" s="22">
        <v>1.0</v>
      </c>
      <c r="F1429" s="22"/>
      <c r="G1429" s="22" t="s">
        <v>82</v>
      </c>
      <c r="H1429" s="26">
        <v>45997.0</v>
      </c>
      <c r="I1429" s="22" t="s">
        <v>522</v>
      </c>
      <c r="J1429" s="22" t="s">
        <v>605</v>
      </c>
      <c r="K1429" s="22" t="s">
        <v>984</v>
      </c>
      <c r="L1429" s="35" t="s">
        <v>7272</v>
      </c>
      <c r="M1429" s="32" t="s">
        <v>55</v>
      </c>
    </row>
    <row r="1430">
      <c r="A1430" s="22" t="s">
        <v>2866</v>
      </c>
      <c r="B1430" s="22" t="s">
        <v>7273</v>
      </c>
      <c r="C1430" s="22" t="s">
        <v>3693</v>
      </c>
      <c r="D1430" s="22" t="s">
        <v>375</v>
      </c>
      <c r="E1430" s="22">
        <v>1.0</v>
      </c>
      <c r="F1430" s="22"/>
      <c r="G1430" s="22" t="s">
        <v>82</v>
      </c>
      <c r="H1430" s="26">
        <v>45997.0</v>
      </c>
      <c r="I1430" s="22" t="s">
        <v>153</v>
      </c>
      <c r="J1430" s="22" t="s">
        <v>377</v>
      </c>
      <c r="K1430" s="22" t="s">
        <v>380</v>
      </c>
      <c r="L1430" s="35" t="s">
        <v>7274</v>
      </c>
      <c r="M1430" s="32" t="s">
        <v>55</v>
      </c>
    </row>
    <row r="1431">
      <c r="A1431" s="22" t="s">
        <v>2866</v>
      </c>
      <c r="B1431" s="22" t="s">
        <v>7273</v>
      </c>
      <c r="C1431" s="22" t="s">
        <v>3693</v>
      </c>
      <c r="D1431" s="25"/>
      <c r="E1431" s="25"/>
      <c r="F1431" s="22"/>
      <c r="G1431" s="22" t="s">
        <v>82</v>
      </c>
      <c r="H1431" s="26">
        <v>45997.0</v>
      </c>
      <c r="I1431" s="22" t="s">
        <v>153</v>
      </c>
      <c r="J1431" s="22" t="s">
        <v>377</v>
      </c>
      <c r="K1431" s="22" t="s">
        <v>767</v>
      </c>
      <c r="L1431" s="35" t="s">
        <v>7275</v>
      </c>
    </row>
    <row r="1432">
      <c r="A1432" s="22" t="s">
        <v>249</v>
      </c>
      <c r="B1432" s="22" t="s">
        <v>6837</v>
      </c>
      <c r="C1432" s="22" t="s">
        <v>7276</v>
      </c>
      <c r="D1432" s="22" t="s">
        <v>141</v>
      </c>
      <c r="E1432" s="22">
        <v>1.0</v>
      </c>
      <c r="F1432" s="22"/>
      <c r="G1432" s="22" t="s">
        <v>82</v>
      </c>
      <c r="H1432" s="23">
        <v>45990.0</v>
      </c>
      <c r="I1432" s="22" t="s">
        <v>248</v>
      </c>
      <c r="J1432" s="22" t="s">
        <v>83</v>
      </c>
      <c r="K1432" s="22" t="s">
        <v>143</v>
      </c>
      <c r="L1432" s="35" t="s">
        <v>7277</v>
      </c>
      <c r="M1432" s="32" t="s">
        <v>54</v>
      </c>
    </row>
    <row r="1433">
      <c r="A1433" s="22" t="s">
        <v>2867</v>
      </c>
      <c r="B1433" s="22" t="s">
        <v>7278</v>
      </c>
      <c r="C1433" s="22" t="s">
        <v>7279</v>
      </c>
      <c r="D1433" s="22" t="s">
        <v>806</v>
      </c>
      <c r="E1433" s="22">
        <v>1.0</v>
      </c>
      <c r="F1433" s="22"/>
      <c r="G1433" s="22" t="s">
        <v>82</v>
      </c>
      <c r="H1433" s="26">
        <v>45997.0</v>
      </c>
      <c r="I1433" s="22" t="s">
        <v>975</v>
      </c>
      <c r="J1433" s="22" t="s">
        <v>278</v>
      </c>
      <c r="K1433" s="22" t="s">
        <v>809</v>
      </c>
      <c r="L1433" s="35" t="s">
        <v>7280</v>
      </c>
      <c r="M1433" s="32" t="s">
        <v>95</v>
      </c>
    </row>
    <row r="1434">
      <c r="A1434" s="22" t="s">
        <v>2824</v>
      </c>
      <c r="B1434" s="22" t="s">
        <v>7281</v>
      </c>
      <c r="C1434" s="22" t="s">
        <v>7282</v>
      </c>
      <c r="D1434" s="22" t="s">
        <v>924</v>
      </c>
      <c r="E1434" s="22">
        <v>1.0</v>
      </c>
      <c r="F1434" s="22"/>
      <c r="G1434" s="22" t="s">
        <v>82</v>
      </c>
      <c r="H1434" s="26">
        <v>45997.0</v>
      </c>
      <c r="I1434" s="22" t="s">
        <v>1073</v>
      </c>
      <c r="J1434" s="22" t="s">
        <v>623</v>
      </c>
      <c r="K1434" s="22" t="s">
        <v>926</v>
      </c>
      <c r="L1434" s="35" t="s">
        <v>7283</v>
      </c>
      <c r="M1434" s="32" t="s">
        <v>55</v>
      </c>
    </row>
    <row r="1435">
      <c r="A1435" s="22" t="s">
        <v>2826</v>
      </c>
      <c r="B1435" s="22" t="s">
        <v>7206</v>
      </c>
      <c r="C1435" s="22" t="s">
        <v>7284</v>
      </c>
      <c r="D1435" s="22" t="s">
        <v>979</v>
      </c>
      <c r="E1435" s="22">
        <v>1.0</v>
      </c>
      <c r="F1435" s="22"/>
      <c r="G1435" s="22" t="s">
        <v>82</v>
      </c>
      <c r="H1435" s="26">
        <v>45997.0</v>
      </c>
      <c r="I1435" s="22" t="s">
        <v>192</v>
      </c>
      <c r="J1435" s="22" t="s">
        <v>605</v>
      </c>
      <c r="K1435" s="22" t="s">
        <v>984</v>
      </c>
      <c r="L1435" s="35" t="s">
        <v>7285</v>
      </c>
      <c r="M1435" s="32" t="s">
        <v>55</v>
      </c>
    </row>
    <row r="1436">
      <c r="A1436" s="22" t="s">
        <v>2827</v>
      </c>
      <c r="B1436" s="22" t="s">
        <v>7286</v>
      </c>
      <c r="C1436" s="22" t="s">
        <v>7287</v>
      </c>
      <c r="D1436" s="22" t="s">
        <v>912</v>
      </c>
      <c r="E1436" s="22">
        <v>1.0</v>
      </c>
      <c r="F1436" s="22"/>
      <c r="G1436" s="22" t="s">
        <v>82</v>
      </c>
      <c r="H1436" s="26">
        <v>45997.0</v>
      </c>
      <c r="I1436" s="22" t="s">
        <v>138</v>
      </c>
      <c r="J1436" s="22" t="s">
        <v>377</v>
      </c>
      <c r="K1436" s="22" t="s">
        <v>914</v>
      </c>
      <c r="L1436" s="35" t="s">
        <v>7288</v>
      </c>
      <c r="M1436" s="32" t="s">
        <v>54</v>
      </c>
    </row>
    <row r="1437">
      <c r="A1437" s="22" t="s">
        <v>7289</v>
      </c>
      <c r="B1437" s="22" t="s">
        <v>3707</v>
      </c>
      <c r="C1437" s="22" t="s">
        <v>7290</v>
      </c>
      <c r="D1437" s="22" t="s">
        <v>4345</v>
      </c>
      <c r="E1437" s="22">
        <v>1.0</v>
      </c>
      <c r="F1437" s="22"/>
      <c r="G1437" s="22" t="s">
        <v>294</v>
      </c>
      <c r="H1437" s="26">
        <v>45992.0</v>
      </c>
      <c r="I1437" s="22" t="s">
        <v>981</v>
      </c>
      <c r="J1437" s="22" t="s">
        <v>4346</v>
      </c>
      <c r="K1437" s="22" t="s">
        <v>4347</v>
      </c>
      <c r="L1437" s="35" t="s">
        <v>7291</v>
      </c>
      <c r="M1437" s="32" t="s">
        <v>55</v>
      </c>
    </row>
    <row r="1438">
      <c r="A1438" s="22" t="s">
        <v>2828</v>
      </c>
      <c r="B1438" s="22" t="s">
        <v>7292</v>
      </c>
      <c r="C1438" s="22" t="s">
        <v>7293</v>
      </c>
      <c r="D1438" s="22" t="s">
        <v>696</v>
      </c>
      <c r="E1438" s="22">
        <v>1.0</v>
      </c>
      <c r="F1438" s="22"/>
      <c r="G1438" s="22" t="s">
        <v>82</v>
      </c>
      <c r="H1438" s="26">
        <v>45997.0</v>
      </c>
      <c r="I1438" s="22" t="s">
        <v>187</v>
      </c>
      <c r="J1438" s="22" t="s">
        <v>698</v>
      </c>
      <c r="K1438" s="22" t="s">
        <v>701</v>
      </c>
      <c r="L1438" s="35" t="s">
        <v>7294</v>
      </c>
      <c r="M1438" s="32" t="s">
        <v>55</v>
      </c>
    </row>
    <row r="1439">
      <c r="A1439" s="22" t="s">
        <v>246</v>
      </c>
      <c r="B1439" s="22" t="s">
        <v>7295</v>
      </c>
      <c r="C1439" s="22" t="s">
        <v>6582</v>
      </c>
      <c r="D1439" s="22" t="s">
        <v>96</v>
      </c>
      <c r="E1439" s="22">
        <v>1.0</v>
      </c>
      <c r="F1439" s="22"/>
      <c r="G1439" s="22" t="s">
        <v>82</v>
      </c>
      <c r="H1439" s="23">
        <v>45990.0</v>
      </c>
      <c r="I1439" s="22" t="s">
        <v>134</v>
      </c>
      <c r="J1439" s="22" t="s">
        <v>83</v>
      </c>
      <c r="K1439" s="22" t="s">
        <v>98</v>
      </c>
      <c r="L1439" s="35" t="s">
        <v>7296</v>
      </c>
      <c r="M1439" s="32" t="s">
        <v>55</v>
      </c>
    </row>
    <row r="1440">
      <c r="A1440" s="22" t="s">
        <v>2829</v>
      </c>
      <c r="B1440" s="22" t="s">
        <v>7297</v>
      </c>
      <c r="C1440" s="22" t="s">
        <v>7298</v>
      </c>
      <c r="D1440" s="22" t="s">
        <v>124</v>
      </c>
      <c r="E1440" s="22">
        <v>1.0</v>
      </c>
      <c r="F1440" s="22"/>
      <c r="G1440" s="22" t="s">
        <v>202</v>
      </c>
      <c r="H1440" s="26">
        <v>45996.0</v>
      </c>
      <c r="I1440" s="22" t="s">
        <v>480</v>
      </c>
      <c r="J1440" s="22" t="s">
        <v>83</v>
      </c>
      <c r="K1440" s="22" t="s">
        <v>126</v>
      </c>
      <c r="L1440" s="35" t="s">
        <v>7299</v>
      </c>
      <c r="M1440" s="32" t="s">
        <v>127</v>
      </c>
    </row>
    <row r="1441">
      <c r="A1441" s="22" t="s">
        <v>2830</v>
      </c>
      <c r="B1441" s="22" t="s">
        <v>7300</v>
      </c>
      <c r="C1441" s="22" t="s">
        <v>6582</v>
      </c>
      <c r="D1441" s="22" t="s">
        <v>2181</v>
      </c>
      <c r="E1441" s="22">
        <v>1.0</v>
      </c>
      <c r="F1441" s="22"/>
      <c r="G1441" s="22" t="s">
        <v>82</v>
      </c>
      <c r="H1441" s="26">
        <v>45997.0</v>
      </c>
      <c r="I1441" s="22" t="s">
        <v>134</v>
      </c>
      <c r="J1441" s="22" t="s">
        <v>303</v>
      </c>
      <c r="K1441" s="22" t="s">
        <v>2183</v>
      </c>
      <c r="L1441" s="35" t="s">
        <v>7301</v>
      </c>
      <c r="M1441" s="32" t="s">
        <v>127</v>
      </c>
    </row>
    <row r="1442">
      <c r="A1442" s="22" t="s">
        <v>2821</v>
      </c>
      <c r="B1442" s="22" t="s">
        <v>3840</v>
      </c>
      <c r="C1442" s="22" t="s">
        <v>7302</v>
      </c>
      <c r="D1442" s="22" t="s">
        <v>2309</v>
      </c>
      <c r="E1442" s="22">
        <v>1.0</v>
      </c>
      <c r="F1442" s="22"/>
      <c r="G1442" s="22" t="s">
        <v>273</v>
      </c>
      <c r="H1442" s="26">
        <v>45998.0</v>
      </c>
      <c r="I1442" s="22" t="s">
        <v>1117</v>
      </c>
      <c r="J1442" s="22" t="s">
        <v>869</v>
      </c>
      <c r="K1442" s="22" t="s">
        <v>2311</v>
      </c>
      <c r="L1442" s="35" t="s">
        <v>7303</v>
      </c>
      <c r="M1442" s="32" t="s">
        <v>95</v>
      </c>
    </row>
    <row r="1443">
      <c r="A1443" s="22" t="s">
        <v>240</v>
      </c>
      <c r="B1443" s="22" t="s">
        <v>7304</v>
      </c>
      <c r="C1443" s="22" t="s">
        <v>7305</v>
      </c>
      <c r="D1443" s="22" t="s">
        <v>166</v>
      </c>
      <c r="E1443" s="22">
        <v>1.0</v>
      </c>
      <c r="F1443" s="22"/>
      <c r="G1443" s="22" t="s">
        <v>82</v>
      </c>
      <c r="H1443" s="23">
        <v>45990.0</v>
      </c>
      <c r="I1443" s="22" t="s">
        <v>187</v>
      </c>
      <c r="J1443" s="22" t="s">
        <v>111</v>
      </c>
      <c r="K1443" s="22" t="s">
        <v>171</v>
      </c>
      <c r="L1443" s="35" t="s">
        <v>7306</v>
      </c>
      <c r="M1443" s="32" t="s">
        <v>55</v>
      </c>
    </row>
    <row r="1444">
      <c r="A1444" s="22" t="s">
        <v>2793</v>
      </c>
      <c r="B1444" s="22" t="s">
        <v>5613</v>
      </c>
      <c r="C1444" s="22" t="s">
        <v>4086</v>
      </c>
      <c r="D1444" s="22" t="s">
        <v>658</v>
      </c>
      <c r="E1444" s="22">
        <v>1.0</v>
      </c>
      <c r="F1444" s="22"/>
      <c r="G1444" s="22" t="s">
        <v>82</v>
      </c>
      <c r="H1444" s="26">
        <v>45997.0</v>
      </c>
      <c r="I1444" s="22" t="s">
        <v>168</v>
      </c>
      <c r="J1444" s="22" t="s">
        <v>341</v>
      </c>
      <c r="K1444" s="22" t="s">
        <v>662</v>
      </c>
      <c r="L1444" s="35" t="s">
        <v>7307</v>
      </c>
      <c r="M1444" s="32" t="s">
        <v>95</v>
      </c>
    </row>
    <row r="1445">
      <c r="A1445" s="22" t="s">
        <v>2831</v>
      </c>
      <c r="B1445" s="22" t="s">
        <v>7308</v>
      </c>
      <c r="C1445" s="22" t="s">
        <v>7309</v>
      </c>
      <c r="D1445" s="22" t="s">
        <v>158</v>
      </c>
      <c r="E1445" s="22">
        <v>1.0</v>
      </c>
      <c r="F1445" s="22"/>
      <c r="G1445" s="22" t="s">
        <v>82</v>
      </c>
      <c r="H1445" s="26">
        <v>45997.0</v>
      </c>
      <c r="I1445" s="22" t="s">
        <v>187</v>
      </c>
      <c r="J1445" s="22" t="s">
        <v>111</v>
      </c>
      <c r="K1445" s="22" t="s">
        <v>163</v>
      </c>
      <c r="L1445" s="35" t="s">
        <v>7310</v>
      </c>
      <c r="M1445" s="32" t="s">
        <v>127</v>
      </c>
    </row>
    <row r="1446">
      <c r="A1446" s="22" t="s">
        <v>2834</v>
      </c>
      <c r="B1446" s="22" t="s">
        <v>5508</v>
      </c>
      <c r="C1446" s="22" t="s">
        <v>7311</v>
      </c>
      <c r="D1446" s="22" t="s">
        <v>367</v>
      </c>
      <c r="E1446" s="22">
        <v>1.0</v>
      </c>
      <c r="F1446" s="22"/>
      <c r="G1446" s="22" t="s">
        <v>273</v>
      </c>
      <c r="H1446" s="26">
        <v>45998.0</v>
      </c>
      <c r="I1446" s="22" t="s">
        <v>134</v>
      </c>
      <c r="J1446" s="22" t="s">
        <v>369</v>
      </c>
      <c r="K1446" s="22" t="s">
        <v>372</v>
      </c>
      <c r="L1446" s="35" t="s">
        <v>7312</v>
      </c>
      <c r="M1446" s="32" t="s">
        <v>55</v>
      </c>
    </row>
    <row r="1447">
      <c r="A1447" s="22" t="s">
        <v>2836</v>
      </c>
      <c r="B1447" s="22" t="s">
        <v>3825</v>
      </c>
      <c r="C1447" s="22" t="s">
        <v>3735</v>
      </c>
      <c r="D1447" s="22" t="s">
        <v>1423</v>
      </c>
      <c r="E1447" s="22">
        <v>1.0</v>
      </c>
      <c r="F1447" s="22"/>
      <c r="G1447" s="22" t="s">
        <v>1284</v>
      </c>
      <c r="H1447" s="26">
        <v>45993.0</v>
      </c>
      <c r="I1447" s="22" t="s">
        <v>153</v>
      </c>
      <c r="J1447" s="22" t="s">
        <v>717</v>
      </c>
      <c r="K1447" s="22" t="s">
        <v>1427</v>
      </c>
      <c r="L1447" s="35" t="s">
        <v>7313</v>
      </c>
      <c r="M1447" s="32" t="s">
        <v>95</v>
      </c>
    </row>
    <row r="1448">
      <c r="A1448" s="22" t="s">
        <v>2838</v>
      </c>
      <c r="B1448" s="22" t="s">
        <v>4053</v>
      </c>
      <c r="C1448" s="22" t="s">
        <v>7314</v>
      </c>
      <c r="D1448" s="22" t="s">
        <v>595</v>
      </c>
      <c r="E1448" s="22">
        <v>1.0</v>
      </c>
      <c r="F1448" s="22"/>
      <c r="G1448" s="22" t="s">
        <v>273</v>
      </c>
      <c r="H1448" s="26">
        <v>45998.0</v>
      </c>
      <c r="I1448" s="22" t="s">
        <v>134</v>
      </c>
      <c r="J1448" s="22" t="s">
        <v>369</v>
      </c>
      <c r="K1448" s="22" t="s">
        <v>599</v>
      </c>
      <c r="L1448" s="35" t="s">
        <v>7315</v>
      </c>
      <c r="M1448" s="32" t="s">
        <v>127</v>
      </c>
    </row>
    <row r="1449">
      <c r="A1449" s="22" t="s">
        <v>7316</v>
      </c>
      <c r="B1449" s="22" t="s">
        <v>7317</v>
      </c>
      <c r="C1449" s="22" t="s">
        <v>7318</v>
      </c>
      <c r="D1449" s="22" t="s">
        <v>4345</v>
      </c>
      <c r="E1449" s="22">
        <v>1.0</v>
      </c>
      <c r="F1449" s="22"/>
      <c r="G1449" s="22" t="s">
        <v>294</v>
      </c>
      <c r="H1449" s="26">
        <v>45992.0</v>
      </c>
      <c r="I1449" s="22" t="s">
        <v>981</v>
      </c>
      <c r="J1449" s="22" t="s">
        <v>4346</v>
      </c>
      <c r="K1449" s="22" t="s">
        <v>4347</v>
      </c>
      <c r="L1449" s="35" t="s">
        <v>7319</v>
      </c>
      <c r="M1449" s="32" t="s">
        <v>55</v>
      </c>
    </row>
    <row r="1450">
      <c r="A1450" s="22" t="s">
        <v>2839</v>
      </c>
      <c r="B1450" s="22" t="s">
        <v>3707</v>
      </c>
      <c r="C1450" s="22" t="s">
        <v>7320</v>
      </c>
      <c r="D1450" s="22" t="s">
        <v>401</v>
      </c>
      <c r="E1450" s="22">
        <v>1.0</v>
      </c>
      <c r="F1450" s="22"/>
      <c r="G1450" s="22" t="s">
        <v>82</v>
      </c>
      <c r="H1450" s="26">
        <v>45997.0</v>
      </c>
      <c r="I1450" s="22" t="s">
        <v>181</v>
      </c>
      <c r="J1450" s="22" t="s">
        <v>319</v>
      </c>
      <c r="K1450" s="22" t="s">
        <v>403</v>
      </c>
      <c r="L1450" s="35" t="s">
        <v>7321</v>
      </c>
      <c r="M1450" s="32" t="s">
        <v>127</v>
      </c>
    </row>
    <row r="1451">
      <c r="A1451" s="22" t="s">
        <v>2840</v>
      </c>
      <c r="B1451" s="22" t="s">
        <v>7322</v>
      </c>
      <c r="C1451" s="22" t="s">
        <v>7323</v>
      </c>
      <c r="D1451" s="22" t="s">
        <v>99</v>
      </c>
      <c r="E1451" s="22">
        <v>1.0</v>
      </c>
      <c r="F1451" s="22"/>
      <c r="G1451" s="22" t="s">
        <v>273</v>
      </c>
      <c r="H1451" s="23">
        <v>45991.0</v>
      </c>
      <c r="I1451" s="22" t="s">
        <v>1400</v>
      </c>
      <c r="J1451" s="22" t="s">
        <v>83</v>
      </c>
      <c r="K1451" s="22" t="s">
        <v>102</v>
      </c>
      <c r="L1451" s="35" t="s">
        <v>7324</v>
      </c>
      <c r="M1451" s="32" t="s">
        <v>105</v>
      </c>
    </row>
    <row r="1452">
      <c r="A1452" s="22" t="s">
        <v>2841</v>
      </c>
      <c r="B1452" s="22" t="s">
        <v>4784</v>
      </c>
      <c r="C1452" s="22" t="s">
        <v>7325</v>
      </c>
      <c r="D1452" s="22" t="s">
        <v>979</v>
      </c>
      <c r="E1452" s="22">
        <v>1.0</v>
      </c>
      <c r="F1452" s="22"/>
      <c r="G1452" s="22" t="s">
        <v>82</v>
      </c>
      <c r="H1452" s="26">
        <v>45997.0</v>
      </c>
      <c r="I1452" s="22" t="s">
        <v>522</v>
      </c>
      <c r="J1452" s="22" t="s">
        <v>605</v>
      </c>
      <c r="K1452" s="22" t="s">
        <v>984</v>
      </c>
      <c r="L1452" s="35" t="s">
        <v>7326</v>
      </c>
      <c r="M1452" s="32" t="s">
        <v>55</v>
      </c>
    </row>
    <row r="1453">
      <c r="A1453" s="22" t="s">
        <v>2842</v>
      </c>
      <c r="B1453" s="22" t="s">
        <v>7327</v>
      </c>
      <c r="C1453" s="22" t="s">
        <v>7328</v>
      </c>
      <c r="D1453" s="22" t="s">
        <v>732</v>
      </c>
      <c r="E1453" s="22">
        <v>1.0</v>
      </c>
      <c r="F1453" s="22"/>
      <c r="G1453" s="22" t="s">
        <v>82</v>
      </c>
      <c r="H1453" s="26">
        <v>45997.0</v>
      </c>
      <c r="I1453" s="22" t="s">
        <v>841</v>
      </c>
      <c r="J1453" s="22" t="s">
        <v>634</v>
      </c>
      <c r="K1453" s="22" t="s">
        <v>737</v>
      </c>
      <c r="L1453" s="35" t="s">
        <v>7329</v>
      </c>
      <c r="M1453" s="32" t="s">
        <v>105</v>
      </c>
    </row>
    <row r="1454">
      <c r="A1454" s="22" t="s">
        <v>7330</v>
      </c>
      <c r="B1454" s="22" t="s">
        <v>5699</v>
      </c>
      <c r="C1454" s="22" t="s">
        <v>7331</v>
      </c>
      <c r="D1454" s="22" t="s">
        <v>4324</v>
      </c>
      <c r="E1454" s="22">
        <v>1.0</v>
      </c>
      <c r="F1454" s="22"/>
      <c r="G1454" s="22" t="s">
        <v>202</v>
      </c>
      <c r="H1454" s="23">
        <v>46003.0</v>
      </c>
      <c r="I1454" s="22" t="s">
        <v>149</v>
      </c>
      <c r="J1454" s="22" t="s">
        <v>4325</v>
      </c>
      <c r="K1454" s="22" t="s">
        <v>4326</v>
      </c>
      <c r="L1454" s="35" t="s">
        <v>7332</v>
      </c>
      <c r="M1454" s="32" t="s">
        <v>54</v>
      </c>
    </row>
    <row r="1455">
      <c r="A1455" s="22" t="s">
        <v>2843</v>
      </c>
      <c r="B1455" s="22" t="s">
        <v>3793</v>
      </c>
      <c r="C1455" s="22" t="s">
        <v>7333</v>
      </c>
      <c r="D1455" s="22" t="s">
        <v>375</v>
      </c>
      <c r="E1455" s="22">
        <v>1.0</v>
      </c>
      <c r="F1455" s="22"/>
      <c r="G1455" s="22" t="s">
        <v>82</v>
      </c>
      <c r="H1455" s="26">
        <v>45997.0</v>
      </c>
      <c r="I1455" s="22" t="s">
        <v>248</v>
      </c>
      <c r="J1455" s="22" t="s">
        <v>377</v>
      </c>
      <c r="K1455" s="22" t="s">
        <v>380</v>
      </c>
      <c r="L1455" s="35" t="s">
        <v>7334</v>
      </c>
      <c r="M1455" s="32" t="s">
        <v>55</v>
      </c>
    </row>
    <row r="1456">
      <c r="A1456" s="22" t="s">
        <v>7335</v>
      </c>
      <c r="B1456" s="22" t="s">
        <v>3967</v>
      </c>
      <c r="C1456" s="22" t="s">
        <v>7336</v>
      </c>
      <c r="D1456" s="22" t="s">
        <v>4565</v>
      </c>
      <c r="E1456" s="22">
        <v>1.0</v>
      </c>
      <c r="F1456" s="22"/>
      <c r="G1456" s="22" t="s">
        <v>287</v>
      </c>
      <c r="H1456" s="23">
        <v>46001.0</v>
      </c>
      <c r="I1456" s="22" t="s">
        <v>981</v>
      </c>
      <c r="J1456" s="22" t="s">
        <v>4346</v>
      </c>
      <c r="K1456" s="22" t="s">
        <v>4566</v>
      </c>
      <c r="L1456" s="35" t="s">
        <v>7337</v>
      </c>
      <c r="M1456" s="32" t="s">
        <v>54</v>
      </c>
    </row>
    <row r="1457">
      <c r="A1457" s="22" t="s">
        <v>2832</v>
      </c>
      <c r="B1457" s="22" t="s">
        <v>3828</v>
      </c>
      <c r="C1457" s="22" t="s">
        <v>5858</v>
      </c>
      <c r="D1457" s="22" t="s">
        <v>1151</v>
      </c>
      <c r="E1457" s="22">
        <v>1.0</v>
      </c>
      <c r="F1457" s="22"/>
      <c r="G1457" s="22" t="s">
        <v>273</v>
      </c>
      <c r="H1457" s="26">
        <v>45998.0</v>
      </c>
      <c r="I1457" s="22" t="s">
        <v>134</v>
      </c>
      <c r="J1457" s="22" t="s">
        <v>303</v>
      </c>
      <c r="K1457" s="22" t="s">
        <v>1155</v>
      </c>
      <c r="L1457" s="35" t="s">
        <v>7338</v>
      </c>
      <c r="M1457" s="32" t="s">
        <v>54</v>
      </c>
    </row>
    <row r="1458">
      <c r="A1458" s="22" t="s">
        <v>2833</v>
      </c>
      <c r="B1458" s="22" t="s">
        <v>5690</v>
      </c>
      <c r="C1458" s="22" t="s">
        <v>7339</v>
      </c>
      <c r="D1458" s="22" t="s">
        <v>2037</v>
      </c>
      <c r="E1458" s="22">
        <v>1.0</v>
      </c>
      <c r="F1458" s="22"/>
      <c r="G1458" s="22" t="s">
        <v>273</v>
      </c>
      <c r="H1458" s="26">
        <v>45998.0</v>
      </c>
      <c r="I1458" s="22" t="s">
        <v>266</v>
      </c>
      <c r="J1458" s="22" t="s">
        <v>869</v>
      </c>
      <c r="K1458" s="22" t="s">
        <v>2039</v>
      </c>
      <c r="L1458" s="35" t="s">
        <v>7340</v>
      </c>
      <c r="M1458" s="32" t="s">
        <v>105</v>
      </c>
    </row>
    <row r="1459">
      <c r="A1459" s="22" t="s">
        <v>7341</v>
      </c>
      <c r="B1459" s="22" t="s">
        <v>4635</v>
      </c>
      <c r="C1459" s="22" t="s">
        <v>7342</v>
      </c>
      <c r="D1459" s="22" t="s">
        <v>4025</v>
      </c>
      <c r="E1459" s="22">
        <v>1.0</v>
      </c>
      <c r="F1459" s="22"/>
      <c r="G1459" s="22" t="s">
        <v>294</v>
      </c>
      <c r="H1459" s="26">
        <v>45999.0</v>
      </c>
      <c r="I1459" s="22" t="s">
        <v>196</v>
      </c>
      <c r="J1459" s="22" t="s">
        <v>4026</v>
      </c>
      <c r="K1459" s="22" t="s">
        <v>4027</v>
      </c>
      <c r="L1459" s="35" t="s">
        <v>7343</v>
      </c>
      <c r="M1459" s="32" t="s">
        <v>55</v>
      </c>
    </row>
    <row r="1460">
      <c r="A1460" s="22" t="s">
        <v>2849</v>
      </c>
      <c r="B1460" s="22" t="s">
        <v>7344</v>
      </c>
      <c r="C1460" s="22" t="s">
        <v>7345</v>
      </c>
      <c r="D1460" s="22" t="s">
        <v>962</v>
      </c>
      <c r="E1460" s="22">
        <v>1.0</v>
      </c>
      <c r="F1460" s="22"/>
      <c r="G1460" s="22" t="s">
        <v>82</v>
      </c>
      <c r="H1460" s="26">
        <v>45997.0</v>
      </c>
      <c r="I1460" s="22" t="s">
        <v>841</v>
      </c>
      <c r="J1460" s="22" t="s">
        <v>634</v>
      </c>
      <c r="K1460" s="22" t="s">
        <v>966</v>
      </c>
      <c r="L1460" s="35" t="s">
        <v>7346</v>
      </c>
      <c r="M1460" s="32" t="s">
        <v>127</v>
      </c>
    </row>
    <row r="1461">
      <c r="A1461" s="22" t="s">
        <v>2850</v>
      </c>
      <c r="B1461" s="22" t="s">
        <v>7347</v>
      </c>
      <c r="C1461" s="22" t="s">
        <v>7348</v>
      </c>
      <c r="D1461" s="22" t="s">
        <v>859</v>
      </c>
      <c r="E1461" s="22">
        <v>1.0</v>
      </c>
      <c r="F1461" s="22"/>
      <c r="G1461" s="22" t="s">
        <v>82</v>
      </c>
      <c r="H1461" s="26">
        <v>45997.0</v>
      </c>
      <c r="I1461" s="22" t="s">
        <v>522</v>
      </c>
      <c r="J1461" s="22" t="s">
        <v>605</v>
      </c>
      <c r="K1461" s="22" t="s">
        <v>861</v>
      </c>
      <c r="L1461" s="35" t="s">
        <v>7349</v>
      </c>
      <c r="M1461" s="32" t="s">
        <v>95</v>
      </c>
    </row>
    <row r="1462">
      <c r="A1462" s="22" t="s">
        <v>2851</v>
      </c>
      <c r="B1462" s="22" t="s">
        <v>6682</v>
      </c>
      <c r="C1462" s="22" t="s">
        <v>7350</v>
      </c>
      <c r="D1462" s="22" t="s">
        <v>80</v>
      </c>
      <c r="E1462" s="22">
        <v>1.0</v>
      </c>
      <c r="F1462" s="22"/>
      <c r="G1462" s="22" t="s">
        <v>273</v>
      </c>
      <c r="H1462" s="23">
        <v>45991.0</v>
      </c>
      <c r="I1462" s="22" t="s">
        <v>192</v>
      </c>
      <c r="J1462" s="22" t="s">
        <v>83</v>
      </c>
      <c r="K1462" s="22" t="s">
        <v>86</v>
      </c>
      <c r="L1462" s="35" t="s">
        <v>7351</v>
      </c>
      <c r="M1462" s="32" t="s">
        <v>91</v>
      </c>
    </row>
    <row r="1463">
      <c r="A1463" s="22" t="s">
        <v>2852</v>
      </c>
      <c r="B1463" s="22" t="s">
        <v>4147</v>
      </c>
      <c r="C1463" s="22" t="s">
        <v>7352</v>
      </c>
      <c r="D1463" s="22" t="s">
        <v>96</v>
      </c>
      <c r="E1463" s="22">
        <v>1.0</v>
      </c>
      <c r="F1463" s="22"/>
      <c r="G1463" s="22" t="s">
        <v>294</v>
      </c>
      <c r="H1463" s="26">
        <v>45992.0</v>
      </c>
      <c r="I1463" s="22" t="s">
        <v>981</v>
      </c>
      <c r="J1463" s="22" t="s">
        <v>83</v>
      </c>
      <c r="K1463" s="22" t="s">
        <v>98</v>
      </c>
      <c r="L1463" s="35" t="s">
        <v>7353</v>
      </c>
      <c r="M1463" s="32" t="s">
        <v>55</v>
      </c>
    </row>
    <row r="1464">
      <c r="A1464" s="22" t="s">
        <v>2853</v>
      </c>
      <c r="B1464" s="22" t="s">
        <v>3992</v>
      </c>
      <c r="C1464" s="22" t="s">
        <v>7354</v>
      </c>
      <c r="D1464" s="22" t="s">
        <v>1832</v>
      </c>
      <c r="E1464" s="22">
        <v>1.0</v>
      </c>
      <c r="F1464" s="22"/>
      <c r="G1464" s="22" t="s">
        <v>82</v>
      </c>
      <c r="H1464" s="26">
        <v>45997.0</v>
      </c>
      <c r="I1464" s="22" t="s">
        <v>211</v>
      </c>
      <c r="J1464" s="22" t="s">
        <v>698</v>
      </c>
      <c r="K1464" s="22" t="s">
        <v>1834</v>
      </c>
      <c r="L1464" s="35" t="s">
        <v>7355</v>
      </c>
      <c r="M1464" s="32" t="s">
        <v>91</v>
      </c>
    </row>
    <row r="1465">
      <c r="A1465" s="22" t="s">
        <v>2855</v>
      </c>
      <c r="B1465" s="22" t="s">
        <v>3892</v>
      </c>
      <c r="C1465" s="22" t="s">
        <v>5929</v>
      </c>
      <c r="D1465" s="22" t="s">
        <v>484</v>
      </c>
      <c r="E1465" s="22">
        <v>1.0</v>
      </c>
      <c r="F1465" s="22"/>
      <c r="G1465" s="22" t="s">
        <v>287</v>
      </c>
      <c r="H1465" s="26">
        <v>45994.0</v>
      </c>
      <c r="I1465" s="22" t="s">
        <v>2155</v>
      </c>
      <c r="J1465" s="22" t="s">
        <v>311</v>
      </c>
      <c r="K1465" s="22" t="s">
        <v>487</v>
      </c>
      <c r="L1465" s="35" t="s">
        <v>7356</v>
      </c>
      <c r="M1465" s="32" t="s">
        <v>127</v>
      </c>
    </row>
    <row r="1466">
      <c r="A1466" s="22" t="s">
        <v>2845</v>
      </c>
      <c r="B1466" s="22" t="s">
        <v>4183</v>
      </c>
      <c r="C1466" s="22" t="s">
        <v>7357</v>
      </c>
      <c r="D1466" s="22" t="s">
        <v>484</v>
      </c>
      <c r="E1466" s="22">
        <v>1.0</v>
      </c>
      <c r="F1466" s="22"/>
      <c r="G1466" s="22" t="s">
        <v>202</v>
      </c>
      <c r="H1466" s="23">
        <v>46003.0</v>
      </c>
      <c r="I1466" s="22" t="s">
        <v>266</v>
      </c>
      <c r="J1466" s="22" t="s">
        <v>311</v>
      </c>
      <c r="K1466" s="22" t="s">
        <v>487</v>
      </c>
      <c r="L1466" s="35" t="s">
        <v>7358</v>
      </c>
      <c r="M1466" s="32" t="s">
        <v>127</v>
      </c>
    </row>
    <row r="1467">
      <c r="A1467" s="22" t="s">
        <v>2858</v>
      </c>
      <c r="B1467" s="22" t="s">
        <v>3674</v>
      </c>
      <c r="C1467" s="22" t="s">
        <v>3735</v>
      </c>
      <c r="D1467" s="22" t="s">
        <v>692</v>
      </c>
      <c r="E1467" s="22">
        <v>1.0</v>
      </c>
      <c r="F1467" s="22"/>
      <c r="G1467" s="22" t="s">
        <v>273</v>
      </c>
      <c r="H1467" s="26">
        <v>45998.0</v>
      </c>
      <c r="I1467" s="22" t="s">
        <v>153</v>
      </c>
      <c r="J1467" s="22" t="s">
        <v>369</v>
      </c>
      <c r="K1467" s="22" t="s">
        <v>694</v>
      </c>
      <c r="L1467" s="35" t="s">
        <v>7359</v>
      </c>
      <c r="M1467" s="32" t="s">
        <v>54</v>
      </c>
    </row>
    <row r="1468">
      <c r="A1468" s="22" t="s">
        <v>2859</v>
      </c>
      <c r="B1468" s="22" t="s">
        <v>3889</v>
      </c>
      <c r="C1468" s="22" t="s">
        <v>7217</v>
      </c>
      <c r="D1468" s="22" t="s">
        <v>124</v>
      </c>
      <c r="E1468" s="22">
        <v>1.0</v>
      </c>
      <c r="F1468" s="22"/>
      <c r="G1468" s="22" t="s">
        <v>1284</v>
      </c>
      <c r="H1468" s="26">
        <v>45993.0</v>
      </c>
      <c r="I1468" s="22" t="s">
        <v>235</v>
      </c>
      <c r="J1468" s="22" t="s">
        <v>83</v>
      </c>
      <c r="K1468" s="22" t="s">
        <v>126</v>
      </c>
      <c r="L1468" s="35" t="s">
        <v>7360</v>
      </c>
      <c r="M1468" s="32" t="s">
        <v>127</v>
      </c>
    </row>
    <row r="1469">
      <c r="A1469" s="22" t="s">
        <v>2861</v>
      </c>
      <c r="B1469" s="22" t="s">
        <v>3828</v>
      </c>
      <c r="C1469" s="22" t="s">
        <v>7361</v>
      </c>
      <c r="D1469" s="22" t="s">
        <v>96</v>
      </c>
      <c r="E1469" s="22">
        <v>1.0</v>
      </c>
      <c r="F1469" s="22"/>
      <c r="G1469" s="22" t="s">
        <v>294</v>
      </c>
      <c r="H1469" s="26">
        <v>45992.0</v>
      </c>
      <c r="I1469" s="22" t="s">
        <v>196</v>
      </c>
      <c r="J1469" s="22" t="s">
        <v>83</v>
      </c>
      <c r="K1469" s="22" t="s">
        <v>98</v>
      </c>
      <c r="L1469" s="35" t="s">
        <v>7362</v>
      </c>
      <c r="M1469" s="32" t="s">
        <v>55</v>
      </c>
    </row>
    <row r="1470">
      <c r="A1470" s="22" t="s">
        <v>2863</v>
      </c>
      <c r="B1470" s="22" t="s">
        <v>7363</v>
      </c>
      <c r="C1470" s="22" t="s">
        <v>7364</v>
      </c>
      <c r="D1470" s="22" t="s">
        <v>538</v>
      </c>
      <c r="E1470" s="22">
        <v>1.0</v>
      </c>
      <c r="F1470" s="22"/>
      <c r="G1470" s="22" t="s">
        <v>273</v>
      </c>
      <c r="H1470" s="26">
        <v>45998.0</v>
      </c>
      <c r="I1470" s="22" t="s">
        <v>138</v>
      </c>
      <c r="J1470" s="22" t="s">
        <v>369</v>
      </c>
      <c r="K1470" s="22" t="s">
        <v>542</v>
      </c>
      <c r="L1470" s="35" t="s">
        <v>7365</v>
      </c>
      <c r="M1470" s="32" t="s">
        <v>91</v>
      </c>
    </row>
    <row r="1471">
      <c r="A1471" s="22" t="s">
        <v>2847</v>
      </c>
      <c r="B1471" s="22" t="s">
        <v>7366</v>
      </c>
      <c r="C1471" s="22" t="s">
        <v>7367</v>
      </c>
      <c r="D1471" s="22" t="s">
        <v>778</v>
      </c>
      <c r="E1471" s="22">
        <v>1.0</v>
      </c>
      <c r="F1471" s="22"/>
      <c r="G1471" s="22" t="s">
        <v>273</v>
      </c>
      <c r="H1471" s="26">
        <v>45998.0</v>
      </c>
      <c r="I1471" s="22" t="s">
        <v>439</v>
      </c>
      <c r="J1471" s="22" t="s">
        <v>440</v>
      </c>
      <c r="K1471" s="22" t="s">
        <v>780</v>
      </c>
      <c r="L1471" s="35" t="s">
        <v>7368</v>
      </c>
      <c r="M1471" s="32" t="s">
        <v>127</v>
      </c>
    </row>
    <row r="1472">
      <c r="A1472" s="22" t="s">
        <v>2868</v>
      </c>
      <c r="B1472" s="22" t="s">
        <v>5690</v>
      </c>
      <c r="C1472" s="22" t="s">
        <v>7369</v>
      </c>
      <c r="D1472" s="22" t="s">
        <v>401</v>
      </c>
      <c r="E1472" s="22">
        <v>1.0</v>
      </c>
      <c r="F1472" s="22"/>
      <c r="G1472" s="22" t="s">
        <v>82</v>
      </c>
      <c r="H1472" s="26">
        <v>45997.0</v>
      </c>
      <c r="I1472" s="22" t="s">
        <v>196</v>
      </c>
      <c r="J1472" s="22" t="s">
        <v>319</v>
      </c>
      <c r="K1472" s="22" t="s">
        <v>403</v>
      </c>
      <c r="L1472" s="35" t="s">
        <v>7370</v>
      </c>
      <c r="M1472" s="32" t="s">
        <v>127</v>
      </c>
    </row>
    <row r="1473">
      <c r="A1473" s="22" t="s">
        <v>2921</v>
      </c>
      <c r="B1473" s="22" t="s">
        <v>7371</v>
      </c>
      <c r="C1473" s="22" t="s">
        <v>7372</v>
      </c>
      <c r="D1473" s="22" t="s">
        <v>649</v>
      </c>
      <c r="E1473" s="22">
        <v>1.0</v>
      </c>
      <c r="F1473" s="22"/>
      <c r="G1473" s="22" t="s">
        <v>82</v>
      </c>
      <c r="H1473" s="26">
        <v>45997.0</v>
      </c>
      <c r="I1473" s="22" t="s">
        <v>196</v>
      </c>
      <c r="J1473" s="22" t="s">
        <v>319</v>
      </c>
      <c r="K1473" s="22" t="s">
        <v>651</v>
      </c>
      <c r="L1473" s="35" t="s">
        <v>7373</v>
      </c>
      <c r="M1473" s="32" t="s">
        <v>91</v>
      </c>
    </row>
    <row r="1474">
      <c r="A1474" s="22" t="s">
        <v>2923</v>
      </c>
      <c r="B1474" s="22" t="s">
        <v>3808</v>
      </c>
      <c r="C1474" s="22" t="s">
        <v>7374</v>
      </c>
      <c r="D1474" s="22" t="s">
        <v>300</v>
      </c>
      <c r="E1474" s="22">
        <v>1.0</v>
      </c>
      <c r="F1474" s="22"/>
      <c r="G1474" s="22" t="s">
        <v>273</v>
      </c>
      <c r="H1474" s="26">
        <v>45998.0</v>
      </c>
      <c r="I1474" s="22" t="s">
        <v>1073</v>
      </c>
      <c r="J1474" s="22" t="s">
        <v>303</v>
      </c>
      <c r="K1474" s="22" t="s">
        <v>306</v>
      </c>
      <c r="L1474" s="35" t="s">
        <v>7375</v>
      </c>
      <c r="M1474" s="32" t="s">
        <v>55</v>
      </c>
    </row>
    <row r="1475">
      <c r="A1475" s="22" t="s">
        <v>2925</v>
      </c>
      <c r="B1475" s="22" t="s">
        <v>7376</v>
      </c>
      <c r="C1475" s="22" t="s">
        <v>7377</v>
      </c>
      <c r="D1475" s="22" t="s">
        <v>867</v>
      </c>
      <c r="E1475" s="22">
        <v>1.0</v>
      </c>
      <c r="F1475" s="22"/>
      <c r="G1475" s="22" t="s">
        <v>273</v>
      </c>
      <c r="H1475" s="26">
        <v>45998.0</v>
      </c>
      <c r="I1475" s="22" t="s">
        <v>1117</v>
      </c>
      <c r="J1475" s="22" t="s">
        <v>869</v>
      </c>
      <c r="K1475" s="22" t="s">
        <v>872</v>
      </c>
      <c r="L1475" s="35" t="s">
        <v>7378</v>
      </c>
      <c r="M1475" s="32" t="s">
        <v>55</v>
      </c>
    </row>
    <row r="1476">
      <c r="A1476" s="22" t="s">
        <v>253</v>
      </c>
      <c r="B1476" s="22" t="s">
        <v>7379</v>
      </c>
      <c r="C1476" s="22" t="s">
        <v>7380</v>
      </c>
      <c r="D1476" s="22" t="s">
        <v>124</v>
      </c>
      <c r="E1476" s="22">
        <v>1.0</v>
      </c>
      <c r="F1476" s="22"/>
      <c r="G1476" s="22" t="s">
        <v>82</v>
      </c>
      <c r="H1476" s="23">
        <v>45990.0</v>
      </c>
      <c r="I1476" s="22" t="s">
        <v>252</v>
      </c>
      <c r="J1476" s="22" t="s">
        <v>83</v>
      </c>
      <c r="K1476" s="22" t="s">
        <v>126</v>
      </c>
      <c r="L1476" s="35" t="s">
        <v>7381</v>
      </c>
      <c r="M1476" s="32" t="s">
        <v>127</v>
      </c>
    </row>
    <row r="1477">
      <c r="A1477" s="22" t="s">
        <v>2869</v>
      </c>
      <c r="B1477" s="22" t="s">
        <v>7382</v>
      </c>
      <c r="C1477" s="22" t="s">
        <v>7383</v>
      </c>
      <c r="D1477" s="22" t="s">
        <v>592</v>
      </c>
      <c r="E1477" s="22">
        <v>1.0</v>
      </c>
      <c r="F1477" s="22"/>
      <c r="G1477" s="22" t="s">
        <v>287</v>
      </c>
      <c r="H1477" s="26">
        <v>45994.0</v>
      </c>
      <c r="I1477" s="22" t="s">
        <v>192</v>
      </c>
      <c r="J1477" s="22" t="s">
        <v>311</v>
      </c>
      <c r="K1477" s="22" t="s">
        <v>594</v>
      </c>
      <c r="L1477" s="35" t="s">
        <v>7384</v>
      </c>
      <c r="M1477" s="32" t="s">
        <v>54</v>
      </c>
    </row>
    <row r="1478">
      <c r="A1478" s="22" t="s">
        <v>2870</v>
      </c>
      <c r="B1478" s="22" t="s">
        <v>4897</v>
      </c>
      <c r="C1478" s="22" t="s">
        <v>7385</v>
      </c>
      <c r="D1478" s="22" t="s">
        <v>979</v>
      </c>
      <c r="E1478" s="22">
        <v>1.0</v>
      </c>
      <c r="F1478" s="22"/>
      <c r="G1478" s="22" t="s">
        <v>82</v>
      </c>
      <c r="H1478" s="26">
        <v>45997.0</v>
      </c>
      <c r="I1478" s="22" t="s">
        <v>522</v>
      </c>
      <c r="J1478" s="22" t="s">
        <v>605</v>
      </c>
      <c r="K1478" s="22" t="s">
        <v>984</v>
      </c>
      <c r="L1478" s="35" t="s">
        <v>7386</v>
      </c>
      <c r="M1478" s="32" t="s">
        <v>55</v>
      </c>
    </row>
    <row r="1479">
      <c r="A1479" s="22" t="s">
        <v>2871</v>
      </c>
      <c r="B1479" s="22" t="s">
        <v>4484</v>
      </c>
      <c r="C1479" s="22" t="s">
        <v>7387</v>
      </c>
      <c r="D1479" s="22" t="s">
        <v>375</v>
      </c>
      <c r="E1479" s="22">
        <v>1.0</v>
      </c>
      <c r="F1479" s="22"/>
      <c r="G1479" s="22" t="s">
        <v>82</v>
      </c>
      <c r="H1479" s="26">
        <v>45997.0</v>
      </c>
      <c r="I1479" s="22" t="s">
        <v>138</v>
      </c>
      <c r="J1479" s="22" t="s">
        <v>377</v>
      </c>
      <c r="K1479" s="22" t="s">
        <v>380</v>
      </c>
      <c r="L1479" s="35" t="s">
        <v>7388</v>
      </c>
      <c r="M1479" s="32" t="s">
        <v>55</v>
      </c>
    </row>
    <row r="1480">
      <c r="A1480" s="22" t="s">
        <v>2872</v>
      </c>
      <c r="B1480" s="22" t="s">
        <v>7389</v>
      </c>
      <c r="C1480" s="22" t="s">
        <v>7390</v>
      </c>
      <c r="D1480" s="22" t="s">
        <v>367</v>
      </c>
      <c r="E1480" s="22">
        <v>1.0</v>
      </c>
      <c r="F1480" s="22"/>
      <c r="G1480" s="22" t="s">
        <v>273</v>
      </c>
      <c r="H1480" s="26">
        <v>45998.0</v>
      </c>
      <c r="I1480" s="22" t="s">
        <v>149</v>
      </c>
      <c r="J1480" s="22" t="s">
        <v>369</v>
      </c>
      <c r="K1480" s="22" t="s">
        <v>372</v>
      </c>
      <c r="L1480" s="35" t="s">
        <v>7391</v>
      </c>
      <c r="M1480" s="32" t="s">
        <v>55</v>
      </c>
    </row>
    <row r="1481">
      <c r="A1481" s="22" t="s">
        <v>255</v>
      </c>
      <c r="B1481" s="22" t="s">
        <v>7392</v>
      </c>
      <c r="C1481" s="22" t="s">
        <v>7393</v>
      </c>
      <c r="D1481" s="22" t="s">
        <v>124</v>
      </c>
      <c r="E1481" s="22">
        <v>1.0</v>
      </c>
      <c r="F1481" s="22"/>
      <c r="G1481" s="22" t="s">
        <v>82</v>
      </c>
      <c r="H1481" s="23">
        <v>45990.0</v>
      </c>
      <c r="I1481" s="22" t="s">
        <v>134</v>
      </c>
      <c r="J1481" s="22" t="s">
        <v>83</v>
      </c>
      <c r="K1481" s="22" t="s">
        <v>126</v>
      </c>
      <c r="L1481" s="35" t="s">
        <v>7394</v>
      </c>
      <c r="M1481" s="32" t="s">
        <v>127</v>
      </c>
    </row>
    <row r="1482">
      <c r="A1482" s="22" t="s">
        <v>2873</v>
      </c>
      <c r="B1482" s="22" t="s">
        <v>7395</v>
      </c>
      <c r="C1482" s="22" t="s">
        <v>7396</v>
      </c>
      <c r="D1482" s="22" t="s">
        <v>124</v>
      </c>
      <c r="E1482" s="22">
        <v>1.0</v>
      </c>
      <c r="F1482" s="22"/>
      <c r="G1482" s="22" t="s">
        <v>82</v>
      </c>
      <c r="H1482" s="26">
        <v>45997.0</v>
      </c>
      <c r="I1482" s="22" t="s">
        <v>266</v>
      </c>
      <c r="J1482" s="22" t="s">
        <v>83</v>
      </c>
      <c r="K1482" s="22" t="s">
        <v>126</v>
      </c>
      <c r="L1482" s="35" t="s">
        <v>7397</v>
      </c>
      <c r="M1482" s="32" t="s">
        <v>127</v>
      </c>
    </row>
    <row r="1483">
      <c r="A1483" s="22" t="s">
        <v>2874</v>
      </c>
      <c r="B1483" s="22" t="s">
        <v>3973</v>
      </c>
      <c r="C1483" s="22" t="s">
        <v>7398</v>
      </c>
      <c r="D1483" s="22" t="s">
        <v>724</v>
      </c>
      <c r="E1483" s="22">
        <v>1.0</v>
      </c>
      <c r="F1483" s="22"/>
      <c r="G1483" s="22" t="s">
        <v>82</v>
      </c>
      <c r="H1483" s="26">
        <v>45997.0</v>
      </c>
      <c r="I1483" s="22" t="s">
        <v>196</v>
      </c>
      <c r="J1483" s="22" t="s">
        <v>319</v>
      </c>
      <c r="K1483" s="22" t="s">
        <v>726</v>
      </c>
      <c r="L1483" s="35" t="s">
        <v>7399</v>
      </c>
      <c r="M1483" s="32" t="s">
        <v>95</v>
      </c>
    </row>
    <row r="1484">
      <c r="A1484" s="22" t="s">
        <v>2874</v>
      </c>
      <c r="B1484" s="22" t="s">
        <v>3973</v>
      </c>
      <c r="C1484" s="22" t="s">
        <v>7398</v>
      </c>
      <c r="D1484" s="25"/>
      <c r="E1484" s="25"/>
      <c r="F1484" s="22"/>
      <c r="G1484" s="22" t="s">
        <v>82</v>
      </c>
      <c r="H1484" s="26">
        <v>45997.0</v>
      </c>
      <c r="I1484" s="22" t="s">
        <v>196</v>
      </c>
      <c r="J1484" s="22" t="s">
        <v>319</v>
      </c>
      <c r="K1484" s="22" t="s">
        <v>2875</v>
      </c>
      <c r="L1484" s="35" t="s">
        <v>7400</v>
      </c>
    </row>
    <row r="1485">
      <c r="A1485" s="22" t="s">
        <v>2876</v>
      </c>
      <c r="B1485" s="22" t="s">
        <v>7401</v>
      </c>
      <c r="C1485" s="22" t="s">
        <v>7402</v>
      </c>
      <c r="D1485" s="22" t="s">
        <v>867</v>
      </c>
      <c r="E1485" s="22">
        <v>1.0</v>
      </c>
      <c r="F1485" s="22"/>
      <c r="G1485" s="22" t="s">
        <v>273</v>
      </c>
      <c r="H1485" s="26">
        <v>45998.0</v>
      </c>
      <c r="I1485" s="22" t="s">
        <v>1117</v>
      </c>
      <c r="J1485" s="22" t="s">
        <v>869</v>
      </c>
      <c r="K1485" s="22" t="s">
        <v>872</v>
      </c>
      <c r="L1485" s="35" t="s">
        <v>7403</v>
      </c>
      <c r="M1485" s="32" t="s">
        <v>55</v>
      </c>
    </row>
    <row r="1486">
      <c r="A1486" s="22" t="s">
        <v>2877</v>
      </c>
      <c r="B1486" s="22" t="s">
        <v>7404</v>
      </c>
      <c r="C1486" s="22" t="s">
        <v>7405</v>
      </c>
      <c r="D1486" s="22" t="s">
        <v>99</v>
      </c>
      <c r="E1486" s="22">
        <v>1.0</v>
      </c>
      <c r="F1486" s="22"/>
      <c r="G1486" s="22" t="s">
        <v>273</v>
      </c>
      <c r="H1486" s="26">
        <v>45998.0</v>
      </c>
      <c r="I1486" s="22" t="s">
        <v>153</v>
      </c>
      <c r="J1486" s="22" t="s">
        <v>83</v>
      </c>
      <c r="K1486" s="22" t="s">
        <v>102</v>
      </c>
      <c r="L1486" s="35" t="s">
        <v>7406</v>
      </c>
      <c r="M1486" s="32" t="s">
        <v>105</v>
      </c>
    </row>
    <row r="1487">
      <c r="A1487" s="22" t="s">
        <v>2848</v>
      </c>
      <c r="B1487" s="22" t="s">
        <v>7407</v>
      </c>
      <c r="C1487" s="22" t="s">
        <v>7407</v>
      </c>
      <c r="D1487" s="22" t="s">
        <v>124</v>
      </c>
      <c r="E1487" s="22">
        <v>1.0</v>
      </c>
      <c r="F1487" s="22"/>
      <c r="G1487" s="22" t="s">
        <v>82</v>
      </c>
      <c r="H1487" s="26">
        <v>45997.0</v>
      </c>
      <c r="I1487" s="22" t="s">
        <v>134</v>
      </c>
      <c r="J1487" s="22" t="s">
        <v>83</v>
      </c>
      <c r="K1487" s="22" t="s">
        <v>126</v>
      </c>
      <c r="L1487" s="35" t="s">
        <v>7408</v>
      </c>
      <c r="M1487" s="32" t="s">
        <v>127</v>
      </c>
    </row>
    <row r="1488">
      <c r="A1488" s="22" t="s">
        <v>2857</v>
      </c>
      <c r="B1488" s="22" t="s">
        <v>7409</v>
      </c>
      <c r="C1488" s="22" t="s">
        <v>7410</v>
      </c>
      <c r="D1488" s="22" t="s">
        <v>96</v>
      </c>
      <c r="E1488" s="22">
        <v>2.0</v>
      </c>
      <c r="F1488" s="22"/>
      <c r="G1488" s="22" t="s">
        <v>82</v>
      </c>
      <c r="H1488" s="26">
        <v>45997.0</v>
      </c>
      <c r="I1488" s="22" t="s">
        <v>138</v>
      </c>
      <c r="J1488" s="22" t="s">
        <v>83</v>
      </c>
      <c r="K1488" s="22" t="s">
        <v>98</v>
      </c>
      <c r="L1488" s="35" t="s">
        <v>7411</v>
      </c>
      <c r="M1488" s="32" t="s">
        <v>55</v>
      </c>
    </row>
    <row r="1489">
      <c r="A1489" s="22" t="s">
        <v>2881</v>
      </c>
      <c r="B1489" s="22" t="s">
        <v>7412</v>
      </c>
      <c r="C1489" s="22" t="s">
        <v>7413</v>
      </c>
      <c r="D1489" s="22" t="s">
        <v>386</v>
      </c>
      <c r="E1489" s="22">
        <v>1.0</v>
      </c>
      <c r="F1489" s="22"/>
      <c r="G1489" s="22" t="s">
        <v>273</v>
      </c>
      <c r="H1489" s="26">
        <v>45998.0</v>
      </c>
      <c r="I1489" s="22" t="s">
        <v>134</v>
      </c>
      <c r="J1489" s="22" t="s">
        <v>311</v>
      </c>
      <c r="K1489" s="22" t="s">
        <v>390</v>
      </c>
      <c r="L1489" s="35" t="s">
        <v>7414</v>
      </c>
      <c r="M1489" s="32" t="s">
        <v>55</v>
      </c>
    </row>
    <row r="1490">
      <c r="A1490" s="22" t="s">
        <v>256</v>
      </c>
      <c r="B1490" s="22" t="s">
        <v>6411</v>
      </c>
      <c r="C1490" s="22" t="s">
        <v>4151</v>
      </c>
      <c r="D1490" s="22" t="s">
        <v>108</v>
      </c>
      <c r="E1490" s="22">
        <v>1.0</v>
      </c>
      <c r="F1490" s="22"/>
      <c r="G1490" s="22" t="s">
        <v>82</v>
      </c>
      <c r="H1490" s="23">
        <v>45990.0</v>
      </c>
      <c r="I1490" s="22" t="s">
        <v>211</v>
      </c>
      <c r="J1490" s="22" t="s">
        <v>111</v>
      </c>
      <c r="K1490" s="22" t="s">
        <v>114</v>
      </c>
      <c r="L1490" s="35" t="s">
        <v>7415</v>
      </c>
      <c r="M1490" s="32" t="s">
        <v>54</v>
      </c>
    </row>
    <row r="1491">
      <c r="A1491" s="22" t="s">
        <v>2882</v>
      </c>
      <c r="B1491" s="22" t="s">
        <v>6039</v>
      </c>
      <c r="C1491" s="22" t="s">
        <v>7416</v>
      </c>
      <c r="D1491" s="22" t="s">
        <v>276</v>
      </c>
      <c r="E1491" s="22">
        <v>1.0</v>
      </c>
      <c r="F1491" s="22"/>
      <c r="G1491" s="22" t="s">
        <v>82</v>
      </c>
      <c r="H1491" s="26">
        <v>45997.0</v>
      </c>
      <c r="I1491" s="22" t="s">
        <v>439</v>
      </c>
      <c r="J1491" s="22" t="s">
        <v>278</v>
      </c>
      <c r="K1491" s="22" t="s">
        <v>281</v>
      </c>
      <c r="L1491" s="35" t="s">
        <v>7417</v>
      </c>
      <c r="M1491" s="32" t="s">
        <v>55</v>
      </c>
    </row>
    <row r="1492">
      <c r="A1492" s="22" t="s">
        <v>2883</v>
      </c>
      <c r="B1492" s="22" t="s">
        <v>4877</v>
      </c>
      <c r="C1492" s="22" t="s">
        <v>7418</v>
      </c>
      <c r="D1492" s="22" t="s">
        <v>1180</v>
      </c>
      <c r="E1492" s="22">
        <v>1.0</v>
      </c>
      <c r="F1492" s="22"/>
      <c r="G1492" s="22" t="s">
        <v>82</v>
      </c>
      <c r="H1492" s="26">
        <v>45997.0</v>
      </c>
      <c r="I1492" s="22" t="s">
        <v>196</v>
      </c>
      <c r="J1492" s="22" t="s">
        <v>623</v>
      </c>
      <c r="K1492" s="22" t="s">
        <v>1182</v>
      </c>
      <c r="L1492" s="35" t="s">
        <v>7419</v>
      </c>
      <c r="M1492" s="32" t="s">
        <v>105</v>
      </c>
    </row>
    <row r="1493">
      <c r="A1493" s="22" t="s">
        <v>7420</v>
      </c>
      <c r="B1493" s="22" t="s">
        <v>4830</v>
      </c>
      <c r="C1493" s="22" t="s">
        <v>7421</v>
      </c>
      <c r="D1493" s="22" t="s">
        <v>4521</v>
      </c>
      <c r="E1493" s="22">
        <v>1.0</v>
      </c>
      <c r="F1493" s="22"/>
      <c r="G1493" s="22" t="s">
        <v>294</v>
      </c>
      <c r="H1493" s="26">
        <v>45999.0</v>
      </c>
      <c r="I1493" s="22" t="s">
        <v>196</v>
      </c>
      <c r="J1493" s="22" t="s">
        <v>4399</v>
      </c>
      <c r="K1493" s="22" t="s">
        <v>4522</v>
      </c>
      <c r="L1493" s="35" t="s">
        <v>7422</v>
      </c>
      <c r="M1493" s="32" t="s">
        <v>54</v>
      </c>
    </row>
    <row r="1494">
      <c r="A1494" s="22" t="s">
        <v>2884</v>
      </c>
      <c r="B1494" s="22" t="s">
        <v>4211</v>
      </c>
      <c r="C1494" s="22" t="s">
        <v>7423</v>
      </c>
      <c r="D1494" s="22" t="s">
        <v>584</v>
      </c>
      <c r="E1494" s="22">
        <v>1.0</v>
      </c>
      <c r="F1494" s="22"/>
      <c r="G1494" s="22" t="s">
        <v>82</v>
      </c>
      <c r="H1494" s="26">
        <v>45997.0</v>
      </c>
      <c r="I1494" s="22" t="s">
        <v>153</v>
      </c>
      <c r="J1494" s="22" t="s">
        <v>377</v>
      </c>
      <c r="K1494" s="22" t="s">
        <v>586</v>
      </c>
      <c r="L1494" s="35" t="s">
        <v>7424</v>
      </c>
      <c r="M1494" s="32" t="s">
        <v>105</v>
      </c>
    </row>
    <row r="1495">
      <c r="A1495" s="22" t="s">
        <v>2884</v>
      </c>
      <c r="B1495" s="22" t="s">
        <v>4211</v>
      </c>
      <c r="C1495" s="22" t="s">
        <v>7423</v>
      </c>
      <c r="D1495" s="25"/>
      <c r="E1495" s="25"/>
      <c r="F1495" s="22"/>
      <c r="G1495" s="22" t="s">
        <v>82</v>
      </c>
      <c r="H1495" s="26">
        <v>45997.0</v>
      </c>
      <c r="I1495" s="22" t="s">
        <v>153</v>
      </c>
      <c r="J1495" s="22" t="s">
        <v>377</v>
      </c>
      <c r="K1495" s="22" t="s">
        <v>2885</v>
      </c>
      <c r="L1495" s="35" t="s">
        <v>7425</v>
      </c>
    </row>
    <row r="1496">
      <c r="A1496" s="22" t="s">
        <v>2887</v>
      </c>
      <c r="B1496" s="22" t="s">
        <v>6763</v>
      </c>
      <c r="C1496" s="22" t="s">
        <v>7426</v>
      </c>
      <c r="D1496" s="22" t="s">
        <v>141</v>
      </c>
      <c r="E1496" s="22">
        <v>1.0</v>
      </c>
      <c r="F1496" s="22"/>
      <c r="G1496" s="22" t="s">
        <v>273</v>
      </c>
      <c r="H1496" s="26">
        <v>45998.0</v>
      </c>
      <c r="I1496" s="22" t="s">
        <v>497</v>
      </c>
      <c r="J1496" s="22" t="s">
        <v>83</v>
      </c>
      <c r="K1496" s="22" t="s">
        <v>143</v>
      </c>
      <c r="L1496" s="35" t="s">
        <v>7427</v>
      </c>
      <c r="M1496" s="32" t="s">
        <v>54</v>
      </c>
    </row>
    <row r="1497">
      <c r="A1497" s="22" t="s">
        <v>2889</v>
      </c>
      <c r="B1497" s="22" t="s">
        <v>7428</v>
      </c>
      <c r="C1497" s="22" t="s">
        <v>7429</v>
      </c>
      <c r="D1497" s="22" t="s">
        <v>1370</v>
      </c>
      <c r="E1497" s="22">
        <v>1.0</v>
      </c>
      <c r="F1497" s="22"/>
      <c r="G1497" s="22" t="s">
        <v>273</v>
      </c>
      <c r="H1497" s="23">
        <v>45991.0</v>
      </c>
      <c r="I1497" s="22" t="s">
        <v>138</v>
      </c>
      <c r="J1497" s="22" t="s">
        <v>329</v>
      </c>
      <c r="K1497" s="22" t="s">
        <v>1372</v>
      </c>
      <c r="L1497" s="35" t="s">
        <v>7430</v>
      </c>
      <c r="M1497" s="32" t="s">
        <v>91</v>
      </c>
    </row>
    <row r="1498">
      <c r="A1498" s="22" t="s">
        <v>2890</v>
      </c>
      <c r="B1498" s="22" t="s">
        <v>4498</v>
      </c>
      <c r="C1498" s="22" t="s">
        <v>7084</v>
      </c>
      <c r="D1498" s="22" t="s">
        <v>584</v>
      </c>
      <c r="E1498" s="22">
        <v>1.0</v>
      </c>
      <c r="F1498" s="22"/>
      <c r="G1498" s="22" t="s">
        <v>82</v>
      </c>
      <c r="H1498" s="26">
        <v>45997.0</v>
      </c>
      <c r="I1498" s="22" t="s">
        <v>134</v>
      </c>
      <c r="J1498" s="22" t="s">
        <v>377</v>
      </c>
      <c r="K1498" s="22" t="s">
        <v>586</v>
      </c>
      <c r="L1498" s="35" t="s">
        <v>7431</v>
      </c>
      <c r="M1498" s="32" t="s">
        <v>105</v>
      </c>
    </row>
    <row r="1499">
      <c r="A1499" s="22" t="s">
        <v>2891</v>
      </c>
      <c r="B1499" s="22" t="s">
        <v>6427</v>
      </c>
      <c r="C1499" s="22" t="s">
        <v>7432</v>
      </c>
      <c r="D1499" s="22" t="s">
        <v>2140</v>
      </c>
      <c r="E1499" s="22">
        <v>1.0</v>
      </c>
      <c r="F1499" s="22"/>
      <c r="G1499" s="22" t="s">
        <v>82</v>
      </c>
      <c r="H1499" s="26">
        <v>45997.0</v>
      </c>
      <c r="I1499" s="22" t="s">
        <v>181</v>
      </c>
      <c r="J1499" s="22" t="s">
        <v>319</v>
      </c>
      <c r="K1499" s="22" t="s">
        <v>2142</v>
      </c>
      <c r="L1499" s="35" t="s">
        <v>7433</v>
      </c>
      <c r="M1499" s="32" t="s">
        <v>54</v>
      </c>
    </row>
    <row r="1500">
      <c r="A1500" s="22" t="s">
        <v>2892</v>
      </c>
      <c r="B1500" s="22" t="s">
        <v>7434</v>
      </c>
      <c r="C1500" s="22" t="s">
        <v>7435</v>
      </c>
      <c r="D1500" s="22" t="s">
        <v>99</v>
      </c>
      <c r="E1500" s="22">
        <v>1.0</v>
      </c>
      <c r="F1500" s="22"/>
      <c r="G1500" s="22" t="s">
        <v>202</v>
      </c>
      <c r="H1500" s="26">
        <v>45996.0</v>
      </c>
      <c r="I1500" s="22" t="s">
        <v>149</v>
      </c>
      <c r="J1500" s="22" t="s">
        <v>83</v>
      </c>
      <c r="K1500" s="22" t="s">
        <v>102</v>
      </c>
      <c r="L1500" s="35" t="s">
        <v>7436</v>
      </c>
      <c r="M1500" s="32" t="s">
        <v>105</v>
      </c>
    </row>
    <row r="1501">
      <c r="A1501" s="22" t="s">
        <v>257</v>
      </c>
      <c r="B1501" s="22" t="s">
        <v>3992</v>
      </c>
      <c r="C1501" s="22" t="s">
        <v>7437</v>
      </c>
      <c r="D1501" s="22" t="s">
        <v>96</v>
      </c>
      <c r="E1501" s="22">
        <v>1.0</v>
      </c>
      <c r="F1501" s="22"/>
      <c r="G1501" s="22" t="s">
        <v>82</v>
      </c>
      <c r="H1501" s="23">
        <v>45990.0</v>
      </c>
      <c r="I1501" s="22" t="s">
        <v>138</v>
      </c>
      <c r="J1501" s="22" t="s">
        <v>83</v>
      </c>
      <c r="K1501" s="22" t="s">
        <v>98</v>
      </c>
      <c r="L1501" s="35" t="s">
        <v>7438</v>
      </c>
      <c r="M1501" s="32" t="s">
        <v>55</v>
      </c>
    </row>
    <row r="1502">
      <c r="A1502" s="22" t="s">
        <v>2894</v>
      </c>
      <c r="B1502" s="22" t="s">
        <v>7439</v>
      </c>
      <c r="C1502" s="22" t="s">
        <v>7440</v>
      </c>
      <c r="D1502" s="22" t="s">
        <v>1527</v>
      </c>
      <c r="E1502" s="22">
        <v>1.0</v>
      </c>
      <c r="F1502" s="22"/>
      <c r="G1502" s="22" t="s">
        <v>273</v>
      </c>
      <c r="H1502" s="26">
        <v>45998.0</v>
      </c>
      <c r="I1502" s="22" t="s">
        <v>134</v>
      </c>
      <c r="J1502" s="22" t="s">
        <v>451</v>
      </c>
      <c r="K1502" s="22" t="s">
        <v>1531</v>
      </c>
      <c r="L1502" s="35" t="s">
        <v>7441</v>
      </c>
      <c r="M1502" s="32" t="s">
        <v>105</v>
      </c>
    </row>
    <row r="1503">
      <c r="A1503" s="22" t="s">
        <v>2897</v>
      </c>
      <c r="B1503" s="22" t="s">
        <v>4237</v>
      </c>
      <c r="C1503" s="22" t="s">
        <v>7442</v>
      </c>
      <c r="D1503" s="22" t="s">
        <v>867</v>
      </c>
      <c r="E1503" s="22">
        <v>1.0</v>
      </c>
      <c r="F1503" s="22"/>
      <c r="G1503" s="22" t="s">
        <v>273</v>
      </c>
      <c r="H1503" s="26">
        <v>45998.0</v>
      </c>
      <c r="I1503" s="22" t="s">
        <v>1117</v>
      </c>
      <c r="J1503" s="22" t="s">
        <v>869</v>
      </c>
      <c r="K1503" s="22" t="s">
        <v>872</v>
      </c>
      <c r="L1503" s="35" t="s">
        <v>7443</v>
      </c>
      <c r="M1503" s="32" t="s">
        <v>55</v>
      </c>
    </row>
    <row r="1504">
      <c r="A1504" s="22" t="s">
        <v>2898</v>
      </c>
      <c r="B1504" s="22" t="s">
        <v>4470</v>
      </c>
      <c r="C1504" s="22" t="s">
        <v>5546</v>
      </c>
      <c r="D1504" s="22" t="s">
        <v>141</v>
      </c>
      <c r="E1504" s="22">
        <v>1.0</v>
      </c>
      <c r="F1504" s="22"/>
      <c r="G1504" s="22" t="s">
        <v>82</v>
      </c>
      <c r="H1504" s="26">
        <v>45997.0</v>
      </c>
      <c r="I1504" s="22" t="s">
        <v>145</v>
      </c>
      <c r="J1504" s="22" t="s">
        <v>83</v>
      </c>
      <c r="K1504" s="22" t="s">
        <v>143</v>
      </c>
      <c r="L1504" s="35" t="s">
        <v>7444</v>
      </c>
      <c r="M1504" s="32" t="s">
        <v>54</v>
      </c>
    </row>
    <row r="1505">
      <c r="A1505" s="22" t="s">
        <v>2899</v>
      </c>
      <c r="B1505" s="22" t="s">
        <v>5613</v>
      </c>
      <c r="C1505" s="22" t="s">
        <v>7445</v>
      </c>
      <c r="D1505" s="22" t="s">
        <v>879</v>
      </c>
      <c r="E1505" s="22">
        <v>1.0</v>
      </c>
      <c r="F1505" s="22"/>
      <c r="G1505" s="22" t="s">
        <v>273</v>
      </c>
      <c r="H1505" s="26">
        <v>45998.0</v>
      </c>
      <c r="I1505" s="22" t="s">
        <v>196</v>
      </c>
      <c r="J1505" s="22" t="s">
        <v>869</v>
      </c>
      <c r="K1505" s="22" t="s">
        <v>881</v>
      </c>
      <c r="L1505" s="35" t="s">
        <v>7446</v>
      </c>
      <c r="M1505" s="32" t="s">
        <v>127</v>
      </c>
    </row>
    <row r="1506">
      <c r="A1506" s="22" t="s">
        <v>7447</v>
      </c>
      <c r="B1506" s="22" t="s">
        <v>7448</v>
      </c>
      <c r="C1506" s="22" t="s">
        <v>7449</v>
      </c>
      <c r="D1506" s="22" t="s">
        <v>4044</v>
      </c>
      <c r="E1506" s="22">
        <v>1.0</v>
      </c>
      <c r="F1506" s="22"/>
      <c r="G1506" s="22" t="s">
        <v>336</v>
      </c>
      <c r="H1506" s="23">
        <v>46002.0</v>
      </c>
      <c r="I1506" s="22" t="s">
        <v>243</v>
      </c>
      <c r="J1506" s="22" t="s">
        <v>4045</v>
      </c>
      <c r="K1506" s="22" t="s">
        <v>4046</v>
      </c>
      <c r="L1506" s="35" t="s">
        <v>7450</v>
      </c>
      <c r="M1506" s="32" t="s">
        <v>55</v>
      </c>
    </row>
    <row r="1507">
      <c r="A1507" s="22" t="s">
        <v>2900</v>
      </c>
      <c r="B1507" s="22" t="s">
        <v>7451</v>
      </c>
      <c r="C1507" s="22" t="s">
        <v>7452</v>
      </c>
      <c r="D1507" s="22" t="s">
        <v>141</v>
      </c>
      <c r="E1507" s="22">
        <v>1.0</v>
      </c>
      <c r="F1507" s="22"/>
      <c r="G1507" s="22" t="s">
        <v>273</v>
      </c>
      <c r="H1507" s="23">
        <v>45991.0</v>
      </c>
      <c r="I1507" s="22" t="s">
        <v>196</v>
      </c>
      <c r="J1507" s="22" t="s">
        <v>83</v>
      </c>
      <c r="K1507" s="22" t="s">
        <v>143</v>
      </c>
      <c r="L1507" s="35" t="s">
        <v>7453</v>
      </c>
      <c r="M1507" s="32" t="s">
        <v>54</v>
      </c>
    </row>
    <row r="1508">
      <c r="A1508" s="22" t="s">
        <v>2901</v>
      </c>
      <c r="B1508" s="22" t="s">
        <v>5369</v>
      </c>
      <c r="C1508" s="22" t="s">
        <v>7454</v>
      </c>
      <c r="D1508" s="22" t="s">
        <v>979</v>
      </c>
      <c r="E1508" s="22">
        <v>1.0</v>
      </c>
      <c r="F1508" s="22"/>
      <c r="G1508" s="22" t="s">
        <v>82</v>
      </c>
      <c r="H1508" s="26">
        <v>45997.0</v>
      </c>
      <c r="I1508" s="22" t="s">
        <v>522</v>
      </c>
      <c r="J1508" s="22" t="s">
        <v>605</v>
      </c>
      <c r="K1508" s="22" t="s">
        <v>984</v>
      </c>
      <c r="L1508" s="35" t="s">
        <v>7455</v>
      </c>
      <c r="M1508" s="32" t="s">
        <v>55</v>
      </c>
    </row>
    <row r="1509">
      <c r="A1509" s="22" t="s">
        <v>2902</v>
      </c>
      <c r="B1509" s="22" t="s">
        <v>7456</v>
      </c>
      <c r="C1509" s="22" t="s">
        <v>7457</v>
      </c>
      <c r="D1509" s="22" t="s">
        <v>367</v>
      </c>
      <c r="E1509" s="22">
        <v>1.0</v>
      </c>
      <c r="F1509" s="22"/>
      <c r="G1509" s="22" t="s">
        <v>273</v>
      </c>
      <c r="H1509" s="26">
        <v>45998.0</v>
      </c>
      <c r="I1509" s="22" t="s">
        <v>149</v>
      </c>
      <c r="J1509" s="22" t="s">
        <v>369</v>
      </c>
      <c r="K1509" s="22" t="s">
        <v>372</v>
      </c>
      <c r="L1509" s="35" t="s">
        <v>7458</v>
      </c>
      <c r="M1509" s="32" t="s">
        <v>55</v>
      </c>
    </row>
    <row r="1510">
      <c r="A1510" s="22" t="s">
        <v>2903</v>
      </c>
      <c r="B1510" s="22" t="s">
        <v>6076</v>
      </c>
      <c r="C1510" s="22" t="s">
        <v>7459</v>
      </c>
      <c r="D1510" s="22" t="s">
        <v>643</v>
      </c>
      <c r="E1510" s="22">
        <v>1.0</v>
      </c>
      <c r="F1510" s="22"/>
      <c r="G1510" s="22" t="s">
        <v>273</v>
      </c>
      <c r="H1510" s="23">
        <v>46005.0</v>
      </c>
      <c r="I1510" s="22" t="s">
        <v>177</v>
      </c>
      <c r="J1510" s="22" t="s">
        <v>634</v>
      </c>
      <c r="K1510" s="22" t="s">
        <v>647</v>
      </c>
      <c r="L1510" s="35" t="s">
        <v>7460</v>
      </c>
      <c r="M1510" s="32" t="s">
        <v>54</v>
      </c>
    </row>
    <row r="1511">
      <c r="A1511" s="22" t="s">
        <v>2904</v>
      </c>
      <c r="B1511" s="22" t="s">
        <v>7461</v>
      </c>
      <c r="C1511" s="22" t="s">
        <v>7462</v>
      </c>
      <c r="D1511" s="22" t="s">
        <v>124</v>
      </c>
      <c r="E1511" s="22">
        <v>1.0</v>
      </c>
      <c r="F1511" s="22"/>
      <c r="G1511" s="22" t="s">
        <v>82</v>
      </c>
      <c r="H1511" s="26">
        <v>45997.0</v>
      </c>
      <c r="I1511" s="22" t="s">
        <v>153</v>
      </c>
      <c r="J1511" s="22" t="s">
        <v>83</v>
      </c>
      <c r="K1511" s="22" t="s">
        <v>126</v>
      </c>
      <c r="L1511" s="35" t="s">
        <v>7463</v>
      </c>
      <c r="M1511" s="32" t="s">
        <v>127</v>
      </c>
    </row>
    <row r="1512">
      <c r="A1512" s="22" t="s">
        <v>2906</v>
      </c>
      <c r="B1512" s="22" t="s">
        <v>5178</v>
      </c>
      <c r="C1512" s="22" t="s">
        <v>3705</v>
      </c>
      <c r="D1512" s="22" t="s">
        <v>415</v>
      </c>
      <c r="E1512" s="22">
        <v>1.0</v>
      </c>
      <c r="F1512" s="22"/>
      <c r="G1512" s="22" t="s">
        <v>82</v>
      </c>
      <c r="H1512" s="23">
        <v>46004.0</v>
      </c>
      <c r="I1512" s="22" t="s">
        <v>266</v>
      </c>
      <c r="J1512" s="22" t="s">
        <v>377</v>
      </c>
      <c r="K1512" s="22" t="s">
        <v>419</v>
      </c>
      <c r="L1512" s="35" t="s">
        <v>7464</v>
      </c>
      <c r="M1512" s="32" t="s">
        <v>91</v>
      </c>
    </row>
    <row r="1513">
      <c r="A1513" s="22" t="s">
        <v>2909</v>
      </c>
      <c r="B1513" s="22" t="s">
        <v>7465</v>
      </c>
      <c r="C1513" s="22" t="s">
        <v>7466</v>
      </c>
      <c r="D1513" s="22" t="s">
        <v>96</v>
      </c>
      <c r="E1513" s="22">
        <v>1.0</v>
      </c>
      <c r="F1513" s="22"/>
      <c r="G1513" s="22" t="s">
        <v>202</v>
      </c>
      <c r="H1513" s="26">
        <v>45996.0</v>
      </c>
      <c r="I1513" s="22" t="s">
        <v>181</v>
      </c>
      <c r="J1513" s="22" t="s">
        <v>83</v>
      </c>
      <c r="K1513" s="22" t="s">
        <v>98</v>
      </c>
      <c r="L1513" s="35" t="s">
        <v>7467</v>
      </c>
      <c r="M1513" s="32" t="s">
        <v>55</v>
      </c>
    </row>
    <row r="1514">
      <c r="A1514" s="22" t="s">
        <v>2911</v>
      </c>
      <c r="B1514" s="22" t="s">
        <v>5275</v>
      </c>
      <c r="C1514" s="22" t="s">
        <v>7468</v>
      </c>
      <c r="D1514" s="22" t="s">
        <v>709</v>
      </c>
      <c r="E1514" s="22">
        <v>1.0</v>
      </c>
      <c r="F1514" s="22"/>
      <c r="G1514" s="22" t="s">
        <v>287</v>
      </c>
      <c r="H1514" s="26">
        <v>45994.0</v>
      </c>
      <c r="I1514" s="22" t="s">
        <v>134</v>
      </c>
      <c r="J1514" s="22" t="s">
        <v>311</v>
      </c>
      <c r="K1514" s="22" t="s">
        <v>713</v>
      </c>
      <c r="L1514" s="35" t="s">
        <v>7469</v>
      </c>
      <c r="M1514" s="32" t="s">
        <v>91</v>
      </c>
    </row>
    <row r="1515">
      <c r="A1515" s="22" t="s">
        <v>2912</v>
      </c>
      <c r="B1515" s="22" t="s">
        <v>6745</v>
      </c>
      <c r="C1515" s="22" t="s">
        <v>7470</v>
      </c>
      <c r="D1515" s="22" t="s">
        <v>470</v>
      </c>
      <c r="E1515" s="22">
        <v>1.0</v>
      </c>
      <c r="F1515" s="22"/>
      <c r="G1515" s="22" t="s">
        <v>82</v>
      </c>
      <c r="H1515" s="26">
        <v>45997.0</v>
      </c>
      <c r="I1515" s="22" t="s">
        <v>134</v>
      </c>
      <c r="J1515" s="22" t="s">
        <v>472</v>
      </c>
      <c r="K1515" s="22" t="s">
        <v>475</v>
      </c>
      <c r="L1515" s="35" t="s">
        <v>7471</v>
      </c>
      <c r="M1515" s="32" t="s">
        <v>91</v>
      </c>
    </row>
    <row r="1516">
      <c r="A1516" s="22" t="s">
        <v>2912</v>
      </c>
      <c r="B1516" s="22" t="s">
        <v>6745</v>
      </c>
      <c r="C1516" s="22" t="s">
        <v>7470</v>
      </c>
      <c r="D1516" s="25"/>
      <c r="E1516" s="25"/>
      <c r="F1516" s="22"/>
      <c r="G1516" s="22" t="s">
        <v>82</v>
      </c>
      <c r="H1516" s="26">
        <v>45997.0</v>
      </c>
      <c r="I1516" s="22" t="s">
        <v>134</v>
      </c>
      <c r="J1516" s="22" t="s">
        <v>472</v>
      </c>
      <c r="K1516" s="22" t="s">
        <v>2913</v>
      </c>
      <c r="L1516" s="35" t="s">
        <v>7472</v>
      </c>
    </row>
    <row r="1517">
      <c r="A1517" s="22" t="s">
        <v>7473</v>
      </c>
      <c r="B1517" s="22" t="s">
        <v>7474</v>
      </c>
      <c r="C1517" s="22" t="s">
        <v>7475</v>
      </c>
      <c r="D1517" s="22" t="s">
        <v>4521</v>
      </c>
      <c r="E1517" s="22">
        <v>1.0</v>
      </c>
      <c r="F1517" s="22"/>
      <c r="G1517" s="22" t="s">
        <v>294</v>
      </c>
      <c r="H1517" s="26">
        <v>45992.0</v>
      </c>
      <c r="I1517" s="22" t="s">
        <v>3381</v>
      </c>
      <c r="J1517" s="22" t="s">
        <v>4399</v>
      </c>
      <c r="K1517" s="22" t="s">
        <v>4522</v>
      </c>
      <c r="L1517" s="35" t="s">
        <v>7476</v>
      </c>
      <c r="M1517" s="32" t="s">
        <v>54</v>
      </c>
    </row>
    <row r="1518">
      <c r="A1518" s="22" t="s">
        <v>2914</v>
      </c>
      <c r="B1518" s="22" t="s">
        <v>4848</v>
      </c>
      <c r="C1518" s="22" t="s">
        <v>7477</v>
      </c>
      <c r="D1518" s="22" t="s">
        <v>484</v>
      </c>
      <c r="E1518" s="22">
        <v>1.0</v>
      </c>
      <c r="F1518" s="22"/>
      <c r="G1518" s="22" t="s">
        <v>273</v>
      </c>
      <c r="H1518" s="26">
        <v>45998.0</v>
      </c>
      <c r="I1518" s="22" t="s">
        <v>149</v>
      </c>
      <c r="J1518" s="22" t="s">
        <v>311</v>
      </c>
      <c r="K1518" s="22" t="s">
        <v>487</v>
      </c>
      <c r="L1518" s="35" t="s">
        <v>7478</v>
      </c>
      <c r="M1518" s="32" t="s">
        <v>127</v>
      </c>
    </row>
    <row r="1519">
      <c r="A1519" s="22" t="s">
        <v>2916</v>
      </c>
      <c r="B1519" s="22" t="s">
        <v>4597</v>
      </c>
      <c r="C1519" s="22" t="s">
        <v>7479</v>
      </c>
      <c r="D1519" s="22" t="s">
        <v>141</v>
      </c>
      <c r="E1519" s="22">
        <v>1.0</v>
      </c>
      <c r="F1519" s="22"/>
      <c r="G1519" s="22" t="s">
        <v>287</v>
      </c>
      <c r="H1519" s="26">
        <v>45994.0</v>
      </c>
      <c r="I1519" s="22" t="s">
        <v>149</v>
      </c>
      <c r="J1519" s="22" t="s">
        <v>83</v>
      </c>
      <c r="K1519" s="22" t="s">
        <v>143</v>
      </c>
      <c r="L1519" s="35" t="s">
        <v>7480</v>
      </c>
      <c r="M1519" s="32" t="s">
        <v>54</v>
      </c>
    </row>
    <row r="1520">
      <c r="A1520" s="22" t="s">
        <v>2918</v>
      </c>
      <c r="B1520" s="22" t="s">
        <v>7481</v>
      </c>
      <c r="C1520" s="22" t="s">
        <v>4329</v>
      </c>
      <c r="D1520" s="22" t="s">
        <v>692</v>
      </c>
      <c r="E1520" s="22">
        <v>1.0</v>
      </c>
      <c r="F1520" s="22"/>
      <c r="G1520" s="22" t="s">
        <v>273</v>
      </c>
      <c r="H1520" s="26">
        <v>45998.0</v>
      </c>
      <c r="I1520" s="22" t="s">
        <v>149</v>
      </c>
      <c r="J1520" s="22" t="s">
        <v>369</v>
      </c>
      <c r="K1520" s="22" t="s">
        <v>694</v>
      </c>
      <c r="L1520" s="35" t="s">
        <v>7482</v>
      </c>
      <c r="M1520" s="32" t="s">
        <v>54</v>
      </c>
    </row>
    <row r="1521">
      <c r="A1521" s="22" t="s">
        <v>2919</v>
      </c>
      <c r="B1521" s="22" t="s">
        <v>7483</v>
      </c>
      <c r="C1521" s="22" t="s">
        <v>7484</v>
      </c>
      <c r="D1521" s="22" t="s">
        <v>2097</v>
      </c>
      <c r="E1521" s="22">
        <v>1.0</v>
      </c>
      <c r="F1521" s="22"/>
      <c r="G1521" s="22" t="s">
        <v>273</v>
      </c>
      <c r="H1521" s="26">
        <v>45998.0</v>
      </c>
      <c r="I1521" s="22" t="s">
        <v>1117</v>
      </c>
      <c r="J1521" s="22" t="s">
        <v>869</v>
      </c>
      <c r="K1521" s="22" t="s">
        <v>2101</v>
      </c>
      <c r="L1521" s="35" t="s">
        <v>7485</v>
      </c>
      <c r="M1521" s="32" t="s">
        <v>91</v>
      </c>
    </row>
    <row r="1522">
      <c r="A1522" s="22" t="s">
        <v>2920</v>
      </c>
      <c r="B1522" s="22" t="s">
        <v>7486</v>
      </c>
      <c r="C1522" s="22" t="s">
        <v>7487</v>
      </c>
      <c r="D1522" s="22" t="s">
        <v>912</v>
      </c>
      <c r="E1522" s="22">
        <v>1.0</v>
      </c>
      <c r="F1522" s="22"/>
      <c r="G1522" s="22" t="s">
        <v>82</v>
      </c>
      <c r="H1522" s="26">
        <v>45997.0</v>
      </c>
      <c r="I1522" s="22" t="s">
        <v>134</v>
      </c>
      <c r="J1522" s="22" t="s">
        <v>377</v>
      </c>
      <c r="K1522" s="22" t="s">
        <v>914</v>
      </c>
      <c r="L1522" s="35" t="s">
        <v>7488</v>
      </c>
      <c r="M1522" s="32" t="s">
        <v>54</v>
      </c>
    </row>
    <row r="1523">
      <c r="A1523" s="22" t="s">
        <v>2864</v>
      </c>
      <c r="B1523" s="22" t="s">
        <v>7204</v>
      </c>
      <c r="C1523" s="22" t="s">
        <v>3693</v>
      </c>
      <c r="D1523" s="22" t="s">
        <v>686</v>
      </c>
      <c r="E1523" s="22">
        <v>2.0</v>
      </c>
      <c r="F1523" s="22"/>
      <c r="G1523" s="22" t="s">
        <v>82</v>
      </c>
      <c r="H1523" s="26">
        <v>45997.0</v>
      </c>
      <c r="I1523" s="22" t="s">
        <v>134</v>
      </c>
      <c r="J1523" s="22" t="s">
        <v>451</v>
      </c>
      <c r="K1523" s="22" t="s">
        <v>688</v>
      </c>
      <c r="L1523" s="35" t="s">
        <v>7489</v>
      </c>
      <c r="M1523" s="32" t="s">
        <v>91</v>
      </c>
    </row>
    <row r="1524">
      <c r="A1524" s="22" t="s">
        <v>2864</v>
      </c>
      <c r="B1524" s="22" t="s">
        <v>7204</v>
      </c>
      <c r="C1524" s="22" t="s">
        <v>3693</v>
      </c>
      <c r="D1524" s="25"/>
      <c r="E1524" s="25"/>
      <c r="F1524" s="22"/>
      <c r="G1524" s="22" t="s">
        <v>82</v>
      </c>
      <c r="H1524" s="26">
        <v>45997.0</v>
      </c>
      <c r="I1524" s="22" t="s">
        <v>134</v>
      </c>
      <c r="J1524" s="22" t="s">
        <v>451</v>
      </c>
      <c r="K1524" s="22" t="s">
        <v>2865</v>
      </c>
      <c r="L1524" s="35" t="s">
        <v>7490</v>
      </c>
    </row>
    <row r="1525">
      <c r="A1525" s="22" t="s">
        <v>2879</v>
      </c>
      <c r="B1525" s="22" t="s">
        <v>4484</v>
      </c>
      <c r="C1525" s="22" t="s">
        <v>7491</v>
      </c>
      <c r="D1525" s="22" t="s">
        <v>560</v>
      </c>
      <c r="E1525" s="22">
        <v>1.0</v>
      </c>
      <c r="F1525" s="22"/>
      <c r="G1525" s="22" t="s">
        <v>273</v>
      </c>
      <c r="H1525" s="23">
        <v>45991.0</v>
      </c>
      <c r="I1525" s="22" t="s">
        <v>149</v>
      </c>
      <c r="J1525" s="22" t="s">
        <v>356</v>
      </c>
      <c r="K1525" s="22" t="s">
        <v>563</v>
      </c>
      <c r="L1525" s="35" t="s">
        <v>7492</v>
      </c>
      <c r="M1525" s="32" t="s">
        <v>91</v>
      </c>
    </row>
    <row r="1526">
      <c r="A1526" s="22" t="s">
        <v>2880</v>
      </c>
      <c r="B1526" s="22" t="s">
        <v>7493</v>
      </c>
      <c r="C1526" s="22" t="s">
        <v>6169</v>
      </c>
      <c r="D1526" s="22" t="s">
        <v>375</v>
      </c>
      <c r="E1526" s="22">
        <v>1.0</v>
      </c>
      <c r="F1526" s="22"/>
      <c r="G1526" s="22" t="s">
        <v>82</v>
      </c>
      <c r="H1526" s="26">
        <v>45997.0</v>
      </c>
      <c r="I1526" s="22" t="s">
        <v>153</v>
      </c>
      <c r="J1526" s="22" t="s">
        <v>377</v>
      </c>
      <c r="K1526" s="22" t="s">
        <v>380</v>
      </c>
      <c r="L1526" s="35" t="s">
        <v>7494</v>
      </c>
      <c r="M1526" s="32" t="s">
        <v>55</v>
      </c>
    </row>
    <row r="1527">
      <c r="A1527" s="22" t="s">
        <v>2980</v>
      </c>
      <c r="B1527" s="22" t="s">
        <v>4257</v>
      </c>
      <c r="C1527" s="22" t="s">
        <v>4445</v>
      </c>
      <c r="D1527" s="22" t="s">
        <v>814</v>
      </c>
      <c r="E1527" s="22">
        <v>1.0</v>
      </c>
      <c r="F1527" s="22"/>
      <c r="G1527" s="22" t="s">
        <v>82</v>
      </c>
      <c r="H1527" s="26">
        <v>45997.0</v>
      </c>
      <c r="I1527" s="22" t="s">
        <v>219</v>
      </c>
      <c r="J1527" s="22" t="s">
        <v>698</v>
      </c>
      <c r="K1527" s="22" t="s">
        <v>818</v>
      </c>
      <c r="L1527" s="35" t="s">
        <v>7495</v>
      </c>
      <c r="M1527" s="32" t="s">
        <v>127</v>
      </c>
    </row>
    <row r="1528">
      <c r="A1528" s="22" t="s">
        <v>7496</v>
      </c>
      <c r="B1528" s="22" t="s">
        <v>4019</v>
      </c>
      <c r="C1528" s="22" t="s">
        <v>7497</v>
      </c>
      <c r="D1528" s="22" t="s">
        <v>4521</v>
      </c>
      <c r="E1528" s="22">
        <v>1.0</v>
      </c>
      <c r="F1528" s="22"/>
      <c r="G1528" s="22" t="s">
        <v>287</v>
      </c>
      <c r="H1528" s="26">
        <v>45994.0</v>
      </c>
      <c r="I1528" s="22" t="s">
        <v>3353</v>
      </c>
      <c r="J1528" s="22" t="s">
        <v>4399</v>
      </c>
      <c r="K1528" s="22" t="s">
        <v>4522</v>
      </c>
      <c r="L1528" s="35" t="s">
        <v>7498</v>
      </c>
      <c r="M1528" s="32" t="s">
        <v>54</v>
      </c>
    </row>
    <row r="1529">
      <c r="A1529" s="22" t="s">
        <v>258</v>
      </c>
      <c r="B1529" s="22" t="s">
        <v>7499</v>
      </c>
      <c r="C1529" s="22" t="s">
        <v>7500</v>
      </c>
      <c r="D1529" s="22" t="s">
        <v>124</v>
      </c>
      <c r="E1529" s="22">
        <v>1.0</v>
      </c>
      <c r="F1529" s="22"/>
      <c r="G1529" s="22" t="s">
        <v>82</v>
      </c>
      <c r="H1529" s="23">
        <v>45990.0</v>
      </c>
      <c r="I1529" s="22" t="s">
        <v>145</v>
      </c>
      <c r="J1529" s="22" t="s">
        <v>83</v>
      </c>
      <c r="K1529" s="22" t="s">
        <v>126</v>
      </c>
      <c r="L1529" s="35" t="s">
        <v>7501</v>
      </c>
      <c r="M1529" s="32" t="s">
        <v>127</v>
      </c>
    </row>
    <row r="1530">
      <c r="A1530" s="22" t="s">
        <v>259</v>
      </c>
      <c r="B1530" s="22" t="s">
        <v>7502</v>
      </c>
      <c r="C1530" s="22" t="s">
        <v>5983</v>
      </c>
      <c r="D1530" s="22" t="s">
        <v>80</v>
      </c>
      <c r="E1530" s="22">
        <v>1.0</v>
      </c>
      <c r="F1530" s="22"/>
      <c r="G1530" s="22" t="s">
        <v>82</v>
      </c>
      <c r="H1530" s="23">
        <v>45990.0</v>
      </c>
      <c r="I1530" s="22" t="s">
        <v>192</v>
      </c>
      <c r="J1530" s="22" t="s">
        <v>83</v>
      </c>
      <c r="K1530" s="22" t="s">
        <v>86</v>
      </c>
      <c r="L1530" s="35" t="s">
        <v>7503</v>
      </c>
      <c r="M1530" s="32" t="s">
        <v>91</v>
      </c>
    </row>
    <row r="1531">
      <c r="A1531" s="22" t="s">
        <v>2929</v>
      </c>
      <c r="B1531" s="22" t="s">
        <v>6557</v>
      </c>
      <c r="C1531" s="22" t="s">
        <v>7504</v>
      </c>
      <c r="D1531" s="22" t="s">
        <v>1192</v>
      </c>
      <c r="E1531" s="22">
        <v>1.0</v>
      </c>
      <c r="F1531" s="22"/>
      <c r="G1531" s="22" t="s">
        <v>273</v>
      </c>
      <c r="H1531" s="26">
        <v>45998.0</v>
      </c>
      <c r="I1531" s="22" t="s">
        <v>153</v>
      </c>
      <c r="J1531" s="22" t="s">
        <v>717</v>
      </c>
      <c r="K1531" s="22" t="s">
        <v>1196</v>
      </c>
      <c r="L1531" s="35" t="s">
        <v>7505</v>
      </c>
      <c r="M1531" s="32" t="s">
        <v>127</v>
      </c>
    </row>
    <row r="1532">
      <c r="A1532" s="22" t="s">
        <v>2930</v>
      </c>
      <c r="B1532" s="22" t="s">
        <v>7344</v>
      </c>
      <c r="C1532" s="22" t="s">
        <v>7506</v>
      </c>
      <c r="D1532" s="22" t="s">
        <v>408</v>
      </c>
      <c r="E1532" s="22">
        <v>1.0</v>
      </c>
      <c r="F1532" s="22"/>
      <c r="G1532" s="22" t="s">
        <v>82</v>
      </c>
      <c r="H1532" s="26">
        <v>45997.0</v>
      </c>
      <c r="I1532" s="22" t="s">
        <v>153</v>
      </c>
      <c r="J1532" s="22" t="s">
        <v>377</v>
      </c>
      <c r="K1532" s="22" t="s">
        <v>412</v>
      </c>
      <c r="L1532" s="35" t="s">
        <v>7507</v>
      </c>
      <c r="M1532" s="32" t="s">
        <v>127</v>
      </c>
    </row>
    <row r="1533">
      <c r="A1533" s="22" t="s">
        <v>2932</v>
      </c>
      <c r="B1533" s="22" t="s">
        <v>7508</v>
      </c>
      <c r="C1533" s="22" t="s">
        <v>7393</v>
      </c>
      <c r="D1533" s="22" t="s">
        <v>515</v>
      </c>
      <c r="E1533" s="22">
        <v>1.0</v>
      </c>
      <c r="F1533" s="22"/>
      <c r="G1533" s="22" t="s">
        <v>273</v>
      </c>
      <c r="H1533" s="26">
        <v>45998.0</v>
      </c>
      <c r="I1533" s="22" t="s">
        <v>248</v>
      </c>
      <c r="J1533" s="22" t="s">
        <v>472</v>
      </c>
      <c r="K1533" s="22" t="s">
        <v>519</v>
      </c>
      <c r="L1533" s="35" t="s">
        <v>7509</v>
      </c>
      <c r="M1533" s="32" t="s">
        <v>55</v>
      </c>
    </row>
    <row r="1534">
      <c r="A1534" s="22" t="s">
        <v>2934</v>
      </c>
      <c r="B1534" s="22" t="s">
        <v>7510</v>
      </c>
      <c r="C1534" s="22" t="s">
        <v>7511</v>
      </c>
      <c r="D1534" s="22" t="s">
        <v>124</v>
      </c>
      <c r="E1534" s="22">
        <v>1.0</v>
      </c>
      <c r="F1534" s="22"/>
      <c r="G1534" s="22" t="s">
        <v>287</v>
      </c>
      <c r="H1534" s="26">
        <v>45994.0</v>
      </c>
      <c r="I1534" s="22" t="s">
        <v>153</v>
      </c>
      <c r="J1534" s="22" t="s">
        <v>83</v>
      </c>
      <c r="K1534" s="22" t="s">
        <v>126</v>
      </c>
      <c r="L1534" s="35" t="s">
        <v>7512</v>
      </c>
      <c r="M1534" s="32" t="s">
        <v>127</v>
      </c>
    </row>
    <row r="1535">
      <c r="A1535" s="22" t="s">
        <v>2936</v>
      </c>
      <c r="B1535" s="22" t="s">
        <v>7513</v>
      </c>
      <c r="C1535" s="22" t="s">
        <v>7514</v>
      </c>
      <c r="D1535" s="22" t="s">
        <v>375</v>
      </c>
      <c r="E1535" s="22">
        <v>1.0</v>
      </c>
      <c r="F1535" s="22"/>
      <c r="G1535" s="22" t="s">
        <v>82</v>
      </c>
      <c r="H1535" s="23">
        <v>46004.0</v>
      </c>
      <c r="I1535" s="22" t="s">
        <v>138</v>
      </c>
      <c r="J1535" s="22" t="s">
        <v>377</v>
      </c>
      <c r="K1535" s="22" t="s">
        <v>380</v>
      </c>
      <c r="L1535" s="35" t="s">
        <v>7515</v>
      </c>
      <c r="M1535" s="32" t="s">
        <v>55</v>
      </c>
    </row>
    <row r="1536">
      <c r="A1536" s="22" t="s">
        <v>2938</v>
      </c>
      <c r="B1536" s="22" t="s">
        <v>7510</v>
      </c>
      <c r="C1536" s="22" t="s">
        <v>7511</v>
      </c>
      <c r="D1536" s="22" t="s">
        <v>99</v>
      </c>
      <c r="E1536" s="22">
        <v>1.0</v>
      </c>
      <c r="F1536" s="22"/>
      <c r="G1536" s="22" t="s">
        <v>287</v>
      </c>
      <c r="H1536" s="26">
        <v>45994.0</v>
      </c>
      <c r="I1536" s="22" t="s">
        <v>153</v>
      </c>
      <c r="J1536" s="22" t="s">
        <v>83</v>
      </c>
      <c r="K1536" s="22" t="s">
        <v>102</v>
      </c>
      <c r="L1536" s="35" t="s">
        <v>7516</v>
      </c>
      <c r="M1536" s="32" t="s">
        <v>105</v>
      </c>
    </row>
    <row r="1537">
      <c r="A1537" s="22" t="s">
        <v>2939</v>
      </c>
      <c r="B1537" s="22" t="s">
        <v>7517</v>
      </c>
      <c r="C1537" s="22" t="s">
        <v>7518</v>
      </c>
      <c r="D1537" s="22" t="s">
        <v>758</v>
      </c>
      <c r="E1537" s="22">
        <v>1.0</v>
      </c>
      <c r="F1537" s="22"/>
      <c r="G1537" s="22" t="s">
        <v>287</v>
      </c>
      <c r="H1537" s="26">
        <v>45994.0</v>
      </c>
      <c r="I1537" s="22" t="s">
        <v>134</v>
      </c>
      <c r="J1537" s="22" t="s">
        <v>717</v>
      </c>
      <c r="K1537" s="22" t="s">
        <v>762</v>
      </c>
      <c r="L1537" s="35" t="s">
        <v>7519</v>
      </c>
      <c r="M1537" s="32" t="s">
        <v>54</v>
      </c>
    </row>
    <row r="1538">
      <c r="A1538" s="22" t="s">
        <v>2942</v>
      </c>
      <c r="B1538" s="22" t="s">
        <v>5577</v>
      </c>
      <c r="C1538" s="22" t="s">
        <v>7520</v>
      </c>
      <c r="D1538" s="22" t="s">
        <v>99</v>
      </c>
      <c r="E1538" s="22">
        <v>1.0</v>
      </c>
      <c r="F1538" s="22"/>
      <c r="G1538" s="22" t="s">
        <v>294</v>
      </c>
      <c r="H1538" s="26">
        <v>45992.0</v>
      </c>
      <c r="I1538" s="22" t="s">
        <v>1400</v>
      </c>
      <c r="J1538" s="22" t="s">
        <v>83</v>
      </c>
      <c r="K1538" s="22" t="s">
        <v>102</v>
      </c>
      <c r="L1538" s="35" t="s">
        <v>7521</v>
      </c>
      <c r="M1538" s="32" t="s">
        <v>105</v>
      </c>
    </row>
    <row r="1539">
      <c r="A1539" s="22" t="s">
        <v>7522</v>
      </c>
      <c r="B1539" s="22" t="s">
        <v>7523</v>
      </c>
      <c r="C1539" s="22" t="s">
        <v>7524</v>
      </c>
      <c r="D1539" s="22" t="s">
        <v>4105</v>
      </c>
      <c r="E1539" s="22">
        <v>1.0</v>
      </c>
      <c r="F1539" s="22"/>
      <c r="G1539" s="22" t="s">
        <v>287</v>
      </c>
      <c r="H1539" s="26">
        <v>45994.0</v>
      </c>
      <c r="I1539" s="22" t="s">
        <v>497</v>
      </c>
      <c r="J1539" s="22" t="s">
        <v>4026</v>
      </c>
      <c r="K1539" s="22" t="s">
        <v>4106</v>
      </c>
      <c r="L1539" s="35" t="s">
        <v>7525</v>
      </c>
      <c r="M1539" s="32" t="s">
        <v>54</v>
      </c>
    </row>
    <row r="1540">
      <c r="A1540" s="22" t="s">
        <v>2945</v>
      </c>
      <c r="B1540" s="22" t="s">
        <v>7526</v>
      </c>
      <c r="C1540" s="22" t="s">
        <v>7527</v>
      </c>
      <c r="D1540" s="22" t="s">
        <v>1554</v>
      </c>
      <c r="E1540" s="22">
        <v>1.0</v>
      </c>
      <c r="F1540" s="22"/>
      <c r="G1540" s="22" t="s">
        <v>82</v>
      </c>
      <c r="H1540" s="26">
        <v>45997.0</v>
      </c>
      <c r="I1540" s="22" t="s">
        <v>138</v>
      </c>
      <c r="J1540" s="22" t="s">
        <v>1466</v>
      </c>
      <c r="K1540" s="22" t="s">
        <v>1556</v>
      </c>
      <c r="L1540" s="35" t="s">
        <v>7528</v>
      </c>
      <c r="M1540" s="32" t="s">
        <v>91</v>
      </c>
    </row>
    <row r="1541">
      <c r="A1541" s="22" t="s">
        <v>2947</v>
      </c>
      <c r="B1541" s="22" t="s">
        <v>6102</v>
      </c>
      <c r="C1541" s="22" t="s">
        <v>7529</v>
      </c>
      <c r="D1541" s="22" t="s">
        <v>367</v>
      </c>
      <c r="E1541" s="22">
        <v>1.0</v>
      </c>
      <c r="F1541" s="22"/>
      <c r="G1541" s="22" t="s">
        <v>273</v>
      </c>
      <c r="H1541" s="26">
        <v>45998.0</v>
      </c>
      <c r="I1541" s="22" t="s">
        <v>134</v>
      </c>
      <c r="J1541" s="22" t="s">
        <v>369</v>
      </c>
      <c r="K1541" s="22" t="s">
        <v>372</v>
      </c>
      <c r="L1541" s="35" t="s">
        <v>7530</v>
      </c>
      <c r="M1541" s="32" t="s">
        <v>55</v>
      </c>
    </row>
    <row r="1542">
      <c r="A1542" s="22" t="s">
        <v>2949</v>
      </c>
      <c r="B1542" s="22" t="s">
        <v>3869</v>
      </c>
      <c r="C1542" s="22" t="s">
        <v>7531</v>
      </c>
      <c r="D1542" s="22" t="s">
        <v>124</v>
      </c>
      <c r="E1542" s="22">
        <v>1.0</v>
      </c>
      <c r="F1542" s="22"/>
      <c r="G1542" s="22" t="s">
        <v>82</v>
      </c>
      <c r="H1542" s="26">
        <v>45997.0</v>
      </c>
      <c r="I1542" s="22" t="s">
        <v>153</v>
      </c>
      <c r="J1542" s="22" t="s">
        <v>83</v>
      </c>
      <c r="K1542" s="22" t="s">
        <v>126</v>
      </c>
      <c r="L1542" s="35" t="s">
        <v>7532</v>
      </c>
      <c r="M1542" s="32" t="s">
        <v>127</v>
      </c>
    </row>
    <row r="1543">
      <c r="A1543" s="22" t="s">
        <v>2951</v>
      </c>
      <c r="B1543" s="22" t="s">
        <v>7533</v>
      </c>
      <c r="C1543" s="22" t="s">
        <v>7534</v>
      </c>
      <c r="D1543" s="22" t="s">
        <v>437</v>
      </c>
      <c r="E1543" s="22">
        <v>1.0</v>
      </c>
      <c r="F1543" s="22"/>
      <c r="G1543" s="22" t="s">
        <v>273</v>
      </c>
      <c r="H1543" s="26">
        <v>45998.0</v>
      </c>
      <c r="I1543" s="22" t="s">
        <v>187</v>
      </c>
      <c r="J1543" s="22" t="s">
        <v>440</v>
      </c>
      <c r="K1543" s="22" t="s">
        <v>443</v>
      </c>
      <c r="L1543" s="35" t="s">
        <v>7535</v>
      </c>
      <c r="M1543" s="32" t="s">
        <v>91</v>
      </c>
    </row>
    <row r="1544">
      <c r="A1544" s="22" t="s">
        <v>2954</v>
      </c>
      <c r="B1544" s="22" t="s">
        <v>7536</v>
      </c>
      <c r="C1544" s="22" t="s">
        <v>3735</v>
      </c>
      <c r="D1544" s="22" t="s">
        <v>96</v>
      </c>
      <c r="E1544" s="22">
        <v>1.0</v>
      </c>
      <c r="F1544" s="22"/>
      <c r="G1544" s="22" t="s">
        <v>273</v>
      </c>
      <c r="H1544" s="23">
        <v>45991.0</v>
      </c>
      <c r="I1544" s="22" t="s">
        <v>149</v>
      </c>
      <c r="J1544" s="22" t="s">
        <v>83</v>
      </c>
      <c r="K1544" s="22" t="s">
        <v>98</v>
      </c>
      <c r="L1544" s="35" t="s">
        <v>7537</v>
      </c>
      <c r="M1544" s="32" t="s">
        <v>55</v>
      </c>
    </row>
    <row r="1545">
      <c r="A1545" s="22" t="s">
        <v>2956</v>
      </c>
      <c r="B1545" s="22" t="s">
        <v>7538</v>
      </c>
      <c r="C1545" s="22" t="s">
        <v>5404</v>
      </c>
      <c r="D1545" s="22" t="s">
        <v>96</v>
      </c>
      <c r="E1545" s="22">
        <v>1.0</v>
      </c>
      <c r="F1545" s="22"/>
      <c r="G1545" s="22" t="s">
        <v>273</v>
      </c>
      <c r="H1545" s="23">
        <v>45991.0</v>
      </c>
      <c r="I1545" s="22" t="s">
        <v>192</v>
      </c>
      <c r="J1545" s="22" t="s">
        <v>83</v>
      </c>
      <c r="K1545" s="22" t="s">
        <v>98</v>
      </c>
      <c r="L1545" s="35" t="s">
        <v>7539</v>
      </c>
      <c r="M1545" s="32" t="s">
        <v>55</v>
      </c>
    </row>
    <row r="1546">
      <c r="A1546" s="22" t="s">
        <v>2959</v>
      </c>
      <c r="B1546" s="22" t="s">
        <v>6619</v>
      </c>
      <c r="C1546" s="22" t="s">
        <v>6465</v>
      </c>
      <c r="D1546" s="22" t="s">
        <v>96</v>
      </c>
      <c r="E1546" s="22">
        <v>1.0</v>
      </c>
      <c r="F1546" s="22"/>
      <c r="G1546" s="22" t="s">
        <v>336</v>
      </c>
      <c r="H1546" s="26">
        <v>45995.0</v>
      </c>
      <c r="I1546" s="22" t="s">
        <v>1400</v>
      </c>
      <c r="J1546" s="22" t="s">
        <v>83</v>
      </c>
      <c r="K1546" s="22" t="s">
        <v>98</v>
      </c>
      <c r="L1546" s="35" t="s">
        <v>7540</v>
      </c>
      <c r="M1546" s="32" t="s">
        <v>55</v>
      </c>
    </row>
    <row r="1547">
      <c r="A1547" s="22" t="s">
        <v>2961</v>
      </c>
      <c r="B1547" s="22" t="s">
        <v>7541</v>
      </c>
      <c r="C1547" s="22" t="s">
        <v>7542</v>
      </c>
      <c r="D1547" s="22" t="s">
        <v>327</v>
      </c>
      <c r="E1547" s="22">
        <v>1.0</v>
      </c>
      <c r="F1547" s="22"/>
      <c r="G1547" s="22" t="s">
        <v>273</v>
      </c>
      <c r="H1547" s="23">
        <v>45991.0</v>
      </c>
      <c r="I1547" s="22" t="s">
        <v>153</v>
      </c>
      <c r="J1547" s="22" t="s">
        <v>329</v>
      </c>
      <c r="K1547" s="22" t="s">
        <v>332</v>
      </c>
      <c r="L1547" s="35" t="s">
        <v>7543</v>
      </c>
      <c r="M1547" s="32" t="s">
        <v>55</v>
      </c>
    </row>
    <row r="1548">
      <c r="A1548" s="22" t="s">
        <v>2927</v>
      </c>
      <c r="B1548" s="22" t="s">
        <v>4019</v>
      </c>
      <c r="C1548" s="22" t="s">
        <v>6077</v>
      </c>
      <c r="D1548" s="22" t="s">
        <v>96</v>
      </c>
      <c r="E1548" s="22">
        <v>1.0</v>
      </c>
      <c r="F1548" s="22"/>
      <c r="G1548" s="22" t="s">
        <v>294</v>
      </c>
      <c r="H1548" s="26">
        <v>45992.0</v>
      </c>
      <c r="I1548" s="22" t="s">
        <v>252</v>
      </c>
      <c r="J1548" s="22" t="s">
        <v>83</v>
      </c>
      <c r="K1548" s="22" t="s">
        <v>98</v>
      </c>
      <c r="L1548" s="35" t="s">
        <v>7544</v>
      </c>
      <c r="M1548" s="32" t="s">
        <v>55</v>
      </c>
    </row>
    <row r="1549">
      <c r="A1549" s="22" t="s">
        <v>2975</v>
      </c>
      <c r="B1549" s="22" t="s">
        <v>7545</v>
      </c>
      <c r="C1549" s="22" t="s">
        <v>7546</v>
      </c>
      <c r="D1549" s="22" t="s">
        <v>458</v>
      </c>
      <c r="E1549" s="22">
        <v>1.0</v>
      </c>
      <c r="F1549" s="22"/>
      <c r="G1549" s="22" t="s">
        <v>82</v>
      </c>
      <c r="H1549" s="23">
        <v>46004.0</v>
      </c>
      <c r="I1549" s="22" t="s">
        <v>1631</v>
      </c>
      <c r="J1549" s="22" t="s">
        <v>341</v>
      </c>
      <c r="K1549" s="22" t="s">
        <v>462</v>
      </c>
      <c r="L1549" s="35" t="s">
        <v>7547</v>
      </c>
      <c r="M1549" s="32" t="s">
        <v>91</v>
      </c>
    </row>
    <row r="1550">
      <c r="A1550" s="22" t="s">
        <v>2978</v>
      </c>
      <c r="B1550" s="22" t="s">
        <v>5113</v>
      </c>
      <c r="C1550" s="22" t="s">
        <v>7548</v>
      </c>
      <c r="D1550" s="22" t="s">
        <v>309</v>
      </c>
      <c r="E1550" s="22">
        <v>1.0</v>
      </c>
      <c r="F1550" s="22"/>
      <c r="G1550" s="22" t="s">
        <v>82</v>
      </c>
      <c r="H1550" s="26">
        <v>45997.0</v>
      </c>
      <c r="I1550" s="22" t="s">
        <v>134</v>
      </c>
      <c r="J1550" s="22" t="s">
        <v>311</v>
      </c>
      <c r="K1550" s="22" t="s">
        <v>314</v>
      </c>
      <c r="L1550" s="35" t="s">
        <v>7549</v>
      </c>
      <c r="M1550" s="32" t="s">
        <v>105</v>
      </c>
    </row>
    <row r="1551">
      <c r="A1551" s="22" t="s">
        <v>2965</v>
      </c>
      <c r="B1551" s="22" t="s">
        <v>7550</v>
      </c>
      <c r="C1551" s="22" t="s">
        <v>7551</v>
      </c>
      <c r="D1551" s="22" t="s">
        <v>845</v>
      </c>
      <c r="E1551" s="22">
        <v>1.0</v>
      </c>
      <c r="F1551" s="22"/>
      <c r="G1551" s="22" t="s">
        <v>82</v>
      </c>
      <c r="H1551" s="26">
        <v>45997.0</v>
      </c>
      <c r="I1551" s="22" t="s">
        <v>1117</v>
      </c>
      <c r="J1551" s="22" t="s">
        <v>451</v>
      </c>
      <c r="K1551" s="22" t="s">
        <v>847</v>
      </c>
      <c r="L1551" s="35" t="s">
        <v>7552</v>
      </c>
      <c r="M1551" s="32" t="s">
        <v>55</v>
      </c>
    </row>
    <row r="1552">
      <c r="A1552" s="22" t="s">
        <v>2972</v>
      </c>
      <c r="B1552" s="22" t="s">
        <v>3938</v>
      </c>
      <c r="C1552" s="22" t="s">
        <v>7553</v>
      </c>
      <c r="D1552" s="22" t="s">
        <v>696</v>
      </c>
      <c r="E1552" s="22">
        <v>2.0</v>
      </c>
      <c r="F1552" s="22"/>
      <c r="G1552" s="22" t="s">
        <v>82</v>
      </c>
      <c r="H1552" s="26">
        <v>45997.0</v>
      </c>
      <c r="I1552" s="22" t="s">
        <v>177</v>
      </c>
      <c r="J1552" s="22" t="s">
        <v>698</v>
      </c>
      <c r="K1552" s="22" t="s">
        <v>701</v>
      </c>
      <c r="L1552" s="35" t="s">
        <v>7554</v>
      </c>
      <c r="M1552" s="32" t="s">
        <v>55</v>
      </c>
    </row>
    <row r="1553">
      <c r="A1553" s="22" t="s">
        <v>3028</v>
      </c>
      <c r="B1553" s="22" t="s">
        <v>5882</v>
      </c>
      <c r="C1553" s="22" t="s">
        <v>7555</v>
      </c>
      <c r="D1553" s="22" t="s">
        <v>347</v>
      </c>
      <c r="E1553" s="22">
        <v>1.0</v>
      </c>
      <c r="F1553" s="22"/>
      <c r="G1553" s="22" t="s">
        <v>82</v>
      </c>
      <c r="H1553" s="26">
        <v>45997.0</v>
      </c>
      <c r="I1553" s="22" t="s">
        <v>134</v>
      </c>
      <c r="J1553" s="22" t="s">
        <v>278</v>
      </c>
      <c r="K1553" s="22" t="s">
        <v>350</v>
      </c>
      <c r="L1553" s="35" t="s">
        <v>7556</v>
      </c>
      <c r="M1553" s="32" t="s">
        <v>127</v>
      </c>
    </row>
    <row r="1554">
      <c r="A1554" s="22" t="s">
        <v>3029</v>
      </c>
      <c r="B1554" s="22" t="s">
        <v>3973</v>
      </c>
      <c r="C1554" s="22" t="s">
        <v>7557</v>
      </c>
      <c r="D1554" s="22" t="s">
        <v>515</v>
      </c>
      <c r="E1554" s="22">
        <v>1.0</v>
      </c>
      <c r="F1554" s="22"/>
      <c r="G1554" s="22" t="s">
        <v>273</v>
      </c>
      <c r="H1554" s="26">
        <v>45998.0</v>
      </c>
      <c r="I1554" s="22" t="s">
        <v>134</v>
      </c>
      <c r="J1554" s="22" t="s">
        <v>472</v>
      </c>
      <c r="K1554" s="22" t="s">
        <v>519</v>
      </c>
      <c r="L1554" s="35" t="s">
        <v>7558</v>
      </c>
      <c r="M1554" s="32" t="s">
        <v>55</v>
      </c>
    </row>
    <row r="1555">
      <c r="A1555" s="22" t="s">
        <v>3031</v>
      </c>
      <c r="B1555" s="22" t="s">
        <v>7559</v>
      </c>
      <c r="C1555" s="22" t="s">
        <v>7560</v>
      </c>
      <c r="D1555" s="22" t="s">
        <v>108</v>
      </c>
      <c r="E1555" s="22">
        <v>1.0</v>
      </c>
      <c r="F1555" s="22"/>
      <c r="G1555" s="22" t="s">
        <v>273</v>
      </c>
      <c r="H1555" s="26">
        <v>45998.0</v>
      </c>
      <c r="I1555" s="22" t="s">
        <v>110</v>
      </c>
      <c r="J1555" s="22" t="s">
        <v>111</v>
      </c>
      <c r="K1555" s="22" t="s">
        <v>114</v>
      </c>
      <c r="L1555" s="35" t="s">
        <v>7561</v>
      </c>
      <c r="M1555" s="32" t="s">
        <v>54</v>
      </c>
    </row>
    <row r="1556">
      <c r="A1556" s="22" t="s">
        <v>2982</v>
      </c>
      <c r="B1556" s="22" t="s">
        <v>7562</v>
      </c>
      <c r="C1556" s="22" t="s">
        <v>5824</v>
      </c>
      <c r="D1556" s="22" t="s">
        <v>317</v>
      </c>
      <c r="E1556" s="22">
        <v>1.0</v>
      </c>
      <c r="F1556" s="22"/>
      <c r="G1556" s="22" t="s">
        <v>82</v>
      </c>
      <c r="H1556" s="26">
        <v>45997.0</v>
      </c>
      <c r="I1556" s="22" t="s">
        <v>196</v>
      </c>
      <c r="J1556" s="22" t="s">
        <v>319</v>
      </c>
      <c r="K1556" s="22" t="s">
        <v>322</v>
      </c>
      <c r="L1556" s="35" t="s">
        <v>7563</v>
      </c>
      <c r="M1556" s="32" t="s">
        <v>55</v>
      </c>
    </row>
    <row r="1557">
      <c r="A1557" s="22" t="s">
        <v>2983</v>
      </c>
      <c r="B1557" s="22" t="s">
        <v>7564</v>
      </c>
      <c r="C1557" s="22" t="s">
        <v>7565</v>
      </c>
      <c r="D1557" s="22" t="s">
        <v>367</v>
      </c>
      <c r="E1557" s="22">
        <v>1.0</v>
      </c>
      <c r="F1557" s="22"/>
      <c r="G1557" s="22" t="s">
        <v>273</v>
      </c>
      <c r="H1557" s="26">
        <v>45998.0</v>
      </c>
      <c r="I1557" s="22" t="s">
        <v>153</v>
      </c>
      <c r="J1557" s="22" t="s">
        <v>369</v>
      </c>
      <c r="K1557" s="22" t="s">
        <v>372</v>
      </c>
      <c r="L1557" s="35" t="s">
        <v>7566</v>
      </c>
      <c r="M1557" s="32" t="s">
        <v>55</v>
      </c>
    </row>
    <row r="1558">
      <c r="A1558" s="22" t="s">
        <v>2985</v>
      </c>
      <c r="B1558" s="22" t="s">
        <v>7567</v>
      </c>
      <c r="C1558" s="22" t="s">
        <v>7568</v>
      </c>
      <c r="D1558" s="22" t="s">
        <v>386</v>
      </c>
      <c r="E1558" s="22">
        <v>1.0</v>
      </c>
      <c r="F1558" s="22"/>
      <c r="G1558" s="22" t="s">
        <v>273</v>
      </c>
      <c r="H1558" s="26">
        <v>45998.0</v>
      </c>
      <c r="I1558" s="22" t="s">
        <v>1993</v>
      </c>
      <c r="J1558" s="22" t="s">
        <v>311</v>
      </c>
      <c r="K1558" s="22" t="s">
        <v>390</v>
      </c>
      <c r="L1558" s="35" t="s">
        <v>7569</v>
      </c>
      <c r="M1558" s="32" t="s">
        <v>55</v>
      </c>
    </row>
    <row r="1559">
      <c r="A1559" s="22" t="s">
        <v>2987</v>
      </c>
      <c r="B1559" s="22" t="s">
        <v>4237</v>
      </c>
      <c r="C1559" s="22" t="s">
        <v>3884</v>
      </c>
      <c r="D1559" s="22" t="s">
        <v>1200</v>
      </c>
      <c r="E1559" s="22">
        <v>1.0</v>
      </c>
      <c r="F1559" s="22"/>
      <c r="G1559" s="22" t="s">
        <v>82</v>
      </c>
      <c r="H1559" s="26">
        <v>45997.0</v>
      </c>
      <c r="I1559" s="22" t="s">
        <v>134</v>
      </c>
      <c r="J1559" s="22" t="s">
        <v>278</v>
      </c>
      <c r="K1559" s="22" t="s">
        <v>1203</v>
      </c>
      <c r="L1559" s="35" t="s">
        <v>7570</v>
      </c>
      <c r="M1559" s="32" t="s">
        <v>91</v>
      </c>
    </row>
    <row r="1560">
      <c r="A1560" s="22" t="s">
        <v>2989</v>
      </c>
      <c r="B1560" s="22" t="s">
        <v>7571</v>
      </c>
      <c r="C1560" s="22" t="s">
        <v>4056</v>
      </c>
      <c r="D1560" s="22" t="s">
        <v>620</v>
      </c>
      <c r="E1560" s="22">
        <v>1.0</v>
      </c>
      <c r="F1560" s="22"/>
      <c r="G1560" s="22" t="s">
        <v>82</v>
      </c>
      <c r="H1560" s="26">
        <v>45997.0</v>
      </c>
      <c r="I1560" s="22" t="s">
        <v>149</v>
      </c>
      <c r="J1560" s="22" t="s">
        <v>623</v>
      </c>
      <c r="K1560" s="22" t="s">
        <v>626</v>
      </c>
      <c r="L1560" s="35" t="s">
        <v>7572</v>
      </c>
      <c r="M1560" s="32" t="s">
        <v>54</v>
      </c>
    </row>
    <row r="1561">
      <c r="A1561" s="22" t="s">
        <v>2991</v>
      </c>
      <c r="B1561" s="22" t="s">
        <v>7573</v>
      </c>
      <c r="C1561" s="22" t="s">
        <v>7574</v>
      </c>
      <c r="D1561" s="22" t="s">
        <v>611</v>
      </c>
      <c r="E1561" s="22">
        <v>1.0</v>
      </c>
      <c r="F1561" s="22"/>
      <c r="G1561" s="22" t="s">
        <v>273</v>
      </c>
      <c r="H1561" s="26">
        <v>45998.0</v>
      </c>
      <c r="I1561" s="22" t="s">
        <v>138</v>
      </c>
      <c r="J1561" s="22" t="s">
        <v>369</v>
      </c>
      <c r="K1561" s="22" t="s">
        <v>613</v>
      </c>
      <c r="L1561" s="35" t="s">
        <v>7575</v>
      </c>
      <c r="M1561" s="32" t="s">
        <v>105</v>
      </c>
    </row>
    <row r="1562">
      <c r="A1562" s="22" t="s">
        <v>2993</v>
      </c>
      <c r="B1562" s="22" t="s">
        <v>5217</v>
      </c>
      <c r="C1562" s="22" t="s">
        <v>7576</v>
      </c>
      <c r="D1562" s="22" t="s">
        <v>2659</v>
      </c>
      <c r="E1562" s="22">
        <v>1.0</v>
      </c>
      <c r="F1562" s="22"/>
      <c r="G1562" s="22" t="s">
        <v>273</v>
      </c>
      <c r="H1562" s="23">
        <v>45991.0</v>
      </c>
      <c r="I1562" s="22" t="s">
        <v>149</v>
      </c>
      <c r="J1562" s="22" t="s">
        <v>356</v>
      </c>
      <c r="K1562" s="22" t="s">
        <v>2662</v>
      </c>
      <c r="L1562" s="35" t="s">
        <v>7577</v>
      </c>
      <c r="M1562" s="32" t="s">
        <v>127</v>
      </c>
    </row>
    <row r="1563">
      <c r="A1563" s="22" t="s">
        <v>7578</v>
      </c>
      <c r="B1563" s="22" t="s">
        <v>7579</v>
      </c>
      <c r="C1563" s="22" t="s">
        <v>7580</v>
      </c>
      <c r="D1563" s="22" t="s">
        <v>4025</v>
      </c>
      <c r="E1563" s="22">
        <v>1.0</v>
      </c>
      <c r="F1563" s="22"/>
      <c r="G1563" s="22" t="s">
        <v>287</v>
      </c>
      <c r="H1563" s="26">
        <v>45994.0</v>
      </c>
      <c r="I1563" s="22" t="s">
        <v>196</v>
      </c>
      <c r="J1563" s="22" t="s">
        <v>4026</v>
      </c>
      <c r="K1563" s="22" t="s">
        <v>4027</v>
      </c>
      <c r="L1563" s="35" t="s">
        <v>7581</v>
      </c>
      <c r="M1563" s="32" t="s">
        <v>55</v>
      </c>
    </row>
    <row r="1564">
      <c r="A1564" s="22" t="s">
        <v>2994</v>
      </c>
      <c r="B1564" s="22" t="s">
        <v>4318</v>
      </c>
      <c r="C1564" s="22" t="s">
        <v>7582</v>
      </c>
      <c r="D1564" s="22" t="s">
        <v>814</v>
      </c>
      <c r="E1564" s="22">
        <v>1.0</v>
      </c>
      <c r="F1564" s="22"/>
      <c r="G1564" s="22" t="s">
        <v>82</v>
      </c>
      <c r="H1564" s="26">
        <v>45997.0</v>
      </c>
      <c r="I1564" s="22" t="s">
        <v>187</v>
      </c>
      <c r="J1564" s="22" t="s">
        <v>698</v>
      </c>
      <c r="K1564" s="22" t="s">
        <v>818</v>
      </c>
      <c r="L1564" s="35" t="s">
        <v>7583</v>
      </c>
      <c r="M1564" s="32" t="s">
        <v>127</v>
      </c>
    </row>
    <row r="1565">
      <c r="A1565" s="22" t="s">
        <v>2994</v>
      </c>
      <c r="B1565" s="22" t="s">
        <v>4318</v>
      </c>
      <c r="C1565" s="22" t="s">
        <v>7582</v>
      </c>
      <c r="D1565" s="25"/>
      <c r="E1565" s="25"/>
      <c r="F1565" s="22"/>
      <c r="G1565" s="22" t="s">
        <v>82</v>
      </c>
      <c r="H1565" s="26">
        <v>45997.0</v>
      </c>
      <c r="I1565" s="22" t="s">
        <v>187</v>
      </c>
      <c r="J1565" s="22" t="s">
        <v>698</v>
      </c>
      <c r="K1565" s="22" t="s">
        <v>2996</v>
      </c>
      <c r="L1565" s="35" t="s">
        <v>7584</v>
      </c>
    </row>
    <row r="1566">
      <c r="A1566" s="22" t="s">
        <v>2997</v>
      </c>
      <c r="B1566" s="22" t="s">
        <v>7585</v>
      </c>
      <c r="C1566" s="22" t="s">
        <v>7586</v>
      </c>
      <c r="D1566" s="22" t="s">
        <v>437</v>
      </c>
      <c r="E1566" s="22">
        <v>1.0</v>
      </c>
      <c r="F1566" s="22"/>
      <c r="G1566" s="22" t="s">
        <v>273</v>
      </c>
      <c r="H1566" s="26">
        <v>45998.0</v>
      </c>
      <c r="I1566" s="22" t="s">
        <v>439</v>
      </c>
      <c r="J1566" s="22" t="s">
        <v>440</v>
      </c>
      <c r="K1566" s="22" t="s">
        <v>443</v>
      </c>
      <c r="L1566" s="35" t="s">
        <v>7587</v>
      </c>
      <c r="M1566" s="32" t="s">
        <v>91</v>
      </c>
    </row>
    <row r="1567">
      <c r="A1567" s="22" t="s">
        <v>2998</v>
      </c>
      <c r="B1567" s="22" t="s">
        <v>3866</v>
      </c>
      <c r="C1567" s="22" t="s">
        <v>7588</v>
      </c>
      <c r="D1567" s="22" t="s">
        <v>602</v>
      </c>
      <c r="E1567" s="22">
        <v>1.0</v>
      </c>
      <c r="F1567" s="22"/>
      <c r="G1567" s="22" t="s">
        <v>82</v>
      </c>
      <c r="H1567" s="26">
        <v>45997.0</v>
      </c>
      <c r="I1567" s="22" t="s">
        <v>522</v>
      </c>
      <c r="J1567" s="22" t="s">
        <v>605</v>
      </c>
      <c r="K1567" s="22" t="s">
        <v>608</v>
      </c>
      <c r="L1567" s="35" t="s">
        <v>7589</v>
      </c>
      <c r="M1567" s="32" t="s">
        <v>54</v>
      </c>
    </row>
    <row r="1568">
      <c r="A1568" s="22" t="s">
        <v>3000</v>
      </c>
      <c r="B1568" s="22" t="s">
        <v>7590</v>
      </c>
      <c r="C1568" s="22" t="s">
        <v>7591</v>
      </c>
      <c r="D1568" s="22" t="s">
        <v>470</v>
      </c>
      <c r="E1568" s="22">
        <v>1.0</v>
      </c>
      <c r="F1568" s="22"/>
      <c r="G1568" s="22" t="s">
        <v>82</v>
      </c>
      <c r="H1568" s="26">
        <v>45997.0</v>
      </c>
      <c r="I1568" s="22" t="s">
        <v>149</v>
      </c>
      <c r="J1568" s="22" t="s">
        <v>472</v>
      </c>
      <c r="K1568" s="22" t="s">
        <v>475</v>
      </c>
      <c r="L1568" s="35" t="s">
        <v>7592</v>
      </c>
      <c r="M1568" s="32" t="s">
        <v>91</v>
      </c>
    </row>
    <row r="1569">
      <c r="A1569" s="22" t="s">
        <v>7593</v>
      </c>
      <c r="B1569" s="22" t="s">
        <v>4877</v>
      </c>
      <c r="C1569" s="22" t="s">
        <v>7594</v>
      </c>
      <c r="D1569" s="22" t="s">
        <v>4044</v>
      </c>
      <c r="E1569" s="22">
        <v>1.0</v>
      </c>
      <c r="F1569" s="22"/>
      <c r="G1569" s="22" t="s">
        <v>336</v>
      </c>
      <c r="H1569" s="26">
        <v>45995.0</v>
      </c>
      <c r="I1569" s="22" t="s">
        <v>196</v>
      </c>
      <c r="J1569" s="22" t="s">
        <v>4045</v>
      </c>
      <c r="K1569" s="22" t="s">
        <v>4046</v>
      </c>
      <c r="L1569" s="35" t="s">
        <v>7595</v>
      </c>
      <c r="M1569" s="32" t="s">
        <v>55</v>
      </c>
    </row>
    <row r="1570">
      <c r="A1570" s="22" t="s">
        <v>7596</v>
      </c>
      <c r="B1570" s="22" t="s">
        <v>6884</v>
      </c>
      <c r="C1570" s="22" t="s">
        <v>7597</v>
      </c>
      <c r="D1570" s="22" t="s">
        <v>4025</v>
      </c>
      <c r="E1570" s="22">
        <v>1.0</v>
      </c>
      <c r="F1570" s="22"/>
      <c r="G1570" s="22" t="s">
        <v>294</v>
      </c>
      <c r="H1570" s="26">
        <v>45999.0</v>
      </c>
      <c r="I1570" s="22" t="s">
        <v>196</v>
      </c>
      <c r="J1570" s="22" t="s">
        <v>4026</v>
      </c>
      <c r="K1570" s="22" t="s">
        <v>4027</v>
      </c>
      <c r="L1570" s="35" t="s">
        <v>7598</v>
      </c>
      <c r="M1570" s="32" t="s">
        <v>55</v>
      </c>
    </row>
    <row r="1571">
      <c r="A1571" s="22" t="s">
        <v>7599</v>
      </c>
      <c r="B1571" s="22" t="s">
        <v>7600</v>
      </c>
      <c r="C1571" s="22" t="s">
        <v>7601</v>
      </c>
      <c r="D1571" s="22" t="s">
        <v>4345</v>
      </c>
      <c r="E1571" s="22">
        <v>1.0</v>
      </c>
      <c r="F1571" s="22"/>
      <c r="G1571" s="22" t="s">
        <v>294</v>
      </c>
      <c r="H1571" s="26">
        <v>45992.0</v>
      </c>
      <c r="I1571" s="22" t="s">
        <v>248</v>
      </c>
      <c r="J1571" s="22" t="s">
        <v>4346</v>
      </c>
      <c r="K1571" s="22" t="s">
        <v>4347</v>
      </c>
      <c r="L1571" s="35" t="s">
        <v>7602</v>
      </c>
      <c r="M1571" s="32" t="s">
        <v>55</v>
      </c>
    </row>
    <row r="1572">
      <c r="A1572" s="22" t="s">
        <v>3001</v>
      </c>
      <c r="B1572" s="22" t="s">
        <v>7603</v>
      </c>
      <c r="C1572" s="22" t="s">
        <v>7604</v>
      </c>
      <c r="D1572" s="22" t="s">
        <v>354</v>
      </c>
      <c r="E1572" s="22">
        <v>1.0</v>
      </c>
      <c r="F1572" s="22"/>
      <c r="G1572" s="22" t="s">
        <v>273</v>
      </c>
      <c r="H1572" s="23">
        <v>45991.0</v>
      </c>
      <c r="I1572" s="22" t="s">
        <v>252</v>
      </c>
      <c r="J1572" s="22" t="s">
        <v>356</v>
      </c>
      <c r="K1572" s="22" t="s">
        <v>359</v>
      </c>
      <c r="L1572" s="35" t="s">
        <v>7605</v>
      </c>
      <c r="M1572" s="32" t="s">
        <v>54</v>
      </c>
    </row>
    <row r="1573">
      <c r="A1573" s="22" t="s">
        <v>3004</v>
      </c>
      <c r="B1573" s="22" t="s">
        <v>3787</v>
      </c>
      <c r="C1573" s="22" t="s">
        <v>7606</v>
      </c>
      <c r="D1573" s="22" t="s">
        <v>709</v>
      </c>
      <c r="E1573" s="22">
        <v>1.0</v>
      </c>
      <c r="F1573" s="22"/>
      <c r="G1573" s="22" t="s">
        <v>202</v>
      </c>
      <c r="H1573" s="23">
        <v>46003.0</v>
      </c>
      <c r="I1573" s="22" t="s">
        <v>134</v>
      </c>
      <c r="J1573" s="22" t="s">
        <v>311</v>
      </c>
      <c r="K1573" s="22" t="s">
        <v>713</v>
      </c>
      <c r="L1573" s="35" t="s">
        <v>7607</v>
      </c>
      <c r="M1573" s="32" t="s">
        <v>91</v>
      </c>
    </row>
    <row r="1574">
      <c r="A1574" s="22" t="s">
        <v>3006</v>
      </c>
      <c r="B1574" s="22" t="s">
        <v>7608</v>
      </c>
      <c r="C1574" s="22" t="s">
        <v>4485</v>
      </c>
      <c r="D1574" s="22" t="s">
        <v>1370</v>
      </c>
      <c r="E1574" s="22">
        <v>1.0</v>
      </c>
      <c r="F1574" s="22"/>
      <c r="G1574" s="22" t="s">
        <v>273</v>
      </c>
      <c r="H1574" s="23">
        <v>45991.0</v>
      </c>
      <c r="I1574" s="22" t="s">
        <v>138</v>
      </c>
      <c r="J1574" s="22" t="s">
        <v>329</v>
      </c>
      <c r="K1574" s="22" t="s">
        <v>1372</v>
      </c>
      <c r="L1574" s="35" t="s">
        <v>7609</v>
      </c>
      <c r="M1574" s="32" t="s">
        <v>91</v>
      </c>
    </row>
    <row r="1575">
      <c r="A1575" s="22" t="s">
        <v>3008</v>
      </c>
      <c r="B1575" s="22" t="s">
        <v>7533</v>
      </c>
      <c r="C1575" s="22" t="s">
        <v>3735</v>
      </c>
      <c r="D1575" s="22" t="s">
        <v>611</v>
      </c>
      <c r="E1575" s="22">
        <v>1.0</v>
      </c>
      <c r="F1575" s="22"/>
      <c r="G1575" s="22" t="s">
        <v>273</v>
      </c>
      <c r="H1575" s="26">
        <v>45998.0</v>
      </c>
      <c r="I1575" s="22" t="s">
        <v>153</v>
      </c>
      <c r="J1575" s="22" t="s">
        <v>369</v>
      </c>
      <c r="K1575" s="22" t="s">
        <v>613</v>
      </c>
      <c r="L1575" s="35" t="s">
        <v>7610</v>
      </c>
      <c r="M1575" s="32" t="s">
        <v>105</v>
      </c>
    </row>
    <row r="1576">
      <c r="A1576" s="22" t="s">
        <v>3009</v>
      </c>
      <c r="B1576" s="22" t="s">
        <v>7611</v>
      </c>
      <c r="C1576" s="22" t="s">
        <v>7612</v>
      </c>
      <c r="D1576" s="22" t="s">
        <v>408</v>
      </c>
      <c r="E1576" s="22">
        <v>1.0</v>
      </c>
      <c r="F1576" s="22"/>
      <c r="G1576" s="22" t="s">
        <v>82</v>
      </c>
      <c r="H1576" s="26">
        <v>45997.0</v>
      </c>
      <c r="I1576" s="22" t="s">
        <v>153</v>
      </c>
      <c r="J1576" s="22" t="s">
        <v>377</v>
      </c>
      <c r="K1576" s="22" t="s">
        <v>412</v>
      </c>
      <c r="L1576" s="35" t="s">
        <v>7613</v>
      </c>
      <c r="M1576" s="32" t="s">
        <v>127</v>
      </c>
    </row>
    <row r="1577">
      <c r="A1577" s="22" t="s">
        <v>2968</v>
      </c>
      <c r="B1577" s="22" t="s">
        <v>4587</v>
      </c>
      <c r="C1577" s="22" t="s">
        <v>7614</v>
      </c>
      <c r="D1577" s="22" t="s">
        <v>1472</v>
      </c>
      <c r="E1577" s="22">
        <v>1.0</v>
      </c>
      <c r="F1577" s="22"/>
      <c r="G1577" s="22" t="s">
        <v>82</v>
      </c>
      <c r="H1577" s="26">
        <v>45997.0</v>
      </c>
      <c r="I1577" s="22" t="s">
        <v>134</v>
      </c>
      <c r="J1577" s="22" t="s">
        <v>1466</v>
      </c>
      <c r="K1577" s="22" t="s">
        <v>1474</v>
      </c>
      <c r="L1577" s="35" t="s">
        <v>7615</v>
      </c>
      <c r="M1577" s="32" t="s">
        <v>54</v>
      </c>
    </row>
    <row r="1578">
      <c r="A1578" s="22" t="s">
        <v>2970</v>
      </c>
      <c r="B1578" s="22" t="s">
        <v>7286</v>
      </c>
      <c r="C1578" s="22" t="s">
        <v>7616</v>
      </c>
      <c r="D1578" s="22" t="s">
        <v>538</v>
      </c>
      <c r="E1578" s="22">
        <v>1.0</v>
      </c>
      <c r="F1578" s="22"/>
      <c r="G1578" s="22" t="s">
        <v>273</v>
      </c>
      <c r="H1578" s="26">
        <v>45998.0</v>
      </c>
      <c r="I1578" s="22" t="s">
        <v>153</v>
      </c>
      <c r="J1578" s="22" t="s">
        <v>369</v>
      </c>
      <c r="K1578" s="22" t="s">
        <v>542</v>
      </c>
      <c r="L1578" s="35" t="s">
        <v>7617</v>
      </c>
      <c r="M1578" s="32" t="s">
        <v>91</v>
      </c>
    </row>
    <row r="1579">
      <c r="A1579" s="22" t="s">
        <v>2963</v>
      </c>
      <c r="B1579" s="22" t="s">
        <v>7618</v>
      </c>
      <c r="C1579" s="22" t="s">
        <v>7619</v>
      </c>
      <c r="D1579" s="22" t="s">
        <v>902</v>
      </c>
      <c r="E1579" s="22">
        <v>1.0</v>
      </c>
      <c r="F1579" s="22"/>
      <c r="G1579" s="22" t="s">
        <v>273</v>
      </c>
      <c r="H1579" s="23">
        <v>45991.0</v>
      </c>
      <c r="I1579" s="22" t="s">
        <v>153</v>
      </c>
      <c r="J1579" s="22" t="s">
        <v>329</v>
      </c>
      <c r="K1579" s="22" t="s">
        <v>906</v>
      </c>
      <c r="L1579" s="35" t="s">
        <v>7620</v>
      </c>
      <c r="M1579" s="32" t="s">
        <v>105</v>
      </c>
    </row>
    <row r="1580">
      <c r="A1580" s="22" t="s">
        <v>3013</v>
      </c>
      <c r="B1580" s="22" t="s">
        <v>4261</v>
      </c>
      <c r="C1580" s="22" t="s">
        <v>7621</v>
      </c>
      <c r="D1580" s="22" t="s">
        <v>560</v>
      </c>
      <c r="E1580" s="22">
        <v>1.0</v>
      </c>
      <c r="F1580" s="22"/>
      <c r="G1580" s="22" t="s">
        <v>273</v>
      </c>
      <c r="H1580" s="23">
        <v>45991.0</v>
      </c>
      <c r="I1580" s="22" t="s">
        <v>149</v>
      </c>
      <c r="J1580" s="22" t="s">
        <v>356</v>
      </c>
      <c r="K1580" s="22" t="s">
        <v>563</v>
      </c>
      <c r="L1580" s="35" t="s">
        <v>7622</v>
      </c>
      <c r="M1580" s="32" t="s">
        <v>91</v>
      </c>
    </row>
    <row r="1581">
      <c r="A1581" s="22" t="s">
        <v>3014</v>
      </c>
      <c r="B1581" s="22" t="s">
        <v>7623</v>
      </c>
      <c r="C1581" s="22" t="s">
        <v>7624</v>
      </c>
      <c r="D1581" s="22" t="s">
        <v>141</v>
      </c>
      <c r="E1581" s="22">
        <v>1.0</v>
      </c>
      <c r="F1581" s="22"/>
      <c r="G1581" s="22" t="s">
        <v>82</v>
      </c>
      <c r="H1581" s="26">
        <v>45997.0</v>
      </c>
      <c r="I1581" s="22" t="s">
        <v>134</v>
      </c>
      <c r="J1581" s="22" t="s">
        <v>83</v>
      </c>
      <c r="K1581" s="22" t="s">
        <v>143</v>
      </c>
      <c r="L1581" s="35" t="s">
        <v>7625</v>
      </c>
      <c r="M1581" s="32" t="s">
        <v>54</v>
      </c>
    </row>
    <row r="1582">
      <c r="A1582" s="22" t="s">
        <v>3016</v>
      </c>
      <c r="B1582" s="22" t="s">
        <v>7626</v>
      </c>
      <c r="C1582" s="22" t="s">
        <v>7627</v>
      </c>
      <c r="D1582" s="22" t="s">
        <v>789</v>
      </c>
      <c r="E1582" s="22">
        <v>1.0</v>
      </c>
      <c r="F1582" s="22"/>
      <c r="G1582" s="22" t="s">
        <v>82</v>
      </c>
      <c r="H1582" s="26">
        <v>45997.0</v>
      </c>
      <c r="I1582" s="22" t="s">
        <v>522</v>
      </c>
      <c r="J1582" s="22" t="s">
        <v>605</v>
      </c>
      <c r="K1582" s="22" t="s">
        <v>794</v>
      </c>
      <c r="L1582" s="35" t="s">
        <v>7628</v>
      </c>
      <c r="M1582" s="32" t="s">
        <v>105</v>
      </c>
    </row>
    <row r="1583">
      <c r="A1583" s="22" t="s">
        <v>3017</v>
      </c>
      <c r="B1583" s="22" t="s">
        <v>5241</v>
      </c>
      <c r="C1583" s="22" t="s">
        <v>7629</v>
      </c>
      <c r="D1583" s="22" t="s">
        <v>1175</v>
      </c>
      <c r="E1583" s="22">
        <v>1.0</v>
      </c>
      <c r="F1583" s="22"/>
      <c r="G1583" s="22" t="s">
        <v>273</v>
      </c>
      <c r="H1583" s="23">
        <v>45991.0</v>
      </c>
      <c r="I1583" s="22" t="s">
        <v>153</v>
      </c>
      <c r="J1583" s="22" t="s">
        <v>329</v>
      </c>
      <c r="K1583" s="22" t="s">
        <v>1179</v>
      </c>
      <c r="L1583" s="35" t="s">
        <v>7630</v>
      </c>
      <c r="M1583" s="32" t="s">
        <v>127</v>
      </c>
    </row>
    <row r="1584">
      <c r="A1584" s="22" t="s">
        <v>3018</v>
      </c>
      <c r="B1584" s="22" t="s">
        <v>7631</v>
      </c>
      <c r="C1584" s="22" t="s">
        <v>7632</v>
      </c>
      <c r="D1584" s="22" t="s">
        <v>529</v>
      </c>
      <c r="E1584" s="22">
        <v>1.0</v>
      </c>
      <c r="F1584" s="22"/>
      <c r="G1584" s="22" t="s">
        <v>82</v>
      </c>
      <c r="H1584" s="26">
        <v>45997.0</v>
      </c>
      <c r="I1584" s="22" t="s">
        <v>134</v>
      </c>
      <c r="J1584" s="22" t="s">
        <v>472</v>
      </c>
      <c r="K1584" s="22" t="s">
        <v>533</v>
      </c>
      <c r="L1584" s="35" t="s">
        <v>7633</v>
      </c>
      <c r="M1584" s="32" t="s">
        <v>127</v>
      </c>
    </row>
    <row r="1585">
      <c r="A1585" s="22" t="s">
        <v>3020</v>
      </c>
      <c r="B1585" s="22" t="s">
        <v>7634</v>
      </c>
      <c r="C1585" s="22" t="s">
        <v>7635</v>
      </c>
      <c r="D1585" s="22" t="s">
        <v>408</v>
      </c>
      <c r="E1585" s="22">
        <v>1.0</v>
      </c>
      <c r="F1585" s="22"/>
      <c r="G1585" s="22" t="s">
        <v>82</v>
      </c>
      <c r="H1585" s="23">
        <v>46004.0</v>
      </c>
      <c r="I1585" s="22" t="s">
        <v>153</v>
      </c>
      <c r="J1585" s="22" t="s">
        <v>377</v>
      </c>
      <c r="K1585" s="22" t="s">
        <v>412</v>
      </c>
      <c r="L1585" s="35" t="s">
        <v>7636</v>
      </c>
      <c r="M1585" s="32" t="s">
        <v>127</v>
      </c>
    </row>
    <row r="1586">
      <c r="A1586" s="22" t="s">
        <v>3022</v>
      </c>
      <c r="B1586" s="22" t="s">
        <v>7637</v>
      </c>
      <c r="C1586" s="22" t="s">
        <v>7638</v>
      </c>
      <c r="D1586" s="22" t="s">
        <v>649</v>
      </c>
      <c r="E1586" s="22">
        <v>1.0</v>
      </c>
      <c r="F1586" s="22"/>
      <c r="G1586" s="22" t="s">
        <v>82</v>
      </c>
      <c r="H1586" s="26">
        <v>45997.0</v>
      </c>
      <c r="I1586" s="22" t="s">
        <v>196</v>
      </c>
      <c r="J1586" s="22" t="s">
        <v>319</v>
      </c>
      <c r="K1586" s="22" t="s">
        <v>651</v>
      </c>
      <c r="L1586" s="35" t="s">
        <v>7639</v>
      </c>
      <c r="M1586" s="32" t="s">
        <v>91</v>
      </c>
    </row>
    <row r="1587">
      <c r="A1587" s="22" t="s">
        <v>3022</v>
      </c>
      <c r="B1587" s="22" t="s">
        <v>7637</v>
      </c>
      <c r="C1587" s="22" t="s">
        <v>7638</v>
      </c>
      <c r="D1587" s="25"/>
      <c r="E1587" s="25"/>
      <c r="F1587" s="22"/>
      <c r="G1587" s="22" t="s">
        <v>82</v>
      </c>
      <c r="H1587" s="26">
        <v>45997.0</v>
      </c>
      <c r="I1587" s="22" t="s">
        <v>196</v>
      </c>
      <c r="J1587" s="22" t="s">
        <v>319</v>
      </c>
      <c r="K1587" s="22" t="s">
        <v>3023</v>
      </c>
      <c r="L1587" s="35" t="s">
        <v>7640</v>
      </c>
    </row>
    <row r="1588">
      <c r="A1588" s="22" t="s">
        <v>3026</v>
      </c>
      <c r="B1588" s="22" t="s">
        <v>3811</v>
      </c>
      <c r="C1588" s="22" t="s">
        <v>7641</v>
      </c>
      <c r="D1588" s="22" t="s">
        <v>714</v>
      </c>
      <c r="E1588" s="22">
        <v>1.0</v>
      </c>
      <c r="F1588" s="22"/>
      <c r="G1588" s="22" t="s">
        <v>82</v>
      </c>
      <c r="H1588" s="26">
        <v>45997.0</v>
      </c>
      <c r="I1588" s="22" t="s">
        <v>3025</v>
      </c>
      <c r="J1588" s="22" t="s">
        <v>717</v>
      </c>
      <c r="K1588" s="22" t="s">
        <v>720</v>
      </c>
      <c r="L1588" s="35" t="s">
        <v>7642</v>
      </c>
      <c r="M1588" s="32" t="s">
        <v>55</v>
      </c>
    </row>
    <row r="1589">
      <c r="A1589" s="22" t="s">
        <v>3032</v>
      </c>
      <c r="B1589" s="22" t="s">
        <v>7643</v>
      </c>
      <c r="C1589" s="22" t="s">
        <v>7644</v>
      </c>
      <c r="D1589" s="22" t="s">
        <v>560</v>
      </c>
      <c r="E1589" s="22">
        <v>1.0</v>
      </c>
      <c r="F1589" s="22"/>
      <c r="G1589" s="22" t="s">
        <v>273</v>
      </c>
      <c r="H1589" s="23">
        <v>45991.0</v>
      </c>
      <c r="I1589" s="22" t="s">
        <v>196</v>
      </c>
      <c r="J1589" s="22" t="s">
        <v>356</v>
      </c>
      <c r="K1589" s="22" t="s">
        <v>563</v>
      </c>
      <c r="L1589" s="35" t="s">
        <v>7645</v>
      </c>
      <c r="M1589" s="32" t="s">
        <v>91</v>
      </c>
    </row>
    <row r="1590">
      <c r="A1590" s="22" t="s">
        <v>3056</v>
      </c>
      <c r="B1590" s="22" t="s">
        <v>3892</v>
      </c>
      <c r="C1590" s="22" t="s">
        <v>7646</v>
      </c>
      <c r="D1590" s="22" t="s">
        <v>1527</v>
      </c>
      <c r="E1590" s="22">
        <v>1.0</v>
      </c>
      <c r="F1590" s="22"/>
      <c r="G1590" s="22" t="s">
        <v>82</v>
      </c>
      <c r="H1590" s="26">
        <v>45997.0</v>
      </c>
      <c r="I1590" s="22" t="s">
        <v>134</v>
      </c>
      <c r="J1590" s="22" t="s">
        <v>451</v>
      </c>
      <c r="K1590" s="22" t="s">
        <v>1531</v>
      </c>
      <c r="L1590" s="35" t="s">
        <v>7647</v>
      </c>
      <c r="M1590" s="32" t="s">
        <v>105</v>
      </c>
    </row>
    <row r="1591">
      <c r="A1591" s="22" t="s">
        <v>3057</v>
      </c>
      <c r="B1591" s="22" t="s">
        <v>4671</v>
      </c>
      <c r="C1591" s="22" t="s">
        <v>5670</v>
      </c>
      <c r="D1591" s="22" t="s">
        <v>124</v>
      </c>
      <c r="E1591" s="22">
        <v>1.0</v>
      </c>
      <c r="F1591" s="22"/>
      <c r="G1591" s="22" t="s">
        <v>82</v>
      </c>
      <c r="H1591" s="26">
        <v>45997.0</v>
      </c>
      <c r="I1591" s="22" t="s">
        <v>153</v>
      </c>
      <c r="J1591" s="22" t="s">
        <v>83</v>
      </c>
      <c r="K1591" s="22" t="s">
        <v>126</v>
      </c>
      <c r="L1591" s="35" t="s">
        <v>7648</v>
      </c>
      <c r="M1591" s="32" t="s">
        <v>127</v>
      </c>
    </row>
    <row r="1592">
      <c r="A1592" s="22" t="s">
        <v>3059</v>
      </c>
      <c r="B1592" s="22" t="s">
        <v>7649</v>
      </c>
      <c r="C1592" s="22" t="s">
        <v>7650</v>
      </c>
      <c r="D1592" s="22" t="s">
        <v>458</v>
      </c>
      <c r="E1592" s="22">
        <v>1.0</v>
      </c>
      <c r="F1592" s="22"/>
      <c r="G1592" s="22" t="s">
        <v>82</v>
      </c>
      <c r="H1592" s="23">
        <v>46004.0</v>
      </c>
      <c r="I1592" s="22" t="s">
        <v>149</v>
      </c>
      <c r="J1592" s="22" t="s">
        <v>341</v>
      </c>
      <c r="K1592" s="22" t="s">
        <v>462</v>
      </c>
      <c r="L1592" s="35" t="s">
        <v>7651</v>
      </c>
      <c r="M1592" s="32" t="s">
        <v>91</v>
      </c>
    </row>
    <row r="1593">
      <c r="A1593" s="22" t="s">
        <v>3035</v>
      </c>
      <c r="B1593" s="22" t="s">
        <v>7456</v>
      </c>
      <c r="C1593" s="22" t="s">
        <v>7652</v>
      </c>
      <c r="D1593" s="22" t="s">
        <v>484</v>
      </c>
      <c r="E1593" s="22">
        <v>1.0</v>
      </c>
      <c r="F1593" s="22"/>
      <c r="G1593" s="22" t="s">
        <v>202</v>
      </c>
      <c r="H1593" s="26">
        <v>45996.0</v>
      </c>
      <c r="I1593" s="22" t="s">
        <v>1073</v>
      </c>
      <c r="J1593" s="22" t="s">
        <v>311</v>
      </c>
      <c r="K1593" s="22" t="s">
        <v>487</v>
      </c>
      <c r="L1593" s="35" t="s">
        <v>7653</v>
      </c>
      <c r="M1593" s="32" t="s">
        <v>127</v>
      </c>
    </row>
    <row r="1594">
      <c r="A1594" s="22" t="s">
        <v>3037</v>
      </c>
      <c r="B1594" s="22" t="s">
        <v>6698</v>
      </c>
      <c r="C1594" s="22" t="s">
        <v>7654</v>
      </c>
      <c r="D1594" s="22" t="s">
        <v>902</v>
      </c>
      <c r="E1594" s="22">
        <v>1.0</v>
      </c>
      <c r="F1594" s="22"/>
      <c r="G1594" s="22" t="s">
        <v>273</v>
      </c>
      <c r="H1594" s="23">
        <v>45991.0</v>
      </c>
      <c r="I1594" s="22" t="s">
        <v>153</v>
      </c>
      <c r="J1594" s="22" t="s">
        <v>329</v>
      </c>
      <c r="K1594" s="22" t="s">
        <v>906</v>
      </c>
      <c r="L1594" s="35" t="s">
        <v>7655</v>
      </c>
      <c r="M1594" s="32" t="s">
        <v>105</v>
      </c>
    </row>
    <row r="1595">
      <c r="A1595" s="22" t="s">
        <v>3038</v>
      </c>
      <c r="B1595" s="22" t="s">
        <v>7656</v>
      </c>
      <c r="C1595" s="22" t="s">
        <v>7657</v>
      </c>
      <c r="D1595" s="22" t="s">
        <v>124</v>
      </c>
      <c r="E1595" s="22">
        <v>1.0</v>
      </c>
      <c r="F1595" s="22"/>
      <c r="G1595" s="22" t="s">
        <v>202</v>
      </c>
      <c r="H1595" s="26">
        <v>45996.0</v>
      </c>
      <c r="I1595" s="22" t="s">
        <v>266</v>
      </c>
      <c r="J1595" s="22" t="s">
        <v>83</v>
      </c>
      <c r="K1595" s="22" t="s">
        <v>126</v>
      </c>
      <c r="L1595" s="35" t="s">
        <v>7658</v>
      </c>
      <c r="M1595" s="32" t="s">
        <v>127</v>
      </c>
    </row>
    <row r="1596">
      <c r="A1596" s="22" t="s">
        <v>3040</v>
      </c>
      <c r="B1596" s="22" t="s">
        <v>7659</v>
      </c>
      <c r="C1596" s="22" t="s">
        <v>7660</v>
      </c>
      <c r="D1596" s="22" t="s">
        <v>124</v>
      </c>
      <c r="E1596" s="22">
        <v>1.0</v>
      </c>
      <c r="F1596" s="22"/>
      <c r="G1596" s="22" t="s">
        <v>273</v>
      </c>
      <c r="H1596" s="26">
        <v>45998.0</v>
      </c>
      <c r="I1596" s="22" t="s">
        <v>149</v>
      </c>
      <c r="J1596" s="22" t="s">
        <v>83</v>
      </c>
      <c r="K1596" s="22" t="s">
        <v>126</v>
      </c>
      <c r="L1596" s="35" t="s">
        <v>7661</v>
      </c>
      <c r="M1596" s="32" t="s">
        <v>127</v>
      </c>
    </row>
    <row r="1597">
      <c r="A1597" s="22" t="s">
        <v>3042</v>
      </c>
      <c r="B1597" s="22" t="s">
        <v>4365</v>
      </c>
      <c r="C1597" s="22" t="s">
        <v>7662</v>
      </c>
      <c r="D1597" s="22" t="s">
        <v>141</v>
      </c>
      <c r="E1597" s="22">
        <v>1.0</v>
      </c>
      <c r="F1597" s="22"/>
      <c r="G1597" s="22" t="s">
        <v>273</v>
      </c>
      <c r="H1597" s="26">
        <v>45998.0</v>
      </c>
      <c r="I1597" s="22" t="s">
        <v>149</v>
      </c>
      <c r="J1597" s="22" t="s">
        <v>83</v>
      </c>
      <c r="K1597" s="22" t="s">
        <v>143</v>
      </c>
      <c r="L1597" s="35" t="s">
        <v>7663</v>
      </c>
      <c r="M1597" s="32" t="s">
        <v>54</v>
      </c>
    </row>
    <row r="1598">
      <c r="A1598" s="22" t="s">
        <v>3043</v>
      </c>
      <c r="B1598" s="22" t="s">
        <v>7664</v>
      </c>
      <c r="C1598" s="22" t="s">
        <v>7665</v>
      </c>
      <c r="D1598" s="22" t="s">
        <v>686</v>
      </c>
      <c r="E1598" s="22">
        <v>1.0</v>
      </c>
      <c r="F1598" s="22"/>
      <c r="G1598" s="22" t="s">
        <v>82</v>
      </c>
      <c r="H1598" s="26">
        <v>45997.0</v>
      </c>
      <c r="I1598" s="22" t="s">
        <v>134</v>
      </c>
      <c r="J1598" s="22" t="s">
        <v>451</v>
      </c>
      <c r="K1598" s="22" t="s">
        <v>688</v>
      </c>
      <c r="L1598" s="35" t="s">
        <v>7666</v>
      </c>
      <c r="M1598" s="32" t="s">
        <v>91</v>
      </c>
    </row>
    <row r="1599">
      <c r="A1599" s="22" t="s">
        <v>3045</v>
      </c>
      <c r="B1599" s="22" t="s">
        <v>4008</v>
      </c>
      <c r="C1599" s="22" t="s">
        <v>7667</v>
      </c>
      <c r="D1599" s="22" t="s">
        <v>209</v>
      </c>
      <c r="E1599" s="22">
        <v>1.0</v>
      </c>
      <c r="F1599" s="22"/>
      <c r="G1599" s="22" t="s">
        <v>82</v>
      </c>
      <c r="H1599" s="26">
        <v>45997.0</v>
      </c>
      <c r="I1599" s="22" t="s">
        <v>187</v>
      </c>
      <c r="J1599" s="22" t="s">
        <v>111</v>
      </c>
      <c r="K1599" s="22" t="s">
        <v>214</v>
      </c>
      <c r="L1599" s="35" t="s">
        <v>7668</v>
      </c>
      <c r="M1599" s="32" t="s">
        <v>91</v>
      </c>
    </row>
    <row r="1600">
      <c r="A1600" s="22" t="s">
        <v>3047</v>
      </c>
      <c r="B1600" s="22" t="s">
        <v>7510</v>
      </c>
      <c r="C1600" s="22" t="s">
        <v>7669</v>
      </c>
      <c r="D1600" s="22" t="s">
        <v>166</v>
      </c>
      <c r="E1600" s="22">
        <v>1.0</v>
      </c>
      <c r="F1600" s="22"/>
      <c r="G1600" s="22" t="s">
        <v>82</v>
      </c>
      <c r="H1600" s="26">
        <v>45997.0</v>
      </c>
      <c r="I1600" s="22" t="s">
        <v>211</v>
      </c>
      <c r="J1600" s="22" t="s">
        <v>111</v>
      </c>
      <c r="K1600" s="22" t="s">
        <v>171</v>
      </c>
      <c r="L1600" s="35" t="s">
        <v>7670</v>
      </c>
      <c r="M1600" s="32" t="s">
        <v>55</v>
      </c>
    </row>
    <row r="1601">
      <c r="A1601" s="22" t="s">
        <v>3049</v>
      </c>
      <c r="B1601" s="22" t="s">
        <v>3825</v>
      </c>
      <c r="C1601" s="22" t="s">
        <v>7508</v>
      </c>
      <c r="D1601" s="22" t="s">
        <v>354</v>
      </c>
      <c r="E1601" s="22">
        <v>1.0</v>
      </c>
      <c r="F1601" s="22"/>
      <c r="G1601" s="22" t="s">
        <v>273</v>
      </c>
      <c r="H1601" s="23">
        <v>45991.0</v>
      </c>
      <c r="I1601" s="22" t="s">
        <v>252</v>
      </c>
      <c r="J1601" s="22" t="s">
        <v>356</v>
      </c>
      <c r="K1601" s="22" t="s">
        <v>359</v>
      </c>
      <c r="L1601" s="35" t="s">
        <v>7671</v>
      </c>
      <c r="M1601" s="32" t="s">
        <v>54</v>
      </c>
    </row>
    <row r="1602">
      <c r="A1602" s="22" t="s">
        <v>3050</v>
      </c>
      <c r="B1602" s="22" t="s">
        <v>4147</v>
      </c>
      <c r="C1602" s="22" t="s">
        <v>7672</v>
      </c>
      <c r="D1602" s="22" t="s">
        <v>885</v>
      </c>
      <c r="E1602" s="22">
        <v>1.0</v>
      </c>
      <c r="F1602" s="22"/>
      <c r="G1602" s="22" t="s">
        <v>82</v>
      </c>
      <c r="H1602" s="26">
        <v>45997.0</v>
      </c>
      <c r="I1602" s="22" t="s">
        <v>522</v>
      </c>
      <c r="J1602" s="22" t="s">
        <v>605</v>
      </c>
      <c r="K1602" s="22" t="s">
        <v>890</v>
      </c>
      <c r="L1602" s="35" t="s">
        <v>7673</v>
      </c>
      <c r="M1602" s="32" t="s">
        <v>127</v>
      </c>
    </row>
    <row r="1603">
      <c r="A1603" s="22" t="s">
        <v>3051</v>
      </c>
      <c r="B1603" s="22" t="s">
        <v>7674</v>
      </c>
      <c r="C1603" s="22" t="s">
        <v>7675</v>
      </c>
      <c r="D1603" s="22" t="s">
        <v>124</v>
      </c>
      <c r="E1603" s="22">
        <v>1.0</v>
      </c>
      <c r="F1603" s="22"/>
      <c r="G1603" s="22" t="s">
        <v>202</v>
      </c>
      <c r="H1603" s="26">
        <v>45996.0</v>
      </c>
      <c r="I1603" s="22" t="s">
        <v>181</v>
      </c>
      <c r="J1603" s="22" t="s">
        <v>83</v>
      </c>
      <c r="K1603" s="22" t="s">
        <v>126</v>
      </c>
      <c r="L1603" s="35" t="s">
        <v>7676</v>
      </c>
      <c r="M1603" s="32" t="s">
        <v>127</v>
      </c>
    </row>
    <row r="1604">
      <c r="A1604" s="22" t="s">
        <v>3053</v>
      </c>
      <c r="B1604" s="22" t="s">
        <v>7677</v>
      </c>
      <c r="C1604" s="22" t="s">
        <v>7678</v>
      </c>
      <c r="D1604" s="22" t="s">
        <v>96</v>
      </c>
      <c r="E1604" s="22">
        <v>1.0</v>
      </c>
      <c r="F1604" s="22"/>
      <c r="G1604" s="22" t="s">
        <v>82</v>
      </c>
      <c r="H1604" s="26">
        <v>45997.0</v>
      </c>
      <c r="I1604" s="22" t="s">
        <v>153</v>
      </c>
      <c r="J1604" s="22" t="s">
        <v>83</v>
      </c>
      <c r="K1604" s="22" t="s">
        <v>98</v>
      </c>
      <c r="L1604" s="35" t="s">
        <v>7679</v>
      </c>
      <c r="M1604" s="32" t="s">
        <v>55</v>
      </c>
    </row>
    <row r="1605">
      <c r="A1605" s="22" t="s">
        <v>3054</v>
      </c>
      <c r="B1605" s="22" t="s">
        <v>4196</v>
      </c>
      <c r="C1605" s="22" t="s">
        <v>7680</v>
      </c>
      <c r="D1605" s="22" t="s">
        <v>879</v>
      </c>
      <c r="E1605" s="22">
        <v>1.0</v>
      </c>
      <c r="F1605" s="22"/>
      <c r="G1605" s="22" t="s">
        <v>273</v>
      </c>
      <c r="H1605" s="26">
        <v>45998.0</v>
      </c>
      <c r="I1605" s="22" t="s">
        <v>1117</v>
      </c>
      <c r="J1605" s="22" t="s">
        <v>869</v>
      </c>
      <c r="K1605" s="22" t="s">
        <v>881</v>
      </c>
      <c r="L1605" s="35" t="s">
        <v>7681</v>
      </c>
      <c r="M1605" s="32" t="s">
        <v>127</v>
      </c>
    </row>
    <row r="1606">
      <c r="A1606" s="22" t="s">
        <v>3061</v>
      </c>
      <c r="B1606" s="22" t="s">
        <v>4382</v>
      </c>
      <c r="C1606" s="22" t="s">
        <v>7682</v>
      </c>
      <c r="D1606" s="22" t="s">
        <v>1180</v>
      </c>
      <c r="E1606" s="22">
        <v>1.0</v>
      </c>
      <c r="F1606" s="22"/>
      <c r="G1606" s="22" t="s">
        <v>273</v>
      </c>
      <c r="H1606" s="26">
        <v>45998.0</v>
      </c>
      <c r="I1606" s="22" t="s">
        <v>196</v>
      </c>
      <c r="J1606" s="22" t="s">
        <v>623</v>
      </c>
      <c r="K1606" s="22" t="s">
        <v>1182</v>
      </c>
      <c r="L1606" s="35" t="s">
        <v>7683</v>
      </c>
      <c r="M1606" s="32" t="s">
        <v>105</v>
      </c>
    </row>
    <row r="1607">
      <c r="A1607" s="22" t="s">
        <v>3108</v>
      </c>
      <c r="B1607" s="22" t="s">
        <v>7684</v>
      </c>
      <c r="C1607" s="22" t="s">
        <v>7475</v>
      </c>
      <c r="D1607" s="22" t="s">
        <v>732</v>
      </c>
      <c r="E1607" s="22">
        <v>1.0</v>
      </c>
      <c r="F1607" s="22"/>
      <c r="G1607" s="22" t="s">
        <v>273</v>
      </c>
      <c r="H1607" s="26">
        <v>45998.0</v>
      </c>
      <c r="I1607" s="22" t="s">
        <v>149</v>
      </c>
      <c r="J1607" s="22" t="s">
        <v>634</v>
      </c>
      <c r="K1607" s="22" t="s">
        <v>737</v>
      </c>
      <c r="L1607" s="35" t="s">
        <v>7685</v>
      </c>
      <c r="M1607" s="32" t="s">
        <v>105</v>
      </c>
    </row>
    <row r="1608">
      <c r="A1608" s="22" t="s">
        <v>3110</v>
      </c>
      <c r="B1608" s="22" t="s">
        <v>4060</v>
      </c>
      <c r="C1608" s="22" t="s">
        <v>7686</v>
      </c>
      <c r="D1608" s="22" t="s">
        <v>602</v>
      </c>
      <c r="E1608" s="22">
        <v>1.0</v>
      </c>
      <c r="F1608" s="22"/>
      <c r="G1608" s="22" t="s">
        <v>82</v>
      </c>
      <c r="H1608" s="26">
        <v>45997.0</v>
      </c>
      <c r="I1608" s="22" t="s">
        <v>266</v>
      </c>
      <c r="J1608" s="22" t="s">
        <v>605</v>
      </c>
      <c r="K1608" s="22" t="s">
        <v>608</v>
      </c>
      <c r="L1608" s="35" t="s">
        <v>7687</v>
      </c>
      <c r="M1608" s="32" t="s">
        <v>54</v>
      </c>
    </row>
    <row r="1609">
      <c r="A1609" s="22" t="s">
        <v>3112</v>
      </c>
      <c r="B1609" s="22" t="s">
        <v>7688</v>
      </c>
      <c r="C1609" s="22" t="s">
        <v>7689</v>
      </c>
      <c r="D1609" s="22" t="s">
        <v>415</v>
      </c>
      <c r="E1609" s="22">
        <v>1.0</v>
      </c>
      <c r="F1609" s="22"/>
      <c r="G1609" s="22" t="s">
        <v>82</v>
      </c>
      <c r="H1609" s="26">
        <v>45997.0</v>
      </c>
      <c r="I1609" s="22" t="s">
        <v>153</v>
      </c>
      <c r="J1609" s="22" t="s">
        <v>377</v>
      </c>
      <c r="K1609" s="22" t="s">
        <v>419</v>
      </c>
      <c r="L1609" s="35" t="s">
        <v>7690</v>
      </c>
      <c r="M1609" s="32" t="s">
        <v>91</v>
      </c>
    </row>
    <row r="1610">
      <c r="A1610" s="22" t="s">
        <v>3063</v>
      </c>
      <c r="B1610" s="22" t="s">
        <v>7691</v>
      </c>
      <c r="C1610" s="22" t="s">
        <v>4017</v>
      </c>
      <c r="D1610" s="22" t="s">
        <v>529</v>
      </c>
      <c r="E1610" s="22">
        <v>1.0</v>
      </c>
      <c r="F1610" s="22"/>
      <c r="G1610" s="22" t="s">
        <v>273</v>
      </c>
      <c r="H1610" s="26">
        <v>45998.0</v>
      </c>
      <c r="I1610" s="22" t="s">
        <v>134</v>
      </c>
      <c r="J1610" s="22" t="s">
        <v>472</v>
      </c>
      <c r="K1610" s="22" t="s">
        <v>533</v>
      </c>
      <c r="L1610" s="35" t="s">
        <v>7692</v>
      </c>
      <c r="M1610" s="32" t="s">
        <v>127</v>
      </c>
    </row>
    <row r="1611">
      <c r="A1611" s="22" t="s">
        <v>3064</v>
      </c>
      <c r="B1611" s="22" t="s">
        <v>4476</v>
      </c>
      <c r="C1611" s="22" t="s">
        <v>7693</v>
      </c>
      <c r="D1611" s="22" t="s">
        <v>166</v>
      </c>
      <c r="E1611" s="22">
        <v>1.0</v>
      </c>
      <c r="F1611" s="22"/>
      <c r="G1611" s="22" t="s">
        <v>82</v>
      </c>
      <c r="H1611" s="26">
        <v>45997.0</v>
      </c>
      <c r="I1611" s="22" t="s">
        <v>1299</v>
      </c>
      <c r="J1611" s="22" t="s">
        <v>111</v>
      </c>
      <c r="K1611" s="22" t="s">
        <v>171</v>
      </c>
      <c r="L1611" s="35" t="s">
        <v>7694</v>
      </c>
      <c r="M1611" s="32" t="s">
        <v>55</v>
      </c>
    </row>
    <row r="1612">
      <c r="A1612" s="22" t="s">
        <v>3066</v>
      </c>
      <c r="B1612" s="22" t="s">
        <v>7695</v>
      </c>
      <c r="C1612" s="22" t="s">
        <v>7696</v>
      </c>
      <c r="D1612" s="22" t="s">
        <v>938</v>
      </c>
      <c r="E1612" s="22">
        <v>1.0</v>
      </c>
      <c r="F1612" s="22"/>
      <c r="G1612" s="22" t="s">
        <v>273</v>
      </c>
      <c r="H1612" s="26">
        <v>45998.0</v>
      </c>
      <c r="I1612" s="22" t="s">
        <v>134</v>
      </c>
      <c r="J1612" s="22" t="s">
        <v>472</v>
      </c>
      <c r="K1612" s="22" t="s">
        <v>940</v>
      </c>
      <c r="L1612" s="35" t="s">
        <v>7697</v>
      </c>
      <c r="M1612" s="32" t="s">
        <v>54</v>
      </c>
    </row>
    <row r="1613">
      <c r="A1613" s="22" t="s">
        <v>3067</v>
      </c>
      <c r="B1613" s="22" t="s">
        <v>3793</v>
      </c>
      <c r="C1613" s="22" t="s">
        <v>7698</v>
      </c>
      <c r="D1613" s="22" t="s">
        <v>696</v>
      </c>
      <c r="E1613" s="22">
        <v>1.0</v>
      </c>
      <c r="F1613" s="22"/>
      <c r="G1613" s="22" t="s">
        <v>82</v>
      </c>
      <c r="H1613" s="26">
        <v>45997.0</v>
      </c>
      <c r="I1613" s="22" t="s">
        <v>734</v>
      </c>
      <c r="J1613" s="22" t="s">
        <v>698</v>
      </c>
      <c r="K1613" s="22" t="s">
        <v>701</v>
      </c>
      <c r="L1613" s="35" t="s">
        <v>7699</v>
      </c>
      <c r="M1613" s="32" t="s">
        <v>55</v>
      </c>
    </row>
    <row r="1614">
      <c r="A1614" s="22" t="s">
        <v>7700</v>
      </c>
      <c r="B1614" s="22" t="s">
        <v>6060</v>
      </c>
      <c r="C1614" s="22" t="s">
        <v>7701</v>
      </c>
      <c r="D1614" s="22" t="s">
        <v>4044</v>
      </c>
      <c r="E1614" s="22">
        <v>1.0</v>
      </c>
      <c r="F1614" s="22"/>
      <c r="G1614" s="22" t="s">
        <v>336</v>
      </c>
      <c r="H1614" s="23">
        <v>46002.0</v>
      </c>
      <c r="I1614" s="22" t="s">
        <v>149</v>
      </c>
      <c r="J1614" s="22" t="s">
        <v>4045</v>
      </c>
      <c r="K1614" s="22" t="s">
        <v>4046</v>
      </c>
      <c r="L1614" s="35" t="s">
        <v>7702</v>
      </c>
      <c r="M1614" s="32" t="s">
        <v>55</v>
      </c>
    </row>
    <row r="1615">
      <c r="A1615" s="22" t="s">
        <v>3069</v>
      </c>
      <c r="B1615" s="22" t="s">
        <v>7703</v>
      </c>
      <c r="C1615" s="22" t="s">
        <v>7704</v>
      </c>
      <c r="D1615" s="22" t="s">
        <v>529</v>
      </c>
      <c r="E1615" s="22">
        <v>1.0</v>
      </c>
      <c r="F1615" s="22"/>
      <c r="G1615" s="22" t="s">
        <v>82</v>
      </c>
      <c r="H1615" s="26">
        <v>45997.0</v>
      </c>
      <c r="I1615" s="22" t="s">
        <v>134</v>
      </c>
      <c r="J1615" s="22" t="s">
        <v>472</v>
      </c>
      <c r="K1615" s="22" t="s">
        <v>533</v>
      </c>
      <c r="L1615" s="35" t="s">
        <v>7705</v>
      </c>
      <c r="M1615" s="32" t="s">
        <v>127</v>
      </c>
    </row>
    <row r="1616">
      <c r="A1616" s="22" t="s">
        <v>3070</v>
      </c>
      <c r="B1616" s="22" t="s">
        <v>7706</v>
      </c>
      <c r="C1616" s="22" t="s">
        <v>7707</v>
      </c>
      <c r="D1616" s="22" t="s">
        <v>408</v>
      </c>
      <c r="E1616" s="22">
        <v>1.0</v>
      </c>
      <c r="F1616" s="22"/>
      <c r="G1616" s="22" t="s">
        <v>82</v>
      </c>
      <c r="H1616" s="26">
        <v>45997.0</v>
      </c>
      <c r="I1616" s="22" t="s">
        <v>134</v>
      </c>
      <c r="J1616" s="22" t="s">
        <v>377</v>
      </c>
      <c r="K1616" s="22" t="s">
        <v>412</v>
      </c>
      <c r="L1616" s="35" t="s">
        <v>7708</v>
      </c>
      <c r="M1616" s="32" t="s">
        <v>127</v>
      </c>
    </row>
    <row r="1617">
      <c r="A1617" s="22" t="s">
        <v>3071</v>
      </c>
      <c r="B1617" s="22" t="s">
        <v>7709</v>
      </c>
      <c r="C1617" s="22" t="s">
        <v>7710</v>
      </c>
      <c r="D1617" s="22" t="s">
        <v>529</v>
      </c>
      <c r="E1617" s="22">
        <v>1.0</v>
      </c>
      <c r="F1617" s="22"/>
      <c r="G1617" s="22" t="s">
        <v>82</v>
      </c>
      <c r="H1617" s="26">
        <v>45997.0</v>
      </c>
      <c r="I1617" s="22" t="s">
        <v>134</v>
      </c>
      <c r="J1617" s="22" t="s">
        <v>472</v>
      </c>
      <c r="K1617" s="22" t="s">
        <v>533</v>
      </c>
      <c r="L1617" s="35" t="s">
        <v>7711</v>
      </c>
      <c r="M1617" s="32" t="s">
        <v>127</v>
      </c>
    </row>
    <row r="1618">
      <c r="A1618" s="22" t="s">
        <v>3072</v>
      </c>
      <c r="B1618" s="22" t="s">
        <v>3898</v>
      </c>
      <c r="C1618" s="22" t="s">
        <v>7712</v>
      </c>
      <c r="D1618" s="22" t="s">
        <v>740</v>
      </c>
      <c r="E1618" s="22">
        <v>1.0</v>
      </c>
      <c r="F1618" s="22"/>
      <c r="G1618" s="22" t="s">
        <v>82</v>
      </c>
      <c r="H1618" s="26">
        <v>45997.0</v>
      </c>
      <c r="I1618" s="22" t="s">
        <v>134</v>
      </c>
      <c r="J1618" s="22" t="s">
        <v>303</v>
      </c>
      <c r="K1618" s="22" t="s">
        <v>744</v>
      </c>
      <c r="L1618" s="35" t="s">
        <v>7713</v>
      </c>
      <c r="M1618" s="32" t="s">
        <v>91</v>
      </c>
    </row>
    <row r="1619">
      <c r="A1619" s="22" t="s">
        <v>3074</v>
      </c>
      <c r="B1619" s="22" t="s">
        <v>3674</v>
      </c>
      <c r="C1619" s="22" t="s">
        <v>7714</v>
      </c>
      <c r="D1619" s="22" t="s">
        <v>124</v>
      </c>
      <c r="E1619" s="22">
        <v>1.0</v>
      </c>
      <c r="F1619" s="22"/>
      <c r="G1619" s="22" t="s">
        <v>273</v>
      </c>
      <c r="H1619" s="26">
        <v>45998.0</v>
      </c>
      <c r="I1619" s="22" t="s">
        <v>149</v>
      </c>
      <c r="J1619" s="22" t="s">
        <v>83</v>
      </c>
      <c r="K1619" s="22" t="s">
        <v>126</v>
      </c>
      <c r="L1619" s="35" t="s">
        <v>7715</v>
      </c>
      <c r="M1619" s="32" t="s">
        <v>127</v>
      </c>
    </row>
    <row r="1620">
      <c r="A1620" s="22" t="s">
        <v>3075</v>
      </c>
      <c r="B1620" s="22" t="s">
        <v>7716</v>
      </c>
      <c r="C1620" s="22" t="s">
        <v>7717</v>
      </c>
      <c r="D1620" s="22" t="s">
        <v>845</v>
      </c>
      <c r="E1620" s="22">
        <v>1.0</v>
      </c>
      <c r="F1620" s="22"/>
      <c r="G1620" s="22" t="s">
        <v>273</v>
      </c>
      <c r="H1620" s="26">
        <v>45998.0</v>
      </c>
      <c r="I1620" s="22" t="s">
        <v>149</v>
      </c>
      <c r="J1620" s="22" t="s">
        <v>451</v>
      </c>
      <c r="K1620" s="22" t="s">
        <v>847</v>
      </c>
      <c r="L1620" s="35" t="s">
        <v>7718</v>
      </c>
      <c r="M1620" s="32" t="s">
        <v>55</v>
      </c>
    </row>
    <row r="1621">
      <c r="A1621" s="22" t="s">
        <v>3077</v>
      </c>
      <c r="B1621" s="22" t="s">
        <v>7719</v>
      </c>
      <c r="C1621" s="22" t="s">
        <v>7720</v>
      </c>
      <c r="D1621" s="22" t="s">
        <v>560</v>
      </c>
      <c r="E1621" s="22">
        <v>1.0</v>
      </c>
      <c r="F1621" s="22"/>
      <c r="G1621" s="22" t="s">
        <v>273</v>
      </c>
      <c r="H1621" s="23">
        <v>45991.0</v>
      </c>
      <c r="I1621" s="22" t="s">
        <v>149</v>
      </c>
      <c r="J1621" s="22" t="s">
        <v>356</v>
      </c>
      <c r="K1621" s="22" t="s">
        <v>563</v>
      </c>
      <c r="L1621" s="35" t="s">
        <v>7721</v>
      </c>
      <c r="M1621" s="32" t="s">
        <v>91</v>
      </c>
    </row>
    <row r="1622">
      <c r="A1622" s="22" t="s">
        <v>3010</v>
      </c>
      <c r="B1622" s="22" t="s">
        <v>7722</v>
      </c>
      <c r="C1622" s="22" t="s">
        <v>7723</v>
      </c>
      <c r="D1622" s="22" t="s">
        <v>354</v>
      </c>
      <c r="E1622" s="22">
        <v>1.0</v>
      </c>
      <c r="F1622" s="22"/>
      <c r="G1622" s="22" t="s">
        <v>273</v>
      </c>
      <c r="H1622" s="23">
        <v>45991.0</v>
      </c>
      <c r="I1622" s="22" t="s">
        <v>149</v>
      </c>
      <c r="J1622" s="22" t="s">
        <v>356</v>
      </c>
      <c r="K1622" s="22" t="s">
        <v>359</v>
      </c>
      <c r="L1622" s="35" t="s">
        <v>7724</v>
      </c>
      <c r="M1622" s="32" t="s">
        <v>54</v>
      </c>
    </row>
    <row r="1623">
      <c r="A1623" s="22" t="s">
        <v>3011</v>
      </c>
      <c r="B1623" s="22" t="s">
        <v>5945</v>
      </c>
      <c r="C1623" s="22" t="s">
        <v>7725</v>
      </c>
      <c r="D1623" s="22" t="s">
        <v>602</v>
      </c>
      <c r="E1623" s="22">
        <v>1.0</v>
      </c>
      <c r="F1623" s="22"/>
      <c r="G1623" s="22" t="s">
        <v>82</v>
      </c>
      <c r="H1623" s="26">
        <v>45997.0</v>
      </c>
      <c r="I1623" s="22" t="s">
        <v>522</v>
      </c>
      <c r="J1623" s="22" t="s">
        <v>605</v>
      </c>
      <c r="K1623" s="22" t="s">
        <v>608</v>
      </c>
      <c r="L1623" s="35" t="s">
        <v>7726</v>
      </c>
      <c r="M1623" s="32" t="s">
        <v>54</v>
      </c>
    </row>
    <row r="1624">
      <c r="A1624" s="22" t="s">
        <v>3012</v>
      </c>
      <c r="B1624" s="22" t="s">
        <v>6723</v>
      </c>
      <c r="C1624" s="22" t="s">
        <v>7727</v>
      </c>
      <c r="D1624" s="22" t="s">
        <v>1204</v>
      </c>
      <c r="E1624" s="22">
        <v>1.0</v>
      </c>
      <c r="F1624" s="22"/>
      <c r="G1624" s="22" t="s">
        <v>82</v>
      </c>
      <c r="H1624" s="26">
        <v>45997.0</v>
      </c>
      <c r="I1624" s="22" t="s">
        <v>149</v>
      </c>
      <c r="J1624" s="22" t="s">
        <v>623</v>
      </c>
      <c r="K1624" s="22" t="s">
        <v>1208</v>
      </c>
      <c r="L1624" s="35" t="s">
        <v>7728</v>
      </c>
      <c r="M1624" s="32" t="s">
        <v>91</v>
      </c>
    </row>
    <row r="1625">
      <c r="A1625" s="22" t="s">
        <v>3078</v>
      </c>
      <c r="B1625" s="22" t="s">
        <v>5175</v>
      </c>
      <c r="C1625" s="22" t="s">
        <v>4445</v>
      </c>
      <c r="D1625" s="22" t="s">
        <v>408</v>
      </c>
      <c r="E1625" s="22">
        <v>1.0</v>
      </c>
      <c r="F1625" s="22"/>
      <c r="G1625" s="22" t="s">
        <v>82</v>
      </c>
      <c r="H1625" s="26">
        <v>45997.0</v>
      </c>
      <c r="I1625" s="22" t="s">
        <v>153</v>
      </c>
      <c r="J1625" s="22" t="s">
        <v>377</v>
      </c>
      <c r="K1625" s="22" t="s">
        <v>412</v>
      </c>
      <c r="L1625" s="35" t="s">
        <v>7729</v>
      </c>
      <c r="M1625" s="32" t="s">
        <v>127</v>
      </c>
    </row>
    <row r="1626">
      <c r="A1626" s="22" t="s">
        <v>7730</v>
      </c>
      <c r="B1626" s="22" t="s">
        <v>3840</v>
      </c>
      <c r="C1626" s="22" t="s">
        <v>7731</v>
      </c>
      <c r="D1626" s="22" t="s">
        <v>4398</v>
      </c>
      <c r="E1626" s="22">
        <v>1.0</v>
      </c>
      <c r="F1626" s="22"/>
      <c r="G1626" s="22" t="s">
        <v>294</v>
      </c>
      <c r="H1626" s="26">
        <v>45992.0</v>
      </c>
      <c r="I1626" s="22" t="s">
        <v>196</v>
      </c>
      <c r="J1626" s="22" t="s">
        <v>4399</v>
      </c>
      <c r="K1626" s="22" t="s">
        <v>4400</v>
      </c>
      <c r="L1626" s="35" t="s">
        <v>7732</v>
      </c>
      <c r="M1626" s="32" t="s">
        <v>55</v>
      </c>
    </row>
    <row r="1627">
      <c r="A1627" s="22" t="s">
        <v>3085</v>
      </c>
      <c r="B1627" s="22" t="s">
        <v>4455</v>
      </c>
      <c r="C1627" s="22" t="s">
        <v>7733</v>
      </c>
      <c r="D1627" s="22" t="s">
        <v>679</v>
      </c>
      <c r="E1627" s="22">
        <v>1.0</v>
      </c>
      <c r="F1627" s="22"/>
      <c r="G1627" s="22" t="s">
        <v>82</v>
      </c>
      <c r="H1627" s="26">
        <v>45997.0</v>
      </c>
      <c r="I1627" s="22" t="s">
        <v>230</v>
      </c>
      <c r="J1627" s="22" t="s">
        <v>111</v>
      </c>
      <c r="K1627" s="22" t="s">
        <v>683</v>
      </c>
      <c r="L1627" s="35" t="s">
        <v>7734</v>
      </c>
      <c r="M1627" s="32" t="s">
        <v>105</v>
      </c>
    </row>
    <row r="1628">
      <c r="A1628" s="22" t="s">
        <v>3087</v>
      </c>
      <c r="B1628" s="22" t="s">
        <v>3921</v>
      </c>
      <c r="C1628" s="22" t="s">
        <v>7735</v>
      </c>
      <c r="D1628" s="22" t="s">
        <v>2140</v>
      </c>
      <c r="E1628" s="22">
        <v>1.0</v>
      </c>
      <c r="F1628" s="22"/>
      <c r="G1628" s="22" t="s">
        <v>82</v>
      </c>
      <c r="H1628" s="26">
        <v>45997.0</v>
      </c>
      <c r="I1628" s="22" t="s">
        <v>196</v>
      </c>
      <c r="J1628" s="22" t="s">
        <v>319</v>
      </c>
      <c r="K1628" s="22" t="s">
        <v>2142</v>
      </c>
      <c r="L1628" s="35" t="s">
        <v>7736</v>
      </c>
      <c r="M1628" s="32" t="s">
        <v>54</v>
      </c>
    </row>
    <row r="1629">
      <c r="A1629" s="22" t="s">
        <v>7737</v>
      </c>
      <c r="B1629" s="22" t="s">
        <v>3707</v>
      </c>
      <c r="C1629" s="22" t="s">
        <v>7738</v>
      </c>
      <c r="D1629" s="22" t="s">
        <v>4565</v>
      </c>
      <c r="E1629" s="22">
        <v>1.0</v>
      </c>
      <c r="F1629" s="22"/>
      <c r="G1629" s="22" t="s">
        <v>287</v>
      </c>
      <c r="H1629" s="23">
        <v>46001.0</v>
      </c>
      <c r="I1629" s="22" t="s">
        <v>192</v>
      </c>
      <c r="J1629" s="22" t="s">
        <v>4346</v>
      </c>
      <c r="K1629" s="22" t="s">
        <v>4566</v>
      </c>
      <c r="L1629" s="35" t="s">
        <v>7739</v>
      </c>
      <c r="M1629" s="32" t="s">
        <v>54</v>
      </c>
    </row>
    <row r="1630">
      <c r="A1630" s="22" t="s">
        <v>3088</v>
      </c>
      <c r="B1630" s="22" t="s">
        <v>7740</v>
      </c>
      <c r="C1630" s="22" t="s">
        <v>7741</v>
      </c>
      <c r="D1630" s="22" t="s">
        <v>408</v>
      </c>
      <c r="E1630" s="22">
        <v>1.0</v>
      </c>
      <c r="F1630" s="22"/>
      <c r="G1630" s="22" t="s">
        <v>82</v>
      </c>
      <c r="H1630" s="26">
        <v>45997.0</v>
      </c>
      <c r="I1630" s="22" t="s">
        <v>153</v>
      </c>
      <c r="J1630" s="22" t="s">
        <v>377</v>
      </c>
      <c r="K1630" s="22" t="s">
        <v>412</v>
      </c>
      <c r="L1630" s="35" t="s">
        <v>7742</v>
      </c>
      <c r="M1630" s="32" t="s">
        <v>127</v>
      </c>
    </row>
    <row r="1631">
      <c r="A1631" s="22" t="s">
        <v>3089</v>
      </c>
      <c r="B1631" s="22" t="s">
        <v>7743</v>
      </c>
      <c r="C1631" s="22" t="s">
        <v>7744</v>
      </c>
      <c r="D1631" s="22" t="s">
        <v>538</v>
      </c>
      <c r="E1631" s="22">
        <v>1.0</v>
      </c>
      <c r="F1631" s="22"/>
      <c r="G1631" s="22" t="s">
        <v>273</v>
      </c>
      <c r="H1631" s="26">
        <v>45998.0</v>
      </c>
      <c r="I1631" s="22" t="s">
        <v>153</v>
      </c>
      <c r="J1631" s="22" t="s">
        <v>369</v>
      </c>
      <c r="K1631" s="22" t="s">
        <v>542</v>
      </c>
      <c r="L1631" s="35" t="s">
        <v>7745</v>
      </c>
      <c r="M1631" s="32" t="s">
        <v>91</v>
      </c>
    </row>
    <row r="1632">
      <c r="A1632" s="22" t="s">
        <v>3090</v>
      </c>
      <c r="B1632" s="22" t="s">
        <v>7746</v>
      </c>
      <c r="C1632" s="22" t="s">
        <v>7747</v>
      </c>
      <c r="D1632" s="22" t="s">
        <v>569</v>
      </c>
      <c r="E1632" s="22">
        <v>1.0</v>
      </c>
      <c r="F1632" s="22"/>
      <c r="G1632" s="22" t="s">
        <v>82</v>
      </c>
      <c r="H1632" s="26">
        <v>45997.0</v>
      </c>
      <c r="I1632" s="22" t="s">
        <v>145</v>
      </c>
      <c r="J1632" s="22" t="s">
        <v>472</v>
      </c>
      <c r="K1632" s="22" t="s">
        <v>571</v>
      </c>
      <c r="L1632" s="35" t="s">
        <v>7748</v>
      </c>
      <c r="M1632" s="32" t="s">
        <v>105</v>
      </c>
    </row>
    <row r="1633">
      <c r="A1633" s="22" t="s">
        <v>3093</v>
      </c>
      <c r="B1633" s="22" t="s">
        <v>7749</v>
      </c>
      <c r="C1633" s="22" t="s">
        <v>7750</v>
      </c>
      <c r="D1633" s="22" t="s">
        <v>789</v>
      </c>
      <c r="E1633" s="22">
        <v>1.0</v>
      </c>
      <c r="F1633" s="22"/>
      <c r="G1633" s="22" t="s">
        <v>82</v>
      </c>
      <c r="H1633" s="26">
        <v>45997.0</v>
      </c>
      <c r="I1633" s="22" t="s">
        <v>522</v>
      </c>
      <c r="J1633" s="22" t="s">
        <v>605</v>
      </c>
      <c r="K1633" s="22" t="s">
        <v>794</v>
      </c>
      <c r="L1633" s="35" t="s">
        <v>7751</v>
      </c>
      <c r="M1633" s="32" t="s">
        <v>105</v>
      </c>
    </row>
    <row r="1634">
      <c r="A1634" s="22" t="s">
        <v>3095</v>
      </c>
      <c r="B1634" s="22" t="s">
        <v>7752</v>
      </c>
      <c r="C1634" s="22" t="s">
        <v>7753</v>
      </c>
      <c r="D1634" s="22" t="s">
        <v>300</v>
      </c>
      <c r="E1634" s="22">
        <v>1.0</v>
      </c>
      <c r="F1634" s="22"/>
      <c r="G1634" s="22" t="s">
        <v>82</v>
      </c>
      <c r="H1634" s="26">
        <v>45997.0</v>
      </c>
      <c r="I1634" s="22" t="s">
        <v>1442</v>
      </c>
      <c r="J1634" s="22" t="s">
        <v>303</v>
      </c>
      <c r="K1634" s="22" t="s">
        <v>306</v>
      </c>
      <c r="L1634" s="35" t="s">
        <v>7754</v>
      </c>
      <c r="M1634" s="32" t="s">
        <v>55</v>
      </c>
    </row>
    <row r="1635">
      <c r="A1635" s="22" t="s">
        <v>3097</v>
      </c>
      <c r="B1635" s="22" t="s">
        <v>7755</v>
      </c>
      <c r="C1635" s="22" t="s">
        <v>7756</v>
      </c>
      <c r="D1635" s="22" t="s">
        <v>415</v>
      </c>
      <c r="E1635" s="22">
        <v>1.0</v>
      </c>
      <c r="F1635" s="22"/>
      <c r="G1635" s="22" t="s">
        <v>82</v>
      </c>
      <c r="H1635" s="26">
        <v>45997.0</v>
      </c>
      <c r="I1635" s="22" t="s">
        <v>153</v>
      </c>
      <c r="J1635" s="22" t="s">
        <v>377</v>
      </c>
      <c r="K1635" s="22" t="s">
        <v>419</v>
      </c>
      <c r="L1635" s="35" t="s">
        <v>7757</v>
      </c>
      <c r="M1635" s="32" t="s">
        <v>91</v>
      </c>
    </row>
    <row r="1636">
      <c r="A1636" s="22" t="s">
        <v>3098</v>
      </c>
      <c r="B1636" s="22" t="s">
        <v>5390</v>
      </c>
      <c r="C1636" s="22" t="s">
        <v>7758</v>
      </c>
      <c r="D1636" s="22" t="s">
        <v>1269</v>
      </c>
      <c r="E1636" s="22">
        <v>1.0</v>
      </c>
      <c r="F1636" s="22"/>
      <c r="G1636" s="22" t="s">
        <v>273</v>
      </c>
      <c r="H1636" s="23">
        <v>45991.0</v>
      </c>
      <c r="I1636" s="22" t="s">
        <v>149</v>
      </c>
      <c r="J1636" s="22" t="s">
        <v>356</v>
      </c>
      <c r="K1636" s="22" t="s">
        <v>1271</v>
      </c>
      <c r="L1636" s="35" t="s">
        <v>7759</v>
      </c>
      <c r="M1636" s="32" t="s">
        <v>105</v>
      </c>
    </row>
    <row r="1637">
      <c r="A1637" s="22" t="s">
        <v>3099</v>
      </c>
      <c r="B1637" s="22" t="s">
        <v>7760</v>
      </c>
      <c r="C1637" s="22" t="s">
        <v>7761</v>
      </c>
      <c r="D1637" s="22" t="s">
        <v>386</v>
      </c>
      <c r="E1637" s="22">
        <v>1.0</v>
      </c>
      <c r="F1637" s="22"/>
      <c r="G1637" s="22" t="s">
        <v>82</v>
      </c>
      <c r="H1637" s="26">
        <v>45997.0</v>
      </c>
      <c r="I1637" s="22" t="s">
        <v>134</v>
      </c>
      <c r="J1637" s="22" t="s">
        <v>311</v>
      </c>
      <c r="K1637" s="22" t="s">
        <v>390</v>
      </c>
      <c r="L1637" s="35" t="s">
        <v>7762</v>
      </c>
      <c r="M1637" s="32" t="s">
        <v>55</v>
      </c>
    </row>
    <row r="1638">
      <c r="A1638" s="22" t="s">
        <v>3100</v>
      </c>
      <c r="B1638" s="22" t="s">
        <v>4925</v>
      </c>
      <c r="C1638" s="22" t="s">
        <v>7763</v>
      </c>
      <c r="D1638" s="22" t="s">
        <v>124</v>
      </c>
      <c r="E1638" s="22">
        <v>1.0</v>
      </c>
      <c r="F1638" s="22"/>
      <c r="G1638" s="22" t="s">
        <v>273</v>
      </c>
      <c r="H1638" s="26">
        <v>45998.0</v>
      </c>
      <c r="I1638" s="22" t="s">
        <v>134</v>
      </c>
      <c r="J1638" s="22" t="s">
        <v>83</v>
      </c>
      <c r="K1638" s="22" t="s">
        <v>126</v>
      </c>
      <c r="L1638" s="35" t="s">
        <v>7764</v>
      </c>
      <c r="M1638" s="32" t="s">
        <v>127</v>
      </c>
    </row>
    <row r="1639">
      <c r="A1639" s="22" t="s">
        <v>3080</v>
      </c>
      <c r="B1639" s="22" t="s">
        <v>4806</v>
      </c>
      <c r="C1639" s="22" t="s">
        <v>6445</v>
      </c>
      <c r="D1639" s="22" t="s">
        <v>124</v>
      </c>
      <c r="E1639" s="22">
        <v>1.0</v>
      </c>
      <c r="F1639" s="22"/>
      <c r="G1639" s="22" t="s">
        <v>202</v>
      </c>
      <c r="H1639" s="26">
        <v>45996.0</v>
      </c>
      <c r="I1639" s="22" t="s">
        <v>243</v>
      </c>
      <c r="J1639" s="22" t="s">
        <v>83</v>
      </c>
      <c r="K1639" s="22" t="s">
        <v>126</v>
      </c>
      <c r="L1639" s="35" t="s">
        <v>7765</v>
      </c>
      <c r="M1639" s="32" t="s">
        <v>127</v>
      </c>
    </row>
    <row r="1640">
      <c r="A1640" s="22" t="s">
        <v>3082</v>
      </c>
      <c r="B1640" s="22" t="s">
        <v>7766</v>
      </c>
      <c r="C1640" s="22" t="s">
        <v>7767</v>
      </c>
      <c r="D1640" s="22" t="s">
        <v>1085</v>
      </c>
      <c r="E1640" s="22">
        <v>1.0</v>
      </c>
      <c r="F1640" s="22"/>
      <c r="G1640" s="22" t="s">
        <v>273</v>
      </c>
      <c r="H1640" s="26">
        <v>45998.0</v>
      </c>
      <c r="I1640" s="22" t="s">
        <v>149</v>
      </c>
      <c r="J1640" s="22" t="s">
        <v>623</v>
      </c>
      <c r="K1640" s="22" t="s">
        <v>1087</v>
      </c>
      <c r="L1640" s="35" t="s">
        <v>7768</v>
      </c>
      <c r="M1640" s="32" t="s">
        <v>127</v>
      </c>
    </row>
    <row r="1641">
      <c r="A1641" s="22" t="s">
        <v>3084</v>
      </c>
      <c r="B1641" s="22" t="s">
        <v>5175</v>
      </c>
      <c r="C1641" s="22" t="s">
        <v>7769</v>
      </c>
      <c r="D1641" s="22" t="s">
        <v>1204</v>
      </c>
      <c r="E1641" s="22">
        <v>1.0</v>
      </c>
      <c r="F1641" s="22"/>
      <c r="G1641" s="22" t="s">
        <v>82</v>
      </c>
      <c r="H1641" s="26">
        <v>45997.0</v>
      </c>
      <c r="I1641" s="22" t="s">
        <v>149</v>
      </c>
      <c r="J1641" s="22" t="s">
        <v>623</v>
      </c>
      <c r="K1641" s="22" t="s">
        <v>1208</v>
      </c>
      <c r="L1641" s="35" t="s">
        <v>7770</v>
      </c>
      <c r="M1641" s="32" t="s">
        <v>91</v>
      </c>
    </row>
    <row r="1642">
      <c r="A1642" s="22" t="s">
        <v>3102</v>
      </c>
      <c r="B1642" s="22" t="s">
        <v>3855</v>
      </c>
      <c r="C1642" s="22" t="s">
        <v>7771</v>
      </c>
      <c r="D1642" s="22" t="s">
        <v>141</v>
      </c>
      <c r="E1642" s="22">
        <v>1.0</v>
      </c>
      <c r="F1642" s="22"/>
      <c r="G1642" s="22" t="s">
        <v>202</v>
      </c>
      <c r="H1642" s="26">
        <v>45996.0</v>
      </c>
      <c r="I1642" s="22" t="s">
        <v>138</v>
      </c>
      <c r="J1642" s="22" t="s">
        <v>83</v>
      </c>
      <c r="K1642" s="22" t="s">
        <v>143</v>
      </c>
      <c r="L1642" s="35" t="s">
        <v>7772</v>
      </c>
      <c r="M1642" s="32" t="s">
        <v>54</v>
      </c>
    </row>
    <row r="1643">
      <c r="A1643" s="22" t="s">
        <v>3159</v>
      </c>
      <c r="B1643" s="22" t="s">
        <v>3967</v>
      </c>
      <c r="C1643" s="22" t="s">
        <v>7773</v>
      </c>
      <c r="D1643" s="22" t="s">
        <v>1554</v>
      </c>
      <c r="E1643" s="22">
        <v>1.0</v>
      </c>
      <c r="F1643" s="22"/>
      <c r="G1643" s="22" t="s">
        <v>82</v>
      </c>
      <c r="H1643" s="26">
        <v>45997.0</v>
      </c>
      <c r="I1643" s="22" t="s">
        <v>138</v>
      </c>
      <c r="J1643" s="22" t="s">
        <v>1466</v>
      </c>
      <c r="K1643" s="22" t="s">
        <v>1556</v>
      </c>
      <c r="L1643" s="35" t="s">
        <v>7774</v>
      </c>
      <c r="M1643" s="32" t="s">
        <v>91</v>
      </c>
    </row>
    <row r="1644">
      <c r="A1644" s="22" t="s">
        <v>3160</v>
      </c>
      <c r="B1644" s="22" t="s">
        <v>3970</v>
      </c>
      <c r="C1644" s="22" t="s">
        <v>7775</v>
      </c>
      <c r="D1644" s="22" t="s">
        <v>1180</v>
      </c>
      <c r="E1644" s="22">
        <v>1.0</v>
      </c>
      <c r="F1644" s="22"/>
      <c r="G1644" s="22" t="s">
        <v>82</v>
      </c>
      <c r="H1644" s="26">
        <v>45997.0</v>
      </c>
      <c r="I1644" s="22" t="s">
        <v>149</v>
      </c>
      <c r="J1644" s="22" t="s">
        <v>623</v>
      </c>
      <c r="K1644" s="22" t="s">
        <v>1182</v>
      </c>
      <c r="L1644" s="35" t="s">
        <v>7776</v>
      </c>
      <c r="M1644" s="32" t="s">
        <v>105</v>
      </c>
    </row>
    <row r="1645">
      <c r="A1645" s="22" t="s">
        <v>3114</v>
      </c>
      <c r="B1645" s="22" t="s">
        <v>7777</v>
      </c>
      <c r="C1645" s="22" t="s">
        <v>7778</v>
      </c>
      <c r="D1645" s="22" t="s">
        <v>1217</v>
      </c>
      <c r="E1645" s="22">
        <v>1.0</v>
      </c>
      <c r="F1645" s="22"/>
      <c r="G1645" s="22" t="s">
        <v>82</v>
      </c>
      <c r="H1645" s="26">
        <v>45997.0</v>
      </c>
      <c r="I1645" s="22" t="s">
        <v>522</v>
      </c>
      <c r="J1645" s="22" t="s">
        <v>605</v>
      </c>
      <c r="K1645" s="22" t="s">
        <v>1219</v>
      </c>
      <c r="L1645" s="35" t="s">
        <v>7779</v>
      </c>
      <c r="M1645" s="32" t="s">
        <v>91</v>
      </c>
    </row>
    <row r="1646">
      <c r="A1646" s="22" t="s">
        <v>3115</v>
      </c>
      <c r="B1646" s="22" t="s">
        <v>4551</v>
      </c>
      <c r="C1646" s="22" t="s">
        <v>7780</v>
      </c>
      <c r="D1646" s="22" t="s">
        <v>96</v>
      </c>
      <c r="E1646" s="22">
        <v>1.0</v>
      </c>
      <c r="F1646" s="22"/>
      <c r="G1646" s="22" t="s">
        <v>202</v>
      </c>
      <c r="H1646" s="26">
        <v>45996.0</v>
      </c>
      <c r="I1646" s="22" t="s">
        <v>153</v>
      </c>
      <c r="J1646" s="22" t="s">
        <v>83</v>
      </c>
      <c r="K1646" s="22" t="s">
        <v>98</v>
      </c>
      <c r="L1646" s="35" t="s">
        <v>7781</v>
      </c>
      <c r="M1646" s="32" t="s">
        <v>55</v>
      </c>
    </row>
    <row r="1647">
      <c r="A1647" s="22" t="s">
        <v>3116</v>
      </c>
      <c r="B1647" s="22" t="s">
        <v>7782</v>
      </c>
      <c r="C1647" s="22" t="s">
        <v>5043</v>
      </c>
      <c r="D1647" s="22" t="s">
        <v>924</v>
      </c>
      <c r="E1647" s="22">
        <v>1.0</v>
      </c>
      <c r="F1647" s="22"/>
      <c r="G1647" s="22" t="s">
        <v>82</v>
      </c>
      <c r="H1647" s="26">
        <v>45997.0</v>
      </c>
      <c r="I1647" s="22" t="s">
        <v>149</v>
      </c>
      <c r="J1647" s="22" t="s">
        <v>623</v>
      </c>
      <c r="K1647" s="22" t="s">
        <v>926</v>
      </c>
      <c r="L1647" s="35" t="s">
        <v>7783</v>
      </c>
      <c r="M1647" s="32" t="s">
        <v>55</v>
      </c>
    </row>
    <row r="1648">
      <c r="A1648" s="22" t="s">
        <v>3117</v>
      </c>
      <c r="B1648" s="22" t="s">
        <v>7784</v>
      </c>
      <c r="C1648" s="22" t="s">
        <v>7785</v>
      </c>
      <c r="D1648" s="22" t="s">
        <v>1640</v>
      </c>
      <c r="E1648" s="22">
        <v>1.0</v>
      </c>
      <c r="F1648" s="22"/>
      <c r="G1648" s="22" t="s">
        <v>82</v>
      </c>
      <c r="H1648" s="26">
        <v>45997.0</v>
      </c>
      <c r="I1648" s="22" t="s">
        <v>138</v>
      </c>
      <c r="J1648" s="22" t="s">
        <v>1466</v>
      </c>
      <c r="K1648" s="22" t="s">
        <v>1642</v>
      </c>
      <c r="L1648" s="35" t="s">
        <v>7786</v>
      </c>
      <c r="M1648" s="32" t="s">
        <v>127</v>
      </c>
    </row>
    <row r="1649">
      <c r="A1649" s="22" t="s">
        <v>3118</v>
      </c>
      <c r="B1649" s="22" t="s">
        <v>7787</v>
      </c>
      <c r="C1649" s="22" t="s">
        <v>7788</v>
      </c>
      <c r="D1649" s="22" t="s">
        <v>789</v>
      </c>
      <c r="E1649" s="22">
        <v>1.0</v>
      </c>
      <c r="F1649" s="22"/>
      <c r="G1649" s="22" t="s">
        <v>82</v>
      </c>
      <c r="H1649" s="26">
        <v>45997.0</v>
      </c>
      <c r="I1649" s="22" t="s">
        <v>522</v>
      </c>
      <c r="J1649" s="22" t="s">
        <v>605</v>
      </c>
      <c r="K1649" s="22" t="s">
        <v>794</v>
      </c>
      <c r="L1649" s="35" t="s">
        <v>7789</v>
      </c>
      <c r="M1649" s="32" t="s">
        <v>105</v>
      </c>
    </row>
    <row r="1650">
      <c r="A1650" s="22" t="s">
        <v>3119</v>
      </c>
      <c r="B1650" s="22" t="s">
        <v>3734</v>
      </c>
      <c r="C1650" s="22" t="s">
        <v>7790</v>
      </c>
      <c r="D1650" s="22" t="s">
        <v>569</v>
      </c>
      <c r="E1650" s="22">
        <v>1.0</v>
      </c>
      <c r="F1650" s="22"/>
      <c r="G1650" s="22" t="s">
        <v>273</v>
      </c>
      <c r="H1650" s="26">
        <v>45998.0</v>
      </c>
      <c r="I1650" s="22" t="s">
        <v>134</v>
      </c>
      <c r="J1650" s="22" t="s">
        <v>472</v>
      </c>
      <c r="K1650" s="22" t="s">
        <v>571</v>
      </c>
      <c r="L1650" s="35" t="s">
        <v>7791</v>
      </c>
      <c r="M1650" s="32" t="s">
        <v>105</v>
      </c>
    </row>
    <row r="1651">
      <c r="A1651" s="22" t="s">
        <v>3121</v>
      </c>
      <c r="B1651" s="22" t="s">
        <v>7792</v>
      </c>
      <c r="C1651" s="22" t="s">
        <v>7793</v>
      </c>
      <c r="D1651" s="22" t="s">
        <v>158</v>
      </c>
      <c r="E1651" s="22">
        <v>1.0</v>
      </c>
      <c r="F1651" s="22"/>
      <c r="G1651" s="22" t="s">
        <v>82</v>
      </c>
      <c r="H1651" s="26">
        <v>45997.0</v>
      </c>
      <c r="I1651" s="22" t="s">
        <v>110</v>
      </c>
      <c r="J1651" s="22" t="s">
        <v>111</v>
      </c>
      <c r="K1651" s="22" t="s">
        <v>163</v>
      </c>
      <c r="L1651" s="35" t="s">
        <v>7794</v>
      </c>
      <c r="M1651" s="32" t="s">
        <v>127</v>
      </c>
    </row>
    <row r="1652">
      <c r="A1652" s="22" t="s">
        <v>3122</v>
      </c>
      <c r="B1652" s="22" t="s">
        <v>3889</v>
      </c>
      <c r="C1652" s="22" t="s">
        <v>7795</v>
      </c>
      <c r="D1652" s="22" t="s">
        <v>96</v>
      </c>
      <c r="E1652" s="22">
        <v>1.0</v>
      </c>
      <c r="F1652" s="22"/>
      <c r="G1652" s="22" t="s">
        <v>273</v>
      </c>
      <c r="H1652" s="26">
        <v>45998.0</v>
      </c>
      <c r="I1652" s="22" t="s">
        <v>149</v>
      </c>
      <c r="J1652" s="22" t="s">
        <v>83</v>
      </c>
      <c r="K1652" s="22" t="s">
        <v>98</v>
      </c>
      <c r="L1652" s="35" t="s">
        <v>7796</v>
      </c>
      <c r="M1652" s="32" t="s">
        <v>55</v>
      </c>
    </row>
    <row r="1653">
      <c r="A1653" s="22" t="s">
        <v>3123</v>
      </c>
      <c r="B1653" s="22" t="s">
        <v>7797</v>
      </c>
      <c r="C1653" s="22" t="s">
        <v>7798</v>
      </c>
      <c r="D1653" s="22" t="s">
        <v>408</v>
      </c>
      <c r="E1653" s="22">
        <v>1.0</v>
      </c>
      <c r="F1653" s="22"/>
      <c r="G1653" s="22" t="s">
        <v>82</v>
      </c>
      <c r="H1653" s="23">
        <v>46004.0</v>
      </c>
      <c r="I1653" s="22" t="s">
        <v>134</v>
      </c>
      <c r="J1653" s="22" t="s">
        <v>377</v>
      </c>
      <c r="K1653" s="22" t="s">
        <v>412</v>
      </c>
      <c r="L1653" s="35" t="s">
        <v>7799</v>
      </c>
      <c r="M1653" s="32" t="s">
        <v>127</v>
      </c>
    </row>
    <row r="1654">
      <c r="A1654" s="22" t="s">
        <v>7800</v>
      </c>
      <c r="B1654" s="22" t="s">
        <v>4663</v>
      </c>
      <c r="C1654" s="22" t="s">
        <v>6034</v>
      </c>
      <c r="D1654" s="22" t="s">
        <v>4521</v>
      </c>
      <c r="E1654" s="22">
        <v>1.0</v>
      </c>
      <c r="F1654" s="22"/>
      <c r="G1654" s="22" t="s">
        <v>294</v>
      </c>
      <c r="H1654" s="26">
        <v>45992.0</v>
      </c>
      <c r="I1654" s="22" t="s">
        <v>1400</v>
      </c>
      <c r="J1654" s="22" t="s">
        <v>4399</v>
      </c>
      <c r="K1654" s="22" t="s">
        <v>4522</v>
      </c>
      <c r="L1654" s="35" t="s">
        <v>7801</v>
      </c>
      <c r="M1654" s="32" t="s">
        <v>54</v>
      </c>
    </row>
    <row r="1655">
      <c r="A1655" s="22" t="s">
        <v>3125</v>
      </c>
      <c r="B1655" s="22" t="s">
        <v>3674</v>
      </c>
      <c r="C1655" s="22" t="s">
        <v>7802</v>
      </c>
      <c r="D1655" s="22" t="s">
        <v>437</v>
      </c>
      <c r="E1655" s="22">
        <v>1.0</v>
      </c>
      <c r="F1655" s="22"/>
      <c r="G1655" s="22" t="s">
        <v>273</v>
      </c>
      <c r="H1655" s="26">
        <v>45998.0</v>
      </c>
      <c r="I1655" s="22" t="s">
        <v>187</v>
      </c>
      <c r="J1655" s="22" t="s">
        <v>440</v>
      </c>
      <c r="K1655" s="22" t="s">
        <v>443</v>
      </c>
      <c r="L1655" s="35" t="s">
        <v>7803</v>
      </c>
      <c r="M1655" s="32" t="s">
        <v>91</v>
      </c>
    </row>
    <row r="1656">
      <c r="A1656" s="22" t="s">
        <v>3126</v>
      </c>
      <c r="B1656" s="22" t="s">
        <v>7056</v>
      </c>
      <c r="C1656" s="22" t="s">
        <v>7804</v>
      </c>
      <c r="D1656" s="22" t="s">
        <v>837</v>
      </c>
      <c r="E1656" s="22">
        <v>1.0</v>
      </c>
      <c r="F1656" s="22"/>
      <c r="G1656" s="22" t="s">
        <v>82</v>
      </c>
      <c r="H1656" s="26">
        <v>45997.0</v>
      </c>
      <c r="I1656" s="22" t="s">
        <v>975</v>
      </c>
      <c r="J1656" s="22" t="s">
        <v>698</v>
      </c>
      <c r="K1656" s="22" t="s">
        <v>839</v>
      </c>
      <c r="L1656" s="35" t="s">
        <v>7805</v>
      </c>
      <c r="M1656" s="32" t="s">
        <v>105</v>
      </c>
    </row>
    <row r="1657">
      <c r="A1657" s="22" t="s">
        <v>3128</v>
      </c>
      <c r="B1657" s="22" t="s">
        <v>4081</v>
      </c>
      <c r="C1657" s="22" t="s">
        <v>7806</v>
      </c>
      <c r="D1657" s="22" t="s">
        <v>276</v>
      </c>
      <c r="E1657" s="22">
        <v>1.0</v>
      </c>
      <c r="F1657" s="22"/>
      <c r="G1657" s="22" t="s">
        <v>82</v>
      </c>
      <c r="H1657" s="26">
        <v>45997.0</v>
      </c>
      <c r="I1657" s="22" t="s">
        <v>153</v>
      </c>
      <c r="J1657" s="22" t="s">
        <v>278</v>
      </c>
      <c r="K1657" s="22" t="s">
        <v>281</v>
      </c>
      <c r="L1657" s="35" t="s">
        <v>7807</v>
      </c>
      <c r="M1657" s="32" t="s">
        <v>55</v>
      </c>
    </row>
    <row r="1658">
      <c r="A1658" s="22" t="s">
        <v>3130</v>
      </c>
      <c r="B1658" s="22" t="s">
        <v>4484</v>
      </c>
      <c r="C1658" s="22" t="s">
        <v>4493</v>
      </c>
      <c r="D1658" s="22" t="s">
        <v>96</v>
      </c>
      <c r="E1658" s="22">
        <v>1.0</v>
      </c>
      <c r="F1658" s="22"/>
      <c r="G1658" s="22" t="s">
        <v>82</v>
      </c>
      <c r="H1658" s="26">
        <v>45997.0</v>
      </c>
      <c r="I1658" s="22" t="s">
        <v>243</v>
      </c>
      <c r="J1658" s="22" t="s">
        <v>83</v>
      </c>
      <c r="K1658" s="22" t="s">
        <v>98</v>
      </c>
      <c r="L1658" s="35" t="s">
        <v>7808</v>
      </c>
      <c r="M1658" s="32" t="s">
        <v>55</v>
      </c>
    </row>
    <row r="1659">
      <c r="A1659" s="22" t="s">
        <v>3130</v>
      </c>
      <c r="B1659" s="22" t="s">
        <v>4484</v>
      </c>
      <c r="C1659" s="22" t="s">
        <v>4493</v>
      </c>
      <c r="D1659" s="25"/>
      <c r="E1659" s="25"/>
      <c r="F1659" s="22"/>
      <c r="G1659" s="22" t="s">
        <v>82</v>
      </c>
      <c r="H1659" s="26">
        <v>45997.0</v>
      </c>
      <c r="I1659" s="22" t="s">
        <v>243</v>
      </c>
      <c r="J1659" s="22" t="s">
        <v>83</v>
      </c>
      <c r="K1659" s="22" t="s">
        <v>3132</v>
      </c>
      <c r="L1659" s="35" t="s">
        <v>7809</v>
      </c>
    </row>
    <row r="1660">
      <c r="A1660" s="22" t="s">
        <v>3133</v>
      </c>
      <c r="B1660" s="22" t="s">
        <v>7810</v>
      </c>
      <c r="C1660" s="22" t="s">
        <v>5619</v>
      </c>
      <c r="D1660" s="22" t="s">
        <v>569</v>
      </c>
      <c r="E1660" s="22">
        <v>1.0</v>
      </c>
      <c r="F1660" s="22"/>
      <c r="G1660" s="22" t="s">
        <v>82</v>
      </c>
      <c r="H1660" s="26">
        <v>45997.0</v>
      </c>
      <c r="I1660" s="22" t="s">
        <v>196</v>
      </c>
      <c r="J1660" s="22" t="s">
        <v>472</v>
      </c>
      <c r="K1660" s="22" t="s">
        <v>571</v>
      </c>
      <c r="L1660" s="35" t="s">
        <v>7811</v>
      </c>
      <c r="M1660" s="32" t="s">
        <v>105</v>
      </c>
    </row>
    <row r="1661">
      <c r="A1661" s="22" t="s">
        <v>3135</v>
      </c>
      <c r="B1661" s="22" t="s">
        <v>7812</v>
      </c>
      <c r="C1661" s="22" t="s">
        <v>7813</v>
      </c>
      <c r="D1661" s="22" t="s">
        <v>1217</v>
      </c>
      <c r="E1661" s="22">
        <v>1.0</v>
      </c>
      <c r="F1661" s="22"/>
      <c r="G1661" s="22" t="s">
        <v>82</v>
      </c>
      <c r="H1661" s="26">
        <v>45997.0</v>
      </c>
      <c r="I1661" s="22" t="s">
        <v>266</v>
      </c>
      <c r="J1661" s="22" t="s">
        <v>605</v>
      </c>
      <c r="K1661" s="22" t="s">
        <v>1219</v>
      </c>
      <c r="L1661" s="35" t="s">
        <v>7814</v>
      </c>
      <c r="M1661" s="32" t="s">
        <v>91</v>
      </c>
    </row>
    <row r="1662">
      <c r="A1662" s="22" t="s">
        <v>3136</v>
      </c>
      <c r="B1662" s="22" t="s">
        <v>3831</v>
      </c>
      <c r="C1662" s="22" t="s">
        <v>7815</v>
      </c>
      <c r="D1662" s="22" t="s">
        <v>124</v>
      </c>
      <c r="E1662" s="22">
        <v>1.0</v>
      </c>
      <c r="F1662" s="22"/>
      <c r="G1662" s="22" t="s">
        <v>82</v>
      </c>
      <c r="H1662" s="26">
        <v>45997.0</v>
      </c>
      <c r="I1662" s="22" t="s">
        <v>252</v>
      </c>
      <c r="J1662" s="22" t="s">
        <v>83</v>
      </c>
      <c r="K1662" s="22" t="s">
        <v>126</v>
      </c>
      <c r="L1662" s="35" t="s">
        <v>7816</v>
      </c>
      <c r="M1662" s="32" t="s">
        <v>127</v>
      </c>
    </row>
    <row r="1663">
      <c r="A1663" s="22" t="s">
        <v>3138</v>
      </c>
      <c r="B1663" s="22" t="s">
        <v>7817</v>
      </c>
      <c r="C1663" s="22" t="s">
        <v>7818</v>
      </c>
      <c r="D1663" s="22" t="s">
        <v>495</v>
      </c>
      <c r="E1663" s="22">
        <v>1.0</v>
      </c>
      <c r="F1663" s="22"/>
      <c r="G1663" s="22" t="s">
        <v>273</v>
      </c>
      <c r="H1663" s="23">
        <v>45991.0</v>
      </c>
      <c r="I1663" s="22" t="s">
        <v>153</v>
      </c>
      <c r="J1663" s="22" t="s">
        <v>329</v>
      </c>
      <c r="K1663" s="22" t="s">
        <v>500</v>
      </c>
      <c r="L1663" s="35" t="s">
        <v>7819</v>
      </c>
      <c r="M1663" s="32" t="s">
        <v>54</v>
      </c>
    </row>
    <row r="1664">
      <c r="A1664" s="22" t="s">
        <v>3139</v>
      </c>
      <c r="B1664" s="22" t="s">
        <v>7820</v>
      </c>
      <c r="C1664" s="22" t="s">
        <v>7821</v>
      </c>
      <c r="D1664" s="22" t="s">
        <v>1175</v>
      </c>
      <c r="E1664" s="22">
        <v>1.0</v>
      </c>
      <c r="F1664" s="22"/>
      <c r="G1664" s="22" t="s">
        <v>273</v>
      </c>
      <c r="H1664" s="23">
        <v>45991.0</v>
      </c>
      <c r="I1664" s="22" t="s">
        <v>248</v>
      </c>
      <c r="J1664" s="22" t="s">
        <v>329</v>
      </c>
      <c r="K1664" s="22" t="s">
        <v>1179</v>
      </c>
      <c r="L1664" s="35" t="s">
        <v>7822</v>
      </c>
      <c r="M1664" s="32" t="s">
        <v>127</v>
      </c>
    </row>
    <row r="1665">
      <c r="A1665" s="22" t="s">
        <v>3141</v>
      </c>
      <c r="B1665" s="22" t="s">
        <v>7823</v>
      </c>
      <c r="C1665" s="22" t="s">
        <v>7824</v>
      </c>
      <c r="D1665" s="22" t="s">
        <v>99</v>
      </c>
      <c r="E1665" s="22">
        <v>1.0</v>
      </c>
      <c r="F1665" s="22"/>
      <c r="G1665" s="22" t="s">
        <v>82</v>
      </c>
      <c r="H1665" s="26">
        <v>45997.0</v>
      </c>
      <c r="I1665" s="22" t="s">
        <v>192</v>
      </c>
      <c r="J1665" s="22" t="s">
        <v>83</v>
      </c>
      <c r="K1665" s="22" t="s">
        <v>102</v>
      </c>
      <c r="L1665" s="35" t="s">
        <v>7825</v>
      </c>
      <c r="M1665" s="32" t="s">
        <v>105</v>
      </c>
    </row>
    <row r="1666">
      <c r="A1666" s="22" t="s">
        <v>3143</v>
      </c>
      <c r="B1666" s="22" t="s">
        <v>5275</v>
      </c>
      <c r="C1666" s="22" t="s">
        <v>4920</v>
      </c>
      <c r="D1666" s="22" t="s">
        <v>367</v>
      </c>
      <c r="E1666" s="22">
        <v>1.0</v>
      </c>
      <c r="F1666" s="22"/>
      <c r="G1666" s="22" t="s">
        <v>273</v>
      </c>
      <c r="H1666" s="26">
        <v>45998.0</v>
      </c>
      <c r="I1666" s="22" t="s">
        <v>153</v>
      </c>
      <c r="J1666" s="22" t="s">
        <v>369</v>
      </c>
      <c r="K1666" s="22" t="s">
        <v>372</v>
      </c>
      <c r="L1666" s="35" t="s">
        <v>7826</v>
      </c>
      <c r="M1666" s="32" t="s">
        <v>55</v>
      </c>
    </row>
    <row r="1667">
      <c r="A1667" s="22" t="s">
        <v>3144</v>
      </c>
      <c r="B1667" s="22" t="s">
        <v>5409</v>
      </c>
      <c r="C1667" s="22" t="s">
        <v>7827</v>
      </c>
      <c r="D1667" s="22" t="s">
        <v>1175</v>
      </c>
      <c r="E1667" s="22">
        <v>1.0</v>
      </c>
      <c r="F1667" s="22"/>
      <c r="G1667" s="22" t="s">
        <v>273</v>
      </c>
      <c r="H1667" s="23">
        <v>45991.0</v>
      </c>
      <c r="I1667" s="22" t="s">
        <v>145</v>
      </c>
      <c r="J1667" s="22" t="s">
        <v>329</v>
      </c>
      <c r="K1667" s="22" t="s">
        <v>1179</v>
      </c>
      <c r="L1667" s="35" t="s">
        <v>7828</v>
      </c>
      <c r="M1667" s="32" t="s">
        <v>127</v>
      </c>
    </row>
    <row r="1668">
      <c r="A1668" s="22" t="s">
        <v>3146</v>
      </c>
      <c r="B1668" s="22" t="s">
        <v>3981</v>
      </c>
      <c r="C1668" s="22" t="s">
        <v>7829</v>
      </c>
      <c r="D1668" s="22" t="s">
        <v>584</v>
      </c>
      <c r="E1668" s="22">
        <v>1.0</v>
      </c>
      <c r="F1668" s="22"/>
      <c r="G1668" s="22" t="s">
        <v>82</v>
      </c>
      <c r="H1668" s="23">
        <v>46004.0</v>
      </c>
      <c r="I1668" s="22" t="s">
        <v>153</v>
      </c>
      <c r="J1668" s="22" t="s">
        <v>377</v>
      </c>
      <c r="K1668" s="22" t="s">
        <v>586</v>
      </c>
      <c r="L1668" s="35" t="s">
        <v>7830</v>
      </c>
      <c r="M1668" s="32" t="s">
        <v>105</v>
      </c>
    </row>
    <row r="1669">
      <c r="A1669" s="22" t="s">
        <v>3105</v>
      </c>
      <c r="B1669" s="22" t="s">
        <v>3946</v>
      </c>
      <c r="C1669" s="22" t="s">
        <v>7831</v>
      </c>
      <c r="D1669" s="22" t="s">
        <v>592</v>
      </c>
      <c r="E1669" s="22">
        <v>1.0</v>
      </c>
      <c r="F1669" s="22"/>
      <c r="G1669" s="22" t="s">
        <v>287</v>
      </c>
      <c r="H1669" s="26">
        <v>45994.0</v>
      </c>
      <c r="I1669" s="22" t="s">
        <v>196</v>
      </c>
      <c r="J1669" s="22" t="s">
        <v>311</v>
      </c>
      <c r="K1669" s="22" t="s">
        <v>594</v>
      </c>
      <c r="L1669" s="35" t="s">
        <v>7832</v>
      </c>
      <c r="M1669" s="32" t="s">
        <v>54</v>
      </c>
    </row>
    <row r="1670">
      <c r="A1670" s="22" t="s">
        <v>3149</v>
      </c>
      <c r="B1670" s="22" t="s">
        <v>3898</v>
      </c>
      <c r="C1670" s="22" t="s">
        <v>7833</v>
      </c>
      <c r="D1670" s="22" t="s">
        <v>709</v>
      </c>
      <c r="E1670" s="22">
        <v>1.0</v>
      </c>
      <c r="F1670" s="22"/>
      <c r="G1670" s="22" t="s">
        <v>287</v>
      </c>
      <c r="H1670" s="26">
        <v>45994.0</v>
      </c>
      <c r="I1670" s="22" t="s">
        <v>266</v>
      </c>
      <c r="J1670" s="22" t="s">
        <v>311</v>
      </c>
      <c r="K1670" s="22" t="s">
        <v>713</v>
      </c>
      <c r="L1670" s="35" t="s">
        <v>7834</v>
      </c>
      <c r="M1670" s="32" t="s">
        <v>91</v>
      </c>
    </row>
    <row r="1671">
      <c r="A1671" s="22" t="s">
        <v>3149</v>
      </c>
      <c r="B1671" s="22" t="s">
        <v>3898</v>
      </c>
      <c r="C1671" s="22" t="s">
        <v>7833</v>
      </c>
      <c r="D1671" s="25"/>
      <c r="E1671" s="25"/>
      <c r="F1671" s="22"/>
      <c r="G1671" s="22" t="s">
        <v>287</v>
      </c>
      <c r="H1671" s="26">
        <v>45994.0</v>
      </c>
      <c r="I1671" s="22" t="s">
        <v>266</v>
      </c>
      <c r="J1671" s="22" t="s">
        <v>311</v>
      </c>
      <c r="K1671" s="22" t="s">
        <v>3151</v>
      </c>
      <c r="L1671" s="35" t="s">
        <v>7835</v>
      </c>
    </row>
    <row r="1672">
      <c r="A1672" s="22" t="s">
        <v>3152</v>
      </c>
      <c r="B1672" s="22" t="s">
        <v>7836</v>
      </c>
      <c r="C1672" s="22" t="s">
        <v>7837</v>
      </c>
      <c r="D1672" s="22" t="s">
        <v>1204</v>
      </c>
      <c r="E1672" s="22">
        <v>1.0</v>
      </c>
      <c r="F1672" s="22"/>
      <c r="G1672" s="22" t="s">
        <v>82</v>
      </c>
      <c r="H1672" s="26">
        <v>45997.0</v>
      </c>
      <c r="I1672" s="22" t="s">
        <v>149</v>
      </c>
      <c r="J1672" s="22" t="s">
        <v>623</v>
      </c>
      <c r="K1672" s="22" t="s">
        <v>1208</v>
      </c>
      <c r="L1672" s="35" t="s">
        <v>7838</v>
      </c>
      <c r="M1672" s="32" t="s">
        <v>91</v>
      </c>
    </row>
    <row r="1673">
      <c r="A1673" s="22" t="s">
        <v>3153</v>
      </c>
      <c r="B1673" s="22" t="s">
        <v>6619</v>
      </c>
      <c r="C1673" s="22" t="s">
        <v>7839</v>
      </c>
      <c r="D1673" s="22" t="s">
        <v>1724</v>
      </c>
      <c r="E1673" s="22">
        <v>1.0</v>
      </c>
      <c r="F1673" s="22"/>
      <c r="G1673" s="22" t="s">
        <v>273</v>
      </c>
      <c r="H1673" s="26">
        <v>45998.0</v>
      </c>
      <c r="I1673" s="22" t="s">
        <v>266</v>
      </c>
      <c r="J1673" s="22" t="s">
        <v>369</v>
      </c>
      <c r="K1673" s="22" t="s">
        <v>1726</v>
      </c>
      <c r="L1673" s="35" t="s">
        <v>7840</v>
      </c>
      <c r="M1673" s="32" t="s">
        <v>175</v>
      </c>
    </row>
    <row r="1674">
      <c r="A1674" s="22" t="s">
        <v>3153</v>
      </c>
      <c r="B1674" s="22" t="s">
        <v>6619</v>
      </c>
      <c r="C1674" s="22" t="s">
        <v>7839</v>
      </c>
      <c r="D1674" s="25"/>
      <c r="E1674" s="25"/>
      <c r="F1674" s="22"/>
      <c r="G1674" s="22" t="s">
        <v>273</v>
      </c>
      <c r="H1674" s="26">
        <v>45998.0</v>
      </c>
      <c r="I1674" s="22" t="s">
        <v>266</v>
      </c>
      <c r="J1674" s="22" t="s">
        <v>369</v>
      </c>
      <c r="K1674" s="22" t="s">
        <v>3155</v>
      </c>
      <c r="L1674" s="35" t="s">
        <v>7841</v>
      </c>
    </row>
    <row r="1675">
      <c r="A1675" s="22" t="s">
        <v>3156</v>
      </c>
      <c r="B1675" s="22" t="s">
        <v>5421</v>
      </c>
      <c r="C1675" s="22" t="s">
        <v>7842</v>
      </c>
      <c r="D1675" s="22" t="s">
        <v>845</v>
      </c>
      <c r="E1675" s="22">
        <v>1.0</v>
      </c>
      <c r="F1675" s="22"/>
      <c r="G1675" s="22" t="s">
        <v>82</v>
      </c>
      <c r="H1675" s="26">
        <v>45997.0</v>
      </c>
      <c r="I1675" s="22" t="s">
        <v>134</v>
      </c>
      <c r="J1675" s="22" t="s">
        <v>451</v>
      </c>
      <c r="K1675" s="22" t="s">
        <v>847</v>
      </c>
      <c r="L1675" s="35" t="s">
        <v>7843</v>
      </c>
      <c r="M1675" s="32" t="s">
        <v>55</v>
      </c>
    </row>
    <row r="1676">
      <c r="A1676" s="22" t="s">
        <v>3157</v>
      </c>
      <c r="B1676" s="22" t="s">
        <v>5461</v>
      </c>
      <c r="C1676" s="22" t="s">
        <v>7844</v>
      </c>
      <c r="D1676" s="22" t="s">
        <v>158</v>
      </c>
      <c r="E1676" s="22">
        <v>1.0</v>
      </c>
      <c r="F1676" s="22"/>
      <c r="G1676" s="22" t="s">
        <v>82</v>
      </c>
      <c r="H1676" s="26">
        <v>45997.0</v>
      </c>
      <c r="I1676" s="22" t="s">
        <v>168</v>
      </c>
      <c r="J1676" s="22" t="s">
        <v>111</v>
      </c>
      <c r="K1676" s="22" t="s">
        <v>163</v>
      </c>
      <c r="L1676" s="35" t="s">
        <v>7845</v>
      </c>
      <c r="M1676" s="32" t="s">
        <v>127</v>
      </c>
    </row>
    <row r="1677">
      <c r="A1677" s="22" t="s">
        <v>3162</v>
      </c>
      <c r="B1677" s="22" t="s">
        <v>4365</v>
      </c>
      <c r="C1677" s="22" t="s">
        <v>7846</v>
      </c>
      <c r="D1677" s="22" t="s">
        <v>484</v>
      </c>
      <c r="E1677" s="22">
        <v>1.0</v>
      </c>
      <c r="F1677" s="22"/>
      <c r="G1677" s="22" t="s">
        <v>202</v>
      </c>
      <c r="H1677" s="26">
        <v>45996.0</v>
      </c>
      <c r="I1677" s="22" t="s">
        <v>192</v>
      </c>
      <c r="J1677" s="22" t="s">
        <v>311</v>
      </c>
      <c r="K1677" s="22" t="s">
        <v>487</v>
      </c>
      <c r="L1677" s="35" t="s">
        <v>7847</v>
      </c>
      <c r="M1677" s="32" t="s">
        <v>127</v>
      </c>
    </row>
    <row r="1678">
      <c r="A1678" s="22" t="s">
        <v>3200</v>
      </c>
      <c r="B1678" s="22" t="s">
        <v>3825</v>
      </c>
      <c r="C1678" s="22" t="s">
        <v>7848</v>
      </c>
      <c r="D1678" s="22" t="s">
        <v>96</v>
      </c>
      <c r="E1678" s="22">
        <v>1.0</v>
      </c>
      <c r="F1678" s="22"/>
      <c r="G1678" s="22" t="s">
        <v>82</v>
      </c>
      <c r="H1678" s="26">
        <v>45997.0</v>
      </c>
      <c r="I1678" s="22" t="s">
        <v>243</v>
      </c>
      <c r="J1678" s="22" t="s">
        <v>83</v>
      </c>
      <c r="K1678" s="22" t="s">
        <v>98</v>
      </c>
      <c r="L1678" s="35" t="s">
        <v>7849</v>
      </c>
      <c r="M1678" s="32" t="s">
        <v>55</v>
      </c>
    </row>
    <row r="1679">
      <c r="A1679" s="22" t="s">
        <v>3201</v>
      </c>
      <c r="B1679" s="22" t="s">
        <v>3872</v>
      </c>
      <c r="C1679" s="22" t="s">
        <v>7850</v>
      </c>
      <c r="D1679" s="22" t="s">
        <v>80</v>
      </c>
      <c r="E1679" s="22">
        <v>1.0</v>
      </c>
      <c r="F1679" s="22"/>
      <c r="G1679" s="22" t="s">
        <v>82</v>
      </c>
      <c r="H1679" s="26">
        <v>45997.0</v>
      </c>
      <c r="I1679" s="22" t="s">
        <v>196</v>
      </c>
      <c r="J1679" s="22" t="s">
        <v>83</v>
      </c>
      <c r="K1679" s="22" t="s">
        <v>86</v>
      </c>
      <c r="L1679" s="35" t="s">
        <v>7851</v>
      </c>
      <c r="M1679" s="32" t="s">
        <v>91</v>
      </c>
    </row>
    <row r="1680">
      <c r="A1680" s="22" t="s">
        <v>3113</v>
      </c>
      <c r="B1680" s="22" t="s">
        <v>6551</v>
      </c>
      <c r="C1680" s="22" t="s">
        <v>4769</v>
      </c>
      <c r="D1680" s="22" t="s">
        <v>814</v>
      </c>
      <c r="E1680" s="22">
        <v>1.0</v>
      </c>
      <c r="F1680" s="22"/>
      <c r="G1680" s="22" t="s">
        <v>82</v>
      </c>
      <c r="H1680" s="26">
        <v>45997.0</v>
      </c>
      <c r="I1680" s="22" t="s">
        <v>187</v>
      </c>
      <c r="J1680" s="22" t="s">
        <v>698</v>
      </c>
      <c r="K1680" s="22" t="s">
        <v>818</v>
      </c>
      <c r="L1680" s="35" t="s">
        <v>7852</v>
      </c>
      <c r="M1680" s="32" t="s">
        <v>127</v>
      </c>
    </row>
    <row r="1681">
      <c r="A1681" s="22" t="s">
        <v>3147</v>
      </c>
      <c r="B1681" s="22" t="s">
        <v>7853</v>
      </c>
      <c r="C1681" s="22" t="s">
        <v>4843</v>
      </c>
      <c r="D1681" s="22" t="s">
        <v>696</v>
      </c>
      <c r="E1681" s="22">
        <v>1.0</v>
      </c>
      <c r="F1681" s="22"/>
      <c r="G1681" s="22" t="s">
        <v>82</v>
      </c>
      <c r="H1681" s="26">
        <v>45997.0</v>
      </c>
      <c r="I1681" s="22" t="s">
        <v>187</v>
      </c>
      <c r="J1681" s="22" t="s">
        <v>698</v>
      </c>
      <c r="K1681" s="22" t="s">
        <v>701</v>
      </c>
      <c r="L1681" s="35" t="s">
        <v>7854</v>
      </c>
      <c r="M1681" s="32" t="s">
        <v>55</v>
      </c>
    </row>
    <row r="1682">
      <c r="A1682" s="22" t="s">
        <v>3164</v>
      </c>
      <c r="B1682" s="22" t="s">
        <v>7855</v>
      </c>
      <c r="C1682" s="22" t="s">
        <v>7856</v>
      </c>
      <c r="D1682" s="22" t="s">
        <v>912</v>
      </c>
      <c r="E1682" s="22">
        <v>1.0</v>
      </c>
      <c r="F1682" s="22"/>
      <c r="G1682" s="22" t="s">
        <v>82</v>
      </c>
      <c r="H1682" s="26">
        <v>45997.0</v>
      </c>
      <c r="I1682" s="22" t="s">
        <v>153</v>
      </c>
      <c r="J1682" s="22" t="s">
        <v>377</v>
      </c>
      <c r="K1682" s="22" t="s">
        <v>914</v>
      </c>
      <c r="L1682" s="35" t="s">
        <v>7857</v>
      </c>
      <c r="M1682" s="32" t="s">
        <v>54</v>
      </c>
    </row>
    <row r="1683">
      <c r="A1683" s="22" t="s">
        <v>3204</v>
      </c>
      <c r="B1683" s="22" t="s">
        <v>7858</v>
      </c>
      <c r="C1683" s="22" t="s">
        <v>7859</v>
      </c>
      <c r="D1683" s="22" t="s">
        <v>141</v>
      </c>
      <c r="E1683" s="22">
        <v>1.0</v>
      </c>
      <c r="F1683" s="22"/>
      <c r="G1683" s="22" t="s">
        <v>273</v>
      </c>
      <c r="H1683" s="23">
        <v>45991.0</v>
      </c>
      <c r="I1683" s="22" t="s">
        <v>181</v>
      </c>
      <c r="J1683" s="22" t="s">
        <v>83</v>
      </c>
      <c r="K1683" s="22" t="s">
        <v>262</v>
      </c>
      <c r="L1683" s="35" t="s">
        <v>7860</v>
      </c>
      <c r="M1683" s="32" t="s">
        <v>54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ref="L227"/>
    <hyperlink r:id="rId227" ref="L228"/>
    <hyperlink r:id="rId228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  <hyperlink r:id="rId249" ref="L250"/>
    <hyperlink r:id="rId250" ref="L251"/>
    <hyperlink r:id="rId251" ref="L252"/>
    <hyperlink r:id="rId252" ref="L253"/>
    <hyperlink r:id="rId253" ref="L254"/>
    <hyperlink r:id="rId254" ref="L255"/>
    <hyperlink r:id="rId255" ref="L256"/>
    <hyperlink r:id="rId256" ref="L257"/>
    <hyperlink r:id="rId257" ref="L258"/>
    <hyperlink r:id="rId258" ref="L259"/>
    <hyperlink r:id="rId259" ref="L260"/>
    <hyperlink r:id="rId260" ref="L261"/>
    <hyperlink r:id="rId261" ref="L262"/>
    <hyperlink r:id="rId262" ref="L263"/>
    <hyperlink r:id="rId263" ref="L264"/>
    <hyperlink r:id="rId264" ref="L265"/>
    <hyperlink r:id="rId265" ref="L266"/>
    <hyperlink r:id="rId266" ref="L267"/>
    <hyperlink r:id="rId267" ref="L268"/>
    <hyperlink r:id="rId268" ref="L269"/>
    <hyperlink r:id="rId269" ref="L270"/>
    <hyperlink r:id="rId270" ref="L271"/>
    <hyperlink r:id="rId271" ref="L272"/>
    <hyperlink r:id="rId272" ref="L273"/>
    <hyperlink r:id="rId273" ref="L274"/>
    <hyperlink r:id="rId274" ref="L275"/>
    <hyperlink r:id="rId275" ref="L276"/>
    <hyperlink r:id="rId276" ref="L277"/>
    <hyperlink r:id="rId277" ref="L278"/>
    <hyperlink r:id="rId278" ref="L279"/>
    <hyperlink r:id="rId279" ref="L280"/>
    <hyperlink r:id="rId280" ref="L281"/>
    <hyperlink r:id="rId281" ref="L282"/>
    <hyperlink r:id="rId282" ref="L283"/>
    <hyperlink r:id="rId283" ref="L284"/>
    <hyperlink r:id="rId284" ref="L285"/>
    <hyperlink r:id="rId285" ref="L286"/>
    <hyperlink r:id="rId286" ref="L287"/>
    <hyperlink r:id="rId287" ref="L288"/>
    <hyperlink r:id="rId288" ref="L289"/>
    <hyperlink r:id="rId289" ref="L290"/>
    <hyperlink r:id="rId290" ref="L291"/>
    <hyperlink r:id="rId291" ref="L292"/>
    <hyperlink r:id="rId292" ref="L293"/>
    <hyperlink r:id="rId293" ref="L294"/>
    <hyperlink r:id="rId294" ref="L295"/>
    <hyperlink r:id="rId295" ref="L296"/>
    <hyperlink r:id="rId296" ref="L297"/>
    <hyperlink r:id="rId297" ref="L298"/>
    <hyperlink r:id="rId298" ref="L299"/>
    <hyperlink r:id="rId299" ref="L300"/>
    <hyperlink r:id="rId300" ref="L301"/>
    <hyperlink r:id="rId301" ref="L302"/>
    <hyperlink r:id="rId302" ref="L303"/>
    <hyperlink r:id="rId303" ref="L304"/>
    <hyperlink r:id="rId304" ref="L305"/>
    <hyperlink r:id="rId305" ref="L306"/>
    <hyperlink r:id="rId306" ref="L307"/>
    <hyperlink r:id="rId307" ref="L308"/>
    <hyperlink r:id="rId308" ref="L309"/>
    <hyperlink r:id="rId309" ref="L310"/>
    <hyperlink r:id="rId310" ref="L311"/>
    <hyperlink r:id="rId311" ref="L312"/>
    <hyperlink r:id="rId312" ref="L313"/>
    <hyperlink r:id="rId313" ref="L314"/>
    <hyperlink r:id="rId314" ref="L315"/>
    <hyperlink r:id="rId315" ref="L316"/>
    <hyperlink r:id="rId316" ref="L317"/>
    <hyperlink r:id="rId317" ref="L318"/>
    <hyperlink r:id="rId318" ref="L319"/>
    <hyperlink r:id="rId319" ref="L320"/>
    <hyperlink r:id="rId320" ref="L321"/>
    <hyperlink r:id="rId321" ref="L322"/>
    <hyperlink r:id="rId322" ref="L323"/>
    <hyperlink r:id="rId323" ref="L324"/>
    <hyperlink r:id="rId324" ref="L325"/>
    <hyperlink r:id="rId325" ref="L326"/>
    <hyperlink r:id="rId326" ref="L327"/>
    <hyperlink r:id="rId327" ref="L328"/>
    <hyperlink r:id="rId328" ref="L329"/>
    <hyperlink r:id="rId329" ref="L330"/>
    <hyperlink r:id="rId330" ref="L331"/>
    <hyperlink r:id="rId331" ref="L332"/>
    <hyperlink r:id="rId332" ref="L333"/>
    <hyperlink r:id="rId333" ref="L334"/>
    <hyperlink r:id="rId334" ref="L335"/>
    <hyperlink r:id="rId335" ref="L336"/>
    <hyperlink r:id="rId336" ref="L337"/>
    <hyperlink r:id="rId337" ref="L338"/>
    <hyperlink r:id="rId338" ref="L339"/>
    <hyperlink r:id="rId339" ref="L340"/>
    <hyperlink r:id="rId340" ref="L341"/>
    <hyperlink r:id="rId341" ref="L342"/>
    <hyperlink r:id="rId342" ref="L343"/>
    <hyperlink r:id="rId343" ref="L344"/>
    <hyperlink r:id="rId344" ref="L345"/>
    <hyperlink r:id="rId345" ref="L346"/>
    <hyperlink r:id="rId346" ref="L347"/>
    <hyperlink r:id="rId347" ref="L348"/>
    <hyperlink r:id="rId348" ref="L349"/>
    <hyperlink r:id="rId349" ref="L350"/>
    <hyperlink r:id="rId350" ref="L351"/>
    <hyperlink r:id="rId351" ref="L352"/>
    <hyperlink r:id="rId352" ref="L353"/>
    <hyperlink r:id="rId353" ref="L354"/>
    <hyperlink r:id="rId354" ref="L355"/>
    <hyperlink r:id="rId355" ref="L356"/>
    <hyperlink r:id="rId356" ref="L357"/>
    <hyperlink r:id="rId357" ref="L358"/>
    <hyperlink r:id="rId358" ref="L359"/>
    <hyperlink r:id="rId359" ref="L360"/>
    <hyperlink r:id="rId360" ref="L361"/>
    <hyperlink r:id="rId361" ref="L362"/>
    <hyperlink r:id="rId362" ref="L363"/>
    <hyperlink r:id="rId363" ref="L364"/>
    <hyperlink r:id="rId364" ref="L365"/>
    <hyperlink r:id="rId365" ref="L366"/>
    <hyperlink r:id="rId366" ref="L367"/>
    <hyperlink r:id="rId367" ref="L368"/>
    <hyperlink r:id="rId368" ref="L369"/>
    <hyperlink r:id="rId369" ref="L370"/>
    <hyperlink r:id="rId370" ref="L371"/>
    <hyperlink r:id="rId371" ref="L372"/>
    <hyperlink r:id="rId372" ref="L373"/>
    <hyperlink r:id="rId373" ref="L374"/>
    <hyperlink r:id="rId374" ref="L375"/>
    <hyperlink r:id="rId375" ref="L376"/>
    <hyperlink r:id="rId376" ref="L377"/>
    <hyperlink r:id="rId377" ref="L378"/>
    <hyperlink r:id="rId378" ref="L379"/>
    <hyperlink r:id="rId379" ref="L380"/>
    <hyperlink r:id="rId380" ref="L381"/>
    <hyperlink r:id="rId381" ref="L382"/>
    <hyperlink r:id="rId382" ref="L383"/>
    <hyperlink r:id="rId383" ref="L384"/>
    <hyperlink r:id="rId384" ref="L385"/>
    <hyperlink r:id="rId385" ref="L386"/>
    <hyperlink r:id="rId386" ref="L387"/>
    <hyperlink r:id="rId387" ref="L388"/>
    <hyperlink r:id="rId388" ref="L389"/>
    <hyperlink r:id="rId389" ref="L390"/>
    <hyperlink r:id="rId390" ref="L391"/>
    <hyperlink r:id="rId391" ref="L392"/>
    <hyperlink r:id="rId392" ref="L393"/>
    <hyperlink r:id="rId393" ref="L394"/>
    <hyperlink r:id="rId394" ref="L395"/>
    <hyperlink r:id="rId395" ref="L396"/>
    <hyperlink r:id="rId396" ref="L397"/>
    <hyperlink r:id="rId397" ref="L398"/>
    <hyperlink r:id="rId398" ref="L399"/>
    <hyperlink r:id="rId399" ref="L400"/>
    <hyperlink r:id="rId400" ref="L401"/>
    <hyperlink r:id="rId401" ref="L402"/>
    <hyperlink r:id="rId402" ref="L403"/>
    <hyperlink r:id="rId403" ref="L404"/>
    <hyperlink r:id="rId404" ref="L405"/>
    <hyperlink r:id="rId405" ref="L406"/>
    <hyperlink r:id="rId406" ref="L407"/>
    <hyperlink r:id="rId407" ref="L408"/>
    <hyperlink r:id="rId408" ref="L409"/>
    <hyperlink r:id="rId409" ref="L410"/>
    <hyperlink r:id="rId410" ref="L411"/>
    <hyperlink r:id="rId411" ref="L412"/>
    <hyperlink r:id="rId412" ref="L413"/>
    <hyperlink r:id="rId413" ref="L414"/>
    <hyperlink r:id="rId414" ref="L415"/>
    <hyperlink r:id="rId415" ref="L416"/>
    <hyperlink r:id="rId416" ref="L417"/>
    <hyperlink r:id="rId417" ref="L418"/>
    <hyperlink r:id="rId418" ref="L419"/>
    <hyperlink r:id="rId419" ref="L420"/>
    <hyperlink r:id="rId420" ref="L421"/>
    <hyperlink r:id="rId421" ref="L422"/>
    <hyperlink r:id="rId422" ref="L423"/>
    <hyperlink r:id="rId423" ref="L424"/>
    <hyperlink r:id="rId424" ref="L425"/>
    <hyperlink r:id="rId425" ref="L426"/>
    <hyperlink r:id="rId426" ref="L427"/>
    <hyperlink r:id="rId427" ref="L428"/>
    <hyperlink r:id="rId428" ref="L429"/>
    <hyperlink r:id="rId429" ref="L430"/>
    <hyperlink r:id="rId430" ref="L431"/>
    <hyperlink r:id="rId431" ref="L432"/>
    <hyperlink r:id="rId432" ref="L433"/>
    <hyperlink r:id="rId433" ref="L434"/>
    <hyperlink r:id="rId434" ref="L435"/>
    <hyperlink r:id="rId435" ref="L436"/>
    <hyperlink r:id="rId436" ref="L437"/>
    <hyperlink r:id="rId437" ref="L438"/>
    <hyperlink r:id="rId438" ref="L439"/>
    <hyperlink r:id="rId439" ref="L440"/>
    <hyperlink r:id="rId440" ref="L441"/>
    <hyperlink r:id="rId441" ref="L442"/>
    <hyperlink r:id="rId442" ref="L443"/>
    <hyperlink r:id="rId443" ref="L444"/>
    <hyperlink r:id="rId444" ref="L445"/>
    <hyperlink r:id="rId445" ref="L446"/>
    <hyperlink r:id="rId446" ref="L447"/>
    <hyperlink r:id="rId447" ref="L448"/>
    <hyperlink r:id="rId448" ref="L449"/>
    <hyperlink r:id="rId449" ref="L450"/>
    <hyperlink r:id="rId450" ref="L451"/>
    <hyperlink r:id="rId451" ref="L452"/>
    <hyperlink r:id="rId452" ref="L453"/>
    <hyperlink r:id="rId453" ref="L454"/>
    <hyperlink r:id="rId454" ref="L455"/>
    <hyperlink r:id="rId455" ref="L456"/>
    <hyperlink r:id="rId456" ref="L457"/>
    <hyperlink r:id="rId457" ref="L458"/>
    <hyperlink r:id="rId458" ref="L459"/>
    <hyperlink r:id="rId459" ref="L460"/>
    <hyperlink r:id="rId460" ref="L461"/>
    <hyperlink r:id="rId461" ref="L462"/>
    <hyperlink r:id="rId462" ref="L463"/>
    <hyperlink r:id="rId463" ref="L464"/>
    <hyperlink r:id="rId464" ref="L465"/>
    <hyperlink r:id="rId465" ref="L466"/>
    <hyperlink r:id="rId466" ref="L467"/>
    <hyperlink r:id="rId467" ref="L468"/>
    <hyperlink r:id="rId468" ref="L469"/>
    <hyperlink r:id="rId469" ref="L470"/>
    <hyperlink r:id="rId470" ref="L471"/>
    <hyperlink r:id="rId471" ref="L472"/>
    <hyperlink r:id="rId472" ref="L473"/>
    <hyperlink r:id="rId473" ref="L474"/>
    <hyperlink r:id="rId474" ref="L475"/>
    <hyperlink r:id="rId475" ref="L476"/>
    <hyperlink r:id="rId476" ref="L477"/>
    <hyperlink r:id="rId477" ref="L478"/>
    <hyperlink r:id="rId478" ref="L479"/>
    <hyperlink r:id="rId479" ref="L480"/>
    <hyperlink r:id="rId480" ref="L481"/>
    <hyperlink r:id="rId481" ref="L482"/>
    <hyperlink r:id="rId482" ref="L483"/>
    <hyperlink r:id="rId483" ref="L484"/>
    <hyperlink r:id="rId484" ref="L485"/>
    <hyperlink r:id="rId485" ref="L486"/>
    <hyperlink r:id="rId486" ref="L487"/>
    <hyperlink r:id="rId487" ref="L488"/>
    <hyperlink r:id="rId488" ref="L489"/>
    <hyperlink r:id="rId489" ref="L490"/>
    <hyperlink r:id="rId490" ref="L491"/>
    <hyperlink r:id="rId491" ref="L492"/>
    <hyperlink r:id="rId492" ref="L493"/>
    <hyperlink r:id="rId493" ref="L494"/>
    <hyperlink r:id="rId494" ref="L495"/>
    <hyperlink r:id="rId495" ref="L496"/>
    <hyperlink r:id="rId496" ref="L497"/>
    <hyperlink r:id="rId497" ref="L498"/>
    <hyperlink r:id="rId498" ref="L499"/>
    <hyperlink r:id="rId499" ref="L500"/>
    <hyperlink r:id="rId500" ref="L501"/>
    <hyperlink r:id="rId501" ref="L502"/>
    <hyperlink r:id="rId502" ref="L503"/>
    <hyperlink r:id="rId503" ref="L504"/>
    <hyperlink r:id="rId504" ref="L505"/>
    <hyperlink r:id="rId505" ref="L506"/>
    <hyperlink r:id="rId506" ref="L507"/>
    <hyperlink r:id="rId507" ref="L508"/>
    <hyperlink r:id="rId508" ref="L509"/>
    <hyperlink r:id="rId509" ref="L510"/>
    <hyperlink r:id="rId510" ref="L511"/>
    <hyperlink r:id="rId511" ref="L512"/>
    <hyperlink r:id="rId512" ref="L513"/>
    <hyperlink r:id="rId513" ref="L514"/>
    <hyperlink r:id="rId514" ref="L515"/>
    <hyperlink r:id="rId515" ref="L516"/>
    <hyperlink r:id="rId516" ref="L517"/>
    <hyperlink r:id="rId517" ref="L518"/>
    <hyperlink r:id="rId518" ref="L519"/>
    <hyperlink r:id="rId519" ref="L520"/>
    <hyperlink r:id="rId520" ref="L521"/>
    <hyperlink r:id="rId521" ref="L522"/>
    <hyperlink r:id="rId522" ref="L523"/>
    <hyperlink r:id="rId523" ref="L524"/>
    <hyperlink r:id="rId524" ref="L525"/>
    <hyperlink r:id="rId525" ref="L526"/>
    <hyperlink r:id="rId526" ref="L527"/>
    <hyperlink r:id="rId527" ref="L528"/>
    <hyperlink r:id="rId528" ref="L529"/>
    <hyperlink r:id="rId529" ref="L530"/>
    <hyperlink r:id="rId530" ref="L531"/>
    <hyperlink r:id="rId531" ref="L532"/>
    <hyperlink r:id="rId532" ref="L533"/>
    <hyperlink r:id="rId533" ref="L534"/>
    <hyperlink r:id="rId534" ref="L535"/>
    <hyperlink r:id="rId535" ref="L536"/>
    <hyperlink r:id="rId536" ref="L537"/>
    <hyperlink r:id="rId537" ref="L538"/>
    <hyperlink r:id="rId538" ref="L539"/>
    <hyperlink r:id="rId539" ref="L540"/>
    <hyperlink r:id="rId540" ref="L541"/>
    <hyperlink r:id="rId541" ref="L542"/>
    <hyperlink r:id="rId542" ref="L543"/>
    <hyperlink r:id="rId543" ref="L544"/>
    <hyperlink r:id="rId544" ref="L545"/>
    <hyperlink r:id="rId545" ref="L546"/>
    <hyperlink r:id="rId546" ref="L547"/>
    <hyperlink r:id="rId547" ref="L548"/>
    <hyperlink r:id="rId548" ref="L549"/>
    <hyperlink r:id="rId549" ref="L550"/>
    <hyperlink r:id="rId550" ref="L551"/>
    <hyperlink r:id="rId551" ref="L552"/>
    <hyperlink r:id="rId552" ref="L553"/>
    <hyperlink r:id="rId553" ref="L554"/>
    <hyperlink r:id="rId554" ref="L555"/>
    <hyperlink r:id="rId555" ref="L556"/>
    <hyperlink r:id="rId556" ref="L557"/>
    <hyperlink r:id="rId557" ref="L558"/>
    <hyperlink r:id="rId558" ref="L559"/>
    <hyperlink r:id="rId559" ref="L560"/>
    <hyperlink r:id="rId560" ref="L561"/>
    <hyperlink r:id="rId561" ref="L562"/>
    <hyperlink r:id="rId562" ref="L563"/>
    <hyperlink r:id="rId563" ref="L564"/>
    <hyperlink r:id="rId564" ref="L565"/>
    <hyperlink r:id="rId565" ref="L566"/>
    <hyperlink r:id="rId566" ref="L567"/>
    <hyperlink r:id="rId567" ref="L568"/>
    <hyperlink r:id="rId568" ref="L569"/>
    <hyperlink r:id="rId569" ref="L570"/>
    <hyperlink r:id="rId570" ref="L571"/>
    <hyperlink r:id="rId571" ref="L572"/>
    <hyperlink r:id="rId572" ref="L573"/>
    <hyperlink r:id="rId573" ref="L574"/>
    <hyperlink r:id="rId574" ref="L575"/>
    <hyperlink r:id="rId575" ref="L576"/>
    <hyperlink r:id="rId576" ref="L577"/>
    <hyperlink r:id="rId577" ref="L578"/>
    <hyperlink r:id="rId578" ref="L579"/>
    <hyperlink r:id="rId579" ref="L580"/>
    <hyperlink r:id="rId580" ref="L581"/>
    <hyperlink r:id="rId581" ref="L582"/>
    <hyperlink r:id="rId582" ref="L583"/>
    <hyperlink r:id="rId583" ref="L584"/>
    <hyperlink r:id="rId584" ref="L585"/>
    <hyperlink r:id="rId585" ref="L586"/>
    <hyperlink r:id="rId586" ref="L587"/>
    <hyperlink r:id="rId587" ref="L588"/>
    <hyperlink r:id="rId588" ref="L589"/>
    <hyperlink r:id="rId589" ref="L590"/>
    <hyperlink r:id="rId590" ref="L591"/>
    <hyperlink r:id="rId591" ref="L592"/>
    <hyperlink r:id="rId592" ref="L593"/>
    <hyperlink r:id="rId593" ref="L594"/>
    <hyperlink r:id="rId594" ref="L595"/>
    <hyperlink r:id="rId595" ref="L596"/>
    <hyperlink r:id="rId596" ref="L597"/>
    <hyperlink r:id="rId597" ref="L598"/>
    <hyperlink r:id="rId598" ref="L599"/>
    <hyperlink r:id="rId599" ref="L600"/>
    <hyperlink r:id="rId600" ref="L601"/>
    <hyperlink r:id="rId601" ref="L602"/>
    <hyperlink r:id="rId602" ref="L603"/>
    <hyperlink r:id="rId603" ref="L604"/>
    <hyperlink r:id="rId604" ref="L605"/>
    <hyperlink r:id="rId605" ref="L606"/>
    <hyperlink r:id="rId606" ref="L607"/>
    <hyperlink r:id="rId607" ref="L608"/>
    <hyperlink r:id="rId608" ref="L609"/>
    <hyperlink r:id="rId609" ref="L610"/>
    <hyperlink r:id="rId610" ref="L611"/>
    <hyperlink r:id="rId611" ref="L612"/>
    <hyperlink r:id="rId612" ref="L613"/>
    <hyperlink r:id="rId613" ref="L614"/>
    <hyperlink r:id="rId614" ref="L615"/>
    <hyperlink r:id="rId615" ref="L616"/>
    <hyperlink r:id="rId616" ref="L617"/>
    <hyperlink r:id="rId617" ref="L618"/>
    <hyperlink r:id="rId618" ref="L619"/>
    <hyperlink r:id="rId619" ref="L620"/>
    <hyperlink r:id="rId620" ref="L621"/>
    <hyperlink r:id="rId621" ref="L622"/>
    <hyperlink r:id="rId622" ref="L623"/>
    <hyperlink r:id="rId623" ref="L624"/>
    <hyperlink r:id="rId624" ref="L625"/>
    <hyperlink r:id="rId625" ref="L626"/>
    <hyperlink r:id="rId626" ref="L627"/>
    <hyperlink r:id="rId627" ref="L628"/>
    <hyperlink r:id="rId628" ref="L629"/>
    <hyperlink r:id="rId629" ref="L630"/>
    <hyperlink r:id="rId630" ref="L631"/>
    <hyperlink r:id="rId631" ref="L632"/>
    <hyperlink r:id="rId632" ref="L633"/>
    <hyperlink r:id="rId633" ref="L634"/>
    <hyperlink r:id="rId634" ref="L635"/>
    <hyperlink r:id="rId635" ref="L636"/>
    <hyperlink r:id="rId636" ref="L637"/>
    <hyperlink r:id="rId637" ref="L638"/>
    <hyperlink r:id="rId638" ref="L639"/>
    <hyperlink r:id="rId639" ref="L640"/>
    <hyperlink r:id="rId640" ref="L641"/>
    <hyperlink r:id="rId641" ref="L642"/>
    <hyperlink r:id="rId642" ref="L643"/>
    <hyperlink r:id="rId643" ref="L644"/>
    <hyperlink r:id="rId644" ref="L645"/>
    <hyperlink r:id="rId645" ref="L646"/>
    <hyperlink r:id="rId646" ref="L647"/>
    <hyperlink r:id="rId647" ref="L648"/>
    <hyperlink r:id="rId648" ref="L649"/>
    <hyperlink r:id="rId649" ref="L650"/>
    <hyperlink r:id="rId650" ref="L651"/>
    <hyperlink r:id="rId651" ref="L652"/>
    <hyperlink r:id="rId652" ref="L653"/>
    <hyperlink r:id="rId653" ref="L654"/>
    <hyperlink r:id="rId654" ref="L655"/>
    <hyperlink r:id="rId655" ref="L656"/>
    <hyperlink r:id="rId656" ref="L657"/>
    <hyperlink r:id="rId657" ref="L658"/>
    <hyperlink r:id="rId658" ref="L659"/>
    <hyperlink r:id="rId659" ref="L660"/>
    <hyperlink r:id="rId660" ref="L661"/>
    <hyperlink r:id="rId661" ref="L662"/>
    <hyperlink r:id="rId662" ref="L663"/>
    <hyperlink r:id="rId663" ref="L664"/>
    <hyperlink r:id="rId664" ref="L665"/>
    <hyperlink r:id="rId665" ref="L666"/>
    <hyperlink r:id="rId666" ref="L667"/>
    <hyperlink r:id="rId667" ref="L668"/>
    <hyperlink r:id="rId668" ref="L669"/>
    <hyperlink r:id="rId669" ref="L670"/>
    <hyperlink r:id="rId670" ref="L671"/>
    <hyperlink r:id="rId671" ref="L672"/>
    <hyperlink r:id="rId672" ref="L673"/>
    <hyperlink r:id="rId673" ref="L674"/>
    <hyperlink r:id="rId674" ref="L675"/>
    <hyperlink r:id="rId675" ref="L676"/>
    <hyperlink r:id="rId676" ref="L677"/>
    <hyperlink r:id="rId677" ref="L678"/>
    <hyperlink r:id="rId678" ref="L679"/>
    <hyperlink r:id="rId679" ref="L680"/>
    <hyperlink r:id="rId680" ref="L681"/>
    <hyperlink r:id="rId681" ref="L682"/>
    <hyperlink r:id="rId682" ref="L683"/>
    <hyperlink r:id="rId683" ref="L684"/>
    <hyperlink r:id="rId684" ref="L685"/>
    <hyperlink r:id="rId685" ref="L686"/>
    <hyperlink r:id="rId686" ref="L687"/>
    <hyperlink r:id="rId687" ref="L688"/>
    <hyperlink r:id="rId688" ref="L689"/>
    <hyperlink r:id="rId689" ref="L690"/>
    <hyperlink r:id="rId690" ref="L691"/>
    <hyperlink r:id="rId691" ref="L692"/>
    <hyperlink r:id="rId692" ref="L693"/>
    <hyperlink r:id="rId693" ref="L694"/>
    <hyperlink r:id="rId694" ref="L695"/>
    <hyperlink r:id="rId695" ref="L696"/>
    <hyperlink r:id="rId696" ref="L697"/>
    <hyperlink r:id="rId697" ref="L698"/>
    <hyperlink r:id="rId698" ref="L699"/>
    <hyperlink r:id="rId699" ref="L700"/>
    <hyperlink r:id="rId700" ref="L701"/>
    <hyperlink r:id="rId701" ref="L702"/>
    <hyperlink r:id="rId702" ref="L703"/>
    <hyperlink r:id="rId703" ref="L704"/>
    <hyperlink r:id="rId704" ref="L705"/>
    <hyperlink r:id="rId705" ref="L706"/>
    <hyperlink r:id="rId706" ref="L707"/>
    <hyperlink r:id="rId707" ref="L708"/>
    <hyperlink r:id="rId708" ref="L709"/>
    <hyperlink r:id="rId709" ref="L710"/>
    <hyperlink r:id="rId710" ref="L711"/>
    <hyperlink r:id="rId711" ref="L712"/>
    <hyperlink r:id="rId712" ref="L713"/>
    <hyperlink r:id="rId713" ref="L714"/>
    <hyperlink r:id="rId714" ref="L715"/>
    <hyperlink r:id="rId715" ref="L716"/>
    <hyperlink r:id="rId716" ref="L717"/>
    <hyperlink r:id="rId717" ref="L718"/>
    <hyperlink r:id="rId718" ref="L719"/>
    <hyperlink r:id="rId719" ref="L720"/>
    <hyperlink r:id="rId720" ref="L721"/>
    <hyperlink r:id="rId721" ref="L722"/>
    <hyperlink r:id="rId722" ref="L723"/>
    <hyperlink r:id="rId723" ref="L724"/>
    <hyperlink r:id="rId724" ref="L725"/>
    <hyperlink r:id="rId725" ref="L726"/>
    <hyperlink r:id="rId726" ref="L727"/>
    <hyperlink r:id="rId727" ref="L728"/>
    <hyperlink r:id="rId728" ref="L729"/>
    <hyperlink r:id="rId729" ref="L730"/>
    <hyperlink r:id="rId730" ref="L731"/>
    <hyperlink r:id="rId731" ref="L732"/>
    <hyperlink r:id="rId732" ref="L733"/>
    <hyperlink r:id="rId733" ref="L734"/>
    <hyperlink r:id="rId734" ref="L735"/>
    <hyperlink r:id="rId735" ref="L736"/>
    <hyperlink r:id="rId736" ref="L737"/>
    <hyperlink r:id="rId737" ref="L738"/>
    <hyperlink r:id="rId738" ref="L739"/>
    <hyperlink r:id="rId739" ref="L740"/>
    <hyperlink r:id="rId740" ref="L741"/>
    <hyperlink r:id="rId741" ref="L742"/>
    <hyperlink r:id="rId742" ref="L743"/>
    <hyperlink r:id="rId743" ref="L744"/>
    <hyperlink r:id="rId744" ref="L745"/>
    <hyperlink r:id="rId745" ref="L746"/>
    <hyperlink r:id="rId746" ref="L747"/>
    <hyperlink r:id="rId747" ref="L748"/>
    <hyperlink r:id="rId748" ref="L749"/>
    <hyperlink r:id="rId749" ref="L750"/>
    <hyperlink r:id="rId750" ref="L751"/>
    <hyperlink r:id="rId751" ref="L752"/>
    <hyperlink r:id="rId752" ref="L753"/>
    <hyperlink r:id="rId753" ref="L754"/>
    <hyperlink r:id="rId754" ref="L755"/>
    <hyperlink r:id="rId755" ref="L756"/>
    <hyperlink r:id="rId756" ref="L757"/>
    <hyperlink r:id="rId757" ref="L758"/>
    <hyperlink r:id="rId758" ref="L759"/>
    <hyperlink r:id="rId759" ref="L760"/>
    <hyperlink r:id="rId760" ref="L761"/>
    <hyperlink r:id="rId761" ref="L762"/>
    <hyperlink r:id="rId762" ref="L763"/>
    <hyperlink r:id="rId763" ref="L764"/>
    <hyperlink r:id="rId764" ref="L765"/>
    <hyperlink r:id="rId765" ref="L766"/>
    <hyperlink r:id="rId766" ref="L767"/>
    <hyperlink r:id="rId767" ref="L768"/>
    <hyperlink r:id="rId768" ref="L769"/>
    <hyperlink r:id="rId769" ref="L770"/>
    <hyperlink r:id="rId770" ref="L771"/>
    <hyperlink r:id="rId771" ref="L772"/>
    <hyperlink r:id="rId772" ref="L773"/>
    <hyperlink r:id="rId773" ref="L774"/>
    <hyperlink r:id="rId774" ref="L775"/>
    <hyperlink r:id="rId775" ref="L776"/>
    <hyperlink r:id="rId776" ref="L777"/>
    <hyperlink r:id="rId777" ref="L778"/>
    <hyperlink r:id="rId778" ref="L779"/>
    <hyperlink r:id="rId779" ref="L780"/>
    <hyperlink r:id="rId780" ref="L781"/>
    <hyperlink r:id="rId781" ref="L782"/>
    <hyperlink r:id="rId782" ref="L783"/>
    <hyperlink r:id="rId783" ref="L784"/>
    <hyperlink r:id="rId784" ref="L785"/>
    <hyperlink r:id="rId785" ref="L786"/>
    <hyperlink r:id="rId786" ref="L787"/>
    <hyperlink r:id="rId787" ref="L788"/>
    <hyperlink r:id="rId788" ref="L789"/>
    <hyperlink r:id="rId789" ref="L790"/>
    <hyperlink r:id="rId790" ref="L791"/>
    <hyperlink r:id="rId791" ref="L792"/>
    <hyperlink r:id="rId792" ref="L793"/>
    <hyperlink r:id="rId793" ref="L794"/>
    <hyperlink r:id="rId794" ref="L795"/>
    <hyperlink r:id="rId795" ref="L796"/>
    <hyperlink r:id="rId796" ref="L797"/>
    <hyperlink r:id="rId797" ref="L798"/>
    <hyperlink r:id="rId798" ref="L799"/>
    <hyperlink r:id="rId799" ref="L800"/>
    <hyperlink r:id="rId800" ref="L801"/>
    <hyperlink r:id="rId801" ref="L802"/>
    <hyperlink r:id="rId802" ref="L803"/>
    <hyperlink r:id="rId803" ref="L804"/>
    <hyperlink r:id="rId804" ref="L805"/>
    <hyperlink r:id="rId805" ref="L806"/>
    <hyperlink r:id="rId806" ref="L807"/>
    <hyperlink r:id="rId807" ref="L808"/>
    <hyperlink r:id="rId808" ref="L809"/>
    <hyperlink r:id="rId809" ref="L810"/>
    <hyperlink r:id="rId810" ref="L811"/>
    <hyperlink r:id="rId811" ref="L812"/>
    <hyperlink r:id="rId812" ref="L813"/>
    <hyperlink r:id="rId813" ref="L814"/>
    <hyperlink r:id="rId814" ref="L815"/>
    <hyperlink r:id="rId815" ref="L816"/>
    <hyperlink r:id="rId816" ref="L817"/>
    <hyperlink r:id="rId817" ref="L818"/>
    <hyperlink r:id="rId818" ref="L819"/>
    <hyperlink r:id="rId819" ref="L820"/>
    <hyperlink r:id="rId820" ref="L821"/>
    <hyperlink r:id="rId821" ref="L822"/>
    <hyperlink r:id="rId822" ref="L823"/>
    <hyperlink r:id="rId823" ref="L824"/>
    <hyperlink r:id="rId824" ref="L825"/>
    <hyperlink r:id="rId825" ref="L826"/>
    <hyperlink r:id="rId826" ref="L827"/>
    <hyperlink r:id="rId827" ref="L828"/>
    <hyperlink r:id="rId828" ref="L829"/>
    <hyperlink r:id="rId829" ref="L830"/>
    <hyperlink r:id="rId830" ref="L831"/>
    <hyperlink r:id="rId831" ref="L832"/>
    <hyperlink r:id="rId832" ref="L833"/>
    <hyperlink r:id="rId833" ref="L834"/>
    <hyperlink r:id="rId834" ref="L835"/>
    <hyperlink r:id="rId835" ref="L836"/>
    <hyperlink r:id="rId836" ref="L837"/>
    <hyperlink r:id="rId837" ref="L838"/>
    <hyperlink r:id="rId838" ref="L839"/>
    <hyperlink r:id="rId839" ref="L840"/>
    <hyperlink r:id="rId840" ref="L841"/>
    <hyperlink r:id="rId841" ref="L842"/>
    <hyperlink r:id="rId842" ref="L843"/>
    <hyperlink r:id="rId843" ref="L844"/>
    <hyperlink r:id="rId844" ref="L845"/>
    <hyperlink r:id="rId845" ref="L846"/>
    <hyperlink r:id="rId846" ref="L847"/>
    <hyperlink r:id="rId847" ref="L848"/>
    <hyperlink r:id="rId848" ref="L849"/>
    <hyperlink r:id="rId849" ref="L850"/>
    <hyperlink r:id="rId850" ref="L851"/>
    <hyperlink r:id="rId851" ref="L852"/>
    <hyperlink r:id="rId852" ref="L853"/>
    <hyperlink r:id="rId853" ref="L854"/>
    <hyperlink r:id="rId854" ref="L855"/>
    <hyperlink r:id="rId855" ref="L856"/>
    <hyperlink r:id="rId856" ref="L857"/>
    <hyperlink r:id="rId857" ref="L858"/>
    <hyperlink r:id="rId858" ref="L859"/>
    <hyperlink r:id="rId859" ref="L860"/>
    <hyperlink r:id="rId860" ref="L861"/>
    <hyperlink r:id="rId861" ref="L862"/>
    <hyperlink r:id="rId862" ref="L863"/>
    <hyperlink r:id="rId863" ref="L864"/>
    <hyperlink r:id="rId864" ref="L865"/>
    <hyperlink r:id="rId865" ref="L866"/>
    <hyperlink r:id="rId866" ref="L867"/>
    <hyperlink r:id="rId867" ref="L868"/>
    <hyperlink r:id="rId868" ref="L869"/>
    <hyperlink r:id="rId869" ref="L870"/>
    <hyperlink r:id="rId870" ref="L871"/>
    <hyperlink r:id="rId871" ref="L872"/>
    <hyperlink r:id="rId872" ref="L873"/>
    <hyperlink r:id="rId873" ref="L874"/>
    <hyperlink r:id="rId874" ref="L875"/>
    <hyperlink r:id="rId875" ref="L876"/>
    <hyperlink r:id="rId876" ref="L877"/>
    <hyperlink r:id="rId877" ref="L878"/>
    <hyperlink r:id="rId878" ref="L879"/>
    <hyperlink r:id="rId879" ref="L880"/>
    <hyperlink r:id="rId880" ref="L881"/>
    <hyperlink r:id="rId881" ref="L882"/>
    <hyperlink r:id="rId882" ref="L883"/>
    <hyperlink r:id="rId883" ref="L884"/>
    <hyperlink r:id="rId884" ref="L885"/>
    <hyperlink r:id="rId885" ref="L886"/>
    <hyperlink r:id="rId886" ref="L887"/>
    <hyperlink r:id="rId887" ref="L888"/>
    <hyperlink r:id="rId888" ref="L889"/>
    <hyperlink r:id="rId889" ref="L890"/>
    <hyperlink r:id="rId890" ref="L891"/>
    <hyperlink r:id="rId891" ref="L892"/>
    <hyperlink r:id="rId892" ref="L893"/>
    <hyperlink r:id="rId893" ref="L894"/>
    <hyperlink r:id="rId894" ref="L895"/>
    <hyperlink r:id="rId895" ref="L896"/>
    <hyperlink r:id="rId896" ref="L897"/>
    <hyperlink r:id="rId897" ref="L898"/>
    <hyperlink r:id="rId898" ref="L899"/>
    <hyperlink r:id="rId899" ref="L900"/>
    <hyperlink r:id="rId900" ref="L901"/>
    <hyperlink r:id="rId901" ref="L902"/>
    <hyperlink r:id="rId902" ref="L903"/>
    <hyperlink r:id="rId903" ref="L904"/>
    <hyperlink r:id="rId904" ref="L905"/>
    <hyperlink r:id="rId905" ref="L906"/>
    <hyperlink r:id="rId906" ref="L907"/>
    <hyperlink r:id="rId907" ref="L908"/>
    <hyperlink r:id="rId908" ref="L909"/>
    <hyperlink r:id="rId909" ref="L910"/>
    <hyperlink r:id="rId910" ref="L911"/>
    <hyperlink r:id="rId911" ref="L912"/>
    <hyperlink r:id="rId912" ref="L913"/>
    <hyperlink r:id="rId913" ref="L914"/>
    <hyperlink r:id="rId914" ref="L915"/>
    <hyperlink r:id="rId915" ref="L916"/>
    <hyperlink r:id="rId916" ref="L917"/>
    <hyperlink r:id="rId917" ref="L918"/>
    <hyperlink r:id="rId918" ref="L919"/>
    <hyperlink r:id="rId919" ref="L920"/>
    <hyperlink r:id="rId920" ref="L921"/>
    <hyperlink r:id="rId921" ref="L922"/>
    <hyperlink r:id="rId922" ref="L923"/>
    <hyperlink r:id="rId923" ref="L924"/>
    <hyperlink r:id="rId924" ref="L925"/>
    <hyperlink r:id="rId925" ref="L926"/>
    <hyperlink r:id="rId926" ref="L927"/>
    <hyperlink r:id="rId927" ref="L928"/>
    <hyperlink r:id="rId928" ref="L929"/>
    <hyperlink r:id="rId929" ref="L930"/>
    <hyperlink r:id="rId930" ref="L931"/>
    <hyperlink r:id="rId931" ref="L932"/>
    <hyperlink r:id="rId932" ref="L933"/>
    <hyperlink r:id="rId933" ref="L934"/>
    <hyperlink r:id="rId934" ref="L935"/>
    <hyperlink r:id="rId935" ref="L936"/>
    <hyperlink r:id="rId936" ref="L937"/>
    <hyperlink r:id="rId937" ref="L938"/>
    <hyperlink r:id="rId938" ref="L939"/>
    <hyperlink r:id="rId939" ref="L940"/>
    <hyperlink r:id="rId940" ref="L941"/>
    <hyperlink r:id="rId941" ref="L942"/>
    <hyperlink r:id="rId942" ref="L943"/>
    <hyperlink r:id="rId943" ref="L944"/>
    <hyperlink r:id="rId944" ref="L945"/>
    <hyperlink r:id="rId945" ref="L946"/>
    <hyperlink r:id="rId946" ref="L947"/>
    <hyperlink r:id="rId947" ref="L948"/>
    <hyperlink r:id="rId948" ref="L949"/>
    <hyperlink r:id="rId949" ref="L950"/>
    <hyperlink r:id="rId950" ref="L951"/>
    <hyperlink r:id="rId951" ref="L952"/>
    <hyperlink r:id="rId952" ref="L953"/>
    <hyperlink r:id="rId953" ref="L954"/>
    <hyperlink r:id="rId954" ref="L955"/>
    <hyperlink r:id="rId955" ref="L956"/>
    <hyperlink r:id="rId956" ref="L957"/>
    <hyperlink r:id="rId957" ref="L958"/>
    <hyperlink r:id="rId958" ref="L959"/>
    <hyperlink r:id="rId959" ref="L960"/>
    <hyperlink r:id="rId960" ref="L961"/>
    <hyperlink r:id="rId961" ref="L962"/>
    <hyperlink r:id="rId962" ref="L963"/>
    <hyperlink r:id="rId963" ref="L964"/>
    <hyperlink r:id="rId964" ref="L965"/>
    <hyperlink r:id="rId965" ref="L966"/>
    <hyperlink r:id="rId966" ref="L967"/>
    <hyperlink r:id="rId967" ref="L968"/>
    <hyperlink r:id="rId968" ref="L969"/>
    <hyperlink r:id="rId969" ref="L970"/>
    <hyperlink r:id="rId970" ref="L971"/>
    <hyperlink r:id="rId971" ref="L972"/>
    <hyperlink r:id="rId972" ref="L973"/>
    <hyperlink r:id="rId973" ref="L974"/>
    <hyperlink r:id="rId974" ref="L975"/>
    <hyperlink r:id="rId975" ref="L976"/>
    <hyperlink r:id="rId976" ref="L977"/>
    <hyperlink r:id="rId977" ref="L978"/>
    <hyperlink r:id="rId978" ref="L979"/>
    <hyperlink r:id="rId979" ref="L980"/>
    <hyperlink r:id="rId980" ref="L981"/>
    <hyperlink r:id="rId981" ref="L982"/>
    <hyperlink r:id="rId982" ref="L983"/>
    <hyperlink r:id="rId983" ref="L984"/>
    <hyperlink r:id="rId984" ref="L985"/>
    <hyperlink r:id="rId985" ref="L986"/>
    <hyperlink r:id="rId986" ref="L987"/>
    <hyperlink r:id="rId987" ref="L988"/>
    <hyperlink r:id="rId988" ref="L989"/>
    <hyperlink r:id="rId989" ref="L990"/>
    <hyperlink r:id="rId990" ref="L991"/>
    <hyperlink r:id="rId991" ref="L992"/>
    <hyperlink r:id="rId992" ref="L993"/>
    <hyperlink r:id="rId993" ref="L994"/>
    <hyperlink r:id="rId994" ref="L995"/>
    <hyperlink r:id="rId995" ref="L996"/>
    <hyperlink r:id="rId996" ref="L997"/>
    <hyperlink r:id="rId997" ref="L998"/>
    <hyperlink r:id="rId998" ref="L999"/>
    <hyperlink r:id="rId999" ref="L1000"/>
    <hyperlink r:id="rId1000" ref="L1001"/>
    <hyperlink r:id="rId1001" ref="L1002"/>
    <hyperlink r:id="rId1002" ref="L1003"/>
    <hyperlink r:id="rId1003" ref="L1004"/>
    <hyperlink r:id="rId1004" ref="L1005"/>
    <hyperlink r:id="rId1005" ref="L1006"/>
    <hyperlink r:id="rId1006" ref="L1007"/>
    <hyperlink r:id="rId1007" ref="L1008"/>
    <hyperlink r:id="rId1008" ref="L1009"/>
    <hyperlink r:id="rId1009" ref="L1010"/>
    <hyperlink r:id="rId1010" ref="L1011"/>
    <hyperlink r:id="rId1011" ref="L1012"/>
    <hyperlink r:id="rId1012" ref="L1013"/>
    <hyperlink r:id="rId1013" ref="L1014"/>
    <hyperlink r:id="rId1014" ref="L1015"/>
    <hyperlink r:id="rId1015" ref="L1016"/>
    <hyperlink r:id="rId1016" ref="L1017"/>
    <hyperlink r:id="rId1017" ref="L1018"/>
    <hyperlink r:id="rId1018" ref="L1019"/>
    <hyperlink r:id="rId1019" ref="L1020"/>
    <hyperlink r:id="rId1020" ref="L1021"/>
    <hyperlink r:id="rId1021" ref="L1022"/>
    <hyperlink r:id="rId1022" ref="L1023"/>
    <hyperlink r:id="rId1023" ref="L1024"/>
    <hyperlink r:id="rId1024" ref="L1025"/>
    <hyperlink r:id="rId1025" ref="L1026"/>
    <hyperlink r:id="rId1026" ref="L1027"/>
    <hyperlink r:id="rId1027" ref="L1028"/>
    <hyperlink r:id="rId1028" ref="L1029"/>
    <hyperlink r:id="rId1029" ref="L1030"/>
    <hyperlink r:id="rId1030" ref="L1031"/>
    <hyperlink r:id="rId1031" ref="L1032"/>
    <hyperlink r:id="rId1032" ref="L1033"/>
    <hyperlink r:id="rId1033" ref="L1034"/>
    <hyperlink r:id="rId1034" ref="L1035"/>
    <hyperlink r:id="rId1035" ref="L1036"/>
    <hyperlink r:id="rId1036" ref="L1037"/>
    <hyperlink r:id="rId1037" ref="L1038"/>
    <hyperlink r:id="rId1038" ref="L1039"/>
    <hyperlink r:id="rId1039" ref="L1040"/>
    <hyperlink r:id="rId1040" ref="L1041"/>
    <hyperlink r:id="rId1041" ref="L1042"/>
    <hyperlink r:id="rId1042" ref="L1043"/>
    <hyperlink r:id="rId1043" ref="L1044"/>
    <hyperlink r:id="rId1044" ref="L1045"/>
    <hyperlink r:id="rId1045" ref="L1046"/>
    <hyperlink r:id="rId1046" ref="L1047"/>
    <hyperlink r:id="rId1047" ref="L1048"/>
    <hyperlink r:id="rId1048" ref="L1049"/>
    <hyperlink r:id="rId1049" ref="L1050"/>
    <hyperlink r:id="rId1050" ref="L1051"/>
    <hyperlink r:id="rId1051" ref="L1052"/>
    <hyperlink r:id="rId1052" ref="L1053"/>
    <hyperlink r:id="rId1053" ref="L1054"/>
    <hyperlink r:id="rId1054" ref="L1055"/>
    <hyperlink r:id="rId1055" ref="L1056"/>
    <hyperlink r:id="rId1056" ref="L1057"/>
    <hyperlink r:id="rId1057" ref="L1058"/>
    <hyperlink r:id="rId1058" ref="L1059"/>
    <hyperlink r:id="rId1059" ref="L1060"/>
    <hyperlink r:id="rId1060" ref="L1061"/>
    <hyperlink r:id="rId1061" ref="L1062"/>
    <hyperlink r:id="rId1062" ref="L1063"/>
    <hyperlink r:id="rId1063" ref="L1064"/>
    <hyperlink r:id="rId1064" ref="L1065"/>
    <hyperlink r:id="rId1065" ref="L1066"/>
    <hyperlink r:id="rId1066" ref="L1067"/>
    <hyperlink r:id="rId1067" ref="L1068"/>
    <hyperlink r:id="rId1068" ref="L1069"/>
    <hyperlink r:id="rId1069" ref="L1070"/>
    <hyperlink r:id="rId1070" ref="L1071"/>
    <hyperlink r:id="rId1071" ref="L1072"/>
    <hyperlink r:id="rId1072" ref="L1073"/>
    <hyperlink r:id="rId1073" ref="L1074"/>
    <hyperlink r:id="rId1074" ref="L1075"/>
    <hyperlink r:id="rId1075" ref="L1076"/>
    <hyperlink r:id="rId1076" ref="L1077"/>
    <hyperlink r:id="rId1077" ref="L1078"/>
    <hyperlink r:id="rId1078" ref="L1079"/>
    <hyperlink r:id="rId1079" ref="L1080"/>
    <hyperlink r:id="rId1080" ref="L1081"/>
    <hyperlink r:id="rId1081" ref="L1082"/>
    <hyperlink r:id="rId1082" ref="L1083"/>
    <hyperlink r:id="rId1083" ref="L1084"/>
    <hyperlink r:id="rId1084" ref="L1085"/>
    <hyperlink r:id="rId1085" ref="L1086"/>
    <hyperlink r:id="rId1086" ref="L1087"/>
    <hyperlink r:id="rId1087" ref="L1088"/>
    <hyperlink r:id="rId1088" ref="L1089"/>
    <hyperlink r:id="rId1089" ref="L1090"/>
    <hyperlink r:id="rId1090" ref="L1091"/>
    <hyperlink r:id="rId1091" ref="L1092"/>
    <hyperlink r:id="rId1092" ref="L1093"/>
    <hyperlink r:id="rId1093" ref="L1094"/>
    <hyperlink r:id="rId1094" ref="L1095"/>
    <hyperlink r:id="rId1095" ref="L1096"/>
    <hyperlink r:id="rId1096" ref="L1097"/>
    <hyperlink r:id="rId1097" ref="L1098"/>
    <hyperlink r:id="rId1098" ref="L1099"/>
    <hyperlink r:id="rId1099" ref="L1100"/>
    <hyperlink r:id="rId1100" ref="L1101"/>
    <hyperlink r:id="rId1101" ref="L1102"/>
    <hyperlink r:id="rId1102" ref="L1103"/>
    <hyperlink r:id="rId1103" ref="L1104"/>
    <hyperlink r:id="rId1104" ref="L1105"/>
    <hyperlink r:id="rId1105" ref="L1106"/>
    <hyperlink r:id="rId1106" ref="L1107"/>
    <hyperlink r:id="rId1107" ref="L1108"/>
    <hyperlink r:id="rId1108" ref="L1109"/>
    <hyperlink r:id="rId1109" ref="L1110"/>
    <hyperlink r:id="rId1110" ref="L1111"/>
    <hyperlink r:id="rId1111" ref="L1112"/>
    <hyperlink r:id="rId1112" ref="L1113"/>
    <hyperlink r:id="rId1113" ref="L1114"/>
    <hyperlink r:id="rId1114" ref="L1115"/>
    <hyperlink r:id="rId1115" ref="L1116"/>
    <hyperlink r:id="rId1116" ref="L1117"/>
    <hyperlink r:id="rId1117" ref="L1118"/>
    <hyperlink r:id="rId1118" ref="L1119"/>
    <hyperlink r:id="rId1119" ref="L1120"/>
    <hyperlink r:id="rId1120" ref="L1121"/>
    <hyperlink r:id="rId1121" ref="L1122"/>
    <hyperlink r:id="rId1122" ref="L1123"/>
    <hyperlink r:id="rId1123" ref="L1124"/>
    <hyperlink r:id="rId1124" ref="L1125"/>
    <hyperlink r:id="rId1125" ref="L1126"/>
    <hyperlink r:id="rId1126" ref="L1127"/>
    <hyperlink r:id="rId1127" ref="L1128"/>
    <hyperlink r:id="rId1128" ref="L1129"/>
    <hyperlink r:id="rId1129" ref="L1130"/>
    <hyperlink r:id="rId1130" ref="L1131"/>
    <hyperlink r:id="rId1131" ref="L1132"/>
    <hyperlink r:id="rId1132" ref="L1133"/>
    <hyperlink r:id="rId1133" ref="L1134"/>
    <hyperlink r:id="rId1134" ref="L1135"/>
    <hyperlink r:id="rId1135" ref="L1136"/>
    <hyperlink r:id="rId1136" ref="L1137"/>
    <hyperlink r:id="rId1137" ref="L1138"/>
    <hyperlink r:id="rId1138" ref="L1139"/>
    <hyperlink r:id="rId1139" ref="L1140"/>
    <hyperlink r:id="rId1140" ref="L1141"/>
    <hyperlink r:id="rId1141" ref="L1142"/>
    <hyperlink r:id="rId1142" ref="L1143"/>
    <hyperlink r:id="rId1143" ref="L1144"/>
    <hyperlink r:id="rId1144" ref="L1145"/>
    <hyperlink r:id="rId1145" ref="L1146"/>
    <hyperlink r:id="rId1146" ref="L1147"/>
    <hyperlink r:id="rId1147" ref="L1148"/>
    <hyperlink r:id="rId1148" ref="L1149"/>
    <hyperlink r:id="rId1149" ref="L1150"/>
    <hyperlink r:id="rId1150" ref="L1151"/>
    <hyperlink r:id="rId1151" ref="L1152"/>
    <hyperlink r:id="rId1152" ref="L1153"/>
    <hyperlink r:id="rId1153" ref="L1154"/>
    <hyperlink r:id="rId1154" ref="L1155"/>
    <hyperlink r:id="rId1155" ref="L1156"/>
    <hyperlink r:id="rId1156" ref="L1157"/>
    <hyperlink r:id="rId1157" ref="L1158"/>
    <hyperlink r:id="rId1158" ref="L1159"/>
    <hyperlink r:id="rId1159" ref="L1160"/>
    <hyperlink r:id="rId1160" ref="L1161"/>
    <hyperlink r:id="rId1161" ref="L1162"/>
    <hyperlink r:id="rId1162" ref="L1163"/>
    <hyperlink r:id="rId1163" ref="L1164"/>
    <hyperlink r:id="rId1164" ref="L1165"/>
    <hyperlink r:id="rId1165" ref="L1166"/>
    <hyperlink r:id="rId1166" ref="L1167"/>
    <hyperlink r:id="rId1167" ref="L1168"/>
    <hyperlink r:id="rId1168" ref="L1169"/>
    <hyperlink r:id="rId1169" ref="L1170"/>
    <hyperlink r:id="rId1170" ref="L1171"/>
    <hyperlink r:id="rId1171" ref="L1172"/>
    <hyperlink r:id="rId1172" ref="L1173"/>
    <hyperlink r:id="rId1173" ref="L1174"/>
    <hyperlink r:id="rId1174" ref="L1175"/>
    <hyperlink r:id="rId1175" ref="L1176"/>
    <hyperlink r:id="rId1176" ref="L1177"/>
    <hyperlink r:id="rId1177" ref="L1178"/>
    <hyperlink r:id="rId1178" ref="L1179"/>
    <hyperlink r:id="rId1179" ref="L1180"/>
    <hyperlink r:id="rId1180" ref="L1181"/>
    <hyperlink r:id="rId1181" ref="L1182"/>
    <hyperlink r:id="rId1182" ref="L1183"/>
    <hyperlink r:id="rId1183" ref="L1184"/>
    <hyperlink r:id="rId1184" ref="L1185"/>
    <hyperlink r:id="rId1185" ref="L1186"/>
    <hyperlink r:id="rId1186" ref="L1187"/>
    <hyperlink r:id="rId1187" ref="L1188"/>
    <hyperlink r:id="rId1188" ref="L1189"/>
    <hyperlink r:id="rId1189" ref="L1190"/>
    <hyperlink r:id="rId1190" ref="L1191"/>
    <hyperlink r:id="rId1191" ref="L1192"/>
    <hyperlink r:id="rId1192" ref="L1193"/>
    <hyperlink r:id="rId1193" ref="L1194"/>
    <hyperlink r:id="rId1194" ref="L1195"/>
    <hyperlink r:id="rId1195" ref="L1196"/>
    <hyperlink r:id="rId1196" ref="L1197"/>
    <hyperlink r:id="rId1197" ref="L1198"/>
    <hyperlink r:id="rId1198" ref="L1199"/>
    <hyperlink r:id="rId1199" ref="L1200"/>
    <hyperlink r:id="rId1200" ref="L1201"/>
    <hyperlink r:id="rId1201" ref="L1202"/>
    <hyperlink r:id="rId1202" ref="L1203"/>
    <hyperlink r:id="rId1203" ref="L1204"/>
    <hyperlink r:id="rId1204" ref="L1205"/>
    <hyperlink r:id="rId1205" ref="L1206"/>
    <hyperlink r:id="rId1206" ref="L1207"/>
    <hyperlink r:id="rId1207" ref="L1208"/>
    <hyperlink r:id="rId1208" ref="L1209"/>
    <hyperlink r:id="rId1209" ref="L1210"/>
    <hyperlink r:id="rId1210" ref="L1211"/>
    <hyperlink r:id="rId1211" ref="L1212"/>
    <hyperlink r:id="rId1212" ref="L1213"/>
    <hyperlink r:id="rId1213" ref="L1214"/>
    <hyperlink r:id="rId1214" ref="L1215"/>
    <hyperlink r:id="rId1215" ref="L1216"/>
    <hyperlink r:id="rId1216" ref="L1217"/>
    <hyperlink r:id="rId1217" ref="L1218"/>
    <hyperlink r:id="rId1218" ref="L1219"/>
    <hyperlink r:id="rId1219" ref="L1220"/>
    <hyperlink r:id="rId1220" ref="L1221"/>
    <hyperlink r:id="rId1221" ref="L1222"/>
    <hyperlink r:id="rId1222" ref="L1223"/>
    <hyperlink r:id="rId1223" ref="L1224"/>
    <hyperlink r:id="rId1224" ref="L1225"/>
    <hyperlink r:id="rId1225" ref="L1226"/>
    <hyperlink r:id="rId1226" ref="L1227"/>
    <hyperlink r:id="rId1227" ref="L1228"/>
    <hyperlink r:id="rId1228" ref="L1229"/>
    <hyperlink r:id="rId1229" ref="L1230"/>
    <hyperlink r:id="rId1230" ref="L1231"/>
    <hyperlink r:id="rId1231" ref="L1232"/>
    <hyperlink r:id="rId1232" ref="L1233"/>
    <hyperlink r:id="rId1233" ref="L1234"/>
    <hyperlink r:id="rId1234" ref="L1235"/>
    <hyperlink r:id="rId1235" ref="L1236"/>
    <hyperlink r:id="rId1236" ref="L1237"/>
    <hyperlink r:id="rId1237" ref="L1238"/>
    <hyperlink r:id="rId1238" ref="L1239"/>
    <hyperlink r:id="rId1239" ref="L1240"/>
    <hyperlink r:id="rId1240" ref="L1241"/>
    <hyperlink r:id="rId1241" ref="L1242"/>
    <hyperlink r:id="rId1242" ref="L1243"/>
    <hyperlink r:id="rId1243" ref="L1244"/>
    <hyperlink r:id="rId1244" ref="L1245"/>
    <hyperlink r:id="rId1245" ref="L1246"/>
    <hyperlink r:id="rId1246" ref="L1247"/>
    <hyperlink r:id="rId1247" ref="L1248"/>
    <hyperlink r:id="rId1248" ref="L1249"/>
    <hyperlink r:id="rId1249" ref="L1250"/>
    <hyperlink r:id="rId1250" ref="L1251"/>
    <hyperlink r:id="rId1251" ref="L1252"/>
    <hyperlink r:id="rId1252" ref="L1253"/>
    <hyperlink r:id="rId1253" ref="L1254"/>
    <hyperlink r:id="rId1254" ref="L1255"/>
    <hyperlink r:id="rId1255" ref="L1256"/>
    <hyperlink r:id="rId1256" ref="L1257"/>
    <hyperlink r:id="rId1257" ref="L1258"/>
    <hyperlink r:id="rId1258" ref="L1259"/>
    <hyperlink r:id="rId1259" ref="L1260"/>
    <hyperlink r:id="rId1260" ref="L1261"/>
    <hyperlink r:id="rId1261" ref="L1262"/>
    <hyperlink r:id="rId1262" ref="L1263"/>
    <hyperlink r:id="rId1263" ref="L1264"/>
    <hyperlink r:id="rId1264" ref="L1265"/>
    <hyperlink r:id="rId1265" ref="L1266"/>
    <hyperlink r:id="rId1266" ref="L1267"/>
    <hyperlink r:id="rId1267" ref="L1268"/>
    <hyperlink r:id="rId1268" ref="L1269"/>
    <hyperlink r:id="rId1269" ref="L1270"/>
    <hyperlink r:id="rId1270" ref="L1271"/>
    <hyperlink r:id="rId1271" ref="L1272"/>
    <hyperlink r:id="rId1272" ref="L1273"/>
    <hyperlink r:id="rId1273" ref="L1274"/>
    <hyperlink r:id="rId1274" ref="L1275"/>
    <hyperlink r:id="rId1275" ref="L1276"/>
    <hyperlink r:id="rId1276" ref="L1277"/>
    <hyperlink r:id="rId1277" ref="L1278"/>
    <hyperlink r:id="rId1278" ref="L1279"/>
    <hyperlink r:id="rId1279" ref="L1280"/>
    <hyperlink r:id="rId1280" ref="L1281"/>
    <hyperlink r:id="rId1281" ref="L1282"/>
    <hyperlink r:id="rId1282" ref="L1283"/>
    <hyperlink r:id="rId1283" ref="L1284"/>
    <hyperlink r:id="rId1284" ref="L1285"/>
    <hyperlink r:id="rId1285" ref="L1286"/>
    <hyperlink r:id="rId1286" ref="L1287"/>
    <hyperlink r:id="rId1287" ref="L1288"/>
    <hyperlink r:id="rId1288" ref="L1289"/>
    <hyperlink r:id="rId1289" ref="L1290"/>
    <hyperlink r:id="rId1290" ref="L1291"/>
    <hyperlink r:id="rId1291" ref="L1292"/>
    <hyperlink r:id="rId1292" ref="L1293"/>
    <hyperlink r:id="rId1293" ref="L1294"/>
    <hyperlink r:id="rId1294" ref="L1295"/>
    <hyperlink r:id="rId1295" ref="L1296"/>
    <hyperlink r:id="rId1296" ref="L1297"/>
    <hyperlink r:id="rId1297" ref="L1298"/>
    <hyperlink r:id="rId1298" ref="L1299"/>
    <hyperlink r:id="rId1299" ref="L1300"/>
    <hyperlink r:id="rId1300" ref="L1301"/>
    <hyperlink r:id="rId1301" ref="L1302"/>
    <hyperlink r:id="rId1302" ref="L1303"/>
    <hyperlink r:id="rId1303" ref="L1304"/>
    <hyperlink r:id="rId1304" ref="L1305"/>
    <hyperlink r:id="rId1305" ref="L1306"/>
    <hyperlink r:id="rId1306" ref="L1307"/>
    <hyperlink r:id="rId1307" ref="L1308"/>
    <hyperlink r:id="rId1308" ref="L1309"/>
    <hyperlink r:id="rId1309" ref="L1310"/>
    <hyperlink r:id="rId1310" ref="L1311"/>
    <hyperlink r:id="rId1311" ref="L1312"/>
    <hyperlink r:id="rId1312" ref="L1313"/>
    <hyperlink r:id="rId1313" ref="L1314"/>
    <hyperlink r:id="rId1314" ref="L1315"/>
    <hyperlink r:id="rId1315" ref="L1316"/>
    <hyperlink r:id="rId1316" ref="L1317"/>
    <hyperlink r:id="rId1317" ref="L1318"/>
    <hyperlink r:id="rId1318" ref="L1319"/>
    <hyperlink r:id="rId1319" ref="L1320"/>
    <hyperlink r:id="rId1320" ref="L1321"/>
    <hyperlink r:id="rId1321" ref="L1322"/>
    <hyperlink r:id="rId1322" ref="L1323"/>
    <hyperlink r:id="rId1323" ref="L1324"/>
    <hyperlink r:id="rId1324" ref="L1325"/>
    <hyperlink r:id="rId1325" ref="L1326"/>
    <hyperlink r:id="rId1326" ref="L1327"/>
    <hyperlink r:id="rId1327" ref="L1328"/>
    <hyperlink r:id="rId1328" ref="L1329"/>
    <hyperlink r:id="rId1329" ref="L1330"/>
    <hyperlink r:id="rId1330" ref="L1331"/>
    <hyperlink r:id="rId1331" ref="L1332"/>
    <hyperlink r:id="rId1332" ref="L1333"/>
    <hyperlink r:id="rId1333" ref="L1334"/>
    <hyperlink r:id="rId1334" ref="L1335"/>
    <hyperlink r:id="rId1335" ref="L1336"/>
    <hyperlink r:id="rId1336" ref="L1337"/>
    <hyperlink r:id="rId1337" ref="L1338"/>
    <hyperlink r:id="rId1338" ref="L1339"/>
    <hyperlink r:id="rId1339" ref="L1340"/>
    <hyperlink r:id="rId1340" ref="L1341"/>
    <hyperlink r:id="rId1341" ref="L1342"/>
    <hyperlink r:id="rId1342" ref="L1343"/>
    <hyperlink r:id="rId1343" ref="L1344"/>
    <hyperlink r:id="rId1344" ref="L1345"/>
    <hyperlink r:id="rId1345" ref="L1346"/>
    <hyperlink r:id="rId1346" ref="L1347"/>
    <hyperlink r:id="rId1347" ref="L1348"/>
    <hyperlink r:id="rId1348" ref="L1349"/>
    <hyperlink r:id="rId1349" ref="L1350"/>
    <hyperlink r:id="rId1350" ref="L1351"/>
    <hyperlink r:id="rId1351" ref="L1352"/>
    <hyperlink r:id="rId1352" ref="L1353"/>
    <hyperlink r:id="rId1353" ref="L1354"/>
    <hyperlink r:id="rId1354" ref="L1355"/>
    <hyperlink r:id="rId1355" ref="L1356"/>
    <hyperlink r:id="rId1356" ref="L1357"/>
    <hyperlink r:id="rId1357" ref="L1358"/>
    <hyperlink r:id="rId1358" ref="L1359"/>
    <hyperlink r:id="rId1359" ref="L1360"/>
    <hyperlink r:id="rId1360" ref="L1361"/>
    <hyperlink r:id="rId1361" ref="L1362"/>
    <hyperlink r:id="rId1362" ref="L1363"/>
    <hyperlink r:id="rId1363" ref="L1364"/>
    <hyperlink r:id="rId1364" ref="L1365"/>
    <hyperlink r:id="rId1365" ref="L1366"/>
    <hyperlink r:id="rId1366" ref="L1367"/>
    <hyperlink r:id="rId1367" ref="L1368"/>
    <hyperlink r:id="rId1368" ref="L1369"/>
    <hyperlink r:id="rId1369" ref="L1370"/>
    <hyperlink r:id="rId1370" ref="L1371"/>
    <hyperlink r:id="rId1371" ref="L1372"/>
    <hyperlink r:id="rId1372" ref="L1373"/>
    <hyperlink r:id="rId1373" ref="L1374"/>
    <hyperlink r:id="rId1374" ref="L1375"/>
    <hyperlink r:id="rId1375" ref="L1376"/>
    <hyperlink r:id="rId1376" ref="L1377"/>
    <hyperlink r:id="rId1377" ref="L1378"/>
    <hyperlink r:id="rId1378" ref="L1379"/>
    <hyperlink r:id="rId1379" ref="L1380"/>
    <hyperlink r:id="rId1380" ref="L1381"/>
    <hyperlink r:id="rId1381" ref="L1382"/>
    <hyperlink r:id="rId1382" ref="L1383"/>
    <hyperlink r:id="rId1383" ref="L1384"/>
    <hyperlink r:id="rId1384" ref="L1385"/>
    <hyperlink r:id="rId1385" ref="L1386"/>
    <hyperlink r:id="rId1386" ref="L1387"/>
    <hyperlink r:id="rId1387" ref="L1388"/>
    <hyperlink r:id="rId1388" ref="L1389"/>
    <hyperlink r:id="rId1389" ref="L1390"/>
    <hyperlink r:id="rId1390" ref="L1391"/>
    <hyperlink r:id="rId1391" ref="L1392"/>
    <hyperlink r:id="rId1392" ref="L1393"/>
    <hyperlink r:id="rId1393" ref="L1394"/>
    <hyperlink r:id="rId1394" ref="L1395"/>
    <hyperlink r:id="rId1395" ref="L1396"/>
    <hyperlink r:id="rId1396" ref="L1397"/>
    <hyperlink r:id="rId1397" ref="L1398"/>
    <hyperlink r:id="rId1398" ref="L1399"/>
    <hyperlink r:id="rId1399" ref="L1400"/>
    <hyperlink r:id="rId1400" ref="L1401"/>
    <hyperlink r:id="rId1401" ref="L1402"/>
    <hyperlink r:id="rId1402" ref="L1403"/>
    <hyperlink r:id="rId1403" ref="L1404"/>
    <hyperlink r:id="rId1404" ref="L1405"/>
    <hyperlink r:id="rId1405" ref="L1406"/>
    <hyperlink r:id="rId1406" ref="L1407"/>
    <hyperlink r:id="rId1407" ref="L1408"/>
    <hyperlink r:id="rId1408" ref="L1409"/>
    <hyperlink r:id="rId1409" ref="L1410"/>
    <hyperlink r:id="rId1410" ref="L1411"/>
    <hyperlink r:id="rId1411" ref="L1412"/>
    <hyperlink r:id="rId1412" ref="L1413"/>
    <hyperlink r:id="rId1413" ref="L1414"/>
    <hyperlink r:id="rId1414" ref="L1415"/>
    <hyperlink r:id="rId1415" ref="L1416"/>
    <hyperlink r:id="rId1416" ref="L1417"/>
    <hyperlink r:id="rId1417" ref="L1418"/>
    <hyperlink r:id="rId1418" ref="L1419"/>
    <hyperlink r:id="rId1419" ref="L1420"/>
    <hyperlink r:id="rId1420" ref="L1421"/>
    <hyperlink r:id="rId1421" ref="L1422"/>
    <hyperlink r:id="rId1422" ref="L1423"/>
    <hyperlink r:id="rId1423" ref="L1424"/>
    <hyperlink r:id="rId1424" ref="L1425"/>
    <hyperlink r:id="rId1425" ref="L1426"/>
    <hyperlink r:id="rId1426" ref="L1427"/>
    <hyperlink r:id="rId1427" ref="L1428"/>
    <hyperlink r:id="rId1428" ref="L1429"/>
    <hyperlink r:id="rId1429" ref="L1430"/>
    <hyperlink r:id="rId1430" ref="L1431"/>
    <hyperlink r:id="rId1431" ref="L1432"/>
    <hyperlink r:id="rId1432" ref="L1433"/>
    <hyperlink r:id="rId1433" ref="L1434"/>
    <hyperlink r:id="rId1434" ref="L1435"/>
    <hyperlink r:id="rId1435" ref="L1436"/>
    <hyperlink r:id="rId1436" ref="L1437"/>
    <hyperlink r:id="rId1437" ref="L1438"/>
    <hyperlink r:id="rId1438" ref="L1439"/>
    <hyperlink r:id="rId1439" ref="L1440"/>
    <hyperlink r:id="rId1440" ref="L1441"/>
    <hyperlink r:id="rId1441" ref="L1442"/>
    <hyperlink r:id="rId1442" ref="L1443"/>
    <hyperlink r:id="rId1443" ref="L1444"/>
    <hyperlink r:id="rId1444" ref="L1445"/>
    <hyperlink r:id="rId1445" ref="L1446"/>
    <hyperlink r:id="rId1446" ref="L1447"/>
    <hyperlink r:id="rId1447" ref="L1448"/>
    <hyperlink r:id="rId1448" ref="L1449"/>
    <hyperlink r:id="rId1449" ref="L1450"/>
    <hyperlink r:id="rId1450" ref="L1451"/>
    <hyperlink r:id="rId1451" ref="L1452"/>
    <hyperlink r:id="rId1452" ref="L1453"/>
    <hyperlink r:id="rId1453" ref="L1454"/>
    <hyperlink r:id="rId1454" ref="L1455"/>
    <hyperlink r:id="rId1455" ref="L1456"/>
    <hyperlink r:id="rId1456" ref="L1457"/>
    <hyperlink r:id="rId1457" ref="L1458"/>
    <hyperlink r:id="rId1458" ref="L1459"/>
    <hyperlink r:id="rId1459" ref="L1460"/>
    <hyperlink r:id="rId1460" ref="L1461"/>
    <hyperlink r:id="rId1461" ref="L1462"/>
    <hyperlink r:id="rId1462" ref="L1463"/>
    <hyperlink r:id="rId1463" ref="L1464"/>
    <hyperlink r:id="rId1464" ref="L1465"/>
    <hyperlink r:id="rId1465" ref="L1466"/>
    <hyperlink r:id="rId1466" ref="L1467"/>
    <hyperlink r:id="rId1467" ref="L1468"/>
    <hyperlink r:id="rId1468" ref="L1469"/>
    <hyperlink r:id="rId1469" ref="L1470"/>
    <hyperlink r:id="rId1470" ref="L1471"/>
    <hyperlink r:id="rId1471" ref="L1472"/>
    <hyperlink r:id="rId1472" ref="L1473"/>
    <hyperlink r:id="rId1473" ref="L1474"/>
    <hyperlink r:id="rId1474" ref="L1475"/>
    <hyperlink r:id="rId1475" ref="L1476"/>
    <hyperlink r:id="rId1476" ref="L1477"/>
    <hyperlink r:id="rId1477" ref="L1478"/>
    <hyperlink r:id="rId1478" ref="L1479"/>
    <hyperlink r:id="rId1479" ref="L1480"/>
    <hyperlink r:id="rId1480" ref="L1481"/>
    <hyperlink r:id="rId1481" ref="L1482"/>
    <hyperlink r:id="rId1482" ref="L1483"/>
    <hyperlink r:id="rId1483" ref="L1484"/>
    <hyperlink r:id="rId1484" ref="L1485"/>
    <hyperlink r:id="rId1485" ref="L1486"/>
    <hyperlink r:id="rId1486" ref="L1487"/>
    <hyperlink r:id="rId1487" ref="L1488"/>
    <hyperlink r:id="rId1488" ref="L1489"/>
    <hyperlink r:id="rId1489" ref="L1490"/>
    <hyperlink r:id="rId1490" ref="L1491"/>
    <hyperlink r:id="rId1491" ref="L1492"/>
    <hyperlink r:id="rId1492" ref="L1493"/>
    <hyperlink r:id="rId1493" ref="L1494"/>
    <hyperlink r:id="rId1494" ref="L1495"/>
    <hyperlink r:id="rId1495" ref="L1496"/>
    <hyperlink r:id="rId1496" ref="L1497"/>
    <hyperlink r:id="rId1497" ref="L1498"/>
    <hyperlink r:id="rId1498" ref="L1499"/>
    <hyperlink r:id="rId1499" ref="L1500"/>
    <hyperlink r:id="rId1500" ref="L1501"/>
    <hyperlink r:id="rId1501" ref="L1502"/>
    <hyperlink r:id="rId1502" ref="L1503"/>
    <hyperlink r:id="rId1503" ref="L1504"/>
    <hyperlink r:id="rId1504" ref="L1505"/>
    <hyperlink r:id="rId1505" ref="L1506"/>
    <hyperlink r:id="rId1506" ref="L1507"/>
    <hyperlink r:id="rId1507" ref="L1508"/>
    <hyperlink r:id="rId1508" ref="L1509"/>
    <hyperlink r:id="rId1509" ref="L1510"/>
    <hyperlink r:id="rId1510" ref="L1511"/>
    <hyperlink r:id="rId1511" ref="L1512"/>
    <hyperlink r:id="rId1512" ref="L1513"/>
    <hyperlink r:id="rId1513" ref="L1514"/>
    <hyperlink r:id="rId1514" ref="L1515"/>
    <hyperlink r:id="rId1515" ref="L1516"/>
    <hyperlink r:id="rId1516" ref="L1517"/>
    <hyperlink r:id="rId1517" ref="L1518"/>
    <hyperlink r:id="rId1518" ref="L1519"/>
    <hyperlink r:id="rId1519" ref="L1520"/>
    <hyperlink r:id="rId1520" ref="L1521"/>
    <hyperlink r:id="rId1521" ref="L1522"/>
    <hyperlink r:id="rId1522" ref="L1523"/>
    <hyperlink r:id="rId1523" ref="L1524"/>
    <hyperlink r:id="rId1524" ref="L1525"/>
    <hyperlink r:id="rId1525" ref="L1526"/>
    <hyperlink r:id="rId1526" ref="L1527"/>
    <hyperlink r:id="rId1527" ref="L1528"/>
    <hyperlink r:id="rId1528" ref="L1529"/>
    <hyperlink r:id="rId1529" ref="L1530"/>
    <hyperlink r:id="rId1530" ref="L1531"/>
    <hyperlink r:id="rId1531" ref="L1532"/>
    <hyperlink r:id="rId1532" ref="L1533"/>
    <hyperlink r:id="rId1533" ref="L1534"/>
    <hyperlink r:id="rId1534" ref="L1535"/>
    <hyperlink r:id="rId1535" ref="L1536"/>
    <hyperlink r:id="rId1536" ref="L1537"/>
    <hyperlink r:id="rId1537" ref="L1538"/>
    <hyperlink r:id="rId1538" ref="L1539"/>
    <hyperlink r:id="rId1539" ref="L1540"/>
    <hyperlink r:id="rId1540" ref="L1541"/>
    <hyperlink r:id="rId1541" ref="L1542"/>
    <hyperlink r:id="rId1542" ref="L1543"/>
    <hyperlink r:id="rId1543" ref="L1544"/>
    <hyperlink r:id="rId1544" ref="L1545"/>
    <hyperlink r:id="rId1545" ref="L1546"/>
    <hyperlink r:id="rId1546" ref="L1547"/>
    <hyperlink r:id="rId1547" ref="L1548"/>
    <hyperlink r:id="rId1548" ref="L1549"/>
    <hyperlink r:id="rId1549" ref="L1550"/>
    <hyperlink r:id="rId1550" ref="L1551"/>
    <hyperlink r:id="rId1551" ref="L1552"/>
    <hyperlink r:id="rId1552" ref="L1553"/>
    <hyperlink r:id="rId1553" ref="L1554"/>
    <hyperlink r:id="rId1554" ref="L1555"/>
    <hyperlink r:id="rId1555" ref="L1556"/>
    <hyperlink r:id="rId1556" ref="L1557"/>
    <hyperlink r:id="rId1557" ref="L1558"/>
    <hyperlink r:id="rId1558" ref="L1559"/>
    <hyperlink r:id="rId1559" ref="L1560"/>
    <hyperlink r:id="rId1560" ref="L1561"/>
    <hyperlink r:id="rId1561" ref="L1562"/>
    <hyperlink r:id="rId1562" ref="L1563"/>
    <hyperlink r:id="rId1563" ref="L1564"/>
    <hyperlink r:id="rId1564" ref="L1565"/>
    <hyperlink r:id="rId1565" ref="L1566"/>
    <hyperlink r:id="rId1566" ref="L1567"/>
    <hyperlink r:id="rId1567" ref="L1568"/>
    <hyperlink r:id="rId1568" ref="L1569"/>
    <hyperlink r:id="rId1569" ref="L1570"/>
    <hyperlink r:id="rId1570" ref="L1571"/>
    <hyperlink r:id="rId1571" ref="L1572"/>
    <hyperlink r:id="rId1572" ref="L1573"/>
    <hyperlink r:id="rId1573" ref="L1574"/>
    <hyperlink r:id="rId1574" ref="L1575"/>
    <hyperlink r:id="rId1575" ref="L1576"/>
    <hyperlink r:id="rId1576" ref="L1577"/>
    <hyperlink r:id="rId1577" ref="L1578"/>
    <hyperlink r:id="rId1578" ref="L1579"/>
    <hyperlink r:id="rId1579" ref="L1580"/>
    <hyperlink r:id="rId1580" ref="L1581"/>
    <hyperlink r:id="rId1581" ref="L1582"/>
    <hyperlink r:id="rId1582" ref="L1583"/>
    <hyperlink r:id="rId1583" ref="L1584"/>
    <hyperlink r:id="rId1584" ref="L1585"/>
    <hyperlink r:id="rId1585" ref="L1586"/>
    <hyperlink r:id="rId1586" ref="L1587"/>
    <hyperlink r:id="rId1587" ref="L1588"/>
    <hyperlink r:id="rId1588" ref="L1589"/>
    <hyperlink r:id="rId1589" ref="L1590"/>
    <hyperlink r:id="rId1590" ref="L1591"/>
    <hyperlink r:id="rId1591" ref="L1592"/>
    <hyperlink r:id="rId1592" ref="L1593"/>
    <hyperlink r:id="rId1593" ref="L1594"/>
    <hyperlink r:id="rId1594" ref="L1595"/>
    <hyperlink r:id="rId1595" ref="L1596"/>
    <hyperlink r:id="rId1596" ref="L1597"/>
    <hyperlink r:id="rId1597" ref="L1598"/>
    <hyperlink r:id="rId1598" ref="L1599"/>
    <hyperlink r:id="rId1599" ref="L1600"/>
    <hyperlink r:id="rId1600" ref="L1601"/>
    <hyperlink r:id="rId1601" ref="L1602"/>
    <hyperlink r:id="rId1602" ref="L1603"/>
    <hyperlink r:id="rId1603" ref="L1604"/>
    <hyperlink r:id="rId1604" ref="L1605"/>
    <hyperlink r:id="rId1605" ref="L1606"/>
    <hyperlink r:id="rId1606" ref="L1607"/>
    <hyperlink r:id="rId1607" ref="L1608"/>
    <hyperlink r:id="rId1608" ref="L1609"/>
    <hyperlink r:id="rId1609" ref="L1610"/>
    <hyperlink r:id="rId1610" ref="L1611"/>
    <hyperlink r:id="rId1611" ref="L1612"/>
    <hyperlink r:id="rId1612" ref="L1613"/>
    <hyperlink r:id="rId1613" ref="L1614"/>
    <hyperlink r:id="rId1614" ref="L1615"/>
    <hyperlink r:id="rId1615" ref="L1616"/>
    <hyperlink r:id="rId1616" ref="L1617"/>
    <hyperlink r:id="rId1617" ref="L1618"/>
    <hyperlink r:id="rId1618" ref="L1619"/>
    <hyperlink r:id="rId1619" ref="L1620"/>
    <hyperlink r:id="rId1620" ref="L1621"/>
    <hyperlink r:id="rId1621" ref="L1622"/>
    <hyperlink r:id="rId1622" ref="L1623"/>
    <hyperlink r:id="rId1623" ref="L1624"/>
    <hyperlink r:id="rId1624" ref="L1625"/>
    <hyperlink r:id="rId1625" ref="L1626"/>
    <hyperlink r:id="rId1626" ref="L1627"/>
    <hyperlink r:id="rId1627" ref="L1628"/>
    <hyperlink r:id="rId1628" ref="L1629"/>
    <hyperlink r:id="rId1629" ref="L1630"/>
    <hyperlink r:id="rId1630" ref="L1631"/>
    <hyperlink r:id="rId1631" ref="L1632"/>
    <hyperlink r:id="rId1632" ref="L1633"/>
    <hyperlink r:id="rId1633" ref="L1634"/>
    <hyperlink r:id="rId1634" ref="L1635"/>
    <hyperlink r:id="rId1635" ref="L1636"/>
    <hyperlink r:id="rId1636" ref="L1637"/>
    <hyperlink r:id="rId1637" ref="L1638"/>
    <hyperlink r:id="rId1638" ref="L1639"/>
    <hyperlink r:id="rId1639" ref="L1640"/>
    <hyperlink r:id="rId1640" ref="L1641"/>
    <hyperlink r:id="rId1641" ref="L1642"/>
    <hyperlink r:id="rId1642" ref="L1643"/>
    <hyperlink r:id="rId1643" ref="L1644"/>
    <hyperlink r:id="rId1644" ref="L1645"/>
    <hyperlink r:id="rId1645" ref="L1646"/>
    <hyperlink r:id="rId1646" ref="L1647"/>
    <hyperlink r:id="rId1647" ref="L1648"/>
    <hyperlink r:id="rId1648" ref="L1649"/>
    <hyperlink r:id="rId1649" ref="L1650"/>
    <hyperlink r:id="rId1650" ref="L1651"/>
    <hyperlink r:id="rId1651" ref="L1652"/>
    <hyperlink r:id="rId1652" ref="L1653"/>
    <hyperlink r:id="rId1653" ref="L1654"/>
    <hyperlink r:id="rId1654" ref="L1655"/>
    <hyperlink r:id="rId1655" ref="L1656"/>
    <hyperlink r:id="rId1656" ref="L1657"/>
    <hyperlink r:id="rId1657" ref="L1658"/>
    <hyperlink r:id="rId1658" ref="L1659"/>
    <hyperlink r:id="rId1659" ref="L1660"/>
    <hyperlink r:id="rId1660" ref="L1661"/>
    <hyperlink r:id="rId1661" ref="L1662"/>
    <hyperlink r:id="rId1662" ref="L1663"/>
    <hyperlink r:id="rId1663" ref="L1664"/>
    <hyperlink r:id="rId1664" ref="L1665"/>
    <hyperlink r:id="rId1665" ref="L1666"/>
    <hyperlink r:id="rId1666" ref="L1667"/>
    <hyperlink r:id="rId1667" ref="L1668"/>
    <hyperlink r:id="rId1668" ref="L1669"/>
    <hyperlink r:id="rId1669" ref="L1670"/>
    <hyperlink r:id="rId1670" ref="L1671"/>
    <hyperlink r:id="rId1671" ref="L1672"/>
    <hyperlink r:id="rId1672" ref="L1673"/>
    <hyperlink r:id="rId1673" ref="L1674"/>
    <hyperlink r:id="rId1674" ref="L1675"/>
    <hyperlink r:id="rId1675" ref="L1676"/>
    <hyperlink r:id="rId1676" ref="L1677"/>
    <hyperlink r:id="rId1677" ref="L1678"/>
    <hyperlink r:id="rId1678" ref="L1679"/>
    <hyperlink r:id="rId1679" ref="L1680"/>
    <hyperlink r:id="rId1680" ref="L1681"/>
    <hyperlink r:id="rId1681" ref="L1682"/>
    <hyperlink r:id="rId1682" ref="L1683"/>
  </hyperlinks>
  <drawing r:id="rId168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3" width="21.0"/>
    <col customWidth="1" min="4" max="4" width="43.0"/>
    <col customWidth="1" min="9" max="9" width="24.88"/>
  </cols>
  <sheetData>
    <row r="1">
      <c r="A1" s="20" t="s">
        <v>64</v>
      </c>
      <c r="B1" s="20" t="s">
        <v>3668</v>
      </c>
      <c r="C1" s="20" t="s">
        <v>3669</v>
      </c>
      <c r="D1" s="20" t="s">
        <v>58</v>
      </c>
      <c r="E1" s="20" t="s">
        <v>70</v>
      </c>
      <c r="F1" s="20" t="s">
        <v>60</v>
      </c>
      <c r="G1" s="20" t="s">
        <v>61</v>
      </c>
      <c r="H1" s="20" t="s">
        <v>62</v>
      </c>
      <c r="I1" s="32" t="s">
        <v>79</v>
      </c>
    </row>
    <row r="2">
      <c r="A2" s="22" t="s">
        <v>120</v>
      </c>
      <c r="B2" s="22" t="s">
        <v>4014</v>
      </c>
      <c r="C2" s="22" t="s">
        <v>4015</v>
      </c>
      <c r="D2" s="22" t="s">
        <v>108</v>
      </c>
      <c r="E2" s="22">
        <v>1.0</v>
      </c>
      <c r="F2" s="22" t="s">
        <v>82</v>
      </c>
      <c r="G2" s="23">
        <v>45990.0</v>
      </c>
      <c r="H2" s="22" t="s">
        <v>119</v>
      </c>
      <c r="I2" s="32" t="s">
        <v>54</v>
      </c>
    </row>
    <row r="3">
      <c r="A3" s="22" t="s">
        <v>112</v>
      </c>
      <c r="B3" s="22" t="s">
        <v>3973</v>
      </c>
      <c r="C3" s="22" t="s">
        <v>3974</v>
      </c>
      <c r="D3" s="22" t="s">
        <v>108</v>
      </c>
      <c r="E3" s="22">
        <v>1.0</v>
      </c>
      <c r="F3" s="22" t="s">
        <v>82</v>
      </c>
      <c r="G3" s="23">
        <v>45990.0</v>
      </c>
      <c r="H3" s="22" t="s">
        <v>110</v>
      </c>
      <c r="I3" s="32" t="s">
        <v>54</v>
      </c>
    </row>
    <row r="4">
      <c r="A4" s="22" t="s">
        <v>169</v>
      </c>
      <c r="B4" s="22" t="s">
        <v>5594</v>
      </c>
      <c r="C4" s="22" t="s">
        <v>5595</v>
      </c>
      <c r="D4" s="22" t="s">
        <v>166</v>
      </c>
      <c r="E4" s="22">
        <v>1.0</v>
      </c>
      <c r="F4" s="22" t="s">
        <v>82</v>
      </c>
      <c r="G4" s="23">
        <v>45990.0</v>
      </c>
      <c r="H4" s="22" t="s">
        <v>168</v>
      </c>
      <c r="I4" s="32" t="s">
        <v>55</v>
      </c>
    </row>
    <row r="5">
      <c r="A5" s="22" t="s">
        <v>161</v>
      </c>
      <c r="B5" s="22" t="s">
        <v>4183</v>
      </c>
      <c r="C5" s="22" t="s">
        <v>5585</v>
      </c>
      <c r="D5" s="22" t="s">
        <v>158</v>
      </c>
      <c r="E5" s="22">
        <v>1.0</v>
      </c>
      <c r="F5" s="22" t="s">
        <v>82</v>
      </c>
      <c r="G5" s="23">
        <v>45990.0</v>
      </c>
      <c r="H5" s="22" t="s">
        <v>160</v>
      </c>
      <c r="I5" s="32" t="s">
        <v>127</v>
      </c>
    </row>
    <row r="6">
      <c r="A6" s="22" t="s">
        <v>178</v>
      </c>
      <c r="B6" s="22" t="s">
        <v>4509</v>
      </c>
      <c r="C6" s="22" t="s">
        <v>5814</v>
      </c>
      <c r="D6" s="22" t="s">
        <v>166</v>
      </c>
      <c r="E6" s="22">
        <v>1.0</v>
      </c>
      <c r="F6" s="22" t="s">
        <v>82</v>
      </c>
      <c r="G6" s="23">
        <v>45990.0</v>
      </c>
      <c r="H6" s="22" t="s">
        <v>177</v>
      </c>
      <c r="I6" s="32" t="s">
        <v>55</v>
      </c>
    </row>
    <row r="7">
      <c r="A7" s="22" t="s">
        <v>188</v>
      </c>
      <c r="B7" s="22" t="s">
        <v>6200</v>
      </c>
      <c r="C7" s="22" t="s">
        <v>6201</v>
      </c>
      <c r="D7" s="22" t="s">
        <v>185</v>
      </c>
      <c r="E7" s="22">
        <v>1.0</v>
      </c>
      <c r="F7" s="22" t="s">
        <v>82</v>
      </c>
      <c r="G7" s="23">
        <v>45990.0</v>
      </c>
      <c r="H7" s="22" t="s">
        <v>187</v>
      </c>
      <c r="I7" s="32" t="s">
        <v>95</v>
      </c>
    </row>
    <row r="8">
      <c r="A8" s="22" t="s">
        <v>199</v>
      </c>
      <c r="B8" s="22" t="s">
        <v>5390</v>
      </c>
      <c r="C8" s="22" t="s">
        <v>4086</v>
      </c>
      <c r="D8" s="22" t="s">
        <v>158</v>
      </c>
      <c r="E8" s="22">
        <v>1.0</v>
      </c>
      <c r="F8" s="22" t="s">
        <v>82</v>
      </c>
      <c r="G8" s="23">
        <v>45990.0</v>
      </c>
      <c r="H8" s="22" t="s">
        <v>110</v>
      </c>
      <c r="I8" s="32" t="s">
        <v>127</v>
      </c>
    </row>
    <row r="9">
      <c r="A9" s="22" t="s">
        <v>212</v>
      </c>
      <c r="B9" s="22" t="s">
        <v>4114</v>
      </c>
      <c r="C9" s="22" t="s">
        <v>6438</v>
      </c>
      <c r="D9" s="22" t="s">
        <v>209</v>
      </c>
      <c r="E9" s="22">
        <v>1.0</v>
      </c>
      <c r="F9" s="22" t="s">
        <v>82</v>
      </c>
      <c r="G9" s="23">
        <v>45990.0</v>
      </c>
      <c r="H9" s="22" t="s">
        <v>211</v>
      </c>
      <c r="I9" s="32" t="s">
        <v>91</v>
      </c>
    </row>
    <row r="10">
      <c r="A10" s="22" t="s">
        <v>216</v>
      </c>
      <c r="B10" s="22" t="s">
        <v>6619</v>
      </c>
      <c r="C10" s="22" t="s">
        <v>6691</v>
      </c>
      <c r="D10" s="22" t="s">
        <v>166</v>
      </c>
      <c r="E10" s="22">
        <v>1.0</v>
      </c>
      <c r="F10" s="22" t="s">
        <v>82</v>
      </c>
      <c r="G10" s="23">
        <v>45990.0</v>
      </c>
      <c r="H10" s="22" t="s">
        <v>160</v>
      </c>
      <c r="I10" s="32" t="s">
        <v>55</v>
      </c>
    </row>
    <row r="11">
      <c r="A11" s="22" t="s">
        <v>220</v>
      </c>
      <c r="B11" s="22" t="s">
        <v>6778</v>
      </c>
      <c r="C11" s="22" t="s">
        <v>6779</v>
      </c>
      <c r="D11" s="22" t="s">
        <v>209</v>
      </c>
      <c r="E11" s="22">
        <v>1.0</v>
      </c>
      <c r="F11" s="22" t="s">
        <v>82</v>
      </c>
      <c r="G11" s="23">
        <v>45990.0</v>
      </c>
      <c r="H11" s="22" t="s">
        <v>219</v>
      </c>
      <c r="I11" s="32" t="s">
        <v>91</v>
      </c>
    </row>
    <row r="12">
      <c r="A12" s="22" t="s">
        <v>231</v>
      </c>
      <c r="B12" s="22" t="s">
        <v>3892</v>
      </c>
      <c r="C12" s="22" t="s">
        <v>7059</v>
      </c>
      <c r="D12" s="22" t="s">
        <v>166</v>
      </c>
      <c r="E12" s="22">
        <v>1.0</v>
      </c>
      <c r="F12" s="22" t="s">
        <v>82</v>
      </c>
      <c r="G12" s="23">
        <v>45990.0</v>
      </c>
      <c r="H12" s="22" t="s">
        <v>230</v>
      </c>
      <c r="I12" s="32" t="s">
        <v>55</v>
      </c>
    </row>
    <row r="13">
      <c r="A13" s="22" t="s">
        <v>240</v>
      </c>
      <c r="B13" s="22" t="s">
        <v>7304</v>
      </c>
      <c r="C13" s="22" t="s">
        <v>7305</v>
      </c>
      <c r="D13" s="22" t="s">
        <v>166</v>
      </c>
      <c r="E13" s="22">
        <v>1.0</v>
      </c>
      <c r="F13" s="22" t="s">
        <v>82</v>
      </c>
      <c r="G13" s="23">
        <v>45990.0</v>
      </c>
      <c r="H13" s="22" t="s">
        <v>187</v>
      </c>
      <c r="I13" s="32" t="s">
        <v>55</v>
      </c>
    </row>
    <row r="14">
      <c r="A14" s="22" t="s">
        <v>241</v>
      </c>
      <c r="B14" s="22" t="s">
        <v>7243</v>
      </c>
      <c r="C14" s="22" t="s">
        <v>7244</v>
      </c>
      <c r="D14" s="22" t="s">
        <v>108</v>
      </c>
      <c r="E14" s="22">
        <v>1.0</v>
      </c>
      <c r="F14" s="22" t="s">
        <v>82</v>
      </c>
      <c r="G14" s="23">
        <v>45990.0</v>
      </c>
      <c r="H14" s="22" t="s">
        <v>230</v>
      </c>
      <c r="I14" s="32" t="s">
        <v>54</v>
      </c>
    </row>
    <row r="15">
      <c r="A15" s="22" t="s">
        <v>256</v>
      </c>
      <c r="B15" s="22" t="s">
        <v>6411</v>
      </c>
      <c r="C15" s="22" t="s">
        <v>4151</v>
      </c>
      <c r="D15" s="22" t="s">
        <v>108</v>
      </c>
      <c r="E15" s="22">
        <v>1.0</v>
      </c>
      <c r="F15" s="22" t="s">
        <v>82</v>
      </c>
      <c r="G15" s="23">
        <v>45990.0</v>
      </c>
      <c r="H15" s="22" t="s">
        <v>211</v>
      </c>
      <c r="I15" s="32" t="s">
        <v>54</v>
      </c>
    </row>
    <row r="16">
      <c r="A16" s="22" t="s">
        <v>774</v>
      </c>
      <c r="B16" s="22" t="s">
        <v>3984</v>
      </c>
      <c r="C16" s="22" t="s">
        <v>4084</v>
      </c>
      <c r="D16" s="22" t="s">
        <v>209</v>
      </c>
      <c r="E16" s="22">
        <v>1.0</v>
      </c>
      <c r="F16" s="22" t="s">
        <v>273</v>
      </c>
      <c r="G16" s="23">
        <v>45991.0</v>
      </c>
      <c r="H16" s="22" t="s">
        <v>211</v>
      </c>
      <c r="I16" s="32" t="s">
        <v>91</v>
      </c>
    </row>
    <row r="17">
      <c r="A17" s="22" t="s">
        <v>947</v>
      </c>
      <c r="B17" s="22" t="s">
        <v>4277</v>
      </c>
      <c r="C17" s="22" t="s">
        <v>4278</v>
      </c>
      <c r="D17" s="22" t="s">
        <v>108</v>
      </c>
      <c r="E17" s="22">
        <v>1.0</v>
      </c>
      <c r="F17" s="22" t="s">
        <v>273</v>
      </c>
      <c r="G17" s="23">
        <v>45991.0</v>
      </c>
      <c r="H17" s="22" t="s">
        <v>219</v>
      </c>
      <c r="I17" s="32" t="s">
        <v>54</v>
      </c>
    </row>
    <row r="18">
      <c r="A18" s="22" t="s">
        <v>1293</v>
      </c>
      <c r="B18" s="22" t="s">
        <v>4147</v>
      </c>
      <c r="C18" s="22" t="s">
        <v>4772</v>
      </c>
      <c r="D18" s="22" t="s">
        <v>166</v>
      </c>
      <c r="E18" s="22">
        <v>1.0</v>
      </c>
      <c r="F18" s="22" t="s">
        <v>273</v>
      </c>
      <c r="G18" s="23">
        <v>45991.0</v>
      </c>
      <c r="H18" s="22" t="s">
        <v>211</v>
      </c>
      <c r="I18" s="32" t="s">
        <v>55</v>
      </c>
    </row>
    <row r="19">
      <c r="A19" s="22" t="s">
        <v>1419</v>
      </c>
      <c r="B19" s="22" t="s">
        <v>4943</v>
      </c>
      <c r="C19" s="22" t="s">
        <v>4944</v>
      </c>
      <c r="D19" s="22" t="s">
        <v>158</v>
      </c>
      <c r="E19" s="22">
        <v>1.0</v>
      </c>
      <c r="F19" s="22" t="s">
        <v>273</v>
      </c>
      <c r="G19" s="23">
        <v>45991.0</v>
      </c>
      <c r="H19" s="22" t="s">
        <v>211</v>
      </c>
      <c r="I19" s="32" t="s">
        <v>127</v>
      </c>
    </row>
    <row r="20">
      <c r="A20" s="22" t="s">
        <v>1462</v>
      </c>
      <c r="B20" s="22" t="s">
        <v>5008</v>
      </c>
      <c r="C20" s="22" t="s">
        <v>5009</v>
      </c>
      <c r="D20" s="22" t="s">
        <v>166</v>
      </c>
      <c r="E20" s="22">
        <v>1.0</v>
      </c>
      <c r="F20" s="22" t="s">
        <v>273</v>
      </c>
      <c r="G20" s="23">
        <v>45991.0</v>
      </c>
      <c r="H20" s="22" t="s">
        <v>211</v>
      </c>
      <c r="I20" s="32" t="s">
        <v>55</v>
      </c>
    </row>
    <row r="21">
      <c r="A21" s="22" t="s">
        <v>1613</v>
      </c>
      <c r="B21" s="22" t="s">
        <v>5228</v>
      </c>
      <c r="C21" s="22" t="s">
        <v>5229</v>
      </c>
      <c r="D21" s="22" t="s">
        <v>185</v>
      </c>
      <c r="E21" s="22">
        <v>1.0</v>
      </c>
      <c r="F21" s="22" t="s">
        <v>273</v>
      </c>
      <c r="G21" s="23">
        <v>45991.0</v>
      </c>
      <c r="H21" s="22" t="s">
        <v>211</v>
      </c>
      <c r="I21" s="32" t="s">
        <v>95</v>
      </c>
    </row>
    <row r="22">
      <c r="A22" s="22" t="s">
        <v>2047</v>
      </c>
      <c r="B22" s="22" t="s">
        <v>5906</v>
      </c>
      <c r="C22" s="22" t="s">
        <v>5907</v>
      </c>
      <c r="D22" s="22" t="s">
        <v>185</v>
      </c>
      <c r="E22" s="22">
        <v>1.0</v>
      </c>
      <c r="F22" s="22" t="s">
        <v>273</v>
      </c>
      <c r="G22" s="23">
        <v>45991.0</v>
      </c>
      <c r="H22" s="22" t="s">
        <v>168</v>
      </c>
      <c r="I22" s="32" t="s">
        <v>95</v>
      </c>
    </row>
    <row r="23">
      <c r="A23" s="22" t="s">
        <v>2323</v>
      </c>
      <c r="B23" s="22" t="s">
        <v>6363</v>
      </c>
      <c r="C23" s="22" t="s">
        <v>6364</v>
      </c>
      <c r="D23" s="22" t="s">
        <v>185</v>
      </c>
      <c r="E23" s="22">
        <v>1.0</v>
      </c>
      <c r="F23" s="22" t="s">
        <v>273</v>
      </c>
      <c r="G23" s="23">
        <v>45991.0</v>
      </c>
      <c r="H23" s="22" t="s">
        <v>211</v>
      </c>
      <c r="I23" s="32" t="s">
        <v>95</v>
      </c>
    </row>
    <row r="24">
      <c r="A24" s="22" t="s">
        <v>2566</v>
      </c>
      <c r="B24" s="22" t="s">
        <v>5236</v>
      </c>
      <c r="C24" s="22" t="s">
        <v>6874</v>
      </c>
      <c r="D24" s="22" t="s">
        <v>185</v>
      </c>
      <c r="E24" s="22">
        <v>1.0</v>
      </c>
      <c r="F24" s="22" t="s">
        <v>273</v>
      </c>
      <c r="G24" s="23">
        <v>45991.0</v>
      </c>
      <c r="H24" s="22" t="s">
        <v>168</v>
      </c>
      <c r="I24" s="32" t="s">
        <v>95</v>
      </c>
    </row>
    <row r="25">
      <c r="A25" s="22" t="s">
        <v>2726</v>
      </c>
      <c r="B25" s="22" t="s">
        <v>7116</v>
      </c>
      <c r="C25" s="22" t="s">
        <v>7117</v>
      </c>
      <c r="D25" s="22" t="s">
        <v>166</v>
      </c>
      <c r="E25" s="22">
        <v>1.0</v>
      </c>
      <c r="F25" s="22" t="s">
        <v>273</v>
      </c>
      <c r="G25" s="23">
        <v>45991.0</v>
      </c>
      <c r="H25" s="22" t="s">
        <v>211</v>
      </c>
      <c r="I25" s="32" t="s">
        <v>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7.38"/>
    <col customWidth="1" min="3" max="3" width="59.88"/>
    <col customWidth="1" min="7" max="7" width="31.75"/>
    <col customWidth="1" min="8" max="8" width="29.88"/>
  </cols>
  <sheetData>
    <row r="1">
      <c r="A1" s="20" t="s">
        <v>3668</v>
      </c>
      <c r="B1" s="20" t="s">
        <v>3669</v>
      </c>
      <c r="C1" s="20" t="s">
        <v>58</v>
      </c>
      <c r="D1" s="20" t="s">
        <v>70</v>
      </c>
      <c r="E1" s="20" t="s">
        <v>60</v>
      </c>
      <c r="F1" s="20" t="s">
        <v>61</v>
      </c>
      <c r="G1" s="20" t="s">
        <v>62</v>
      </c>
      <c r="H1" s="32" t="s">
        <v>63</v>
      </c>
    </row>
    <row r="2">
      <c r="A2" s="22" t="s">
        <v>4700</v>
      </c>
      <c r="B2" s="22" t="s">
        <v>4701</v>
      </c>
      <c r="C2" s="22" t="s">
        <v>1175</v>
      </c>
      <c r="D2" s="22">
        <v>1.0</v>
      </c>
      <c r="E2" s="22" t="s">
        <v>273</v>
      </c>
      <c r="F2" s="23">
        <v>45991.0</v>
      </c>
      <c r="G2" s="36" t="s">
        <v>145</v>
      </c>
      <c r="H2" s="32" t="s">
        <v>329</v>
      </c>
    </row>
    <row r="3">
      <c r="A3" s="22" t="s">
        <v>4240</v>
      </c>
      <c r="B3" s="22" t="s">
        <v>4241</v>
      </c>
      <c r="C3" s="22" t="s">
        <v>902</v>
      </c>
      <c r="D3" s="22">
        <v>1.0</v>
      </c>
      <c r="E3" s="22" t="s">
        <v>273</v>
      </c>
      <c r="F3" s="23">
        <v>45991.0</v>
      </c>
      <c r="G3" s="36" t="s">
        <v>243</v>
      </c>
      <c r="H3" s="32" t="s">
        <v>329</v>
      </c>
    </row>
    <row r="4">
      <c r="A4" s="22" t="s">
        <v>5917</v>
      </c>
      <c r="B4" s="22" t="s">
        <v>5918</v>
      </c>
      <c r="C4" s="22" t="s">
        <v>2052</v>
      </c>
      <c r="D4" s="22">
        <v>1.0</v>
      </c>
      <c r="E4" s="22" t="s">
        <v>273</v>
      </c>
      <c r="F4" s="23">
        <v>45991.0</v>
      </c>
      <c r="G4" s="36" t="s">
        <v>134</v>
      </c>
      <c r="H4" s="32" t="s">
        <v>329</v>
      </c>
    </row>
    <row r="5">
      <c r="A5" s="22" t="s">
        <v>5786</v>
      </c>
      <c r="B5" s="22" t="s">
        <v>5787</v>
      </c>
      <c r="C5" s="22" t="s">
        <v>327</v>
      </c>
      <c r="D5" s="22">
        <v>1.0</v>
      </c>
      <c r="E5" s="22" t="s">
        <v>273</v>
      </c>
      <c r="F5" s="23">
        <v>45991.0</v>
      </c>
      <c r="G5" s="36" t="s">
        <v>252</v>
      </c>
      <c r="H5" s="32" t="s">
        <v>329</v>
      </c>
    </row>
    <row r="6">
      <c r="A6" s="22" t="s">
        <v>3840</v>
      </c>
      <c r="B6" s="22" t="s">
        <v>5800</v>
      </c>
      <c r="C6" s="22" t="s">
        <v>902</v>
      </c>
      <c r="D6" s="22">
        <v>1.0</v>
      </c>
      <c r="E6" s="22" t="s">
        <v>273</v>
      </c>
      <c r="F6" s="23">
        <v>45991.0</v>
      </c>
      <c r="G6" s="36" t="s">
        <v>149</v>
      </c>
      <c r="H6" s="32" t="s">
        <v>329</v>
      </c>
    </row>
    <row r="7">
      <c r="A7" s="22" t="s">
        <v>5545</v>
      </c>
      <c r="B7" s="22" t="s">
        <v>6899</v>
      </c>
      <c r="C7" s="22" t="s">
        <v>327</v>
      </c>
      <c r="D7" s="22">
        <v>1.0</v>
      </c>
      <c r="E7" s="22" t="s">
        <v>273</v>
      </c>
      <c r="F7" s="23">
        <v>45991.0</v>
      </c>
      <c r="G7" s="36" t="s">
        <v>134</v>
      </c>
      <c r="H7" s="32" t="s">
        <v>329</v>
      </c>
    </row>
    <row r="8">
      <c r="A8" s="22" t="s">
        <v>4863</v>
      </c>
      <c r="B8" s="22" t="s">
        <v>4864</v>
      </c>
      <c r="C8" s="22" t="s">
        <v>327</v>
      </c>
      <c r="D8" s="22">
        <v>1.0</v>
      </c>
      <c r="E8" s="22" t="s">
        <v>273</v>
      </c>
      <c r="F8" s="23">
        <v>45991.0</v>
      </c>
      <c r="G8" s="36" t="s">
        <v>153</v>
      </c>
      <c r="H8" s="32" t="s">
        <v>329</v>
      </c>
    </row>
    <row r="9">
      <c r="A9" s="22" t="s">
        <v>3674</v>
      </c>
      <c r="B9" s="22" t="s">
        <v>4646</v>
      </c>
      <c r="C9" s="22" t="s">
        <v>1105</v>
      </c>
      <c r="D9" s="22">
        <v>1.0</v>
      </c>
      <c r="E9" s="22" t="s">
        <v>273</v>
      </c>
      <c r="F9" s="23">
        <v>45991.0</v>
      </c>
      <c r="G9" s="36" t="s">
        <v>134</v>
      </c>
      <c r="H9" s="32" t="s">
        <v>329</v>
      </c>
    </row>
    <row r="10">
      <c r="A10" s="22" t="s">
        <v>5241</v>
      </c>
      <c r="B10" s="22" t="s">
        <v>7629</v>
      </c>
      <c r="C10" s="22" t="s">
        <v>1175</v>
      </c>
      <c r="D10" s="22">
        <v>1.0</v>
      </c>
      <c r="E10" s="22" t="s">
        <v>273</v>
      </c>
      <c r="F10" s="23">
        <v>45991.0</v>
      </c>
      <c r="G10" s="36" t="s">
        <v>153</v>
      </c>
      <c r="H10" s="32" t="s">
        <v>329</v>
      </c>
    </row>
    <row r="11">
      <c r="A11" s="22" t="s">
        <v>4762</v>
      </c>
      <c r="B11" s="22" t="s">
        <v>5328</v>
      </c>
      <c r="C11" s="22" t="s">
        <v>495</v>
      </c>
      <c r="D11" s="22">
        <v>1.0</v>
      </c>
      <c r="E11" s="22" t="s">
        <v>273</v>
      </c>
      <c r="F11" s="23">
        <v>45991.0</v>
      </c>
      <c r="G11" s="36" t="s">
        <v>248</v>
      </c>
      <c r="H11" s="32" t="s">
        <v>329</v>
      </c>
    </row>
    <row r="12">
      <c r="A12" s="22" t="s">
        <v>7820</v>
      </c>
      <c r="B12" s="22" t="s">
        <v>7821</v>
      </c>
      <c r="C12" s="22" t="s">
        <v>1175</v>
      </c>
      <c r="D12" s="22">
        <v>1.0</v>
      </c>
      <c r="E12" s="22" t="s">
        <v>273</v>
      </c>
      <c r="F12" s="23">
        <v>45991.0</v>
      </c>
      <c r="G12" s="36" t="s">
        <v>248</v>
      </c>
      <c r="H12" s="32" t="s">
        <v>329</v>
      </c>
    </row>
    <row r="13">
      <c r="A13" s="22" t="s">
        <v>6742</v>
      </c>
      <c r="B13" s="22" t="s">
        <v>6743</v>
      </c>
      <c r="C13" s="22" t="s">
        <v>495</v>
      </c>
      <c r="D13" s="22">
        <v>1.0</v>
      </c>
      <c r="E13" s="22" t="s">
        <v>273</v>
      </c>
      <c r="F13" s="23">
        <v>45991.0</v>
      </c>
      <c r="G13" s="36" t="s">
        <v>153</v>
      </c>
      <c r="H13" s="32" t="s">
        <v>329</v>
      </c>
    </row>
    <row r="14">
      <c r="A14" s="22" t="s">
        <v>4568</v>
      </c>
      <c r="B14" s="22" t="s">
        <v>7861</v>
      </c>
      <c r="C14" s="22" t="s">
        <v>495</v>
      </c>
      <c r="D14" s="22">
        <v>1.0</v>
      </c>
      <c r="E14" s="22" t="s">
        <v>273</v>
      </c>
      <c r="F14" s="23">
        <v>45991.0</v>
      </c>
      <c r="G14" s="36" t="s">
        <v>134</v>
      </c>
      <c r="H14" s="32" t="s">
        <v>329</v>
      </c>
    </row>
    <row r="15">
      <c r="A15" s="22" t="s">
        <v>3984</v>
      </c>
      <c r="B15" s="22" t="s">
        <v>4138</v>
      </c>
      <c r="C15" s="22" t="s">
        <v>327</v>
      </c>
      <c r="D15" s="22">
        <v>1.0</v>
      </c>
      <c r="E15" s="22" t="s">
        <v>273</v>
      </c>
      <c r="F15" s="23">
        <v>45991.0</v>
      </c>
      <c r="G15" s="36" t="s">
        <v>266</v>
      </c>
      <c r="H15" s="32" t="s">
        <v>329</v>
      </c>
    </row>
    <row r="16">
      <c r="A16" s="22" t="s">
        <v>6805</v>
      </c>
      <c r="B16" s="22" t="s">
        <v>6806</v>
      </c>
      <c r="C16" s="22" t="s">
        <v>327</v>
      </c>
      <c r="D16" s="22">
        <v>1.0</v>
      </c>
      <c r="E16" s="22" t="s">
        <v>273</v>
      </c>
      <c r="F16" s="23">
        <v>45991.0</v>
      </c>
      <c r="G16" s="36" t="s">
        <v>248</v>
      </c>
      <c r="H16" s="32" t="s">
        <v>329</v>
      </c>
    </row>
    <row r="17">
      <c r="A17" s="22" t="s">
        <v>3906</v>
      </c>
      <c r="B17" s="22" t="s">
        <v>5151</v>
      </c>
      <c r="C17" s="22" t="s">
        <v>1105</v>
      </c>
      <c r="D17" s="22">
        <v>1.0</v>
      </c>
      <c r="E17" s="22" t="s">
        <v>273</v>
      </c>
      <c r="F17" s="23">
        <v>45991.0</v>
      </c>
      <c r="G17" s="36" t="s">
        <v>138</v>
      </c>
      <c r="H17" s="32" t="s">
        <v>329</v>
      </c>
    </row>
    <row r="18">
      <c r="A18" s="22" t="s">
        <v>4974</v>
      </c>
      <c r="B18" s="22" t="s">
        <v>4975</v>
      </c>
      <c r="C18" s="22" t="s">
        <v>1370</v>
      </c>
      <c r="D18" s="22">
        <v>1.0</v>
      </c>
      <c r="E18" s="22" t="s">
        <v>273</v>
      </c>
      <c r="F18" s="23">
        <v>45991.0</v>
      </c>
      <c r="G18" s="36" t="s">
        <v>138</v>
      </c>
      <c r="H18" s="32" t="s">
        <v>329</v>
      </c>
    </row>
    <row r="19">
      <c r="A19" s="22" t="s">
        <v>7862</v>
      </c>
      <c r="B19" s="22" t="s">
        <v>7863</v>
      </c>
      <c r="C19" s="22" t="s">
        <v>327</v>
      </c>
      <c r="D19" s="22">
        <v>1.0</v>
      </c>
      <c r="E19" s="22" t="s">
        <v>273</v>
      </c>
      <c r="F19" s="23">
        <v>45991.0</v>
      </c>
      <c r="G19" s="36" t="s">
        <v>266</v>
      </c>
      <c r="H19" s="32" t="s">
        <v>329</v>
      </c>
    </row>
    <row r="20">
      <c r="A20" s="22" t="s">
        <v>6302</v>
      </c>
      <c r="B20" s="22" t="s">
        <v>6303</v>
      </c>
      <c r="C20" s="22" t="s">
        <v>1105</v>
      </c>
      <c r="D20" s="22">
        <v>1.0</v>
      </c>
      <c r="E20" s="22" t="s">
        <v>273</v>
      </c>
      <c r="F20" s="23">
        <v>45991.0</v>
      </c>
      <c r="G20" s="36" t="s">
        <v>153</v>
      </c>
      <c r="H20" s="32" t="s">
        <v>329</v>
      </c>
    </row>
    <row r="21">
      <c r="A21" s="22" t="s">
        <v>7428</v>
      </c>
      <c r="B21" s="22" t="s">
        <v>7429</v>
      </c>
      <c r="C21" s="22" t="s">
        <v>1370</v>
      </c>
      <c r="D21" s="22">
        <v>1.0</v>
      </c>
      <c r="E21" s="22" t="s">
        <v>273</v>
      </c>
      <c r="F21" s="23">
        <v>45991.0</v>
      </c>
      <c r="G21" s="36" t="s">
        <v>138</v>
      </c>
      <c r="H21" s="32" t="s">
        <v>329</v>
      </c>
    </row>
    <row r="22">
      <c r="A22" s="22" t="s">
        <v>3921</v>
      </c>
      <c r="B22" s="22" t="s">
        <v>4875</v>
      </c>
      <c r="C22" s="22" t="s">
        <v>1370</v>
      </c>
      <c r="D22" s="22">
        <v>1.0</v>
      </c>
      <c r="E22" s="22" t="s">
        <v>273</v>
      </c>
      <c r="F22" s="23">
        <v>45991.0</v>
      </c>
      <c r="G22" s="36" t="s">
        <v>134</v>
      </c>
      <c r="H22" s="32" t="s">
        <v>329</v>
      </c>
    </row>
    <row r="23">
      <c r="A23" s="22" t="s">
        <v>3825</v>
      </c>
      <c r="B23" s="22" t="s">
        <v>6452</v>
      </c>
      <c r="C23" s="22" t="s">
        <v>495</v>
      </c>
      <c r="D23" s="22">
        <v>1.0</v>
      </c>
      <c r="E23" s="22" t="s">
        <v>273</v>
      </c>
      <c r="F23" s="23">
        <v>45991.0</v>
      </c>
      <c r="G23" s="36" t="s">
        <v>145</v>
      </c>
      <c r="H23" s="32" t="s">
        <v>329</v>
      </c>
    </row>
    <row r="24">
      <c r="A24" s="22" t="s">
        <v>7817</v>
      </c>
      <c r="B24" s="22" t="s">
        <v>7818</v>
      </c>
      <c r="C24" s="22" t="s">
        <v>495</v>
      </c>
      <c r="D24" s="22">
        <v>1.0</v>
      </c>
      <c r="E24" s="22" t="s">
        <v>273</v>
      </c>
      <c r="F24" s="23">
        <v>45991.0</v>
      </c>
      <c r="G24" s="36" t="s">
        <v>153</v>
      </c>
      <c r="H24" s="32" t="s">
        <v>329</v>
      </c>
    </row>
    <row r="25">
      <c r="A25" s="22" t="s">
        <v>4424</v>
      </c>
      <c r="B25" s="22" t="s">
        <v>4425</v>
      </c>
      <c r="C25" s="22" t="s">
        <v>902</v>
      </c>
      <c r="D25" s="22">
        <v>1.0</v>
      </c>
      <c r="E25" s="22" t="s">
        <v>273</v>
      </c>
      <c r="F25" s="23">
        <v>45991.0</v>
      </c>
      <c r="G25" s="36" t="s">
        <v>248</v>
      </c>
      <c r="H25" s="32" t="s">
        <v>329</v>
      </c>
    </row>
    <row r="26">
      <c r="A26" s="22" t="s">
        <v>5760</v>
      </c>
      <c r="B26" s="22" t="s">
        <v>6220</v>
      </c>
      <c r="C26" s="22" t="s">
        <v>1105</v>
      </c>
      <c r="D26" s="22">
        <v>1.0</v>
      </c>
      <c r="E26" s="22" t="s">
        <v>273</v>
      </c>
      <c r="F26" s="23">
        <v>45991.0</v>
      </c>
      <c r="G26" s="36" t="s">
        <v>230</v>
      </c>
      <c r="H26" s="32" t="s">
        <v>329</v>
      </c>
    </row>
    <row r="27">
      <c r="A27" s="22" t="s">
        <v>5153</v>
      </c>
      <c r="B27" s="22" t="s">
        <v>5154</v>
      </c>
      <c r="C27" s="22" t="s">
        <v>1175</v>
      </c>
      <c r="D27" s="22">
        <v>1.0</v>
      </c>
      <c r="E27" s="22" t="s">
        <v>273</v>
      </c>
      <c r="F27" s="23">
        <v>45991.0</v>
      </c>
      <c r="G27" s="36" t="s">
        <v>138</v>
      </c>
      <c r="H27" s="32" t="s">
        <v>329</v>
      </c>
    </row>
    <row r="28">
      <c r="A28" s="22" t="s">
        <v>4674</v>
      </c>
      <c r="B28" s="22" t="s">
        <v>4675</v>
      </c>
      <c r="C28" s="22" t="s">
        <v>902</v>
      </c>
      <c r="D28" s="22">
        <v>1.0</v>
      </c>
      <c r="E28" s="22" t="s">
        <v>273</v>
      </c>
      <c r="F28" s="23">
        <v>45991.0</v>
      </c>
      <c r="G28" s="36" t="s">
        <v>138</v>
      </c>
      <c r="H28" s="32" t="s">
        <v>329</v>
      </c>
    </row>
    <row r="29">
      <c r="A29" s="22" t="s">
        <v>5069</v>
      </c>
      <c r="B29" s="22" t="s">
        <v>5616</v>
      </c>
      <c r="C29" s="22" t="s">
        <v>1316</v>
      </c>
      <c r="D29" s="22">
        <v>1.0</v>
      </c>
      <c r="E29" s="22" t="s">
        <v>273</v>
      </c>
      <c r="F29" s="23">
        <v>45991.0</v>
      </c>
      <c r="G29" s="36" t="s">
        <v>153</v>
      </c>
      <c r="H29" s="32" t="s">
        <v>329</v>
      </c>
    </row>
    <row r="30">
      <c r="A30" s="22" t="s">
        <v>4455</v>
      </c>
      <c r="B30" s="22" t="s">
        <v>7226</v>
      </c>
      <c r="C30" s="22" t="s">
        <v>1175</v>
      </c>
      <c r="D30" s="22">
        <v>1.0</v>
      </c>
      <c r="E30" s="22" t="s">
        <v>273</v>
      </c>
      <c r="F30" s="23">
        <v>45991.0</v>
      </c>
      <c r="G30" s="36" t="s">
        <v>134</v>
      </c>
      <c r="H30" s="32" t="s">
        <v>329</v>
      </c>
    </row>
    <row r="31">
      <c r="A31" s="22" t="s">
        <v>7262</v>
      </c>
      <c r="B31" s="22" t="s">
        <v>7263</v>
      </c>
      <c r="C31" s="22" t="s">
        <v>495</v>
      </c>
      <c r="D31" s="22">
        <v>1.0</v>
      </c>
      <c r="E31" s="22" t="s">
        <v>273</v>
      </c>
      <c r="F31" s="23">
        <v>45991.0</v>
      </c>
      <c r="G31" s="36" t="s">
        <v>145</v>
      </c>
      <c r="H31" s="32" t="s">
        <v>329</v>
      </c>
    </row>
    <row r="32">
      <c r="A32" s="22" t="s">
        <v>4616</v>
      </c>
      <c r="B32" s="22" t="s">
        <v>4617</v>
      </c>
      <c r="C32" s="22" t="s">
        <v>1175</v>
      </c>
      <c r="D32" s="22">
        <v>1.0</v>
      </c>
      <c r="E32" s="22" t="s">
        <v>273</v>
      </c>
      <c r="F32" s="23">
        <v>45991.0</v>
      </c>
      <c r="G32" s="36" t="s">
        <v>138</v>
      </c>
      <c r="H32" s="32" t="s">
        <v>329</v>
      </c>
    </row>
    <row r="33">
      <c r="A33" s="22" t="s">
        <v>5409</v>
      </c>
      <c r="B33" s="22" t="s">
        <v>7827</v>
      </c>
      <c r="C33" s="22" t="s">
        <v>1175</v>
      </c>
      <c r="D33" s="22">
        <v>1.0</v>
      </c>
      <c r="E33" s="22" t="s">
        <v>273</v>
      </c>
      <c r="F33" s="23">
        <v>45991.0</v>
      </c>
      <c r="G33" s="36" t="s">
        <v>145</v>
      </c>
      <c r="H33" s="32" t="s">
        <v>329</v>
      </c>
    </row>
    <row r="34">
      <c r="A34" s="22" t="s">
        <v>3817</v>
      </c>
      <c r="B34" s="22" t="s">
        <v>3818</v>
      </c>
      <c r="C34" s="22" t="s">
        <v>495</v>
      </c>
      <c r="D34" s="22">
        <v>1.0</v>
      </c>
      <c r="E34" s="22" t="s">
        <v>273</v>
      </c>
      <c r="F34" s="23">
        <v>45991.0</v>
      </c>
      <c r="G34" s="36" t="s">
        <v>497</v>
      </c>
      <c r="H34" s="32" t="s">
        <v>329</v>
      </c>
    </row>
    <row r="35">
      <c r="A35" s="22" t="s">
        <v>7864</v>
      </c>
      <c r="B35" s="22" t="s">
        <v>5370</v>
      </c>
      <c r="C35" s="22" t="s">
        <v>327</v>
      </c>
      <c r="D35" s="22">
        <v>1.0</v>
      </c>
      <c r="E35" s="22" t="s">
        <v>273</v>
      </c>
      <c r="F35" s="23">
        <v>45991.0</v>
      </c>
      <c r="G35" s="36" t="s">
        <v>153</v>
      </c>
      <c r="H35" s="32" t="s">
        <v>329</v>
      </c>
    </row>
    <row r="36">
      <c r="A36" s="22" t="s">
        <v>6042</v>
      </c>
      <c r="B36" s="22" t="s">
        <v>6043</v>
      </c>
      <c r="C36" s="22" t="s">
        <v>327</v>
      </c>
      <c r="D36" s="22">
        <v>1.0</v>
      </c>
      <c r="E36" s="22" t="s">
        <v>273</v>
      </c>
      <c r="F36" s="23">
        <v>45991.0</v>
      </c>
      <c r="G36" s="36" t="s">
        <v>153</v>
      </c>
      <c r="H36" s="32" t="s">
        <v>329</v>
      </c>
    </row>
    <row r="37">
      <c r="A37" s="22" t="s">
        <v>6278</v>
      </c>
      <c r="B37" s="22" t="s">
        <v>2</v>
      </c>
      <c r="C37" s="22" t="s">
        <v>1370</v>
      </c>
      <c r="D37" s="22">
        <v>1.0</v>
      </c>
      <c r="E37" s="22" t="s">
        <v>273</v>
      </c>
      <c r="F37" s="23">
        <v>45991.0</v>
      </c>
      <c r="G37" s="36" t="s">
        <v>134</v>
      </c>
      <c r="H37" s="32" t="s">
        <v>329</v>
      </c>
    </row>
    <row r="38">
      <c r="A38" s="22" t="s">
        <v>4806</v>
      </c>
      <c r="B38" s="22" t="s">
        <v>4807</v>
      </c>
      <c r="C38" s="22" t="s">
        <v>1316</v>
      </c>
      <c r="D38" s="22">
        <v>1.0</v>
      </c>
      <c r="E38" s="22" t="s">
        <v>273</v>
      </c>
      <c r="F38" s="23">
        <v>45991.0</v>
      </c>
      <c r="G38" s="36" t="s">
        <v>248</v>
      </c>
      <c r="H38" s="32" t="s">
        <v>329</v>
      </c>
    </row>
    <row r="39">
      <c r="A39" s="22" t="s">
        <v>7618</v>
      </c>
      <c r="B39" s="22" t="s">
        <v>7619</v>
      </c>
      <c r="C39" s="22" t="s">
        <v>902</v>
      </c>
      <c r="D39" s="22">
        <v>1.0</v>
      </c>
      <c r="E39" s="22" t="s">
        <v>273</v>
      </c>
      <c r="F39" s="23">
        <v>45991.0</v>
      </c>
      <c r="G39" s="36" t="s">
        <v>153</v>
      </c>
      <c r="H39" s="32" t="s">
        <v>329</v>
      </c>
    </row>
    <row r="40">
      <c r="A40" s="22" t="s">
        <v>6177</v>
      </c>
      <c r="B40" s="22" t="s">
        <v>6178</v>
      </c>
      <c r="C40" s="22" t="s">
        <v>1175</v>
      </c>
      <c r="D40" s="22">
        <v>1.0</v>
      </c>
      <c r="E40" s="22" t="s">
        <v>273</v>
      </c>
      <c r="F40" s="23">
        <v>45991.0</v>
      </c>
      <c r="G40" s="36" t="s">
        <v>219</v>
      </c>
      <c r="H40" s="32" t="s">
        <v>329</v>
      </c>
    </row>
    <row r="41">
      <c r="A41" s="22" t="s">
        <v>6698</v>
      </c>
      <c r="B41" s="22" t="s">
        <v>7654</v>
      </c>
      <c r="C41" s="22" t="s">
        <v>902</v>
      </c>
      <c r="D41" s="22">
        <v>1.0</v>
      </c>
      <c r="E41" s="22" t="s">
        <v>273</v>
      </c>
      <c r="F41" s="23">
        <v>45991.0</v>
      </c>
      <c r="G41" s="36" t="s">
        <v>153</v>
      </c>
      <c r="H41" s="32" t="s">
        <v>329</v>
      </c>
    </row>
    <row r="42">
      <c r="A42" s="22" t="s">
        <v>4063</v>
      </c>
      <c r="B42" s="22" t="s">
        <v>5043</v>
      </c>
      <c r="C42" s="22" t="s">
        <v>495</v>
      </c>
      <c r="D42" s="22">
        <v>1.0</v>
      </c>
      <c r="E42" s="22" t="s">
        <v>273</v>
      </c>
      <c r="F42" s="23">
        <v>45991.0</v>
      </c>
      <c r="G42" s="36" t="s">
        <v>134</v>
      </c>
      <c r="H42" s="32" t="s">
        <v>329</v>
      </c>
    </row>
    <row r="43">
      <c r="A43" s="22" t="s">
        <v>4855</v>
      </c>
      <c r="B43" s="22" t="s">
        <v>6598</v>
      </c>
      <c r="C43" s="22" t="s">
        <v>495</v>
      </c>
      <c r="D43" s="22">
        <v>1.0</v>
      </c>
      <c r="E43" s="22" t="s">
        <v>273</v>
      </c>
      <c r="F43" s="23">
        <v>45991.0</v>
      </c>
      <c r="G43" s="36" t="s">
        <v>177</v>
      </c>
      <c r="H43" s="32" t="s">
        <v>329</v>
      </c>
    </row>
    <row r="44">
      <c r="A44" s="22" t="s">
        <v>4559</v>
      </c>
      <c r="B44" s="22" t="s">
        <v>4560</v>
      </c>
      <c r="C44" s="22" t="s">
        <v>327</v>
      </c>
      <c r="D44" s="22">
        <v>1.0</v>
      </c>
      <c r="E44" s="22" t="s">
        <v>273</v>
      </c>
      <c r="F44" s="23">
        <v>45991.0</v>
      </c>
      <c r="G44" s="36" t="s">
        <v>145</v>
      </c>
      <c r="H44" s="32" t="s">
        <v>329</v>
      </c>
    </row>
    <row r="45">
      <c r="A45" s="22" t="s">
        <v>5113</v>
      </c>
      <c r="B45" s="22" t="s">
        <v>3967</v>
      </c>
      <c r="C45" s="22" t="s">
        <v>495</v>
      </c>
      <c r="D45" s="22">
        <v>1.0</v>
      </c>
      <c r="E45" s="22" t="s">
        <v>273</v>
      </c>
      <c r="F45" s="23">
        <v>45991.0</v>
      </c>
      <c r="G45" s="36" t="s">
        <v>134</v>
      </c>
      <c r="H45" s="32" t="s">
        <v>329</v>
      </c>
    </row>
    <row r="46">
      <c r="A46" s="22" t="s">
        <v>3840</v>
      </c>
      <c r="B46" s="22" t="s">
        <v>4703</v>
      </c>
      <c r="C46" s="22" t="s">
        <v>327</v>
      </c>
      <c r="D46" s="22">
        <v>1.0</v>
      </c>
      <c r="E46" s="22" t="s">
        <v>273</v>
      </c>
      <c r="F46" s="23">
        <v>45991.0</v>
      </c>
      <c r="G46" s="36" t="s">
        <v>211</v>
      </c>
      <c r="H46" s="32" t="s">
        <v>329</v>
      </c>
    </row>
    <row r="47">
      <c r="A47" s="22" t="s">
        <v>7608</v>
      </c>
      <c r="B47" s="22" t="s">
        <v>4485</v>
      </c>
      <c r="C47" s="22" t="s">
        <v>1370</v>
      </c>
      <c r="D47" s="22">
        <v>1.0</v>
      </c>
      <c r="E47" s="22" t="s">
        <v>273</v>
      </c>
      <c r="F47" s="23">
        <v>45991.0</v>
      </c>
      <c r="G47" s="36" t="s">
        <v>138</v>
      </c>
      <c r="H47" s="32" t="s">
        <v>329</v>
      </c>
    </row>
    <row r="48">
      <c r="A48" s="22" t="s">
        <v>4925</v>
      </c>
      <c r="B48" s="22" t="s">
        <v>4926</v>
      </c>
      <c r="C48" s="22" t="s">
        <v>902</v>
      </c>
      <c r="D48" s="22">
        <v>1.0</v>
      </c>
      <c r="E48" s="22" t="s">
        <v>273</v>
      </c>
      <c r="F48" s="23">
        <v>45991.0</v>
      </c>
      <c r="G48" s="36" t="s">
        <v>153</v>
      </c>
      <c r="H48" s="32" t="s">
        <v>329</v>
      </c>
    </row>
    <row r="49">
      <c r="A49" s="22" t="s">
        <v>6193</v>
      </c>
      <c r="B49" s="22" t="s">
        <v>6194</v>
      </c>
      <c r="C49" s="22" t="s">
        <v>1105</v>
      </c>
      <c r="D49" s="22">
        <v>1.0</v>
      </c>
      <c r="E49" s="22" t="s">
        <v>273</v>
      </c>
      <c r="F49" s="23">
        <v>45991.0</v>
      </c>
      <c r="G49" s="36" t="s">
        <v>153</v>
      </c>
      <c r="H49" s="32" t="s">
        <v>329</v>
      </c>
    </row>
    <row r="50">
      <c r="A50" s="22" t="s">
        <v>3683</v>
      </c>
      <c r="B50" s="22" t="s">
        <v>6317</v>
      </c>
      <c r="C50" s="22" t="s">
        <v>902</v>
      </c>
      <c r="D50" s="22">
        <v>1.0</v>
      </c>
      <c r="E50" s="22" t="s">
        <v>273</v>
      </c>
      <c r="F50" s="23">
        <v>45991.0</v>
      </c>
      <c r="G50" s="36" t="s">
        <v>149</v>
      </c>
      <c r="H50" s="32" t="s">
        <v>329</v>
      </c>
    </row>
    <row r="51">
      <c r="A51" s="22" t="s">
        <v>4632</v>
      </c>
      <c r="B51" s="22" t="s">
        <v>4633</v>
      </c>
      <c r="C51" s="22" t="s">
        <v>495</v>
      </c>
      <c r="D51" s="22">
        <v>1.0</v>
      </c>
      <c r="E51" s="22" t="s">
        <v>273</v>
      </c>
      <c r="F51" s="23">
        <v>45991.0</v>
      </c>
      <c r="G51" s="36" t="s">
        <v>134</v>
      </c>
      <c r="H51" s="32" t="s">
        <v>329</v>
      </c>
    </row>
    <row r="52">
      <c r="A52" s="22" t="s">
        <v>6268</v>
      </c>
      <c r="B52" s="22" t="s">
        <v>6269</v>
      </c>
      <c r="C52" s="22" t="s">
        <v>1175</v>
      </c>
      <c r="D52" s="22">
        <v>1.0</v>
      </c>
      <c r="E52" s="22" t="s">
        <v>273</v>
      </c>
      <c r="F52" s="23">
        <v>45991.0</v>
      </c>
      <c r="G52" s="36" t="s">
        <v>134</v>
      </c>
      <c r="H52" s="32" t="s">
        <v>329</v>
      </c>
    </row>
    <row r="53">
      <c r="A53" s="22" t="s">
        <v>5220</v>
      </c>
      <c r="B53" s="22" t="s">
        <v>5221</v>
      </c>
      <c r="C53" s="22" t="s">
        <v>495</v>
      </c>
      <c r="D53" s="22">
        <v>1.0</v>
      </c>
      <c r="E53" s="22" t="s">
        <v>273</v>
      </c>
      <c r="F53" s="23">
        <v>45991.0</v>
      </c>
      <c r="G53" s="36" t="s">
        <v>153</v>
      </c>
      <c r="H53" s="32" t="s">
        <v>329</v>
      </c>
    </row>
    <row r="54">
      <c r="A54" s="22" t="s">
        <v>4840</v>
      </c>
      <c r="B54" s="22" t="s">
        <v>4841</v>
      </c>
      <c r="C54" s="22" t="s">
        <v>495</v>
      </c>
      <c r="D54" s="22">
        <v>1.0</v>
      </c>
      <c r="E54" s="22" t="s">
        <v>273</v>
      </c>
      <c r="F54" s="23">
        <v>45991.0</v>
      </c>
      <c r="G54" s="36" t="s">
        <v>248</v>
      </c>
      <c r="H54" s="32" t="s">
        <v>329</v>
      </c>
    </row>
    <row r="55">
      <c r="A55" s="22" t="s">
        <v>6462</v>
      </c>
      <c r="B55" s="22" t="s">
        <v>6463</v>
      </c>
      <c r="C55" s="22" t="s">
        <v>495</v>
      </c>
      <c r="D55" s="22">
        <v>1.0</v>
      </c>
      <c r="E55" s="22" t="s">
        <v>273</v>
      </c>
      <c r="F55" s="23">
        <v>45991.0</v>
      </c>
      <c r="G55" s="36" t="s">
        <v>138</v>
      </c>
      <c r="H55" s="32" t="s">
        <v>329</v>
      </c>
    </row>
    <row r="56">
      <c r="A56" s="22" t="s">
        <v>4530</v>
      </c>
      <c r="B56" s="22" t="s">
        <v>4531</v>
      </c>
      <c r="C56" s="22" t="s">
        <v>1105</v>
      </c>
      <c r="D56" s="22">
        <v>1.0</v>
      </c>
      <c r="E56" s="22" t="s">
        <v>273</v>
      </c>
      <c r="F56" s="23">
        <v>45991.0</v>
      </c>
      <c r="G56" s="36" t="s">
        <v>266</v>
      </c>
      <c r="H56" s="32" t="s">
        <v>329</v>
      </c>
    </row>
    <row r="57">
      <c r="A57" s="22" t="s">
        <v>3701</v>
      </c>
      <c r="B57" s="22" t="s">
        <v>3702</v>
      </c>
      <c r="C57" s="22" t="s">
        <v>327</v>
      </c>
      <c r="D57" s="22">
        <v>1.0</v>
      </c>
      <c r="E57" s="22" t="s">
        <v>273</v>
      </c>
      <c r="F57" s="23">
        <v>45991.0</v>
      </c>
      <c r="G57" s="36" t="s">
        <v>266</v>
      </c>
      <c r="H57" s="32" t="s">
        <v>329</v>
      </c>
    </row>
    <row r="58">
      <c r="A58" s="22" t="s">
        <v>4724</v>
      </c>
      <c r="B58" s="22" t="s">
        <v>4725</v>
      </c>
      <c r="C58" s="22" t="s">
        <v>1105</v>
      </c>
      <c r="D58" s="22">
        <v>1.0</v>
      </c>
      <c r="E58" s="22" t="s">
        <v>273</v>
      </c>
      <c r="F58" s="23">
        <v>45991.0</v>
      </c>
      <c r="G58" s="36" t="s">
        <v>149</v>
      </c>
      <c r="H58" s="32" t="s">
        <v>329</v>
      </c>
    </row>
    <row r="59">
      <c r="A59" s="22" t="s">
        <v>6396</v>
      </c>
      <c r="B59" s="22" t="s">
        <v>6397</v>
      </c>
      <c r="C59" s="22" t="s">
        <v>1370</v>
      </c>
      <c r="D59" s="22">
        <v>1.0</v>
      </c>
      <c r="E59" s="22" t="s">
        <v>273</v>
      </c>
      <c r="F59" s="23">
        <v>45991.0</v>
      </c>
      <c r="G59" s="36" t="s">
        <v>134</v>
      </c>
      <c r="H59" s="32" t="s">
        <v>329</v>
      </c>
    </row>
    <row r="60">
      <c r="A60" s="22" t="s">
        <v>3840</v>
      </c>
      <c r="B60" s="22" t="s">
        <v>5067</v>
      </c>
      <c r="C60" s="22" t="s">
        <v>1105</v>
      </c>
      <c r="D60" s="22">
        <v>1.0</v>
      </c>
      <c r="E60" s="22" t="s">
        <v>273</v>
      </c>
      <c r="F60" s="23">
        <v>45991.0</v>
      </c>
      <c r="G60" s="36" t="s">
        <v>153</v>
      </c>
      <c r="H60" s="32" t="s">
        <v>329</v>
      </c>
    </row>
    <row r="61">
      <c r="A61" s="22" t="s">
        <v>7541</v>
      </c>
      <c r="B61" s="22" t="s">
        <v>7542</v>
      </c>
      <c r="C61" s="22" t="s">
        <v>327</v>
      </c>
      <c r="D61" s="22">
        <v>1.0</v>
      </c>
      <c r="E61" s="22" t="s">
        <v>273</v>
      </c>
      <c r="F61" s="23">
        <v>45991.0</v>
      </c>
      <c r="G61" s="36" t="s">
        <v>153</v>
      </c>
      <c r="H61" s="32" t="s">
        <v>329</v>
      </c>
    </row>
    <row r="62">
      <c r="A62" s="22" t="s">
        <v>4709</v>
      </c>
      <c r="B62" s="22" t="s">
        <v>4445</v>
      </c>
      <c r="C62" s="22" t="s">
        <v>327</v>
      </c>
      <c r="D62" s="22">
        <v>1.0</v>
      </c>
      <c r="E62" s="22" t="s">
        <v>273</v>
      </c>
      <c r="F62" s="23">
        <v>45991.0</v>
      </c>
      <c r="G62" s="36" t="s">
        <v>134</v>
      </c>
      <c r="H62" s="32" t="s">
        <v>329</v>
      </c>
    </row>
    <row r="63">
      <c r="A63" s="22" t="s">
        <v>5116</v>
      </c>
      <c r="B63" s="22" t="s">
        <v>4656</v>
      </c>
      <c r="C63" s="22" t="s">
        <v>327</v>
      </c>
      <c r="D63" s="22">
        <v>1.0</v>
      </c>
      <c r="E63" s="22" t="s">
        <v>273</v>
      </c>
      <c r="F63" s="23">
        <v>45991.0</v>
      </c>
      <c r="G63" s="36" t="s">
        <v>138</v>
      </c>
      <c r="H63" s="32" t="s">
        <v>329</v>
      </c>
    </row>
    <row r="64">
      <c r="A64" s="22" t="s">
        <v>3866</v>
      </c>
      <c r="B64" s="22" t="s">
        <v>4525</v>
      </c>
      <c r="C64" s="22" t="s">
        <v>495</v>
      </c>
      <c r="D64" s="22">
        <v>1.0</v>
      </c>
      <c r="E64" s="22" t="s">
        <v>273</v>
      </c>
      <c r="F64" s="23">
        <v>45991.0</v>
      </c>
      <c r="G64" s="36" t="s">
        <v>266</v>
      </c>
      <c r="H64" s="32" t="s">
        <v>329</v>
      </c>
    </row>
    <row r="65">
      <c r="A65" s="22" t="s">
        <v>3828</v>
      </c>
      <c r="B65" s="22" t="s">
        <v>3829</v>
      </c>
      <c r="C65" s="22" t="s">
        <v>327</v>
      </c>
      <c r="D65" s="22">
        <v>1.0</v>
      </c>
      <c r="E65" s="22" t="s">
        <v>273</v>
      </c>
      <c r="F65" s="23">
        <v>45991.0</v>
      </c>
      <c r="G65" s="36" t="s">
        <v>266</v>
      </c>
      <c r="H65" s="32" t="s">
        <v>329</v>
      </c>
    </row>
    <row r="66">
      <c r="A66" s="22" t="s">
        <v>7056</v>
      </c>
      <c r="B66" s="22" t="s">
        <v>7057</v>
      </c>
      <c r="C66" s="22" t="s">
        <v>1105</v>
      </c>
      <c r="D66" s="22">
        <v>1.0</v>
      </c>
      <c r="E66" s="22" t="s">
        <v>273</v>
      </c>
      <c r="F66" s="23">
        <v>45991.0</v>
      </c>
      <c r="G66" s="36" t="s">
        <v>187</v>
      </c>
      <c r="H66" s="32" t="s">
        <v>329</v>
      </c>
    </row>
    <row r="67">
      <c r="A67" s="22" t="s">
        <v>4877</v>
      </c>
      <c r="B67" s="22" t="s">
        <v>5745</v>
      </c>
      <c r="C67" s="22" t="s">
        <v>1175</v>
      </c>
      <c r="D67" s="22">
        <v>1.0</v>
      </c>
      <c r="E67" s="22" t="s">
        <v>273</v>
      </c>
      <c r="F67" s="23">
        <v>45991.0</v>
      </c>
      <c r="G67" s="36" t="s">
        <v>134</v>
      </c>
      <c r="H67" s="32" t="s">
        <v>329</v>
      </c>
    </row>
    <row r="68">
      <c r="A68" s="22" t="s">
        <v>3674</v>
      </c>
      <c r="B68" s="22" t="s">
        <v>7100</v>
      </c>
      <c r="C68" s="22" t="s">
        <v>902</v>
      </c>
      <c r="D68" s="22">
        <v>1.0</v>
      </c>
      <c r="E68" s="22" t="s">
        <v>273</v>
      </c>
      <c r="F68" s="23">
        <v>45991.0</v>
      </c>
      <c r="G68" s="36" t="s">
        <v>145</v>
      </c>
      <c r="H68" s="32" t="s">
        <v>329</v>
      </c>
    </row>
    <row r="69">
      <c r="A69" s="22"/>
      <c r="B69" s="22"/>
      <c r="C69" s="25"/>
      <c r="D69" s="22"/>
      <c r="E69" s="22"/>
      <c r="F69" s="23"/>
      <c r="G69" s="36"/>
    </row>
    <row r="70">
      <c r="A70" s="22"/>
      <c r="B70" s="22"/>
      <c r="C70" s="25"/>
      <c r="D70" s="22"/>
      <c r="E70" s="22"/>
      <c r="F70" s="23"/>
      <c r="G70" s="36"/>
    </row>
    <row r="71">
      <c r="A71" s="22"/>
      <c r="B71" s="22"/>
      <c r="C71" s="25"/>
      <c r="D71" s="22"/>
      <c r="E71" s="22"/>
      <c r="F71" s="23"/>
      <c r="G71" s="36"/>
    </row>
    <row r="72">
      <c r="A72" s="22"/>
      <c r="B72" s="22"/>
      <c r="C72" s="25"/>
      <c r="D72" s="22"/>
      <c r="E72" s="22"/>
      <c r="F72" s="23"/>
      <c r="G72" s="36"/>
    </row>
    <row r="73">
      <c r="A73" s="22"/>
      <c r="B73" s="22"/>
      <c r="C73" s="25"/>
      <c r="D73" s="22"/>
      <c r="E73" s="22"/>
      <c r="F73" s="23"/>
      <c r="G73" s="36"/>
    </row>
    <row r="74">
      <c r="A74" s="22"/>
      <c r="B74" s="22"/>
      <c r="C74" s="25"/>
      <c r="D74" s="22"/>
      <c r="E74" s="22"/>
      <c r="F74" s="23"/>
      <c r="G74" s="36"/>
    </row>
    <row r="75">
      <c r="A75" s="22"/>
      <c r="B75" s="22"/>
      <c r="C75" s="25"/>
      <c r="D75" s="22"/>
      <c r="E75" s="22"/>
      <c r="F75" s="23"/>
      <c r="G75" s="36"/>
    </row>
    <row r="76">
      <c r="A76" s="22"/>
      <c r="B76" s="22"/>
      <c r="C76" s="25"/>
      <c r="D76" s="22"/>
      <c r="E76" s="22"/>
      <c r="F76" s="23"/>
      <c r="G76" s="36"/>
    </row>
    <row r="77">
      <c r="A77" s="22"/>
      <c r="B77" s="22"/>
      <c r="C77" s="25"/>
      <c r="D77" s="22"/>
      <c r="E77" s="22"/>
      <c r="F77" s="23"/>
      <c r="G77" s="36"/>
    </row>
    <row r="78">
      <c r="A78" s="22"/>
      <c r="B78" s="22"/>
      <c r="C78" s="25"/>
      <c r="D78" s="22"/>
      <c r="E78" s="22"/>
      <c r="F78" s="23"/>
      <c r="G78" s="36"/>
    </row>
    <row r="79">
      <c r="A79" s="22"/>
      <c r="B79" s="22"/>
      <c r="C79" s="25"/>
      <c r="D79" s="22"/>
      <c r="E79" s="22"/>
      <c r="F79" s="23"/>
      <c r="G79" s="36"/>
    </row>
    <row r="80">
      <c r="A80" s="22"/>
      <c r="B80" s="22"/>
      <c r="C80" s="25"/>
      <c r="D80" s="22"/>
      <c r="E80" s="22"/>
      <c r="F80" s="23"/>
      <c r="G80" s="36"/>
    </row>
    <row r="81">
      <c r="A81" s="22"/>
      <c r="B81" s="22"/>
      <c r="C81" s="25"/>
      <c r="D81" s="22"/>
      <c r="E81" s="22"/>
      <c r="F81" s="23"/>
      <c r="G81" s="36"/>
    </row>
    <row r="82">
      <c r="A82" s="22"/>
      <c r="B82" s="22"/>
      <c r="C82" s="25"/>
      <c r="D82" s="22"/>
      <c r="E82" s="22"/>
      <c r="F82" s="23"/>
      <c r="G82" s="36"/>
    </row>
    <row r="83">
      <c r="A83" s="22"/>
      <c r="B83" s="22"/>
      <c r="C83" s="25"/>
      <c r="D83" s="22"/>
      <c r="E83" s="22"/>
      <c r="F83" s="23"/>
      <c r="G83" s="36"/>
    </row>
    <row r="84">
      <c r="A84" s="22"/>
      <c r="B84" s="22"/>
      <c r="C84" s="25"/>
      <c r="D84" s="22"/>
      <c r="E84" s="22"/>
      <c r="F84" s="23"/>
      <c r="G84" s="36"/>
    </row>
    <row r="85">
      <c r="A85" s="22"/>
      <c r="B85" s="22"/>
      <c r="C85" s="25"/>
      <c r="D85" s="22"/>
      <c r="E85" s="22"/>
      <c r="F85" s="23"/>
      <c r="G85" s="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18" width="44.13"/>
    <col customWidth="1" min="20" max="20" width="20.13"/>
    <col customWidth="1" min="21" max="21" width="22.38"/>
    <col customWidth="1" min="22" max="22" width="25.5"/>
    <col customWidth="1" min="24" max="24" width="47.63"/>
  </cols>
  <sheetData>
    <row r="1">
      <c r="A1" s="20" t="s">
        <v>58</v>
      </c>
      <c r="B1" s="20" t="s">
        <v>59</v>
      </c>
      <c r="C1" s="20" t="s">
        <v>60</v>
      </c>
      <c r="D1" s="20" t="s">
        <v>61</v>
      </c>
      <c r="E1" s="20" t="s">
        <v>62</v>
      </c>
      <c r="F1" s="20" t="s">
        <v>63</v>
      </c>
      <c r="G1" s="20" t="s">
        <v>70</v>
      </c>
      <c r="H1" s="20" t="s">
        <v>71</v>
      </c>
      <c r="I1" s="20" t="s">
        <v>69</v>
      </c>
      <c r="J1" s="20" t="s">
        <v>65</v>
      </c>
      <c r="K1" s="20" t="s">
        <v>67</v>
      </c>
      <c r="L1" s="20" t="s">
        <v>68</v>
      </c>
      <c r="M1" s="20" t="s">
        <v>72</v>
      </c>
      <c r="N1" s="20" t="s">
        <v>73</v>
      </c>
      <c r="O1" s="20" t="s">
        <v>74</v>
      </c>
      <c r="P1" s="20" t="s">
        <v>75</v>
      </c>
      <c r="Q1" s="20" t="s">
        <v>76</v>
      </c>
      <c r="R1" s="20" t="s">
        <v>77</v>
      </c>
      <c r="S1" s="20" t="s">
        <v>7865</v>
      </c>
      <c r="T1" s="20" t="s">
        <v>7866</v>
      </c>
      <c r="U1" s="20" t="s">
        <v>79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>
      <c r="A2" s="21" t="s">
        <v>4044</v>
      </c>
      <c r="B2" s="22" t="s">
        <v>7867</v>
      </c>
      <c r="C2" s="22" t="s">
        <v>1284</v>
      </c>
      <c r="D2" s="26">
        <v>46000.0</v>
      </c>
      <c r="E2" s="22" t="s">
        <v>981</v>
      </c>
      <c r="F2" s="22" t="s">
        <v>4045</v>
      </c>
      <c r="G2" s="22">
        <v>1.0</v>
      </c>
      <c r="H2" s="22" t="s">
        <v>7868</v>
      </c>
      <c r="I2" s="22" t="s">
        <v>4046</v>
      </c>
      <c r="J2" s="22" t="s">
        <v>4044</v>
      </c>
      <c r="K2" s="22" t="s">
        <v>7869</v>
      </c>
      <c r="L2" s="24"/>
      <c r="M2" s="22" t="s">
        <v>7870</v>
      </c>
      <c r="N2" s="24"/>
      <c r="O2" s="22" t="s">
        <v>90</v>
      </c>
      <c r="P2" s="22">
        <v>3.2666384138563E13</v>
      </c>
      <c r="Q2" s="24"/>
      <c r="R2" s="24"/>
      <c r="S2" s="22" t="s">
        <v>4042</v>
      </c>
      <c r="T2" s="22" t="s">
        <v>4043</v>
      </c>
      <c r="U2" s="22" t="s">
        <v>55</v>
      </c>
      <c r="V2" s="24"/>
      <c r="W2" s="22"/>
      <c r="X2" s="22"/>
      <c r="Y2" s="27"/>
      <c r="Z2" s="24"/>
      <c r="AA2" s="22"/>
      <c r="AB2" s="22"/>
      <c r="AC2" s="22"/>
      <c r="AD2" s="22"/>
      <c r="AE2" s="24"/>
      <c r="AF2" s="25"/>
    </row>
    <row r="3">
      <c r="A3" s="21" t="s">
        <v>4025</v>
      </c>
      <c r="B3" s="22" t="s">
        <v>7871</v>
      </c>
      <c r="C3" s="22" t="s">
        <v>294</v>
      </c>
      <c r="D3" s="26">
        <v>45999.0</v>
      </c>
      <c r="E3" s="22" t="s">
        <v>196</v>
      </c>
      <c r="F3" s="22" t="s">
        <v>4026</v>
      </c>
      <c r="G3" s="22">
        <v>1.0</v>
      </c>
      <c r="H3" s="22" t="s">
        <v>7872</v>
      </c>
      <c r="I3" s="22" t="s">
        <v>4027</v>
      </c>
      <c r="J3" s="22" t="s">
        <v>4025</v>
      </c>
      <c r="K3" s="22" t="s">
        <v>7873</v>
      </c>
      <c r="L3" s="24"/>
      <c r="M3" s="22" t="s">
        <v>7874</v>
      </c>
      <c r="N3" s="24"/>
      <c r="O3" s="22" t="s">
        <v>90</v>
      </c>
      <c r="P3" s="22">
        <v>3.2670782947651E13</v>
      </c>
      <c r="Q3" s="24"/>
      <c r="R3" s="24"/>
      <c r="S3" s="22" t="s">
        <v>4023</v>
      </c>
      <c r="T3" s="22" t="s">
        <v>4024</v>
      </c>
      <c r="U3" s="22" t="s">
        <v>55</v>
      </c>
      <c r="V3" s="24"/>
      <c r="W3" s="22"/>
      <c r="X3" s="22"/>
      <c r="Y3" s="27"/>
      <c r="Z3" s="24"/>
      <c r="AA3" s="22"/>
      <c r="AB3" s="22"/>
      <c r="AC3" s="22"/>
      <c r="AD3" s="22"/>
      <c r="AE3" s="24"/>
      <c r="AF3" s="25"/>
    </row>
    <row r="4">
      <c r="A4" s="21" t="s">
        <v>4044</v>
      </c>
      <c r="B4" s="22" t="s">
        <v>7875</v>
      </c>
      <c r="C4" s="22" t="s">
        <v>1284</v>
      </c>
      <c r="D4" s="26">
        <v>46000.0</v>
      </c>
      <c r="E4" s="22" t="s">
        <v>149</v>
      </c>
      <c r="F4" s="22" t="s">
        <v>4045</v>
      </c>
      <c r="G4" s="22">
        <v>1.0</v>
      </c>
      <c r="H4" s="22" t="s">
        <v>7868</v>
      </c>
      <c r="I4" s="22" t="s">
        <v>4046</v>
      </c>
      <c r="J4" s="22" t="s">
        <v>4044</v>
      </c>
      <c r="K4" s="22" t="s">
        <v>7876</v>
      </c>
      <c r="L4" s="24"/>
      <c r="M4" s="22" t="s">
        <v>7870</v>
      </c>
      <c r="N4" s="24"/>
      <c r="O4" s="22" t="s">
        <v>90</v>
      </c>
      <c r="P4" s="22">
        <v>3.2694400975171E13</v>
      </c>
      <c r="Q4" s="24"/>
      <c r="R4" s="24"/>
      <c r="S4" s="22" t="s">
        <v>4271</v>
      </c>
      <c r="T4" s="22" t="s">
        <v>4272</v>
      </c>
      <c r="U4" s="22" t="s">
        <v>55</v>
      </c>
      <c r="V4" s="24"/>
      <c r="W4" s="22"/>
      <c r="X4" s="22"/>
      <c r="Y4" s="27"/>
      <c r="Z4" s="24"/>
      <c r="AA4" s="22"/>
      <c r="AB4" s="22"/>
      <c r="AC4" s="22"/>
      <c r="AD4" s="22"/>
      <c r="AE4" s="24"/>
      <c r="AF4" s="25"/>
    </row>
    <row r="5">
      <c r="A5" s="21" t="s">
        <v>4398</v>
      </c>
      <c r="B5" s="22" t="s">
        <v>7877</v>
      </c>
      <c r="C5" s="22" t="s">
        <v>294</v>
      </c>
      <c r="D5" s="26">
        <v>45992.0</v>
      </c>
      <c r="E5" s="22" t="s">
        <v>1400</v>
      </c>
      <c r="F5" s="22" t="s">
        <v>4399</v>
      </c>
      <c r="G5" s="22">
        <v>1.0</v>
      </c>
      <c r="H5" s="22" t="s">
        <v>7878</v>
      </c>
      <c r="I5" s="22" t="s">
        <v>4400</v>
      </c>
      <c r="J5" s="22" t="s">
        <v>4398</v>
      </c>
      <c r="K5" s="22" t="s">
        <v>7879</v>
      </c>
      <c r="L5" s="24"/>
      <c r="M5" s="22" t="s">
        <v>7880</v>
      </c>
      <c r="N5" s="24"/>
      <c r="O5" s="22" t="s">
        <v>90</v>
      </c>
      <c r="P5" s="22">
        <v>3.2692666499395E13</v>
      </c>
      <c r="Q5" s="24"/>
      <c r="R5" s="24"/>
      <c r="S5" s="22" t="s">
        <v>4396</v>
      </c>
      <c r="T5" s="22" t="s">
        <v>4397</v>
      </c>
      <c r="U5" s="22" t="s">
        <v>55</v>
      </c>
      <c r="V5" s="24"/>
      <c r="W5" s="22"/>
      <c r="X5" s="22"/>
      <c r="Y5" s="27"/>
      <c r="Z5" s="24"/>
      <c r="AA5" s="22"/>
      <c r="AB5" s="22"/>
      <c r="AC5" s="22"/>
      <c r="AD5" s="22"/>
      <c r="AE5" s="24"/>
      <c r="AF5" s="25"/>
    </row>
    <row r="6">
      <c r="A6" s="21" t="s">
        <v>4025</v>
      </c>
      <c r="B6" s="22" t="s">
        <v>7881</v>
      </c>
      <c r="C6" s="22" t="s">
        <v>287</v>
      </c>
      <c r="D6" s="23">
        <v>46001.0</v>
      </c>
      <c r="E6" s="22" t="s">
        <v>181</v>
      </c>
      <c r="F6" s="22" t="s">
        <v>4026</v>
      </c>
      <c r="G6" s="22">
        <v>1.0</v>
      </c>
      <c r="H6" s="22" t="s">
        <v>7872</v>
      </c>
      <c r="I6" s="22" t="s">
        <v>4027</v>
      </c>
      <c r="J6" s="22" t="s">
        <v>4025</v>
      </c>
      <c r="K6" s="22" t="s">
        <v>7882</v>
      </c>
      <c r="L6" s="24"/>
      <c r="M6" s="22" t="s">
        <v>7874</v>
      </c>
      <c r="N6" s="24"/>
      <c r="O6" s="22" t="s">
        <v>90</v>
      </c>
      <c r="P6" s="22">
        <v>3.2684580962627E13</v>
      </c>
      <c r="Q6" s="24"/>
      <c r="R6" s="24"/>
      <c r="S6" s="22" t="s">
        <v>4118</v>
      </c>
      <c r="T6" s="22" t="s">
        <v>4119</v>
      </c>
      <c r="U6" s="22" t="s">
        <v>55</v>
      </c>
      <c r="V6" s="24"/>
      <c r="W6" s="22"/>
      <c r="X6" s="22"/>
      <c r="Y6" s="27"/>
      <c r="Z6" s="24"/>
      <c r="AA6" s="22"/>
      <c r="AB6" s="22"/>
      <c r="AC6" s="22"/>
      <c r="AD6" s="22"/>
      <c r="AE6" s="24"/>
      <c r="AF6" s="25"/>
    </row>
    <row r="7">
      <c r="A7" s="21" t="s">
        <v>4105</v>
      </c>
      <c r="B7" s="22" t="s">
        <v>7883</v>
      </c>
      <c r="C7" s="22" t="s">
        <v>287</v>
      </c>
      <c r="D7" s="26">
        <v>45994.0</v>
      </c>
      <c r="E7" s="22" t="s">
        <v>181</v>
      </c>
      <c r="F7" s="22" t="s">
        <v>4026</v>
      </c>
      <c r="G7" s="22">
        <v>1.0</v>
      </c>
      <c r="H7" s="22" t="s">
        <v>7872</v>
      </c>
      <c r="I7" s="22" t="s">
        <v>4106</v>
      </c>
      <c r="J7" s="22" t="s">
        <v>4105</v>
      </c>
      <c r="K7" s="22" t="s">
        <v>7884</v>
      </c>
      <c r="L7" s="24"/>
      <c r="M7" s="22" t="s">
        <v>7874</v>
      </c>
      <c r="N7" s="24"/>
      <c r="O7" s="22" t="s">
        <v>90</v>
      </c>
      <c r="P7" s="22">
        <v>3.2684220219715E13</v>
      </c>
      <c r="Q7" s="24"/>
      <c r="R7" s="24"/>
      <c r="S7" s="22" t="s">
        <v>4103</v>
      </c>
      <c r="T7" s="22" t="s">
        <v>4104</v>
      </c>
      <c r="U7" s="22" t="s">
        <v>54</v>
      </c>
      <c r="V7" s="24"/>
      <c r="W7" s="22"/>
      <c r="X7" s="22"/>
      <c r="Y7" s="27"/>
      <c r="Z7" s="24"/>
      <c r="AA7" s="22"/>
      <c r="AB7" s="22"/>
      <c r="AC7" s="22"/>
      <c r="AD7" s="22"/>
      <c r="AE7" s="24"/>
      <c r="AF7" s="25"/>
    </row>
    <row r="8">
      <c r="A8" s="21" t="s">
        <v>4324</v>
      </c>
      <c r="B8" s="22" t="s">
        <v>7885</v>
      </c>
      <c r="C8" s="22" t="s">
        <v>1284</v>
      </c>
      <c r="D8" s="26">
        <v>45993.0</v>
      </c>
      <c r="E8" s="22" t="s">
        <v>981</v>
      </c>
      <c r="F8" s="22" t="s">
        <v>4325</v>
      </c>
      <c r="G8" s="22">
        <v>1.0</v>
      </c>
      <c r="H8" s="22" t="s">
        <v>7886</v>
      </c>
      <c r="I8" s="22" t="s">
        <v>4326</v>
      </c>
      <c r="J8" s="22" t="s">
        <v>4324</v>
      </c>
      <c r="K8" s="22" t="s">
        <v>7887</v>
      </c>
      <c r="L8" s="24"/>
      <c r="M8" s="22" t="s">
        <v>7888</v>
      </c>
      <c r="N8" s="24"/>
      <c r="O8" s="22" t="s">
        <v>90</v>
      </c>
      <c r="P8" s="22">
        <v>3.2694631661891E13</v>
      </c>
      <c r="Q8" s="24"/>
      <c r="R8" s="24"/>
      <c r="S8" s="22" t="s">
        <v>4322</v>
      </c>
      <c r="T8" s="22" t="s">
        <v>4323</v>
      </c>
      <c r="U8" s="22" t="s">
        <v>54</v>
      </c>
      <c r="V8" s="24"/>
      <c r="W8" s="22"/>
      <c r="X8" s="22"/>
      <c r="Y8" s="27"/>
      <c r="Z8" s="24"/>
      <c r="AA8" s="22"/>
      <c r="AB8" s="22"/>
      <c r="AC8" s="22"/>
      <c r="AD8" s="22"/>
      <c r="AE8" s="24"/>
      <c r="AF8" s="25"/>
    </row>
    <row r="9">
      <c r="A9" s="21" t="s">
        <v>4521</v>
      </c>
      <c r="B9" s="22" t="s">
        <v>7889</v>
      </c>
      <c r="C9" s="22" t="s">
        <v>294</v>
      </c>
      <c r="D9" s="26">
        <v>45992.0</v>
      </c>
      <c r="E9" s="22" t="s">
        <v>196</v>
      </c>
      <c r="F9" s="22" t="s">
        <v>4399</v>
      </c>
      <c r="G9" s="22">
        <v>1.0</v>
      </c>
      <c r="H9" s="22" t="s">
        <v>7878</v>
      </c>
      <c r="I9" s="22" t="s">
        <v>4522</v>
      </c>
      <c r="J9" s="22" t="s">
        <v>4521</v>
      </c>
      <c r="K9" s="22" t="s">
        <v>7890</v>
      </c>
      <c r="L9" s="24"/>
      <c r="M9" s="22" t="s">
        <v>7880</v>
      </c>
      <c r="N9" s="24"/>
      <c r="O9" s="22" t="s">
        <v>90</v>
      </c>
      <c r="P9" s="22">
        <v>3.2694838460739E13</v>
      </c>
      <c r="Q9" s="24"/>
      <c r="R9" s="24"/>
      <c r="S9" s="22" t="s">
        <v>4519</v>
      </c>
      <c r="T9" s="22" t="s">
        <v>4520</v>
      </c>
      <c r="U9" s="22" t="s">
        <v>54</v>
      </c>
      <c r="V9" s="24"/>
      <c r="W9" s="22"/>
      <c r="X9" s="22"/>
      <c r="Y9" s="27"/>
      <c r="Z9" s="24"/>
      <c r="AA9" s="22"/>
      <c r="AB9" s="22"/>
      <c r="AC9" s="22"/>
      <c r="AD9" s="22"/>
      <c r="AE9" s="24"/>
      <c r="AF9" s="25"/>
    </row>
    <row r="10">
      <c r="A10" s="21" t="s">
        <v>4025</v>
      </c>
      <c r="B10" s="22" t="s">
        <v>7891</v>
      </c>
      <c r="C10" s="22" t="s">
        <v>294</v>
      </c>
      <c r="D10" s="26">
        <v>45999.0</v>
      </c>
      <c r="E10" s="22" t="s">
        <v>497</v>
      </c>
      <c r="F10" s="22" t="s">
        <v>4026</v>
      </c>
      <c r="G10" s="22">
        <v>1.0</v>
      </c>
      <c r="H10" s="22" t="s">
        <v>7872</v>
      </c>
      <c r="I10" s="22" t="s">
        <v>4027</v>
      </c>
      <c r="J10" s="22" t="s">
        <v>4025</v>
      </c>
      <c r="K10" s="22" t="s">
        <v>7892</v>
      </c>
      <c r="L10" s="24"/>
      <c r="M10" s="22" t="s">
        <v>7874</v>
      </c>
      <c r="N10" s="24"/>
      <c r="O10" s="22" t="s">
        <v>90</v>
      </c>
      <c r="P10" s="22">
        <v>3.2696706793795E13</v>
      </c>
      <c r="Q10" s="24"/>
      <c r="R10" s="24"/>
      <c r="S10" s="22" t="s">
        <v>4551</v>
      </c>
      <c r="T10" s="22" t="s">
        <v>4552</v>
      </c>
      <c r="U10" s="22" t="s">
        <v>55</v>
      </c>
      <c r="V10" s="24"/>
      <c r="W10" s="22"/>
      <c r="X10" s="22"/>
      <c r="Y10" s="27"/>
      <c r="Z10" s="24"/>
      <c r="AA10" s="22"/>
      <c r="AB10" s="22"/>
      <c r="AC10" s="22"/>
      <c r="AD10" s="22"/>
      <c r="AE10" s="24"/>
      <c r="AF10" s="25"/>
    </row>
    <row r="11">
      <c r="A11" s="21" t="s">
        <v>4565</v>
      </c>
      <c r="B11" s="22" t="s">
        <v>7893</v>
      </c>
      <c r="C11" s="22" t="s">
        <v>294</v>
      </c>
      <c r="D11" s="26">
        <v>45992.0</v>
      </c>
      <c r="E11" s="22" t="s">
        <v>149</v>
      </c>
      <c r="F11" s="22" t="s">
        <v>4346</v>
      </c>
      <c r="G11" s="22">
        <v>1.0</v>
      </c>
      <c r="H11" s="22" t="s">
        <v>7894</v>
      </c>
      <c r="I11" s="22" t="s">
        <v>4566</v>
      </c>
      <c r="J11" s="22" t="s">
        <v>4565</v>
      </c>
      <c r="K11" s="22" t="s">
        <v>7895</v>
      </c>
      <c r="L11" s="24"/>
      <c r="M11" s="22" t="s">
        <v>7896</v>
      </c>
      <c r="N11" s="24"/>
      <c r="O11" s="22" t="s">
        <v>90</v>
      </c>
      <c r="P11" s="22">
        <v>3.2696827773251E13</v>
      </c>
      <c r="Q11" s="24"/>
      <c r="R11" s="24"/>
      <c r="S11" s="22" t="s">
        <v>4563</v>
      </c>
      <c r="T11" s="22" t="s">
        <v>4564</v>
      </c>
      <c r="U11" s="22" t="s">
        <v>54</v>
      </c>
      <c r="V11" s="24"/>
      <c r="W11" s="22"/>
      <c r="X11" s="22"/>
      <c r="Y11" s="27"/>
      <c r="Z11" s="24"/>
      <c r="AA11" s="22"/>
      <c r="AB11" s="22"/>
      <c r="AC11" s="22"/>
      <c r="AD11" s="22"/>
      <c r="AE11" s="24"/>
      <c r="AF11" s="25"/>
    </row>
    <row r="12">
      <c r="A12" s="21" t="s">
        <v>4345</v>
      </c>
      <c r="B12" s="22" t="s">
        <v>7897</v>
      </c>
      <c r="C12" s="22" t="s">
        <v>294</v>
      </c>
      <c r="D12" s="26">
        <v>45999.0</v>
      </c>
      <c r="E12" s="22" t="s">
        <v>1400</v>
      </c>
      <c r="F12" s="22" t="s">
        <v>4346</v>
      </c>
      <c r="G12" s="22">
        <v>1.0</v>
      </c>
      <c r="H12" s="22" t="s">
        <v>7894</v>
      </c>
      <c r="I12" s="22" t="s">
        <v>4347</v>
      </c>
      <c r="J12" s="22" t="s">
        <v>4345</v>
      </c>
      <c r="K12" s="22" t="s">
        <v>7898</v>
      </c>
      <c r="L12" s="24"/>
      <c r="M12" s="22" t="s">
        <v>7896</v>
      </c>
      <c r="N12" s="24"/>
      <c r="O12" s="22" t="s">
        <v>90</v>
      </c>
      <c r="P12" s="22">
        <v>3.2694761980227E13</v>
      </c>
      <c r="Q12" s="24"/>
      <c r="R12" s="24"/>
      <c r="S12" s="22" t="s">
        <v>4343</v>
      </c>
      <c r="T12" s="22" t="s">
        <v>4344</v>
      </c>
      <c r="U12" s="22" t="s">
        <v>55</v>
      </c>
      <c r="V12" s="24"/>
      <c r="W12" s="22"/>
      <c r="X12" s="22"/>
      <c r="Y12" s="27"/>
      <c r="Z12" s="24"/>
      <c r="AA12" s="22"/>
      <c r="AB12" s="22"/>
      <c r="AC12" s="22"/>
      <c r="AD12" s="22"/>
      <c r="AE12" s="24"/>
      <c r="AF12" s="25"/>
    </row>
    <row r="13">
      <c r="A13" s="21" t="s">
        <v>4398</v>
      </c>
      <c r="B13" s="22" t="s">
        <v>7899</v>
      </c>
      <c r="C13" s="22" t="s">
        <v>294</v>
      </c>
      <c r="D13" s="26">
        <v>45999.0</v>
      </c>
      <c r="E13" s="22" t="s">
        <v>192</v>
      </c>
      <c r="F13" s="22" t="s">
        <v>4399</v>
      </c>
      <c r="G13" s="22">
        <v>1.0</v>
      </c>
      <c r="H13" s="22" t="s">
        <v>7878</v>
      </c>
      <c r="I13" s="22" t="s">
        <v>4400</v>
      </c>
      <c r="J13" s="22" t="s">
        <v>4398</v>
      </c>
      <c r="K13" s="22" t="s">
        <v>7900</v>
      </c>
      <c r="L13" s="24"/>
      <c r="M13" s="22" t="s">
        <v>7880</v>
      </c>
      <c r="N13" s="24"/>
      <c r="O13" s="22" t="s">
        <v>90</v>
      </c>
      <c r="P13" s="22">
        <v>3.2699820998979E13</v>
      </c>
      <c r="Q13" s="24"/>
      <c r="R13" s="24"/>
      <c r="S13" s="22" t="s">
        <v>4661</v>
      </c>
      <c r="T13" s="22" t="s">
        <v>4505</v>
      </c>
      <c r="U13" s="22" t="s">
        <v>55</v>
      </c>
      <c r="V13" s="24"/>
      <c r="W13" s="22"/>
      <c r="X13" s="22"/>
      <c r="Y13" s="27"/>
      <c r="Z13" s="24"/>
      <c r="AA13" s="22"/>
      <c r="AB13" s="22"/>
      <c r="AC13" s="22"/>
      <c r="AD13" s="22"/>
      <c r="AE13" s="24"/>
      <c r="AF13" s="25"/>
    </row>
    <row r="14">
      <c r="A14" s="21" t="s">
        <v>4025</v>
      </c>
      <c r="B14" s="22" t="s">
        <v>7901</v>
      </c>
      <c r="C14" s="22" t="s">
        <v>294</v>
      </c>
      <c r="D14" s="26">
        <v>45992.0</v>
      </c>
      <c r="E14" s="22" t="s">
        <v>196</v>
      </c>
      <c r="F14" s="22" t="s">
        <v>4026</v>
      </c>
      <c r="G14" s="22">
        <v>1.0</v>
      </c>
      <c r="H14" s="22" t="s">
        <v>7872</v>
      </c>
      <c r="I14" s="22" t="s">
        <v>4027</v>
      </c>
      <c r="J14" s="22" t="s">
        <v>4025</v>
      </c>
      <c r="K14" s="22" t="s">
        <v>7902</v>
      </c>
      <c r="L14" s="24"/>
      <c r="M14" s="22" t="s">
        <v>7874</v>
      </c>
      <c r="N14" s="24"/>
      <c r="O14" s="22" t="s">
        <v>90</v>
      </c>
      <c r="P14" s="22">
        <v>3.2703478202691E13</v>
      </c>
      <c r="Q14" s="24"/>
      <c r="R14" s="24"/>
      <c r="S14" s="22" t="s">
        <v>4775</v>
      </c>
      <c r="T14" s="22" t="s">
        <v>4776</v>
      </c>
      <c r="U14" s="22" t="s">
        <v>55</v>
      </c>
      <c r="V14" s="24"/>
      <c r="W14" s="22"/>
      <c r="X14" s="22"/>
      <c r="Y14" s="27"/>
      <c r="Z14" s="24"/>
      <c r="AA14" s="22"/>
      <c r="AB14" s="22"/>
      <c r="AC14" s="22"/>
      <c r="AD14" s="22"/>
      <c r="AE14" s="24"/>
      <c r="AF14" s="25"/>
    </row>
    <row r="15">
      <c r="A15" s="21" t="s">
        <v>4324</v>
      </c>
      <c r="B15" s="22" t="s">
        <v>7903</v>
      </c>
      <c r="C15" s="22" t="s">
        <v>1284</v>
      </c>
      <c r="D15" s="26">
        <v>46000.0</v>
      </c>
      <c r="E15" s="22" t="s">
        <v>1400</v>
      </c>
      <c r="F15" s="22" t="s">
        <v>4325</v>
      </c>
      <c r="G15" s="22">
        <v>1.0</v>
      </c>
      <c r="H15" s="22" t="s">
        <v>7886</v>
      </c>
      <c r="I15" s="22" t="s">
        <v>4326</v>
      </c>
      <c r="J15" s="22" t="s">
        <v>4324</v>
      </c>
      <c r="K15" s="22" t="s">
        <v>7904</v>
      </c>
      <c r="L15" s="24"/>
      <c r="M15" s="22" t="s">
        <v>7888</v>
      </c>
      <c r="N15" s="24"/>
      <c r="O15" s="22" t="s">
        <v>90</v>
      </c>
      <c r="P15" s="22">
        <v>3.2704944079171E13</v>
      </c>
      <c r="Q15" s="24"/>
      <c r="R15" s="24"/>
      <c r="S15" s="22" t="s">
        <v>4834</v>
      </c>
      <c r="T15" s="22" t="s">
        <v>4835</v>
      </c>
      <c r="U15" s="22" t="s">
        <v>54</v>
      </c>
      <c r="V15" s="24"/>
      <c r="W15" s="22"/>
      <c r="X15" s="22"/>
      <c r="Y15" s="27"/>
      <c r="Z15" s="24"/>
      <c r="AA15" s="22"/>
      <c r="AB15" s="22"/>
      <c r="AC15" s="22"/>
      <c r="AD15" s="22"/>
      <c r="AE15" s="24"/>
      <c r="AF15" s="25"/>
    </row>
    <row r="16">
      <c r="A16" s="21" t="s">
        <v>4324</v>
      </c>
      <c r="B16" s="22" t="s">
        <v>7905</v>
      </c>
      <c r="C16" s="22" t="s">
        <v>1284</v>
      </c>
      <c r="D16" s="26">
        <v>45993.0</v>
      </c>
      <c r="E16" s="22" t="s">
        <v>149</v>
      </c>
      <c r="F16" s="22" t="s">
        <v>4325</v>
      </c>
      <c r="G16" s="22">
        <v>1.0</v>
      </c>
      <c r="H16" s="22" t="s">
        <v>7886</v>
      </c>
      <c r="I16" s="22" t="s">
        <v>4326</v>
      </c>
      <c r="J16" s="22" t="s">
        <v>4324</v>
      </c>
      <c r="K16" s="22" t="s">
        <v>7906</v>
      </c>
      <c r="L16" s="24"/>
      <c r="M16" s="22" t="s">
        <v>7888</v>
      </c>
      <c r="N16" s="24"/>
      <c r="O16" s="22" t="s">
        <v>90</v>
      </c>
      <c r="P16" s="22">
        <v>3.2709198676291E13</v>
      </c>
      <c r="Q16" s="24"/>
      <c r="R16" s="24"/>
      <c r="S16" s="22" t="s">
        <v>4916</v>
      </c>
      <c r="T16" s="22" t="s">
        <v>7907</v>
      </c>
      <c r="U16" s="22" t="s">
        <v>54</v>
      </c>
      <c r="V16" s="24"/>
      <c r="W16" s="22"/>
      <c r="X16" s="22"/>
      <c r="Y16" s="27"/>
      <c r="Z16" s="24"/>
      <c r="AA16" s="22"/>
      <c r="AB16" s="22"/>
      <c r="AC16" s="22"/>
      <c r="AD16" s="22"/>
      <c r="AE16" s="24"/>
      <c r="AF16" s="25"/>
    </row>
    <row r="17">
      <c r="A17" s="21" t="s">
        <v>4741</v>
      </c>
      <c r="B17" s="22" t="s">
        <v>7908</v>
      </c>
      <c r="C17" s="22" t="s">
        <v>202</v>
      </c>
      <c r="D17" s="26">
        <v>45996.0</v>
      </c>
      <c r="E17" s="22" t="s">
        <v>266</v>
      </c>
      <c r="F17" s="22" t="s">
        <v>4325</v>
      </c>
      <c r="G17" s="22">
        <v>1.0</v>
      </c>
      <c r="H17" s="22" t="s">
        <v>7886</v>
      </c>
      <c r="I17" s="22" t="s">
        <v>4742</v>
      </c>
      <c r="J17" s="22" t="s">
        <v>4741</v>
      </c>
      <c r="K17" s="22" t="s">
        <v>7909</v>
      </c>
      <c r="L17" s="24"/>
      <c r="M17" s="22" t="s">
        <v>7888</v>
      </c>
      <c r="N17" s="24"/>
      <c r="O17" s="22" t="s">
        <v>90</v>
      </c>
      <c r="P17" s="22">
        <v>3.2702268539203E13</v>
      </c>
      <c r="Q17" s="24"/>
      <c r="R17" s="24"/>
      <c r="S17" s="22" t="s">
        <v>4739</v>
      </c>
      <c r="T17" s="22" t="s">
        <v>4740</v>
      </c>
      <c r="U17" s="22" t="s">
        <v>55</v>
      </c>
      <c r="V17" s="24"/>
      <c r="W17" s="22"/>
      <c r="X17" s="22"/>
      <c r="Y17" s="27"/>
      <c r="Z17" s="24"/>
      <c r="AA17" s="22"/>
      <c r="AB17" s="22"/>
      <c r="AC17" s="22"/>
      <c r="AD17" s="22"/>
      <c r="AE17" s="24"/>
      <c r="AF17" s="25"/>
    </row>
    <row r="18">
      <c r="A18" s="21" t="s">
        <v>4521</v>
      </c>
      <c r="B18" s="22" t="s">
        <v>7910</v>
      </c>
      <c r="C18" s="22" t="s">
        <v>287</v>
      </c>
      <c r="D18" s="23">
        <v>46001.0</v>
      </c>
      <c r="E18" s="22" t="s">
        <v>181</v>
      </c>
      <c r="F18" s="22" t="s">
        <v>4399</v>
      </c>
      <c r="G18" s="22">
        <v>1.0</v>
      </c>
      <c r="H18" s="22" t="s">
        <v>7878</v>
      </c>
      <c r="I18" s="22" t="s">
        <v>4522</v>
      </c>
      <c r="J18" s="22" t="s">
        <v>4521</v>
      </c>
      <c r="K18" s="22" t="s">
        <v>7911</v>
      </c>
      <c r="L18" s="24"/>
      <c r="M18" s="22" t="s">
        <v>7880</v>
      </c>
      <c r="N18" s="24"/>
      <c r="O18" s="22" t="s">
        <v>90</v>
      </c>
      <c r="P18" s="22">
        <v>3.2702461247811E13</v>
      </c>
      <c r="Q18" s="24"/>
      <c r="R18" s="24"/>
      <c r="S18" s="22" t="s">
        <v>4748</v>
      </c>
      <c r="T18" s="22" t="s">
        <v>4749</v>
      </c>
      <c r="U18" s="22" t="s">
        <v>54</v>
      </c>
      <c r="V18" s="24"/>
      <c r="W18" s="22"/>
      <c r="X18" s="22"/>
      <c r="Y18" s="27"/>
      <c r="Z18" s="24"/>
      <c r="AA18" s="22"/>
      <c r="AB18" s="22"/>
      <c r="AC18" s="22"/>
      <c r="AD18" s="22"/>
      <c r="AE18" s="24"/>
      <c r="AF18" s="25"/>
    </row>
    <row r="19">
      <c r="A19" s="21" t="s">
        <v>4044</v>
      </c>
      <c r="B19" s="22" t="s">
        <v>7912</v>
      </c>
      <c r="C19" s="22" t="s">
        <v>1284</v>
      </c>
      <c r="D19" s="26">
        <v>45993.0</v>
      </c>
      <c r="E19" s="22" t="s">
        <v>149</v>
      </c>
      <c r="F19" s="22" t="s">
        <v>4045</v>
      </c>
      <c r="G19" s="22">
        <v>1.0</v>
      </c>
      <c r="H19" s="22" t="s">
        <v>7868</v>
      </c>
      <c r="I19" s="22" t="s">
        <v>4046</v>
      </c>
      <c r="J19" s="22" t="s">
        <v>4044</v>
      </c>
      <c r="K19" s="22" t="s">
        <v>7913</v>
      </c>
      <c r="L19" s="24"/>
      <c r="M19" s="22" t="s">
        <v>7870</v>
      </c>
      <c r="N19" s="24"/>
      <c r="O19" s="22" t="s">
        <v>90</v>
      </c>
      <c r="P19" s="22">
        <v>3.2702724112707E13</v>
      </c>
      <c r="Q19" s="24"/>
      <c r="R19" s="24"/>
      <c r="S19" s="22" t="s">
        <v>4754</v>
      </c>
      <c r="T19" s="22" t="s">
        <v>4755</v>
      </c>
      <c r="U19" s="22" t="s">
        <v>55</v>
      </c>
      <c r="V19" s="24"/>
      <c r="W19" s="22"/>
      <c r="X19" s="22"/>
      <c r="Y19" s="22"/>
      <c r="Z19" s="22"/>
      <c r="AA19" s="22"/>
      <c r="AB19" s="24"/>
      <c r="AC19" s="22"/>
      <c r="AD19" s="22"/>
      <c r="AE19" s="24"/>
      <c r="AF19" s="25"/>
    </row>
    <row r="20">
      <c r="A20" s="21" t="s">
        <v>4565</v>
      </c>
      <c r="B20" s="22" t="s">
        <v>7914</v>
      </c>
      <c r="C20" s="22" t="s">
        <v>336</v>
      </c>
      <c r="D20" s="26">
        <v>45995.0</v>
      </c>
      <c r="E20" s="22" t="s">
        <v>266</v>
      </c>
      <c r="F20" s="22" t="s">
        <v>4346</v>
      </c>
      <c r="G20" s="22">
        <v>1.0</v>
      </c>
      <c r="H20" s="22" t="s">
        <v>7894</v>
      </c>
      <c r="I20" s="22" t="s">
        <v>4566</v>
      </c>
      <c r="J20" s="22" t="s">
        <v>4565</v>
      </c>
      <c r="K20" s="22" t="s">
        <v>7915</v>
      </c>
      <c r="L20" s="24"/>
      <c r="M20" s="22" t="s">
        <v>7896</v>
      </c>
      <c r="N20" s="24"/>
      <c r="O20" s="22" t="s">
        <v>90</v>
      </c>
      <c r="P20" s="22">
        <v>3.2709403214147E13</v>
      </c>
      <c r="Q20" s="24"/>
      <c r="R20" s="24"/>
      <c r="S20" s="22" t="s">
        <v>3674</v>
      </c>
      <c r="T20" s="22" t="s">
        <v>4923</v>
      </c>
      <c r="U20" s="22" t="s">
        <v>54</v>
      </c>
      <c r="V20" s="24"/>
      <c r="W20" s="22"/>
      <c r="X20" s="22"/>
      <c r="Y20" s="22"/>
      <c r="Z20" s="22"/>
      <c r="AA20" s="22"/>
      <c r="AB20" s="24"/>
      <c r="AC20" s="22"/>
      <c r="AD20" s="22"/>
      <c r="AE20" s="24"/>
      <c r="AF20" s="25"/>
    </row>
    <row r="21">
      <c r="A21" s="21" t="s">
        <v>4324</v>
      </c>
      <c r="B21" s="22" t="s">
        <v>7916</v>
      </c>
      <c r="C21" s="22" t="s">
        <v>202</v>
      </c>
      <c r="D21" s="26">
        <v>45996.0</v>
      </c>
      <c r="E21" s="22" t="s">
        <v>981</v>
      </c>
      <c r="F21" s="22" t="s">
        <v>4325</v>
      </c>
      <c r="G21" s="22">
        <v>1.0</v>
      </c>
      <c r="H21" s="22" t="s">
        <v>7886</v>
      </c>
      <c r="I21" s="22" t="s">
        <v>4326</v>
      </c>
      <c r="J21" s="22" t="s">
        <v>4324</v>
      </c>
      <c r="K21" s="22" t="s">
        <v>7917</v>
      </c>
      <c r="L21" s="24"/>
      <c r="M21" s="22" t="s">
        <v>7888</v>
      </c>
      <c r="N21" s="24"/>
      <c r="O21" s="22" t="s">
        <v>90</v>
      </c>
      <c r="P21" s="22">
        <v>3.2724451426627E13</v>
      </c>
      <c r="Q21" s="24"/>
      <c r="R21" s="24"/>
      <c r="S21" s="22" t="s">
        <v>4118</v>
      </c>
      <c r="T21" s="22" t="s">
        <v>5124</v>
      </c>
      <c r="U21" s="22" t="s">
        <v>54</v>
      </c>
      <c r="V21" s="24"/>
      <c r="W21" s="22"/>
      <c r="X21" s="22"/>
      <c r="Y21" s="22"/>
      <c r="Z21" s="22"/>
      <c r="AA21" s="22"/>
      <c r="AB21" s="24"/>
      <c r="AC21" s="22"/>
      <c r="AD21" s="22"/>
      <c r="AE21" s="24"/>
      <c r="AF21" s="25"/>
    </row>
    <row r="22">
      <c r="A22" s="21" t="s">
        <v>5058</v>
      </c>
      <c r="B22" s="22" t="s">
        <v>7918</v>
      </c>
      <c r="C22" s="22" t="s">
        <v>336</v>
      </c>
      <c r="D22" s="23">
        <v>46002.0</v>
      </c>
      <c r="E22" s="22" t="s">
        <v>149</v>
      </c>
      <c r="F22" s="22" t="s">
        <v>4045</v>
      </c>
      <c r="G22" s="22">
        <v>1.0</v>
      </c>
      <c r="H22" s="22" t="s">
        <v>7868</v>
      </c>
      <c r="I22" s="22" t="s">
        <v>5059</v>
      </c>
      <c r="J22" s="22" t="s">
        <v>5058</v>
      </c>
      <c r="K22" s="22" t="s">
        <v>7919</v>
      </c>
      <c r="L22" s="24"/>
      <c r="M22" s="22" t="s">
        <v>7870</v>
      </c>
      <c r="N22" s="24"/>
      <c r="O22" s="22" t="s">
        <v>90</v>
      </c>
      <c r="P22" s="22">
        <v>3.2721813537091E13</v>
      </c>
      <c r="Q22" s="24"/>
      <c r="R22" s="24"/>
      <c r="S22" s="22" t="s">
        <v>4959</v>
      </c>
      <c r="T22" s="22" t="s">
        <v>7920</v>
      </c>
      <c r="U22" s="22" t="s">
        <v>54</v>
      </c>
      <c r="V22" s="24"/>
      <c r="W22" s="22"/>
      <c r="X22" s="22"/>
      <c r="Y22" s="22"/>
      <c r="Z22" s="22"/>
      <c r="AA22" s="22"/>
      <c r="AB22" s="24"/>
      <c r="AC22" s="22"/>
      <c r="AD22" s="22"/>
      <c r="AE22" s="24"/>
      <c r="AF22" s="25"/>
    </row>
    <row r="23">
      <c r="A23" s="21" t="s">
        <v>4345</v>
      </c>
      <c r="B23" s="22" t="s">
        <v>7921</v>
      </c>
      <c r="C23" s="22" t="s">
        <v>294</v>
      </c>
      <c r="D23" s="26">
        <v>45999.0</v>
      </c>
      <c r="E23" s="22" t="s">
        <v>149</v>
      </c>
      <c r="F23" s="22" t="s">
        <v>4346</v>
      </c>
      <c r="G23" s="22">
        <v>1.0</v>
      </c>
      <c r="H23" s="22" t="s">
        <v>7894</v>
      </c>
      <c r="I23" s="22" t="s">
        <v>4347</v>
      </c>
      <c r="J23" s="22" t="s">
        <v>4345</v>
      </c>
      <c r="K23" s="22" t="s">
        <v>7922</v>
      </c>
      <c r="L23" s="24"/>
      <c r="M23" s="22" t="s">
        <v>7896</v>
      </c>
      <c r="N23" s="24"/>
      <c r="O23" s="22" t="s">
        <v>90</v>
      </c>
      <c r="P23" s="22">
        <v>3.2725883846979E13</v>
      </c>
      <c r="Q23" s="24"/>
      <c r="R23" s="24"/>
      <c r="S23" s="22" t="s">
        <v>4297</v>
      </c>
      <c r="T23" s="22" t="s">
        <v>5191</v>
      </c>
      <c r="U23" s="22" t="s">
        <v>55</v>
      </c>
      <c r="V23" s="24"/>
      <c r="W23" s="22"/>
      <c r="X23" s="22"/>
      <c r="Y23" s="22"/>
      <c r="Z23" s="22"/>
      <c r="AA23" s="22"/>
      <c r="AB23" s="24"/>
      <c r="AC23" s="22"/>
      <c r="AD23" s="22"/>
      <c r="AE23" s="24"/>
      <c r="AF23" s="25"/>
    </row>
    <row r="24">
      <c r="A24" s="21" t="s">
        <v>4741</v>
      </c>
      <c r="B24" s="22" t="s">
        <v>7905</v>
      </c>
      <c r="C24" s="22" t="s">
        <v>1284</v>
      </c>
      <c r="D24" s="26">
        <v>45993.0</v>
      </c>
      <c r="E24" s="22" t="s">
        <v>149</v>
      </c>
      <c r="F24" s="22" t="s">
        <v>4325</v>
      </c>
      <c r="G24" s="22">
        <v>1.0</v>
      </c>
      <c r="H24" s="22" t="s">
        <v>7886</v>
      </c>
      <c r="I24" s="22" t="s">
        <v>4742</v>
      </c>
      <c r="J24" s="22" t="s">
        <v>4741</v>
      </c>
      <c r="K24" s="22" t="s">
        <v>7906</v>
      </c>
      <c r="L24" s="24"/>
      <c r="M24" s="22" t="s">
        <v>7888</v>
      </c>
      <c r="N24" s="24"/>
      <c r="O24" s="22" t="s">
        <v>90</v>
      </c>
      <c r="P24" s="22">
        <v>3.2726343287107E13</v>
      </c>
      <c r="Q24" s="24"/>
      <c r="R24" s="24"/>
      <c r="S24" s="22" t="s">
        <v>5202</v>
      </c>
      <c r="T24" s="22" t="s">
        <v>5203</v>
      </c>
      <c r="U24" s="22" t="s">
        <v>55</v>
      </c>
      <c r="V24" s="24"/>
      <c r="W24" s="22"/>
      <c r="X24" s="22"/>
      <c r="Y24" s="22"/>
      <c r="Z24" s="22"/>
      <c r="AA24" s="22"/>
      <c r="AB24" s="24"/>
      <c r="AC24" s="22"/>
      <c r="AD24" s="22"/>
      <c r="AE24" s="24"/>
      <c r="AF24" s="25"/>
    </row>
    <row r="25">
      <c r="A25" s="21" t="s">
        <v>4398</v>
      </c>
      <c r="B25" s="22" t="s">
        <v>7923</v>
      </c>
      <c r="C25" s="22" t="s">
        <v>294</v>
      </c>
      <c r="D25" s="26">
        <v>45992.0</v>
      </c>
      <c r="E25" s="22" t="s">
        <v>266</v>
      </c>
      <c r="F25" s="22" t="s">
        <v>4399</v>
      </c>
      <c r="G25" s="22">
        <v>1.0</v>
      </c>
      <c r="H25" s="22" t="s">
        <v>7878</v>
      </c>
      <c r="I25" s="22" t="s">
        <v>4400</v>
      </c>
      <c r="J25" s="22" t="s">
        <v>4398</v>
      </c>
      <c r="K25" s="22" t="s">
        <v>7924</v>
      </c>
      <c r="L25" s="24"/>
      <c r="M25" s="22" t="s">
        <v>7880</v>
      </c>
      <c r="N25" s="24"/>
      <c r="O25" s="22" t="s">
        <v>90</v>
      </c>
      <c r="P25" s="22">
        <v>3.2710591578435E13</v>
      </c>
      <c r="Q25" s="24"/>
      <c r="R25" s="24"/>
      <c r="S25" s="22" t="s">
        <v>4959</v>
      </c>
      <c r="T25" s="22" t="s">
        <v>4960</v>
      </c>
      <c r="U25" s="22" t="s">
        <v>55</v>
      </c>
      <c r="V25" s="24"/>
      <c r="W25" s="22"/>
      <c r="X25" s="22"/>
      <c r="Y25" s="22"/>
      <c r="Z25" s="22"/>
      <c r="AA25" s="22"/>
      <c r="AB25" s="24"/>
      <c r="AC25" s="22"/>
      <c r="AD25" s="22"/>
      <c r="AE25" s="24"/>
      <c r="AF25" s="25"/>
    </row>
    <row r="26">
      <c r="A26" s="21" t="s">
        <v>4324</v>
      </c>
      <c r="B26" s="22" t="s">
        <v>7925</v>
      </c>
      <c r="C26" s="22" t="s">
        <v>202</v>
      </c>
      <c r="D26" s="23">
        <v>46003.0</v>
      </c>
      <c r="E26" s="22" t="s">
        <v>149</v>
      </c>
      <c r="F26" s="22" t="s">
        <v>4325</v>
      </c>
      <c r="G26" s="22">
        <v>1.0</v>
      </c>
      <c r="H26" s="22" t="s">
        <v>7886</v>
      </c>
      <c r="I26" s="22" t="s">
        <v>4326</v>
      </c>
      <c r="J26" s="22" t="s">
        <v>4324</v>
      </c>
      <c r="K26" s="22" t="s">
        <v>7926</v>
      </c>
      <c r="L26" s="24"/>
      <c r="M26" s="22" t="s">
        <v>7888</v>
      </c>
      <c r="N26" s="24"/>
      <c r="O26" s="22" t="s">
        <v>90</v>
      </c>
      <c r="P26" s="22">
        <v>3.2724453261635E13</v>
      </c>
      <c r="Q26" s="24"/>
      <c r="R26" s="24"/>
      <c r="S26" s="22" t="s">
        <v>5127</v>
      </c>
      <c r="T26" s="22" t="s">
        <v>5128</v>
      </c>
      <c r="U26" s="22" t="s">
        <v>54</v>
      </c>
      <c r="V26" s="24"/>
      <c r="W26" s="22"/>
      <c r="X26" s="22"/>
      <c r="Y26" s="22"/>
      <c r="Z26" s="22"/>
      <c r="AA26" s="22"/>
      <c r="AB26" s="24"/>
      <c r="AC26" s="22"/>
      <c r="AD26" s="22"/>
      <c r="AE26" s="24"/>
      <c r="AF26" s="25"/>
    </row>
    <row r="27">
      <c r="A27" s="21" t="s">
        <v>4025</v>
      </c>
      <c r="B27" s="22" t="s">
        <v>7891</v>
      </c>
      <c r="C27" s="22" t="s">
        <v>294</v>
      </c>
      <c r="D27" s="26">
        <v>45999.0</v>
      </c>
      <c r="E27" s="22" t="s">
        <v>497</v>
      </c>
      <c r="F27" s="22" t="s">
        <v>4026</v>
      </c>
      <c r="G27" s="22">
        <v>1.0</v>
      </c>
      <c r="H27" s="22" t="s">
        <v>7872</v>
      </c>
      <c r="I27" s="22" t="s">
        <v>4027</v>
      </c>
      <c r="J27" s="22" t="s">
        <v>4025</v>
      </c>
      <c r="K27" s="22" t="s">
        <v>7892</v>
      </c>
      <c r="L27" s="24"/>
      <c r="M27" s="22" t="s">
        <v>7874</v>
      </c>
      <c r="N27" s="24"/>
      <c r="O27" s="22" t="s">
        <v>90</v>
      </c>
      <c r="P27" s="22">
        <v>3.2723183698243E13</v>
      </c>
      <c r="Q27" s="24"/>
      <c r="R27" s="24"/>
      <c r="S27" s="22" t="s">
        <v>4806</v>
      </c>
      <c r="T27" s="22" t="s">
        <v>5085</v>
      </c>
      <c r="U27" s="22" t="s">
        <v>55</v>
      </c>
      <c r="V27" s="24"/>
      <c r="W27" s="22"/>
      <c r="X27" s="22"/>
      <c r="Y27" s="22"/>
      <c r="Z27" s="22"/>
      <c r="AA27" s="22"/>
      <c r="AB27" s="24"/>
      <c r="AC27" s="22"/>
      <c r="AD27" s="22"/>
      <c r="AE27" s="24"/>
      <c r="AF27" s="25"/>
    </row>
    <row r="28">
      <c r="A28" s="21" t="s">
        <v>4521</v>
      </c>
      <c r="B28" s="22" t="s">
        <v>7889</v>
      </c>
      <c r="C28" s="22" t="s">
        <v>294</v>
      </c>
      <c r="D28" s="26">
        <v>45992.0</v>
      </c>
      <c r="E28" s="22" t="s">
        <v>196</v>
      </c>
      <c r="F28" s="22" t="s">
        <v>4399</v>
      </c>
      <c r="G28" s="22">
        <v>1.0</v>
      </c>
      <c r="H28" s="22" t="s">
        <v>7878</v>
      </c>
      <c r="I28" s="22" t="s">
        <v>4522</v>
      </c>
      <c r="J28" s="22" t="s">
        <v>4521</v>
      </c>
      <c r="K28" s="22" t="s">
        <v>7890</v>
      </c>
      <c r="L28" s="24"/>
      <c r="M28" s="22" t="s">
        <v>7880</v>
      </c>
      <c r="N28" s="24"/>
      <c r="O28" s="22" t="s">
        <v>90</v>
      </c>
      <c r="P28" s="22">
        <v>3.2727758307651E13</v>
      </c>
      <c r="Q28" s="24"/>
      <c r="R28" s="24"/>
      <c r="S28" s="22" t="s">
        <v>5245</v>
      </c>
      <c r="T28" s="22" t="s">
        <v>5246</v>
      </c>
      <c r="U28" s="22" t="s">
        <v>54</v>
      </c>
      <c r="V28" s="24"/>
      <c r="W28" s="22"/>
      <c r="X28" s="22"/>
      <c r="Y28" s="22"/>
      <c r="Z28" s="22"/>
      <c r="AA28" s="22"/>
      <c r="AB28" s="24"/>
      <c r="AC28" s="22"/>
      <c r="AD28" s="22"/>
      <c r="AE28" s="24"/>
      <c r="AF28" s="25"/>
    </row>
    <row r="29">
      <c r="A29" s="21" t="s">
        <v>4521</v>
      </c>
      <c r="B29" s="22" t="s">
        <v>7927</v>
      </c>
      <c r="C29" s="22" t="s">
        <v>294</v>
      </c>
      <c r="D29" s="26">
        <v>45992.0</v>
      </c>
      <c r="E29" s="22" t="s">
        <v>3353</v>
      </c>
      <c r="F29" s="22" t="s">
        <v>4399</v>
      </c>
      <c r="G29" s="22">
        <v>1.0</v>
      </c>
      <c r="H29" s="22" t="s">
        <v>7878</v>
      </c>
      <c r="I29" s="22" t="s">
        <v>4522</v>
      </c>
      <c r="J29" s="22" t="s">
        <v>4521</v>
      </c>
      <c r="K29" s="22" t="s">
        <v>7928</v>
      </c>
      <c r="L29" s="24"/>
      <c r="M29" s="22" t="s">
        <v>7880</v>
      </c>
      <c r="N29" s="24"/>
      <c r="O29" s="22" t="s">
        <v>90</v>
      </c>
      <c r="P29" s="22">
        <v>3.2730789413187E13</v>
      </c>
      <c r="Q29" s="24"/>
      <c r="R29" s="24"/>
      <c r="S29" s="22" t="s">
        <v>5447</v>
      </c>
      <c r="T29" s="22" t="s">
        <v>5448</v>
      </c>
      <c r="U29" s="22" t="s">
        <v>54</v>
      </c>
      <c r="V29" s="24"/>
      <c r="W29" s="22"/>
      <c r="X29" s="22"/>
      <c r="Y29" s="22"/>
      <c r="Z29" s="22"/>
      <c r="AA29" s="22"/>
      <c r="AB29" s="24"/>
      <c r="AC29" s="22"/>
      <c r="AD29" s="22"/>
      <c r="AE29" s="24"/>
      <c r="AF29" s="25"/>
    </row>
    <row r="30">
      <c r="A30" s="21" t="s">
        <v>4025</v>
      </c>
      <c r="B30" s="22" t="s">
        <v>7929</v>
      </c>
      <c r="C30" s="22" t="s">
        <v>294</v>
      </c>
      <c r="D30" s="26">
        <v>45992.0</v>
      </c>
      <c r="E30" s="22" t="s">
        <v>497</v>
      </c>
      <c r="F30" s="22" t="s">
        <v>4026</v>
      </c>
      <c r="G30" s="22">
        <v>1.0</v>
      </c>
      <c r="H30" s="22" t="s">
        <v>7872</v>
      </c>
      <c r="I30" s="22" t="s">
        <v>4027</v>
      </c>
      <c r="J30" s="22" t="s">
        <v>4025</v>
      </c>
      <c r="K30" s="22" t="s">
        <v>7930</v>
      </c>
      <c r="L30" s="24"/>
      <c r="M30" s="22" t="s">
        <v>7874</v>
      </c>
      <c r="N30" s="24"/>
      <c r="O30" s="22" t="s">
        <v>90</v>
      </c>
      <c r="P30" s="22">
        <v>3.2731447099715E13</v>
      </c>
      <c r="Q30" s="24"/>
      <c r="R30" s="24"/>
      <c r="S30" s="22" t="s">
        <v>5549</v>
      </c>
      <c r="T30" s="22" t="s">
        <v>3826</v>
      </c>
      <c r="U30" s="22" t="s">
        <v>55</v>
      </c>
      <c r="V30" s="24"/>
      <c r="W30" s="22"/>
      <c r="X30" s="22"/>
      <c r="Y30" s="22"/>
      <c r="Z30" s="22"/>
      <c r="AA30" s="22"/>
      <c r="AB30" s="24"/>
      <c r="AC30" s="22"/>
      <c r="AD30" s="22"/>
      <c r="AE30" s="24"/>
      <c r="AF30" s="25"/>
    </row>
    <row r="31">
      <c r="A31" s="21" t="s">
        <v>4398</v>
      </c>
      <c r="B31" s="22" t="s">
        <v>7931</v>
      </c>
      <c r="C31" s="22" t="s">
        <v>287</v>
      </c>
      <c r="D31" s="26">
        <v>45994.0</v>
      </c>
      <c r="E31" s="22" t="s">
        <v>266</v>
      </c>
      <c r="F31" s="22" t="s">
        <v>4399</v>
      </c>
      <c r="G31" s="22">
        <v>1.0</v>
      </c>
      <c r="H31" s="22" t="s">
        <v>7878</v>
      </c>
      <c r="I31" s="22" t="s">
        <v>4400</v>
      </c>
      <c r="J31" s="22" t="s">
        <v>4398</v>
      </c>
      <c r="K31" s="22" t="s">
        <v>7932</v>
      </c>
      <c r="L31" s="24"/>
      <c r="M31" s="22" t="s">
        <v>7880</v>
      </c>
      <c r="N31" s="24"/>
      <c r="O31" s="22" t="s">
        <v>90</v>
      </c>
      <c r="P31" s="22">
        <v>3.2733462921539E13</v>
      </c>
      <c r="Q31" s="24"/>
      <c r="R31" s="24"/>
      <c r="S31" s="22" t="s">
        <v>4790</v>
      </c>
      <c r="T31" s="22" t="s">
        <v>5702</v>
      </c>
      <c r="U31" s="22" t="s">
        <v>55</v>
      </c>
      <c r="V31" s="24"/>
      <c r="W31" s="22"/>
      <c r="X31" s="22"/>
      <c r="Y31" s="22"/>
      <c r="Z31" s="22"/>
      <c r="AA31" s="22"/>
      <c r="AB31" s="24"/>
      <c r="AC31" s="22"/>
      <c r="AD31" s="22"/>
      <c r="AE31" s="24"/>
      <c r="AF31" s="25"/>
    </row>
    <row r="32">
      <c r="A32" s="21" t="s">
        <v>4741</v>
      </c>
      <c r="B32" s="22" t="s">
        <v>7933</v>
      </c>
      <c r="C32" s="22" t="s">
        <v>202</v>
      </c>
      <c r="D32" s="26">
        <v>45996.0</v>
      </c>
      <c r="E32" s="22" t="s">
        <v>196</v>
      </c>
      <c r="F32" s="22" t="s">
        <v>4325</v>
      </c>
      <c r="G32" s="22">
        <v>1.0</v>
      </c>
      <c r="H32" s="22" t="s">
        <v>7886</v>
      </c>
      <c r="I32" s="22" t="s">
        <v>4742</v>
      </c>
      <c r="J32" s="22" t="s">
        <v>4741</v>
      </c>
      <c r="K32" s="22" t="s">
        <v>7934</v>
      </c>
      <c r="L32" s="24"/>
      <c r="M32" s="22" t="s">
        <v>7888</v>
      </c>
      <c r="N32" s="24"/>
      <c r="O32" s="22" t="s">
        <v>90</v>
      </c>
      <c r="P32" s="22">
        <v>3.2732264956227E13</v>
      </c>
      <c r="Q32" s="24"/>
      <c r="R32" s="24"/>
      <c r="S32" s="22" t="s">
        <v>3805</v>
      </c>
      <c r="T32" s="22" t="s">
        <v>7935</v>
      </c>
      <c r="U32" s="22" t="s">
        <v>55</v>
      </c>
      <c r="V32" s="24"/>
      <c r="W32" s="22"/>
      <c r="X32" s="22"/>
      <c r="Y32" s="22"/>
      <c r="Z32" s="22"/>
      <c r="AA32" s="22"/>
      <c r="AB32" s="24"/>
      <c r="AC32" s="22"/>
      <c r="AD32" s="22"/>
      <c r="AE32" s="24"/>
      <c r="AF32" s="25"/>
    </row>
    <row r="33">
      <c r="A33" s="21" t="s">
        <v>4398</v>
      </c>
      <c r="B33" s="22" t="s">
        <v>7923</v>
      </c>
      <c r="C33" s="22" t="s">
        <v>294</v>
      </c>
      <c r="D33" s="26">
        <v>45992.0</v>
      </c>
      <c r="E33" s="22" t="s">
        <v>266</v>
      </c>
      <c r="F33" s="22" t="s">
        <v>4399</v>
      </c>
      <c r="G33" s="22">
        <v>1.0</v>
      </c>
      <c r="H33" s="22" t="s">
        <v>7878</v>
      </c>
      <c r="I33" s="22" t="s">
        <v>4400</v>
      </c>
      <c r="J33" s="22" t="s">
        <v>4398</v>
      </c>
      <c r="K33" s="22" t="s">
        <v>7924</v>
      </c>
      <c r="L33" s="24"/>
      <c r="M33" s="22" t="s">
        <v>7880</v>
      </c>
      <c r="N33" s="24"/>
      <c r="O33" s="22" t="s">
        <v>90</v>
      </c>
      <c r="P33" s="22">
        <v>3.2731792179523E13</v>
      </c>
      <c r="Q33" s="24"/>
      <c r="R33" s="24"/>
      <c r="S33" s="22" t="s">
        <v>4582</v>
      </c>
      <c r="T33" s="22" t="s">
        <v>4603</v>
      </c>
      <c r="U33" s="22" t="s">
        <v>55</v>
      </c>
      <c r="V33" s="24"/>
      <c r="W33" s="22"/>
      <c r="X33" s="22"/>
      <c r="Y33" s="22"/>
      <c r="Z33" s="22"/>
      <c r="AA33" s="22"/>
      <c r="AB33" s="24"/>
      <c r="AC33" s="22"/>
      <c r="AD33" s="22"/>
      <c r="AE33" s="24"/>
      <c r="AF33" s="25"/>
    </row>
    <row r="34">
      <c r="A34" s="21" t="s">
        <v>4521</v>
      </c>
      <c r="B34" s="22" t="s">
        <v>7936</v>
      </c>
      <c r="C34" s="22" t="s">
        <v>287</v>
      </c>
      <c r="D34" s="23">
        <v>46001.0</v>
      </c>
      <c r="E34" s="22" t="s">
        <v>302</v>
      </c>
      <c r="F34" s="22" t="s">
        <v>4399</v>
      </c>
      <c r="G34" s="22">
        <v>1.0</v>
      </c>
      <c r="H34" s="22" t="s">
        <v>7878</v>
      </c>
      <c r="I34" s="22" t="s">
        <v>4522</v>
      </c>
      <c r="J34" s="22" t="s">
        <v>4521</v>
      </c>
      <c r="K34" s="22" t="s">
        <v>7937</v>
      </c>
      <c r="L34" s="24"/>
      <c r="M34" s="22" t="s">
        <v>7880</v>
      </c>
      <c r="N34" s="24"/>
      <c r="O34" s="22" t="s">
        <v>90</v>
      </c>
      <c r="P34" s="22">
        <v>3.2733953589571E13</v>
      </c>
      <c r="Q34" s="24"/>
      <c r="R34" s="24"/>
      <c r="S34" s="22" t="s">
        <v>5738</v>
      </c>
      <c r="T34" s="22" t="s">
        <v>5739</v>
      </c>
      <c r="U34" s="22" t="s">
        <v>54</v>
      </c>
      <c r="V34" s="24"/>
      <c r="W34" s="22"/>
      <c r="X34" s="22"/>
      <c r="Y34" s="22"/>
      <c r="Z34" s="22"/>
      <c r="AA34" s="22"/>
      <c r="AB34" s="24"/>
      <c r="AC34" s="22"/>
      <c r="AD34" s="22"/>
      <c r="AE34" s="24"/>
      <c r="AF34" s="25"/>
    </row>
    <row r="35">
      <c r="A35" s="21" t="s">
        <v>4105</v>
      </c>
      <c r="B35" s="22" t="s">
        <v>7938</v>
      </c>
      <c r="C35" s="22" t="s">
        <v>287</v>
      </c>
      <c r="D35" s="26">
        <v>45994.0</v>
      </c>
      <c r="E35" s="22" t="s">
        <v>196</v>
      </c>
      <c r="F35" s="22" t="s">
        <v>4026</v>
      </c>
      <c r="G35" s="22">
        <v>1.0</v>
      </c>
      <c r="H35" s="22" t="s">
        <v>7872</v>
      </c>
      <c r="I35" s="22" t="s">
        <v>4106</v>
      </c>
      <c r="J35" s="22" t="s">
        <v>4105</v>
      </c>
      <c r="K35" s="22" t="s">
        <v>7939</v>
      </c>
      <c r="L35" s="24"/>
      <c r="M35" s="22" t="s">
        <v>7874</v>
      </c>
      <c r="N35" s="24"/>
      <c r="O35" s="22" t="s">
        <v>90</v>
      </c>
      <c r="P35" s="22">
        <v>3.2738359345475E13</v>
      </c>
      <c r="Q35" s="24"/>
      <c r="R35" s="24"/>
      <c r="S35" s="22" t="s">
        <v>5959</v>
      </c>
      <c r="T35" s="22" t="s">
        <v>5960</v>
      </c>
      <c r="U35" s="22" t="s">
        <v>54</v>
      </c>
      <c r="V35" s="24"/>
      <c r="W35" s="22"/>
      <c r="X35" s="22"/>
      <c r="Y35" s="22"/>
      <c r="Z35" s="22"/>
      <c r="AA35" s="22"/>
      <c r="AB35" s="24"/>
      <c r="AC35" s="22"/>
      <c r="AD35" s="22"/>
      <c r="AE35" s="24"/>
      <c r="AF35" s="25"/>
    </row>
    <row r="36">
      <c r="A36" s="21" t="s">
        <v>4025</v>
      </c>
      <c r="B36" s="22" t="s">
        <v>7940</v>
      </c>
      <c r="C36" s="22" t="s">
        <v>287</v>
      </c>
      <c r="D36" s="23">
        <v>46001.0</v>
      </c>
      <c r="E36" s="22" t="s">
        <v>192</v>
      </c>
      <c r="F36" s="22" t="s">
        <v>4026</v>
      </c>
      <c r="G36" s="22">
        <v>1.0</v>
      </c>
      <c r="H36" s="22" t="s">
        <v>7872</v>
      </c>
      <c r="I36" s="22" t="s">
        <v>4027</v>
      </c>
      <c r="J36" s="22" t="s">
        <v>4025</v>
      </c>
      <c r="K36" s="22" t="s">
        <v>7941</v>
      </c>
      <c r="L36" s="24"/>
      <c r="M36" s="22" t="s">
        <v>7874</v>
      </c>
      <c r="N36" s="24"/>
      <c r="O36" s="22" t="s">
        <v>90</v>
      </c>
      <c r="P36" s="22">
        <v>3.2734165336387E13</v>
      </c>
      <c r="Q36" s="24"/>
      <c r="R36" s="24"/>
      <c r="S36" s="22" t="s">
        <v>5770</v>
      </c>
      <c r="T36" s="22" t="s">
        <v>5771</v>
      </c>
      <c r="U36" s="22" t="s">
        <v>55</v>
      </c>
      <c r="V36" s="24"/>
      <c r="W36" s="22"/>
      <c r="X36" s="22"/>
      <c r="Y36" s="22"/>
      <c r="Z36" s="22"/>
      <c r="AA36" s="22"/>
      <c r="AB36" s="24"/>
      <c r="AC36" s="22"/>
      <c r="AD36" s="22"/>
      <c r="AE36" s="24"/>
      <c r="AF36" s="25"/>
    </row>
    <row r="37">
      <c r="A37" s="21" t="s">
        <v>4741</v>
      </c>
      <c r="B37" s="22" t="s">
        <v>7905</v>
      </c>
      <c r="C37" s="22" t="s">
        <v>1284</v>
      </c>
      <c r="D37" s="26">
        <v>45993.0</v>
      </c>
      <c r="E37" s="22" t="s">
        <v>149</v>
      </c>
      <c r="F37" s="22" t="s">
        <v>4325</v>
      </c>
      <c r="G37" s="22">
        <v>1.0</v>
      </c>
      <c r="H37" s="22" t="s">
        <v>7886</v>
      </c>
      <c r="I37" s="22" t="s">
        <v>4742</v>
      </c>
      <c r="J37" s="22" t="s">
        <v>4741</v>
      </c>
      <c r="K37" s="22" t="s">
        <v>7906</v>
      </c>
      <c r="L37" s="24"/>
      <c r="M37" s="22" t="s">
        <v>7888</v>
      </c>
      <c r="N37" s="24"/>
      <c r="O37" s="22" t="s">
        <v>90</v>
      </c>
      <c r="P37" s="22">
        <v>3.2735550210371E13</v>
      </c>
      <c r="Q37" s="24"/>
      <c r="R37" s="24"/>
      <c r="S37" s="22" t="s">
        <v>5843</v>
      </c>
      <c r="T37" s="22" t="s">
        <v>5844</v>
      </c>
      <c r="U37" s="22" t="s">
        <v>55</v>
      </c>
      <c r="V37" s="24"/>
      <c r="W37" s="22"/>
      <c r="X37" s="22"/>
      <c r="Y37" s="22"/>
      <c r="Z37" s="22"/>
      <c r="AA37" s="22"/>
      <c r="AB37" s="24"/>
      <c r="AC37" s="22"/>
      <c r="AD37" s="22"/>
      <c r="AE37" s="24"/>
      <c r="AF37" s="25"/>
    </row>
    <row r="38">
      <c r="A38" s="21" t="s">
        <v>4105</v>
      </c>
      <c r="B38" s="22" t="s">
        <v>7929</v>
      </c>
      <c r="C38" s="22" t="s">
        <v>294</v>
      </c>
      <c r="D38" s="26">
        <v>45992.0</v>
      </c>
      <c r="E38" s="22" t="s">
        <v>497</v>
      </c>
      <c r="F38" s="22" t="s">
        <v>4026</v>
      </c>
      <c r="G38" s="22">
        <v>1.0</v>
      </c>
      <c r="H38" s="22" t="s">
        <v>7872</v>
      </c>
      <c r="I38" s="22" t="s">
        <v>4106</v>
      </c>
      <c r="J38" s="22" t="s">
        <v>4105</v>
      </c>
      <c r="K38" s="22" t="s">
        <v>7930</v>
      </c>
      <c r="L38" s="24"/>
      <c r="M38" s="22" t="s">
        <v>7874</v>
      </c>
      <c r="N38" s="24"/>
      <c r="O38" s="22" t="s">
        <v>90</v>
      </c>
      <c r="P38" s="22">
        <v>3.2733958373699E13</v>
      </c>
      <c r="Q38" s="24"/>
      <c r="R38" s="24"/>
      <c r="S38" s="22" t="s">
        <v>7013</v>
      </c>
      <c r="T38" s="22" t="s">
        <v>7942</v>
      </c>
      <c r="U38" s="22" t="s">
        <v>54</v>
      </c>
      <c r="V38" s="24"/>
      <c r="W38" s="22"/>
      <c r="X38" s="22"/>
      <c r="Y38" s="22"/>
      <c r="Z38" s="22"/>
      <c r="AA38" s="22"/>
      <c r="AB38" s="24"/>
      <c r="AC38" s="22"/>
      <c r="AD38" s="22"/>
      <c r="AE38" s="24"/>
      <c r="AF38" s="25"/>
    </row>
    <row r="39">
      <c r="A39" s="21" t="s">
        <v>4044</v>
      </c>
      <c r="B39" s="22" t="s">
        <v>7943</v>
      </c>
      <c r="C39" s="22" t="s">
        <v>1284</v>
      </c>
      <c r="D39" s="26">
        <v>45993.0</v>
      </c>
      <c r="E39" s="22" t="s">
        <v>1400</v>
      </c>
      <c r="F39" s="22" t="s">
        <v>4045</v>
      </c>
      <c r="G39" s="22">
        <v>1.0</v>
      </c>
      <c r="H39" s="22" t="s">
        <v>7868</v>
      </c>
      <c r="I39" s="22" t="s">
        <v>4046</v>
      </c>
      <c r="J39" s="22" t="s">
        <v>4044</v>
      </c>
      <c r="K39" s="22" t="s">
        <v>7944</v>
      </c>
      <c r="L39" s="24"/>
      <c r="M39" s="22" t="s">
        <v>7870</v>
      </c>
      <c r="N39" s="24"/>
      <c r="O39" s="22" t="s">
        <v>90</v>
      </c>
      <c r="P39" s="22">
        <v>3.2742911443267E13</v>
      </c>
      <c r="Q39" s="24"/>
      <c r="R39" s="24"/>
      <c r="S39" s="22" t="s">
        <v>5711</v>
      </c>
      <c r="T39" s="22" t="s">
        <v>6184</v>
      </c>
      <c r="U39" s="22" t="s">
        <v>55</v>
      </c>
      <c r="V39" s="24"/>
      <c r="W39" s="22"/>
      <c r="X39" s="22"/>
      <c r="Y39" s="22"/>
      <c r="Z39" s="22"/>
      <c r="AA39" s="22"/>
      <c r="AB39" s="24"/>
      <c r="AC39" s="22"/>
      <c r="AD39" s="22"/>
      <c r="AE39" s="24"/>
      <c r="AF39" s="25"/>
    </row>
    <row r="40">
      <c r="A40" s="21" t="s">
        <v>4398</v>
      </c>
      <c r="B40" s="22" t="s">
        <v>7945</v>
      </c>
      <c r="C40" s="22" t="s">
        <v>294</v>
      </c>
      <c r="D40" s="26">
        <v>45999.0</v>
      </c>
      <c r="E40" s="22" t="s">
        <v>266</v>
      </c>
      <c r="F40" s="22" t="s">
        <v>4399</v>
      </c>
      <c r="G40" s="22">
        <v>1.0</v>
      </c>
      <c r="H40" s="22" t="s">
        <v>7878</v>
      </c>
      <c r="I40" s="22" t="s">
        <v>4400</v>
      </c>
      <c r="J40" s="22" t="s">
        <v>4398</v>
      </c>
      <c r="K40" s="22" t="s">
        <v>7946</v>
      </c>
      <c r="L40" s="24"/>
      <c r="M40" s="22" t="s">
        <v>7880</v>
      </c>
      <c r="N40" s="24"/>
      <c r="O40" s="22" t="s">
        <v>90</v>
      </c>
      <c r="P40" s="22">
        <v>3.2745485533507E13</v>
      </c>
      <c r="Q40" s="24"/>
      <c r="R40" s="24"/>
      <c r="S40" s="22" t="s">
        <v>4412</v>
      </c>
      <c r="T40" s="22" t="s">
        <v>6234</v>
      </c>
      <c r="U40" s="22" t="s">
        <v>55</v>
      </c>
      <c r="V40" s="22"/>
      <c r="W40" s="24"/>
      <c r="X40" s="22"/>
      <c r="Y40" s="22"/>
      <c r="Z40" s="22"/>
      <c r="AA40" s="22"/>
      <c r="AB40" s="24"/>
      <c r="AC40" s="22"/>
      <c r="AD40" s="22"/>
      <c r="AE40" s="24"/>
      <c r="AF40" s="25"/>
    </row>
    <row r="41">
      <c r="A41" s="21" t="s">
        <v>4521</v>
      </c>
      <c r="B41" s="22" t="s">
        <v>7923</v>
      </c>
      <c r="C41" s="22" t="s">
        <v>294</v>
      </c>
      <c r="D41" s="26">
        <v>45992.0</v>
      </c>
      <c r="E41" s="22" t="s">
        <v>266</v>
      </c>
      <c r="F41" s="22" t="s">
        <v>4399</v>
      </c>
      <c r="G41" s="22">
        <v>1.0</v>
      </c>
      <c r="H41" s="22" t="s">
        <v>7878</v>
      </c>
      <c r="I41" s="22" t="s">
        <v>4522</v>
      </c>
      <c r="J41" s="22" t="s">
        <v>4521</v>
      </c>
      <c r="K41" s="22" t="s">
        <v>7924</v>
      </c>
      <c r="L41" s="24"/>
      <c r="M41" s="22" t="s">
        <v>7880</v>
      </c>
      <c r="N41" s="24"/>
      <c r="O41" s="22" t="s">
        <v>90</v>
      </c>
      <c r="P41" s="22">
        <v>3.2753665802563E13</v>
      </c>
      <c r="Q41" s="24"/>
      <c r="R41" s="24"/>
      <c r="S41" s="22" t="s">
        <v>6208</v>
      </c>
      <c r="T41" s="22" t="s">
        <v>6209</v>
      </c>
      <c r="U41" s="22" t="s">
        <v>54</v>
      </c>
      <c r="V41" s="22"/>
      <c r="W41" s="24"/>
      <c r="X41" s="22"/>
      <c r="Y41" s="22"/>
      <c r="Z41" s="22"/>
      <c r="AA41" s="22"/>
      <c r="AB41" s="24"/>
      <c r="AC41" s="22"/>
      <c r="AD41" s="22"/>
      <c r="AE41" s="24"/>
      <c r="AF41" s="25"/>
    </row>
    <row r="42">
      <c r="A42" s="21" t="s">
        <v>4398</v>
      </c>
      <c r="B42" s="22" t="s">
        <v>7923</v>
      </c>
      <c r="C42" s="22" t="s">
        <v>294</v>
      </c>
      <c r="D42" s="26">
        <v>45992.0</v>
      </c>
      <c r="E42" s="22" t="s">
        <v>266</v>
      </c>
      <c r="F42" s="22" t="s">
        <v>4399</v>
      </c>
      <c r="G42" s="22">
        <v>1.0</v>
      </c>
      <c r="H42" s="22" t="s">
        <v>7878</v>
      </c>
      <c r="I42" s="22" t="s">
        <v>4400</v>
      </c>
      <c r="J42" s="22" t="s">
        <v>4398</v>
      </c>
      <c r="K42" s="22" t="s">
        <v>7924</v>
      </c>
      <c r="L42" s="24"/>
      <c r="M42" s="22" t="s">
        <v>7880</v>
      </c>
      <c r="N42" s="24"/>
      <c r="O42" s="22" t="s">
        <v>90</v>
      </c>
      <c r="P42" s="22">
        <v>3.2744143061315E13</v>
      </c>
      <c r="Q42" s="24"/>
      <c r="R42" s="24"/>
      <c r="S42" s="22" t="s">
        <v>6134</v>
      </c>
      <c r="T42" s="22" t="s">
        <v>6135</v>
      </c>
      <c r="U42" s="22" t="s">
        <v>55</v>
      </c>
      <c r="V42" s="22"/>
      <c r="W42" s="24"/>
      <c r="X42" s="22"/>
      <c r="Y42" s="22"/>
      <c r="Z42" s="22"/>
      <c r="AA42" s="22"/>
      <c r="AB42" s="24"/>
      <c r="AC42" s="22"/>
      <c r="AD42" s="22"/>
      <c r="AE42" s="24"/>
      <c r="AF42" s="25"/>
    </row>
    <row r="43">
      <c r="A43" s="21" t="s">
        <v>4521</v>
      </c>
      <c r="B43" s="22" t="s">
        <v>7947</v>
      </c>
      <c r="C43" s="22" t="s">
        <v>287</v>
      </c>
      <c r="D43" s="23">
        <v>46001.0</v>
      </c>
      <c r="E43" s="22" t="s">
        <v>266</v>
      </c>
      <c r="F43" s="22" t="s">
        <v>4399</v>
      </c>
      <c r="G43" s="22">
        <v>1.0</v>
      </c>
      <c r="H43" s="22" t="s">
        <v>7878</v>
      </c>
      <c r="I43" s="22" t="s">
        <v>4522</v>
      </c>
      <c r="J43" s="22" t="s">
        <v>4521</v>
      </c>
      <c r="K43" s="22" t="s">
        <v>7948</v>
      </c>
      <c r="L43" s="24"/>
      <c r="M43" s="22" t="s">
        <v>7880</v>
      </c>
      <c r="N43" s="24"/>
      <c r="O43" s="22" t="s">
        <v>90</v>
      </c>
      <c r="P43" s="22">
        <v>3.2744349729091E13</v>
      </c>
      <c r="Q43" s="24"/>
      <c r="R43" s="24"/>
      <c r="S43" s="22" t="s">
        <v>4582</v>
      </c>
      <c r="T43" s="22" t="s">
        <v>6149</v>
      </c>
      <c r="U43" s="22" t="s">
        <v>54</v>
      </c>
      <c r="V43" s="22"/>
      <c r="W43" s="24"/>
      <c r="X43" s="22"/>
      <c r="Y43" s="22"/>
      <c r="Z43" s="22"/>
      <c r="AA43" s="22"/>
      <c r="AB43" s="24"/>
      <c r="AC43" s="22"/>
      <c r="AD43" s="22"/>
      <c r="AE43" s="24"/>
      <c r="AF43" s="25"/>
    </row>
    <row r="44">
      <c r="A44" s="21" t="s">
        <v>4398</v>
      </c>
      <c r="B44" s="22" t="s">
        <v>7923</v>
      </c>
      <c r="C44" s="22" t="s">
        <v>294</v>
      </c>
      <c r="D44" s="26">
        <v>45992.0</v>
      </c>
      <c r="E44" s="22" t="s">
        <v>266</v>
      </c>
      <c r="F44" s="22" t="s">
        <v>4399</v>
      </c>
      <c r="G44" s="22">
        <v>1.0</v>
      </c>
      <c r="H44" s="22" t="s">
        <v>7878</v>
      </c>
      <c r="I44" s="22" t="s">
        <v>4400</v>
      </c>
      <c r="J44" s="22" t="s">
        <v>4398</v>
      </c>
      <c r="K44" s="22" t="s">
        <v>7924</v>
      </c>
      <c r="L44" s="24"/>
      <c r="M44" s="22" t="s">
        <v>7880</v>
      </c>
      <c r="N44" s="24"/>
      <c r="O44" s="22" t="s">
        <v>90</v>
      </c>
      <c r="P44" s="22">
        <v>3.2744945680707E13</v>
      </c>
      <c r="Q44" s="24"/>
      <c r="R44" s="24"/>
      <c r="S44" s="22" t="s">
        <v>4081</v>
      </c>
      <c r="T44" s="22" t="s">
        <v>4788</v>
      </c>
      <c r="U44" s="22" t="s">
        <v>55</v>
      </c>
      <c r="V44" s="22"/>
      <c r="W44" s="24"/>
      <c r="X44" s="22"/>
      <c r="Y44" s="22"/>
      <c r="Z44" s="22"/>
      <c r="AA44" s="22"/>
      <c r="AB44" s="24"/>
      <c r="AC44" s="22"/>
      <c r="AD44" s="22"/>
      <c r="AE44" s="24"/>
      <c r="AF44" s="25"/>
    </row>
    <row r="45">
      <c r="A45" s="21" t="s">
        <v>4741</v>
      </c>
      <c r="B45" s="22" t="s">
        <v>7949</v>
      </c>
      <c r="C45" s="22" t="s">
        <v>1284</v>
      </c>
      <c r="D45" s="26">
        <v>45993.0</v>
      </c>
      <c r="E45" s="22" t="s">
        <v>196</v>
      </c>
      <c r="F45" s="22" t="s">
        <v>4325</v>
      </c>
      <c r="G45" s="22">
        <v>1.0</v>
      </c>
      <c r="H45" s="22" t="s">
        <v>7886</v>
      </c>
      <c r="I45" s="22" t="s">
        <v>4742</v>
      </c>
      <c r="J45" s="22" t="s">
        <v>4741</v>
      </c>
      <c r="K45" s="22" t="s">
        <v>7950</v>
      </c>
      <c r="L45" s="24"/>
      <c r="M45" s="22" t="s">
        <v>7888</v>
      </c>
      <c r="N45" s="24"/>
      <c r="O45" s="22" t="s">
        <v>90</v>
      </c>
      <c r="P45" s="22">
        <v>3.2757169258819E13</v>
      </c>
      <c r="Q45" s="24"/>
      <c r="R45" s="24"/>
      <c r="S45" s="22" t="s">
        <v>6320</v>
      </c>
      <c r="T45" s="22" t="s">
        <v>6321</v>
      </c>
      <c r="U45" s="22" t="s">
        <v>55</v>
      </c>
      <c r="V45" s="22"/>
      <c r="W45" s="24"/>
      <c r="X45" s="22"/>
      <c r="Y45" s="22"/>
      <c r="Z45" s="22"/>
      <c r="AA45" s="22"/>
      <c r="AB45" s="24"/>
      <c r="AC45" s="22"/>
      <c r="AD45" s="22"/>
      <c r="AE45" s="24"/>
      <c r="AF45" s="25"/>
    </row>
    <row r="46">
      <c r="A46" s="21" t="s">
        <v>4741</v>
      </c>
      <c r="B46" s="22" t="s">
        <v>7951</v>
      </c>
      <c r="C46" s="22" t="s">
        <v>1284</v>
      </c>
      <c r="D46" s="26">
        <v>45993.0</v>
      </c>
      <c r="E46" s="22" t="s">
        <v>497</v>
      </c>
      <c r="F46" s="22" t="s">
        <v>4325</v>
      </c>
      <c r="G46" s="22">
        <v>1.0</v>
      </c>
      <c r="H46" s="22" t="s">
        <v>7886</v>
      </c>
      <c r="I46" s="22" t="s">
        <v>4742</v>
      </c>
      <c r="J46" s="22" t="s">
        <v>4741</v>
      </c>
      <c r="K46" s="22" t="s">
        <v>7952</v>
      </c>
      <c r="L46" s="24"/>
      <c r="M46" s="22" t="s">
        <v>7888</v>
      </c>
      <c r="N46" s="24"/>
      <c r="O46" s="22" t="s">
        <v>90</v>
      </c>
      <c r="P46" s="22">
        <v>3.2757529018691E13</v>
      </c>
      <c r="Q46" s="24"/>
      <c r="R46" s="24"/>
      <c r="S46" s="22" t="s">
        <v>3938</v>
      </c>
      <c r="T46" s="22" t="s">
        <v>6324</v>
      </c>
      <c r="U46" s="22" t="s">
        <v>55</v>
      </c>
      <c r="V46" s="22"/>
      <c r="W46" s="24"/>
      <c r="X46" s="22"/>
      <c r="Y46" s="22"/>
      <c r="Z46" s="22"/>
      <c r="AA46" s="22"/>
      <c r="AB46" s="24"/>
      <c r="AC46" s="22"/>
      <c r="AD46" s="22"/>
      <c r="AE46" s="24"/>
      <c r="AF46" s="25"/>
    </row>
    <row r="47">
      <c r="A47" s="21" t="s">
        <v>4565</v>
      </c>
      <c r="B47" s="22" t="s">
        <v>7893</v>
      </c>
      <c r="C47" s="22" t="s">
        <v>294</v>
      </c>
      <c r="D47" s="26">
        <v>45992.0</v>
      </c>
      <c r="E47" s="22" t="s">
        <v>149</v>
      </c>
      <c r="F47" s="22" t="s">
        <v>4346</v>
      </c>
      <c r="G47" s="22">
        <v>1.0</v>
      </c>
      <c r="H47" s="22" t="s">
        <v>7894</v>
      </c>
      <c r="I47" s="22" t="s">
        <v>4566</v>
      </c>
      <c r="J47" s="22" t="s">
        <v>4565</v>
      </c>
      <c r="K47" s="22" t="s">
        <v>7895</v>
      </c>
      <c r="L47" s="24"/>
      <c r="M47" s="22" t="s">
        <v>7896</v>
      </c>
      <c r="N47" s="24"/>
      <c r="O47" s="22" t="s">
        <v>90</v>
      </c>
      <c r="P47" s="22">
        <v>3.2760780783939E13</v>
      </c>
      <c r="Q47" s="24"/>
      <c r="R47" s="24"/>
      <c r="S47" s="22" t="s">
        <v>4872</v>
      </c>
      <c r="T47" s="22" t="s">
        <v>6443</v>
      </c>
      <c r="U47" s="22" t="s">
        <v>54</v>
      </c>
      <c r="V47" s="22"/>
      <c r="W47" s="24"/>
      <c r="X47" s="22"/>
      <c r="Y47" s="22"/>
      <c r="Z47" s="22"/>
      <c r="AA47" s="22"/>
      <c r="AB47" s="24"/>
      <c r="AC47" s="22"/>
      <c r="AD47" s="22"/>
      <c r="AE47" s="24"/>
      <c r="AF47" s="25"/>
    </row>
    <row r="48">
      <c r="A48" s="21" t="s">
        <v>4398</v>
      </c>
      <c r="B48" s="22" t="s">
        <v>7953</v>
      </c>
      <c r="C48" s="22" t="s">
        <v>287</v>
      </c>
      <c r="D48" s="23">
        <v>46001.0</v>
      </c>
      <c r="E48" s="22" t="s">
        <v>196</v>
      </c>
      <c r="F48" s="22" t="s">
        <v>4399</v>
      </c>
      <c r="G48" s="22">
        <v>1.0</v>
      </c>
      <c r="H48" s="22" t="s">
        <v>7878</v>
      </c>
      <c r="I48" s="22" t="s">
        <v>4400</v>
      </c>
      <c r="J48" s="22" t="s">
        <v>4398</v>
      </c>
      <c r="K48" s="22" t="s">
        <v>7954</v>
      </c>
      <c r="L48" s="24"/>
      <c r="M48" s="22" t="s">
        <v>7880</v>
      </c>
      <c r="N48" s="24"/>
      <c r="O48" s="22" t="s">
        <v>90</v>
      </c>
      <c r="P48" s="22">
        <v>3.2764727820611E13</v>
      </c>
      <c r="Q48" s="24"/>
      <c r="R48" s="24"/>
      <c r="S48" s="22" t="s">
        <v>6649</v>
      </c>
      <c r="T48" s="22" t="s">
        <v>6650</v>
      </c>
      <c r="U48" s="22" t="s">
        <v>55</v>
      </c>
      <c r="V48" s="22"/>
      <c r="W48" s="24"/>
      <c r="X48" s="22"/>
      <c r="Y48" s="22"/>
      <c r="Z48" s="22"/>
      <c r="AA48" s="22"/>
      <c r="AB48" s="24"/>
      <c r="AC48" s="22"/>
      <c r="AD48" s="22"/>
      <c r="AE48" s="24"/>
      <c r="AF48" s="25"/>
    </row>
    <row r="49">
      <c r="A49" s="21" t="s">
        <v>4741</v>
      </c>
      <c r="B49" s="22" t="s">
        <v>7955</v>
      </c>
      <c r="C49" s="22" t="s">
        <v>202</v>
      </c>
      <c r="D49" s="26">
        <v>45996.0</v>
      </c>
      <c r="E49" s="22" t="s">
        <v>192</v>
      </c>
      <c r="F49" s="22" t="s">
        <v>4325</v>
      </c>
      <c r="G49" s="22">
        <v>1.0</v>
      </c>
      <c r="H49" s="22" t="s">
        <v>7886</v>
      </c>
      <c r="I49" s="22" t="s">
        <v>4742</v>
      </c>
      <c r="J49" s="22" t="s">
        <v>4741</v>
      </c>
      <c r="K49" s="22" t="s">
        <v>7956</v>
      </c>
      <c r="L49" s="24"/>
      <c r="M49" s="22" t="s">
        <v>7888</v>
      </c>
      <c r="N49" s="24"/>
      <c r="O49" s="22" t="s">
        <v>90</v>
      </c>
      <c r="P49" s="22">
        <v>3.2765472637251E13</v>
      </c>
      <c r="Q49" s="24"/>
      <c r="R49" s="24"/>
      <c r="S49" s="22" t="s">
        <v>6730</v>
      </c>
      <c r="T49" s="22" t="s">
        <v>6731</v>
      </c>
      <c r="U49" s="22" t="s">
        <v>55</v>
      </c>
      <c r="V49" s="22"/>
      <c r="W49" s="24"/>
      <c r="X49" s="22"/>
      <c r="Y49" s="22"/>
      <c r="Z49" s="22"/>
      <c r="AA49" s="22"/>
      <c r="AB49" s="24"/>
      <c r="AC49" s="22"/>
      <c r="AD49" s="22"/>
      <c r="AE49" s="24"/>
      <c r="AF49" s="25"/>
    </row>
    <row r="50">
      <c r="A50" s="21" t="s">
        <v>4345</v>
      </c>
      <c r="B50" s="22" t="s">
        <v>7957</v>
      </c>
      <c r="C50" s="22" t="s">
        <v>336</v>
      </c>
      <c r="D50" s="26">
        <v>45995.0</v>
      </c>
      <c r="E50" s="22" t="s">
        <v>192</v>
      </c>
      <c r="F50" s="22" t="s">
        <v>4346</v>
      </c>
      <c r="G50" s="22">
        <v>1.0</v>
      </c>
      <c r="H50" s="22" t="s">
        <v>7894</v>
      </c>
      <c r="I50" s="22" t="s">
        <v>4347</v>
      </c>
      <c r="J50" s="22" t="s">
        <v>4345</v>
      </c>
      <c r="K50" s="22" t="s">
        <v>7958</v>
      </c>
      <c r="L50" s="24"/>
      <c r="M50" s="22" t="s">
        <v>7896</v>
      </c>
      <c r="N50" s="24"/>
      <c r="O50" s="22" t="s">
        <v>90</v>
      </c>
      <c r="P50" s="22">
        <v>3.2766281253187E13</v>
      </c>
      <c r="Q50" s="24"/>
      <c r="R50" s="24"/>
      <c r="S50" s="22" t="s">
        <v>6821</v>
      </c>
      <c r="T50" s="22" t="s">
        <v>6822</v>
      </c>
      <c r="U50" s="22" t="s">
        <v>55</v>
      </c>
      <c r="V50" s="22"/>
      <c r="W50" s="24"/>
      <c r="X50" s="22"/>
      <c r="Y50" s="22"/>
      <c r="Z50" s="22"/>
      <c r="AA50" s="22"/>
      <c r="AB50" s="24"/>
      <c r="AC50" s="22"/>
      <c r="AD50" s="22"/>
      <c r="AE50" s="24"/>
      <c r="AF50" s="25"/>
    </row>
    <row r="51">
      <c r="A51" s="21" t="s">
        <v>4521</v>
      </c>
      <c r="B51" s="22" t="s">
        <v>7945</v>
      </c>
      <c r="C51" s="22" t="s">
        <v>294</v>
      </c>
      <c r="D51" s="26">
        <v>45999.0</v>
      </c>
      <c r="E51" s="22" t="s">
        <v>266</v>
      </c>
      <c r="F51" s="22" t="s">
        <v>4399</v>
      </c>
      <c r="G51" s="22">
        <v>1.0</v>
      </c>
      <c r="H51" s="22" t="s">
        <v>7878</v>
      </c>
      <c r="I51" s="22" t="s">
        <v>4522</v>
      </c>
      <c r="J51" s="22" t="s">
        <v>4521</v>
      </c>
      <c r="K51" s="22" t="s">
        <v>7946</v>
      </c>
      <c r="L51" s="24"/>
      <c r="M51" s="22" t="s">
        <v>7880</v>
      </c>
      <c r="N51" s="24"/>
      <c r="O51" s="22" t="s">
        <v>90</v>
      </c>
      <c r="P51" s="22">
        <v>3.2766461247811E13</v>
      </c>
      <c r="Q51" s="24"/>
      <c r="R51" s="24"/>
      <c r="S51" s="22" t="s">
        <v>6832</v>
      </c>
      <c r="T51" s="22" t="s">
        <v>6833</v>
      </c>
      <c r="U51" s="22" t="s">
        <v>54</v>
      </c>
      <c r="V51" s="22"/>
      <c r="W51" s="24"/>
      <c r="X51" s="22"/>
      <c r="Y51" s="22"/>
      <c r="Z51" s="22"/>
      <c r="AA51" s="22"/>
      <c r="AB51" s="24"/>
      <c r="AC51" s="22"/>
      <c r="AD51" s="22"/>
      <c r="AE51" s="24"/>
      <c r="AF51" s="25"/>
    </row>
    <row r="52">
      <c r="A52" s="21" t="s">
        <v>4521</v>
      </c>
      <c r="B52" s="22" t="s">
        <v>7959</v>
      </c>
      <c r="C52" s="22" t="s">
        <v>294</v>
      </c>
      <c r="D52" s="26">
        <v>45999.0</v>
      </c>
      <c r="E52" s="22" t="s">
        <v>1131</v>
      </c>
      <c r="F52" s="22" t="s">
        <v>4399</v>
      </c>
      <c r="G52" s="22">
        <v>1.0</v>
      </c>
      <c r="H52" s="22" t="s">
        <v>7878</v>
      </c>
      <c r="I52" s="22" t="s">
        <v>4522</v>
      </c>
      <c r="J52" s="22" t="s">
        <v>4521</v>
      </c>
      <c r="K52" s="22" t="s">
        <v>7960</v>
      </c>
      <c r="L52" s="24"/>
      <c r="M52" s="22" t="s">
        <v>7880</v>
      </c>
      <c r="N52" s="24"/>
      <c r="O52" s="22" t="s">
        <v>90</v>
      </c>
      <c r="P52" s="22">
        <v>3.2770322530627E13</v>
      </c>
      <c r="Q52" s="24"/>
      <c r="R52" s="24"/>
      <c r="S52" s="22" t="s">
        <v>5390</v>
      </c>
      <c r="T52" s="22" t="s">
        <v>7046</v>
      </c>
      <c r="U52" s="22" t="s">
        <v>54</v>
      </c>
      <c r="V52" s="22"/>
      <c r="W52" s="24"/>
      <c r="X52" s="22"/>
      <c r="Y52" s="22"/>
      <c r="Z52" s="22"/>
      <c r="AA52" s="22"/>
      <c r="AB52" s="24"/>
      <c r="AC52" s="22"/>
      <c r="AD52" s="22"/>
      <c r="AE52" s="24"/>
      <c r="AF52" s="25"/>
    </row>
    <row r="53">
      <c r="A53" s="21" t="s">
        <v>4345</v>
      </c>
      <c r="B53" s="22" t="s">
        <v>7961</v>
      </c>
      <c r="C53" s="22" t="s">
        <v>294</v>
      </c>
      <c r="D53" s="26">
        <v>45992.0</v>
      </c>
      <c r="E53" s="22" t="s">
        <v>981</v>
      </c>
      <c r="F53" s="22" t="s">
        <v>4346</v>
      </c>
      <c r="G53" s="22">
        <v>1.0</v>
      </c>
      <c r="H53" s="22" t="s">
        <v>7894</v>
      </c>
      <c r="I53" s="22" t="s">
        <v>4347</v>
      </c>
      <c r="J53" s="22" t="s">
        <v>4345</v>
      </c>
      <c r="K53" s="22" t="s">
        <v>7962</v>
      </c>
      <c r="L53" s="24"/>
      <c r="M53" s="22" t="s">
        <v>7896</v>
      </c>
      <c r="N53" s="24"/>
      <c r="O53" s="22" t="s">
        <v>90</v>
      </c>
      <c r="P53" s="22">
        <v>3.2771235905859E13</v>
      </c>
      <c r="Q53" s="24"/>
      <c r="R53" s="24"/>
      <c r="S53" s="22" t="s">
        <v>7229</v>
      </c>
      <c r="T53" s="22" t="s">
        <v>5952</v>
      </c>
      <c r="U53" s="22" t="s">
        <v>55</v>
      </c>
      <c r="V53" s="22"/>
      <c r="W53" s="24"/>
      <c r="X53" s="22"/>
      <c r="Y53" s="22"/>
      <c r="Z53" s="22"/>
      <c r="AA53" s="22"/>
      <c r="AB53" s="24"/>
      <c r="AC53" s="22"/>
      <c r="AD53" s="22"/>
      <c r="AE53" s="24"/>
      <c r="AF53" s="25"/>
    </row>
    <row r="54">
      <c r="A54" s="21" t="s">
        <v>4324</v>
      </c>
      <c r="B54" s="22" t="s">
        <v>7885</v>
      </c>
      <c r="C54" s="22" t="s">
        <v>1284</v>
      </c>
      <c r="D54" s="26">
        <v>45993.0</v>
      </c>
      <c r="E54" s="22" t="s">
        <v>981</v>
      </c>
      <c r="F54" s="22" t="s">
        <v>4325</v>
      </c>
      <c r="G54" s="22">
        <v>1.0</v>
      </c>
      <c r="H54" s="22" t="s">
        <v>7886</v>
      </c>
      <c r="I54" s="22" t="s">
        <v>4326</v>
      </c>
      <c r="J54" s="22" t="s">
        <v>4324</v>
      </c>
      <c r="K54" s="22" t="s">
        <v>7887</v>
      </c>
      <c r="L54" s="24"/>
      <c r="M54" s="22" t="s">
        <v>7888</v>
      </c>
      <c r="N54" s="24"/>
      <c r="O54" s="22" t="s">
        <v>90</v>
      </c>
      <c r="P54" s="22">
        <v>3.2772489183555E13</v>
      </c>
      <c r="Q54" s="24"/>
      <c r="R54" s="24"/>
      <c r="S54" s="22" t="s">
        <v>4382</v>
      </c>
      <c r="T54" s="22" t="s">
        <v>7214</v>
      </c>
      <c r="U54" s="22" t="s">
        <v>54</v>
      </c>
      <c r="V54" s="22"/>
      <c r="W54" s="24"/>
      <c r="X54" s="22"/>
      <c r="Y54" s="22"/>
      <c r="Z54" s="22"/>
      <c r="AA54" s="22"/>
      <c r="AB54" s="24"/>
      <c r="AC54" s="22"/>
      <c r="AD54" s="22"/>
      <c r="AE54" s="24"/>
      <c r="AF54" s="25"/>
    </row>
    <row r="55">
      <c r="A55" s="21" t="s">
        <v>4521</v>
      </c>
      <c r="B55" s="22" t="s">
        <v>7947</v>
      </c>
      <c r="C55" s="22" t="s">
        <v>287</v>
      </c>
      <c r="D55" s="23">
        <v>46001.0</v>
      </c>
      <c r="E55" s="22" t="s">
        <v>266</v>
      </c>
      <c r="F55" s="22" t="s">
        <v>4399</v>
      </c>
      <c r="G55" s="22">
        <v>1.0</v>
      </c>
      <c r="H55" s="22" t="s">
        <v>7878</v>
      </c>
      <c r="I55" s="22" t="s">
        <v>4522</v>
      </c>
      <c r="J55" s="22" t="s">
        <v>4521</v>
      </c>
      <c r="K55" s="22" t="s">
        <v>7948</v>
      </c>
      <c r="L55" s="24"/>
      <c r="M55" s="22" t="s">
        <v>7880</v>
      </c>
      <c r="N55" s="24"/>
      <c r="O55" s="22" t="s">
        <v>90</v>
      </c>
      <c r="P55" s="22">
        <v>3.2772950720835E13</v>
      </c>
      <c r="Q55" s="24"/>
      <c r="R55" s="24"/>
      <c r="S55" s="22" t="s">
        <v>3866</v>
      </c>
      <c r="T55" s="22" t="s">
        <v>4049</v>
      </c>
      <c r="U55" s="22" t="s">
        <v>54</v>
      </c>
      <c r="V55" s="22"/>
      <c r="W55" s="24"/>
      <c r="X55" s="22"/>
      <c r="Y55" s="22"/>
      <c r="Z55" s="22"/>
      <c r="AA55" s="22"/>
      <c r="AB55" s="24"/>
      <c r="AC55" s="22"/>
      <c r="AD55" s="22"/>
      <c r="AE55" s="24"/>
      <c r="AF55" s="25"/>
    </row>
    <row r="56">
      <c r="A56" s="21" t="s">
        <v>4398</v>
      </c>
      <c r="B56" s="22" t="s">
        <v>7945</v>
      </c>
      <c r="C56" s="22" t="s">
        <v>294</v>
      </c>
      <c r="D56" s="26">
        <v>45999.0</v>
      </c>
      <c r="E56" s="22" t="s">
        <v>266</v>
      </c>
      <c r="F56" s="22" t="s">
        <v>4399</v>
      </c>
      <c r="G56" s="22">
        <v>1.0</v>
      </c>
      <c r="H56" s="22" t="s">
        <v>7878</v>
      </c>
      <c r="I56" s="22" t="s">
        <v>4400</v>
      </c>
      <c r="J56" s="22" t="s">
        <v>4398</v>
      </c>
      <c r="K56" s="22" t="s">
        <v>7946</v>
      </c>
      <c r="L56" s="24"/>
      <c r="M56" s="22" t="s">
        <v>7880</v>
      </c>
      <c r="N56" s="24"/>
      <c r="O56" s="22" t="s">
        <v>90</v>
      </c>
      <c r="P56" s="22">
        <v>3.2773249794371E13</v>
      </c>
      <c r="Q56" s="24"/>
      <c r="R56" s="24"/>
      <c r="S56" s="22" t="s">
        <v>7251</v>
      </c>
      <c r="T56" s="22" t="s">
        <v>6687</v>
      </c>
      <c r="U56" s="22" t="s">
        <v>55</v>
      </c>
      <c r="V56" s="22"/>
      <c r="W56" s="24"/>
      <c r="X56" s="22"/>
      <c r="Y56" s="22"/>
      <c r="Z56" s="22"/>
      <c r="AA56" s="22"/>
      <c r="AB56" s="24"/>
      <c r="AC56" s="22"/>
      <c r="AD56" s="22"/>
      <c r="AE56" s="24"/>
      <c r="AF56" s="25"/>
    </row>
    <row r="57">
      <c r="A57" s="21" t="s">
        <v>4345</v>
      </c>
      <c r="B57" s="22" t="s">
        <v>7961</v>
      </c>
      <c r="C57" s="22" t="s">
        <v>294</v>
      </c>
      <c r="D57" s="26">
        <v>45992.0</v>
      </c>
      <c r="E57" s="22" t="s">
        <v>981</v>
      </c>
      <c r="F57" s="22" t="s">
        <v>4346</v>
      </c>
      <c r="G57" s="22">
        <v>1.0</v>
      </c>
      <c r="H57" s="22" t="s">
        <v>7894</v>
      </c>
      <c r="I57" s="22" t="s">
        <v>4347</v>
      </c>
      <c r="J57" s="22" t="s">
        <v>4345</v>
      </c>
      <c r="K57" s="22" t="s">
        <v>7962</v>
      </c>
      <c r="L57" s="24"/>
      <c r="M57" s="22" t="s">
        <v>7896</v>
      </c>
      <c r="N57" s="24"/>
      <c r="O57" s="22" t="s">
        <v>90</v>
      </c>
      <c r="P57" s="22">
        <v>3.2774019809603E13</v>
      </c>
      <c r="Q57" s="24"/>
      <c r="R57" s="24"/>
      <c r="S57" s="22" t="s">
        <v>3707</v>
      </c>
      <c r="T57" s="22" t="s">
        <v>7290</v>
      </c>
      <c r="U57" s="22" t="s">
        <v>55</v>
      </c>
      <c r="V57" s="22"/>
      <c r="W57" s="24"/>
      <c r="X57" s="22"/>
      <c r="Y57" s="22"/>
      <c r="Z57" s="22"/>
      <c r="AA57" s="22"/>
      <c r="AB57" s="24"/>
      <c r="AC57" s="22"/>
      <c r="AD57" s="22"/>
      <c r="AE57" s="24"/>
      <c r="AF57" s="25"/>
    </row>
    <row r="58">
      <c r="A58" s="21" t="s">
        <v>4565</v>
      </c>
      <c r="B58" s="22" t="s">
        <v>7963</v>
      </c>
      <c r="C58" s="22" t="s">
        <v>287</v>
      </c>
      <c r="D58" s="23">
        <v>46001.0</v>
      </c>
      <c r="E58" s="22" t="s">
        <v>981</v>
      </c>
      <c r="F58" s="22" t="s">
        <v>4346</v>
      </c>
      <c r="G58" s="22">
        <v>1.0</v>
      </c>
      <c r="H58" s="22" t="s">
        <v>7894</v>
      </c>
      <c r="I58" s="22" t="s">
        <v>4566</v>
      </c>
      <c r="J58" s="22" t="s">
        <v>4565</v>
      </c>
      <c r="K58" s="22" t="s">
        <v>7964</v>
      </c>
      <c r="L58" s="24"/>
      <c r="M58" s="22" t="s">
        <v>7896</v>
      </c>
      <c r="N58" s="24"/>
      <c r="O58" s="22" t="s">
        <v>90</v>
      </c>
      <c r="P58" s="22">
        <v>3.2774156091715E13</v>
      </c>
      <c r="Q58" s="24"/>
      <c r="R58" s="24"/>
      <c r="S58" s="22" t="s">
        <v>3967</v>
      </c>
      <c r="T58" s="22" t="s">
        <v>7336</v>
      </c>
      <c r="U58" s="22" t="s">
        <v>54</v>
      </c>
      <c r="V58" s="22"/>
      <c r="W58" s="24"/>
      <c r="X58" s="22"/>
      <c r="Y58" s="22"/>
      <c r="Z58" s="22"/>
      <c r="AA58" s="22"/>
      <c r="AB58" s="24"/>
      <c r="AC58" s="22"/>
      <c r="AD58" s="22"/>
      <c r="AE58" s="24"/>
      <c r="AF58" s="25"/>
    </row>
    <row r="59">
      <c r="A59" s="21" t="s">
        <v>4345</v>
      </c>
      <c r="B59" s="22" t="s">
        <v>7961</v>
      </c>
      <c r="C59" s="22" t="s">
        <v>294</v>
      </c>
      <c r="D59" s="26">
        <v>45992.0</v>
      </c>
      <c r="E59" s="22" t="s">
        <v>981</v>
      </c>
      <c r="F59" s="22" t="s">
        <v>4346</v>
      </c>
      <c r="G59" s="22">
        <v>1.0</v>
      </c>
      <c r="H59" s="22" t="s">
        <v>7894</v>
      </c>
      <c r="I59" s="22" t="s">
        <v>4347</v>
      </c>
      <c r="J59" s="22" t="s">
        <v>4345</v>
      </c>
      <c r="K59" s="22" t="s">
        <v>7962</v>
      </c>
      <c r="L59" s="24"/>
      <c r="M59" s="22" t="s">
        <v>7896</v>
      </c>
      <c r="N59" s="24"/>
      <c r="O59" s="22" t="s">
        <v>90</v>
      </c>
      <c r="P59" s="22">
        <v>3.2774300467523E13</v>
      </c>
      <c r="Q59" s="24"/>
      <c r="R59" s="24"/>
      <c r="S59" s="22" t="s">
        <v>7317</v>
      </c>
      <c r="T59" s="22" t="s">
        <v>7318</v>
      </c>
      <c r="U59" s="22" t="s">
        <v>55</v>
      </c>
      <c r="V59" s="22"/>
      <c r="W59" s="24"/>
      <c r="X59" s="22"/>
      <c r="Y59" s="22"/>
      <c r="Z59" s="22"/>
      <c r="AA59" s="22"/>
      <c r="AB59" s="24"/>
      <c r="AC59" s="22"/>
      <c r="AD59" s="22"/>
      <c r="AE59" s="24"/>
      <c r="AF59" s="25"/>
    </row>
    <row r="60">
      <c r="A60" s="21" t="s">
        <v>4324</v>
      </c>
      <c r="B60" s="22" t="s">
        <v>7925</v>
      </c>
      <c r="C60" s="22" t="s">
        <v>202</v>
      </c>
      <c r="D60" s="23">
        <v>46003.0</v>
      </c>
      <c r="E60" s="22" t="s">
        <v>149</v>
      </c>
      <c r="F60" s="22" t="s">
        <v>4325</v>
      </c>
      <c r="G60" s="22">
        <v>1.0</v>
      </c>
      <c r="H60" s="22" t="s">
        <v>7886</v>
      </c>
      <c r="I60" s="22" t="s">
        <v>4326</v>
      </c>
      <c r="J60" s="22" t="s">
        <v>4324</v>
      </c>
      <c r="K60" s="22" t="s">
        <v>7926</v>
      </c>
      <c r="L60" s="24"/>
      <c r="M60" s="22" t="s">
        <v>7888</v>
      </c>
      <c r="N60" s="24"/>
      <c r="O60" s="22" t="s">
        <v>90</v>
      </c>
      <c r="P60" s="22">
        <v>3.2774681362755E13</v>
      </c>
      <c r="Q60" s="24"/>
      <c r="R60" s="24"/>
      <c r="S60" s="22" t="s">
        <v>5699</v>
      </c>
      <c r="T60" s="22" t="s">
        <v>7331</v>
      </c>
      <c r="U60" s="22" t="s">
        <v>54</v>
      </c>
      <c r="V60" s="22"/>
      <c r="W60" s="24"/>
      <c r="X60" s="22"/>
      <c r="Y60" s="22"/>
      <c r="Z60" s="22"/>
      <c r="AA60" s="22"/>
      <c r="AB60" s="24"/>
      <c r="AC60" s="22"/>
      <c r="AD60" s="22"/>
      <c r="AE60" s="24"/>
      <c r="AF60" s="25"/>
    </row>
    <row r="61">
      <c r="A61" s="21" t="s">
        <v>4025</v>
      </c>
      <c r="B61" s="22" t="s">
        <v>7871</v>
      </c>
      <c r="C61" s="22" t="s">
        <v>294</v>
      </c>
      <c r="D61" s="26">
        <v>45999.0</v>
      </c>
      <c r="E61" s="22" t="s">
        <v>196</v>
      </c>
      <c r="F61" s="22" t="s">
        <v>4026</v>
      </c>
      <c r="G61" s="22">
        <v>1.0</v>
      </c>
      <c r="H61" s="22" t="s">
        <v>7872</v>
      </c>
      <c r="I61" s="22" t="s">
        <v>4027</v>
      </c>
      <c r="J61" s="22" t="s">
        <v>4025</v>
      </c>
      <c r="K61" s="22" t="s">
        <v>7873</v>
      </c>
      <c r="L61" s="24"/>
      <c r="M61" s="22" t="s">
        <v>7874</v>
      </c>
      <c r="N61" s="24"/>
      <c r="O61" s="22" t="s">
        <v>90</v>
      </c>
      <c r="P61" s="22">
        <v>3.2774731006275E13</v>
      </c>
      <c r="Q61" s="24"/>
      <c r="R61" s="24"/>
      <c r="S61" s="22" t="s">
        <v>4635</v>
      </c>
      <c r="T61" s="22" t="s">
        <v>7342</v>
      </c>
      <c r="U61" s="22" t="s">
        <v>55</v>
      </c>
      <c r="V61" s="22"/>
      <c r="W61" s="24"/>
      <c r="X61" s="22"/>
      <c r="Y61" s="22"/>
      <c r="Z61" s="22"/>
      <c r="AA61" s="22"/>
      <c r="AB61" s="24"/>
      <c r="AC61" s="22"/>
      <c r="AD61" s="22"/>
      <c r="AE61" s="24"/>
      <c r="AF61" s="25"/>
    </row>
    <row r="62">
      <c r="A62" s="21" t="s">
        <v>4521</v>
      </c>
      <c r="B62" s="22" t="s">
        <v>7965</v>
      </c>
      <c r="C62" s="22" t="s">
        <v>294</v>
      </c>
      <c r="D62" s="26">
        <v>45999.0</v>
      </c>
      <c r="E62" s="22" t="s">
        <v>196</v>
      </c>
      <c r="F62" s="22" t="s">
        <v>4399</v>
      </c>
      <c r="G62" s="22">
        <v>1.0</v>
      </c>
      <c r="H62" s="22" t="s">
        <v>7878</v>
      </c>
      <c r="I62" s="22" t="s">
        <v>4522</v>
      </c>
      <c r="J62" s="22" t="s">
        <v>4521</v>
      </c>
      <c r="K62" s="22" t="s">
        <v>7966</v>
      </c>
      <c r="L62" s="24"/>
      <c r="M62" s="22" t="s">
        <v>7880</v>
      </c>
      <c r="N62" s="24"/>
      <c r="O62" s="22" t="s">
        <v>90</v>
      </c>
      <c r="P62" s="22">
        <v>3.2777482699075E13</v>
      </c>
      <c r="Q62" s="24"/>
      <c r="R62" s="24"/>
      <c r="S62" s="22" t="s">
        <v>4830</v>
      </c>
      <c r="T62" s="22" t="s">
        <v>7421</v>
      </c>
      <c r="U62" s="22" t="s">
        <v>54</v>
      </c>
      <c r="V62" s="22"/>
      <c r="W62" s="24"/>
      <c r="X62" s="22"/>
      <c r="Y62" s="22"/>
      <c r="Z62" s="22"/>
      <c r="AA62" s="22"/>
      <c r="AB62" s="24"/>
      <c r="AC62" s="22"/>
      <c r="AD62" s="22"/>
      <c r="AE62" s="24"/>
      <c r="AF62" s="25"/>
    </row>
    <row r="63">
      <c r="A63" s="21" t="s">
        <v>4044</v>
      </c>
      <c r="B63" s="22" t="s">
        <v>7967</v>
      </c>
      <c r="C63" s="22" t="s">
        <v>336</v>
      </c>
      <c r="D63" s="23">
        <v>46002.0</v>
      </c>
      <c r="E63" s="22" t="s">
        <v>243</v>
      </c>
      <c r="F63" s="22" t="s">
        <v>4045</v>
      </c>
      <c r="G63" s="22">
        <v>1.0</v>
      </c>
      <c r="H63" s="22" t="s">
        <v>7868</v>
      </c>
      <c r="I63" s="22" t="s">
        <v>4046</v>
      </c>
      <c r="J63" s="22" t="s">
        <v>4044</v>
      </c>
      <c r="K63" s="22" t="s">
        <v>7968</v>
      </c>
      <c r="L63" s="24"/>
      <c r="M63" s="22" t="s">
        <v>7870</v>
      </c>
      <c r="N63" s="24"/>
      <c r="O63" s="22" t="s">
        <v>90</v>
      </c>
      <c r="P63" s="22">
        <v>3.2778289545539E13</v>
      </c>
      <c r="Q63" s="24"/>
      <c r="R63" s="24"/>
      <c r="S63" s="22" t="s">
        <v>7448</v>
      </c>
      <c r="T63" s="22" t="s">
        <v>7449</v>
      </c>
      <c r="U63" s="22" t="s">
        <v>55</v>
      </c>
      <c r="V63" s="22"/>
      <c r="W63" s="24"/>
      <c r="X63" s="22"/>
      <c r="Y63" s="22"/>
      <c r="Z63" s="22"/>
      <c r="AA63" s="22"/>
      <c r="AB63" s="24"/>
      <c r="AC63" s="22"/>
      <c r="AD63" s="22"/>
      <c r="AE63" s="24"/>
      <c r="AF63" s="25"/>
    </row>
    <row r="64">
      <c r="A64" s="21" t="s">
        <v>4521</v>
      </c>
      <c r="B64" s="22" t="s">
        <v>7969</v>
      </c>
      <c r="C64" s="22" t="s">
        <v>294</v>
      </c>
      <c r="D64" s="26">
        <v>45992.0</v>
      </c>
      <c r="E64" s="22" t="s">
        <v>3381</v>
      </c>
      <c r="F64" s="22" t="s">
        <v>4399</v>
      </c>
      <c r="G64" s="22">
        <v>1.0</v>
      </c>
      <c r="H64" s="22" t="s">
        <v>7878</v>
      </c>
      <c r="I64" s="22" t="s">
        <v>4522</v>
      </c>
      <c r="J64" s="22" t="s">
        <v>4521</v>
      </c>
      <c r="K64" s="22" t="s">
        <v>7970</v>
      </c>
      <c r="L64" s="24"/>
      <c r="M64" s="22" t="s">
        <v>7880</v>
      </c>
      <c r="N64" s="24"/>
      <c r="O64" s="22" t="s">
        <v>90</v>
      </c>
      <c r="P64" s="22">
        <v>3.2779003429187E13</v>
      </c>
      <c r="Q64" s="24"/>
      <c r="R64" s="24"/>
      <c r="S64" s="22" t="s">
        <v>7474</v>
      </c>
      <c r="T64" s="22" t="s">
        <v>7475</v>
      </c>
      <c r="U64" s="22" t="s">
        <v>54</v>
      </c>
      <c r="V64" s="22"/>
      <c r="W64" s="24"/>
      <c r="X64" s="22"/>
      <c r="Y64" s="22"/>
      <c r="Z64" s="22"/>
      <c r="AA64" s="22"/>
      <c r="AB64" s="24"/>
      <c r="AC64" s="22"/>
      <c r="AD64" s="22"/>
      <c r="AE64" s="24"/>
      <c r="AF64" s="25"/>
    </row>
    <row r="65">
      <c r="A65" s="21" t="s">
        <v>4521</v>
      </c>
      <c r="B65" s="22" t="s">
        <v>7971</v>
      </c>
      <c r="C65" s="22" t="s">
        <v>287</v>
      </c>
      <c r="D65" s="26">
        <v>45994.0</v>
      </c>
      <c r="E65" s="22" t="s">
        <v>3353</v>
      </c>
      <c r="F65" s="22" t="s">
        <v>4399</v>
      </c>
      <c r="G65" s="22">
        <v>1.0</v>
      </c>
      <c r="H65" s="22" t="s">
        <v>7878</v>
      </c>
      <c r="I65" s="22" t="s">
        <v>4522</v>
      </c>
      <c r="J65" s="22" t="s">
        <v>4521</v>
      </c>
      <c r="K65" s="22" t="s">
        <v>7972</v>
      </c>
      <c r="L65" s="24"/>
      <c r="M65" s="22" t="s">
        <v>7880</v>
      </c>
      <c r="N65" s="24"/>
      <c r="O65" s="22" t="s">
        <v>90</v>
      </c>
      <c r="P65" s="22">
        <v>3.2779447370051E13</v>
      </c>
      <c r="Q65" s="24"/>
      <c r="R65" s="24"/>
      <c r="S65" s="22" t="s">
        <v>4019</v>
      </c>
      <c r="T65" s="22" t="s">
        <v>7497</v>
      </c>
      <c r="U65" s="22" t="s">
        <v>54</v>
      </c>
      <c r="V65" s="22"/>
      <c r="W65" s="24"/>
      <c r="X65" s="22"/>
      <c r="Y65" s="22"/>
      <c r="Z65" s="22"/>
      <c r="AA65" s="22"/>
      <c r="AB65" s="24"/>
      <c r="AC65" s="22"/>
      <c r="AD65" s="22"/>
      <c r="AE65" s="24"/>
      <c r="AF65" s="25"/>
    </row>
    <row r="66">
      <c r="A66" s="21" t="s">
        <v>4105</v>
      </c>
      <c r="B66" s="22" t="s">
        <v>7973</v>
      </c>
      <c r="C66" s="22" t="s">
        <v>287</v>
      </c>
      <c r="D66" s="26">
        <v>45994.0</v>
      </c>
      <c r="E66" s="22" t="s">
        <v>497</v>
      </c>
      <c r="F66" s="22" t="s">
        <v>4026</v>
      </c>
      <c r="G66" s="22">
        <v>1.0</v>
      </c>
      <c r="H66" s="22" t="s">
        <v>7872</v>
      </c>
      <c r="I66" s="22" t="s">
        <v>4106</v>
      </c>
      <c r="J66" s="22" t="s">
        <v>4105</v>
      </c>
      <c r="K66" s="22" t="s">
        <v>7974</v>
      </c>
      <c r="L66" s="24"/>
      <c r="M66" s="22" t="s">
        <v>7874</v>
      </c>
      <c r="N66" s="24"/>
      <c r="O66" s="22" t="s">
        <v>90</v>
      </c>
      <c r="P66" s="22">
        <v>3.2779903664451E13</v>
      </c>
      <c r="Q66" s="24"/>
      <c r="R66" s="24"/>
      <c r="S66" s="22" t="s">
        <v>7523</v>
      </c>
      <c r="T66" s="22" t="s">
        <v>7524</v>
      </c>
      <c r="U66" s="22" t="s">
        <v>54</v>
      </c>
      <c r="V66" s="22"/>
      <c r="W66" s="24"/>
      <c r="X66" s="22"/>
      <c r="Y66" s="22"/>
      <c r="Z66" s="22"/>
      <c r="AA66" s="22"/>
      <c r="AB66" s="24"/>
      <c r="AC66" s="22"/>
      <c r="AD66" s="22"/>
      <c r="AE66" s="24"/>
      <c r="AF66" s="25"/>
    </row>
    <row r="67">
      <c r="A67" s="21" t="s">
        <v>4025</v>
      </c>
      <c r="B67" s="22" t="s">
        <v>7938</v>
      </c>
      <c r="C67" s="22" t="s">
        <v>287</v>
      </c>
      <c r="D67" s="26">
        <v>45994.0</v>
      </c>
      <c r="E67" s="22" t="s">
        <v>196</v>
      </c>
      <c r="F67" s="22" t="s">
        <v>4026</v>
      </c>
      <c r="G67" s="22">
        <v>1.0</v>
      </c>
      <c r="H67" s="22" t="s">
        <v>7872</v>
      </c>
      <c r="I67" s="22" t="s">
        <v>4027</v>
      </c>
      <c r="J67" s="22" t="s">
        <v>4025</v>
      </c>
      <c r="K67" s="22" t="s">
        <v>7975</v>
      </c>
      <c r="L67" s="24"/>
      <c r="M67" s="22" t="s">
        <v>7874</v>
      </c>
      <c r="N67" s="24"/>
      <c r="O67" s="22" t="s">
        <v>90</v>
      </c>
      <c r="P67" s="22">
        <v>3.2781775601987E13</v>
      </c>
      <c r="Q67" s="24"/>
      <c r="R67" s="24"/>
      <c r="S67" s="22" t="s">
        <v>7579</v>
      </c>
      <c r="T67" s="22" t="s">
        <v>7580</v>
      </c>
      <c r="U67" s="22" t="s">
        <v>55</v>
      </c>
      <c r="V67" s="22"/>
      <c r="W67" s="24"/>
      <c r="X67" s="22"/>
      <c r="Y67" s="22"/>
      <c r="Z67" s="22"/>
      <c r="AA67" s="22"/>
      <c r="AB67" s="24"/>
      <c r="AC67" s="22"/>
      <c r="AD67" s="22"/>
      <c r="AE67" s="24"/>
      <c r="AF67" s="25"/>
    </row>
    <row r="68">
      <c r="A68" s="21" t="s">
        <v>4044</v>
      </c>
      <c r="B68" s="22" t="s">
        <v>7918</v>
      </c>
      <c r="C68" s="22" t="s">
        <v>336</v>
      </c>
      <c r="D68" s="23">
        <v>46002.0</v>
      </c>
      <c r="E68" s="22" t="s">
        <v>149</v>
      </c>
      <c r="F68" s="22" t="s">
        <v>4045</v>
      </c>
      <c r="G68" s="22">
        <v>1.0</v>
      </c>
      <c r="H68" s="22" t="s">
        <v>7868</v>
      </c>
      <c r="I68" s="22" t="s">
        <v>4046</v>
      </c>
      <c r="J68" s="22" t="s">
        <v>4044</v>
      </c>
      <c r="K68" s="22" t="s">
        <v>7976</v>
      </c>
      <c r="L68" s="24"/>
      <c r="M68" s="22" t="s">
        <v>7870</v>
      </c>
      <c r="N68" s="24"/>
      <c r="O68" s="22" t="s">
        <v>90</v>
      </c>
      <c r="P68" s="22">
        <v>3.2785197826371E13</v>
      </c>
      <c r="Q68" s="24"/>
      <c r="R68" s="24"/>
      <c r="S68" s="22" t="s">
        <v>6060</v>
      </c>
      <c r="T68" s="22" t="s">
        <v>7701</v>
      </c>
      <c r="U68" s="22" t="s">
        <v>55</v>
      </c>
      <c r="V68" s="22"/>
      <c r="W68" s="24"/>
      <c r="X68" s="22"/>
      <c r="Y68" s="22"/>
      <c r="Z68" s="22"/>
      <c r="AA68" s="22"/>
      <c r="AB68" s="24"/>
      <c r="AC68" s="22"/>
      <c r="AD68" s="22"/>
      <c r="AE68" s="24"/>
      <c r="AF68" s="25"/>
    </row>
    <row r="69">
      <c r="A69" s="21" t="s">
        <v>4044</v>
      </c>
      <c r="B69" s="22" t="s">
        <v>7977</v>
      </c>
      <c r="C69" s="22" t="s">
        <v>336</v>
      </c>
      <c r="D69" s="26">
        <v>45995.0</v>
      </c>
      <c r="E69" s="22" t="s">
        <v>196</v>
      </c>
      <c r="F69" s="22" t="s">
        <v>4045</v>
      </c>
      <c r="G69" s="22">
        <v>1.0</v>
      </c>
      <c r="H69" s="22" t="s">
        <v>7868</v>
      </c>
      <c r="I69" s="22" t="s">
        <v>4046</v>
      </c>
      <c r="J69" s="22" t="s">
        <v>4044</v>
      </c>
      <c r="K69" s="22" t="s">
        <v>7978</v>
      </c>
      <c r="L69" s="24"/>
      <c r="M69" s="22" t="s">
        <v>7870</v>
      </c>
      <c r="N69" s="24"/>
      <c r="O69" s="22" t="s">
        <v>90</v>
      </c>
      <c r="P69" s="22">
        <v>3.2782066024771E13</v>
      </c>
      <c r="Q69" s="24"/>
      <c r="R69" s="24"/>
      <c r="S69" s="22" t="s">
        <v>4877</v>
      </c>
      <c r="T69" s="22" t="s">
        <v>7594</v>
      </c>
      <c r="U69" s="22" t="s">
        <v>55</v>
      </c>
      <c r="V69" s="22"/>
      <c r="W69" s="24"/>
      <c r="X69" s="22"/>
      <c r="Y69" s="22"/>
      <c r="Z69" s="22"/>
      <c r="AA69" s="22"/>
      <c r="AB69" s="24"/>
      <c r="AC69" s="22"/>
      <c r="AD69" s="22"/>
      <c r="AE69" s="24"/>
      <c r="AF69" s="25"/>
    </row>
    <row r="70">
      <c r="A70" s="21" t="s">
        <v>4565</v>
      </c>
      <c r="B70" s="22" t="s">
        <v>7979</v>
      </c>
      <c r="C70" s="22" t="s">
        <v>287</v>
      </c>
      <c r="D70" s="23">
        <v>46001.0</v>
      </c>
      <c r="E70" s="22" t="s">
        <v>192</v>
      </c>
      <c r="F70" s="22" t="s">
        <v>4346</v>
      </c>
      <c r="G70" s="22">
        <v>1.0</v>
      </c>
      <c r="H70" s="22" t="s">
        <v>7894</v>
      </c>
      <c r="I70" s="22" t="s">
        <v>4566</v>
      </c>
      <c r="J70" s="22" t="s">
        <v>4565</v>
      </c>
      <c r="K70" s="22" t="s">
        <v>7980</v>
      </c>
      <c r="L70" s="24"/>
      <c r="M70" s="22" t="s">
        <v>7896</v>
      </c>
      <c r="N70" s="24"/>
      <c r="O70" s="22" t="s">
        <v>90</v>
      </c>
      <c r="P70" s="22">
        <v>3.2786448286019E13</v>
      </c>
      <c r="Q70" s="24"/>
      <c r="R70" s="24"/>
      <c r="S70" s="22" t="s">
        <v>3707</v>
      </c>
      <c r="T70" s="22" t="s">
        <v>7738</v>
      </c>
      <c r="U70" s="22" t="s">
        <v>54</v>
      </c>
      <c r="V70" s="22"/>
      <c r="W70" s="24"/>
      <c r="X70" s="22"/>
      <c r="Y70" s="22"/>
      <c r="Z70" s="22"/>
      <c r="AA70" s="22"/>
      <c r="AB70" s="24"/>
      <c r="AC70" s="22"/>
      <c r="AD70" s="22"/>
      <c r="AE70" s="24"/>
      <c r="AF70" s="25"/>
    </row>
    <row r="71">
      <c r="A71" s="21" t="s">
        <v>4025</v>
      </c>
      <c r="B71" s="22" t="s">
        <v>7871</v>
      </c>
      <c r="C71" s="22" t="s">
        <v>294</v>
      </c>
      <c r="D71" s="26">
        <v>45999.0</v>
      </c>
      <c r="E71" s="22" t="s">
        <v>196</v>
      </c>
      <c r="F71" s="22" t="s">
        <v>4026</v>
      </c>
      <c r="G71" s="22">
        <v>1.0</v>
      </c>
      <c r="H71" s="22" t="s">
        <v>7872</v>
      </c>
      <c r="I71" s="22" t="s">
        <v>4027</v>
      </c>
      <c r="J71" s="22" t="s">
        <v>4025</v>
      </c>
      <c r="K71" s="22" t="s">
        <v>7981</v>
      </c>
      <c r="L71" s="24"/>
      <c r="M71" s="22" t="s">
        <v>7874</v>
      </c>
      <c r="N71" s="24"/>
      <c r="O71" s="22" t="s">
        <v>90</v>
      </c>
      <c r="P71" s="22">
        <v>3.2782069760323E13</v>
      </c>
      <c r="Q71" s="24"/>
      <c r="R71" s="24"/>
      <c r="S71" s="22" t="s">
        <v>6884</v>
      </c>
      <c r="T71" s="22" t="s">
        <v>7597</v>
      </c>
      <c r="U71" s="22" t="s">
        <v>55</v>
      </c>
      <c r="V71" s="22"/>
      <c r="W71" s="24"/>
      <c r="X71" s="22"/>
      <c r="Y71" s="22"/>
      <c r="Z71" s="22"/>
      <c r="AA71" s="22"/>
      <c r="AB71" s="24"/>
      <c r="AC71" s="22"/>
      <c r="AD71" s="22"/>
      <c r="AE71" s="24"/>
      <c r="AF71" s="25"/>
    </row>
    <row r="72">
      <c r="A72" s="21" t="s">
        <v>4345</v>
      </c>
      <c r="B72" s="22" t="s">
        <v>7982</v>
      </c>
      <c r="C72" s="22" t="s">
        <v>294</v>
      </c>
      <c r="D72" s="26">
        <v>45992.0</v>
      </c>
      <c r="E72" s="22" t="s">
        <v>248</v>
      </c>
      <c r="F72" s="22" t="s">
        <v>4346</v>
      </c>
      <c r="G72" s="22">
        <v>1.0</v>
      </c>
      <c r="H72" s="22" t="s">
        <v>7894</v>
      </c>
      <c r="I72" s="22" t="s">
        <v>4347</v>
      </c>
      <c r="J72" s="22" t="s">
        <v>4345</v>
      </c>
      <c r="K72" s="22" t="s">
        <v>7983</v>
      </c>
      <c r="L72" s="24"/>
      <c r="M72" s="22" t="s">
        <v>7896</v>
      </c>
      <c r="N72" s="24"/>
      <c r="O72" s="22" t="s">
        <v>90</v>
      </c>
      <c r="P72" s="22">
        <v>3.2782096236867E13</v>
      </c>
      <c r="Q72" s="24"/>
      <c r="R72" s="24"/>
      <c r="S72" s="22" t="s">
        <v>7984</v>
      </c>
      <c r="T72" s="22" t="s">
        <v>7985</v>
      </c>
      <c r="U72" s="22" t="s">
        <v>55</v>
      </c>
      <c r="V72" s="22"/>
      <c r="W72" s="24"/>
      <c r="X72" s="22"/>
      <c r="Y72" s="22"/>
      <c r="Z72" s="22"/>
      <c r="AA72" s="22"/>
      <c r="AB72" s="24"/>
      <c r="AC72" s="22"/>
      <c r="AD72" s="22"/>
      <c r="AE72" s="24"/>
      <c r="AF72" s="25"/>
    </row>
    <row r="73">
      <c r="A73" s="21" t="s">
        <v>4398</v>
      </c>
      <c r="B73" s="22" t="s">
        <v>7889</v>
      </c>
      <c r="C73" s="22" t="s">
        <v>294</v>
      </c>
      <c r="D73" s="26">
        <v>45992.0</v>
      </c>
      <c r="E73" s="22" t="s">
        <v>196</v>
      </c>
      <c r="F73" s="22" t="s">
        <v>4399</v>
      </c>
      <c r="G73" s="22">
        <v>1.0</v>
      </c>
      <c r="H73" s="22" t="s">
        <v>7878</v>
      </c>
      <c r="I73" s="22" t="s">
        <v>4400</v>
      </c>
      <c r="J73" s="22" t="s">
        <v>4398</v>
      </c>
      <c r="K73" s="22" t="s">
        <v>7986</v>
      </c>
      <c r="L73" s="24"/>
      <c r="M73" s="22" t="s">
        <v>7880</v>
      </c>
      <c r="N73" s="24"/>
      <c r="O73" s="22" t="s">
        <v>90</v>
      </c>
      <c r="P73" s="22">
        <v>3.2785821958467E13</v>
      </c>
      <c r="Q73" s="24"/>
      <c r="R73" s="24"/>
      <c r="S73" s="22" t="s">
        <v>3840</v>
      </c>
      <c r="T73" s="22" t="s">
        <v>7731</v>
      </c>
      <c r="U73" s="22" t="s">
        <v>55</v>
      </c>
      <c r="V73" s="22"/>
      <c r="W73" s="24"/>
      <c r="X73" s="22"/>
      <c r="Y73" s="22"/>
      <c r="Z73" s="22"/>
      <c r="AA73" s="22"/>
      <c r="AB73" s="24"/>
      <c r="AC73" s="22"/>
      <c r="AD73" s="22"/>
      <c r="AE73" s="24"/>
      <c r="AF73" s="25"/>
    </row>
    <row r="74">
      <c r="A74" s="21" t="s">
        <v>4521</v>
      </c>
      <c r="B74" s="22" t="s">
        <v>7877</v>
      </c>
      <c r="C74" s="22" t="s">
        <v>294</v>
      </c>
      <c r="D74" s="26">
        <v>45992.0</v>
      </c>
      <c r="E74" s="22" t="s">
        <v>1400</v>
      </c>
      <c r="F74" s="22" t="s">
        <v>4399</v>
      </c>
      <c r="G74" s="22">
        <v>1.0</v>
      </c>
      <c r="H74" s="22" t="s">
        <v>7878</v>
      </c>
      <c r="I74" s="22" t="s">
        <v>4522</v>
      </c>
      <c r="J74" s="22" t="s">
        <v>4521</v>
      </c>
      <c r="K74" s="22" t="s">
        <v>7987</v>
      </c>
      <c r="L74" s="24"/>
      <c r="M74" s="22" t="s">
        <v>7880</v>
      </c>
      <c r="N74" s="24"/>
      <c r="O74" s="22" t="s">
        <v>90</v>
      </c>
      <c r="P74" s="22">
        <v>3.2788602356035E13</v>
      </c>
      <c r="Q74" s="24"/>
      <c r="R74" s="24"/>
      <c r="S74" s="22" t="s">
        <v>4663</v>
      </c>
      <c r="T74" s="22" t="s">
        <v>6034</v>
      </c>
      <c r="U74" s="22" t="s">
        <v>54</v>
      </c>
      <c r="V74" s="22"/>
      <c r="W74" s="24"/>
      <c r="X74" s="22"/>
      <c r="Y74" s="22"/>
      <c r="Z74" s="22"/>
      <c r="AA74" s="22"/>
      <c r="AB74" s="24"/>
      <c r="AC74" s="22"/>
      <c r="AD74" s="22"/>
      <c r="AE74" s="24"/>
      <c r="AF74" s="25"/>
    </row>
    <row r="75">
      <c r="A75" s="21" t="s">
        <v>4105</v>
      </c>
      <c r="B75" s="22" t="s">
        <v>7973</v>
      </c>
      <c r="C75" s="22" t="s">
        <v>287</v>
      </c>
      <c r="D75" s="26">
        <v>45994.0</v>
      </c>
      <c r="E75" s="22" t="s">
        <v>497</v>
      </c>
      <c r="F75" s="22" t="s">
        <v>4026</v>
      </c>
      <c r="G75" s="22">
        <v>1.0</v>
      </c>
      <c r="H75" s="22" t="s">
        <v>7872</v>
      </c>
      <c r="I75" s="22" t="s">
        <v>4106</v>
      </c>
      <c r="J75" s="22" t="s">
        <v>4105</v>
      </c>
      <c r="K75" s="22" t="s">
        <v>7974</v>
      </c>
      <c r="L75" s="24"/>
      <c r="M75" s="22" t="s">
        <v>7874</v>
      </c>
      <c r="N75" s="24"/>
      <c r="O75" s="22" t="s">
        <v>90</v>
      </c>
      <c r="P75" s="22">
        <v>3.2799464980803E13</v>
      </c>
      <c r="Q75" s="24"/>
      <c r="R75" s="24"/>
      <c r="S75" s="22" t="s">
        <v>7988</v>
      </c>
      <c r="T75" s="22" t="s">
        <v>7989</v>
      </c>
      <c r="U75" s="22" t="s">
        <v>54</v>
      </c>
      <c r="V75" s="22"/>
      <c r="W75" s="24"/>
      <c r="X75" s="22"/>
      <c r="Y75" s="22"/>
      <c r="Z75" s="22"/>
      <c r="AA75" s="22"/>
      <c r="AB75" s="24"/>
      <c r="AC75" s="22"/>
      <c r="AD75" s="22"/>
      <c r="AE75" s="24"/>
      <c r="AF75" s="25"/>
    </row>
    <row r="76">
      <c r="A76" s="21" t="s">
        <v>4741</v>
      </c>
      <c r="B76" s="22" t="s">
        <v>7990</v>
      </c>
      <c r="C76" s="22" t="s">
        <v>202</v>
      </c>
      <c r="D76" s="26">
        <v>45996.0</v>
      </c>
      <c r="E76" s="22" t="s">
        <v>149</v>
      </c>
      <c r="F76" s="22" t="s">
        <v>4325</v>
      </c>
      <c r="G76" s="22">
        <v>1.0</v>
      </c>
      <c r="H76" s="22" t="s">
        <v>7886</v>
      </c>
      <c r="I76" s="22" t="s">
        <v>4742</v>
      </c>
      <c r="J76" s="22" t="s">
        <v>4741</v>
      </c>
      <c r="K76" s="22" t="s">
        <v>7991</v>
      </c>
      <c r="L76" s="24"/>
      <c r="M76" s="22" t="s">
        <v>7888</v>
      </c>
      <c r="N76" s="24"/>
      <c r="O76" s="22" t="s">
        <v>90</v>
      </c>
      <c r="P76" s="22">
        <v>3.2799702483267E13</v>
      </c>
      <c r="Q76" s="24"/>
      <c r="R76" s="24"/>
      <c r="S76" s="22" t="s">
        <v>7992</v>
      </c>
      <c r="T76" s="22" t="s">
        <v>7993</v>
      </c>
      <c r="U76" s="22" t="s">
        <v>55</v>
      </c>
      <c r="V76" s="22"/>
      <c r="W76" s="24"/>
      <c r="X76" s="22"/>
      <c r="Y76" s="22"/>
      <c r="Z76" s="22"/>
      <c r="AA76" s="22"/>
      <c r="AB76" s="24"/>
      <c r="AC76" s="22"/>
      <c r="AD76" s="22"/>
      <c r="AE76" s="24"/>
      <c r="AF76" s="25"/>
    </row>
    <row r="77">
      <c r="A77" s="21" t="s">
        <v>4521</v>
      </c>
      <c r="B77" s="22" t="s">
        <v>7994</v>
      </c>
      <c r="C77" s="22" t="s">
        <v>294</v>
      </c>
      <c r="D77" s="26">
        <v>45999.0</v>
      </c>
      <c r="E77" s="22" t="s">
        <v>3381</v>
      </c>
      <c r="F77" s="22" t="s">
        <v>4399</v>
      </c>
      <c r="G77" s="22">
        <v>1.0</v>
      </c>
      <c r="H77" s="22" t="s">
        <v>7878</v>
      </c>
      <c r="I77" s="22" t="s">
        <v>4522</v>
      </c>
      <c r="J77" s="22" t="s">
        <v>4521</v>
      </c>
      <c r="K77" s="22" t="s">
        <v>7995</v>
      </c>
      <c r="L77" s="24"/>
      <c r="M77" s="22" t="s">
        <v>7880</v>
      </c>
      <c r="N77" s="24"/>
      <c r="O77" s="22" t="s">
        <v>90</v>
      </c>
      <c r="P77" s="22">
        <v>3.2799879332163E13</v>
      </c>
      <c r="Q77" s="24"/>
      <c r="R77" s="24"/>
      <c r="S77" s="22" t="s">
        <v>7996</v>
      </c>
      <c r="T77" s="22" t="s">
        <v>7997</v>
      </c>
      <c r="U77" s="22" t="s">
        <v>54</v>
      </c>
      <c r="V77" s="22"/>
      <c r="W77" s="24"/>
      <c r="X77" s="22"/>
      <c r="Y77" s="22"/>
      <c r="Z77" s="22"/>
      <c r="AA77" s="22"/>
      <c r="AB77" s="24"/>
      <c r="AC77" s="22"/>
      <c r="AD77" s="22"/>
      <c r="AE77" s="24"/>
      <c r="AF77" s="25"/>
    </row>
    <row r="78">
      <c r="A78" s="21" t="s">
        <v>4398</v>
      </c>
      <c r="B78" s="22" t="s">
        <v>7998</v>
      </c>
      <c r="C78" s="22" t="s">
        <v>287</v>
      </c>
      <c r="D78" s="26">
        <v>45994.0</v>
      </c>
      <c r="E78" s="22" t="s">
        <v>192</v>
      </c>
      <c r="F78" s="22" t="s">
        <v>4399</v>
      </c>
      <c r="G78" s="22">
        <v>1.0</v>
      </c>
      <c r="H78" s="22" t="s">
        <v>7878</v>
      </c>
      <c r="I78" s="22" t="s">
        <v>4400</v>
      </c>
      <c r="J78" s="22" t="s">
        <v>4398</v>
      </c>
      <c r="K78" s="22" t="s">
        <v>7999</v>
      </c>
      <c r="L78" s="24"/>
      <c r="M78" s="22" t="s">
        <v>7880</v>
      </c>
      <c r="N78" s="24"/>
      <c r="O78" s="22" t="s">
        <v>90</v>
      </c>
      <c r="P78" s="22">
        <v>3.2801046888771E13</v>
      </c>
      <c r="Q78" s="24"/>
      <c r="R78" s="24"/>
      <c r="S78" s="22" t="s">
        <v>8000</v>
      </c>
      <c r="T78" s="22" t="s">
        <v>8001</v>
      </c>
      <c r="U78" s="22" t="s">
        <v>55</v>
      </c>
      <c r="V78" s="22"/>
      <c r="W78" s="24"/>
      <c r="X78" s="22"/>
      <c r="Y78" s="22"/>
      <c r="Z78" s="22"/>
      <c r="AA78" s="22"/>
      <c r="AB78" s="24"/>
      <c r="AC78" s="22"/>
      <c r="AD78" s="22"/>
      <c r="AE78" s="24"/>
      <c r="AF78" s="25"/>
    </row>
    <row r="79">
      <c r="A79" s="21" t="s">
        <v>4565</v>
      </c>
      <c r="B79" s="22" t="s">
        <v>8002</v>
      </c>
      <c r="C79" s="22" t="s">
        <v>294</v>
      </c>
      <c r="D79" s="26">
        <v>45999.0</v>
      </c>
      <c r="E79" s="22" t="s">
        <v>497</v>
      </c>
      <c r="F79" s="22" t="s">
        <v>4346</v>
      </c>
      <c r="G79" s="22">
        <v>1.0</v>
      </c>
      <c r="H79" s="22" t="s">
        <v>7894</v>
      </c>
      <c r="I79" s="22" t="s">
        <v>4566</v>
      </c>
      <c r="J79" s="22" t="s">
        <v>4565</v>
      </c>
      <c r="K79" s="22" t="s">
        <v>8003</v>
      </c>
      <c r="L79" s="24"/>
      <c r="M79" s="22" t="s">
        <v>7896</v>
      </c>
      <c r="N79" s="24"/>
      <c r="O79" s="22" t="s">
        <v>90</v>
      </c>
      <c r="P79" s="22">
        <v>3.2803527459139E13</v>
      </c>
      <c r="Q79" s="24"/>
      <c r="R79" s="24"/>
      <c r="S79" s="22" t="s">
        <v>8004</v>
      </c>
      <c r="T79" s="22" t="s">
        <v>8005</v>
      </c>
      <c r="U79" s="22" t="s">
        <v>54</v>
      </c>
      <c r="V79" s="22"/>
      <c r="W79" s="24"/>
      <c r="X79" s="22"/>
      <c r="Y79" s="22"/>
      <c r="Z79" s="22"/>
      <c r="AA79" s="22"/>
      <c r="AB79" s="24"/>
      <c r="AC79" s="22"/>
      <c r="AD79" s="22"/>
      <c r="AE79" s="24"/>
      <c r="AF79" s="25"/>
    </row>
    <row r="80">
      <c r="A80" s="21" t="s">
        <v>4345</v>
      </c>
      <c r="B80" s="22" t="s">
        <v>7914</v>
      </c>
      <c r="C80" s="22" t="s">
        <v>336</v>
      </c>
      <c r="D80" s="26">
        <v>45995.0</v>
      </c>
      <c r="E80" s="22" t="s">
        <v>266</v>
      </c>
      <c r="F80" s="22" t="s">
        <v>4346</v>
      </c>
      <c r="G80" s="22">
        <v>1.0</v>
      </c>
      <c r="H80" s="22" t="s">
        <v>7894</v>
      </c>
      <c r="I80" s="22" t="s">
        <v>4347</v>
      </c>
      <c r="J80" s="22" t="s">
        <v>4345</v>
      </c>
      <c r="K80" s="22" t="s">
        <v>8006</v>
      </c>
      <c r="L80" s="24"/>
      <c r="M80" s="22" t="s">
        <v>7896</v>
      </c>
      <c r="N80" s="24"/>
      <c r="O80" s="22" t="s">
        <v>90</v>
      </c>
      <c r="P80" s="22">
        <v>3.2807309148483E13</v>
      </c>
      <c r="Q80" s="24"/>
      <c r="R80" s="24"/>
      <c r="S80" s="22" t="s">
        <v>6236</v>
      </c>
      <c r="T80" s="22" t="s">
        <v>8007</v>
      </c>
      <c r="U80" s="22" t="s">
        <v>55</v>
      </c>
      <c r="V80" s="22"/>
      <c r="W80" s="24"/>
      <c r="X80" s="22"/>
      <c r="Y80" s="22"/>
      <c r="Z80" s="22"/>
      <c r="AA80" s="22"/>
      <c r="AB80" s="24"/>
      <c r="AC80" s="22"/>
      <c r="AD80" s="22"/>
      <c r="AE80" s="24"/>
      <c r="AF80" s="25"/>
    </row>
    <row r="81">
      <c r="A81" s="21" t="s">
        <v>4521</v>
      </c>
      <c r="B81" s="22" t="s">
        <v>7965</v>
      </c>
      <c r="C81" s="22" t="s">
        <v>294</v>
      </c>
      <c r="D81" s="26">
        <v>45999.0</v>
      </c>
      <c r="E81" s="22" t="s">
        <v>196</v>
      </c>
      <c r="F81" s="22" t="s">
        <v>4399</v>
      </c>
      <c r="G81" s="22">
        <v>1.0</v>
      </c>
      <c r="H81" s="22" t="s">
        <v>7878</v>
      </c>
      <c r="I81" s="22" t="s">
        <v>4522</v>
      </c>
      <c r="J81" s="22" t="s">
        <v>4521</v>
      </c>
      <c r="K81" s="22" t="s">
        <v>8008</v>
      </c>
      <c r="L81" s="24"/>
      <c r="M81" s="22" t="s">
        <v>7880</v>
      </c>
      <c r="N81" s="24"/>
      <c r="O81" s="22" t="s">
        <v>90</v>
      </c>
      <c r="P81" s="22">
        <v>3.2808709194051E13</v>
      </c>
      <c r="Q81" s="24"/>
      <c r="R81" s="24"/>
      <c r="S81" s="22" t="s">
        <v>8009</v>
      </c>
      <c r="T81" s="22" t="s">
        <v>8010</v>
      </c>
      <c r="U81" s="22" t="s">
        <v>54</v>
      </c>
      <c r="V81" s="22"/>
      <c r="W81" s="24"/>
      <c r="X81" s="22"/>
      <c r="Y81" s="22"/>
      <c r="Z81" s="22"/>
      <c r="AA81" s="22"/>
      <c r="AB81" s="24"/>
      <c r="AC81" s="22"/>
      <c r="AD81" s="22"/>
      <c r="AE81" s="24"/>
      <c r="AF81" s="25"/>
    </row>
    <row r="82">
      <c r="A82" s="21" t="s">
        <v>4741</v>
      </c>
      <c r="B82" s="22" t="s">
        <v>8011</v>
      </c>
      <c r="C82" s="22" t="s">
        <v>202</v>
      </c>
      <c r="D82" s="26">
        <v>45996.0</v>
      </c>
      <c r="E82" s="22" t="s">
        <v>243</v>
      </c>
      <c r="F82" s="22" t="s">
        <v>4325</v>
      </c>
      <c r="G82" s="22">
        <v>1.0</v>
      </c>
      <c r="H82" s="22" t="s">
        <v>7886</v>
      </c>
      <c r="I82" s="22" t="s">
        <v>4742</v>
      </c>
      <c r="J82" s="22" t="s">
        <v>4741</v>
      </c>
      <c r="K82" s="22" t="s">
        <v>8012</v>
      </c>
      <c r="L82" s="24"/>
      <c r="M82" s="22" t="s">
        <v>7888</v>
      </c>
      <c r="N82" s="24"/>
      <c r="O82" s="22" t="s">
        <v>90</v>
      </c>
      <c r="P82" s="22">
        <v>3.2809726378307E13</v>
      </c>
      <c r="Q82" s="24"/>
      <c r="R82" s="24"/>
      <c r="S82" s="22" t="s">
        <v>4834</v>
      </c>
      <c r="T82" s="22" t="s">
        <v>8013</v>
      </c>
      <c r="U82" s="22" t="s">
        <v>55</v>
      </c>
      <c r="V82" s="22"/>
      <c r="W82" s="24"/>
      <c r="X82" s="22"/>
      <c r="Y82" s="22"/>
      <c r="Z82" s="22"/>
      <c r="AA82" s="22"/>
      <c r="AB82" s="24"/>
      <c r="AC82" s="22"/>
      <c r="AD82" s="22"/>
      <c r="AE82" s="24"/>
      <c r="AF82" s="25"/>
    </row>
    <row r="83">
      <c r="A83" s="21" t="s">
        <v>4398</v>
      </c>
      <c r="B83" s="22" t="s">
        <v>8014</v>
      </c>
      <c r="C83" s="22" t="s">
        <v>287</v>
      </c>
      <c r="D83" s="26">
        <v>45994.0</v>
      </c>
      <c r="E83" s="22" t="s">
        <v>181</v>
      </c>
      <c r="F83" s="22" t="s">
        <v>4399</v>
      </c>
      <c r="G83" s="22">
        <v>1.0</v>
      </c>
      <c r="H83" s="22" t="s">
        <v>7878</v>
      </c>
      <c r="I83" s="22" t="s">
        <v>4400</v>
      </c>
      <c r="J83" s="22" t="s">
        <v>4398</v>
      </c>
      <c r="K83" s="22" t="s">
        <v>8015</v>
      </c>
      <c r="L83" s="24"/>
      <c r="M83" s="22" t="s">
        <v>7880</v>
      </c>
      <c r="N83" s="24"/>
      <c r="O83" s="22" t="s">
        <v>90</v>
      </c>
      <c r="P83" s="22">
        <v>3.2809983836483E13</v>
      </c>
      <c r="Q83" s="24"/>
      <c r="R83" s="24"/>
      <c r="S83" s="22" t="s">
        <v>8016</v>
      </c>
      <c r="T83" s="22" t="s">
        <v>8017</v>
      </c>
      <c r="U83" s="22" t="s">
        <v>55</v>
      </c>
      <c r="V83" s="22"/>
      <c r="W83" s="24"/>
      <c r="X83" s="22"/>
      <c r="Y83" s="22"/>
      <c r="Z83" s="22"/>
      <c r="AA83" s="22"/>
      <c r="AB83" s="24"/>
      <c r="AC83" s="22"/>
      <c r="AD83" s="22"/>
      <c r="AE83" s="24"/>
      <c r="AF83" s="25"/>
    </row>
    <row r="84">
      <c r="A84" s="21" t="s">
        <v>4398</v>
      </c>
      <c r="B84" s="22" t="s">
        <v>8018</v>
      </c>
      <c r="C84" s="22" t="s">
        <v>287</v>
      </c>
      <c r="D84" s="26">
        <v>45994.0</v>
      </c>
      <c r="E84" s="22" t="s">
        <v>1400</v>
      </c>
      <c r="F84" s="22" t="s">
        <v>4399</v>
      </c>
      <c r="G84" s="22">
        <v>1.0</v>
      </c>
      <c r="H84" s="22" t="s">
        <v>7878</v>
      </c>
      <c r="I84" s="22" t="s">
        <v>4400</v>
      </c>
      <c r="J84" s="22" t="s">
        <v>4398</v>
      </c>
      <c r="K84" s="22" t="s">
        <v>8019</v>
      </c>
      <c r="L84" s="24"/>
      <c r="M84" s="22" t="s">
        <v>7880</v>
      </c>
      <c r="N84" s="24"/>
      <c r="O84" s="22" t="s">
        <v>90</v>
      </c>
      <c r="P84" s="22">
        <v>3.2810036855107E13</v>
      </c>
      <c r="Q84" s="24"/>
      <c r="R84" s="24"/>
      <c r="S84" s="22" t="s">
        <v>8020</v>
      </c>
      <c r="T84" s="22" t="s">
        <v>8021</v>
      </c>
      <c r="U84" s="22" t="s">
        <v>55</v>
      </c>
      <c r="V84" s="22"/>
      <c r="W84" s="24"/>
      <c r="X84" s="22"/>
      <c r="Y84" s="22"/>
      <c r="Z84" s="22"/>
      <c r="AA84" s="22"/>
      <c r="AB84" s="24"/>
      <c r="AC84" s="22"/>
      <c r="AD84" s="22"/>
      <c r="AE84" s="24"/>
      <c r="AF84" s="25"/>
    </row>
    <row r="85">
      <c r="A85" s="21" t="s">
        <v>4044</v>
      </c>
      <c r="B85" s="22" t="s">
        <v>8022</v>
      </c>
      <c r="C85" s="22" t="s">
        <v>336</v>
      </c>
      <c r="D85" s="26">
        <v>45995.0</v>
      </c>
      <c r="E85" s="22" t="s">
        <v>981</v>
      </c>
      <c r="F85" s="22" t="s">
        <v>4045</v>
      </c>
      <c r="G85" s="22">
        <v>1.0</v>
      </c>
      <c r="H85" s="22" t="s">
        <v>7868</v>
      </c>
      <c r="I85" s="22" t="s">
        <v>4046</v>
      </c>
      <c r="J85" s="22" t="s">
        <v>4044</v>
      </c>
      <c r="K85" s="22" t="s">
        <v>8023</v>
      </c>
      <c r="L85" s="24"/>
      <c r="M85" s="22" t="s">
        <v>7870</v>
      </c>
      <c r="N85" s="24"/>
      <c r="O85" s="22" t="s">
        <v>90</v>
      </c>
      <c r="P85" s="22">
        <v>3.2810176807235E13</v>
      </c>
      <c r="Q85" s="24"/>
      <c r="R85" s="24"/>
      <c r="S85" s="22" t="s">
        <v>6039</v>
      </c>
      <c r="T85" s="22" t="s">
        <v>8024</v>
      </c>
      <c r="U85" s="22" t="s">
        <v>55</v>
      </c>
      <c r="V85" s="22"/>
      <c r="W85" s="24"/>
      <c r="X85" s="22"/>
      <c r="Y85" s="22"/>
      <c r="Z85" s="22"/>
      <c r="AA85" s="22"/>
      <c r="AB85" s="24"/>
      <c r="AC85" s="22"/>
      <c r="AD85" s="22"/>
      <c r="AE85" s="24"/>
      <c r="AF85" s="25"/>
    </row>
    <row r="86">
      <c r="A86" s="21" t="s">
        <v>4345</v>
      </c>
      <c r="B86" s="22" t="s">
        <v>8025</v>
      </c>
      <c r="C86" s="22" t="s">
        <v>287</v>
      </c>
      <c r="D86" s="23">
        <v>46001.0</v>
      </c>
      <c r="E86" s="22" t="s">
        <v>192</v>
      </c>
      <c r="F86" s="22" t="s">
        <v>4346</v>
      </c>
      <c r="G86" s="22">
        <v>1.0</v>
      </c>
      <c r="H86" s="22" t="s">
        <v>7894</v>
      </c>
      <c r="I86" s="22" t="s">
        <v>4347</v>
      </c>
      <c r="J86" s="22" t="s">
        <v>4345</v>
      </c>
      <c r="K86" s="22" t="s">
        <v>7980</v>
      </c>
      <c r="L86" s="24"/>
      <c r="M86" s="22" t="s">
        <v>7896</v>
      </c>
      <c r="N86" s="24"/>
      <c r="O86" s="22" t="s">
        <v>90</v>
      </c>
      <c r="P86" s="22">
        <v>3.2810351165763E13</v>
      </c>
      <c r="Q86" s="24"/>
      <c r="R86" s="24"/>
      <c r="S86" s="22" t="s">
        <v>5261</v>
      </c>
      <c r="T86" s="22" t="s">
        <v>8026</v>
      </c>
      <c r="U86" s="22" t="s">
        <v>55</v>
      </c>
      <c r="V86" s="22"/>
      <c r="W86" s="24"/>
      <c r="X86" s="22"/>
      <c r="Y86" s="22"/>
      <c r="Z86" s="22"/>
      <c r="AA86" s="22"/>
      <c r="AB86" s="24"/>
      <c r="AC86" s="22"/>
      <c r="AD86" s="22"/>
      <c r="AE86" s="24"/>
      <c r="AF86" s="25"/>
    </row>
    <row r="87">
      <c r="A87" s="21" t="s">
        <v>4105</v>
      </c>
      <c r="B87" s="22" t="s">
        <v>7940</v>
      </c>
      <c r="C87" s="22" t="s">
        <v>287</v>
      </c>
      <c r="D87" s="23">
        <v>46001.0</v>
      </c>
      <c r="E87" s="22" t="s">
        <v>192</v>
      </c>
      <c r="F87" s="22" t="s">
        <v>4026</v>
      </c>
      <c r="G87" s="22">
        <v>1.0</v>
      </c>
      <c r="H87" s="22" t="s">
        <v>7872</v>
      </c>
      <c r="I87" s="22" t="s">
        <v>4106</v>
      </c>
      <c r="J87" s="22" t="s">
        <v>4105</v>
      </c>
      <c r="K87" s="22" t="s">
        <v>8027</v>
      </c>
      <c r="L87" s="24"/>
      <c r="M87" s="22" t="s">
        <v>7874</v>
      </c>
      <c r="N87" s="24"/>
      <c r="O87" s="22" t="s">
        <v>90</v>
      </c>
      <c r="P87" s="22">
        <v>3.2811179344195E13</v>
      </c>
      <c r="Q87" s="24"/>
      <c r="R87" s="24"/>
      <c r="S87" s="22" t="s">
        <v>8028</v>
      </c>
      <c r="T87" s="22" t="s">
        <v>8029</v>
      </c>
      <c r="U87" s="22" t="s">
        <v>54</v>
      </c>
      <c r="V87" s="22"/>
      <c r="W87" s="24"/>
      <c r="X87" s="22"/>
      <c r="Y87" s="22"/>
      <c r="Z87" s="22"/>
      <c r="AA87" s="22"/>
      <c r="AB87" s="24"/>
      <c r="AC87" s="22"/>
      <c r="AD87" s="22"/>
      <c r="AE87" s="24"/>
      <c r="AF87" s="25"/>
    </row>
    <row r="88">
      <c r="A88" s="21" t="s">
        <v>4398</v>
      </c>
      <c r="B88" s="22" t="s">
        <v>8030</v>
      </c>
      <c r="C88" s="22" t="s">
        <v>287</v>
      </c>
      <c r="D88" s="26">
        <v>45994.0</v>
      </c>
      <c r="E88" s="22" t="s">
        <v>3381</v>
      </c>
      <c r="F88" s="22" t="s">
        <v>4399</v>
      </c>
      <c r="G88" s="22">
        <v>1.0</v>
      </c>
      <c r="H88" s="22" t="s">
        <v>7878</v>
      </c>
      <c r="I88" s="22" t="s">
        <v>4400</v>
      </c>
      <c r="J88" s="22" t="s">
        <v>4398</v>
      </c>
      <c r="K88" s="22" t="s">
        <v>8031</v>
      </c>
      <c r="L88" s="24"/>
      <c r="M88" s="22" t="s">
        <v>7880</v>
      </c>
      <c r="N88" s="24"/>
      <c r="O88" s="22" t="s">
        <v>90</v>
      </c>
      <c r="P88" s="22">
        <v>3.2811530977603E13</v>
      </c>
      <c r="Q88" s="24"/>
      <c r="R88" s="24"/>
      <c r="S88" s="22" t="s">
        <v>7456</v>
      </c>
      <c r="T88" s="22" t="s">
        <v>5073</v>
      </c>
      <c r="U88" s="22" t="s">
        <v>55</v>
      </c>
      <c r="V88" s="22"/>
      <c r="W88" s="24"/>
      <c r="X88" s="22"/>
      <c r="Y88" s="22"/>
      <c r="Z88" s="22"/>
      <c r="AA88" s="22"/>
      <c r="AB88" s="24"/>
      <c r="AC88" s="22"/>
      <c r="AD88" s="22"/>
      <c r="AE88" s="24"/>
      <c r="AF88" s="25"/>
    </row>
    <row r="89">
      <c r="A89" s="21" t="s">
        <v>4345</v>
      </c>
      <c r="B89" s="22" t="s">
        <v>8025</v>
      </c>
      <c r="C89" s="22" t="s">
        <v>287</v>
      </c>
      <c r="D89" s="23">
        <v>46001.0</v>
      </c>
      <c r="E89" s="22" t="s">
        <v>192</v>
      </c>
      <c r="F89" s="22" t="s">
        <v>4346</v>
      </c>
      <c r="G89" s="22">
        <v>1.0</v>
      </c>
      <c r="H89" s="22" t="s">
        <v>7894</v>
      </c>
      <c r="I89" s="22" t="s">
        <v>4347</v>
      </c>
      <c r="J89" s="22" t="s">
        <v>4345</v>
      </c>
      <c r="K89" s="22" t="s">
        <v>7980</v>
      </c>
      <c r="L89" s="24"/>
      <c r="M89" s="22" t="s">
        <v>7896</v>
      </c>
      <c r="N89" s="24"/>
      <c r="O89" s="22" t="s">
        <v>90</v>
      </c>
      <c r="P89" s="22">
        <v>3.2811605983555E13</v>
      </c>
      <c r="Q89" s="24"/>
      <c r="R89" s="24"/>
      <c r="S89" s="22" t="s">
        <v>8032</v>
      </c>
      <c r="T89" s="22" t="s">
        <v>4066</v>
      </c>
      <c r="U89" s="22" t="s">
        <v>55</v>
      </c>
      <c r="V89" s="22"/>
      <c r="W89" s="24"/>
      <c r="X89" s="22"/>
      <c r="Y89" s="22"/>
      <c r="Z89" s="22"/>
      <c r="AA89" s="22"/>
      <c r="AB89" s="24"/>
      <c r="AC89" s="22"/>
      <c r="AD89" s="22"/>
      <c r="AE89" s="24"/>
      <c r="AF89" s="25"/>
    </row>
    <row r="90">
      <c r="A90" s="21" t="s">
        <v>4741</v>
      </c>
      <c r="B90" s="22" t="s">
        <v>8033</v>
      </c>
      <c r="C90" s="22" t="s">
        <v>1284</v>
      </c>
      <c r="D90" s="26">
        <v>46000.0</v>
      </c>
      <c r="E90" s="22" t="s">
        <v>192</v>
      </c>
      <c r="F90" s="22" t="s">
        <v>4325</v>
      </c>
      <c r="G90" s="22">
        <v>1.0</v>
      </c>
      <c r="H90" s="22" t="s">
        <v>7886</v>
      </c>
      <c r="I90" s="22" t="s">
        <v>4742</v>
      </c>
      <c r="J90" s="22" t="s">
        <v>4741</v>
      </c>
      <c r="K90" s="22" t="s">
        <v>8034</v>
      </c>
      <c r="L90" s="24"/>
      <c r="M90" s="22" t="s">
        <v>7888</v>
      </c>
      <c r="N90" s="24"/>
      <c r="O90" s="22" t="s">
        <v>90</v>
      </c>
      <c r="P90" s="22">
        <v>3.2812763054403E13</v>
      </c>
      <c r="Q90" s="24"/>
      <c r="R90" s="24"/>
      <c r="S90" s="22" t="s">
        <v>8035</v>
      </c>
      <c r="T90" s="22" t="s">
        <v>8036</v>
      </c>
      <c r="U90" s="22" t="s">
        <v>55</v>
      </c>
      <c r="V90" s="22"/>
      <c r="W90" s="24"/>
      <c r="X90" s="22"/>
      <c r="Y90" s="22"/>
      <c r="Z90" s="22"/>
      <c r="AA90" s="22"/>
      <c r="AB90" s="24"/>
      <c r="AC90" s="22"/>
      <c r="AD90" s="22"/>
      <c r="AE90" s="24"/>
      <c r="AF90" s="25"/>
    </row>
    <row r="91">
      <c r="A91" s="21" t="s">
        <v>4398</v>
      </c>
      <c r="B91" s="22" t="s">
        <v>8018</v>
      </c>
      <c r="C91" s="22" t="s">
        <v>287</v>
      </c>
      <c r="D91" s="26">
        <v>45994.0</v>
      </c>
      <c r="E91" s="22" t="s">
        <v>1400</v>
      </c>
      <c r="F91" s="22" t="s">
        <v>4399</v>
      </c>
      <c r="G91" s="22">
        <v>1.0</v>
      </c>
      <c r="H91" s="22" t="s">
        <v>7878</v>
      </c>
      <c r="I91" s="22" t="s">
        <v>4400</v>
      </c>
      <c r="J91" s="22" t="s">
        <v>4398</v>
      </c>
      <c r="K91" s="22" t="s">
        <v>8019</v>
      </c>
      <c r="L91" s="24"/>
      <c r="M91" s="22" t="s">
        <v>7880</v>
      </c>
      <c r="N91" s="24"/>
      <c r="O91" s="22" t="s">
        <v>90</v>
      </c>
      <c r="P91" s="22">
        <v>3.2812854968643E13</v>
      </c>
      <c r="Q91" s="24"/>
      <c r="R91" s="24"/>
      <c r="S91" s="22" t="s">
        <v>4498</v>
      </c>
      <c r="T91" s="22" t="s">
        <v>8037</v>
      </c>
      <c r="U91" s="22" t="s">
        <v>55</v>
      </c>
      <c r="V91" s="22"/>
      <c r="W91" s="24"/>
      <c r="X91" s="22"/>
      <c r="Y91" s="22"/>
      <c r="Z91" s="22"/>
      <c r="AA91" s="22"/>
      <c r="AB91" s="24"/>
      <c r="AC91" s="22"/>
      <c r="AD91" s="22"/>
      <c r="AE91" s="24"/>
      <c r="AF91" s="25"/>
    </row>
    <row r="92">
      <c r="A92" s="21" t="s">
        <v>4105</v>
      </c>
      <c r="B92" s="22" t="s">
        <v>7871</v>
      </c>
      <c r="C92" s="22" t="s">
        <v>294</v>
      </c>
      <c r="D92" s="26">
        <v>45999.0</v>
      </c>
      <c r="E92" s="22" t="s">
        <v>196</v>
      </c>
      <c r="F92" s="22" t="s">
        <v>4026</v>
      </c>
      <c r="G92" s="22">
        <v>1.0</v>
      </c>
      <c r="H92" s="22" t="s">
        <v>7872</v>
      </c>
      <c r="I92" s="22" t="s">
        <v>4106</v>
      </c>
      <c r="J92" s="22" t="s">
        <v>4105</v>
      </c>
      <c r="K92" s="22" t="s">
        <v>7981</v>
      </c>
      <c r="L92" s="24"/>
      <c r="M92" s="22" t="s">
        <v>7874</v>
      </c>
      <c r="N92" s="24"/>
      <c r="O92" s="22" t="s">
        <v>90</v>
      </c>
      <c r="P92" s="22">
        <v>3.2816430940483E13</v>
      </c>
      <c r="Q92" s="24"/>
      <c r="R92" s="24"/>
      <c r="S92" s="22" t="s">
        <v>4365</v>
      </c>
      <c r="T92" s="22" t="s">
        <v>6225</v>
      </c>
      <c r="U92" s="22" t="s">
        <v>54</v>
      </c>
      <c r="V92" s="22"/>
      <c r="W92" s="24"/>
      <c r="X92" s="22"/>
      <c r="Y92" s="22"/>
      <c r="Z92" s="22"/>
      <c r="AA92" s="22"/>
      <c r="AB92" s="24"/>
      <c r="AC92" s="22"/>
      <c r="AD92" s="22"/>
      <c r="AE92" s="24"/>
      <c r="AF92" s="25"/>
    </row>
    <row r="93">
      <c r="A93" s="21" t="s">
        <v>4565</v>
      </c>
      <c r="B93" s="22" t="s">
        <v>8038</v>
      </c>
      <c r="C93" s="22" t="s">
        <v>336</v>
      </c>
      <c r="D93" s="26">
        <v>45995.0</v>
      </c>
      <c r="E93" s="22" t="s">
        <v>981</v>
      </c>
      <c r="F93" s="22" t="s">
        <v>4346</v>
      </c>
      <c r="G93" s="22">
        <v>1.0</v>
      </c>
      <c r="H93" s="22" t="s">
        <v>7894</v>
      </c>
      <c r="I93" s="22" t="s">
        <v>4566</v>
      </c>
      <c r="J93" s="22" t="s">
        <v>4565</v>
      </c>
      <c r="K93" s="22" t="s">
        <v>8039</v>
      </c>
      <c r="L93" s="24"/>
      <c r="M93" s="22" t="s">
        <v>7896</v>
      </c>
      <c r="N93" s="24"/>
      <c r="O93" s="22" t="s">
        <v>90</v>
      </c>
      <c r="P93" s="22">
        <v>3.2817111630147E13</v>
      </c>
      <c r="Q93" s="24"/>
      <c r="R93" s="24"/>
      <c r="S93" s="22" t="s">
        <v>4806</v>
      </c>
      <c r="T93" s="22" t="s">
        <v>8040</v>
      </c>
      <c r="U93" s="22" t="s">
        <v>54</v>
      </c>
      <c r="V93" s="22"/>
      <c r="W93" s="24"/>
      <c r="X93" s="22"/>
      <c r="Y93" s="22"/>
      <c r="Z93" s="22"/>
      <c r="AA93" s="22"/>
      <c r="AB93" s="24"/>
      <c r="AC93" s="22"/>
      <c r="AD93" s="22"/>
      <c r="AE93" s="24"/>
      <c r="AF93" s="25"/>
    </row>
    <row r="94">
      <c r="A94" s="21" t="s">
        <v>4025</v>
      </c>
      <c r="B94" s="22" t="s">
        <v>8041</v>
      </c>
      <c r="C94" s="22" t="s">
        <v>294</v>
      </c>
      <c r="D94" s="26">
        <v>45999.0</v>
      </c>
      <c r="E94" s="22" t="s">
        <v>243</v>
      </c>
      <c r="F94" s="22" t="s">
        <v>4026</v>
      </c>
      <c r="G94" s="22">
        <v>1.0</v>
      </c>
      <c r="H94" s="22" t="s">
        <v>7872</v>
      </c>
      <c r="I94" s="22" t="s">
        <v>4027</v>
      </c>
      <c r="J94" s="22" t="s">
        <v>4025</v>
      </c>
      <c r="K94" s="22" t="s">
        <v>8042</v>
      </c>
      <c r="L94" s="24"/>
      <c r="M94" s="22" t="s">
        <v>7874</v>
      </c>
      <c r="N94" s="24"/>
      <c r="O94" s="22" t="s">
        <v>90</v>
      </c>
      <c r="P94" s="22">
        <v>3.2818290590019E13</v>
      </c>
      <c r="Q94" s="24"/>
      <c r="R94" s="24"/>
      <c r="S94" s="22" t="s">
        <v>5261</v>
      </c>
      <c r="T94" s="22" t="s">
        <v>6840</v>
      </c>
      <c r="U94" s="22" t="s">
        <v>55</v>
      </c>
      <c r="V94" s="22"/>
      <c r="W94" s="24"/>
      <c r="X94" s="22"/>
      <c r="Y94" s="22"/>
      <c r="Z94" s="22"/>
      <c r="AA94" s="22"/>
      <c r="AB94" s="24"/>
      <c r="AC94" s="22"/>
      <c r="AD94" s="22"/>
      <c r="AE94" s="24"/>
      <c r="AF94" s="25"/>
    </row>
    <row r="95">
      <c r="A95" s="21" t="s">
        <v>4345</v>
      </c>
      <c r="B95" s="22" t="s">
        <v>7914</v>
      </c>
      <c r="C95" s="22" t="s">
        <v>336</v>
      </c>
      <c r="D95" s="26">
        <v>45995.0</v>
      </c>
      <c r="E95" s="22" t="s">
        <v>266</v>
      </c>
      <c r="F95" s="22" t="s">
        <v>4346</v>
      </c>
      <c r="G95" s="22">
        <v>1.0</v>
      </c>
      <c r="H95" s="22" t="s">
        <v>7894</v>
      </c>
      <c r="I95" s="22" t="s">
        <v>4347</v>
      </c>
      <c r="J95" s="22" t="s">
        <v>4345</v>
      </c>
      <c r="K95" s="22" t="s">
        <v>8006</v>
      </c>
      <c r="L95" s="24"/>
      <c r="M95" s="22" t="s">
        <v>7896</v>
      </c>
      <c r="N95" s="24"/>
      <c r="O95" s="22" t="s">
        <v>90</v>
      </c>
      <c r="P95" s="22">
        <v>3.2818434900291E13</v>
      </c>
      <c r="Q95" s="24"/>
      <c r="R95" s="24"/>
      <c r="S95" s="22" t="s">
        <v>8043</v>
      </c>
      <c r="T95" s="22" t="s">
        <v>8044</v>
      </c>
      <c r="U95" s="22" t="s">
        <v>55</v>
      </c>
      <c r="V95" s="22"/>
      <c r="W95" s="24"/>
      <c r="X95" s="22"/>
      <c r="Y95" s="22"/>
      <c r="Z95" s="22"/>
      <c r="AA95" s="22"/>
      <c r="AB95" s="24"/>
      <c r="AC95" s="22"/>
      <c r="AD95" s="22"/>
      <c r="AE95" s="24"/>
      <c r="AF95" s="25"/>
    </row>
    <row r="96">
      <c r="A96" s="21" t="s">
        <v>4345</v>
      </c>
      <c r="B96" s="22" t="s">
        <v>8045</v>
      </c>
      <c r="C96" s="22" t="s">
        <v>336</v>
      </c>
      <c r="D96" s="26">
        <v>45995.0</v>
      </c>
      <c r="E96" s="22" t="s">
        <v>149</v>
      </c>
      <c r="F96" s="22" t="s">
        <v>4346</v>
      </c>
      <c r="G96" s="22">
        <v>1.0</v>
      </c>
      <c r="H96" s="22" t="s">
        <v>7894</v>
      </c>
      <c r="I96" s="22" t="s">
        <v>4347</v>
      </c>
      <c r="J96" s="22" t="s">
        <v>4345</v>
      </c>
      <c r="K96" s="22" t="s">
        <v>8046</v>
      </c>
      <c r="L96" s="24"/>
      <c r="M96" s="22" t="s">
        <v>7896</v>
      </c>
      <c r="N96" s="24"/>
      <c r="O96" s="22" t="s">
        <v>90</v>
      </c>
      <c r="P96" s="22">
        <v>3.2816619225411E13</v>
      </c>
      <c r="Q96" s="24"/>
      <c r="R96" s="24"/>
      <c r="S96" s="22" t="s">
        <v>4271</v>
      </c>
      <c r="T96" s="22" t="s">
        <v>8047</v>
      </c>
      <c r="U96" s="22" t="s">
        <v>55</v>
      </c>
      <c r="V96" s="22"/>
      <c r="W96" s="24"/>
      <c r="X96" s="22"/>
      <c r="Y96" s="22"/>
      <c r="Z96" s="22"/>
      <c r="AA96" s="22"/>
      <c r="AB96" s="24"/>
      <c r="AC96" s="22"/>
      <c r="AD96" s="22"/>
      <c r="AE96" s="24"/>
      <c r="AF96" s="25"/>
    </row>
    <row r="97">
      <c r="A97" s="21" t="s">
        <v>4044</v>
      </c>
      <c r="B97" s="22" t="s">
        <v>8048</v>
      </c>
      <c r="C97" s="22" t="s">
        <v>336</v>
      </c>
      <c r="D97" s="26">
        <v>45995.0</v>
      </c>
      <c r="E97" s="22" t="s">
        <v>192</v>
      </c>
      <c r="F97" s="22" t="s">
        <v>4045</v>
      </c>
      <c r="G97" s="22">
        <v>1.0</v>
      </c>
      <c r="H97" s="22" t="s">
        <v>7868</v>
      </c>
      <c r="I97" s="22" t="s">
        <v>4046</v>
      </c>
      <c r="J97" s="22" t="s">
        <v>4044</v>
      </c>
      <c r="K97" s="22" t="s">
        <v>8049</v>
      </c>
      <c r="L97" s="24"/>
      <c r="M97" s="22" t="s">
        <v>7870</v>
      </c>
      <c r="N97" s="24"/>
      <c r="O97" s="22" t="s">
        <v>90</v>
      </c>
      <c r="P97" s="22">
        <v>3.2816771760451E13</v>
      </c>
      <c r="Q97" s="24"/>
      <c r="R97" s="24"/>
      <c r="S97" s="22" t="s">
        <v>3898</v>
      </c>
      <c r="T97" s="22" t="s">
        <v>8050</v>
      </c>
      <c r="U97" s="22" t="s">
        <v>55</v>
      </c>
      <c r="V97" s="22"/>
      <c r="W97" s="24"/>
      <c r="X97" s="22"/>
      <c r="Y97" s="22"/>
      <c r="Z97" s="22"/>
      <c r="AA97" s="22"/>
      <c r="AB97" s="24"/>
      <c r="AC97" s="22"/>
      <c r="AD97" s="22"/>
      <c r="AE97" s="24"/>
      <c r="AF97" s="25"/>
    </row>
    <row r="98">
      <c r="A98" s="21" t="s">
        <v>4345</v>
      </c>
      <c r="B98" s="22" t="s">
        <v>8051</v>
      </c>
      <c r="C98" s="22" t="s">
        <v>294</v>
      </c>
      <c r="D98" s="26">
        <v>45999.0</v>
      </c>
      <c r="E98" s="22" t="s">
        <v>243</v>
      </c>
      <c r="F98" s="22" t="s">
        <v>4346</v>
      </c>
      <c r="G98" s="22">
        <v>1.0</v>
      </c>
      <c r="H98" s="22" t="s">
        <v>7894</v>
      </c>
      <c r="I98" s="22" t="s">
        <v>4347</v>
      </c>
      <c r="J98" s="22" t="s">
        <v>4345</v>
      </c>
      <c r="K98" s="22" t="s">
        <v>8052</v>
      </c>
      <c r="L98" s="24"/>
      <c r="M98" s="22" t="s">
        <v>7896</v>
      </c>
      <c r="N98" s="24"/>
      <c r="O98" s="22" t="s">
        <v>90</v>
      </c>
      <c r="P98" s="22">
        <v>3.2817027252547E13</v>
      </c>
      <c r="Q98" s="24"/>
      <c r="R98" s="24"/>
      <c r="S98" s="22" t="s">
        <v>8053</v>
      </c>
      <c r="T98" s="22" t="s">
        <v>8054</v>
      </c>
      <c r="U98" s="22" t="s">
        <v>55</v>
      </c>
      <c r="V98" s="22"/>
      <c r="W98" s="24"/>
      <c r="X98" s="22"/>
      <c r="Y98" s="22"/>
      <c r="Z98" s="22"/>
      <c r="AA98" s="22"/>
      <c r="AB98" s="24"/>
      <c r="AC98" s="22"/>
      <c r="AD98" s="22"/>
      <c r="AE98" s="24"/>
      <c r="AF98" s="25"/>
    </row>
    <row r="99">
      <c r="A99" s="21" t="s">
        <v>4398</v>
      </c>
      <c r="B99" s="22" t="s">
        <v>8018</v>
      </c>
      <c r="C99" s="22" t="s">
        <v>287</v>
      </c>
      <c r="D99" s="26">
        <v>45994.0</v>
      </c>
      <c r="E99" s="22" t="s">
        <v>1400</v>
      </c>
      <c r="F99" s="22" t="s">
        <v>4399</v>
      </c>
      <c r="G99" s="22">
        <v>1.0</v>
      </c>
      <c r="H99" s="22" t="s">
        <v>7878</v>
      </c>
      <c r="I99" s="22" t="s">
        <v>4400</v>
      </c>
      <c r="J99" s="22" t="s">
        <v>4398</v>
      </c>
      <c r="K99" s="22" t="s">
        <v>8019</v>
      </c>
      <c r="L99" s="24"/>
      <c r="M99" s="22" t="s">
        <v>7880</v>
      </c>
      <c r="N99" s="24"/>
      <c r="O99" s="22" t="s">
        <v>90</v>
      </c>
      <c r="P99" s="22">
        <v>3.2818882183491E13</v>
      </c>
      <c r="Q99" s="24"/>
      <c r="R99" s="24"/>
      <c r="S99" s="22" t="s">
        <v>8055</v>
      </c>
      <c r="T99" s="22" t="s">
        <v>8056</v>
      </c>
      <c r="U99" s="22" t="s">
        <v>55</v>
      </c>
      <c r="V99" s="22"/>
      <c r="W99" s="24"/>
      <c r="X99" s="22"/>
      <c r="Y99" s="22"/>
      <c r="Z99" s="22"/>
      <c r="AA99" s="22"/>
      <c r="AB99" s="24"/>
      <c r="AC99" s="22"/>
      <c r="AD99" s="22"/>
      <c r="AE99" s="24"/>
      <c r="AF99" s="25"/>
    </row>
    <row r="100">
      <c r="A100" s="21" t="s">
        <v>4025</v>
      </c>
      <c r="B100" s="22" t="s">
        <v>7973</v>
      </c>
      <c r="C100" s="22" t="s">
        <v>287</v>
      </c>
      <c r="D100" s="26">
        <v>45994.0</v>
      </c>
      <c r="E100" s="22" t="s">
        <v>497</v>
      </c>
      <c r="F100" s="22" t="s">
        <v>4026</v>
      </c>
      <c r="G100" s="22">
        <v>1.0</v>
      </c>
      <c r="H100" s="22" t="s">
        <v>7872</v>
      </c>
      <c r="I100" s="22" t="s">
        <v>4027</v>
      </c>
      <c r="J100" s="22" t="s">
        <v>4025</v>
      </c>
      <c r="K100" s="22" t="s">
        <v>7974</v>
      </c>
      <c r="L100" s="24"/>
      <c r="M100" s="22" t="s">
        <v>7874</v>
      </c>
      <c r="N100" s="24"/>
      <c r="O100" s="22" t="s">
        <v>90</v>
      </c>
      <c r="P100" s="22">
        <v>3.2819236864323E13</v>
      </c>
      <c r="Q100" s="24"/>
      <c r="R100" s="24"/>
      <c r="S100" s="22" t="s">
        <v>4311</v>
      </c>
      <c r="T100" s="22" t="s">
        <v>8057</v>
      </c>
      <c r="U100" s="22" t="s">
        <v>55</v>
      </c>
      <c r="V100" s="22"/>
      <c r="W100" s="24"/>
      <c r="X100" s="22"/>
      <c r="Y100" s="22"/>
      <c r="Z100" s="22"/>
      <c r="AA100" s="22"/>
      <c r="AB100" s="24"/>
      <c r="AC100" s="22"/>
      <c r="AD100" s="22"/>
      <c r="AE100" s="24"/>
      <c r="AF100" s="25"/>
    </row>
    <row r="101">
      <c r="A101" s="21" t="s">
        <v>4398</v>
      </c>
      <c r="B101" s="22" t="s">
        <v>8014</v>
      </c>
      <c r="C101" s="22" t="s">
        <v>287</v>
      </c>
      <c r="D101" s="26">
        <v>45994.0</v>
      </c>
      <c r="E101" s="22" t="s">
        <v>181</v>
      </c>
      <c r="F101" s="22" t="s">
        <v>4399</v>
      </c>
      <c r="G101" s="22">
        <v>1.0</v>
      </c>
      <c r="H101" s="22" t="s">
        <v>7878</v>
      </c>
      <c r="I101" s="22" t="s">
        <v>4400</v>
      </c>
      <c r="J101" s="22" t="s">
        <v>4398</v>
      </c>
      <c r="K101" s="22" t="s">
        <v>8015</v>
      </c>
      <c r="L101" s="24"/>
      <c r="M101" s="22" t="s">
        <v>7880</v>
      </c>
      <c r="N101" s="24"/>
      <c r="O101" s="22" t="s">
        <v>90</v>
      </c>
      <c r="P101" s="22">
        <v>3.2819572572483E13</v>
      </c>
      <c r="Q101" s="24"/>
      <c r="R101" s="24"/>
      <c r="S101" s="22" t="s">
        <v>4959</v>
      </c>
      <c r="T101" s="22" t="s">
        <v>8058</v>
      </c>
      <c r="U101" s="22" t="s">
        <v>55</v>
      </c>
      <c r="V101" s="22"/>
      <c r="W101" s="24"/>
      <c r="X101" s="22"/>
      <c r="Y101" s="22"/>
      <c r="Z101" s="22"/>
      <c r="AA101" s="22"/>
      <c r="AB101" s="24"/>
      <c r="AC101" s="22"/>
      <c r="AD101" s="22"/>
      <c r="AE101" s="24"/>
      <c r="AF101" s="25"/>
    </row>
    <row r="102">
      <c r="A102" s="21" t="s">
        <v>4565</v>
      </c>
      <c r="B102" s="22" t="s">
        <v>8051</v>
      </c>
      <c r="C102" s="22" t="s">
        <v>294</v>
      </c>
      <c r="D102" s="26">
        <v>45999.0</v>
      </c>
      <c r="E102" s="22" t="s">
        <v>243</v>
      </c>
      <c r="F102" s="22" t="s">
        <v>4346</v>
      </c>
      <c r="G102" s="22">
        <v>1.0</v>
      </c>
      <c r="H102" s="22" t="s">
        <v>7894</v>
      </c>
      <c r="I102" s="22" t="s">
        <v>4566</v>
      </c>
      <c r="J102" s="22" t="s">
        <v>4565</v>
      </c>
      <c r="K102" s="22" t="s">
        <v>8052</v>
      </c>
      <c r="L102" s="24"/>
      <c r="M102" s="22" t="s">
        <v>7896</v>
      </c>
      <c r="N102" s="24"/>
      <c r="O102" s="22" t="s">
        <v>90</v>
      </c>
      <c r="P102" s="22">
        <v>3.2820694188355E13</v>
      </c>
      <c r="Q102" s="24"/>
      <c r="R102" s="24"/>
      <c r="S102" s="22" t="s">
        <v>3921</v>
      </c>
      <c r="T102" s="22" t="s">
        <v>8059</v>
      </c>
      <c r="U102" s="22" t="s">
        <v>54</v>
      </c>
      <c r="V102" s="22"/>
      <c r="W102" s="24"/>
      <c r="X102" s="22"/>
      <c r="Y102" s="22"/>
      <c r="Z102" s="22"/>
      <c r="AA102" s="22"/>
      <c r="AB102" s="24"/>
      <c r="AC102" s="22"/>
      <c r="AD102" s="22"/>
      <c r="AE102" s="24"/>
      <c r="AF102" s="25"/>
    </row>
    <row r="103">
      <c r="A103" s="21" t="s">
        <v>4345</v>
      </c>
      <c r="B103" s="22" t="s">
        <v>8060</v>
      </c>
      <c r="C103" s="22" t="s">
        <v>294</v>
      </c>
      <c r="D103" s="26">
        <v>45999.0</v>
      </c>
      <c r="E103" s="22" t="s">
        <v>181</v>
      </c>
      <c r="F103" s="22" t="s">
        <v>4346</v>
      </c>
      <c r="G103" s="22">
        <v>1.0</v>
      </c>
      <c r="H103" s="22" t="s">
        <v>7894</v>
      </c>
      <c r="I103" s="22" t="s">
        <v>4347</v>
      </c>
      <c r="J103" s="22" t="s">
        <v>4345</v>
      </c>
      <c r="K103" s="22" t="s">
        <v>8061</v>
      </c>
      <c r="L103" s="24"/>
      <c r="M103" s="22" t="s">
        <v>7896</v>
      </c>
      <c r="N103" s="24"/>
      <c r="O103" s="22" t="s">
        <v>90</v>
      </c>
      <c r="P103" s="22">
        <v>3.2821431238979E13</v>
      </c>
      <c r="Q103" s="24"/>
      <c r="R103" s="24"/>
      <c r="S103" s="22" t="s">
        <v>8062</v>
      </c>
      <c r="T103" s="22" t="s">
        <v>8063</v>
      </c>
      <c r="U103" s="22" t="s">
        <v>55</v>
      </c>
      <c r="V103" s="22"/>
      <c r="W103" s="24"/>
      <c r="X103" s="22"/>
      <c r="Y103" s="22"/>
      <c r="Z103" s="22"/>
      <c r="AA103" s="22"/>
      <c r="AB103" s="24"/>
      <c r="AC103" s="22"/>
      <c r="AD103" s="22"/>
      <c r="AE103" s="24"/>
      <c r="AF103" s="25"/>
    </row>
    <row r="104">
      <c r="A104" s="21" t="s">
        <v>4398</v>
      </c>
      <c r="B104" s="22" t="s">
        <v>8064</v>
      </c>
      <c r="C104" s="22" t="s">
        <v>294</v>
      </c>
      <c r="D104" s="26">
        <v>45999.0</v>
      </c>
      <c r="E104" s="22" t="s">
        <v>1993</v>
      </c>
      <c r="F104" s="22" t="s">
        <v>4399</v>
      </c>
      <c r="G104" s="22">
        <v>1.0</v>
      </c>
      <c r="H104" s="22" t="s">
        <v>7878</v>
      </c>
      <c r="I104" s="22" t="s">
        <v>4400</v>
      </c>
      <c r="J104" s="22" t="s">
        <v>4398</v>
      </c>
      <c r="K104" s="22" t="s">
        <v>8065</v>
      </c>
      <c r="L104" s="24"/>
      <c r="M104" s="22" t="s">
        <v>7880</v>
      </c>
      <c r="N104" s="24"/>
      <c r="O104" s="22" t="s">
        <v>90</v>
      </c>
      <c r="P104" s="22">
        <v>3.2821989015875E13</v>
      </c>
      <c r="Q104" s="24"/>
      <c r="R104" s="24"/>
      <c r="S104" s="22" t="s">
        <v>8066</v>
      </c>
      <c r="T104" s="22" t="s">
        <v>8067</v>
      </c>
      <c r="U104" s="22" t="s">
        <v>55</v>
      </c>
      <c r="V104" s="22"/>
      <c r="W104" s="24"/>
      <c r="X104" s="22"/>
      <c r="Y104" s="22"/>
      <c r="Z104" s="22"/>
      <c r="AA104" s="22"/>
      <c r="AB104" s="24"/>
      <c r="AC104" s="22"/>
      <c r="AD104" s="22"/>
      <c r="AE104" s="24"/>
      <c r="AF104" s="25"/>
    </row>
    <row r="105">
      <c r="A105" s="21" t="s">
        <v>4345</v>
      </c>
      <c r="B105" s="22" t="s">
        <v>8068</v>
      </c>
      <c r="C105" s="22" t="s">
        <v>294</v>
      </c>
      <c r="D105" s="26">
        <v>45999.0</v>
      </c>
      <c r="E105" s="22" t="s">
        <v>981</v>
      </c>
      <c r="F105" s="22" t="s">
        <v>4346</v>
      </c>
      <c r="G105" s="22">
        <v>1.0</v>
      </c>
      <c r="H105" s="22" t="s">
        <v>7894</v>
      </c>
      <c r="I105" s="22" t="s">
        <v>4347</v>
      </c>
      <c r="J105" s="22" t="s">
        <v>4345</v>
      </c>
      <c r="K105" s="22" t="s">
        <v>8069</v>
      </c>
      <c r="L105" s="24"/>
      <c r="M105" s="22" t="s">
        <v>7896</v>
      </c>
      <c r="N105" s="24"/>
      <c r="O105" s="22" t="s">
        <v>90</v>
      </c>
      <c r="P105" s="22">
        <v>3.2820872839491E13</v>
      </c>
      <c r="Q105" s="24"/>
      <c r="R105" s="24"/>
      <c r="S105" s="22" t="s">
        <v>6606</v>
      </c>
      <c r="T105" s="22" t="s">
        <v>6538</v>
      </c>
      <c r="U105" s="22" t="s">
        <v>55</v>
      </c>
      <c r="V105" s="22"/>
      <c r="W105" s="24"/>
      <c r="X105" s="22"/>
      <c r="Y105" s="22"/>
      <c r="Z105" s="22"/>
      <c r="AA105" s="22"/>
      <c r="AB105" s="24"/>
      <c r="AC105" s="22"/>
      <c r="AD105" s="22"/>
      <c r="AE105" s="24"/>
      <c r="AF105" s="25"/>
    </row>
    <row r="106">
      <c r="A106" s="21" t="s">
        <v>4398</v>
      </c>
      <c r="B106" s="22" t="s">
        <v>8070</v>
      </c>
      <c r="C106" s="22" t="s">
        <v>287</v>
      </c>
      <c r="D106" s="26">
        <v>45994.0</v>
      </c>
      <c r="E106" s="22" t="s">
        <v>196</v>
      </c>
      <c r="F106" s="22" t="s">
        <v>4399</v>
      </c>
      <c r="G106" s="22">
        <v>1.0</v>
      </c>
      <c r="H106" s="22" t="s">
        <v>7878</v>
      </c>
      <c r="I106" s="22" t="s">
        <v>4400</v>
      </c>
      <c r="J106" s="22" t="s">
        <v>4398</v>
      </c>
      <c r="K106" s="22" t="s">
        <v>8071</v>
      </c>
      <c r="L106" s="24"/>
      <c r="M106" s="22" t="s">
        <v>7880</v>
      </c>
      <c r="N106" s="24"/>
      <c r="O106" s="22" t="s">
        <v>90</v>
      </c>
      <c r="P106" s="22">
        <v>3.2821339357507E13</v>
      </c>
      <c r="Q106" s="24"/>
      <c r="R106" s="24"/>
      <c r="S106" s="22" t="s">
        <v>8072</v>
      </c>
      <c r="T106" s="22" t="s">
        <v>8073</v>
      </c>
      <c r="U106" s="22" t="s">
        <v>55</v>
      </c>
      <c r="V106" s="22"/>
      <c r="W106" s="24"/>
      <c r="X106" s="22"/>
      <c r="Y106" s="22"/>
      <c r="Z106" s="22"/>
      <c r="AA106" s="22"/>
      <c r="AB106" s="24"/>
      <c r="AC106" s="22"/>
      <c r="AD106" s="22"/>
      <c r="AE106" s="24"/>
      <c r="AF106" s="25"/>
    </row>
    <row r="107">
      <c r="A107" s="21" t="s">
        <v>4398</v>
      </c>
      <c r="B107" s="22" t="s">
        <v>8074</v>
      </c>
      <c r="C107" s="22" t="s">
        <v>294</v>
      </c>
      <c r="D107" s="26">
        <v>45999.0</v>
      </c>
      <c r="E107" s="22" t="s">
        <v>1400</v>
      </c>
      <c r="F107" s="22" t="s">
        <v>4399</v>
      </c>
      <c r="G107" s="22">
        <v>1.0</v>
      </c>
      <c r="H107" s="22" t="s">
        <v>7878</v>
      </c>
      <c r="I107" s="22" t="s">
        <v>4400</v>
      </c>
      <c r="J107" s="22" t="s">
        <v>4398</v>
      </c>
      <c r="K107" s="22" t="s">
        <v>8075</v>
      </c>
      <c r="L107" s="24"/>
      <c r="M107" s="22" t="s">
        <v>7880</v>
      </c>
      <c r="N107" s="24"/>
      <c r="O107" s="22" t="s">
        <v>90</v>
      </c>
      <c r="P107" s="22">
        <v>3.2821384872259E13</v>
      </c>
      <c r="Q107" s="24"/>
      <c r="R107" s="24"/>
      <c r="S107" s="22" t="s">
        <v>3793</v>
      </c>
      <c r="T107" s="22" t="s">
        <v>8076</v>
      </c>
      <c r="U107" s="22" t="s">
        <v>55</v>
      </c>
      <c r="V107" s="22"/>
      <c r="W107" s="24"/>
      <c r="X107" s="22"/>
      <c r="Y107" s="22"/>
      <c r="Z107" s="22"/>
      <c r="AA107" s="22"/>
      <c r="AB107" s="24"/>
      <c r="AC107" s="22"/>
      <c r="AD107" s="22"/>
      <c r="AE107" s="24"/>
      <c r="AF107" s="25"/>
    </row>
    <row r="108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6"/>
      <c r="Q108" s="22"/>
      <c r="R108" s="22"/>
      <c r="S108" s="22"/>
      <c r="T108" s="22"/>
      <c r="U108" s="22"/>
      <c r="V108" s="22"/>
      <c r="W108" s="24"/>
      <c r="X108" s="22"/>
      <c r="Y108" s="22"/>
      <c r="Z108" s="22"/>
      <c r="AA108" s="22"/>
      <c r="AB108" s="24"/>
      <c r="AC108" s="22"/>
      <c r="AD108" s="22"/>
      <c r="AE108" s="24"/>
      <c r="AF108" s="25"/>
    </row>
    <row r="109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6"/>
      <c r="Q109" s="22"/>
      <c r="R109" s="22"/>
      <c r="S109" s="22"/>
      <c r="T109" s="22"/>
      <c r="U109" s="22"/>
      <c r="V109" s="22"/>
      <c r="W109" s="24"/>
      <c r="X109" s="22"/>
      <c r="Y109" s="22"/>
      <c r="Z109" s="22"/>
      <c r="AA109" s="22"/>
      <c r="AB109" s="24"/>
      <c r="AC109" s="22"/>
      <c r="AD109" s="22"/>
      <c r="AE109" s="24"/>
      <c r="AF109" s="25"/>
    </row>
    <row r="110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6"/>
      <c r="Q110" s="22"/>
      <c r="R110" s="22"/>
      <c r="S110" s="22"/>
      <c r="T110" s="22"/>
      <c r="U110" s="22"/>
      <c r="V110" s="22"/>
      <c r="W110" s="24"/>
      <c r="X110" s="22"/>
      <c r="Y110" s="22"/>
      <c r="Z110" s="22"/>
      <c r="AA110" s="22"/>
      <c r="AB110" s="24"/>
      <c r="AC110" s="22"/>
      <c r="AD110" s="22"/>
      <c r="AE110" s="24"/>
      <c r="AF110" s="25"/>
    </row>
    <row r="111">
      <c r="A111" s="21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6"/>
      <c r="Q111" s="22"/>
      <c r="R111" s="22"/>
      <c r="S111" s="22"/>
      <c r="T111" s="22"/>
      <c r="U111" s="22"/>
      <c r="V111" s="22"/>
      <c r="W111" s="24"/>
      <c r="X111" s="22"/>
      <c r="Y111" s="22"/>
      <c r="Z111" s="22"/>
      <c r="AA111" s="22"/>
      <c r="AB111" s="24"/>
      <c r="AC111" s="22"/>
      <c r="AD111" s="22"/>
      <c r="AE111" s="24"/>
      <c r="AF111" s="25"/>
    </row>
    <row r="112">
      <c r="A112" s="2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6"/>
      <c r="Q112" s="22"/>
      <c r="R112" s="22"/>
      <c r="S112" s="22"/>
      <c r="T112" s="22"/>
      <c r="U112" s="22"/>
      <c r="V112" s="22"/>
      <c r="W112" s="24"/>
      <c r="X112" s="22"/>
      <c r="Y112" s="22"/>
      <c r="Z112" s="22"/>
      <c r="AA112" s="22"/>
      <c r="AB112" s="24"/>
      <c r="AC112" s="22"/>
      <c r="AD112" s="22"/>
      <c r="AE112" s="24"/>
      <c r="AF112" s="25"/>
    </row>
    <row r="113">
      <c r="A113" s="21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6"/>
      <c r="Q113" s="22"/>
      <c r="R113" s="22"/>
      <c r="S113" s="22"/>
      <c r="T113" s="22"/>
      <c r="U113" s="22"/>
      <c r="V113" s="22"/>
      <c r="W113" s="24"/>
      <c r="X113" s="22"/>
      <c r="Y113" s="22"/>
      <c r="Z113" s="22"/>
      <c r="AA113" s="22"/>
      <c r="AB113" s="24"/>
      <c r="AC113" s="22"/>
      <c r="AD113" s="22"/>
      <c r="AE113" s="24"/>
      <c r="AF113" s="25"/>
    </row>
    <row r="114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6"/>
      <c r="Q114" s="22"/>
      <c r="R114" s="22"/>
      <c r="S114" s="22"/>
      <c r="T114" s="22"/>
      <c r="U114" s="22"/>
      <c r="V114" s="22"/>
      <c r="W114" s="24"/>
      <c r="X114" s="22"/>
      <c r="Y114" s="22"/>
      <c r="Z114" s="22"/>
      <c r="AA114" s="22"/>
      <c r="AB114" s="24"/>
      <c r="AC114" s="22"/>
      <c r="AD114" s="22"/>
      <c r="AE114" s="24"/>
      <c r="AF114" s="25"/>
    </row>
    <row r="115">
      <c r="A115" s="21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6"/>
      <c r="Q115" s="22"/>
      <c r="R115" s="22"/>
      <c r="S115" s="22"/>
      <c r="T115" s="22"/>
      <c r="U115" s="22"/>
      <c r="V115" s="22"/>
      <c r="W115" s="24"/>
      <c r="X115" s="22"/>
      <c r="Y115" s="22"/>
      <c r="Z115" s="22"/>
      <c r="AA115" s="22"/>
      <c r="AB115" s="24"/>
      <c r="AC115" s="22"/>
      <c r="AD115" s="22"/>
      <c r="AE115" s="24"/>
      <c r="AF115" s="25"/>
    </row>
    <row r="116">
      <c r="A116" s="28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6"/>
      <c r="Q116" s="22"/>
      <c r="R116" s="22"/>
      <c r="S116" s="22"/>
      <c r="T116" s="29"/>
      <c r="U116" s="22"/>
      <c r="V116" s="22"/>
      <c r="W116" s="24"/>
      <c r="X116" s="22"/>
      <c r="Y116" s="24"/>
      <c r="Z116" s="24"/>
      <c r="AA116" s="22"/>
      <c r="AB116" s="24"/>
      <c r="AC116" s="22"/>
      <c r="AD116" s="24"/>
      <c r="AE116" s="24"/>
      <c r="AF116" s="25"/>
    </row>
    <row r="117">
      <c r="A117" s="21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6"/>
      <c r="Q117" s="22"/>
      <c r="R117" s="22"/>
      <c r="S117" s="22"/>
      <c r="T117" s="22"/>
      <c r="U117" s="22"/>
      <c r="V117" s="22"/>
      <c r="W117" s="24"/>
      <c r="X117" s="22"/>
      <c r="Y117" s="22"/>
      <c r="Z117" s="22"/>
      <c r="AA117" s="22"/>
      <c r="AB117" s="24"/>
      <c r="AC117" s="22"/>
      <c r="AD117" s="22"/>
      <c r="AE117" s="24"/>
      <c r="AF117" s="25"/>
    </row>
    <row r="118">
      <c r="A118" s="2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3"/>
      <c r="Q118" s="22"/>
      <c r="R118" s="22"/>
      <c r="S118" s="22"/>
      <c r="T118" s="22"/>
      <c r="U118" s="22"/>
      <c r="V118" s="22"/>
      <c r="W118" s="24"/>
      <c r="X118" s="22"/>
      <c r="Y118" s="22"/>
      <c r="Z118" s="22"/>
      <c r="AA118" s="22"/>
      <c r="AB118" s="24"/>
      <c r="AC118" s="22"/>
      <c r="AD118" s="22"/>
      <c r="AE118" s="24"/>
      <c r="AF118" s="25"/>
    </row>
    <row r="119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6"/>
      <c r="Q119" s="22"/>
      <c r="R119" s="22"/>
      <c r="S119" s="22"/>
      <c r="T119" s="22"/>
      <c r="U119" s="22"/>
      <c r="V119" s="22"/>
      <c r="W119" s="24"/>
      <c r="X119" s="22"/>
      <c r="Y119" s="22"/>
      <c r="Z119" s="22"/>
      <c r="AA119" s="22"/>
      <c r="AB119" s="24"/>
      <c r="AC119" s="22"/>
      <c r="AD119" s="22"/>
      <c r="AE119" s="24"/>
      <c r="AF119" s="25"/>
    </row>
    <row r="120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6"/>
      <c r="Q120" s="22"/>
      <c r="R120" s="22"/>
      <c r="S120" s="22"/>
      <c r="T120" s="22"/>
      <c r="U120" s="22"/>
      <c r="V120" s="22"/>
      <c r="W120" s="24"/>
      <c r="X120" s="22"/>
      <c r="Y120" s="22"/>
      <c r="Z120" s="22"/>
      <c r="AA120" s="22"/>
      <c r="AB120" s="24"/>
      <c r="AC120" s="22"/>
      <c r="AD120" s="22"/>
      <c r="AE120" s="24"/>
      <c r="AF120" s="25"/>
    </row>
    <row r="121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6"/>
      <c r="Q121" s="22"/>
      <c r="R121" s="22"/>
      <c r="S121" s="22"/>
      <c r="T121" s="22"/>
      <c r="U121" s="22"/>
      <c r="V121" s="22"/>
      <c r="W121" s="24"/>
      <c r="X121" s="22"/>
      <c r="Y121" s="22"/>
      <c r="Z121" s="22"/>
      <c r="AA121" s="22"/>
      <c r="AB121" s="24"/>
      <c r="AC121" s="22"/>
      <c r="AD121" s="22"/>
      <c r="AE121" s="24"/>
      <c r="AF121" s="25"/>
    </row>
    <row r="122">
      <c r="A122" s="2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6"/>
      <c r="Q122" s="22"/>
      <c r="R122" s="22"/>
      <c r="S122" s="22"/>
      <c r="T122" s="22"/>
      <c r="U122" s="22"/>
      <c r="V122" s="22"/>
      <c r="W122" s="24"/>
      <c r="X122" s="22"/>
      <c r="Y122" s="22"/>
      <c r="Z122" s="22"/>
      <c r="AA122" s="22"/>
      <c r="AB122" s="24"/>
      <c r="AC122" s="22"/>
      <c r="AD122" s="22"/>
      <c r="AE122" s="24"/>
      <c r="AF122" s="25"/>
    </row>
    <row r="123">
      <c r="A123" s="21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6"/>
      <c r="Q123" s="22"/>
      <c r="R123" s="22"/>
      <c r="S123" s="22"/>
      <c r="T123" s="22"/>
      <c r="U123" s="22"/>
      <c r="V123" s="22"/>
      <c r="W123" s="24"/>
      <c r="X123" s="22"/>
      <c r="Y123" s="22"/>
      <c r="Z123" s="22"/>
      <c r="AA123" s="22"/>
      <c r="AB123" s="24"/>
      <c r="AC123" s="22"/>
      <c r="AD123" s="22"/>
      <c r="AE123" s="24"/>
      <c r="AF123" s="25"/>
    </row>
    <row r="124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6"/>
      <c r="Q124" s="22"/>
      <c r="R124" s="22"/>
      <c r="S124" s="22"/>
      <c r="T124" s="22"/>
      <c r="U124" s="22"/>
      <c r="V124" s="22"/>
      <c r="W124" s="24"/>
      <c r="X124" s="22"/>
      <c r="Y124" s="22"/>
      <c r="Z124" s="22"/>
      <c r="AA124" s="22"/>
      <c r="AB124" s="24"/>
      <c r="AC124" s="22"/>
      <c r="AD124" s="22"/>
      <c r="AE124" s="24"/>
      <c r="AF124" s="25"/>
    </row>
    <row r="125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6"/>
      <c r="Q125" s="22"/>
      <c r="R125" s="22"/>
      <c r="S125" s="22"/>
      <c r="T125" s="22"/>
      <c r="U125" s="22"/>
      <c r="V125" s="22"/>
      <c r="W125" s="24"/>
      <c r="X125" s="22"/>
      <c r="Y125" s="22"/>
      <c r="Z125" s="22"/>
      <c r="AA125" s="22"/>
      <c r="AB125" s="24"/>
      <c r="AC125" s="22"/>
      <c r="AD125" s="22"/>
      <c r="AE125" s="24"/>
      <c r="AF125" s="25"/>
    </row>
    <row r="126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6"/>
      <c r="Q126" s="22"/>
      <c r="R126" s="22"/>
      <c r="S126" s="22"/>
      <c r="T126" s="22"/>
      <c r="U126" s="22"/>
      <c r="V126" s="22"/>
      <c r="W126" s="24"/>
      <c r="X126" s="22"/>
      <c r="Y126" s="22"/>
      <c r="Z126" s="22"/>
      <c r="AA126" s="22"/>
      <c r="AB126" s="24"/>
      <c r="AC126" s="22"/>
      <c r="AD126" s="22"/>
      <c r="AE126" s="24"/>
      <c r="AF126" s="25"/>
    </row>
    <row r="127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6"/>
      <c r="Q127" s="22"/>
      <c r="R127" s="22"/>
      <c r="S127" s="22"/>
      <c r="T127" s="22"/>
      <c r="U127" s="22"/>
      <c r="V127" s="22"/>
      <c r="W127" s="24"/>
      <c r="X127" s="22"/>
      <c r="Y127" s="22"/>
      <c r="Z127" s="22"/>
      <c r="AA127" s="22"/>
      <c r="AB127" s="24"/>
      <c r="AC127" s="22"/>
      <c r="AD127" s="22"/>
      <c r="AE127" s="24"/>
      <c r="AF127" s="25"/>
    </row>
    <row r="128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6"/>
      <c r="Q128" s="22"/>
      <c r="R128" s="22"/>
      <c r="S128" s="22"/>
      <c r="T128" s="22"/>
      <c r="U128" s="22"/>
      <c r="V128" s="22"/>
      <c r="W128" s="24"/>
      <c r="X128" s="22"/>
      <c r="Y128" s="22"/>
      <c r="Z128" s="22"/>
      <c r="AA128" s="22"/>
      <c r="AB128" s="24"/>
      <c r="AC128" s="22"/>
      <c r="AD128" s="22"/>
      <c r="AE128" s="24"/>
      <c r="AF128" s="25"/>
    </row>
    <row r="129">
      <c r="A129" s="21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3"/>
      <c r="Q129" s="22"/>
      <c r="R129" s="22"/>
      <c r="S129" s="22"/>
      <c r="T129" s="22"/>
      <c r="U129" s="22"/>
      <c r="V129" s="22"/>
      <c r="W129" s="24"/>
      <c r="X129" s="22"/>
      <c r="Y129" s="22"/>
      <c r="Z129" s="22"/>
      <c r="AA129" s="22"/>
      <c r="AB129" s="24"/>
      <c r="AC129" s="22"/>
      <c r="AD129" s="22"/>
      <c r="AE129" s="24"/>
      <c r="AF129" s="25"/>
    </row>
    <row r="130">
      <c r="A130" s="2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6"/>
      <c r="Q130" s="22"/>
      <c r="R130" s="22"/>
      <c r="S130" s="22"/>
      <c r="T130" s="22"/>
      <c r="U130" s="22"/>
      <c r="V130" s="22"/>
      <c r="W130" s="24"/>
      <c r="X130" s="22"/>
      <c r="Y130" s="22"/>
      <c r="Z130" s="22"/>
      <c r="AA130" s="22"/>
      <c r="AB130" s="24"/>
      <c r="AC130" s="22"/>
      <c r="AD130" s="22"/>
      <c r="AE130" s="24"/>
      <c r="AF130" s="25"/>
    </row>
    <row r="131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6"/>
      <c r="Q131" s="22"/>
      <c r="R131" s="22"/>
      <c r="S131" s="22"/>
      <c r="T131" s="22"/>
      <c r="U131" s="22"/>
      <c r="V131" s="22"/>
      <c r="W131" s="24"/>
      <c r="X131" s="22"/>
      <c r="Y131" s="22"/>
      <c r="Z131" s="22"/>
      <c r="AA131" s="22"/>
      <c r="AB131" s="24"/>
      <c r="AC131" s="22"/>
      <c r="AD131" s="22"/>
      <c r="AE131" s="24"/>
      <c r="AF131" s="25"/>
    </row>
    <row r="132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3"/>
      <c r="Q132" s="22"/>
      <c r="R132" s="22"/>
      <c r="S132" s="22"/>
      <c r="T132" s="22"/>
      <c r="U132" s="22"/>
      <c r="V132" s="22"/>
      <c r="W132" s="24"/>
      <c r="X132" s="22"/>
      <c r="Y132" s="22"/>
      <c r="Z132" s="22"/>
      <c r="AA132" s="22"/>
      <c r="AB132" s="24"/>
      <c r="AC132" s="22"/>
      <c r="AD132" s="22"/>
      <c r="AE132" s="24"/>
      <c r="AF132" s="25"/>
    </row>
    <row r="133">
      <c r="A133" s="21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6"/>
      <c r="Q133" s="22"/>
      <c r="R133" s="22"/>
      <c r="S133" s="22"/>
      <c r="T133" s="22"/>
      <c r="U133" s="22"/>
      <c r="V133" s="22"/>
      <c r="W133" s="24"/>
      <c r="X133" s="22"/>
      <c r="Y133" s="22"/>
      <c r="Z133" s="22"/>
      <c r="AA133" s="22"/>
      <c r="AB133" s="24"/>
      <c r="AC133" s="22"/>
      <c r="AD133" s="22"/>
      <c r="AE133" s="24"/>
      <c r="AF133" s="25"/>
    </row>
    <row r="134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6"/>
      <c r="Q134" s="22"/>
      <c r="R134" s="22"/>
      <c r="S134" s="22"/>
      <c r="T134" s="22"/>
      <c r="U134" s="22"/>
      <c r="V134" s="22"/>
      <c r="W134" s="24"/>
      <c r="X134" s="22"/>
      <c r="Y134" s="22"/>
      <c r="Z134" s="22"/>
      <c r="AA134" s="22"/>
      <c r="AB134" s="24"/>
      <c r="AC134" s="22"/>
      <c r="AD134" s="22"/>
      <c r="AE134" s="24"/>
      <c r="AF134" s="25"/>
    </row>
    <row r="13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3"/>
      <c r="Q135" s="22"/>
      <c r="R135" s="22"/>
      <c r="S135" s="22"/>
      <c r="T135" s="22"/>
      <c r="U135" s="22"/>
      <c r="V135" s="22"/>
      <c r="W135" s="24"/>
      <c r="X135" s="22"/>
      <c r="Y135" s="22"/>
      <c r="Z135" s="22"/>
      <c r="AA135" s="22"/>
      <c r="AB135" s="24"/>
      <c r="AC135" s="22"/>
      <c r="AD135" s="22"/>
      <c r="AE135" s="24"/>
      <c r="AF135" s="25"/>
    </row>
    <row r="136">
      <c r="A136" s="2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6"/>
      <c r="Q136" s="22"/>
      <c r="R136" s="22"/>
      <c r="S136" s="22"/>
      <c r="T136" s="22"/>
      <c r="U136" s="22"/>
      <c r="V136" s="22"/>
      <c r="W136" s="24"/>
      <c r="X136" s="22"/>
      <c r="Y136" s="22"/>
      <c r="Z136" s="22"/>
      <c r="AA136" s="22"/>
      <c r="AB136" s="24"/>
      <c r="AC136" s="22"/>
      <c r="AD136" s="22"/>
      <c r="AE136" s="24"/>
      <c r="AF136" s="25"/>
    </row>
    <row r="137">
      <c r="A137" s="2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6"/>
      <c r="Q137" s="22"/>
      <c r="R137" s="22"/>
      <c r="S137" s="22"/>
      <c r="T137" s="22"/>
      <c r="U137" s="22"/>
      <c r="V137" s="22"/>
      <c r="W137" s="24"/>
      <c r="X137" s="22"/>
      <c r="Y137" s="22"/>
      <c r="Z137" s="22"/>
      <c r="AA137" s="22"/>
      <c r="AB137" s="24"/>
      <c r="AC137" s="22"/>
      <c r="AD137" s="22"/>
      <c r="AE137" s="24"/>
      <c r="AF137" s="25"/>
    </row>
    <row r="138">
      <c r="A138" s="28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6"/>
      <c r="Q138" s="22"/>
      <c r="R138" s="22"/>
      <c r="S138" s="22"/>
      <c r="T138" s="29"/>
      <c r="U138" s="22"/>
      <c r="V138" s="22"/>
      <c r="W138" s="24"/>
      <c r="X138" s="22"/>
      <c r="Y138" s="24"/>
      <c r="Z138" s="24"/>
      <c r="AA138" s="22"/>
      <c r="AB138" s="24"/>
      <c r="AC138" s="22"/>
      <c r="AD138" s="24"/>
      <c r="AE138" s="24"/>
      <c r="AF138" s="25"/>
    </row>
    <row r="139">
      <c r="A139" s="2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3"/>
      <c r="Q139" s="22"/>
      <c r="R139" s="22"/>
      <c r="S139" s="22"/>
      <c r="T139" s="22"/>
      <c r="U139" s="22"/>
      <c r="V139" s="22"/>
      <c r="W139" s="24"/>
      <c r="X139" s="22"/>
      <c r="Y139" s="22"/>
      <c r="Z139" s="22"/>
      <c r="AA139" s="22"/>
      <c r="AB139" s="24"/>
      <c r="AC139" s="22"/>
      <c r="AD139" s="22"/>
      <c r="AE139" s="24"/>
      <c r="AF139" s="25"/>
    </row>
    <row r="140">
      <c r="A140" s="2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6"/>
      <c r="Q140" s="22"/>
      <c r="R140" s="22"/>
      <c r="S140" s="22"/>
      <c r="T140" s="22"/>
      <c r="U140" s="22"/>
      <c r="V140" s="22"/>
      <c r="W140" s="24"/>
      <c r="X140" s="22"/>
      <c r="Y140" s="22"/>
      <c r="Z140" s="22"/>
      <c r="AA140" s="22"/>
      <c r="AB140" s="24"/>
      <c r="AC140" s="22"/>
      <c r="AD140" s="22"/>
      <c r="AE140" s="24"/>
      <c r="AF140" s="25"/>
    </row>
    <row r="141">
      <c r="A141" s="21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6"/>
      <c r="Q141" s="22"/>
      <c r="R141" s="22"/>
      <c r="S141" s="22"/>
      <c r="T141" s="22"/>
      <c r="U141" s="22"/>
      <c r="V141" s="22"/>
      <c r="W141" s="24"/>
      <c r="X141" s="22"/>
      <c r="Y141" s="22"/>
      <c r="Z141" s="22"/>
      <c r="AA141" s="22"/>
      <c r="AB141" s="24"/>
      <c r="AC141" s="22"/>
      <c r="AD141" s="22"/>
      <c r="AE141" s="24"/>
      <c r="AF141" s="25"/>
    </row>
    <row r="142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3"/>
      <c r="Q142" s="22"/>
      <c r="R142" s="22"/>
      <c r="S142" s="22"/>
      <c r="T142" s="22"/>
      <c r="U142" s="22"/>
      <c r="V142" s="22"/>
      <c r="W142" s="24"/>
      <c r="X142" s="22"/>
      <c r="Y142" s="22"/>
      <c r="Z142" s="22"/>
      <c r="AA142" s="22"/>
      <c r="AB142" s="24"/>
      <c r="AC142" s="22"/>
      <c r="AD142" s="22"/>
      <c r="AE142" s="24"/>
      <c r="AF142" s="25"/>
    </row>
    <row r="143">
      <c r="A143" s="2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6"/>
      <c r="Q143" s="22"/>
      <c r="R143" s="22"/>
      <c r="S143" s="22"/>
      <c r="T143" s="22"/>
      <c r="U143" s="22"/>
      <c r="V143" s="22"/>
      <c r="W143" s="24"/>
      <c r="X143" s="22"/>
      <c r="Y143" s="22"/>
      <c r="Z143" s="22"/>
      <c r="AA143" s="22"/>
      <c r="AB143" s="24"/>
      <c r="AC143" s="22"/>
      <c r="AD143" s="22"/>
      <c r="AE143" s="24"/>
      <c r="AF143" s="25"/>
    </row>
    <row r="144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6"/>
      <c r="Q144" s="22"/>
      <c r="R144" s="22"/>
      <c r="S144" s="22"/>
      <c r="T144" s="22"/>
      <c r="U144" s="22"/>
      <c r="V144" s="22"/>
      <c r="W144" s="24"/>
      <c r="X144" s="22"/>
      <c r="Y144" s="22"/>
      <c r="Z144" s="22"/>
      <c r="AA144" s="22"/>
      <c r="AB144" s="24"/>
      <c r="AC144" s="22"/>
      <c r="AD144" s="22"/>
      <c r="AE144" s="24"/>
      <c r="AF144" s="25"/>
    </row>
    <row r="145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3"/>
      <c r="Q145" s="22"/>
      <c r="R145" s="22"/>
      <c r="S145" s="22"/>
      <c r="T145" s="22"/>
      <c r="U145" s="22"/>
      <c r="V145" s="22"/>
      <c r="W145" s="24"/>
      <c r="X145" s="22"/>
      <c r="Y145" s="22"/>
      <c r="Z145" s="22"/>
      <c r="AA145" s="22"/>
      <c r="AB145" s="24"/>
      <c r="AC145" s="22"/>
      <c r="AD145" s="22"/>
      <c r="AE145" s="24"/>
      <c r="AF145" s="25"/>
    </row>
    <row r="146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6"/>
      <c r="Q146" s="22"/>
      <c r="R146" s="22"/>
      <c r="S146" s="22"/>
      <c r="T146" s="22"/>
      <c r="U146" s="22"/>
      <c r="V146" s="22"/>
      <c r="W146" s="24"/>
      <c r="X146" s="22"/>
      <c r="Y146" s="22"/>
      <c r="Z146" s="22"/>
      <c r="AA146" s="22"/>
      <c r="AB146" s="24"/>
      <c r="AC146" s="22"/>
      <c r="AD146" s="22"/>
      <c r="AE146" s="24"/>
      <c r="AF146" s="25"/>
    </row>
    <row r="147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6"/>
      <c r="Q147" s="22"/>
      <c r="R147" s="22"/>
      <c r="S147" s="22"/>
      <c r="T147" s="22"/>
      <c r="U147" s="22"/>
      <c r="V147" s="22"/>
      <c r="W147" s="24"/>
      <c r="X147" s="22"/>
      <c r="Y147" s="22"/>
      <c r="Z147" s="22"/>
      <c r="AA147" s="22"/>
      <c r="AB147" s="24"/>
      <c r="AC147" s="22"/>
      <c r="AD147" s="22"/>
      <c r="AE147" s="24"/>
      <c r="AF147" s="25"/>
    </row>
    <row r="148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6"/>
      <c r="Q148" s="22"/>
      <c r="R148" s="22"/>
      <c r="S148" s="22"/>
      <c r="T148" s="22"/>
      <c r="U148" s="22"/>
      <c r="V148" s="22"/>
      <c r="W148" s="24"/>
      <c r="X148" s="22"/>
      <c r="Y148" s="22"/>
      <c r="Z148" s="22"/>
      <c r="AA148" s="22"/>
      <c r="AB148" s="24"/>
      <c r="AC148" s="22"/>
      <c r="AD148" s="22"/>
      <c r="AE148" s="24"/>
      <c r="AF148" s="25"/>
    </row>
    <row r="149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6"/>
      <c r="Q149" s="22"/>
      <c r="R149" s="22"/>
      <c r="S149" s="22"/>
      <c r="T149" s="22"/>
      <c r="U149" s="22"/>
      <c r="V149" s="22"/>
      <c r="W149" s="24"/>
      <c r="X149" s="22"/>
      <c r="Y149" s="22"/>
      <c r="Z149" s="22"/>
      <c r="AA149" s="22"/>
      <c r="AB149" s="24"/>
      <c r="AC149" s="22"/>
      <c r="AD149" s="22"/>
      <c r="AE149" s="24"/>
      <c r="AF149" s="25"/>
    </row>
    <row r="150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6"/>
      <c r="Q150" s="22"/>
      <c r="R150" s="22"/>
      <c r="S150" s="22"/>
      <c r="T150" s="22"/>
      <c r="U150" s="22"/>
      <c r="V150" s="22"/>
      <c r="W150" s="24"/>
      <c r="X150" s="22"/>
      <c r="Y150" s="22"/>
      <c r="Z150" s="22"/>
      <c r="AA150" s="22"/>
      <c r="AB150" s="24"/>
      <c r="AC150" s="22"/>
      <c r="AD150" s="22"/>
      <c r="AE150" s="24"/>
      <c r="AF150" s="25"/>
    </row>
    <row r="151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3"/>
      <c r="Q151" s="22"/>
      <c r="R151" s="22"/>
      <c r="S151" s="22"/>
      <c r="T151" s="22"/>
      <c r="U151" s="22"/>
      <c r="V151" s="22"/>
      <c r="W151" s="24"/>
      <c r="X151" s="22"/>
      <c r="Y151" s="22"/>
      <c r="Z151" s="22"/>
      <c r="AA151" s="22"/>
      <c r="AB151" s="24"/>
      <c r="AC151" s="22"/>
      <c r="AD151" s="22"/>
      <c r="AE151" s="24"/>
      <c r="AF151" s="25"/>
    </row>
    <row r="152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6"/>
      <c r="Q152" s="22"/>
      <c r="R152" s="22"/>
      <c r="S152" s="22"/>
      <c r="T152" s="22"/>
      <c r="U152" s="22"/>
      <c r="V152" s="22"/>
      <c r="W152" s="24"/>
      <c r="X152" s="22"/>
      <c r="Y152" s="22"/>
      <c r="Z152" s="22"/>
      <c r="AA152" s="22"/>
      <c r="AB152" s="24"/>
      <c r="AC152" s="22"/>
      <c r="AD152" s="22"/>
      <c r="AE152" s="24"/>
      <c r="AF152" s="25"/>
    </row>
    <row r="153">
      <c r="A153" s="21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6"/>
      <c r="Q153" s="22"/>
      <c r="R153" s="22"/>
      <c r="S153" s="22"/>
      <c r="T153" s="22"/>
      <c r="U153" s="22"/>
      <c r="V153" s="22"/>
      <c r="W153" s="24"/>
      <c r="X153" s="22"/>
      <c r="Y153" s="22"/>
      <c r="Z153" s="22"/>
      <c r="AA153" s="22"/>
      <c r="AB153" s="24"/>
      <c r="AC153" s="22"/>
      <c r="AD153" s="22"/>
      <c r="AE153" s="24"/>
      <c r="AF153" s="25"/>
    </row>
    <row r="154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6"/>
      <c r="Q154" s="22"/>
      <c r="R154" s="22"/>
      <c r="S154" s="22"/>
      <c r="T154" s="22"/>
      <c r="U154" s="22"/>
      <c r="V154" s="22"/>
      <c r="W154" s="24"/>
      <c r="X154" s="22"/>
      <c r="Y154" s="22"/>
      <c r="Z154" s="22"/>
      <c r="AA154" s="22"/>
      <c r="AB154" s="24"/>
      <c r="AC154" s="22"/>
      <c r="AD154" s="22"/>
      <c r="AE154" s="24"/>
      <c r="AF154" s="25"/>
    </row>
    <row r="155">
      <c r="A155" s="28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6"/>
      <c r="Q155" s="22"/>
      <c r="R155" s="22"/>
      <c r="S155" s="22"/>
      <c r="T155" s="29"/>
      <c r="U155" s="22"/>
      <c r="V155" s="22"/>
      <c r="W155" s="24"/>
      <c r="X155" s="22"/>
      <c r="Y155" s="24"/>
      <c r="Z155" s="24"/>
      <c r="AA155" s="22"/>
      <c r="AB155" s="24"/>
      <c r="AC155" s="22"/>
      <c r="AD155" s="24"/>
      <c r="AE155" s="24"/>
      <c r="AF155" s="25"/>
    </row>
    <row r="156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6"/>
      <c r="Q156" s="22"/>
      <c r="R156" s="22"/>
      <c r="S156" s="22"/>
      <c r="T156" s="22"/>
      <c r="U156" s="22"/>
      <c r="V156" s="22"/>
      <c r="W156" s="24"/>
      <c r="X156" s="22"/>
      <c r="Y156" s="22"/>
      <c r="Z156" s="22"/>
      <c r="AA156" s="22"/>
      <c r="AB156" s="24"/>
      <c r="AC156" s="22"/>
      <c r="AD156" s="22"/>
      <c r="AE156" s="24"/>
      <c r="AF156" s="25"/>
    </row>
    <row r="157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6"/>
      <c r="Q157" s="22"/>
      <c r="R157" s="22"/>
      <c r="S157" s="22"/>
      <c r="T157" s="22"/>
      <c r="U157" s="22"/>
      <c r="V157" s="22"/>
      <c r="W157" s="24"/>
      <c r="X157" s="22"/>
      <c r="Y157" s="22"/>
      <c r="Z157" s="22"/>
      <c r="AA157" s="22"/>
      <c r="AB157" s="24"/>
      <c r="AC157" s="22"/>
      <c r="AD157" s="22"/>
      <c r="AE157" s="24"/>
      <c r="AF157" s="25"/>
    </row>
    <row r="158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6"/>
      <c r="Q158" s="22"/>
      <c r="R158" s="22"/>
      <c r="S158" s="22"/>
      <c r="T158" s="22"/>
      <c r="U158" s="22"/>
      <c r="V158" s="22"/>
      <c r="W158" s="24"/>
      <c r="X158" s="22"/>
      <c r="Y158" s="22"/>
      <c r="Z158" s="22"/>
      <c r="AA158" s="22"/>
      <c r="AB158" s="24"/>
      <c r="AC158" s="22"/>
      <c r="AD158" s="22"/>
      <c r="AE158" s="24"/>
      <c r="AF158" s="25"/>
    </row>
    <row r="159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3"/>
      <c r="Q159" s="22"/>
      <c r="R159" s="22"/>
      <c r="S159" s="22"/>
      <c r="T159" s="22"/>
      <c r="U159" s="22"/>
      <c r="V159" s="22"/>
      <c r="W159" s="24"/>
      <c r="X159" s="22"/>
      <c r="Y159" s="22"/>
      <c r="Z159" s="22"/>
      <c r="AA159" s="22"/>
      <c r="AB159" s="24"/>
      <c r="AC159" s="22"/>
      <c r="AD159" s="22"/>
      <c r="AE159" s="24"/>
      <c r="AF159" s="25"/>
    </row>
    <row r="160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6"/>
      <c r="Q160" s="22"/>
      <c r="R160" s="22"/>
      <c r="S160" s="22"/>
      <c r="T160" s="22"/>
      <c r="U160" s="22"/>
      <c r="V160" s="22"/>
      <c r="W160" s="24"/>
      <c r="X160" s="22"/>
      <c r="Y160" s="22"/>
      <c r="Z160" s="22"/>
      <c r="AA160" s="22"/>
      <c r="AB160" s="24"/>
      <c r="AC160" s="22"/>
      <c r="AD160" s="22"/>
      <c r="AE160" s="24"/>
      <c r="AF160" s="25"/>
    </row>
    <row r="161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6"/>
      <c r="Q161" s="22"/>
      <c r="R161" s="22"/>
      <c r="S161" s="22"/>
      <c r="T161" s="22"/>
      <c r="U161" s="22"/>
      <c r="V161" s="22"/>
      <c r="W161" s="24"/>
      <c r="X161" s="22"/>
      <c r="Y161" s="22"/>
      <c r="Z161" s="22"/>
      <c r="AA161" s="22"/>
      <c r="AB161" s="24"/>
      <c r="AC161" s="22"/>
      <c r="AD161" s="22"/>
      <c r="AE161" s="24"/>
      <c r="AF161" s="25"/>
    </row>
    <row r="162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6"/>
      <c r="Q162" s="22"/>
      <c r="R162" s="22"/>
      <c r="S162" s="22"/>
      <c r="T162" s="22"/>
      <c r="U162" s="22"/>
      <c r="V162" s="22"/>
      <c r="W162" s="24"/>
      <c r="X162" s="22"/>
      <c r="Y162" s="22"/>
      <c r="Z162" s="22"/>
      <c r="AA162" s="22"/>
      <c r="AB162" s="24"/>
      <c r="AC162" s="22"/>
      <c r="AD162" s="22"/>
      <c r="AE162" s="24"/>
      <c r="AF162" s="25"/>
    </row>
    <row r="163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6"/>
      <c r="Q163" s="22"/>
      <c r="R163" s="22"/>
      <c r="S163" s="22"/>
      <c r="T163" s="22"/>
      <c r="U163" s="22"/>
      <c r="V163" s="22"/>
      <c r="W163" s="24"/>
      <c r="X163" s="22"/>
      <c r="Y163" s="22"/>
      <c r="Z163" s="22"/>
      <c r="AA163" s="22"/>
      <c r="AB163" s="24"/>
      <c r="AC163" s="22"/>
      <c r="AD163" s="22"/>
      <c r="AE163" s="24"/>
      <c r="AF163" s="25"/>
    </row>
    <row r="164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6"/>
      <c r="Q164" s="22"/>
      <c r="R164" s="22"/>
      <c r="S164" s="22"/>
      <c r="T164" s="22"/>
      <c r="U164" s="22"/>
      <c r="V164" s="22"/>
      <c r="W164" s="24"/>
      <c r="X164" s="22"/>
      <c r="Y164" s="22"/>
      <c r="Z164" s="22"/>
      <c r="AA164" s="22"/>
      <c r="AB164" s="24"/>
      <c r="AC164" s="22"/>
      <c r="AD164" s="22"/>
      <c r="AE164" s="24"/>
      <c r="AF164" s="25"/>
    </row>
    <row r="165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6"/>
      <c r="Q165" s="22"/>
      <c r="R165" s="22"/>
      <c r="S165" s="22"/>
      <c r="T165" s="22"/>
      <c r="U165" s="22"/>
      <c r="V165" s="22"/>
      <c r="W165" s="24"/>
      <c r="X165" s="22"/>
      <c r="Y165" s="22"/>
      <c r="Z165" s="22"/>
      <c r="AA165" s="22"/>
      <c r="AB165" s="24"/>
      <c r="AC165" s="22"/>
      <c r="AD165" s="22"/>
      <c r="AE165" s="24"/>
      <c r="AF165" s="25"/>
    </row>
    <row r="166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6"/>
      <c r="Q166" s="22"/>
      <c r="R166" s="22"/>
      <c r="S166" s="22"/>
      <c r="T166" s="22"/>
      <c r="U166" s="22"/>
      <c r="V166" s="22"/>
      <c r="W166" s="24"/>
      <c r="X166" s="22"/>
      <c r="Y166" s="22"/>
      <c r="Z166" s="22"/>
      <c r="AA166" s="22"/>
      <c r="AB166" s="24"/>
      <c r="AC166" s="22"/>
      <c r="AD166" s="22"/>
      <c r="AE166" s="24"/>
      <c r="AF166" s="25"/>
    </row>
    <row r="167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3"/>
      <c r="Q167" s="22"/>
      <c r="R167" s="22"/>
      <c r="S167" s="22"/>
      <c r="T167" s="22"/>
      <c r="U167" s="22"/>
      <c r="V167" s="22"/>
      <c r="W167" s="24"/>
      <c r="X167" s="22"/>
      <c r="Y167" s="22"/>
      <c r="Z167" s="22"/>
      <c r="AA167" s="22"/>
      <c r="AB167" s="24"/>
      <c r="AC167" s="22"/>
      <c r="AD167" s="22"/>
      <c r="AE167" s="24"/>
      <c r="AF167" s="25"/>
    </row>
    <row r="168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6"/>
      <c r="Q168" s="22"/>
      <c r="R168" s="22"/>
      <c r="S168" s="22"/>
      <c r="T168" s="22"/>
      <c r="U168" s="22"/>
      <c r="V168" s="22"/>
      <c r="W168" s="24"/>
      <c r="X168" s="22"/>
      <c r="Y168" s="22"/>
      <c r="Z168" s="22"/>
      <c r="AA168" s="22"/>
      <c r="AB168" s="24"/>
      <c r="AC168" s="22"/>
      <c r="AD168" s="22"/>
      <c r="AE168" s="24"/>
      <c r="AF168" s="25"/>
    </row>
    <row r="169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6"/>
      <c r="Q169" s="22"/>
      <c r="R169" s="22"/>
      <c r="S169" s="22"/>
      <c r="T169" s="22"/>
      <c r="U169" s="22"/>
      <c r="V169" s="22"/>
      <c r="W169" s="24"/>
      <c r="X169" s="22"/>
      <c r="Y169" s="22"/>
      <c r="Z169" s="22"/>
      <c r="AA169" s="22"/>
      <c r="AB169" s="24"/>
      <c r="AC169" s="22"/>
      <c r="AD169" s="22"/>
      <c r="AE169" s="24"/>
      <c r="AF169" s="25"/>
    </row>
    <row r="170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6"/>
      <c r="Q170" s="22"/>
      <c r="R170" s="22"/>
      <c r="S170" s="22"/>
      <c r="T170" s="22"/>
      <c r="U170" s="22"/>
      <c r="V170" s="22"/>
      <c r="W170" s="24"/>
      <c r="X170" s="22"/>
      <c r="Y170" s="22"/>
      <c r="Z170" s="22"/>
      <c r="AA170" s="22"/>
      <c r="AB170" s="24"/>
      <c r="AC170" s="22"/>
      <c r="AD170" s="22"/>
      <c r="AE170" s="24"/>
      <c r="AF170" s="25"/>
    </row>
    <row r="171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6"/>
      <c r="Q171" s="22"/>
      <c r="R171" s="22"/>
      <c r="S171" s="22"/>
      <c r="T171" s="22"/>
      <c r="U171" s="22"/>
      <c r="V171" s="22"/>
      <c r="W171" s="24"/>
      <c r="X171" s="22"/>
      <c r="Y171" s="22"/>
      <c r="Z171" s="22"/>
      <c r="AA171" s="22"/>
      <c r="AB171" s="24"/>
      <c r="AC171" s="22"/>
      <c r="AD171" s="22"/>
      <c r="AE171" s="24"/>
      <c r="AF171" s="25"/>
    </row>
    <row r="172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6"/>
      <c r="Q172" s="22"/>
      <c r="R172" s="22"/>
      <c r="S172" s="22"/>
      <c r="T172" s="22"/>
      <c r="U172" s="22"/>
      <c r="V172" s="22"/>
      <c r="W172" s="24"/>
      <c r="X172" s="22"/>
      <c r="Y172" s="22"/>
      <c r="Z172" s="22"/>
      <c r="AA172" s="22"/>
      <c r="AB172" s="24"/>
      <c r="AC172" s="22"/>
      <c r="AD172" s="22"/>
      <c r="AE172" s="24"/>
      <c r="AF172" s="25"/>
    </row>
    <row r="173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6"/>
      <c r="Q173" s="22"/>
      <c r="R173" s="22"/>
      <c r="S173" s="22"/>
      <c r="T173" s="22"/>
      <c r="U173" s="22"/>
      <c r="V173" s="22"/>
      <c r="W173" s="24"/>
      <c r="X173" s="22"/>
      <c r="Y173" s="22"/>
      <c r="Z173" s="22"/>
      <c r="AA173" s="22"/>
      <c r="AB173" s="24"/>
      <c r="AC173" s="22"/>
      <c r="AD173" s="22"/>
      <c r="AE173" s="24"/>
      <c r="AF173" s="25"/>
    </row>
    <row r="174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6"/>
      <c r="Q174" s="22"/>
      <c r="R174" s="22"/>
      <c r="S174" s="22"/>
      <c r="T174" s="22"/>
      <c r="U174" s="22"/>
      <c r="V174" s="22"/>
      <c r="W174" s="24"/>
      <c r="X174" s="22"/>
      <c r="Y174" s="22"/>
      <c r="Z174" s="22"/>
      <c r="AA174" s="22"/>
      <c r="AB174" s="24"/>
      <c r="AC174" s="22"/>
      <c r="AD174" s="22"/>
      <c r="AE174" s="24"/>
      <c r="AF174" s="25"/>
    </row>
    <row r="175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6"/>
      <c r="Q175" s="22"/>
      <c r="R175" s="22"/>
      <c r="S175" s="22"/>
      <c r="T175" s="22"/>
      <c r="U175" s="22"/>
      <c r="V175" s="22"/>
      <c r="W175" s="24"/>
      <c r="X175" s="22"/>
      <c r="Y175" s="22"/>
      <c r="Z175" s="22"/>
      <c r="AA175" s="22"/>
      <c r="AB175" s="24"/>
      <c r="AC175" s="22"/>
      <c r="AD175" s="22"/>
      <c r="AE175" s="24"/>
      <c r="AF175" s="25"/>
    </row>
    <row r="176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3"/>
      <c r="Q176" s="22"/>
      <c r="R176" s="22"/>
      <c r="S176" s="22"/>
      <c r="T176" s="22"/>
      <c r="U176" s="22"/>
      <c r="V176" s="22"/>
      <c r="W176" s="24"/>
      <c r="X176" s="22"/>
      <c r="Y176" s="22"/>
      <c r="Z176" s="22"/>
      <c r="AA176" s="22"/>
      <c r="AB176" s="24"/>
      <c r="AC176" s="22"/>
      <c r="AD176" s="22"/>
      <c r="AE176" s="24"/>
      <c r="AF176" s="25"/>
    </row>
    <row r="177">
      <c r="A177" s="2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6"/>
      <c r="Q177" s="22"/>
      <c r="R177" s="22"/>
      <c r="S177" s="22"/>
      <c r="T177" s="22"/>
      <c r="U177" s="22"/>
      <c r="V177" s="22"/>
      <c r="W177" s="24"/>
      <c r="X177" s="22"/>
      <c r="Y177" s="22"/>
      <c r="Z177" s="22"/>
      <c r="AA177" s="22"/>
      <c r="AB177" s="24"/>
      <c r="AC177" s="22"/>
      <c r="AD177" s="22"/>
      <c r="AE177" s="24"/>
      <c r="AF177" s="25"/>
    </row>
    <row r="178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6"/>
      <c r="Q178" s="22"/>
      <c r="R178" s="22"/>
      <c r="S178" s="22"/>
      <c r="T178" s="22"/>
      <c r="U178" s="22"/>
      <c r="V178" s="22"/>
      <c r="W178" s="24"/>
      <c r="X178" s="22"/>
      <c r="Y178" s="22"/>
      <c r="Z178" s="22"/>
      <c r="AA178" s="22"/>
      <c r="AB178" s="24"/>
      <c r="AC178" s="22"/>
      <c r="AD178" s="22"/>
      <c r="AE178" s="24"/>
      <c r="AF178" s="25"/>
    </row>
    <row r="179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3"/>
      <c r="Q179" s="22"/>
      <c r="R179" s="22"/>
      <c r="S179" s="22"/>
      <c r="T179" s="22"/>
      <c r="U179" s="22"/>
      <c r="V179" s="22"/>
      <c r="W179" s="24"/>
      <c r="X179" s="22"/>
      <c r="Y179" s="22"/>
      <c r="Z179" s="22"/>
      <c r="AA179" s="22"/>
      <c r="AB179" s="24"/>
      <c r="AC179" s="22"/>
      <c r="AD179" s="22"/>
      <c r="AE179" s="24"/>
      <c r="AF179" s="25"/>
    </row>
    <row r="180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3"/>
      <c r="Q180" s="22"/>
      <c r="R180" s="22"/>
      <c r="S180" s="22"/>
      <c r="T180" s="22"/>
      <c r="U180" s="22"/>
      <c r="V180" s="22"/>
      <c r="W180" s="24"/>
      <c r="X180" s="22"/>
      <c r="Y180" s="22"/>
      <c r="Z180" s="22"/>
      <c r="AA180" s="22"/>
      <c r="AB180" s="24"/>
      <c r="AC180" s="22"/>
      <c r="AD180" s="22"/>
      <c r="AE180" s="24"/>
      <c r="AF180" s="25"/>
    </row>
    <row r="181">
      <c r="A181" s="2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3"/>
      <c r="Q181" s="22"/>
      <c r="R181" s="22"/>
      <c r="S181" s="22"/>
      <c r="T181" s="22"/>
      <c r="U181" s="22"/>
      <c r="V181" s="22"/>
      <c r="W181" s="24"/>
      <c r="X181" s="22"/>
      <c r="Y181" s="22"/>
      <c r="Z181" s="22"/>
      <c r="AA181" s="22"/>
      <c r="AB181" s="24"/>
      <c r="AC181" s="22"/>
      <c r="AD181" s="22"/>
      <c r="AE181" s="24"/>
      <c r="AF181" s="25"/>
    </row>
    <row r="182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6"/>
      <c r="Q182" s="22"/>
      <c r="R182" s="22"/>
      <c r="S182" s="22"/>
      <c r="T182" s="22"/>
      <c r="U182" s="22"/>
      <c r="V182" s="22"/>
      <c r="W182" s="24"/>
      <c r="X182" s="22"/>
      <c r="Y182" s="22"/>
      <c r="Z182" s="22"/>
      <c r="AA182" s="22"/>
      <c r="AB182" s="24"/>
      <c r="AC182" s="22"/>
      <c r="AD182" s="22"/>
      <c r="AE182" s="24"/>
      <c r="AF182" s="25"/>
    </row>
    <row r="183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6"/>
      <c r="Q183" s="22"/>
      <c r="R183" s="22"/>
      <c r="S183" s="22"/>
      <c r="T183" s="22"/>
      <c r="U183" s="22"/>
      <c r="V183" s="22"/>
      <c r="W183" s="24"/>
      <c r="X183" s="22"/>
      <c r="Y183" s="22"/>
      <c r="Z183" s="22"/>
      <c r="AA183" s="22"/>
      <c r="AB183" s="24"/>
      <c r="AC183" s="22"/>
      <c r="AD183" s="22"/>
      <c r="AE183" s="24"/>
      <c r="AF183" s="25"/>
    </row>
    <row r="184">
      <c r="A184" s="2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6"/>
      <c r="Q184" s="22"/>
      <c r="R184" s="22"/>
      <c r="S184" s="22"/>
      <c r="T184" s="22"/>
      <c r="U184" s="22"/>
      <c r="V184" s="22"/>
      <c r="W184" s="24"/>
      <c r="X184" s="22"/>
      <c r="Y184" s="22"/>
      <c r="Z184" s="22"/>
      <c r="AA184" s="22"/>
      <c r="AB184" s="24"/>
      <c r="AC184" s="22"/>
      <c r="AD184" s="22"/>
      <c r="AE184" s="24"/>
      <c r="AF184" s="25"/>
    </row>
    <row r="185">
      <c r="A185" s="2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6"/>
      <c r="Q185" s="22"/>
      <c r="R185" s="22"/>
      <c r="S185" s="22"/>
      <c r="T185" s="22"/>
      <c r="U185" s="22"/>
      <c r="V185" s="22"/>
      <c r="W185" s="24"/>
      <c r="X185" s="22"/>
      <c r="Y185" s="22"/>
      <c r="Z185" s="22"/>
      <c r="AA185" s="22"/>
      <c r="AB185" s="24"/>
      <c r="AC185" s="22"/>
      <c r="AD185" s="22"/>
      <c r="AE185" s="24"/>
      <c r="AF185" s="25"/>
    </row>
    <row r="186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3"/>
      <c r="Q186" s="22"/>
      <c r="R186" s="22"/>
      <c r="S186" s="22"/>
      <c r="T186" s="22"/>
      <c r="U186" s="22"/>
      <c r="V186" s="22"/>
      <c r="W186" s="24"/>
      <c r="X186" s="22"/>
      <c r="Y186" s="22"/>
      <c r="Z186" s="22"/>
      <c r="AA186" s="22"/>
      <c r="AB186" s="24"/>
      <c r="AC186" s="22"/>
      <c r="AD186" s="22"/>
      <c r="AE186" s="24"/>
      <c r="AF186" s="25"/>
    </row>
    <row r="187">
      <c r="A187" s="2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6"/>
      <c r="Q187" s="22"/>
      <c r="R187" s="22"/>
      <c r="S187" s="22"/>
      <c r="T187" s="22"/>
      <c r="U187" s="22"/>
      <c r="V187" s="22"/>
      <c r="W187" s="24"/>
      <c r="X187" s="22"/>
      <c r="Y187" s="22"/>
      <c r="Z187" s="22"/>
      <c r="AA187" s="22"/>
      <c r="AB187" s="24"/>
      <c r="AC187" s="22"/>
      <c r="AD187" s="22"/>
      <c r="AE187" s="24"/>
      <c r="AF187" s="25"/>
    </row>
    <row r="188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6"/>
      <c r="Q188" s="22"/>
      <c r="R188" s="22"/>
      <c r="S188" s="22"/>
      <c r="T188" s="22"/>
      <c r="U188" s="22"/>
      <c r="V188" s="22"/>
      <c r="W188" s="24"/>
      <c r="X188" s="22"/>
      <c r="Y188" s="22"/>
      <c r="Z188" s="22"/>
      <c r="AA188" s="22"/>
      <c r="AB188" s="24"/>
      <c r="AC188" s="22"/>
      <c r="AD188" s="22"/>
      <c r="AE188" s="24"/>
      <c r="AF188" s="25"/>
    </row>
    <row r="189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6"/>
      <c r="Q189" s="22"/>
      <c r="R189" s="22"/>
      <c r="S189" s="22"/>
      <c r="T189" s="22"/>
      <c r="U189" s="22"/>
      <c r="V189" s="22"/>
      <c r="W189" s="24"/>
      <c r="X189" s="22"/>
      <c r="Y189" s="22"/>
      <c r="Z189" s="22"/>
      <c r="AA189" s="22"/>
      <c r="AB189" s="24"/>
      <c r="AC189" s="22"/>
      <c r="AD189" s="22"/>
      <c r="AE189" s="24"/>
      <c r="AF189" s="25"/>
    </row>
    <row r="190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3"/>
      <c r="Q190" s="22"/>
      <c r="R190" s="22"/>
      <c r="S190" s="22"/>
      <c r="T190" s="22"/>
      <c r="U190" s="22"/>
      <c r="V190" s="22"/>
      <c r="W190" s="24"/>
      <c r="X190" s="22"/>
      <c r="Y190" s="22"/>
      <c r="Z190" s="22"/>
      <c r="AA190" s="22"/>
      <c r="AB190" s="24"/>
      <c r="AC190" s="22"/>
      <c r="AD190" s="22"/>
      <c r="AE190" s="24"/>
      <c r="AF190" s="25"/>
    </row>
    <row r="191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6"/>
      <c r="Q191" s="22"/>
      <c r="R191" s="22"/>
      <c r="S191" s="22"/>
      <c r="T191" s="22"/>
      <c r="U191" s="22"/>
      <c r="V191" s="22"/>
      <c r="W191" s="24"/>
      <c r="X191" s="22"/>
      <c r="Y191" s="22"/>
      <c r="Z191" s="22"/>
      <c r="AA191" s="22"/>
      <c r="AB191" s="24"/>
      <c r="AC191" s="22"/>
      <c r="AD191" s="22"/>
      <c r="AE191" s="24"/>
      <c r="AF191" s="25"/>
    </row>
    <row r="192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6"/>
      <c r="Q192" s="22"/>
      <c r="R192" s="22"/>
      <c r="S192" s="22"/>
      <c r="T192" s="22"/>
      <c r="U192" s="22"/>
      <c r="V192" s="22"/>
      <c r="W192" s="24"/>
      <c r="X192" s="22"/>
      <c r="Y192" s="22"/>
      <c r="Z192" s="22"/>
      <c r="AA192" s="22"/>
      <c r="AB192" s="24"/>
      <c r="AC192" s="22"/>
      <c r="AD192" s="22"/>
      <c r="AE192" s="24"/>
      <c r="AF192" s="25"/>
    </row>
    <row r="193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6"/>
      <c r="Q193" s="22"/>
      <c r="R193" s="22"/>
      <c r="S193" s="22"/>
      <c r="T193" s="22"/>
      <c r="U193" s="22"/>
      <c r="V193" s="22"/>
      <c r="W193" s="24"/>
      <c r="X193" s="22"/>
      <c r="Y193" s="22"/>
      <c r="Z193" s="22"/>
      <c r="AA193" s="22"/>
      <c r="AB193" s="24"/>
      <c r="AC193" s="22"/>
      <c r="AD193" s="22"/>
      <c r="AE193" s="24"/>
      <c r="AF193" s="25"/>
    </row>
    <row r="194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6"/>
      <c r="Q194" s="22"/>
      <c r="R194" s="22"/>
      <c r="S194" s="22"/>
      <c r="T194" s="22"/>
      <c r="U194" s="22"/>
      <c r="V194" s="22"/>
      <c r="W194" s="24"/>
      <c r="X194" s="22"/>
      <c r="Y194" s="22"/>
      <c r="Z194" s="22"/>
      <c r="AA194" s="22"/>
      <c r="AB194" s="24"/>
      <c r="AC194" s="22"/>
      <c r="AD194" s="22"/>
      <c r="AE194" s="24"/>
      <c r="AF194" s="25"/>
    </row>
    <row r="195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6"/>
      <c r="Q195" s="22"/>
      <c r="R195" s="22"/>
      <c r="S195" s="22"/>
      <c r="T195" s="22"/>
      <c r="U195" s="22"/>
      <c r="V195" s="22"/>
      <c r="W195" s="24"/>
      <c r="X195" s="22"/>
      <c r="Y195" s="22"/>
      <c r="Z195" s="22"/>
      <c r="AA195" s="22"/>
      <c r="AB195" s="24"/>
      <c r="AC195" s="22"/>
      <c r="AD195" s="22"/>
      <c r="AE195" s="24"/>
      <c r="AF195" s="25"/>
    </row>
    <row r="196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3"/>
      <c r="Q196" s="22"/>
      <c r="R196" s="22"/>
      <c r="S196" s="22"/>
      <c r="T196" s="22"/>
      <c r="U196" s="22"/>
      <c r="V196" s="22"/>
      <c r="W196" s="24"/>
      <c r="X196" s="22"/>
      <c r="Y196" s="22"/>
      <c r="Z196" s="22"/>
      <c r="AA196" s="22"/>
      <c r="AB196" s="24"/>
      <c r="AC196" s="22"/>
      <c r="AD196" s="22"/>
      <c r="AE196" s="24"/>
      <c r="AF196" s="25"/>
    </row>
    <row r="197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6"/>
      <c r="Q197" s="22"/>
      <c r="R197" s="22"/>
      <c r="S197" s="22"/>
      <c r="T197" s="22"/>
      <c r="U197" s="22"/>
      <c r="V197" s="22"/>
      <c r="W197" s="24"/>
      <c r="X197" s="22"/>
      <c r="Y197" s="22"/>
      <c r="Z197" s="22"/>
      <c r="AA197" s="22"/>
      <c r="AB197" s="24"/>
      <c r="AC197" s="22"/>
      <c r="AD197" s="22"/>
      <c r="AE197" s="24"/>
      <c r="AF197" s="25"/>
    </row>
    <row r="198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6"/>
      <c r="Q198" s="22"/>
      <c r="R198" s="22"/>
      <c r="S198" s="22"/>
      <c r="T198" s="22"/>
      <c r="U198" s="22"/>
      <c r="V198" s="22"/>
      <c r="W198" s="24"/>
      <c r="X198" s="22"/>
      <c r="Y198" s="22"/>
      <c r="Z198" s="22"/>
      <c r="AA198" s="22"/>
      <c r="AB198" s="24"/>
      <c r="AC198" s="22"/>
      <c r="AD198" s="22"/>
      <c r="AE198" s="24"/>
      <c r="AF198" s="25"/>
    </row>
    <row r="199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6"/>
      <c r="Q199" s="22"/>
      <c r="R199" s="22"/>
      <c r="S199" s="22"/>
      <c r="T199" s="22"/>
      <c r="U199" s="22"/>
      <c r="V199" s="22"/>
      <c r="W199" s="24"/>
      <c r="X199" s="22"/>
      <c r="Y199" s="22"/>
      <c r="Z199" s="22"/>
      <c r="AA199" s="22"/>
      <c r="AB199" s="24"/>
      <c r="AC199" s="22"/>
      <c r="AD199" s="22"/>
      <c r="AE199" s="24"/>
      <c r="AF199" s="25"/>
    </row>
    <row r="200">
      <c r="A200" s="2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6"/>
      <c r="Q200" s="22"/>
      <c r="R200" s="22"/>
      <c r="S200" s="22"/>
      <c r="T200" s="22"/>
      <c r="U200" s="22"/>
      <c r="V200" s="22"/>
      <c r="W200" s="24"/>
      <c r="X200" s="22"/>
      <c r="Y200" s="22"/>
      <c r="Z200" s="22"/>
      <c r="AA200" s="22"/>
      <c r="AB200" s="24"/>
      <c r="AC200" s="22"/>
      <c r="AD200" s="22"/>
      <c r="AE200" s="24"/>
      <c r="AF200" s="25"/>
    </row>
    <row r="201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3"/>
      <c r="Q201" s="22"/>
      <c r="R201" s="22"/>
      <c r="S201" s="22"/>
      <c r="T201" s="22"/>
      <c r="U201" s="22"/>
      <c r="V201" s="22"/>
      <c r="W201" s="24"/>
      <c r="X201" s="22"/>
      <c r="Y201" s="22"/>
      <c r="Z201" s="22"/>
      <c r="AA201" s="22"/>
      <c r="AB201" s="24"/>
      <c r="AC201" s="22"/>
      <c r="AD201" s="22"/>
      <c r="AE201" s="24"/>
      <c r="AF201" s="25"/>
    </row>
    <row r="202">
      <c r="A202" s="2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6"/>
      <c r="Q202" s="22"/>
      <c r="R202" s="22"/>
      <c r="S202" s="22"/>
      <c r="T202" s="22"/>
      <c r="U202" s="22"/>
      <c r="V202" s="22"/>
      <c r="W202" s="24"/>
      <c r="X202" s="22"/>
      <c r="Y202" s="22"/>
      <c r="Z202" s="22"/>
      <c r="AA202" s="22"/>
      <c r="AB202" s="24"/>
      <c r="AC202" s="22"/>
      <c r="AD202" s="22"/>
      <c r="AE202" s="24"/>
      <c r="AF202" s="25"/>
    </row>
    <row r="203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6"/>
      <c r="Q203" s="22"/>
      <c r="R203" s="22"/>
      <c r="S203" s="22"/>
      <c r="T203" s="22"/>
      <c r="U203" s="22"/>
      <c r="V203" s="22"/>
      <c r="W203" s="24"/>
      <c r="X203" s="22"/>
      <c r="Y203" s="22"/>
      <c r="Z203" s="22"/>
      <c r="AA203" s="22"/>
      <c r="AB203" s="24"/>
      <c r="AC203" s="22"/>
      <c r="AD203" s="22"/>
      <c r="AE203" s="24"/>
      <c r="AF203" s="25"/>
    </row>
    <row r="204">
      <c r="A204" s="2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6"/>
      <c r="Q204" s="22"/>
      <c r="R204" s="22"/>
      <c r="S204" s="22"/>
      <c r="T204" s="22"/>
      <c r="U204" s="22"/>
      <c r="V204" s="22"/>
      <c r="W204" s="24"/>
      <c r="X204" s="22"/>
      <c r="Y204" s="22"/>
      <c r="Z204" s="22"/>
      <c r="AA204" s="22"/>
      <c r="AB204" s="24"/>
      <c r="AC204" s="22"/>
      <c r="AD204" s="22"/>
      <c r="AE204" s="24"/>
      <c r="AF204" s="25"/>
    </row>
    <row r="205">
      <c r="A205" s="2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6"/>
      <c r="Q205" s="22"/>
      <c r="R205" s="22"/>
      <c r="S205" s="22"/>
      <c r="T205" s="22"/>
      <c r="U205" s="22"/>
      <c r="V205" s="22"/>
      <c r="W205" s="24"/>
      <c r="X205" s="22"/>
      <c r="Y205" s="22"/>
      <c r="Z205" s="22"/>
      <c r="AA205" s="22"/>
      <c r="AB205" s="24"/>
      <c r="AC205" s="22"/>
      <c r="AD205" s="22"/>
      <c r="AE205" s="24"/>
      <c r="AF205" s="25"/>
    </row>
    <row r="206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6"/>
      <c r="Q206" s="22"/>
      <c r="R206" s="22"/>
      <c r="S206" s="22"/>
      <c r="T206" s="22"/>
      <c r="U206" s="22"/>
      <c r="V206" s="22"/>
      <c r="W206" s="24"/>
      <c r="X206" s="22"/>
      <c r="Y206" s="22"/>
      <c r="Z206" s="22"/>
      <c r="AA206" s="22"/>
      <c r="AB206" s="24"/>
      <c r="AC206" s="22"/>
      <c r="AD206" s="22"/>
      <c r="AE206" s="24"/>
      <c r="AF206" s="25"/>
    </row>
    <row r="207">
      <c r="A207" s="2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6"/>
      <c r="Q207" s="22"/>
      <c r="R207" s="22"/>
      <c r="S207" s="22"/>
      <c r="T207" s="22"/>
      <c r="U207" s="22"/>
      <c r="V207" s="22"/>
      <c r="W207" s="24"/>
      <c r="X207" s="22"/>
      <c r="Y207" s="22"/>
      <c r="Z207" s="22"/>
      <c r="AA207" s="22"/>
      <c r="AB207" s="24"/>
      <c r="AC207" s="22"/>
      <c r="AD207" s="22"/>
      <c r="AE207" s="24"/>
      <c r="AF207" s="25"/>
    </row>
    <row r="208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3"/>
      <c r="Q208" s="22"/>
      <c r="R208" s="22"/>
      <c r="S208" s="22"/>
      <c r="T208" s="22"/>
      <c r="U208" s="22"/>
      <c r="V208" s="22"/>
      <c r="W208" s="24"/>
      <c r="X208" s="22"/>
      <c r="Y208" s="22"/>
      <c r="Z208" s="22"/>
      <c r="AA208" s="22"/>
      <c r="AB208" s="24"/>
      <c r="AC208" s="22"/>
      <c r="AD208" s="22"/>
      <c r="AE208" s="24"/>
      <c r="AF208" s="25"/>
    </row>
    <row r="209">
      <c r="A209" s="2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6"/>
      <c r="Q209" s="22"/>
      <c r="R209" s="22"/>
      <c r="S209" s="22"/>
      <c r="T209" s="22"/>
      <c r="U209" s="22"/>
      <c r="V209" s="22"/>
      <c r="W209" s="24"/>
      <c r="X209" s="22"/>
      <c r="Y209" s="22"/>
      <c r="Z209" s="22"/>
      <c r="AA209" s="22"/>
      <c r="AB209" s="24"/>
      <c r="AC209" s="22"/>
      <c r="AD209" s="22"/>
      <c r="AE209" s="24"/>
      <c r="AF209" s="25"/>
    </row>
    <row r="210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6"/>
      <c r="Q210" s="22"/>
      <c r="R210" s="22"/>
      <c r="S210" s="22"/>
      <c r="T210" s="22"/>
      <c r="U210" s="22"/>
      <c r="V210" s="22"/>
      <c r="W210" s="24"/>
      <c r="X210" s="22"/>
      <c r="Y210" s="22"/>
      <c r="Z210" s="22"/>
      <c r="AA210" s="22"/>
      <c r="AB210" s="24"/>
      <c r="AC210" s="22"/>
      <c r="AD210" s="22"/>
      <c r="AE210" s="24"/>
      <c r="AF210" s="25"/>
    </row>
    <row r="211">
      <c r="A211" s="2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3"/>
      <c r="Q211" s="22"/>
      <c r="R211" s="22"/>
      <c r="S211" s="22"/>
      <c r="T211" s="22"/>
      <c r="U211" s="22"/>
      <c r="V211" s="22"/>
      <c r="W211" s="24"/>
      <c r="X211" s="22"/>
      <c r="Y211" s="22"/>
      <c r="Z211" s="22"/>
      <c r="AA211" s="22"/>
      <c r="AB211" s="24"/>
      <c r="AC211" s="22"/>
      <c r="AD211" s="22"/>
      <c r="AE211" s="24"/>
      <c r="AF211" s="25"/>
    </row>
    <row r="212">
      <c r="A212" s="2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6"/>
      <c r="Q212" s="22"/>
      <c r="R212" s="22"/>
      <c r="S212" s="22"/>
      <c r="T212" s="22"/>
      <c r="U212" s="22"/>
      <c r="V212" s="22"/>
      <c r="W212" s="24"/>
      <c r="X212" s="22"/>
      <c r="Y212" s="22"/>
      <c r="Z212" s="22"/>
      <c r="AA212" s="22"/>
      <c r="AB212" s="24"/>
      <c r="AC212" s="22"/>
      <c r="AD212" s="22"/>
      <c r="AE212" s="24"/>
      <c r="AF212" s="25"/>
    </row>
    <row r="213">
      <c r="A213" s="2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6"/>
      <c r="Q213" s="22"/>
      <c r="R213" s="22"/>
      <c r="S213" s="22"/>
      <c r="T213" s="22"/>
      <c r="U213" s="22"/>
      <c r="V213" s="22"/>
      <c r="W213" s="24"/>
      <c r="X213" s="22"/>
      <c r="Y213" s="22"/>
      <c r="Z213" s="22"/>
      <c r="AA213" s="22"/>
      <c r="AB213" s="24"/>
      <c r="AC213" s="22"/>
      <c r="AD213" s="22"/>
      <c r="AE213" s="24"/>
      <c r="AF213" s="25"/>
    </row>
    <row r="214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6"/>
      <c r="Q214" s="22"/>
      <c r="R214" s="22"/>
      <c r="S214" s="22"/>
      <c r="T214" s="22"/>
      <c r="U214" s="22"/>
      <c r="V214" s="22"/>
      <c r="W214" s="24"/>
      <c r="X214" s="22"/>
      <c r="Y214" s="22"/>
      <c r="Z214" s="22"/>
      <c r="AA214" s="22"/>
      <c r="AB214" s="24"/>
      <c r="AC214" s="22"/>
      <c r="AD214" s="22"/>
      <c r="AE214" s="24"/>
      <c r="AF214" s="25"/>
    </row>
    <row r="215">
      <c r="A215" s="2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6"/>
      <c r="Q215" s="22"/>
      <c r="R215" s="22"/>
      <c r="S215" s="22"/>
      <c r="T215" s="22"/>
      <c r="U215" s="22"/>
      <c r="V215" s="22"/>
      <c r="W215" s="24"/>
      <c r="X215" s="22"/>
      <c r="Y215" s="22"/>
      <c r="Z215" s="22"/>
      <c r="AA215" s="22"/>
      <c r="AB215" s="24"/>
      <c r="AC215" s="22"/>
      <c r="AD215" s="22"/>
      <c r="AE215" s="24"/>
      <c r="AF215" s="25"/>
    </row>
    <row r="216">
      <c r="A216" s="2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3"/>
      <c r="Q216" s="22"/>
      <c r="R216" s="22"/>
      <c r="S216" s="22"/>
      <c r="T216" s="22"/>
      <c r="U216" s="22"/>
      <c r="V216" s="22"/>
      <c r="W216" s="24"/>
      <c r="X216" s="22"/>
      <c r="Y216" s="22"/>
      <c r="Z216" s="22"/>
      <c r="AA216" s="22"/>
      <c r="AB216" s="24"/>
      <c r="AC216" s="22"/>
      <c r="AD216" s="22"/>
      <c r="AE216" s="24"/>
      <c r="AF216" s="25"/>
    </row>
    <row r="217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6"/>
      <c r="Q217" s="22"/>
      <c r="R217" s="22"/>
      <c r="S217" s="22"/>
      <c r="T217" s="22"/>
      <c r="U217" s="22"/>
      <c r="V217" s="22"/>
      <c r="W217" s="24"/>
      <c r="X217" s="22"/>
      <c r="Y217" s="22"/>
      <c r="Z217" s="22"/>
      <c r="AA217" s="22"/>
      <c r="AB217" s="24"/>
      <c r="AC217" s="22"/>
      <c r="AD217" s="22"/>
      <c r="AE217" s="24"/>
      <c r="AF217" s="25"/>
    </row>
    <row r="218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6"/>
      <c r="Q218" s="22"/>
      <c r="R218" s="22"/>
      <c r="S218" s="22"/>
      <c r="T218" s="22"/>
      <c r="U218" s="22"/>
      <c r="V218" s="22"/>
      <c r="W218" s="24"/>
      <c r="X218" s="22"/>
      <c r="Y218" s="22"/>
      <c r="Z218" s="22"/>
      <c r="AA218" s="22"/>
      <c r="AB218" s="24"/>
      <c r="AC218" s="22"/>
      <c r="AD218" s="22"/>
      <c r="AE218" s="24"/>
      <c r="AF218" s="25"/>
    </row>
    <row r="219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6"/>
      <c r="Q219" s="22"/>
      <c r="R219" s="22"/>
      <c r="S219" s="22"/>
      <c r="T219" s="22"/>
      <c r="U219" s="22"/>
      <c r="V219" s="22"/>
      <c r="W219" s="24"/>
      <c r="X219" s="22"/>
      <c r="Y219" s="22"/>
      <c r="Z219" s="22"/>
      <c r="AA219" s="22"/>
      <c r="AB219" s="24"/>
      <c r="AC219" s="22"/>
      <c r="AD219" s="22"/>
      <c r="AE219" s="24"/>
      <c r="AF219" s="25"/>
    </row>
    <row r="220">
      <c r="A220" s="2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6"/>
      <c r="Q220" s="22"/>
      <c r="R220" s="22"/>
      <c r="S220" s="22"/>
      <c r="T220" s="22"/>
      <c r="U220" s="22"/>
      <c r="V220" s="22"/>
      <c r="W220" s="24"/>
      <c r="X220" s="22"/>
      <c r="Y220" s="22"/>
      <c r="Z220" s="22"/>
      <c r="AA220" s="22"/>
      <c r="AB220" s="24"/>
      <c r="AC220" s="22"/>
      <c r="AD220" s="22"/>
      <c r="AE220" s="24"/>
      <c r="AF220" s="25"/>
    </row>
    <row r="221">
      <c r="A221" s="2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6"/>
      <c r="Q221" s="22"/>
      <c r="R221" s="22"/>
      <c r="S221" s="22"/>
      <c r="T221" s="22"/>
      <c r="U221" s="22"/>
      <c r="V221" s="22"/>
      <c r="W221" s="24"/>
      <c r="X221" s="22"/>
      <c r="Y221" s="22"/>
      <c r="Z221" s="22"/>
      <c r="AA221" s="22"/>
      <c r="AB221" s="24"/>
      <c r="AC221" s="22"/>
      <c r="AD221" s="22"/>
      <c r="AE221" s="24"/>
      <c r="AF221" s="25"/>
    </row>
    <row r="222">
      <c r="A222" s="2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6"/>
      <c r="Q222" s="22"/>
      <c r="R222" s="22"/>
      <c r="S222" s="22"/>
      <c r="T222" s="22"/>
      <c r="U222" s="22"/>
      <c r="V222" s="22"/>
      <c r="W222" s="24"/>
      <c r="X222" s="22"/>
      <c r="Y222" s="22"/>
      <c r="Z222" s="22"/>
      <c r="AA222" s="22"/>
      <c r="AB222" s="24"/>
      <c r="AC222" s="22"/>
      <c r="AD222" s="22"/>
      <c r="AE222" s="24"/>
      <c r="AF222" s="25"/>
    </row>
    <row r="223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6"/>
      <c r="Q223" s="22"/>
      <c r="R223" s="22"/>
      <c r="S223" s="22"/>
      <c r="T223" s="22"/>
      <c r="U223" s="22"/>
      <c r="V223" s="22"/>
      <c r="W223" s="24"/>
      <c r="X223" s="22"/>
      <c r="Y223" s="22"/>
      <c r="Z223" s="22"/>
      <c r="AA223" s="22"/>
      <c r="AB223" s="24"/>
      <c r="AC223" s="22"/>
      <c r="AD223" s="22"/>
      <c r="AE223" s="24"/>
      <c r="AF223" s="25"/>
    </row>
    <row r="224">
      <c r="A224" s="2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6"/>
      <c r="Q224" s="22"/>
      <c r="R224" s="22"/>
      <c r="S224" s="22"/>
      <c r="T224" s="22"/>
      <c r="U224" s="22"/>
      <c r="V224" s="22"/>
      <c r="W224" s="24"/>
      <c r="X224" s="22"/>
      <c r="Y224" s="22"/>
      <c r="Z224" s="22"/>
      <c r="AA224" s="22"/>
      <c r="AB224" s="24"/>
      <c r="AC224" s="22"/>
      <c r="AD224" s="22"/>
      <c r="AE224" s="24"/>
      <c r="AF224" s="25"/>
    </row>
    <row r="225">
      <c r="A225" s="2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3"/>
      <c r="Q225" s="22"/>
      <c r="R225" s="22"/>
      <c r="S225" s="22"/>
      <c r="T225" s="22"/>
      <c r="U225" s="22"/>
      <c r="V225" s="22"/>
      <c r="W225" s="24"/>
      <c r="X225" s="22"/>
      <c r="Y225" s="22"/>
      <c r="Z225" s="22"/>
      <c r="AA225" s="22"/>
      <c r="AB225" s="24"/>
      <c r="AC225" s="22"/>
      <c r="AD225" s="22"/>
      <c r="AE225" s="24"/>
      <c r="AF225" s="25"/>
    </row>
    <row r="226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6"/>
      <c r="Q226" s="22"/>
      <c r="R226" s="22"/>
      <c r="S226" s="22"/>
      <c r="T226" s="22"/>
      <c r="U226" s="22"/>
      <c r="V226" s="22"/>
      <c r="W226" s="24"/>
      <c r="X226" s="22"/>
      <c r="Y226" s="22"/>
      <c r="Z226" s="22"/>
      <c r="AA226" s="22"/>
      <c r="AB226" s="24"/>
      <c r="AC226" s="22"/>
      <c r="AD226" s="22"/>
      <c r="AE226" s="24"/>
      <c r="AF226" s="25"/>
    </row>
    <row r="227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6"/>
      <c r="Q227" s="22"/>
      <c r="R227" s="22"/>
      <c r="S227" s="22"/>
      <c r="T227" s="22"/>
      <c r="U227" s="22"/>
      <c r="V227" s="22"/>
      <c r="W227" s="24"/>
      <c r="X227" s="22"/>
      <c r="Y227" s="22"/>
      <c r="Z227" s="22"/>
      <c r="AA227" s="22"/>
      <c r="AB227" s="24"/>
      <c r="AC227" s="22"/>
      <c r="AD227" s="22"/>
      <c r="AE227" s="24"/>
      <c r="AF227" s="25"/>
    </row>
    <row r="228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6"/>
      <c r="Q228" s="22"/>
      <c r="R228" s="22"/>
      <c r="S228" s="22"/>
      <c r="T228" s="22"/>
      <c r="U228" s="22"/>
      <c r="V228" s="22"/>
      <c r="W228" s="24"/>
      <c r="X228" s="22"/>
      <c r="Y228" s="22"/>
      <c r="Z228" s="22"/>
      <c r="AA228" s="22"/>
      <c r="AB228" s="24"/>
      <c r="AC228" s="22"/>
      <c r="AD228" s="22"/>
      <c r="AE228" s="24"/>
      <c r="AF228" s="25"/>
    </row>
    <row r="229">
      <c r="A229" s="2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6"/>
      <c r="Q229" s="22"/>
      <c r="R229" s="22"/>
      <c r="S229" s="22"/>
      <c r="T229" s="22"/>
      <c r="U229" s="22"/>
      <c r="V229" s="22"/>
      <c r="W229" s="24"/>
      <c r="X229" s="22"/>
      <c r="Y229" s="22"/>
      <c r="Z229" s="22"/>
      <c r="AA229" s="22"/>
      <c r="AB229" s="24"/>
      <c r="AC229" s="22"/>
      <c r="AD229" s="22"/>
      <c r="AE229" s="24"/>
      <c r="AF229" s="25"/>
    </row>
    <row r="230">
      <c r="A230" s="2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6"/>
      <c r="Q230" s="22"/>
      <c r="R230" s="22"/>
      <c r="S230" s="22"/>
      <c r="T230" s="22"/>
      <c r="U230" s="22"/>
      <c r="V230" s="22"/>
      <c r="W230" s="24"/>
      <c r="X230" s="22"/>
      <c r="Y230" s="22"/>
      <c r="Z230" s="22"/>
      <c r="AA230" s="22"/>
      <c r="AB230" s="24"/>
      <c r="AC230" s="22"/>
      <c r="AD230" s="22"/>
      <c r="AE230" s="24"/>
      <c r="AF230" s="25"/>
    </row>
    <row r="231">
      <c r="A231" s="2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6"/>
      <c r="Q231" s="22"/>
      <c r="R231" s="22"/>
      <c r="S231" s="22"/>
      <c r="T231" s="22"/>
      <c r="U231" s="22"/>
      <c r="V231" s="22"/>
      <c r="W231" s="24"/>
      <c r="X231" s="22"/>
      <c r="Y231" s="22"/>
      <c r="Z231" s="22"/>
      <c r="AA231" s="22"/>
      <c r="AB231" s="24"/>
      <c r="AC231" s="22"/>
      <c r="AD231" s="22"/>
      <c r="AE231" s="24"/>
      <c r="AF231" s="25"/>
    </row>
    <row r="232">
      <c r="A232" s="2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3"/>
      <c r="Q232" s="22"/>
      <c r="R232" s="22"/>
      <c r="S232" s="22"/>
      <c r="T232" s="22"/>
      <c r="U232" s="22"/>
      <c r="V232" s="22"/>
      <c r="W232" s="24"/>
      <c r="X232" s="22"/>
      <c r="Y232" s="22"/>
      <c r="Z232" s="22"/>
      <c r="AA232" s="22"/>
      <c r="AB232" s="24"/>
      <c r="AC232" s="22"/>
      <c r="AD232" s="22"/>
      <c r="AE232" s="24"/>
      <c r="AF232" s="25"/>
    </row>
    <row r="233">
      <c r="A233" s="2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6"/>
      <c r="Q233" s="22"/>
      <c r="R233" s="22"/>
      <c r="S233" s="22"/>
      <c r="T233" s="22"/>
      <c r="U233" s="22"/>
      <c r="V233" s="22"/>
      <c r="W233" s="24"/>
      <c r="X233" s="22"/>
      <c r="Y233" s="22"/>
      <c r="Z233" s="22"/>
      <c r="AA233" s="22"/>
      <c r="AB233" s="24"/>
      <c r="AC233" s="22"/>
      <c r="AD233" s="22"/>
      <c r="AE233" s="24"/>
      <c r="AF233" s="25"/>
    </row>
    <row r="234">
      <c r="A234" s="2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6"/>
      <c r="Q234" s="22"/>
      <c r="R234" s="22"/>
      <c r="S234" s="22"/>
      <c r="T234" s="22"/>
      <c r="U234" s="22"/>
      <c r="V234" s="22"/>
      <c r="W234" s="24"/>
      <c r="X234" s="22"/>
      <c r="Y234" s="22"/>
      <c r="Z234" s="22"/>
      <c r="AA234" s="22"/>
      <c r="AB234" s="24"/>
      <c r="AC234" s="22"/>
      <c r="AD234" s="22"/>
      <c r="AE234" s="24"/>
      <c r="AF234" s="25"/>
    </row>
    <row r="235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6"/>
      <c r="Q235" s="22"/>
      <c r="R235" s="22"/>
      <c r="S235" s="22"/>
      <c r="T235" s="22"/>
      <c r="U235" s="22"/>
      <c r="V235" s="22"/>
      <c r="W235" s="24"/>
      <c r="X235" s="22"/>
      <c r="Y235" s="22"/>
      <c r="Z235" s="22"/>
      <c r="AA235" s="22"/>
      <c r="AB235" s="24"/>
      <c r="AC235" s="22"/>
      <c r="AD235" s="22"/>
      <c r="AE235" s="24"/>
      <c r="AF235" s="25"/>
    </row>
    <row r="236">
      <c r="A236" s="2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6"/>
      <c r="Q236" s="22"/>
      <c r="R236" s="22"/>
      <c r="S236" s="22"/>
      <c r="T236" s="22"/>
      <c r="U236" s="22"/>
      <c r="V236" s="22"/>
      <c r="W236" s="24"/>
      <c r="X236" s="22"/>
      <c r="Y236" s="22"/>
      <c r="Z236" s="22"/>
      <c r="AA236" s="22"/>
      <c r="AB236" s="24"/>
      <c r="AC236" s="22"/>
      <c r="AD236" s="22"/>
      <c r="AE236" s="24"/>
      <c r="AF236" s="25"/>
    </row>
    <row r="237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3"/>
      <c r="Q237" s="22"/>
      <c r="R237" s="22"/>
      <c r="S237" s="22"/>
      <c r="T237" s="22"/>
      <c r="U237" s="22"/>
      <c r="V237" s="22"/>
      <c r="W237" s="24"/>
      <c r="X237" s="22"/>
      <c r="Y237" s="22"/>
      <c r="Z237" s="22"/>
      <c r="AA237" s="22"/>
      <c r="AB237" s="24"/>
      <c r="AC237" s="22"/>
      <c r="AD237" s="22"/>
      <c r="AE237" s="24"/>
      <c r="AF237" s="25"/>
    </row>
    <row r="238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6"/>
      <c r="Q238" s="22"/>
      <c r="R238" s="22"/>
      <c r="S238" s="22"/>
      <c r="T238" s="22"/>
      <c r="U238" s="22"/>
      <c r="V238" s="22"/>
      <c r="W238" s="24"/>
      <c r="X238" s="22"/>
      <c r="Y238" s="22"/>
      <c r="Z238" s="22"/>
      <c r="AA238" s="22"/>
      <c r="AB238" s="24"/>
      <c r="AC238" s="22"/>
      <c r="AD238" s="22"/>
      <c r="AE238" s="24"/>
      <c r="AF238" s="25"/>
    </row>
    <row r="239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6"/>
      <c r="Q239" s="22"/>
      <c r="R239" s="22"/>
      <c r="S239" s="22"/>
      <c r="T239" s="22"/>
      <c r="U239" s="22"/>
      <c r="V239" s="22"/>
      <c r="W239" s="24"/>
      <c r="X239" s="22"/>
      <c r="Y239" s="22"/>
      <c r="Z239" s="22"/>
      <c r="AA239" s="22"/>
      <c r="AB239" s="24"/>
      <c r="AC239" s="22"/>
      <c r="AD239" s="22"/>
      <c r="AE239" s="24"/>
      <c r="AF239" s="25"/>
    </row>
    <row r="240">
      <c r="A240" s="2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6"/>
      <c r="Q240" s="22"/>
      <c r="R240" s="22"/>
      <c r="S240" s="22"/>
      <c r="T240" s="22"/>
      <c r="U240" s="22"/>
      <c r="V240" s="22"/>
      <c r="W240" s="24"/>
      <c r="X240" s="22"/>
      <c r="Y240" s="22"/>
      <c r="Z240" s="22"/>
      <c r="AA240" s="22"/>
      <c r="AB240" s="24"/>
      <c r="AC240" s="22"/>
      <c r="AD240" s="22"/>
      <c r="AE240" s="24"/>
      <c r="AF240" s="25"/>
    </row>
    <row r="241">
      <c r="A241" s="2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6"/>
      <c r="Q241" s="22"/>
      <c r="R241" s="22"/>
      <c r="S241" s="22"/>
      <c r="T241" s="22"/>
      <c r="U241" s="22"/>
      <c r="V241" s="22"/>
      <c r="W241" s="24"/>
      <c r="X241" s="22"/>
      <c r="Y241" s="22"/>
      <c r="Z241" s="22"/>
      <c r="AA241" s="22"/>
      <c r="AB241" s="24"/>
      <c r="AC241" s="22"/>
      <c r="AD241" s="22"/>
      <c r="AE241" s="24"/>
      <c r="AF241" s="25"/>
    </row>
    <row r="242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6"/>
      <c r="Q242" s="22"/>
      <c r="R242" s="22"/>
      <c r="S242" s="22"/>
      <c r="T242" s="22"/>
      <c r="U242" s="22"/>
      <c r="V242" s="22"/>
      <c r="W242" s="24"/>
      <c r="X242" s="22"/>
      <c r="Y242" s="22"/>
      <c r="Z242" s="22"/>
      <c r="AA242" s="22"/>
      <c r="AB242" s="24"/>
      <c r="AC242" s="22"/>
      <c r="AD242" s="22"/>
      <c r="AE242" s="24"/>
      <c r="AF242" s="25"/>
    </row>
    <row r="243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6"/>
      <c r="Q243" s="22"/>
      <c r="R243" s="22"/>
      <c r="S243" s="22"/>
      <c r="T243" s="22"/>
      <c r="U243" s="22"/>
      <c r="V243" s="22"/>
      <c r="W243" s="24"/>
      <c r="X243" s="22"/>
      <c r="Y243" s="22"/>
      <c r="Z243" s="22"/>
      <c r="AA243" s="22"/>
      <c r="AB243" s="24"/>
      <c r="AC243" s="22"/>
      <c r="AD243" s="22"/>
      <c r="AE243" s="24"/>
      <c r="AF243" s="25"/>
    </row>
    <row r="244">
      <c r="A244" s="2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6"/>
      <c r="Q244" s="22"/>
      <c r="R244" s="22"/>
      <c r="S244" s="22"/>
      <c r="T244" s="22"/>
      <c r="U244" s="22"/>
      <c r="V244" s="22"/>
      <c r="W244" s="24"/>
      <c r="X244" s="22"/>
      <c r="Y244" s="22"/>
      <c r="Z244" s="22"/>
      <c r="AA244" s="22"/>
      <c r="AB244" s="24"/>
      <c r="AC244" s="22"/>
      <c r="AD244" s="22"/>
      <c r="AE244" s="24"/>
      <c r="AF244" s="25"/>
    </row>
    <row r="245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6"/>
      <c r="Q245" s="22"/>
      <c r="R245" s="22"/>
      <c r="S245" s="22"/>
      <c r="T245" s="22"/>
      <c r="U245" s="22"/>
      <c r="V245" s="22"/>
      <c r="W245" s="24"/>
      <c r="X245" s="22"/>
      <c r="Y245" s="22"/>
      <c r="Z245" s="22"/>
      <c r="AA245" s="22"/>
      <c r="AB245" s="24"/>
      <c r="AC245" s="22"/>
      <c r="AD245" s="22"/>
      <c r="AE245" s="24"/>
      <c r="AF245" s="25"/>
    </row>
    <row r="246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3"/>
      <c r="Q246" s="22"/>
      <c r="R246" s="22"/>
      <c r="S246" s="22"/>
      <c r="T246" s="22"/>
      <c r="U246" s="22"/>
      <c r="V246" s="22"/>
      <c r="W246" s="24"/>
      <c r="X246" s="22"/>
      <c r="Y246" s="22"/>
      <c r="Z246" s="22"/>
      <c r="AA246" s="22"/>
      <c r="AB246" s="24"/>
      <c r="AC246" s="22"/>
      <c r="AD246" s="22"/>
      <c r="AE246" s="24"/>
      <c r="AF246" s="25"/>
    </row>
    <row r="247">
      <c r="A247" s="2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3"/>
      <c r="Q247" s="22"/>
      <c r="R247" s="22"/>
      <c r="S247" s="22"/>
      <c r="T247" s="22"/>
      <c r="U247" s="22"/>
      <c r="V247" s="22"/>
      <c r="W247" s="24"/>
      <c r="X247" s="22"/>
      <c r="Y247" s="22"/>
      <c r="Z247" s="22"/>
      <c r="AA247" s="22"/>
      <c r="AB247" s="24"/>
      <c r="AC247" s="22"/>
      <c r="AD247" s="22"/>
      <c r="AE247" s="24"/>
      <c r="AF247" s="25"/>
    </row>
    <row r="248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6"/>
      <c r="Q248" s="22"/>
      <c r="R248" s="22"/>
      <c r="S248" s="22"/>
      <c r="T248" s="22"/>
      <c r="U248" s="22"/>
      <c r="V248" s="22"/>
      <c r="W248" s="24"/>
      <c r="X248" s="22"/>
      <c r="Y248" s="22"/>
      <c r="Z248" s="22"/>
      <c r="AA248" s="22"/>
      <c r="AB248" s="24"/>
      <c r="AC248" s="22"/>
      <c r="AD248" s="22"/>
      <c r="AE248" s="24"/>
      <c r="AF248" s="25"/>
    </row>
    <row r="249">
      <c r="A249" s="2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3"/>
      <c r="Q249" s="22"/>
      <c r="R249" s="22"/>
      <c r="S249" s="22"/>
      <c r="T249" s="22"/>
      <c r="U249" s="22"/>
      <c r="V249" s="22"/>
      <c r="W249" s="24"/>
      <c r="X249" s="22"/>
      <c r="Y249" s="22"/>
      <c r="Z249" s="22"/>
      <c r="AA249" s="22"/>
      <c r="AB249" s="24"/>
      <c r="AC249" s="22"/>
      <c r="AD249" s="22"/>
      <c r="AE249" s="24"/>
      <c r="AF249" s="25"/>
    </row>
    <row r="250">
      <c r="A250" s="2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3"/>
      <c r="Q250" s="22"/>
      <c r="R250" s="22"/>
      <c r="S250" s="22"/>
      <c r="T250" s="22"/>
      <c r="U250" s="22"/>
      <c r="V250" s="22"/>
      <c r="W250" s="24"/>
      <c r="X250" s="22"/>
      <c r="Y250" s="22"/>
      <c r="Z250" s="22"/>
      <c r="AA250" s="22"/>
      <c r="AB250" s="24"/>
      <c r="AC250" s="22"/>
      <c r="AD250" s="22"/>
      <c r="AE250" s="24"/>
      <c r="AF250" s="25"/>
    </row>
    <row r="251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6"/>
      <c r="Q251" s="22"/>
      <c r="R251" s="22"/>
      <c r="S251" s="22"/>
      <c r="T251" s="22"/>
      <c r="U251" s="22"/>
      <c r="V251" s="22"/>
      <c r="W251" s="24"/>
      <c r="X251" s="22"/>
      <c r="Y251" s="22"/>
      <c r="Z251" s="22"/>
      <c r="AA251" s="22"/>
      <c r="AB251" s="24"/>
      <c r="AC251" s="22"/>
      <c r="AD251" s="22"/>
      <c r="AE251" s="24"/>
      <c r="AF251" s="25"/>
    </row>
    <row r="252">
      <c r="A252" s="2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6"/>
      <c r="Q252" s="22"/>
      <c r="R252" s="22"/>
      <c r="S252" s="22"/>
      <c r="T252" s="22"/>
      <c r="U252" s="22"/>
      <c r="V252" s="22"/>
      <c r="W252" s="24"/>
      <c r="X252" s="22"/>
      <c r="Y252" s="22"/>
      <c r="Z252" s="22"/>
      <c r="AA252" s="22"/>
      <c r="AB252" s="24"/>
      <c r="AC252" s="22"/>
      <c r="AD252" s="22"/>
      <c r="AE252" s="24"/>
      <c r="AF252" s="25"/>
    </row>
    <row r="253">
      <c r="A253" s="2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3"/>
      <c r="Q253" s="22"/>
      <c r="R253" s="22"/>
      <c r="S253" s="22"/>
      <c r="T253" s="22"/>
      <c r="U253" s="22"/>
      <c r="V253" s="22"/>
      <c r="W253" s="24"/>
      <c r="X253" s="22"/>
      <c r="Y253" s="22"/>
      <c r="Z253" s="22"/>
      <c r="AA253" s="22"/>
      <c r="AB253" s="24"/>
      <c r="AC253" s="22"/>
      <c r="AD253" s="22"/>
      <c r="AE253" s="24"/>
      <c r="AF253" s="25"/>
    </row>
    <row r="254">
      <c r="A254" s="2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6"/>
      <c r="Q254" s="22"/>
      <c r="R254" s="22"/>
      <c r="S254" s="22"/>
      <c r="T254" s="22"/>
      <c r="U254" s="22"/>
      <c r="V254" s="22"/>
      <c r="W254" s="24"/>
      <c r="X254" s="22"/>
      <c r="Y254" s="22"/>
      <c r="Z254" s="22"/>
      <c r="AA254" s="22"/>
      <c r="AB254" s="24"/>
      <c r="AC254" s="22"/>
      <c r="AD254" s="22"/>
      <c r="AE254" s="24"/>
      <c r="AF254" s="25"/>
    </row>
    <row r="255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6"/>
      <c r="Q255" s="22"/>
      <c r="R255" s="22"/>
      <c r="S255" s="22"/>
      <c r="T255" s="22"/>
      <c r="U255" s="22"/>
      <c r="V255" s="22"/>
      <c r="W255" s="24"/>
      <c r="X255" s="22"/>
      <c r="Y255" s="22"/>
      <c r="Z255" s="22"/>
      <c r="AA255" s="22"/>
      <c r="AB255" s="24"/>
      <c r="AC255" s="22"/>
      <c r="AD255" s="22"/>
      <c r="AE255" s="24"/>
      <c r="AF255" s="25"/>
    </row>
    <row r="256">
      <c r="A256" s="2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6"/>
      <c r="Q256" s="22"/>
      <c r="R256" s="22"/>
      <c r="S256" s="22"/>
      <c r="T256" s="22"/>
      <c r="U256" s="22"/>
      <c r="V256" s="22"/>
      <c r="W256" s="24"/>
      <c r="X256" s="22"/>
      <c r="Y256" s="22"/>
      <c r="Z256" s="22"/>
      <c r="AA256" s="22"/>
      <c r="AB256" s="24"/>
      <c r="AC256" s="22"/>
      <c r="AD256" s="22"/>
      <c r="AE256" s="24"/>
      <c r="AF256" s="25"/>
    </row>
    <row r="257">
      <c r="A257" s="2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6"/>
      <c r="Q257" s="22"/>
      <c r="R257" s="22"/>
      <c r="S257" s="22"/>
      <c r="T257" s="22"/>
      <c r="U257" s="22"/>
      <c r="V257" s="22"/>
      <c r="W257" s="24"/>
      <c r="X257" s="22"/>
      <c r="Y257" s="22"/>
      <c r="Z257" s="22"/>
      <c r="AA257" s="22"/>
      <c r="AB257" s="24"/>
      <c r="AC257" s="22"/>
      <c r="AD257" s="22"/>
      <c r="AE257" s="24"/>
      <c r="AF257" s="25"/>
    </row>
    <row r="258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6"/>
      <c r="Q258" s="22"/>
      <c r="R258" s="22"/>
      <c r="S258" s="22"/>
      <c r="T258" s="22"/>
      <c r="U258" s="22"/>
      <c r="V258" s="22"/>
      <c r="W258" s="24"/>
      <c r="X258" s="22"/>
      <c r="Y258" s="22"/>
      <c r="Z258" s="22"/>
      <c r="AA258" s="22"/>
      <c r="AB258" s="24"/>
      <c r="AC258" s="22"/>
      <c r="AD258" s="22"/>
      <c r="AE258" s="24"/>
      <c r="AF258" s="25"/>
    </row>
    <row r="259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6"/>
      <c r="Q259" s="22"/>
      <c r="R259" s="22"/>
      <c r="S259" s="22"/>
      <c r="T259" s="22"/>
      <c r="U259" s="22"/>
      <c r="V259" s="22"/>
      <c r="W259" s="24"/>
      <c r="X259" s="22"/>
      <c r="Y259" s="22"/>
      <c r="Z259" s="22"/>
      <c r="AA259" s="22"/>
      <c r="AB259" s="24"/>
      <c r="AC259" s="22"/>
      <c r="AD259" s="22"/>
      <c r="AE259" s="24"/>
      <c r="AF259" s="25"/>
    </row>
    <row r="260">
      <c r="A260" s="2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6"/>
      <c r="Q260" s="22"/>
      <c r="R260" s="22"/>
      <c r="S260" s="22"/>
      <c r="T260" s="22"/>
      <c r="U260" s="22"/>
      <c r="V260" s="22"/>
      <c r="W260" s="24"/>
      <c r="X260" s="22"/>
      <c r="Y260" s="22"/>
      <c r="Z260" s="22"/>
      <c r="AA260" s="22"/>
      <c r="AB260" s="24"/>
      <c r="AC260" s="22"/>
      <c r="AD260" s="22"/>
      <c r="AE260" s="24"/>
      <c r="AF260" s="25"/>
    </row>
    <row r="261">
      <c r="A261" s="2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6"/>
      <c r="Q261" s="22"/>
      <c r="R261" s="22"/>
      <c r="S261" s="22"/>
      <c r="T261" s="22"/>
      <c r="U261" s="22"/>
      <c r="V261" s="22"/>
      <c r="W261" s="24"/>
      <c r="X261" s="22"/>
      <c r="Y261" s="22"/>
      <c r="Z261" s="22"/>
      <c r="AA261" s="22"/>
      <c r="AB261" s="24"/>
      <c r="AC261" s="22"/>
      <c r="AD261" s="22"/>
      <c r="AE261" s="24"/>
      <c r="AF261" s="25"/>
    </row>
    <row r="262">
      <c r="A262" s="2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6"/>
      <c r="Q262" s="22"/>
      <c r="R262" s="22"/>
      <c r="S262" s="22"/>
      <c r="T262" s="22"/>
      <c r="U262" s="22"/>
      <c r="V262" s="22"/>
      <c r="W262" s="24"/>
      <c r="X262" s="22"/>
      <c r="Y262" s="22"/>
      <c r="Z262" s="22"/>
      <c r="AA262" s="22"/>
      <c r="AB262" s="24"/>
      <c r="AC262" s="22"/>
      <c r="AD262" s="22"/>
      <c r="AE262" s="24"/>
      <c r="AF262" s="25"/>
    </row>
    <row r="263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6"/>
      <c r="Q263" s="22"/>
      <c r="R263" s="22"/>
      <c r="S263" s="22"/>
      <c r="T263" s="22"/>
      <c r="U263" s="22"/>
      <c r="V263" s="22"/>
      <c r="W263" s="24"/>
      <c r="X263" s="22"/>
      <c r="Y263" s="22"/>
      <c r="Z263" s="22"/>
      <c r="AA263" s="22"/>
      <c r="AB263" s="24"/>
      <c r="AC263" s="22"/>
      <c r="AD263" s="22"/>
      <c r="AE263" s="24"/>
      <c r="AF263" s="25"/>
    </row>
    <row r="264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3"/>
      <c r="Q264" s="22"/>
      <c r="R264" s="22"/>
      <c r="S264" s="22"/>
      <c r="T264" s="22"/>
      <c r="U264" s="22"/>
      <c r="V264" s="22"/>
      <c r="W264" s="24"/>
      <c r="X264" s="22"/>
      <c r="Y264" s="22"/>
      <c r="Z264" s="22"/>
      <c r="AA264" s="22"/>
      <c r="AB264" s="24"/>
      <c r="AC264" s="22"/>
      <c r="AD264" s="22"/>
      <c r="AE264" s="24"/>
      <c r="AF264" s="25"/>
    </row>
    <row r="265">
      <c r="A265" s="2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6"/>
      <c r="Q265" s="22"/>
      <c r="R265" s="22"/>
      <c r="S265" s="22"/>
      <c r="T265" s="22"/>
      <c r="U265" s="22"/>
      <c r="V265" s="22"/>
      <c r="W265" s="24"/>
      <c r="X265" s="22"/>
      <c r="Y265" s="22"/>
      <c r="Z265" s="22"/>
      <c r="AA265" s="22"/>
      <c r="AB265" s="24"/>
      <c r="AC265" s="22"/>
      <c r="AD265" s="22"/>
      <c r="AE265" s="24"/>
      <c r="AF265" s="25"/>
    </row>
    <row r="266">
      <c r="A266" s="2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3"/>
      <c r="Q266" s="22"/>
      <c r="R266" s="22"/>
      <c r="S266" s="22"/>
      <c r="T266" s="22"/>
      <c r="U266" s="22"/>
      <c r="V266" s="22"/>
      <c r="W266" s="24"/>
      <c r="X266" s="22"/>
      <c r="Y266" s="22"/>
      <c r="Z266" s="22"/>
      <c r="AA266" s="22"/>
      <c r="AB266" s="24"/>
      <c r="AC266" s="22"/>
      <c r="AD266" s="22"/>
      <c r="AE266" s="24"/>
      <c r="AF266" s="25"/>
    </row>
    <row r="267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3"/>
      <c r="Q267" s="22"/>
      <c r="R267" s="22"/>
      <c r="S267" s="22"/>
      <c r="T267" s="22"/>
      <c r="U267" s="22"/>
      <c r="V267" s="22"/>
      <c r="W267" s="24"/>
      <c r="X267" s="22"/>
      <c r="Y267" s="22"/>
      <c r="Z267" s="22"/>
      <c r="AA267" s="22"/>
      <c r="AB267" s="24"/>
      <c r="AC267" s="22"/>
      <c r="AD267" s="22"/>
      <c r="AE267" s="24"/>
      <c r="AF267" s="25"/>
    </row>
    <row r="268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6"/>
      <c r="Q268" s="22"/>
      <c r="R268" s="22"/>
      <c r="S268" s="22"/>
      <c r="T268" s="22"/>
      <c r="U268" s="22"/>
      <c r="V268" s="22"/>
      <c r="W268" s="24"/>
      <c r="X268" s="22"/>
      <c r="Y268" s="22"/>
      <c r="Z268" s="22"/>
      <c r="AA268" s="22"/>
      <c r="AB268" s="24"/>
      <c r="AC268" s="22"/>
      <c r="AD268" s="22"/>
      <c r="AE268" s="24"/>
      <c r="AF268" s="25"/>
    </row>
    <row r="269">
      <c r="A269" s="2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6"/>
      <c r="Q269" s="22"/>
      <c r="R269" s="22"/>
      <c r="S269" s="22"/>
      <c r="T269" s="22"/>
      <c r="U269" s="22"/>
      <c r="V269" s="22"/>
      <c r="W269" s="24"/>
      <c r="X269" s="22"/>
      <c r="Y269" s="22"/>
      <c r="Z269" s="22"/>
      <c r="AA269" s="22"/>
      <c r="AB269" s="24"/>
      <c r="AC269" s="22"/>
      <c r="AD269" s="22"/>
      <c r="AE269" s="24"/>
      <c r="AF269" s="25"/>
    </row>
    <row r="270">
      <c r="A270" s="2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6"/>
      <c r="Q270" s="22"/>
      <c r="R270" s="22"/>
      <c r="S270" s="22"/>
      <c r="T270" s="22"/>
      <c r="U270" s="22"/>
      <c r="V270" s="22"/>
      <c r="W270" s="24"/>
      <c r="X270" s="22"/>
      <c r="Y270" s="22"/>
      <c r="Z270" s="22"/>
      <c r="AA270" s="22"/>
      <c r="AB270" s="24"/>
      <c r="AC270" s="22"/>
      <c r="AD270" s="22"/>
      <c r="AE270" s="24"/>
      <c r="AF270" s="25"/>
    </row>
    <row r="271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3"/>
      <c r="Q271" s="22"/>
      <c r="R271" s="22"/>
      <c r="S271" s="22"/>
      <c r="T271" s="22"/>
      <c r="U271" s="22"/>
      <c r="V271" s="22"/>
      <c r="W271" s="24"/>
      <c r="X271" s="22"/>
      <c r="Y271" s="22"/>
      <c r="Z271" s="22"/>
      <c r="AA271" s="22"/>
      <c r="AB271" s="24"/>
      <c r="AC271" s="22"/>
      <c r="AD271" s="22"/>
      <c r="AE271" s="24"/>
      <c r="AF271" s="25"/>
    </row>
    <row r="272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3"/>
      <c r="Q272" s="22"/>
      <c r="R272" s="22"/>
      <c r="S272" s="22"/>
      <c r="T272" s="22"/>
      <c r="U272" s="22"/>
      <c r="V272" s="22"/>
      <c r="W272" s="24"/>
      <c r="X272" s="22"/>
      <c r="Y272" s="22"/>
      <c r="Z272" s="22"/>
      <c r="AA272" s="22"/>
      <c r="AB272" s="24"/>
      <c r="AC272" s="22"/>
      <c r="AD272" s="22"/>
      <c r="AE272" s="24"/>
      <c r="AF272" s="25"/>
    </row>
    <row r="273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6"/>
      <c r="Q273" s="22"/>
      <c r="R273" s="22"/>
      <c r="S273" s="22"/>
      <c r="T273" s="22"/>
      <c r="U273" s="22"/>
      <c r="V273" s="22"/>
      <c r="W273" s="24"/>
      <c r="X273" s="22"/>
      <c r="Y273" s="22"/>
      <c r="Z273" s="22"/>
      <c r="AA273" s="22"/>
      <c r="AB273" s="24"/>
      <c r="AC273" s="22"/>
      <c r="AD273" s="22"/>
      <c r="AE273" s="24"/>
      <c r="AF273" s="25"/>
    </row>
    <row r="274">
      <c r="A274" s="2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6"/>
      <c r="Q274" s="22"/>
      <c r="R274" s="22"/>
      <c r="S274" s="22"/>
      <c r="T274" s="22"/>
      <c r="U274" s="22"/>
      <c r="V274" s="22"/>
      <c r="W274" s="24"/>
      <c r="X274" s="22"/>
      <c r="Y274" s="22"/>
      <c r="Z274" s="22"/>
      <c r="AA274" s="22"/>
      <c r="AB274" s="24"/>
      <c r="AC274" s="22"/>
      <c r="AD274" s="22"/>
      <c r="AE274" s="24"/>
      <c r="AF274" s="25"/>
    </row>
    <row r="275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6"/>
      <c r="Q275" s="22"/>
      <c r="R275" s="22"/>
      <c r="S275" s="22"/>
      <c r="T275" s="22"/>
      <c r="U275" s="22"/>
      <c r="V275" s="22"/>
      <c r="W275" s="24"/>
      <c r="X275" s="22"/>
      <c r="Y275" s="22"/>
      <c r="Z275" s="22"/>
      <c r="AA275" s="22"/>
      <c r="AB275" s="24"/>
      <c r="AC275" s="22"/>
      <c r="AD275" s="22"/>
      <c r="AE275" s="24"/>
      <c r="AF275" s="25"/>
    </row>
    <row r="276">
      <c r="A276" s="2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6"/>
      <c r="Q276" s="22"/>
      <c r="R276" s="22"/>
      <c r="S276" s="22"/>
      <c r="T276" s="22"/>
      <c r="U276" s="22"/>
      <c r="V276" s="22"/>
      <c r="W276" s="24"/>
      <c r="X276" s="22"/>
      <c r="Y276" s="22"/>
      <c r="Z276" s="22"/>
      <c r="AA276" s="22"/>
      <c r="AB276" s="24"/>
      <c r="AC276" s="22"/>
      <c r="AD276" s="22"/>
      <c r="AE276" s="24"/>
      <c r="AF276" s="25"/>
    </row>
    <row r="277">
      <c r="A277" s="2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6"/>
      <c r="Q277" s="22"/>
      <c r="R277" s="22"/>
      <c r="S277" s="22"/>
      <c r="T277" s="22"/>
      <c r="U277" s="22"/>
      <c r="V277" s="22"/>
      <c r="W277" s="24"/>
      <c r="X277" s="22"/>
      <c r="Y277" s="22"/>
      <c r="Z277" s="22"/>
      <c r="AA277" s="22"/>
      <c r="AB277" s="24"/>
      <c r="AC277" s="22"/>
      <c r="AD277" s="22"/>
      <c r="AE277" s="24"/>
      <c r="AF277" s="25"/>
    </row>
    <row r="278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6"/>
      <c r="Q278" s="22"/>
      <c r="R278" s="22"/>
      <c r="S278" s="22"/>
      <c r="T278" s="22"/>
      <c r="U278" s="22"/>
      <c r="V278" s="22"/>
      <c r="W278" s="24"/>
      <c r="X278" s="22"/>
      <c r="Y278" s="22"/>
      <c r="Z278" s="22"/>
      <c r="AA278" s="22"/>
      <c r="AB278" s="24"/>
      <c r="AC278" s="22"/>
      <c r="AD278" s="22"/>
      <c r="AE278" s="24"/>
      <c r="AF278" s="25"/>
    </row>
    <row r="279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3"/>
      <c r="Q279" s="22"/>
      <c r="R279" s="22"/>
      <c r="S279" s="22"/>
      <c r="T279" s="22"/>
      <c r="U279" s="22"/>
      <c r="V279" s="22"/>
      <c r="W279" s="24"/>
      <c r="X279" s="22"/>
      <c r="Y279" s="22"/>
      <c r="Z279" s="22"/>
      <c r="AA279" s="22"/>
      <c r="AB279" s="24"/>
      <c r="AC279" s="22"/>
      <c r="AD279" s="22"/>
      <c r="AE279" s="24"/>
      <c r="AF279" s="25"/>
    </row>
    <row r="280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6"/>
      <c r="Q280" s="22"/>
      <c r="R280" s="22"/>
      <c r="S280" s="22"/>
      <c r="T280" s="22"/>
      <c r="U280" s="22"/>
      <c r="V280" s="22"/>
      <c r="W280" s="24"/>
      <c r="X280" s="22"/>
      <c r="Y280" s="22"/>
      <c r="Z280" s="22"/>
      <c r="AA280" s="22"/>
      <c r="AB280" s="24"/>
      <c r="AC280" s="22"/>
      <c r="AD280" s="22"/>
      <c r="AE280" s="24"/>
      <c r="AF280" s="25"/>
    </row>
    <row r="281">
      <c r="A281" s="2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6"/>
      <c r="Q281" s="22"/>
      <c r="R281" s="22"/>
      <c r="S281" s="22"/>
      <c r="T281" s="22"/>
      <c r="U281" s="22"/>
      <c r="V281" s="22"/>
      <c r="W281" s="24"/>
      <c r="X281" s="22"/>
      <c r="Y281" s="22"/>
      <c r="Z281" s="22"/>
      <c r="AA281" s="22"/>
      <c r="AB281" s="24"/>
      <c r="AC281" s="22"/>
      <c r="AD281" s="22"/>
      <c r="AE281" s="24"/>
      <c r="AF281" s="25"/>
    </row>
    <row r="282">
      <c r="A282" s="2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6"/>
      <c r="Q282" s="22"/>
      <c r="R282" s="22"/>
      <c r="S282" s="22"/>
      <c r="T282" s="22"/>
      <c r="U282" s="22"/>
      <c r="V282" s="22"/>
      <c r="W282" s="24"/>
      <c r="X282" s="22"/>
      <c r="Y282" s="22"/>
      <c r="Z282" s="22"/>
      <c r="AA282" s="22"/>
      <c r="AB282" s="24"/>
      <c r="AC282" s="22"/>
      <c r="AD282" s="22"/>
      <c r="AE282" s="24"/>
      <c r="AF282" s="25"/>
    </row>
    <row r="283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6"/>
      <c r="Q283" s="22"/>
      <c r="R283" s="22"/>
      <c r="S283" s="22"/>
      <c r="T283" s="22"/>
      <c r="U283" s="22"/>
      <c r="V283" s="22"/>
      <c r="W283" s="24"/>
      <c r="X283" s="22"/>
      <c r="Y283" s="22"/>
      <c r="Z283" s="22"/>
      <c r="AA283" s="22"/>
      <c r="AB283" s="24"/>
      <c r="AC283" s="22"/>
      <c r="AD283" s="22"/>
      <c r="AE283" s="24"/>
      <c r="AF283" s="25"/>
    </row>
    <row r="284">
      <c r="A284" s="2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3"/>
      <c r="Q284" s="22"/>
      <c r="R284" s="22"/>
      <c r="S284" s="22"/>
      <c r="T284" s="22"/>
      <c r="U284" s="22"/>
      <c r="V284" s="22"/>
      <c r="W284" s="24"/>
      <c r="X284" s="22"/>
      <c r="Y284" s="22"/>
      <c r="Z284" s="22"/>
      <c r="AA284" s="22"/>
      <c r="AB284" s="24"/>
      <c r="AC284" s="22"/>
      <c r="AD284" s="22"/>
      <c r="AE284" s="24"/>
      <c r="AF284" s="25"/>
    </row>
    <row r="285">
      <c r="A285" s="2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6"/>
      <c r="Q285" s="22"/>
      <c r="R285" s="22"/>
      <c r="S285" s="22"/>
      <c r="T285" s="22"/>
      <c r="U285" s="22"/>
      <c r="V285" s="22"/>
      <c r="W285" s="24"/>
      <c r="X285" s="22"/>
      <c r="Y285" s="22"/>
      <c r="Z285" s="22"/>
      <c r="AA285" s="22"/>
      <c r="AB285" s="24"/>
      <c r="AC285" s="22"/>
      <c r="AD285" s="22"/>
      <c r="AE285" s="24"/>
      <c r="AF285" s="25"/>
    </row>
    <row r="286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6"/>
      <c r="Q286" s="22"/>
      <c r="R286" s="22"/>
      <c r="S286" s="22"/>
      <c r="T286" s="22"/>
      <c r="U286" s="22"/>
      <c r="V286" s="22"/>
      <c r="W286" s="24"/>
      <c r="X286" s="22"/>
      <c r="Y286" s="22"/>
      <c r="Z286" s="22"/>
      <c r="AA286" s="22"/>
      <c r="AB286" s="24"/>
      <c r="AC286" s="22"/>
      <c r="AD286" s="22"/>
      <c r="AE286" s="24"/>
      <c r="AF286" s="25"/>
    </row>
    <row r="287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6"/>
      <c r="Q287" s="22"/>
      <c r="R287" s="22"/>
      <c r="S287" s="22"/>
      <c r="T287" s="22"/>
      <c r="U287" s="22"/>
      <c r="V287" s="22"/>
      <c r="W287" s="24"/>
      <c r="X287" s="22"/>
      <c r="Y287" s="22"/>
      <c r="Z287" s="22"/>
      <c r="AA287" s="22"/>
      <c r="AB287" s="24"/>
      <c r="AC287" s="22"/>
      <c r="AD287" s="22"/>
      <c r="AE287" s="24"/>
      <c r="AF287" s="25"/>
    </row>
    <row r="288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6"/>
      <c r="Q288" s="22"/>
      <c r="R288" s="22"/>
      <c r="S288" s="22"/>
      <c r="T288" s="22"/>
      <c r="U288" s="22"/>
      <c r="V288" s="22"/>
      <c r="W288" s="24"/>
      <c r="X288" s="22"/>
      <c r="Y288" s="22"/>
      <c r="Z288" s="22"/>
      <c r="AA288" s="22"/>
      <c r="AB288" s="24"/>
      <c r="AC288" s="22"/>
      <c r="AD288" s="22"/>
      <c r="AE288" s="24"/>
      <c r="AF288" s="25"/>
    </row>
    <row r="289">
      <c r="A289" s="2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3"/>
      <c r="Q289" s="22"/>
      <c r="R289" s="22"/>
      <c r="S289" s="22"/>
      <c r="T289" s="22"/>
      <c r="U289" s="22"/>
      <c r="V289" s="22"/>
      <c r="W289" s="24"/>
      <c r="X289" s="22"/>
      <c r="Y289" s="22"/>
      <c r="Z289" s="22"/>
      <c r="AA289" s="22"/>
      <c r="AB289" s="24"/>
      <c r="AC289" s="22"/>
      <c r="AD289" s="22"/>
      <c r="AE289" s="24"/>
      <c r="AF289" s="25"/>
    </row>
    <row r="290">
      <c r="A290" s="2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6"/>
      <c r="Q290" s="22"/>
      <c r="R290" s="22"/>
      <c r="S290" s="22"/>
      <c r="T290" s="22"/>
      <c r="U290" s="22"/>
      <c r="V290" s="22"/>
      <c r="W290" s="24"/>
      <c r="X290" s="22"/>
      <c r="Y290" s="22"/>
      <c r="Z290" s="22"/>
      <c r="AA290" s="22"/>
      <c r="AB290" s="24"/>
      <c r="AC290" s="22"/>
      <c r="AD290" s="22"/>
      <c r="AE290" s="24"/>
      <c r="AF290" s="25"/>
    </row>
    <row r="291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6"/>
      <c r="Q291" s="22"/>
      <c r="R291" s="22"/>
      <c r="S291" s="22"/>
      <c r="T291" s="22"/>
      <c r="U291" s="22"/>
      <c r="V291" s="22"/>
      <c r="W291" s="24"/>
      <c r="X291" s="22"/>
      <c r="Y291" s="22"/>
      <c r="Z291" s="22"/>
      <c r="AA291" s="22"/>
      <c r="AB291" s="24"/>
      <c r="AC291" s="22"/>
      <c r="AD291" s="22"/>
      <c r="AE291" s="24"/>
      <c r="AF291" s="25"/>
    </row>
    <row r="292">
      <c r="A292" s="2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6"/>
      <c r="Q292" s="22"/>
      <c r="R292" s="22"/>
      <c r="S292" s="22"/>
      <c r="T292" s="22"/>
      <c r="U292" s="22"/>
      <c r="V292" s="22"/>
      <c r="W292" s="24"/>
      <c r="X292" s="22"/>
      <c r="Y292" s="22"/>
      <c r="Z292" s="22"/>
      <c r="AA292" s="22"/>
      <c r="AB292" s="24"/>
      <c r="AC292" s="22"/>
      <c r="AD292" s="22"/>
      <c r="AE292" s="24"/>
      <c r="AF292" s="25"/>
    </row>
    <row r="293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6"/>
      <c r="Q293" s="22"/>
      <c r="R293" s="22"/>
      <c r="S293" s="22"/>
      <c r="T293" s="22"/>
      <c r="U293" s="22"/>
      <c r="V293" s="22"/>
      <c r="W293" s="24"/>
      <c r="X293" s="22"/>
      <c r="Y293" s="22"/>
      <c r="Z293" s="22"/>
      <c r="AA293" s="22"/>
      <c r="AB293" s="24"/>
      <c r="AC293" s="22"/>
      <c r="AD293" s="22"/>
      <c r="AE293" s="24"/>
      <c r="AF293" s="25"/>
    </row>
    <row r="294">
      <c r="A294" s="2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3"/>
      <c r="Q294" s="22"/>
      <c r="R294" s="22"/>
      <c r="S294" s="22"/>
      <c r="T294" s="22"/>
      <c r="U294" s="22"/>
      <c r="V294" s="22"/>
      <c r="W294" s="24"/>
      <c r="X294" s="22"/>
      <c r="Y294" s="22"/>
      <c r="Z294" s="22"/>
      <c r="AA294" s="22"/>
      <c r="AB294" s="24"/>
      <c r="AC294" s="22"/>
      <c r="AD294" s="22"/>
      <c r="AE294" s="24"/>
      <c r="AF294" s="25"/>
    </row>
    <row r="295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6"/>
      <c r="Q295" s="22"/>
      <c r="R295" s="22"/>
      <c r="S295" s="22"/>
      <c r="T295" s="22"/>
      <c r="U295" s="22"/>
      <c r="V295" s="22"/>
      <c r="W295" s="24"/>
      <c r="X295" s="22"/>
      <c r="Y295" s="22"/>
      <c r="Z295" s="22"/>
      <c r="AA295" s="22"/>
      <c r="AB295" s="24"/>
      <c r="AC295" s="22"/>
      <c r="AD295" s="22"/>
      <c r="AE295" s="24"/>
      <c r="AF295" s="25"/>
    </row>
    <row r="296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3"/>
      <c r="Q296" s="22"/>
      <c r="R296" s="22"/>
      <c r="S296" s="22"/>
      <c r="T296" s="22"/>
      <c r="U296" s="22"/>
      <c r="V296" s="22"/>
      <c r="W296" s="24"/>
      <c r="X296" s="22"/>
      <c r="Y296" s="22"/>
      <c r="Z296" s="22"/>
      <c r="AA296" s="22"/>
      <c r="AB296" s="24"/>
      <c r="AC296" s="22"/>
      <c r="AD296" s="22"/>
      <c r="AE296" s="24"/>
      <c r="AF296" s="25"/>
    </row>
    <row r="297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6"/>
      <c r="Q297" s="22"/>
      <c r="R297" s="22"/>
      <c r="S297" s="22"/>
      <c r="T297" s="22"/>
      <c r="U297" s="22"/>
      <c r="V297" s="22"/>
      <c r="W297" s="24"/>
      <c r="X297" s="22"/>
      <c r="Y297" s="22"/>
      <c r="Z297" s="22"/>
      <c r="AA297" s="22"/>
      <c r="AB297" s="24"/>
      <c r="AC297" s="22"/>
      <c r="AD297" s="22"/>
      <c r="AE297" s="24"/>
      <c r="AF297" s="25"/>
    </row>
    <row r="298">
      <c r="A298" s="2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3"/>
      <c r="Q298" s="22"/>
      <c r="R298" s="22"/>
      <c r="S298" s="22"/>
      <c r="T298" s="22"/>
      <c r="U298" s="22"/>
      <c r="V298" s="22"/>
      <c r="W298" s="24"/>
      <c r="X298" s="22"/>
      <c r="Y298" s="22"/>
      <c r="Z298" s="22"/>
      <c r="AA298" s="22"/>
      <c r="AB298" s="24"/>
      <c r="AC298" s="22"/>
      <c r="AD298" s="22"/>
      <c r="AE298" s="24"/>
      <c r="AF298" s="25"/>
    </row>
    <row r="299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6"/>
      <c r="Q299" s="22"/>
      <c r="R299" s="22"/>
      <c r="S299" s="22"/>
      <c r="T299" s="22"/>
      <c r="U299" s="22"/>
      <c r="V299" s="22"/>
      <c r="W299" s="24"/>
      <c r="X299" s="22"/>
      <c r="Y299" s="22"/>
      <c r="Z299" s="22"/>
      <c r="AA299" s="22"/>
      <c r="AB299" s="24"/>
      <c r="AC299" s="22"/>
      <c r="AD299" s="22"/>
      <c r="AE299" s="24"/>
      <c r="AF299" s="25"/>
    </row>
    <row r="300">
      <c r="A300" s="2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6"/>
      <c r="Q300" s="22"/>
      <c r="R300" s="22"/>
      <c r="S300" s="22"/>
      <c r="T300" s="22"/>
      <c r="U300" s="22"/>
      <c r="V300" s="22"/>
      <c r="W300" s="24"/>
      <c r="X300" s="22"/>
      <c r="Y300" s="22"/>
      <c r="Z300" s="22"/>
      <c r="AA300" s="22"/>
      <c r="AB300" s="24"/>
      <c r="AC300" s="22"/>
      <c r="AD300" s="22"/>
      <c r="AE300" s="24"/>
      <c r="AF300" s="25"/>
    </row>
    <row r="301">
      <c r="A301" s="2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6"/>
      <c r="Q301" s="22"/>
      <c r="R301" s="22"/>
      <c r="S301" s="22"/>
      <c r="T301" s="22"/>
      <c r="U301" s="22"/>
      <c r="V301" s="22"/>
      <c r="W301" s="24"/>
      <c r="X301" s="22"/>
      <c r="Y301" s="22"/>
      <c r="Z301" s="22"/>
      <c r="AA301" s="22"/>
      <c r="AB301" s="24"/>
      <c r="AC301" s="22"/>
      <c r="AD301" s="22"/>
      <c r="AE301" s="24"/>
      <c r="AF301" s="25"/>
    </row>
    <row r="302">
      <c r="A302" s="2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6"/>
      <c r="Q302" s="22"/>
      <c r="R302" s="22"/>
      <c r="S302" s="22"/>
      <c r="T302" s="22"/>
      <c r="U302" s="22"/>
      <c r="V302" s="22"/>
      <c r="W302" s="24"/>
      <c r="X302" s="22"/>
      <c r="Y302" s="22"/>
      <c r="Z302" s="22"/>
      <c r="AA302" s="22"/>
      <c r="AB302" s="24"/>
      <c r="AC302" s="22"/>
      <c r="AD302" s="22"/>
      <c r="AE302" s="24"/>
      <c r="AF302" s="25"/>
    </row>
    <row r="303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6"/>
      <c r="Q303" s="22"/>
      <c r="R303" s="22"/>
      <c r="S303" s="22"/>
      <c r="T303" s="22"/>
      <c r="U303" s="22"/>
      <c r="V303" s="22"/>
      <c r="W303" s="24"/>
      <c r="X303" s="22"/>
      <c r="Y303" s="22"/>
      <c r="Z303" s="22"/>
      <c r="AA303" s="22"/>
      <c r="AB303" s="24"/>
      <c r="AC303" s="22"/>
      <c r="AD303" s="22"/>
      <c r="AE303" s="24"/>
      <c r="AF303" s="25"/>
    </row>
    <row r="304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6"/>
      <c r="Q304" s="22"/>
      <c r="R304" s="22"/>
      <c r="S304" s="22"/>
      <c r="T304" s="22"/>
      <c r="U304" s="22"/>
      <c r="V304" s="22"/>
      <c r="W304" s="24"/>
      <c r="X304" s="22"/>
      <c r="Y304" s="22"/>
      <c r="Z304" s="22"/>
      <c r="AA304" s="22"/>
      <c r="AB304" s="24"/>
      <c r="AC304" s="22"/>
      <c r="AD304" s="22"/>
      <c r="AE304" s="24"/>
      <c r="AF304" s="25"/>
    </row>
    <row r="305">
      <c r="A305" s="2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6"/>
      <c r="Q305" s="22"/>
      <c r="R305" s="22"/>
      <c r="S305" s="22"/>
      <c r="T305" s="22"/>
      <c r="U305" s="22"/>
      <c r="V305" s="22"/>
      <c r="W305" s="24"/>
      <c r="X305" s="22"/>
      <c r="Y305" s="22"/>
      <c r="Z305" s="22"/>
      <c r="AA305" s="22"/>
      <c r="AB305" s="24"/>
      <c r="AC305" s="22"/>
      <c r="AD305" s="22"/>
      <c r="AE305" s="24"/>
      <c r="AF305" s="25"/>
    </row>
    <row r="306">
      <c r="A306" s="2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6"/>
      <c r="Q306" s="22"/>
      <c r="R306" s="22"/>
      <c r="S306" s="22"/>
      <c r="T306" s="22"/>
      <c r="U306" s="22"/>
      <c r="V306" s="22"/>
      <c r="W306" s="24"/>
      <c r="X306" s="22"/>
      <c r="Y306" s="22"/>
      <c r="Z306" s="22"/>
      <c r="AA306" s="22"/>
      <c r="AB306" s="24"/>
      <c r="AC306" s="22"/>
      <c r="AD306" s="22"/>
      <c r="AE306" s="24"/>
      <c r="AF306" s="25"/>
    </row>
    <row r="307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6"/>
      <c r="Q307" s="22"/>
      <c r="R307" s="22"/>
      <c r="S307" s="22"/>
      <c r="T307" s="22"/>
      <c r="U307" s="22"/>
      <c r="V307" s="22"/>
      <c r="W307" s="24"/>
      <c r="X307" s="22"/>
      <c r="Y307" s="22"/>
      <c r="Z307" s="22"/>
      <c r="AA307" s="22"/>
      <c r="AB307" s="24"/>
      <c r="AC307" s="22"/>
      <c r="AD307" s="22"/>
      <c r="AE307" s="24"/>
      <c r="AF307" s="25"/>
    </row>
    <row r="308">
      <c r="A308" s="2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6"/>
      <c r="Q308" s="22"/>
      <c r="R308" s="22"/>
      <c r="S308" s="22"/>
      <c r="T308" s="22"/>
      <c r="U308" s="22"/>
      <c r="V308" s="22"/>
      <c r="W308" s="24"/>
      <c r="X308" s="22"/>
      <c r="Y308" s="22"/>
      <c r="Z308" s="22"/>
      <c r="AA308" s="22"/>
      <c r="AB308" s="24"/>
      <c r="AC308" s="22"/>
      <c r="AD308" s="22"/>
      <c r="AE308" s="24"/>
      <c r="AF308" s="25"/>
    </row>
    <row r="309">
      <c r="A309" s="2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3"/>
      <c r="Q309" s="22"/>
      <c r="R309" s="22"/>
      <c r="S309" s="22"/>
      <c r="T309" s="22"/>
      <c r="U309" s="22"/>
      <c r="V309" s="22"/>
      <c r="W309" s="24"/>
      <c r="X309" s="22"/>
      <c r="Y309" s="22"/>
      <c r="Z309" s="22"/>
      <c r="AA309" s="22"/>
      <c r="AB309" s="24"/>
      <c r="AC309" s="22"/>
      <c r="AD309" s="22"/>
      <c r="AE309" s="24"/>
      <c r="AF309" s="25"/>
    </row>
    <row r="310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6"/>
      <c r="Q310" s="22"/>
      <c r="R310" s="22"/>
      <c r="S310" s="22"/>
      <c r="T310" s="22"/>
      <c r="U310" s="22"/>
      <c r="V310" s="22"/>
      <c r="W310" s="24"/>
      <c r="X310" s="22"/>
      <c r="Y310" s="22"/>
      <c r="Z310" s="22"/>
      <c r="AA310" s="22"/>
      <c r="AB310" s="24"/>
      <c r="AC310" s="22"/>
      <c r="AD310" s="22"/>
      <c r="AE310" s="24"/>
      <c r="AF310" s="25"/>
    </row>
    <row r="311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6"/>
      <c r="Q311" s="22"/>
      <c r="R311" s="22"/>
      <c r="S311" s="22"/>
      <c r="T311" s="22"/>
      <c r="U311" s="22"/>
      <c r="V311" s="22"/>
      <c r="W311" s="24"/>
      <c r="X311" s="22"/>
      <c r="Y311" s="22"/>
      <c r="Z311" s="22"/>
      <c r="AA311" s="22"/>
      <c r="AB311" s="24"/>
      <c r="AC311" s="22"/>
      <c r="AD311" s="22"/>
      <c r="AE311" s="24"/>
      <c r="AF311" s="25"/>
    </row>
    <row r="312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6"/>
      <c r="Q312" s="22"/>
      <c r="R312" s="22"/>
      <c r="S312" s="22"/>
      <c r="T312" s="22"/>
      <c r="U312" s="22"/>
      <c r="V312" s="22"/>
      <c r="W312" s="24"/>
      <c r="X312" s="22"/>
      <c r="Y312" s="22"/>
      <c r="Z312" s="22"/>
      <c r="AA312" s="22"/>
      <c r="AB312" s="24"/>
      <c r="AC312" s="22"/>
      <c r="AD312" s="22"/>
      <c r="AE312" s="24"/>
      <c r="AF312" s="25"/>
    </row>
    <row r="313">
      <c r="A313" s="2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6"/>
      <c r="Q313" s="22"/>
      <c r="R313" s="22"/>
      <c r="S313" s="22"/>
      <c r="T313" s="22"/>
      <c r="U313" s="22"/>
      <c r="V313" s="22"/>
      <c r="W313" s="24"/>
      <c r="X313" s="22"/>
      <c r="Y313" s="22"/>
      <c r="Z313" s="22"/>
      <c r="AA313" s="22"/>
      <c r="AB313" s="24"/>
      <c r="AC313" s="22"/>
      <c r="AD313" s="22"/>
      <c r="AE313" s="24"/>
      <c r="AF313" s="25"/>
    </row>
    <row r="314">
      <c r="A314" s="2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6"/>
      <c r="Q314" s="22"/>
      <c r="R314" s="22"/>
      <c r="S314" s="22"/>
      <c r="T314" s="22"/>
      <c r="U314" s="22"/>
      <c r="V314" s="22"/>
      <c r="W314" s="24"/>
      <c r="X314" s="22"/>
      <c r="Y314" s="22"/>
      <c r="Z314" s="22"/>
      <c r="AA314" s="22"/>
      <c r="AB314" s="24"/>
      <c r="AC314" s="22"/>
      <c r="AD314" s="22"/>
      <c r="AE314" s="24"/>
      <c r="AF314" s="25"/>
    </row>
    <row r="315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6"/>
      <c r="Q315" s="22"/>
      <c r="R315" s="22"/>
      <c r="S315" s="22"/>
      <c r="T315" s="22"/>
      <c r="U315" s="22"/>
      <c r="V315" s="22"/>
      <c r="W315" s="24"/>
      <c r="X315" s="22"/>
      <c r="Y315" s="22"/>
      <c r="Z315" s="22"/>
      <c r="AA315" s="22"/>
      <c r="AB315" s="24"/>
      <c r="AC315" s="22"/>
      <c r="AD315" s="22"/>
      <c r="AE315" s="24"/>
      <c r="AF315" s="25"/>
    </row>
    <row r="316">
      <c r="A316" s="2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6"/>
      <c r="Q316" s="22"/>
      <c r="R316" s="22"/>
      <c r="S316" s="22"/>
      <c r="T316" s="22"/>
      <c r="U316" s="22"/>
      <c r="V316" s="22"/>
      <c r="W316" s="24"/>
      <c r="X316" s="22"/>
      <c r="Y316" s="22"/>
      <c r="Z316" s="22"/>
      <c r="AA316" s="22"/>
      <c r="AB316" s="24"/>
      <c r="AC316" s="22"/>
      <c r="AD316" s="22"/>
      <c r="AE316" s="24"/>
      <c r="AF316" s="25"/>
    </row>
    <row r="317">
      <c r="A317" s="2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6"/>
      <c r="Q317" s="22"/>
      <c r="R317" s="22"/>
      <c r="S317" s="22"/>
      <c r="T317" s="22"/>
      <c r="U317" s="22"/>
      <c r="V317" s="22"/>
      <c r="W317" s="24"/>
      <c r="X317" s="22"/>
      <c r="Y317" s="22"/>
      <c r="Z317" s="22"/>
      <c r="AA317" s="22"/>
      <c r="AB317" s="24"/>
      <c r="AC317" s="22"/>
      <c r="AD317" s="22"/>
      <c r="AE317" s="24"/>
      <c r="AF317" s="25"/>
    </row>
    <row r="318">
      <c r="A318" s="2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6"/>
      <c r="Q318" s="22"/>
      <c r="R318" s="22"/>
      <c r="S318" s="22"/>
      <c r="T318" s="22"/>
      <c r="U318" s="22"/>
      <c r="V318" s="22"/>
      <c r="W318" s="24"/>
      <c r="X318" s="22"/>
      <c r="Y318" s="22"/>
      <c r="Z318" s="22"/>
      <c r="AA318" s="22"/>
      <c r="AB318" s="24"/>
      <c r="AC318" s="22"/>
      <c r="AD318" s="22"/>
      <c r="AE318" s="24"/>
      <c r="AF318" s="25"/>
    </row>
    <row r="319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3"/>
      <c r="Q319" s="22"/>
      <c r="R319" s="22"/>
      <c r="S319" s="22"/>
      <c r="T319" s="22"/>
      <c r="U319" s="22"/>
      <c r="V319" s="22"/>
      <c r="W319" s="24"/>
      <c r="X319" s="22"/>
      <c r="Y319" s="22"/>
      <c r="Z319" s="22"/>
      <c r="AA319" s="22"/>
      <c r="AB319" s="24"/>
      <c r="AC319" s="22"/>
      <c r="AD319" s="22"/>
      <c r="AE319" s="24"/>
      <c r="AF319" s="25"/>
    </row>
    <row r="320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6"/>
      <c r="Q320" s="22"/>
      <c r="R320" s="22"/>
      <c r="S320" s="22"/>
      <c r="T320" s="22"/>
      <c r="U320" s="22"/>
      <c r="V320" s="22"/>
      <c r="W320" s="24"/>
      <c r="X320" s="22"/>
      <c r="Y320" s="22"/>
      <c r="Z320" s="22"/>
      <c r="AA320" s="22"/>
      <c r="AB320" s="24"/>
      <c r="AC320" s="22"/>
      <c r="AD320" s="22"/>
      <c r="AE320" s="24"/>
      <c r="AF320" s="25"/>
    </row>
    <row r="321">
      <c r="A321" s="2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3"/>
      <c r="Q321" s="22"/>
      <c r="R321" s="22"/>
      <c r="S321" s="22"/>
      <c r="T321" s="22"/>
      <c r="U321" s="22"/>
      <c r="V321" s="22"/>
      <c r="W321" s="24"/>
      <c r="X321" s="22"/>
      <c r="Y321" s="22"/>
      <c r="Z321" s="22"/>
      <c r="AA321" s="22"/>
      <c r="AB321" s="24"/>
      <c r="AC321" s="22"/>
      <c r="AD321" s="22"/>
      <c r="AE321" s="24"/>
      <c r="AF321" s="25"/>
    </row>
    <row r="322">
      <c r="A322" s="2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6"/>
      <c r="Q322" s="22"/>
      <c r="R322" s="22"/>
      <c r="S322" s="22"/>
      <c r="T322" s="22"/>
      <c r="U322" s="22"/>
      <c r="V322" s="22"/>
      <c r="W322" s="24"/>
      <c r="X322" s="22"/>
      <c r="Y322" s="22"/>
      <c r="Z322" s="22"/>
      <c r="AA322" s="22"/>
      <c r="AB322" s="24"/>
      <c r="AC322" s="22"/>
      <c r="AD322" s="22"/>
      <c r="AE322" s="24"/>
      <c r="AF322" s="25"/>
    </row>
    <row r="323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6"/>
      <c r="Q323" s="22"/>
      <c r="R323" s="22"/>
      <c r="S323" s="22"/>
      <c r="T323" s="22"/>
      <c r="U323" s="22"/>
      <c r="V323" s="22"/>
      <c r="W323" s="24"/>
      <c r="X323" s="22"/>
      <c r="Y323" s="22"/>
      <c r="Z323" s="22"/>
      <c r="AA323" s="22"/>
      <c r="AB323" s="24"/>
      <c r="AC323" s="22"/>
      <c r="AD323" s="22"/>
      <c r="AE323" s="24"/>
      <c r="AF323" s="25"/>
    </row>
    <row r="324">
      <c r="A324" s="2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6"/>
      <c r="Q324" s="22"/>
      <c r="R324" s="22"/>
      <c r="S324" s="22"/>
      <c r="T324" s="22"/>
      <c r="U324" s="22"/>
      <c r="V324" s="22"/>
      <c r="W324" s="24"/>
      <c r="X324" s="22"/>
      <c r="Y324" s="22"/>
      <c r="Z324" s="22"/>
      <c r="AA324" s="22"/>
      <c r="AB324" s="24"/>
      <c r="AC324" s="22"/>
      <c r="AD324" s="22"/>
      <c r="AE324" s="24"/>
      <c r="AF324" s="25"/>
    </row>
    <row r="325">
      <c r="A325" s="2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6"/>
      <c r="Q325" s="22"/>
      <c r="R325" s="22"/>
      <c r="S325" s="22"/>
      <c r="T325" s="22"/>
      <c r="U325" s="22"/>
      <c r="V325" s="22"/>
      <c r="W325" s="24"/>
      <c r="X325" s="22"/>
      <c r="Y325" s="22"/>
      <c r="Z325" s="22"/>
      <c r="AA325" s="22"/>
      <c r="AB325" s="24"/>
      <c r="AC325" s="22"/>
      <c r="AD325" s="22"/>
      <c r="AE325" s="24"/>
      <c r="AF325" s="25"/>
    </row>
    <row r="326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6"/>
      <c r="Q326" s="22"/>
      <c r="R326" s="22"/>
      <c r="S326" s="22"/>
      <c r="T326" s="22"/>
      <c r="U326" s="22"/>
      <c r="V326" s="22"/>
      <c r="W326" s="24"/>
      <c r="X326" s="22"/>
      <c r="Y326" s="22"/>
      <c r="Z326" s="22"/>
      <c r="AA326" s="22"/>
      <c r="AB326" s="24"/>
      <c r="AC326" s="22"/>
      <c r="AD326" s="22"/>
      <c r="AE326" s="24"/>
      <c r="AF326" s="25"/>
    </row>
    <row r="327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6"/>
      <c r="Q327" s="22"/>
      <c r="R327" s="22"/>
      <c r="S327" s="22"/>
      <c r="T327" s="22"/>
      <c r="U327" s="22"/>
      <c r="V327" s="22"/>
      <c r="W327" s="24"/>
      <c r="X327" s="22"/>
      <c r="Y327" s="22"/>
      <c r="Z327" s="22"/>
      <c r="AA327" s="22"/>
      <c r="AB327" s="24"/>
      <c r="AC327" s="22"/>
      <c r="AD327" s="22"/>
      <c r="AE327" s="24"/>
      <c r="AF327" s="25"/>
    </row>
    <row r="328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6"/>
      <c r="Q328" s="22"/>
      <c r="R328" s="22"/>
      <c r="S328" s="22"/>
      <c r="T328" s="22"/>
      <c r="U328" s="22"/>
      <c r="V328" s="22"/>
      <c r="W328" s="24"/>
      <c r="X328" s="22"/>
      <c r="Y328" s="22"/>
      <c r="Z328" s="22"/>
      <c r="AA328" s="22"/>
      <c r="AB328" s="24"/>
      <c r="AC328" s="22"/>
      <c r="AD328" s="22"/>
      <c r="AE328" s="24"/>
      <c r="AF328" s="25"/>
    </row>
    <row r="329">
      <c r="A329" s="2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3"/>
      <c r="Q329" s="22"/>
      <c r="R329" s="22"/>
      <c r="S329" s="22"/>
      <c r="T329" s="22"/>
      <c r="U329" s="22"/>
      <c r="V329" s="22"/>
      <c r="W329" s="24"/>
      <c r="X329" s="22"/>
      <c r="Y329" s="22"/>
      <c r="Z329" s="22"/>
      <c r="AA329" s="22"/>
      <c r="AB329" s="24"/>
      <c r="AC329" s="22"/>
      <c r="AD329" s="22"/>
      <c r="AE329" s="24"/>
      <c r="AF329" s="25"/>
    </row>
    <row r="330">
      <c r="A330" s="2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3"/>
      <c r="Q330" s="22"/>
      <c r="R330" s="22"/>
      <c r="S330" s="22"/>
      <c r="T330" s="22"/>
      <c r="U330" s="22"/>
      <c r="V330" s="22"/>
      <c r="W330" s="24"/>
      <c r="X330" s="22"/>
      <c r="Y330" s="22"/>
      <c r="Z330" s="22"/>
      <c r="AA330" s="22"/>
      <c r="AB330" s="24"/>
      <c r="AC330" s="22"/>
      <c r="AD330" s="22"/>
      <c r="AE330" s="24"/>
      <c r="AF330" s="25"/>
    </row>
    <row r="331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6"/>
      <c r="Q331" s="22"/>
      <c r="R331" s="22"/>
      <c r="S331" s="22"/>
      <c r="T331" s="22"/>
      <c r="U331" s="22"/>
      <c r="V331" s="22"/>
      <c r="W331" s="24"/>
      <c r="X331" s="22"/>
      <c r="Y331" s="22"/>
      <c r="Z331" s="22"/>
      <c r="AA331" s="22"/>
      <c r="AB331" s="24"/>
      <c r="AC331" s="22"/>
      <c r="AD331" s="22"/>
      <c r="AE331" s="24"/>
      <c r="AF331" s="25"/>
    </row>
    <row r="332">
      <c r="A332" s="2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6"/>
      <c r="Q332" s="22"/>
      <c r="R332" s="22"/>
      <c r="S332" s="22"/>
      <c r="T332" s="22"/>
      <c r="U332" s="22"/>
      <c r="V332" s="22"/>
      <c r="W332" s="25"/>
      <c r="X332" s="22"/>
      <c r="Y332" s="22"/>
      <c r="Z332" s="22"/>
      <c r="AA332" s="22"/>
      <c r="AB332" s="25"/>
      <c r="AC332" s="22"/>
      <c r="AD332" s="22"/>
      <c r="AE332" s="25"/>
      <c r="AF332" s="25"/>
    </row>
    <row r="333">
      <c r="A333" s="2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3"/>
      <c r="Q333" s="22"/>
      <c r="R333" s="22"/>
      <c r="S333" s="22"/>
      <c r="T333" s="22"/>
      <c r="U333" s="22"/>
      <c r="V333" s="22"/>
      <c r="W333" s="25"/>
      <c r="X333" s="22"/>
      <c r="Y333" s="22"/>
      <c r="Z333" s="22"/>
      <c r="AA333" s="22"/>
      <c r="AB333" s="25"/>
      <c r="AC333" s="22"/>
      <c r="AD333" s="22"/>
      <c r="AE333" s="25"/>
      <c r="AF333" s="25"/>
    </row>
    <row r="334">
      <c r="A334" s="2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6"/>
      <c r="Q334" s="22"/>
      <c r="R334" s="22"/>
      <c r="S334" s="22"/>
      <c r="T334" s="22"/>
      <c r="U334" s="22"/>
      <c r="V334" s="22"/>
      <c r="W334" s="25"/>
      <c r="X334" s="22"/>
      <c r="Y334" s="22"/>
      <c r="Z334" s="22"/>
      <c r="AA334" s="22"/>
      <c r="AB334" s="25"/>
      <c r="AC334" s="22"/>
      <c r="AD334" s="22"/>
      <c r="AE334" s="25"/>
      <c r="AF334" s="25"/>
    </row>
    <row r="335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3"/>
      <c r="Q335" s="22"/>
      <c r="R335" s="22"/>
      <c r="S335" s="22"/>
      <c r="T335" s="22"/>
      <c r="U335" s="22"/>
      <c r="V335" s="22"/>
      <c r="W335" s="25"/>
      <c r="X335" s="22"/>
      <c r="Y335" s="22"/>
      <c r="Z335" s="22"/>
      <c r="AA335" s="22"/>
      <c r="AB335" s="25"/>
      <c r="AC335" s="22"/>
      <c r="AD335" s="22"/>
      <c r="AE335" s="25"/>
      <c r="AF335" s="25"/>
    </row>
    <row r="336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6"/>
      <c r="Q336" s="22"/>
      <c r="R336" s="22"/>
      <c r="S336" s="22"/>
      <c r="T336" s="22"/>
      <c r="U336" s="22"/>
      <c r="V336" s="22"/>
      <c r="W336" s="25"/>
      <c r="X336" s="22"/>
      <c r="Y336" s="22"/>
      <c r="Z336" s="22"/>
      <c r="AA336" s="22"/>
      <c r="AB336" s="25"/>
      <c r="AC336" s="22"/>
      <c r="AD336" s="22"/>
      <c r="AE336" s="25"/>
      <c r="AF336" s="25"/>
    </row>
    <row r="337">
      <c r="A337" s="2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6"/>
      <c r="Q337" s="22"/>
      <c r="R337" s="22"/>
      <c r="S337" s="22"/>
      <c r="T337" s="22"/>
      <c r="U337" s="22"/>
      <c r="V337" s="22"/>
      <c r="W337" s="25"/>
      <c r="X337" s="22"/>
      <c r="Y337" s="22"/>
      <c r="Z337" s="22"/>
      <c r="AA337" s="22"/>
      <c r="AB337" s="25"/>
      <c r="AC337" s="22"/>
      <c r="AD337" s="22"/>
      <c r="AE337" s="25"/>
      <c r="AF337" s="25"/>
    </row>
    <row r="338">
      <c r="A338" s="2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6"/>
      <c r="Q338" s="22"/>
      <c r="R338" s="22"/>
      <c r="S338" s="22"/>
      <c r="T338" s="22"/>
      <c r="U338" s="22"/>
      <c r="V338" s="22"/>
      <c r="W338" s="25"/>
      <c r="X338" s="22"/>
      <c r="Y338" s="22"/>
      <c r="Z338" s="22"/>
      <c r="AA338" s="22"/>
      <c r="AB338" s="25"/>
      <c r="AC338" s="22"/>
      <c r="AD338" s="22"/>
      <c r="AE338" s="25"/>
      <c r="AF338" s="25"/>
    </row>
    <row r="339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3"/>
      <c r="Q339" s="22"/>
      <c r="R339" s="22"/>
      <c r="S339" s="22"/>
      <c r="T339" s="22"/>
      <c r="U339" s="22"/>
      <c r="V339" s="22"/>
      <c r="W339" s="25"/>
      <c r="X339" s="22"/>
      <c r="Y339" s="22"/>
      <c r="Z339" s="22"/>
      <c r="AA339" s="22"/>
      <c r="AB339" s="25"/>
      <c r="AC339" s="22"/>
      <c r="AD339" s="22"/>
      <c r="AE339" s="25"/>
      <c r="AF339" s="25"/>
    </row>
    <row r="340">
      <c r="A340" s="2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6"/>
      <c r="Q340" s="22"/>
      <c r="R340" s="22"/>
      <c r="S340" s="22"/>
      <c r="T340" s="22"/>
      <c r="U340" s="22"/>
      <c r="V340" s="22"/>
      <c r="W340" s="25"/>
      <c r="X340" s="22"/>
      <c r="Y340" s="22"/>
      <c r="Z340" s="22"/>
      <c r="AA340" s="22"/>
      <c r="AB340" s="25"/>
      <c r="AC340" s="22"/>
      <c r="AD340" s="22"/>
      <c r="AE340" s="25"/>
      <c r="AF340" s="25"/>
    </row>
    <row r="341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6"/>
      <c r="Q341" s="22"/>
      <c r="R341" s="22"/>
      <c r="S341" s="22"/>
      <c r="T341" s="22"/>
      <c r="U341" s="22"/>
      <c r="V341" s="22"/>
      <c r="W341" s="25"/>
      <c r="X341" s="22"/>
      <c r="Y341" s="22"/>
      <c r="Z341" s="22"/>
      <c r="AA341" s="22"/>
      <c r="AB341" s="25"/>
      <c r="AC341" s="22"/>
      <c r="AD341" s="22"/>
      <c r="AE341" s="25"/>
      <c r="AF341" s="25"/>
    </row>
    <row r="342">
      <c r="A342" s="2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6"/>
      <c r="Q342" s="22"/>
      <c r="R342" s="22"/>
      <c r="S342" s="22"/>
      <c r="T342" s="22"/>
      <c r="U342" s="22"/>
      <c r="V342" s="22"/>
      <c r="W342" s="25"/>
      <c r="X342" s="22"/>
      <c r="Y342" s="22"/>
      <c r="Z342" s="22"/>
      <c r="AA342" s="22"/>
      <c r="AB342" s="25"/>
      <c r="AC342" s="22"/>
      <c r="AD342" s="22"/>
      <c r="AE342" s="25"/>
      <c r="AF342" s="25"/>
    </row>
    <row r="343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3"/>
      <c r="Q343" s="22"/>
      <c r="R343" s="22"/>
      <c r="S343" s="22"/>
      <c r="T343" s="22"/>
      <c r="U343" s="22"/>
      <c r="V343" s="22"/>
      <c r="W343" s="25"/>
      <c r="X343" s="22"/>
      <c r="Y343" s="22"/>
      <c r="Z343" s="22"/>
      <c r="AA343" s="22"/>
      <c r="AB343" s="25"/>
      <c r="AC343" s="22"/>
      <c r="AD343" s="22"/>
      <c r="AE343" s="25"/>
      <c r="AF343" s="25"/>
    </row>
    <row r="344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6"/>
      <c r="Q344" s="22"/>
      <c r="R344" s="22"/>
      <c r="S344" s="22"/>
      <c r="T344" s="22"/>
      <c r="U344" s="22"/>
      <c r="V344" s="22"/>
      <c r="W344" s="25"/>
      <c r="X344" s="22"/>
      <c r="Y344" s="22"/>
      <c r="Z344" s="22"/>
      <c r="AA344" s="22"/>
      <c r="AB344" s="25"/>
      <c r="AC344" s="22"/>
      <c r="AD344" s="22"/>
      <c r="AE344" s="25"/>
      <c r="AF344" s="25"/>
    </row>
    <row r="345">
      <c r="A345" s="2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6"/>
      <c r="Q345" s="22"/>
      <c r="R345" s="22"/>
      <c r="S345" s="22"/>
      <c r="T345" s="22"/>
      <c r="U345" s="22"/>
      <c r="V345" s="22"/>
      <c r="W345" s="25"/>
      <c r="X345" s="22"/>
      <c r="Y345" s="22"/>
      <c r="Z345" s="22"/>
      <c r="AA345" s="22"/>
      <c r="AB345" s="25"/>
      <c r="AC345" s="22"/>
      <c r="AD345" s="22"/>
      <c r="AE345" s="25"/>
      <c r="AF345" s="25"/>
    </row>
    <row r="346">
      <c r="A346" s="2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6"/>
      <c r="Q346" s="22"/>
      <c r="R346" s="22"/>
      <c r="S346" s="22"/>
      <c r="T346" s="22"/>
      <c r="U346" s="22"/>
      <c r="V346" s="22"/>
      <c r="W346" s="25"/>
      <c r="X346" s="22"/>
      <c r="Y346" s="22"/>
      <c r="Z346" s="22"/>
      <c r="AA346" s="22"/>
      <c r="AB346" s="25"/>
      <c r="AC346" s="22"/>
      <c r="AD346" s="22"/>
      <c r="AE346" s="25"/>
      <c r="AF346" s="25"/>
    </row>
    <row r="347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6"/>
      <c r="Q347" s="22"/>
      <c r="R347" s="22"/>
      <c r="S347" s="22"/>
      <c r="T347" s="22"/>
      <c r="U347" s="22"/>
      <c r="V347" s="22"/>
      <c r="W347" s="25"/>
      <c r="X347" s="22"/>
      <c r="Y347" s="22"/>
      <c r="Z347" s="22"/>
      <c r="AA347" s="22"/>
      <c r="AB347" s="25"/>
      <c r="AC347" s="22"/>
      <c r="AD347" s="22"/>
      <c r="AE347" s="25"/>
      <c r="AF347" s="25"/>
    </row>
    <row r="348">
      <c r="A348" s="2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6"/>
      <c r="Q348" s="22"/>
      <c r="R348" s="22"/>
      <c r="S348" s="22"/>
      <c r="T348" s="22"/>
      <c r="U348" s="22"/>
      <c r="V348" s="22"/>
      <c r="W348" s="25"/>
      <c r="X348" s="22"/>
      <c r="Y348" s="22"/>
      <c r="Z348" s="22"/>
      <c r="AA348" s="22"/>
      <c r="AB348" s="25"/>
      <c r="AC348" s="22"/>
      <c r="AD348" s="22"/>
      <c r="AE348" s="25"/>
      <c r="AF348" s="25"/>
    </row>
    <row r="349">
      <c r="A349" s="2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3"/>
      <c r="Q349" s="22"/>
      <c r="R349" s="22"/>
      <c r="S349" s="22"/>
      <c r="T349" s="22"/>
      <c r="U349" s="22"/>
      <c r="V349" s="22"/>
      <c r="W349" s="25"/>
      <c r="X349" s="22"/>
      <c r="Y349" s="22"/>
      <c r="Z349" s="22"/>
      <c r="AA349" s="22"/>
      <c r="AB349" s="25"/>
      <c r="AC349" s="22"/>
      <c r="AD349" s="22"/>
      <c r="AE349" s="25"/>
      <c r="AF349" s="25"/>
    </row>
    <row r="350">
      <c r="A350" s="2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3"/>
      <c r="Q350" s="22"/>
      <c r="R350" s="22"/>
      <c r="S350" s="22"/>
      <c r="T350" s="22"/>
      <c r="U350" s="22"/>
      <c r="V350" s="22"/>
      <c r="W350" s="25"/>
      <c r="X350" s="22"/>
      <c r="Y350" s="22"/>
      <c r="Z350" s="22"/>
      <c r="AA350" s="22"/>
      <c r="AB350" s="25"/>
      <c r="AC350" s="22"/>
      <c r="AD350" s="22"/>
      <c r="AE350" s="25"/>
      <c r="AF350" s="25"/>
    </row>
    <row r="351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6"/>
      <c r="Q351" s="22"/>
      <c r="R351" s="22"/>
      <c r="S351" s="22"/>
      <c r="T351" s="22"/>
      <c r="U351" s="22"/>
      <c r="V351" s="22"/>
      <c r="W351" s="25"/>
      <c r="X351" s="22"/>
      <c r="Y351" s="22"/>
      <c r="Z351" s="22"/>
      <c r="AA351" s="22"/>
      <c r="AB351" s="25"/>
      <c r="AC351" s="22"/>
      <c r="AD351" s="22"/>
      <c r="AE351" s="25"/>
      <c r="AF351" s="25"/>
    </row>
    <row r="352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6"/>
      <c r="Q352" s="22"/>
      <c r="R352" s="22"/>
      <c r="S352" s="22"/>
      <c r="T352" s="22"/>
      <c r="U352" s="22"/>
      <c r="V352" s="22"/>
      <c r="W352" s="25"/>
      <c r="X352" s="22"/>
      <c r="Y352" s="22"/>
      <c r="Z352" s="22"/>
      <c r="AA352" s="22"/>
      <c r="AB352" s="25"/>
      <c r="AC352" s="22"/>
      <c r="AD352" s="22"/>
      <c r="AE352" s="25"/>
      <c r="AF352" s="25"/>
    </row>
    <row r="353">
      <c r="A353" s="2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3"/>
      <c r="Q353" s="22"/>
      <c r="R353" s="22"/>
      <c r="S353" s="22"/>
      <c r="T353" s="22"/>
      <c r="U353" s="22"/>
      <c r="V353" s="22"/>
      <c r="W353" s="25"/>
      <c r="X353" s="22"/>
      <c r="Y353" s="22"/>
      <c r="Z353" s="22"/>
      <c r="AA353" s="22"/>
      <c r="AB353" s="25"/>
      <c r="AC353" s="22"/>
      <c r="AD353" s="22"/>
      <c r="AE353" s="25"/>
      <c r="AF353" s="25"/>
    </row>
    <row r="354">
      <c r="A354" s="2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6"/>
      <c r="Q354" s="22"/>
      <c r="R354" s="22"/>
      <c r="S354" s="22"/>
      <c r="T354" s="22"/>
      <c r="U354" s="22"/>
      <c r="V354" s="22"/>
      <c r="W354" s="25"/>
      <c r="X354" s="22"/>
      <c r="Y354" s="22"/>
      <c r="Z354" s="22"/>
      <c r="AA354" s="22"/>
      <c r="AB354" s="25"/>
      <c r="AC354" s="22"/>
      <c r="AD354" s="22"/>
      <c r="AE354" s="25"/>
      <c r="AF354" s="25"/>
    </row>
    <row r="355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6"/>
      <c r="Q355" s="22"/>
      <c r="R355" s="22"/>
      <c r="S355" s="22"/>
      <c r="T355" s="22"/>
      <c r="U355" s="22"/>
      <c r="V355" s="22"/>
      <c r="W355" s="25"/>
      <c r="X355" s="22"/>
      <c r="Y355" s="22"/>
      <c r="Z355" s="22"/>
      <c r="AA355" s="22"/>
      <c r="AB355" s="25"/>
      <c r="AC355" s="22"/>
      <c r="AD355" s="22"/>
      <c r="AE355" s="25"/>
      <c r="AF355" s="25"/>
    </row>
    <row r="356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6"/>
      <c r="Q356" s="22"/>
      <c r="R356" s="22"/>
      <c r="S356" s="22"/>
      <c r="T356" s="22"/>
      <c r="U356" s="22"/>
      <c r="V356" s="22"/>
      <c r="W356" s="25"/>
      <c r="X356" s="22"/>
      <c r="Y356" s="22"/>
      <c r="Z356" s="22"/>
      <c r="AA356" s="22"/>
      <c r="AB356" s="25"/>
      <c r="AC356" s="22"/>
      <c r="AD356" s="22"/>
      <c r="AE356" s="25"/>
      <c r="AF356" s="25"/>
    </row>
    <row r="357">
      <c r="A357" s="2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3"/>
      <c r="Q357" s="22"/>
      <c r="R357" s="22"/>
      <c r="S357" s="22"/>
      <c r="T357" s="22"/>
      <c r="U357" s="22"/>
      <c r="V357" s="22"/>
      <c r="W357" s="25"/>
      <c r="X357" s="22"/>
      <c r="Y357" s="22"/>
      <c r="Z357" s="22"/>
      <c r="AA357" s="22"/>
      <c r="AB357" s="25"/>
      <c r="AC357" s="22"/>
      <c r="AD357" s="22"/>
      <c r="AE357" s="25"/>
      <c r="AF357" s="25"/>
    </row>
    <row r="358">
      <c r="A358" s="2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6"/>
      <c r="Q358" s="22"/>
      <c r="R358" s="22"/>
      <c r="S358" s="22"/>
      <c r="T358" s="22"/>
      <c r="U358" s="22"/>
      <c r="V358" s="22"/>
      <c r="W358" s="25"/>
      <c r="X358" s="22"/>
      <c r="Y358" s="22"/>
      <c r="Z358" s="22"/>
      <c r="AA358" s="22"/>
      <c r="AB358" s="25"/>
      <c r="AC358" s="22"/>
      <c r="AD358" s="22"/>
      <c r="AE358" s="25"/>
      <c r="AF358" s="25"/>
    </row>
    <row r="359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3"/>
      <c r="Q359" s="22"/>
      <c r="R359" s="22"/>
      <c r="S359" s="22"/>
      <c r="T359" s="22"/>
      <c r="U359" s="22"/>
      <c r="V359" s="22"/>
      <c r="W359" s="25"/>
      <c r="X359" s="22"/>
      <c r="Y359" s="22"/>
      <c r="Z359" s="22"/>
      <c r="AA359" s="22"/>
      <c r="AB359" s="25"/>
      <c r="AC359" s="22"/>
      <c r="AD359" s="22"/>
      <c r="AE359" s="25"/>
      <c r="AF359" s="25"/>
    </row>
    <row r="360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6"/>
      <c r="Q360" s="22"/>
      <c r="R360" s="22"/>
      <c r="S360" s="22"/>
      <c r="T360" s="22"/>
      <c r="U360" s="22"/>
      <c r="V360" s="22"/>
      <c r="W360" s="25"/>
      <c r="X360" s="22"/>
      <c r="Y360" s="22"/>
      <c r="Z360" s="22"/>
      <c r="AA360" s="22"/>
      <c r="AB360" s="25"/>
      <c r="AC360" s="22"/>
      <c r="AD360" s="22"/>
      <c r="AE360" s="25"/>
      <c r="AF360" s="25"/>
    </row>
    <row r="361">
      <c r="A361" s="2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6"/>
      <c r="Q361" s="22"/>
      <c r="R361" s="22"/>
      <c r="S361" s="22"/>
      <c r="T361" s="22"/>
      <c r="U361" s="22"/>
      <c r="V361" s="22"/>
      <c r="W361" s="25"/>
      <c r="X361" s="22"/>
      <c r="Y361" s="22"/>
      <c r="Z361" s="22"/>
      <c r="AA361" s="22"/>
      <c r="AB361" s="25"/>
      <c r="AC361" s="22"/>
      <c r="AD361" s="22"/>
      <c r="AE361" s="25"/>
      <c r="AF361" s="25"/>
    </row>
    <row r="362">
      <c r="A362" s="2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6"/>
      <c r="Q362" s="22"/>
      <c r="R362" s="22"/>
      <c r="S362" s="22"/>
      <c r="T362" s="22"/>
      <c r="U362" s="22"/>
      <c r="V362" s="22"/>
      <c r="W362" s="25"/>
      <c r="X362" s="22"/>
      <c r="Y362" s="22"/>
      <c r="Z362" s="22"/>
      <c r="AA362" s="22"/>
      <c r="AB362" s="25"/>
      <c r="AC362" s="22"/>
      <c r="AD362" s="22"/>
      <c r="AE362" s="25"/>
      <c r="AF362" s="25"/>
    </row>
    <row r="363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6"/>
      <c r="Q363" s="22"/>
      <c r="R363" s="22"/>
      <c r="S363" s="22"/>
      <c r="T363" s="22"/>
      <c r="U363" s="22"/>
      <c r="V363" s="22"/>
      <c r="W363" s="25"/>
      <c r="X363" s="22"/>
      <c r="Y363" s="22"/>
      <c r="Z363" s="22"/>
      <c r="AA363" s="22"/>
      <c r="AB363" s="25"/>
      <c r="AC363" s="22"/>
      <c r="AD363" s="22"/>
      <c r="AE363" s="25"/>
      <c r="AF363" s="25"/>
    </row>
    <row r="364">
      <c r="A364" s="2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3"/>
      <c r="Q364" s="22"/>
      <c r="R364" s="22"/>
      <c r="S364" s="22"/>
      <c r="T364" s="22"/>
      <c r="U364" s="22"/>
      <c r="V364" s="22"/>
      <c r="W364" s="25"/>
      <c r="X364" s="22"/>
      <c r="Y364" s="22"/>
      <c r="Z364" s="22"/>
      <c r="AA364" s="22"/>
      <c r="AB364" s="25"/>
      <c r="AC364" s="22"/>
      <c r="AD364" s="22"/>
      <c r="AE364" s="25"/>
      <c r="AF364" s="25"/>
    </row>
    <row r="365">
      <c r="A365" s="2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6"/>
      <c r="Q365" s="22"/>
      <c r="R365" s="22"/>
      <c r="S365" s="22"/>
      <c r="T365" s="22"/>
      <c r="U365" s="22"/>
      <c r="V365" s="22"/>
      <c r="W365" s="25"/>
      <c r="X365" s="22"/>
      <c r="Y365" s="22"/>
      <c r="Z365" s="22"/>
      <c r="AA365" s="22"/>
      <c r="AB365" s="25"/>
      <c r="AC365" s="22"/>
      <c r="AD365" s="22"/>
      <c r="AE365" s="25"/>
      <c r="AF365" s="25"/>
    </row>
    <row r="366">
      <c r="A366" s="2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6"/>
      <c r="Q366" s="22"/>
      <c r="R366" s="22"/>
      <c r="S366" s="22"/>
      <c r="T366" s="22"/>
      <c r="U366" s="22"/>
      <c r="V366" s="22"/>
      <c r="W366" s="25"/>
      <c r="X366" s="22"/>
      <c r="Y366" s="22"/>
      <c r="Z366" s="22"/>
      <c r="AA366" s="22"/>
      <c r="AB366" s="25"/>
      <c r="AC366" s="22"/>
      <c r="AD366" s="22"/>
      <c r="AE366" s="25"/>
      <c r="AF366" s="25"/>
    </row>
    <row r="367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6"/>
      <c r="Q367" s="22"/>
      <c r="R367" s="22"/>
      <c r="S367" s="22"/>
      <c r="T367" s="22"/>
      <c r="U367" s="22"/>
      <c r="V367" s="22"/>
      <c r="W367" s="25"/>
      <c r="X367" s="22"/>
      <c r="Y367" s="22"/>
      <c r="Z367" s="22"/>
      <c r="AA367" s="22"/>
      <c r="AB367" s="25"/>
      <c r="AC367" s="22"/>
      <c r="AD367" s="22"/>
      <c r="AE367" s="25"/>
      <c r="AF367" s="25"/>
    </row>
    <row r="368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3"/>
      <c r="Q368" s="22"/>
      <c r="R368" s="22"/>
      <c r="S368" s="22"/>
      <c r="T368" s="22"/>
      <c r="U368" s="22"/>
      <c r="V368" s="22"/>
      <c r="W368" s="25"/>
      <c r="X368" s="22"/>
      <c r="Y368" s="22"/>
      <c r="Z368" s="22"/>
      <c r="AA368" s="22"/>
      <c r="AB368" s="25"/>
      <c r="AC368" s="22"/>
      <c r="AD368" s="22"/>
      <c r="AE368" s="25"/>
      <c r="AF368" s="25"/>
    </row>
    <row r="369">
      <c r="A369" s="2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3"/>
      <c r="Q369" s="22"/>
      <c r="R369" s="22"/>
      <c r="S369" s="22"/>
      <c r="T369" s="22"/>
      <c r="U369" s="22"/>
      <c r="V369" s="22"/>
      <c r="W369" s="25"/>
      <c r="X369" s="22"/>
      <c r="Y369" s="22"/>
      <c r="Z369" s="22"/>
      <c r="AA369" s="22"/>
      <c r="AB369" s="25"/>
      <c r="AC369" s="22"/>
      <c r="AD369" s="22"/>
      <c r="AE369" s="25"/>
      <c r="AF369" s="25"/>
    </row>
    <row r="370">
      <c r="A370" s="2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6"/>
      <c r="Q370" s="22"/>
      <c r="R370" s="22"/>
      <c r="S370" s="22"/>
      <c r="T370" s="22"/>
      <c r="U370" s="22"/>
      <c r="V370" s="22"/>
      <c r="W370" s="25"/>
      <c r="X370" s="22"/>
      <c r="Y370" s="22"/>
      <c r="Z370" s="22"/>
      <c r="AA370" s="22"/>
      <c r="AB370" s="25"/>
      <c r="AC370" s="22"/>
      <c r="AD370" s="22"/>
      <c r="AE370" s="25"/>
      <c r="AF370" s="25"/>
    </row>
    <row r="371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6"/>
      <c r="Q371" s="22"/>
      <c r="R371" s="22"/>
      <c r="S371" s="22"/>
      <c r="T371" s="22"/>
      <c r="U371" s="22"/>
      <c r="V371" s="22"/>
      <c r="W371" s="25"/>
      <c r="X371" s="22"/>
      <c r="Y371" s="22"/>
      <c r="Z371" s="22"/>
      <c r="AA371" s="22"/>
      <c r="AB371" s="25"/>
      <c r="AC371" s="22"/>
      <c r="AD371" s="22"/>
      <c r="AE371" s="25"/>
      <c r="AF371" s="25"/>
    </row>
    <row r="372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6"/>
      <c r="Q372" s="22"/>
      <c r="R372" s="22"/>
      <c r="S372" s="22"/>
      <c r="T372" s="22"/>
      <c r="U372" s="22"/>
      <c r="V372" s="22"/>
      <c r="W372" s="25"/>
      <c r="X372" s="22"/>
      <c r="Y372" s="22"/>
      <c r="Z372" s="22"/>
      <c r="AA372" s="22"/>
      <c r="AB372" s="25"/>
      <c r="AC372" s="22"/>
      <c r="AD372" s="22"/>
      <c r="AE372" s="25"/>
      <c r="AF372" s="25"/>
    </row>
    <row r="373">
      <c r="A373" s="2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6"/>
      <c r="Q373" s="22"/>
      <c r="R373" s="22"/>
      <c r="S373" s="22"/>
      <c r="T373" s="22"/>
      <c r="U373" s="22"/>
      <c r="V373" s="22"/>
      <c r="W373" s="25"/>
      <c r="X373" s="22"/>
      <c r="Y373" s="22"/>
      <c r="Z373" s="22"/>
      <c r="AA373" s="22"/>
      <c r="AB373" s="25"/>
      <c r="AC373" s="22"/>
      <c r="AD373" s="22"/>
      <c r="AE373" s="25"/>
      <c r="AF373" s="25"/>
    </row>
    <row r="374">
      <c r="A374" s="2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6"/>
      <c r="Q374" s="22"/>
      <c r="R374" s="22"/>
      <c r="S374" s="22"/>
      <c r="T374" s="22"/>
      <c r="U374" s="22"/>
      <c r="V374" s="22"/>
      <c r="W374" s="25"/>
      <c r="X374" s="22"/>
      <c r="Y374" s="22"/>
      <c r="Z374" s="22"/>
      <c r="AA374" s="22"/>
      <c r="AB374" s="25"/>
      <c r="AC374" s="22"/>
      <c r="AD374" s="22"/>
      <c r="AE374" s="25"/>
      <c r="AF374" s="25"/>
    </row>
    <row r="375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3"/>
      <c r="Q375" s="22"/>
      <c r="R375" s="22"/>
      <c r="S375" s="22"/>
      <c r="T375" s="22"/>
      <c r="U375" s="22"/>
      <c r="V375" s="22"/>
      <c r="W375" s="25"/>
      <c r="X375" s="22"/>
      <c r="Y375" s="22"/>
      <c r="Z375" s="22"/>
      <c r="AA375" s="22"/>
      <c r="AB375" s="25"/>
      <c r="AC375" s="22"/>
      <c r="AD375" s="22"/>
      <c r="AE375" s="25"/>
      <c r="AF375" s="25"/>
    </row>
    <row r="376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3"/>
      <c r="Q376" s="22"/>
      <c r="R376" s="22"/>
      <c r="S376" s="22"/>
      <c r="T376" s="22"/>
      <c r="U376" s="22"/>
      <c r="V376" s="22"/>
      <c r="W376" s="25"/>
      <c r="X376" s="22"/>
      <c r="Y376" s="22"/>
      <c r="Z376" s="22"/>
      <c r="AA376" s="22"/>
      <c r="AB376" s="25"/>
      <c r="AC376" s="22"/>
      <c r="AD376" s="22"/>
      <c r="AE376" s="25"/>
      <c r="AF376" s="25"/>
    </row>
    <row r="377">
      <c r="A377" s="2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3"/>
      <c r="Q377" s="22"/>
      <c r="R377" s="22"/>
      <c r="S377" s="22"/>
      <c r="T377" s="22"/>
      <c r="U377" s="22"/>
      <c r="V377" s="22"/>
      <c r="W377" s="25"/>
      <c r="X377" s="22"/>
      <c r="Y377" s="22"/>
      <c r="Z377" s="22"/>
      <c r="AA377" s="22"/>
      <c r="AB377" s="25"/>
      <c r="AC377" s="22"/>
      <c r="AD377" s="22"/>
      <c r="AE377" s="25"/>
      <c r="AF377" s="25"/>
    </row>
    <row r="378">
      <c r="A378" s="2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6"/>
      <c r="Q378" s="22"/>
      <c r="R378" s="22"/>
      <c r="S378" s="22"/>
      <c r="T378" s="22"/>
      <c r="U378" s="22"/>
      <c r="V378" s="22"/>
      <c r="W378" s="25"/>
      <c r="X378" s="22"/>
      <c r="Y378" s="22"/>
      <c r="Z378" s="22"/>
      <c r="AA378" s="22"/>
      <c r="AB378" s="25"/>
      <c r="AC378" s="22"/>
      <c r="AD378" s="22"/>
      <c r="AE378" s="25"/>
      <c r="AF378" s="25"/>
    </row>
    <row r="379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6"/>
      <c r="Q379" s="22"/>
      <c r="R379" s="22"/>
      <c r="S379" s="22"/>
      <c r="T379" s="22"/>
      <c r="U379" s="22"/>
      <c r="V379" s="22"/>
      <c r="W379" s="25"/>
      <c r="X379" s="22"/>
      <c r="Y379" s="22"/>
      <c r="Z379" s="22"/>
      <c r="AA379" s="22"/>
      <c r="AB379" s="25"/>
      <c r="AC379" s="22"/>
      <c r="AD379" s="22"/>
      <c r="AE379" s="25"/>
      <c r="AF379" s="25"/>
    </row>
    <row r="380">
      <c r="A380" s="2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3"/>
      <c r="Q380" s="22"/>
      <c r="R380" s="22"/>
      <c r="S380" s="22"/>
      <c r="T380" s="22"/>
      <c r="U380" s="22"/>
      <c r="V380" s="22"/>
      <c r="W380" s="25"/>
      <c r="X380" s="22"/>
      <c r="Y380" s="22"/>
      <c r="Z380" s="22"/>
      <c r="AA380" s="22"/>
      <c r="AB380" s="25"/>
      <c r="AC380" s="22"/>
      <c r="AD380" s="22"/>
      <c r="AE380" s="25"/>
      <c r="AF380" s="25"/>
    </row>
    <row r="381">
      <c r="A381" s="2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6"/>
      <c r="Q381" s="22"/>
      <c r="R381" s="22"/>
      <c r="S381" s="22"/>
      <c r="T381" s="22"/>
      <c r="U381" s="22"/>
      <c r="V381" s="22"/>
      <c r="W381" s="25"/>
      <c r="X381" s="22"/>
      <c r="Y381" s="22"/>
      <c r="Z381" s="22"/>
      <c r="AA381" s="22"/>
      <c r="AB381" s="25"/>
      <c r="AC381" s="22"/>
      <c r="AD381" s="22"/>
      <c r="AE381" s="25"/>
      <c r="AF381" s="25"/>
    </row>
    <row r="382">
      <c r="A382" s="2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6"/>
      <c r="Q382" s="22"/>
      <c r="R382" s="22"/>
      <c r="S382" s="22"/>
      <c r="T382" s="22"/>
      <c r="U382" s="22"/>
      <c r="V382" s="22"/>
      <c r="W382" s="25"/>
      <c r="X382" s="22"/>
      <c r="Y382" s="22"/>
      <c r="Z382" s="22"/>
      <c r="AA382" s="22"/>
      <c r="AB382" s="25"/>
      <c r="AC382" s="22"/>
      <c r="AD382" s="22"/>
      <c r="AE382" s="25"/>
      <c r="AF382" s="25"/>
    </row>
    <row r="383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6"/>
      <c r="Q383" s="22"/>
      <c r="R383" s="22"/>
      <c r="S383" s="22"/>
      <c r="T383" s="22"/>
      <c r="U383" s="22"/>
      <c r="V383" s="22"/>
      <c r="W383" s="25"/>
      <c r="X383" s="22"/>
      <c r="Y383" s="22"/>
      <c r="Z383" s="22"/>
      <c r="AA383" s="22"/>
      <c r="AB383" s="25"/>
      <c r="AC383" s="22"/>
      <c r="AD383" s="22"/>
      <c r="AE383" s="25"/>
      <c r="AF383" s="25"/>
    </row>
    <row r="384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6"/>
      <c r="Q384" s="22"/>
      <c r="R384" s="22"/>
      <c r="S384" s="22"/>
      <c r="T384" s="22"/>
      <c r="U384" s="22"/>
      <c r="V384" s="22"/>
      <c r="W384" s="25"/>
      <c r="X384" s="22"/>
      <c r="Y384" s="22"/>
      <c r="Z384" s="22"/>
      <c r="AA384" s="22"/>
      <c r="AB384" s="25"/>
      <c r="AC384" s="22"/>
      <c r="AD384" s="22"/>
      <c r="AE384" s="25"/>
      <c r="AF384" s="25"/>
    </row>
    <row r="385">
      <c r="A385" s="2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3"/>
      <c r="Q385" s="22"/>
      <c r="R385" s="22"/>
      <c r="S385" s="22"/>
      <c r="T385" s="22"/>
      <c r="U385" s="22"/>
      <c r="V385" s="22"/>
      <c r="W385" s="25"/>
      <c r="X385" s="22"/>
      <c r="Y385" s="22"/>
      <c r="Z385" s="22"/>
      <c r="AA385" s="22"/>
      <c r="AB385" s="25"/>
      <c r="AC385" s="22"/>
      <c r="AD385" s="22"/>
      <c r="AE385" s="25"/>
      <c r="AF385" s="25"/>
    </row>
    <row r="386">
      <c r="A386" s="2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6"/>
      <c r="Q386" s="22"/>
      <c r="R386" s="22"/>
      <c r="S386" s="22"/>
      <c r="T386" s="22"/>
      <c r="U386" s="22"/>
      <c r="V386" s="22"/>
      <c r="W386" s="25"/>
      <c r="X386" s="22"/>
      <c r="Y386" s="22"/>
      <c r="Z386" s="22"/>
      <c r="AA386" s="22"/>
      <c r="AB386" s="25"/>
      <c r="AC386" s="22"/>
      <c r="AD386" s="22"/>
      <c r="AE386" s="25"/>
      <c r="AF386" s="25"/>
    </row>
    <row r="387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6"/>
      <c r="Q387" s="22"/>
      <c r="R387" s="22"/>
      <c r="S387" s="22"/>
      <c r="T387" s="22"/>
      <c r="U387" s="22"/>
      <c r="V387" s="22"/>
      <c r="W387" s="25"/>
      <c r="X387" s="22"/>
      <c r="Y387" s="22"/>
      <c r="Z387" s="22"/>
      <c r="AA387" s="22"/>
      <c r="AB387" s="25"/>
      <c r="AC387" s="22"/>
      <c r="AD387" s="22"/>
      <c r="AE387" s="25"/>
      <c r="AF387" s="25"/>
    </row>
    <row r="388">
      <c r="A388" s="2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6"/>
      <c r="Q388" s="22"/>
      <c r="R388" s="22"/>
      <c r="S388" s="22"/>
      <c r="T388" s="22"/>
      <c r="U388" s="22"/>
      <c r="V388" s="22"/>
      <c r="W388" s="25"/>
      <c r="X388" s="22"/>
      <c r="Y388" s="22"/>
      <c r="Z388" s="22"/>
      <c r="AA388" s="22"/>
      <c r="AB388" s="25"/>
      <c r="AC388" s="22"/>
      <c r="AD388" s="22"/>
      <c r="AE388" s="25"/>
      <c r="AF388" s="25"/>
    </row>
    <row r="389">
      <c r="A389" s="2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3"/>
      <c r="Q389" s="22"/>
      <c r="R389" s="22"/>
      <c r="S389" s="22"/>
      <c r="T389" s="22"/>
      <c r="U389" s="22"/>
      <c r="V389" s="22"/>
      <c r="W389" s="25"/>
      <c r="X389" s="22"/>
      <c r="Y389" s="22"/>
      <c r="Z389" s="22"/>
      <c r="AA389" s="22"/>
      <c r="AB389" s="25"/>
      <c r="AC389" s="22"/>
      <c r="AD389" s="22"/>
      <c r="AE389" s="25"/>
      <c r="AF389" s="25"/>
    </row>
    <row r="390">
      <c r="A390" s="2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6"/>
      <c r="Q390" s="22"/>
      <c r="R390" s="22"/>
      <c r="S390" s="22"/>
      <c r="T390" s="22"/>
      <c r="U390" s="22"/>
      <c r="V390" s="22"/>
      <c r="W390" s="25"/>
      <c r="X390" s="22"/>
      <c r="Y390" s="22"/>
      <c r="Z390" s="22"/>
      <c r="AA390" s="22"/>
      <c r="AB390" s="25"/>
      <c r="AC390" s="22"/>
      <c r="AD390" s="22"/>
      <c r="AE390" s="25"/>
      <c r="AF390" s="25"/>
    </row>
    <row r="391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3"/>
      <c r="Q391" s="22"/>
      <c r="R391" s="22"/>
      <c r="S391" s="22"/>
      <c r="T391" s="22"/>
      <c r="U391" s="22"/>
      <c r="V391" s="22"/>
      <c r="W391" s="25"/>
      <c r="X391" s="22"/>
      <c r="Y391" s="22"/>
      <c r="Z391" s="22"/>
      <c r="AA391" s="22"/>
      <c r="AB391" s="25"/>
      <c r="AC391" s="22"/>
      <c r="AD391" s="22"/>
      <c r="AE391" s="25"/>
      <c r="AF391" s="25"/>
    </row>
    <row r="392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6"/>
      <c r="Q392" s="22"/>
      <c r="R392" s="22"/>
      <c r="S392" s="22"/>
      <c r="T392" s="22"/>
      <c r="U392" s="22"/>
      <c r="V392" s="22"/>
      <c r="W392" s="25"/>
      <c r="X392" s="22"/>
      <c r="Y392" s="22"/>
      <c r="Z392" s="22"/>
      <c r="AA392" s="22"/>
      <c r="AB392" s="25"/>
      <c r="AC392" s="22"/>
      <c r="AD392" s="22"/>
      <c r="AE392" s="25"/>
      <c r="AF392" s="25"/>
    </row>
    <row r="393">
      <c r="A393" s="2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3"/>
      <c r="Q393" s="22"/>
      <c r="R393" s="22"/>
      <c r="S393" s="22"/>
      <c r="T393" s="22"/>
      <c r="U393" s="22"/>
      <c r="V393" s="22"/>
      <c r="W393" s="25"/>
      <c r="X393" s="22"/>
      <c r="Y393" s="22"/>
      <c r="Z393" s="22"/>
      <c r="AA393" s="22"/>
      <c r="AB393" s="25"/>
      <c r="AC393" s="22"/>
      <c r="AD393" s="22"/>
      <c r="AE393" s="25"/>
      <c r="AF393" s="25"/>
    </row>
    <row r="394">
      <c r="A394" s="2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6"/>
      <c r="Q394" s="22"/>
      <c r="R394" s="22"/>
      <c r="S394" s="22"/>
      <c r="T394" s="22"/>
      <c r="U394" s="22"/>
      <c r="V394" s="22"/>
      <c r="W394" s="25"/>
      <c r="X394" s="22"/>
      <c r="Y394" s="22"/>
      <c r="Z394" s="22"/>
      <c r="AA394" s="22"/>
      <c r="AB394" s="25"/>
      <c r="AC394" s="22"/>
      <c r="AD394" s="22"/>
      <c r="AE394" s="25"/>
      <c r="AF394" s="25"/>
    </row>
    <row r="395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6"/>
      <c r="Q395" s="22"/>
      <c r="R395" s="22"/>
      <c r="S395" s="22"/>
      <c r="T395" s="22"/>
      <c r="U395" s="22"/>
      <c r="V395" s="22"/>
      <c r="W395" s="25"/>
      <c r="X395" s="22"/>
      <c r="Y395" s="22"/>
      <c r="Z395" s="22"/>
      <c r="AA395" s="22"/>
      <c r="AB395" s="25"/>
      <c r="AC395" s="22"/>
      <c r="AD395" s="22"/>
      <c r="AE395" s="25"/>
      <c r="AF395" s="25"/>
    </row>
    <row r="396">
      <c r="A396" s="2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3"/>
      <c r="Q396" s="22"/>
      <c r="R396" s="22"/>
      <c r="S396" s="22"/>
      <c r="T396" s="22"/>
      <c r="U396" s="22"/>
      <c r="V396" s="22"/>
      <c r="W396" s="25"/>
      <c r="X396" s="22"/>
      <c r="Y396" s="22"/>
      <c r="Z396" s="22"/>
      <c r="AA396" s="22"/>
      <c r="AB396" s="25"/>
      <c r="AC396" s="22"/>
      <c r="AD396" s="22"/>
      <c r="AE396" s="25"/>
      <c r="AF396" s="25"/>
    </row>
    <row r="397">
      <c r="A397" s="2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6"/>
      <c r="Q397" s="22"/>
      <c r="R397" s="22"/>
      <c r="S397" s="22"/>
      <c r="T397" s="22"/>
      <c r="U397" s="22"/>
      <c r="V397" s="22"/>
      <c r="W397" s="25"/>
      <c r="X397" s="22"/>
      <c r="Y397" s="22"/>
      <c r="Z397" s="22"/>
      <c r="AA397" s="22"/>
      <c r="AB397" s="25"/>
      <c r="AC397" s="22"/>
      <c r="AD397" s="22"/>
      <c r="AE397" s="25"/>
      <c r="AF397" s="25"/>
    </row>
    <row r="398">
      <c r="A398" s="2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6"/>
      <c r="Q398" s="22"/>
      <c r="R398" s="22"/>
      <c r="S398" s="22"/>
      <c r="T398" s="22"/>
      <c r="U398" s="22"/>
      <c r="V398" s="22"/>
      <c r="W398" s="25"/>
      <c r="X398" s="22"/>
      <c r="Y398" s="22"/>
      <c r="Z398" s="22"/>
      <c r="AA398" s="22"/>
      <c r="AB398" s="25"/>
      <c r="AC398" s="22"/>
      <c r="AD398" s="22"/>
      <c r="AE398" s="25"/>
      <c r="AF398" s="25"/>
    </row>
    <row r="399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6"/>
      <c r="Q399" s="22"/>
      <c r="R399" s="22"/>
      <c r="S399" s="22"/>
      <c r="T399" s="22"/>
      <c r="U399" s="22"/>
      <c r="V399" s="22"/>
      <c r="W399" s="25"/>
      <c r="X399" s="22"/>
      <c r="Y399" s="22"/>
      <c r="Z399" s="22"/>
      <c r="AA399" s="22"/>
      <c r="AB399" s="25"/>
      <c r="AC399" s="22"/>
      <c r="AD399" s="22"/>
      <c r="AE399" s="25"/>
      <c r="AF399" s="25"/>
    </row>
    <row r="400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6"/>
      <c r="Q400" s="22"/>
      <c r="R400" s="22"/>
      <c r="S400" s="22"/>
      <c r="T400" s="22"/>
      <c r="U400" s="22"/>
      <c r="V400" s="22"/>
      <c r="W400" s="25"/>
      <c r="X400" s="22"/>
      <c r="Y400" s="22"/>
      <c r="Z400" s="22"/>
      <c r="AA400" s="22"/>
      <c r="AB400" s="25"/>
      <c r="AC400" s="22"/>
      <c r="AD400" s="22"/>
      <c r="AE400" s="25"/>
      <c r="AF400" s="25"/>
    </row>
    <row r="401">
      <c r="A401" s="2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6"/>
      <c r="Q401" s="22"/>
      <c r="R401" s="22"/>
      <c r="S401" s="22"/>
      <c r="T401" s="22"/>
      <c r="U401" s="22"/>
      <c r="V401" s="22"/>
      <c r="W401" s="25"/>
      <c r="X401" s="22"/>
      <c r="Y401" s="22"/>
      <c r="Z401" s="22"/>
      <c r="AA401" s="22"/>
      <c r="AB401" s="25"/>
      <c r="AC401" s="22"/>
      <c r="AD401" s="22"/>
      <c r="AE401" s="25"/>
      <c r="AF401" s="25"/>
    </row>
    <row r="402">
      <c r="A402" s="2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6"/>
      <c r="Q402" s="22"/>
      <c r="R402" s="22"/>
      <c r="S402" s="22"/>
      <c r="T402" s="22"/>
      <c r="U402" s="22"/>
      <c r="V402" s="22"/>
      <c r="W402" s="25"/>
      <c r="X402" s="22"/>
      <c r="Y402" s="22"/>
      <c r="Z402" s="22"/>
      <c r="AA402" s="22"/>
      <c r="AB402" s="25"/>
      <c r="AC402" s="22"/>
      <c r="AD402" s="22"/>
      <c r="AE402" s="25"/>
      <c r="AF402" s="25"/>
    </row>
    <row r="403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6"/>
      <c r="Q403" s="22"/>
      <c r="R403" s="22"/>
      <c r="S403" s="22"/>
      <c r="T403" s="22"/>
      <c r="U403" s="22"/>
      <c r="V403" s="22"/>
      <c r="W403" s="25"/>
      <c r="X403" s="22"/>
      <c r="Y403" s="22"/>
      <c r="Z403" s="22"/>
      <c r="AA403" s="22"/>
      <c r="AB403" s="25"/>
      <c r="AC403" s="22"/>
      <c r="AD403" s="22"/>
      <c r="AE403" s="25"/>
      <c r="AF403" s="25"/>
    </row>
    <row r="404">
      <c r="A404" s="2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6"/>
      <c r="Q404" s="22"/>
      <c r="R404" s="22"/>
      <c r="S404" s="22"/>
      <c r="T404" s="22"/>
      <c r="U404" s="22"/>
      <c r="V404" s="22"/>
      <c r="W404" s="25"/>
      <c r="X404" s="22"/>
      <c r="Y404" s="22"/>
      <c r="Z404" s="22"/>
      <c r="AA404" s="22"/>
      <c r="AB404" s="25"/>
      <c r="AC404" s="22"/>
      <c r="AD404" s="22"/>
      <c r="AE404" s="25"/>
      <c r="AF404" s="25"/>
    </row>
    <row r="405">
      <c r="A405" s="2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6"/>
      <c r="Q405" s="22"/>
      <c r="R405" s="22"/>
      <c r="S405" s="22"/>
      <c r="T405" s="22"/>
      <c r="U405" s="22"/>
      <c r="V405" s="22"/>
      <c r="W405" s="25"/>
      <c r="X405" s="22"/>
      <c r="Y405" s="22"/>
      <c r="Z405" s="22"/>
      <c r="AA405" s="22"/>
      <c r="AB405" s="25"/>
      <c r="AC405" s="22"/>
      <c r="AD405" s="22"/>
      <c r="AE405" s="25"/>
      <c r="AF405" s="25"/>
    </row>
    <row r="406">
      <c r="A406" s="2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6"/>
      <c r="Q406" s="22"/>
      <c r="R406" s="22"/>
      <c r="S406" s="22"/>
      <c r="T406" s="22"/>
      <c r="U406" s="22"/>
      <c r="V406" s="22"/>
      <c r="W406" s="25"/>
      <c r="X406" s="22"/>
      <c r="Y406" s="22"/>
      <c r="Z406" s="22"/>
      <c r="AA406" s="22"/>
      <c r="AB406" s="25"/>
      <c r="AC406" s="22"/>
      <c r="AD406" s="22"/>
      <c r="AE406" s="25"/>
      <c r="AF406" s="25"/>
    </row>
    <row r="407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6"/>
      <c r="Q407" s="22"/>
      <c r="R407" s="22"/>
      <c r="S407" s="22"/>
      <c r="T407" s="22"/>
      <c r="U407" s="22"/>
      <c r="V407" s="22"/>
      <c r="W407" s="25"/>
      <c r="X407" s="22"/>
      <c r="Y407" s="22"/>
      <c r="Z407" s="22"/>
      <c r="AA407" s="22"/>
      <c r="AB407" s="25"/>
      <c r="AC407" s="22"/>
      <c r="AD407" s="22"/>
      <c r="AE407" s="25"/>
      <c r="AF407" s="25"/>
    </row>
    <row r="408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6"/>
      <c r="Q408" s="22"/>
      <c r="R408" s="22"/>
      <c r="S408" s="22"/>
      <c r="T408" s="22"/>
      <c r="U408" s="22"/>
      <c r="V408" s="22"/>
      <c r="W408" s="25"/>
      <c r="X408" s="22"/>
      <c r="Y408" s="22"/>
      <c r="Z408" s="22"/>
      <c r="AA408" s="22"/>
      <c r="AB408" s="25"/>
      <c r="AC408" s="22"/>
      <c r="AD408" s="22"/>
      <c r="AE408" s="25"/>
      <c r="AF408" s="25"/>
    </row>
    <row r="409">
      <c r="A409" s="2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6"/>
      <c r="Q409" s="22"/>
      <c r="R409" s="22"/>
      <c r="S409" s="22"/>
      <c r="T409" s="22"/>
      <c r="U409" s="22"/>
      <c r="V409" s="22"/>
      <c r="W409" s="25"/>
      <c r="X409" s="22"/>
      <c r="Y409" s="22"/>
      <c r="Z409" s="22"/>
      <c r="AA409" s="22"/>
      <c r="AB409" s="25"/>
      <c r="AC409" s="22"/>
      <c r="AD409" s="22"/>
      <c r="AE409" s="25"/>
      <c r="AF409" s="25"/>
    </row>
    <row r="410">
      <c r="A410" s="2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6"/>
      <c r="Q410" s="22"/>
      <c r="R410" s="22"/>
      <c r="S410" s="22"/>
      <c r="T410" s="22"/>
      <c r="U410" s="22"/>
      <c r="V410" s="22"/>
      <c r="W410" s="25"/>
      <c r="X410" s="22"/>
      <c r="Y410" s="22"/>
      <c r="Z410" s="22"/>
      <c r="AA410" s="22"/>
      <c r="AB410" s="25"/>
      <c r="AC410" s="22"/>
      <c r="AD410" s="22"/>
      <c r="AE410" s="25"/>
      <c r="AF410" s="25"/>
    </row>
    <row r="411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3"/>
      <c r="Q411" s="22"/>
      <c r="R411" s="22"/>
      <c r="S411" s="22"/>
      <c r="T411" s="22"/>
      <c r="U411" s="22"/>
      <c r="V411" s="22"/>
      <c r="W411" s="25"/>
      <c r="X411" s="22"/>
      <c r="Y411" s="22"/>
      <c r="Z411" s="22"/>
      <c r="AA411" s="22"/>
      <c r="AB411" s="25"/>
      <c r="AC411" s="22"/>
      <c r="AD411" s="22"/>
      <c r="AE411" s="25"/>
      <c r="AF411" s="25"/>
    </row>
    <row r="412">
      <c r="A412" s="2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6"/>
      <c r="Q412" s="22"/>
      <c r="R412" s="22"/>
      <c r="S412" s="22"/>
      <c r="T412" s="22"/>
      <c r="U412" s="22"/>
      <c r="V412" s="22"/>
      <c r="W412" s="25"/>
      <c r="X412" s="22"/>
      <c r="Y412" s="22"/>
      <c r="Z412" s="22"/>
      <c r="AA412" s="22"/>
      <c r="AB412" s="25"/>
      <c r="AC412" s="22"/>
      <c r="AD412" s="22"/>
      <c r="AE412" s="25"/>
      <c r="AF412" s="25"/>
    </row>
    <row r="413">
      <c r="A413" s="2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6"/>
      <c r="Q413" s="22"/>
      <c r="R413" s="22"/>
      <c r="S413" s="22"/>
      <c r="T413" s="22"/>
      <c r="U413" s="22"/>
      <c r="V413" s="22"/>
      <c r="W413" s="25"/>
      <c r="X413" s="22"/>
      <c r="Y413" s="22"/>
      <c r="Z413" s="22"/>
      <c r="AA413" s="22"/>
      <c r="AB413" s="25"/>
      <c r="AC413" s="22"/>
      <c r="AD413" s="22"/>
      <c r="AE413" s="25"/>
      <c r="AF413" s="25"/>
    </row>
    <row r="414">
      <c r="A414" s="2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3"/>
      <c r="Q414" s="22"/>
      <c r="R414" s="22"/>
      <c r="S414" s="22"/>
      <c r="T414" s="22"/>
      <c r="U414" s="22"/>
      <c r="V414" s="22"/>
      <c r="W414" s="25"/>
      <c r="X414" s="22"/>
      <c r="Y414" s="22"/>
      <c r="Z414" s="22"/>
      <c r="AA414" s="22"/>
      <c r="AB414" s="25"/>
      <c r="AC414" s="22"/>
      <c r="AD414" s="22"/>
      <c r="AE414" s="25"/>
      <c r="AF414" s="25"/>
    </row>
    <row r="415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6"/>
      <c r="Q415" s="22"/>
      <c r="R415" s="22"/>
      <c r="S415" s="22"/>
      <c r="T415" s="22"/>
      <c r="U415" s="22"/>
      <c r="V415" s="22"/>
      <c r="W415" s="25"/>
      <c r="X415" s="22"/>
      <c r="Y415" s="22"/>
      <c r="Z415" s="22"/>
      <c r="AA415" s="22"/>
      <c r="AB415" s="25"/>
      <c r="AC415" s="22"/>
      <c r="AD415" s="22"/>
      <c r="AE415" s="25"/>
      <c r="AF415" s="25"/>
    </row>
    <row r="416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6"/>
      <c r="Q416" s="22"/>
      <c r="R416" s="22"/>
      <c r="S416" s="22"/>
      <c r="T416" s="22"/>
      <c r="U416" s="22"/>
      <c r="V416" s="22"/>
      <c r="W416" s="25"/>
      <c r="X416" s="22"/>
      <c r="Y416" s="22"/>
      <c r="Z416" s="22"/>
      <c r="AA416" s="22"/>
      <c r="AB416" s="25"/>
      <c r="AC416" s="22"/>
      <c r="AD416" s="22"/>
      <c r="AE416" s="25"/>
      <c r="AF416" s="25"/>
    </row>
    <row r="417">
      <c r="A417" s="2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6"/>
      <c r="Q417" s="22"/>
      <c r="R417" s="22"/>
      <c r="S417" s="22"/>
      <c r="T417" s="22"/>
      <c r="U417" s="22"/>
      <c r="V417" s="22"/>
      <c r="W417" s="25"/>
      <c r="X417" s="22"/>
      <c r="Y417" s="22"/>
      <c r="Z417" s="22"/>
      <c r="AA417" s="22"/>
      <c r="AB417" s="25"/>
      <c r="AC417" s="22"/>
      <c r="AD417" s="22"/>
      <c r="AE417" s="25"/>
      <c r="AF417" s="25"/>
    </row>
    <row r="418">
      <c r="A418" s="2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6"/>
      <c r="Q418" s="22"/>
      <c r="R418" s="22"/>
      <c r="S418" s="22"/>
      <c r="T418" s="22"/>
      <c r="U418" s="22"/>
      <c r="V418" s="22"/>
      <c r="W418" s="25"/>
      <c r="X418" s="22"/>
      <c r="Y418" s="22"/>
      <c r="Z418" s="22"/>
      <c r="AA418" s="22"/>
      <c r="AB418" s="25"/>
      <c r="AC418" s="22"/>
      <c r="AD418" s="22"/>
      <c r="AE418" s="25"/>
      <c r="AF418" s="25"/>
    </row>
    <row r="419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6"/>
      <c r="Q419" s="22"/>
      <c r="R419" s="22"/>
      <c r="S419" s="22"/>
      <c r="T419" s="22"/>
      <c r="U419" s="22"/>
      <c r="V419" s="22"/>
      <c r="W419" s="25"/>
      <c r="X419" s="22"/>
      <c r="Y419" s="22"/>
      <c r="Z419" s="22"/>
      <c r="AA419" s="22"/>
      <c r="AB419" s="25"/>
      <c r="AC419" s="22"/>
      <c r="AD419" s="22"/>
      <c r="AE419" s="25"/>
      <c r="AF419" s="25"/>
    </row>
    <row r="420">
      <c r="A420" s="2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6"/>
      <c r="Q420" s="22"/>
      <c r="R420" s="22"/>
      <c r="S420" s="22"/>
      <c r="T420" s="22"/>
      <c r="U420" s="22"/>
      <c r="V420" s="22"/>
      <c r="W420" s="25"/>
      <c r="X420" s="22"/>
      <c r="Y420" s="22"/>
      <c r="Z420" s="22"/>
      <c r="AA420" s="22"/>
      <c r="AB420" s="25"/>
      <c r="AC420" s="22"/>
      <c r="AD420" s="22"/>
      <c r="AE420" s="25"/>
      <c r="AF420" s="25"/>
    </row>
    <row r="421">
      <c r="A421" s="2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6"/>
      <c r="Q421" s="22"/>
      <c r="R421" s="22"/>
      <c r="S421" s="22"/>
      <c r="T421" s="22"/>
      <c r="U421" s="22"/>
      <c r="V421" s="22"/>
      <c r="W421" s="25"/>
      <c r="X421" s="22"/>
      <c r="Y421" s="22"/>
      <c r="Z421" s="22"/>
      <c r="AA421" s="22"/>
      <c r="AB421" s="25"/>
      <c r="AC421" s="22"/>
      <c r="AD421" s="22"/>
      <c r="AE421" s="25"/>
      <c r="AF421" s="25"/>
    </row>
    <row r="422">
      <c r="A422" s="2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6"/>
      <c r="Q422" s="22"/>
      <c r="R422" s="22"/>
      <c r="S422" s="22"/>
      <c r="T422" s="22"/>
      <c r="U422" s="22"/>
      <c r="V422" s="22"/>
      <c r="W422" s="25"/>
      <c r="X422" s="22"/>
      <c r="Y422" s="22"/>
      <c r="Z422" s="22"/>
      <c r="AA422" s="22"/>
      <c r="AB422" s="25"/>
      <c r="AC422" s="22"/>
      <c r="AD422" s="22"/>
      <c r="AE422" s="25"/>
      <c r="AF422" s="25"/>
    </row>
    <row r="423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6"/>
      <c r="Q423" s="22"/>
      <c r="R423" s="22"/>
      <c r="S423" s="22"/>
      <c r="T423" s="22"/>
      <c r="U423" s="22"/>
      <c r="V423" s="22"/>
      <c r="W423" s="25"/>
      <c r="X423" s="22"/>
      <c r="Y423" s="22"/>
      <c r="Z423" s="22"/>
      <c r="AA423" s="22"/>
      <c r="AB423" s="25"/>
      <c r="AC423" s="22"/>
      <c r="AD423" s="22"/>
      <c r="AE423" s="25"/>
      <c r="AF423" s="25"/>
    </row>
    <row r="424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6"/>
      <c r="Q424" s="22"/>
      <c r="R424" s="22"/>
      <c r="S424" s="22"/>
      <c r="T424" s="22"/>
      <c r="U424" s="22"/>
      <c r="V424" s="22"/>
      <c r="W424" s="25"/>
      <c r="X424" s="22"/>
      <c r="Y424" s="22"/>
      <c r="Z424" s="22"/>
      <c r="AA424" s="22"/>
      <c r="AB424" s="25"/>
      <c r="AC424" s="22"/>
      <c r="AD424" s="22"/>
      <c r="AE424" s="25"/>
      <c r="AF424" s="25"/>
    </row>
    <row r="425">
      <c r="A425" s="2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6"/>
      <c r="Q425" s="22"/>
      <c r="R425" s="22"/>
      <c r="S425" s="22"/>
      <c r="T425" s="22"/>
      <c r="U425" s="22"/>
      <c r="V425" s="22"/>
      <c r="W425" s="25"/>
      <c r="X425" s="22"/>
      <c r="Y425" s="22"/>
      <c r="Z425" s="22"/>
      <c r="AA425" s="22"/>
      <c r="AB425" s="25"/>
      <c r="AC425" s="22"/>
      <c r="AD425" s="22"/>
      <c r="AE425" s="25"/>
      <c r="AF425" s="25"/>
    </row>
    <row r="426">
      <c r="A426" s="2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6"/>
      <c r="Q426" s="22"/>
      <c r="R426" s="22"/>
      <c r="S426" s="22"/>
      <c r="T426" s="22"/>
      <c r="U426" s="22"/>
      <c r="V426" s="22"/>
      <c r="W426" s="25"/>
      <c r="X426" s="22"/>
      <c r="Y426" s="22"/>
      <c r="Z426" s="22"/>
      <c r="AA426" s="22"/>
      <c r="AB426" s="25"/>
      <c r="AC426" s="22"/>
      <c r="AD426" s="22"/>
      <c r="AE426" s="25"/>
      <c r="AF426" s="25"/>
    </row>
    <row r="427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6"/>
      <c r="Q427" s="22"/>
      <c r="R427" s="22"/>
      <c r="S427" s="22"/>
      <c r="T427" s="22"/>
      <c r="U427" s="22"/>
      <c r="V427" s="22"/>
      <c r="W427" s="25"/>
      <c r="X427" s="22"/>
      <c r="Y427" s="22"/>
      <c r="Z427" s="22"/>
      <c r="AA427" s="22"/>
      <c r="AB427" s="25"/>
      <c r="AC427" s="22"/>
      <c r="AD427" s="22"/>
      <c r="AE427" s="25"/>
      <c r="AF427" s="25"/>
    </row>
    <row r="428">
      <c r="A428" s="37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6"/>
      <c r="Q428" s="22"/>
      <c r="R428" s="22"/>
      <c r="S428" s="22"/>
      <c r="T428" s="25"/>
      <c r="U428" s="22"/>
      <c r="V428" s="22"/>
      <c r="W428" s="25"/>
      <c r="X428" s="22"/>
      <c r="Y428" s="25"/>
      <c r="Z428" s="25"/>
      <c r="AA428" s="22"/>
      <c r="AB428" s="25"/>
      <c r="AC428" s="22"/>
      <c r="AD428" s="25"/>
      <c r="AE428" s="25"/>
      <c r="AF428" s="25"/>
    </row>
    <row r="429">
      <c r="A429" s="2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6"/>
      <c r="Q429" s="22"/>
      <c r="R429" s="22"/>
      <c r="S429" s="22"/>
      <c r="T429" s="22"/>
      <c r="U429" s="22"/>
      <c r="V429" s="22"/>
      <c r="W429" s="25"/>
      <c r="X429" s="22"/>
      <c r="Y429" s="22"/>
      <c r="Z429" s="22"/>
      <c r="AA429" s="22"/>
      <c r="AB429" s="25"/>
      <c r="AC429" s="22"/>
      <c r="AD429" s="22"/>
      <c r="AE429" s="25"/>
      <c r="AF429" s="25"/>
    </row>
    <row r="430">
      <c r="A430" s="2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3"/>
      <c r="Q430" s="22"/>
      <c r="R430" s="22"/>
      <c r="S430" s="22"/>
      <c r="T430" s="22"/>
      <c r="U430" s="22"/>
      <c r="V430" s="22"/>
      <c r="W430" s="25"/>
      <c r="X430" s="22"/>
      <c r="Y430" s="22"/>
      <c r="Z430" s="22"/>
      <c r="AA430" s="22"/>
      <c r="AB430" s="25"/>
      <c r="AC430" s="22"/>
      <c r="AD430" s="22"/>
      <c r="AE430" s="25"/>
      <c r="AF430" s="25"/>
    </row>
    <row r="431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6"/>
      <c r="Q431" s="22"/>
      <c r="R431" s="22"/>
      <c r="S431" s="22"/>
      <c r="T431" s="22"/>
      <c r="U431" s="22"/>
      <c r="V431" s="22"/>
      <c r="W431" s="25"/>
      <c r="X431" s="22"/>
      <c r="Y431" s="22"/>
      <c r="Z431" s="22"/>
      <c r="AA431" s="22"/>
      <c r="AB431" s="25"/>
      <c r="AC431" s="22"/>
      <c r="AD431" s="22"/>
      <c r="AE431" s="25"/>
      <c r="AF431" s="25"/>
    </row>
    <row r="432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6"/>
      <c r="Q432" s="22"/>
      <c r="R432" s="22"/>
      <c r="S432" s="22"/>
      <c r="T432" s="22"/>
      <c r="U432" s="22"/>
      <c r="V432" s="22"/>
      <c r="W432" s="25"/>
      <c r="X432" s="22"/>
      <c r="Y432" s="22"/>
      <c r="Z432" s="22"/>
      <c r="AA432" s="22"/>
      <c r="AB432" s="25"/>
      <c r="AC432" s="22"/>
      <c r="AD432" s="22"/>
      <c r="AE432" s="25"/>
      <c r="AF432" s="25"/>
    </row>
    <row r="433">
      <c r="A433" s="2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6"/>
      <c r="Q433" s="22"/>
      <c r="R433" s="22"/>
      <c r="S433" s="22"/>
      <c r="T433" s="22"/>
      <c r="U433" s="22"/>
      <c r="V433" s="22"/>
      <c r="W433" s="25"/>
      <c r="X433" s="22"/>
      <c r="Y433" s="22"/>
      <c r="Z433" s="22"/>
      <c r="AA433" s="22"/>
      <c r="AB433" s="25"/>
      <c r="AC433" s="22"/>
      <c r="AD433" s="22"/>
      <c r="AE433" s="25"/>
      <c r="AF433" s="25"/>
    </row>
    <row r="434">
      <c r="A434" s="2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3"/>
      <c r="Q434" s="22"/>
      <c r="R434" s="22"/>
      <c r="S434" s="22"/>
      <c r="T434" s="22"/>
      <c r="U434" s="22"/>
      <c r="V434" s="22"/>
      <c r="W434" s="25"/>
      <c r="X434" s="22"/>
      <c r="Y434" s="22"/>
      <c r="Z434" s="22"/>
      <c r="AA434" s="22"/>
      <c r="AB434" s="25"/>
      <c r="AC434" s="22"/>
      <c r="AD434" s="22"/>
      <c r="AE434" s="25"/>
      <c r="AF434" s="25"/>
    </row>
    <row r="435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6"/>
      <c r="Q435" s="22"/>
      <c r="R435" s="22"/>
      <c r="S435" s="22"/>
      <c r="T435" s="22"/>
      <c r="U435" s="22"/>
      <c r="V435" s="22"/>
      <c r="W435" s="25"/>
      <c r="X435" s="22"/>
      <c r="Y435" s="22"/>
      <c r="Z435" s="22"/>
      <c r="AA435" s="22"/>
      <c r="AB435" s="25"/>
      <c r="AC435" s="22"/>
      <c r="AD435" s="22"/>
      <c r="AE435" s="25"/>
      <c r="AF435" s="25"/>
    </row>
    <row r="436">
      <c r="A436" s="2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6"/>
      <c r="Q436" s="22"/>
      <c r="R436" s="22"/>
      <c r="S436" s="22"/>
      <c r="T436" s="22"/>
      <c r="U436" s="22"/>
      <c r="V436" s="22"/>
      <c r="W436" s="25"/>
      <c r="X436" s="22"/>
      <c r="Y436" s="22"/>
      <c r="Z436" s="22"/>
      <c r="AA436" s="22"/>
      <c r="AB436" s="25"/>
      <c r="AC436" s="22"/>
      <c r="AD436" s="22"/>
      <c r="AE436" s="25"/>
      <c r="AF436" s="25"/>
    </row>
    <row r="437">
      <c r="A437" s="2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6"/>
      <c r="Q437" s="22"/>
      <c r="R437" s="22"/>
      <c r="S437" s="22"/>
      <c r="T437" s="22"/>
      <c r="U437" s="22"/>
      <c r="V437" s="22"/>
      <c r="W437" s="25"/>
      <c r="X437" s="22"/>
      <c r="Y437" s="22"/>
      <c r="Z437" s="22"/>
      <c r="AA437" s="22"/>
      <c r="AB437" s="25"/>
      <c r="AC437" s="22"/>
      <c r="AD437" s="22"/>
      <c r="AE437" s="25"/>
      <c r="AF437" s="25"/>
    </row>
    <row r="438">
      <c r="A438" s="2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3"/>
      <c r="Q438" s="22"/>
      <c r="R438" s="22"/>
      <c r="S438" s="22"/>
      <c r="T438" s="22"/>
      <c r="U438" s="22"/>
      <c r="V438" s="22"/>
      <c r="W438" s="25"/>
      <c r="X438" s="22"/>
      <c r="Y438" s="22"/>
      <c r="Z438" s="22"/>
      <c r="AA438" s="22"/>
      <c r="AB438" s="25"/>
      <c r="AC438" s="22"/>
      <c r="AD438" s="22"/>
      <c r="AE438" s="25"/>
      <c r="AF438" s="25"/>
    </row>
    <row r="439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6"/>
      <c r="Q439" s="22"/>
      <c r="R439" s="22"/>
      <c r="S439" s="22"/>
      <c r="T439" s="22"/>
      <c r="U439" s="22"/>
      <c r="V439" s="22"/>
      <c r="W439" s="25"/>
      <c r="X439" s="22"/>
      <c r="Y439" s="22"/>
      <c r="Z439" s="22"/>
      <c r="AA439" s="22"/>
      <c r="AB439" s="25"/>
      <c r="AC439" s="22"/>
      <c r="AD439" s="22"/>
      <c r="AE439" s="25"/>
      <c r="AF439" s="25"/>
    </row>
    <row r="440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6"/>
      <c r="Q440" s="22"/>
      <c r="R440" s="22"/>
      <c r="S440" s="22"/>
      <c r="T440" s="22"/>
      <c r="U440" s="22"/>
      <c r="V440" s="22"/>
      <c r="W440" s="25"/>
      <c r="X440" s="22"/>
      <c r="Y440" s="22"/>
      <c r="Z440" s="22"/>
      <c r="AA440" s="22"/>
      <c r="AB440" s="25"/>
      <c r="AC440" s="22"/>
      <c r="AD440" s="22"/>
      <c r="AE440" s="25"/>
      <c r="AF440" s="25"/>
    </row>
    <row r="441">
      <c r="A441" s="2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6"/>
      <c r="Q441" s="22"/>
      <c r="R441" s="22"/>
      <c r="S441" s="22"/>
      <c r="T441" s="22"/>
      <c r="U441" s="22"/>
      <c r="V441" s="22"/>
      <c r="W441" s="25"/>
      <c r="X441" s="22"/>
      <c r="Y441" s="22"/>
      <c r="Z441" s="22"/>
      <c r="AA441" s="22"/>
      <c r="AB441" s="25"/>
      <c r="AC441" s="22"/>
      <c r="AD441" s="22"/>
      <c r="AE441" s="25"/>
      <c r="AF441" s="25"/>
    </row>
    <row r="442">
      <c r="A442" s="2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6"/>
      <c r="Q442" s="22"/>
      <c r="R442" s="22"/>
      <c r="S442" s="22"/>
      <c r="T442" s="22"/>
      <c r="U442" s="22"/>
      <c r="V442" s="22"/>
      <c r="W442" s="25"/>
      <c r="X442" s="22"/>
      <c r="Y442" s="22"/>
      <c r="Z442" s="22"/>
      <c r="AA442" s="22"/>
      <c r="AB442" s="25"/>
      <c r="AC442" s="22"/>
      <c r="AD442" s="22"/>
      <c r="AE442" s="25"/>
      <c r="AF442" s="25"/>
    </row>
    <row r="443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6"/>
      <c r="Q443" s="22"/>
      <c r="R443" s="22"/>
      <c r="S443" s="22"/>
      <c r="T443" s="22"/>
      <c r="U443" s="22"/>
      <c r="V443" s="22"/>
      <c r="W443" s="25"/>
      <c r="X443" s="22"/>
      <c r="Y443" s="22"/>
      <c r="Z443" s="22"/>
      <c r="AA443" s="22"/>
      <c r="AB443" s="25"/>
      <c r="AC443" s="22"/>
      <c r="AD443" s="22"/>
      <c r="AE443" s="25"/>
      <c r="AF443" s="25"/>
    </row>
    <row r="444">
      <c r="A444" s="2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6"/>
      <c r="Q444" s="22"/>
      <c r="R444" s="22"/>
      <c r="S444" s="22"/>
      <c r="T444" s="22"/>
      <c r="U444" s="22"/>
      <c r="V444" s="22"/>
      <c r="W444" s="25"/>
      <c r="X444" s="22"/>
      <c r="Y444" s="22"/>
      <c r="Z444" s="22"/>
      <c r="AA444" s="22"/>
      <c r="AB444" s="25"/>
      <c r="AC444" s="22"/>
      <c r="AD444" s="22"/>
      <c r="AE444" s="25"/>
      <c r="AF444" s="25"/>
    </row>
    <row r="445">
      <c r="A445" s="2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3"/>
      <c r="Q445" s="22"/>
      <c r="R445" s="22"/>
      <c r="S445" s="22"/>
      <c r="T445" s="22"/>
      <c r="U445" s="22"/>
      <c r="V445" s="22"/>
      <c r="W445" s="25"/>
      <c r="X445" s="22"/>
      <c r="Y445" s="22"/>
      <c r="Z445" s="22"/>
      <c r="AA445" s="22"/>
      <c r="AB445" s="25"/>
      <c r="AC445" s="22"/>
      <c r="AD445" s="22"/>
      <c r="AE445" s="25"/>
      <c r="AF445" s="25"/>
    </row>
    <row r="446">
      <c r="A446" s="2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6"/>
      <c r="Q446" s="22"/>
      <c r="R446" s="22"/>
      <c r="S446" s="22"/>
      <c r="T446" s="22"/>
      <c r="U446" s="22"/>
      <c r="V446" s="22"/>
      <c r="W446" s="25"/>
      <c r="X446" s="22"/>
      <c r="Y446" s="22"/>
      <c r="Z446" s="22"/>
      <c r="AA446" s="22"/>
      <c r="AB446" s="25"/>
      <c r="AC446" s="22"/>
      <c r="AD446" s="22"/>
      <c r="AE446" s="25"/>
      <c r="AF446" s="25"/>
    </row>
    <row r="447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6"/>
      <c r="Q447" s="22"/>
      <c r="R447" s="22"/>
      <c r="S447" s="22"/>
      <c r="T447" s="22"/>
      <c r="U447" s="22"/>
      <c r="V447" s="22"/>
      <c r="W447" s="25"/>
      <c r="X447" s="22"/>
      <c r="Y447" s="22"/>
      <c r="Z447" s="22"/>
      <c r="AA447" s="22"/>
      <c r="AB447" s="25"/>
      <c r="AC447" s="22"/>
      <c r="AD447" s="22"/>
      <c r="AE447" s="25"/>
      <c r="AF447" s="25"/>
    </row>
    <row r="448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6"/>
      <c r="Q448" s="22"/>
      <c r="R448" s="22"/>
      <c r="S448" s="22"/>
      <c r="T448" s="22"/>
      <c r="U448" s="22"/>
      <c r="V448" s="22"/>
      <c r="W448" s="25"/>
      <c r="X448" s="22"/>
      <c r="Y448" s="22"/>
      <c r="Z448" s="22"/>
      <c r="AA448" s="22"/>
      <c r="AB448" s="25"/>
      <c r="AC448" s="22"/>
      <c r="AD448" s="22"/>
      <c r="AE448" s="25"/>
      <c r="AF448" s="25"/>
    </row>
    <row r="449">
      <c r="A449" s="2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6"/>
      <c r="Q449" s="22"/>
      <c r="R449" s="22"/>
      <c r="S449" s="22"/>
      <c r="T449" s="22"/>
      <c r="U449" s="22"/>
      <c r="V449" s="22"/>
      <c r="W449" s="25"/>
      <c r="X449" s="22"/>
      <c r="Y449" s="22"/>
      <c r="Z449" s="22"/>
      <c r="AA449" s="22"/>
      <c r="AB449" s="25"/>
      <c r="AC449" s="22"/>
      <c r="AD449" s="22"/>
      <c r="AE449" s="25"/>
      <c r="AF449" s="25"/>
    </row>
    <row r="450">
      <c r="A450" s="2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6"/>
      <c r="Q450" s="22"/>
      <c r="R450" s="22"/>
      <c r="S450" s="22"/>
      <c r="T450" s="22"/>
      <c r="U450" s="22"/>
      <c r="V450" s="22"/>
      <c r="W450" s="25"/>
      <c r="X450" s="22"/>
      <c r="Y450" s="22"/>
      <c r="Z450" s="22"/>
      <c r="AA450" s="22"/>
      <c r="AB450" s="25"/>
      <c r="AC450" s="22"/>
      <c r="AD450" s="22"/>
      <c r="AE450" s="25"/>
      <c r="AF450" s="25"/>
    </row>
    <row r="451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6"/>
      <c r="Q451" s="22"/>
      <c r="R451" s="22"/>
      <c r="S451" s="22"/>
      <c r="T451" s="22"/>
      <c r="U451" s="22"/>
      <c r="V451" s="22"/>
      <c r="W451" s="25"/>
      <c r="X451" s="22"/>
      <c r="Y451" s="22"/>
      <c r="Z451" s="22"/>
      <c r="AA451" s="22"/>
      <c r="AB451" s="25"/>
      <c r="AC451" s="22"/>
      <c r="AD451" s="22"/>
      <c r="AE451" s="25"/>
      <c r="AF451" s="25"/>
    </row>
    <row r="452">
      <c r="A452" s="2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6"/>
      <c r="Q452" s="22"/>
      <c r="R452" s="22"/>
      <c r="S452" s="22"/>
      <c r="T452" s="22"/>
      <c r="U452" s="22"/>
      <c r="V452" s="22"/>
      <c r="W452" s="25"/>
      <c r="X452" s="22"/>
      <c r="Y452" s="22"/>
      <c r="Z452" s="22"/>
      <c r="AA452" s="22"/>
      <c r="AB452" s="25"/>
      <c r="AC452" s="22"/>
      <c r="AD452" s="22"/>
      <c r="AE452" s="25"/>
      <c r="AF452" s="25"/>
    </row>
    <row r="453">
      <c r="A453" s="2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6"/>
      <c r="Q453" s="22"/>
      <c r="R453" s="22"/>
      <c r="S453" s="22"/>
      <c r="T453" s="22"/>
      <c r="U453" s="22"/>
      <c r="V453" s="22"/>
      <c r="W453" s="25"/>
      <c r="X453" s="22"/>
      <c r="Y453" s="22"/>
      <c r="Z453" s="22"/>
      <c r="AA453" s="22"/>
      <c r="AB453" s="25"/>
      <c r="AC453" s="22"/>
      <c r="AD453" s="22"/>
      <c r="AE453" s="25"/>
      <c r="AF453" s="25"/>
    </row>
    <row r="454">
      <c r="A454" s="2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6"/>
      <c r="Q454" s="22"/>
      <c r="R454" s="22"/>
      <c r="S454" s="22"/>
      <c r="T454" s="22"/>
      <c r="U454" s="22"/>
      <c r="V454" s="22"/>
      <c r="W454" s="25"/>
      <c r="X454" s="22"/>
      <c r="Y454" s="22"/>
      <c r="Z454" s="22"/>
      <c r="AA454" s="22"/>
      <c r="AB454" s="25"/>
      <c r="AC454" s="22"/>
      <c r="AD454" s="22"/>
      <c r="AE454" s="25"/>
      <c r="AF454" s="25"/>
    </row>
    <row r="455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6"/>
      <c r="Q455" s="22"/>
      <c r="R455" s="22"/>
      <c r="S455" s="22"/>
      <c r="T455" s="22"/>
      <c r="U455" s="22"/>
      <c r="V455" s="22"/>
      <c r="W455" s="25"/>
      <c r="X455" s="22"/>
      <c r="Y455" s="22"/>
      <c r="Z455" s="22"/>
      <c r="AA455" s="22"/>
      <c r="AB455" s="25"/>
      <c r="AC455" s="22"/>
      <c r="AD455" s="22"/>
      <c r="AE455" s="25"/>
      <c r="AF455" s="25"/>
    </row>
    <row r="456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3"/>
      <c r="Q456" s="22"/>
      <c r="R456" s="22"/>
      <c r="S456" s="22"/>
      <c r="T456" s="22"/>
      <c r="U456" s="22"/>
      <c r="V456" s="22"/>
      <c r="W456" s="25"/>
      <c r="X456" s="22"/>
      <c r="Y456" s="22"/>
      <c r="Z456" s="22"/>
      <c r="AA456" s="22"/>
      <c r="AB456" s="25"/>
      <c r="AC456" s="22"/>
      <c r="AD456" s="22"/>
      <c r="AE456" s="25"/>
      <c r="AF456" s="25"/>
    </row>
    <row r="457">
      <c r="A457" s="2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6"/>
      <c r="Q457" s="22"/>
      <c r="R457" s="22"/>
      <c r="S457" s="22"/>
      <c r="T457" s="22"/>
      <c r="U457" s="22"/>
      <c r="V457" s="22"/>
      <c r="W457" s="25"/>
      <c r="X457" s="22"/>
      <c r="Y457" s="22"/>
      <c r="Z457" s="22"/>
      <c r="AA457" s="22"/>
      <c r="AB457" s="25"/>
      <c r="AC457" s="22"/>
      <c r="AD457" s="22"/>
      <c r="AE457" s="25"/>
      <c r="AF457" s="25"/>
    </row>
    <row r="458">
      <c r="A458" s="2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6"/>
      <c r="Q458" s="22"/>
      <c r="R458" s="22"/>
      <c r="S458" s="22"/>
      <c r="T458" s="22"/>
      <c r="U458" s="22"/>
      <c r="V458" s="22"/>
      <c r="W458" s="25"/>
      <c r="X458" s="22"/>
      <c r="Y458" s="22"/>
      <c r="Z458" s="22"/>
      <c r="AA458" s="22"/>
      <c r="AB458" s="25"/>
      <c r="AC458" s="22"/>
      <c r="AD458" s="22"/>
      <c r="AE458" s="25"/>
      <c r="AF458" s="25"/>
    </row>
    <row r="459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6"/>
      <c r="Q459" s="22"/>
      <c r="R459" s="22"/>
      <c r="S459" s="22"/>
      <c r="T459" s="22"/>
      <c r="U459" s="22"/>
      <c r="V459" s="22"/>
      <c r="W459" s="25"/>
      <c r="X459" s="22"/>
      <c r="Y459" s="22"/>
      <c r="Z459" s="22"/>
      <c r="AA459" s="22"/>
      <c r="AB459" s="25"/>
      <c r="AC459" s="22"/>
      <c r="AD459" s="22"/>
      <c r="AE459" s="25"/>
      <c r="AF459" s="25"/>
    </row>
    <row r="460">
      <c r="A460" s="2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6"/>
      <c r="Q460" s="22"/>
      <c r="R460" s="22"/>
      <c r="S460" s="22"/>
      <c r="T460" s="22"/>
      <c r="U460" s="22"/>
      <c r="V460" s="22"/>
      <c r="W460" s="25"/>
      <c r="X460" s="22"/>
      <c r="Y460" s="22"/>
      <c r="Z460" s="22"/>
      <c r="AA460" s="22"/>
      <c r="AB460" s="25"/>
      <c r="AC460" s="22"/>
      <c r="AD460" s="22"/>
      <c r="AE460" s="25"/>
      <c r="AF460" s="25"/>
    </row>
    <row r="461">
      <c r="A461" s="2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6"/>
      <c r="Q461" s="22"/>
      <c r="R461" s="22"/>
      <c r="S461" s="22"/>
      <c r="T461" s="22"/>
      <c r="U461" s="22"/>
      <c r="V461" s="22"/>
      <c r="W461" s="25"/>
      <c r="X461" s="22"/>
      <c r="Y461" s="22"/>
      <c r="Z461" s="22"/>
      <c r="AA461" s="22"/>
      <c r="AB461" s="25"/>
      <c r="AC461" s="22"/>
      <c r="AD461" s="22"/>
      <c r="AE461" s="25"/>
      <c r="AF461" s="25"/>
    </row>
    <row r="462">
      <c r="A462" s="2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6"/>
      <c r="Q462" s="22"/>
      <c r="R462" s="22"/>
      <c r="S462" s="22"/>
      <c r="T462" s="22"/>
      <c r="U462" s="22"/>
      <c r="V462" s="22"/>
      <c r="W462" s="25"/>
      <c r="X462" s="22"/>
      <c r="Y462" s="22"/>
      <c r="Z462" s="22"/>
      <c r="AA462" s="22"/>
      <c r="AB462" s="25"/>
      <c r="AC462" s="22"/>
      <c r="AD462" s="22"/>
      <c r="AE462" s="25"/>
      <c r="AF462" s="25"/>
    </row>
    <row r="463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3"/>
      <c r="Q463" s="22"/>
      <c r="R463" s="22"/>
      <c r="S463" s="22"/>
      <c r="T463" s="22"/>
      <c r="U463" s="22"/>
      <c r="V463" s="22"/>
      <c r="W463" s="25"/>
      <c r="X463" s="22"/>
      <c r="Y463" s="22"/>
      <c r="Z463" s="22"/>
      <c r="AA463" s="22"/>
      <c r="AB463" s="25"/>
      <c r="AC463" s="22"/>
      <c r="AD463" s="22"/>
      <c r="AE463" s="25"/>
      <c r="AF463" s="25"/>
    </row>
    <row r="464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6"/>
      <c r="Q464" s="22"/>
      <c r="R464" s="22"/>
      <c r="S464" s="22"/>
      <c r="T464" s="22"/>
      <c r="U464" s="22"/>
      <c r="V464" s="22"/>
      <c r="W464" s="25"/>
      <c r="X464" s="22"/>
      <c r="Y464" s="22"/>
      <c r="Z464" s="22"/>
      <c r="AA464" s="22"/>
      <c r="AB464" s="25"/>
      <c r="AC464" s="22"/>
      <c r="AD464" s="22"/>
      <c r="AE464" s="25"/>
      <c r="AF464" s="25"/>
    </row>
    <row r="465">
      <c r="A465" s="2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6"/>
      <c r="Q465" s="22"/>
      <c r="R465" s="22"/>
      <c r="S465" s="22"/>
      <c r="T465" s="22"/>
      <c r="U465" s="22"/>
      <c r="V465" s="22"/>
      <c r="W465" s="25"/>
      <c r="X465" s="22"/>
      <c r="Y465" s="22"/>
      <c r="Z465" s="22"/>
      <c r="AA465" s="22"/>
      <c r="AB465" s="25"/>
      <c r="AC465" s="22"/>
      <c r="AD465" s="22"/>
      <c r="AE465" s="25"/>
      <c r="AF465" s="25"/>
    </row>
    <row r="466">
      <c r="A466" s="2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6"/>
      <c r="Q466" s="22"/>
      <c r="R466" s="22"/>
      <c r="S466" s="22"/>
      <c r="T466" s="22"/>
      <c r="U466" s="22"/>
      <c r="V466" s="22"/>
      <c r="W466" s="25"/>
      <c r="X466" s="22"/>
      <c r="Y466" s="22"/>
      <c r="Z466" s="22"/>
      <c r="AA466" s="22"/>
      <c r="AB466" s="25"/>
      <c r="AC466" s="22"/>
      <c r="AD466" s="22"/>
      <c r="AE466" s="25"/>
      <c r="AF466" s="25"/>
    </row>
    <row r="467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3"/>
      <c r="Q467" s="22"/>
      <c r="R467" s="22"/>
      <c r="S467" s="22"/>
      <c r="T467" s="22"/>
      <c r="U467" s="22"/>
      <c r="V467" s="22"/>
      <c r="W467" s="25"/>
      <c r="X467" s="22"/>
      <c r="Y467" s="22"/>
      <c r="Z467" s="22"/>
      <c r="AA467" s="22"/>
      <c r="AB467" s="25"/>
      <c r="AC467" s="22"/>
      <c r="AD467" s="22"/>
      <c r="AE467" s="25"/>
      <c r="AF467" s="25"/>
    </row>
    <row r="468">
      <c r="A468" s="2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6"/>
      <c r="Q468" s="22"/>
      <c r="R468" s="22"/>
      <c r="S468" s="22"/>
      <c r="T468" s="22"/>
      <c r="U468" s="22"/>
      <c r="V468" s="22"/>
      <c r="W468" s="25"/>
      <c r="X468" s="22"/>
      <c r="Y468" s="22"/>
      <c r="Z468" s="22"/>
      <c r="AA468" s="22"/>
      <c r="AB468" s="25"/>
      <c r="AC468" s="22"/>
      <c r="AD468" s="22"/>
      <c r="AE468" s="25"/>
      <c r="AF468" s="25"/>
    </row>
    <row r="469">
      <c r="A469" s="2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6"/>
      <c r="Q469" s="22"/>
      <c r="R469" s="22"/>
      <c r="S469" s="22"/>
      <c r="T469" s="22"/>
      <c r="U469" s="22"/>
      <c r="V469" s="22"/>
      <c r="W469" s="25"/>
      <c r="X469" s="22"/>
      <c r="Y469" s="22"/>
      <c r="Z469" s="22"/>
      <c r="AA469" s="22"/>
      <c r="AB469" s="25"/>
      <c r="AC469" s="22"/>
      <c r="AD469" s="22"/>
      <c r="AE469" s="25"/>
      <c r="AF469" s="25"/>
    </row>
    <row r="470">
      <c r="A470" s="2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6"/>
      <c r="Q470" s="22"/>
      <c r="R470" s="22"/>
      <c r="S470" s="22"/>
      <c r="T470" s="22"/>
      <c r="U470" s="22"/>
      <c r="V470" s="22"/>
      <c r="W470" s="25"/>
      <c r="X470" s="22"/>
      <c r="Y470" s="22"/>
      <c r="Z470" s="22"/>
      <c r="AA470" s="22"/>
      <c r="AB470" s="25"/>
      <c r="AC470" s="22"/>
      <c r="AD470" s="22"/>
      <c r="AE470" s="25"/>
      <c r="AF470" s="25"/>
    </row>
    <row r="471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6"/>
      <c r="Q471" s="22"/>
      <c r="R471" s="22"/>
      <c r="S471" s="22"/>
      <c r="T471" s="22"/>
      <c r="U471" s="22"/>
      <c r="V471" s="22"/>
      <c r="W471" s="25"/>
      <c r="X471" s="22"/>
      <c r="Y471" s="22"/>
      <c r="Z471" s="22"/>
      <c r="AA471" s="22"/>
      <c r="AB471" s="25"/>
      <c r="AC471" s="22"/>
      <c r="AD471" s="22"/>
      <c r="AE471" s="25"/>
      <c r="AF471" s="25"/>
    </row>
    <row r="472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6"/>
      <c r="Q472" s="22"/>
      <c r="R472" s="22"/>
      <c r="S472" s="22"/>
      <c r="T472" s="22"/>
      <c r="U472" s="22"/>
      <c r="V472" s="22"/>
      <c r="W472" s="25"/>
      <c r="X472" s="22"/>
      <c r="Y472" s="22"/>
      <c r="Z472" s="22"/>
      <c r="AA472" s="22"/>
      <c r="AB472" s="25"/>
      <c r="AC472" s="22"/>
      <c r="AD472" s="22"/>
      <c r="AE472" s="25"/>
      <c r="AF472" s="25"/>
    </row>
    <row r="473">
      <c r="A473" s="2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3"/>
      <c r="Q473" s="22"/>
      <c r="R473" s="22"/>
      <c r="S473" s="22"/>
      <c r="T473" s="22"/>
      <c r="U473" s="22"/>
      <c r="V473" s="22"/>
      <c r="W473" s="25"/>
      <c r="X473" s="22"/>
      <c r="Y473" s="22"/>
      <c r="Z473" s="22"/>
      <c r="AA473" s="22"/>
      <c r="AB473" s="25"/>
      <c r="AC473" s="22"/>
      <c r="AD473" s="22"/>
      <c r="AE473" s="25"/>
      <c r="AF473" s="25"/>
    </row>
    <row r="474">
      <c r="A474" s="2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6"/>
      <c r="Q474" s="22"/>
      <c r="R474" s="22"/>
      <c r="S474" s="22"/>
      <c r="T474" s="22"/>
      <c r="U474" s="22"/>
      <c r="V474" s="22"/>
      <c r="W474" s="25"/>
      <c r="X474" s="22"/>
      <c r="Y474" s="22"/>
      <c r="Z474" s="22"/>
      <c r="AA474" s="22"/>
      <c r="AB474" s="25"/>
      <c r="AC474" s="22"/>
      <c r="AD474" s="22"/>
      <c r="AE474" s="25"/>
      <c r="AF474" s="25"/>
    </row>
    <row r="475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6"/>
      <c r="Q475" s="22"/>
      <c r="R475" s="22"/>
      <c r="S475" s="22"/>
      <c r="T475" s="22"/>
      <c r="U475" s="22"/>
      <c r="V475" s="22"/>
      <c r="W475" s="25"/>
      <c r="X475" s="22"/>
      <c r="Y475" s="22"/>
      <c r="Z475" s="22"/>
      <c r="AA475" s="22"/>
      <c r="AB475" s="25"/>
      <c r="AC475" s="22"/>
      <c r="AD475" s="22"/>
      <c r="AE475" s="25"/>
      <c r="AF475" s="25"/>
    </row>
    <row r="476">
      <c r="A476" s="2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6"/>
      <c r="Q476" s="22"/>
      <c r="R476" s="22"/>
      <c r="S476" s="22"/>
      <c r="T476" s="22"/>
      <c r="U476" s="22"/>
      <c r="V476" s="22"/>
      <c r="W476" s="25"/>
      <c r="X476" s="22"/>
      <c r="Y476" s="22"/>
      <c r="Z476" s="22"/>
      <c r="AA476" s="22"/>
      <c r="AB476" s="25"/>
      <c r="AC476" s="22"/>
      <c r="AD476" s="22"/>
      <c r="AE476" s="25"/>
      <c r="AF476" s="25"/>
    </row>
    <row r="477">
      <c r="A477" s="2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3"/>
      <c r="Q477" s="22"/>
      <c r="R477" s="22"/>
      <c r="S477" s="22"/>
      <c r="T477" s="22"/>
      <c r="U477" s="22"/>
      <c r="V477" s="22"/>
      <c r="W477" s="25"/>
      <c r="X477" s="22"/>
      <c r="Y477" s="22"/>
      <c r="Z477" s="22"/>
      <c r="AA477" s="22"/>
      <c r="AB477" s="25"/>
      <c r="AC477" s="22"/>
      <c r="AD477" s="22"/>
      <c r="AE477" s="25"/>
      <c r="AF477" s="25"/>
    </row>
    <row r="478">
      <c r="A478" s="2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3"/>
      <c r="Q478" s="22"/>
      <c r="R478" s="22"/>
      <c r="S478" s="22"/>
      <c r="T478" s="22"/>
      <c r="U478" s="22"/>
      <c r="V478" s="22"/>
      <c r="W478" s="25"/>
      <c r="X478" s="22"/>
      <c r="Y478" s="22"/>
      <c r="Z478" s="22"/>
      <c r="AA478" s="22"/>
      <c r="AB478" s="25"/>
      <c r="AC478" s="22"/>
      <c r="AD478" s="22"/>
      <c r="AE478" s="25"/>
      <c r="AF478" s="25"/>
    </row>
    <row r="479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6"/>
      <c r="Q479" s="22"/>
      <c r="R479" s="22"/>
      <c r="S479" s="22"/>
      <c r="T479" s="22"/>
      <c r="U479" s="22"/>
      <c r="V479" s="22"/>
      <c r="W479" s="25"/>
      <c r="X479" s="22"/>
      <c r="Y479" s="22"/>
      <c r="Z479" s="22"/>
      <c r="AA479" s="22"/>
      <c r="AB479" s="25"/>
      <c r="AC479" s="22"/>
      <c r="AD479" s="22"/>
      <c r="AE479" s="25"/>
      <c r="AF479" s="25"/>
    </row>
    <row r="480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3"/>
      <c r="Q480" s="22"/>
      <c r="R480" s="22"/>
      <c r="S480" s="22"/>
      <c r="T480" s="22"/>
      <c r="U480" s="22"/>
      <c r="V480" s="22"/>
      <c r="W480" s="25"/>
      <c r="X480" s="22"/>
      <c r="Y480" s="22"/>
      <c r="Z480" s="22"/>
      <c r="AA480" s="22"/>
      <c r="AB480" s="25"/>
      <c r="AC480" s="22"/>
      <c r="AD480" s="22"/>
      <c r="AE480" s="25"/>
      <c r="AF480" s="25"/>
    </row>
    <row r="481">
      <c r="A481" s="2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6"/>
      <c r="Q481" s="22"/>
      <c r="R481" s="22"/>
      <c r="S481" s="22"/>
      <c r="T481" s="22"/>
      <c r="U481" s="22"/>
      <c r="V481" s="22"/>
      <c r="W481" s="25"/>
      <c r="X481" s="22"/>
      <c r="Y481" s="22"/>
      <c r="Z481" s="22"/>
      <c r="AA481" s="22"/>
      <c r="AB481" s="25"/>
      <c r="AC481" s="22"/>
      <c r="AD481" s="22"/>
      <c r="AE481" s="25"/>
      <c r="AF481" s="25"/>
    </row>
    <row r="482">
      <c r="A482" s="2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6"/>
      <c r="Q482" s="22"/>
      <c r="R482" s="22"/>
      <c r="S482" s="22"/>
      <c r="T482" s="22"/>
      <c r="U482" s="22"/>
      <c r="V482" s="22"/>
      <c r="W482" s="25"/>
      <c r="X482" s="22"/>
      <c r="Y482" s="22"/>
      <c r="Z482" s="22"/>
      <c r="AA482" s="22"/>
      <c r="AB482" s="25"/>
      <c r="AC482" s="22"/>
      <c r="AD482" s="22"/>
      <c r="AE482" s="25"/>
      <c r="AF482" s="25"/>
    </row>
    <row r="483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6"/>
      <c r="Q483" s="22"/>
      <c r="R483" s="22"/>
      <c r="S483" s="22"/>
      <c r="T483" s="22"/>
      <c r="U483" s="22"/>
      <c r="V483" s="22"/>
      <c r="W483" s="25"/>
      <c r="X483" s="22"/>
      <c r="Y483" s="22"/>
      <c r="Z483" s="22"/>
      <c r="AA483" s="22"/>
      <c r="AB483" s="25"/>
      <c r="AC483" s="22"/>
      <c r="AD483" s="22"/>
      <c r="AE483" s="25"/>
      <c r="AF483" s="25"/>
    </row>
    <row r="484">
      <c r="A484" s="2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6"/>
      <c r="Q484" s="22"/>
      <c r="R484" s="22"/>
      <c r="S484" s="22"/>
      <c r="T484" s="22"/>
      <c r="U484" s="22"/>
      <c r="V484" s="22"/>
      <c r="W484" s="25"/>
      <c r="X484" s="22"/>
      <c r="Y484" s="22"/>
      <c r="Z484" s="22"/>
      <c r="AA484" s="22"/>
      <c r="AB484" s="25"/>
      <c r="AC484" s="22"/>
      <c r="AD484" s="22"/>
      <c r="AE484" s="25"/>
      <c r="AF484" s="25"/>
    </row>
    <row r="485">
      <c r="A485" s="2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6"/>
      <c r="Q485" s="22"/>
      <c r="R485" s="22"/>
      <c r="S485" s="22"/>
      <c r="T485" s="22"/>
      <c r="U485" s="22"/>
      <c r="V485" s="22"/>
      <c r="W485" s="25"/>
      <c r="X485" s="22"/>
      <c r="Y485" s="22"/>
      <c r="Z485" s="22"/>
      <c r="AA485" s="22"/>
      <c r="AB485" s="25"/>
      <c r="AC485" s="22"/>
      <c r="AD485" s="22"/>
      <c r="AE485" s="25"/>
      <c r="AF485" s="25"/>
    </row>
    <row r="486">
      <c r="A486" s="2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6"/>
      <c r="Q486" s="22"/>
      <c r="R486" s="22"/>
      <c r="S486" s="22"/>
      <c r="T486" s="22"/>
      <c r="U486" s="22"/>
      <c r="V486" s="22"/>
      <c r="W486" s="25"/>
      <c r="X486" s="22"/>
      <c r="Y486" s="22"/>
      <c r="Z486" s="22"/>
      <c r="AA486" s="22"/>
      <c r="AB486" s="25"/>
      <c r="AC486" s="22"/>
      <c r="AD486" s="22"/>
      <c r="AE486" s="25"/>
      <c r="AF486" s="25"/>
    </row>
    <row r="487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6"/>
      <c r="Q487" s="22"/>
      <c r="R487" s="22"/>
      <c r="S487" s="22"/>
      <c r="T487" s="22"/>
      <c r="U487" s="22"/>
      <c r="V487" s="22"/>
      <c r="W487" s="25"/>
      <c r="X487" s="22"/>
      <c r="Y487" s="22"/>
      <c r="Z487" s="22"/>
      <c r="AA487" s="22"/>
      <c r="AB487" s="25"/>
      <c r="AC487" s="22"/>
      <c r="AD487" s="22"/>
      <c r="AE487" s="25"/>
      <c r="AF487" s="25"/>
    </row>
    <row r="488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6"/>
      <c r="Q488" s="22"/>
      <c r="R488" s="22"/>
      <c r="S488" s="22"/>
      <c r="T488" s="22"/>
      <c r="U488" s="22"/>
      <c r="V488" s="22"/>
      <c r="W488" s="25"/>
      <c r="X488" s="22"/>
      <c r="Y488" s="22"/>
      <c r="Z488" s="22"/>
      <c r="AA488" s="22"/>
      <c r="AB488" s="25"/>
      <c r="AC488" s="22"/>
      <c r="AD488" s="22"/>
      <c r="AE488" s="25"/>
      <c r="AF488" s="25"/>
    </row>
    <row r="489">
      <c r="A489" s="2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6"/>
      <c r="Q489" s="22"/>
      <c r="R489" s="22"/>
      <c r="S489" s="22"/>
      <c r="T489" s="22"/>
      <c r="U489" s="22"/>
      <c r="V489" s="22"/>
      <c r="W489" s="25"/>
      <c r="X489" s="22"/>
      <c r="Y489" s="22"/>
      <c r="Z489" s="22"/>
      <c r="AA489" s="22"/>
      <c r="AB489" s="25"/>
      <c r="AC489" s="22"/>
      <c r="AD489" s="22"/>
      <c r="AE489" s="25"/>
      <c r="AF489" s="25"/>
    </row>
    <row r="490">
      <c r="A490" s="2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3"/>
      <c r="Q490" s="22"/>
      <c r="R490" s="22"/>
      <c r="S490" s="22"/>
      <c r="T490" s="22"/>
      <c r="U490" s="22"/>
      <c r="V490" s="22"/>
      <c r="W490" s="25"/>
      <c r="X490" s="22"/>
      <c r="Y490" s="22"/>
      <c r="Z490" s="22"/>
      <c r="AA490" s="22"/>
      <c r="AB490" s="25"/>
      <c r="AC490" s="22"/>
      <c r="AD490" s="22"/>
      <c r="AE490" s="25"/>
      <c r="AF490" s="25"/>
    </row>
    <row r="491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6"/>
      <c r="Q491" s="22"/>
      <c r="R491" s="22"/>
      <c r="S491" s="22"/>
      <c r="T491" s="22"/>
      <c r="U491" s="22"/>
      <c r="V491" s="22"/>
      <c r="W491" s="25"/>
      <c r="X491" s="22"/>
      <c r="Y491" s="22"/>
      <c r="Z491" s="22"/>
      <c r="AA491" s="22"/>
      <c r="AB491" s="25"/>
      <c r="AC491" s="22"/>
      <c r="AD491" s="22"/>
      <c r="AE491" s="25"/>
      <c r="AF491" s="25"/>
    </row>
    <row r="492">
      <c r="A492" s="2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6"/>
      <c r="Q492" s="22"/>
      <c r="R492" s="22"/>
      <c r="S492" s="22"/>
      <c r="T492" s="22"/>
      <c r="U492" s="22"/>
      <c r="V492" s="22"/>
      <c r="W492" s="25"/>
      <c r="X492" s="22"/>
      <c r="Y492" s="22"/>
      <c r="Z492" s="22"/>
      <c r="AA492" s="22"/>
      <c r="AB492" s="25"/>
      <c r="AC492" s="22"/>
      <c r="AD492" s="22"/>
      <c r="AE492" s="25"/>
      <c r="AF492" s="25"/>
    </row>
    <row r="493">
      <c r="A493" s="2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3"/>
      <c r="Q493" s="22"/>
      <c r="R493" s="22"/>
      <c r="S493" s="22"/>
      <c r="T493" s="22"/>
      <c r="U493" s="22"/>
      <c r="V493" s="22"/>
      <c r="W493" s="25"/>
      <c r="X493" s="22"/>
      <c r="Y493" s="22"/>
      <c r="Z493" s="22"/>
      <c r="AA493" s="22"/>
      <c r="AB493" s="25"/>
      <c r="AC493" s="22"/>
      <c r="AD493" s="22"/>
      <c r="AE493" s="25"/>
      <c r="AF493" s="25"/>
    </row>
    <row r="494">
      <c r="A494" s="2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6"/>
      <c r="Q494" s="22"/>
      <c r="R494" s="22"/>
      <c r="S494" s="22"/>
      <c r="T494" s="22"/>
      <c r="U494" s="22"/>
      <c r="V494" s="22"/>
      <c r="W494" s="25"/>
      <c r="X494" s="22"/>
      <c r="Y494" s="22"/>
      <c r="Z494" s="22"/>
      <c r="AA494" s="22"/>
      <c r="AB494" s="25"/>
      <c r="AC494" s="22"/>
      <c r="AD494" s="22"/>
      <c r="AE494" s="25"/>
      <c r="AF494" s="25"/>
    </row>
    <row r="495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3"/>
      <c r="Q495" s="22"/>
      <c r="R495" s="22"/>
      <c r="S495" s="22"/>
      <c r="T495" s="22"/>
      <c r="U495" s="22"/>
      <c r="V495" s="22"/>
      <c r="W495" s="25"/>
      <c r="X495" s="22"/>
      <c r="Y495" s="22"/>
      <c r="Z495" s="22"/>
      <c r="AA495" s="22"/>
      <c r="AB495" s="25"/>
      <c r="AC495" s="22"/>
      <c r="AD495" s="22"/>
      <c r="AE495" s="25"/>
      <c r="AF495" s="25"/>
    </row>
    <row r="496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6"/>
      <c r="Q496" s="22"/>
      <c r="R496" s="22"/>
      <c r="S496" s="22"/>
      <c r="T496" s="22"/>
      <c r="U496" s="22"/>
      <c r="V496" s="22"/>
      <c r="W496" s="25"/>
      <c r="X496" s="22"/>
      <c r="Y496" s="22"/>
      <c r="Z496" s="22"/>
      <c r="AA496" s="22"/>
      <c r="AB496" s="25"/>
      <c r="AC496" s="22"/>
      <c r="AD496" s="22"/>
      <c r="AE496" s="25"/>
      <c r="AF496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7.5"/>
    <col customWidth="1" min="3" max="3" width="12.25"/>
    <col customWidth="1" min="4" max="4" width="15.5"/>
  </cols>
  <sheetData>
    <row r="1">
      <c r="A1" s="8" t="s">
        <v>0</v>
      </c>
      <c r="B1" s="8" t="s">
        <v>51</v>
      </c>
      <c r="C1" s="8" t="s">
        <v>52</v>
      </c>
      <c r="D1" s="8" t="s">
        <v>53</v>
      </c>
    </row>
    <row r="2">
      <c r="A2" s="9" t="s">
        <v>54</v>
      </c>
      <c r="B2" s="10">
        <v>31.0</v>
      </c>
      <c r="C2" s="11">
        <f>IFERROR(VLOOKUP(A2,'BB | DEF voorraad D&amp;K'!A:B,2,FALSE),0)</f>
        <v>78</v>
      </c>
      <c r="D2" s="11">
        <f t="shared" ref="D2:D3" si="1">C2-B2</f>
        <v>47</v>
      </c>
    </row>
    <row r="3">
      <c r="A3" s="9" t="s">
        <v>55</v>
      </c>
      <c r="B3" s="10">
        <v>42.0</v>
      </c>
      <c r="C3" s="11">
        <f>IFERROR(VLOOKUP(A3,'BB | DEF voorraad D&amp;K'!A:B,2,FALSE),0)</f>
        <v>85</v>
      </c>
      <c r="D3" s="11">
        <f t="shared" si="1"/>
        <v>43</v>
      </c>
    </row>
    <row r="4">
      <c r="A4" s="12"/>
      <c r="B4" s="13"/>
      <c r="C4" s="13"/>
      <c r="D4" s="13"/>
    </row>
    <row r="5">
      <c r="A5" s="14" t="s">
        <v>56</v>
      </c>
      <c r="B5" s="15">
        <v>73.0</v>
      </c>
      <c r="C5" s="16"/>
      <c r="D5" s="16"/>
    </row>
    <row r="6">
      <c r="A6" s="12"/>
      <c r="B6" s="13"/>
      <c r="C6" s="13"/>
      <c r="D6" s="13"/>
    </row>
    <row r="7">
      <c r="A7" s="17" t="s">
        <v>57</v>
      </c>
      <c r="B7" s="18">
        <v>73.0</v>
      </c>
      <c r="C7" s="19"/>
      <c r="D7" s="19"/>
    </row>
  </sheetData>
  <conditionalFormatting sqref="D2:D4">
    <cfRule type="cellIs" dxfId="1" priority="1" stopIfTrue="1" operator="lessThan">
      <formula>0</formula>
    </cfRule>
  </conditionalFormatting>
  <conditionalFormatting sqref="D2:D4">
    <cfRule type="cellIs" dxfId="2" priority="2" stopIfTrue="1" operator="greaterThan">
      <formula>0</formula>
    </cfRule>
  </conditionalFormatting>
  <conditionalFormatting sqref="D2:D4">
    <cfRule type="cellIs" dxfId="3" priority="3" stopIfTrue="1" operator="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4.63"/>
    <col customWidth="1" min="2" max="2" width="23.88"/>
    <col customWidth="1" min="3" max="3" width="48.5"/>
  </cols>
  <sheetData>
    <row r="1">
      <c r="A1" s="32" t="s">
        <v>63</v>
      </c>
      <c r="B1" s="32" t="s">
        <v>65</v>
      </c>
      <c r="C1" s="32" t="s">
        <v>61</v>
      </c>
    </row>
    <row r="2">
      <c r="A2" s="38" t="s">
        <v>63</v>
      </c>
      <c r="B2" s="38" t="s">
        <v>61</v>
      </c>
      <c r="C2" s="38" t="s">
        <v>65</v>
      </c>
      <c r="D2" s="38" t="s">
        <v>8077</v>
      </c>
    </row>
    <row r="3">
      <c r="A3" s="38"/>
      <c r="B3" s="38"/>
      <c r="C3" s="38"/>
      <c r="D3" s="38">
        <v>0.0</v>
      </c>
    </row>
    <row r="4">
      <c r="A4" s="38"/>
      <c r="B4" s="38" t="s">
        <v>8078</v>
      </c>
      <c r="C4" s="38"/>
      <c r="D4" s="38">
        <v>0.0</v>
      </c>
    </row>
    <row r="5">
      <c r="A5" s="38" t="s">
        <v>8078</v>
      </c>
      <c r="B5" s="38"/>
      <c r="C5" s="38"/>
      <c r="D5" s="38">
        <v>0.0</v>
      </c>
    </row>
    <row r="6">
      <c r="A6" s="38" t="s">
        <v>4399</v>
      </c>
      <c r="B6" s="38" t="s">
        <v>8079</v>
      </c>
      <c r="C6" s="38"/>
      <c r="D6" s="38">
        <v>12.0</v>
      </c>
    </row>
    <row r="7">
      <c r="A7" s="38"/>
      <c r="B7" s="38" t="s">
        <v>8080</v>
      </c>
      <c r="C7" s="38"/>
      <c r="D7" s="38">
        <v>10.0</v>
      </c>
    </row>
    <row r="8">
      <c r="A8" s="38"/>
      <c r="B8" s="38" t="s">
        <v>8081</v>
      </c>
      <c r="C8" s="38"/>
      <c r="D8" s="38">
        <v>10.0</v>
      </c>
    </row>
    <row r="9">
      <c r="A9" s="38"/>
      <c r="B9" s="38" t="s">
        <v>8082</v>
      </c>
      <c r="C9" s="38"/>
      <c r="D9" s="38">
        <v>5.0</v>
      </c>
    </row>
    <row r="10">
      <c r="A10" s="38" t="s">
        <v>8083</v>
      </c>
      <c r="B10" s="38"/>
      <c r="C10" s="38"/>
      <c r="D10" s="38">
        <v>37.0</v>
      </c>
    </row>
    <row r="11">
      <c r="A11" s="38" t="s">
        <v>4045</v>
      </c>
      <c r="B11" s="38" t="s">
        <v>8084</v>
      </c>
      <c r="C11" s="38"/>
      <c r="D11" s="38">
        <v>2.0</v>
      </c>
    </row>
    <row r="12">
      <c r="A12" s="38"/>
      <c r="B12" s="38" t="s">
        <v>8085</v>
      </c>
      <c r="C12" s="38"/>
      <c r="D12" s="38">
        <v>3.0</v>
      </c>
    </row>
    <row r="13">
      <c r="A13" s="38"/>
      <c r="B13" s="38" t="s">
        <v>8086</v>
      </c>
      <c r="C13" s="38"/>
      <c r="D13" s="38">
        <v>2.0</v>
      </c>
    </row>
    <row r="14">
      <c r="A14" s="38"/>
      <c r="B14" s="38" t="s">
        <v>8087</v>
      </c>
      <c r="C14" s="38"/>
      <c r="D14" s="38">
        <v>3.0</v>
      </c>
    </row>
    <row r="15">
      <c r="A15" s="38" t="s">
        <v>8088</v>
      </c>
      <c r="B15" s="38"/>
      <c r="C15" s="38"/>
      <c r="D15" s="38">
        <v>10.0</v>
      </c>
    </row>
    <row r="16">
      <c r="A16" s="38" t="s">
        <v>4325</v>
      </c>
      <c r="B16" s="38" t="s">
        <v>8084</v>
      </c>
      <c r="C16" s="38"/>
      <c r="D16" s="38">
        <v>7.0</v>
      </c>
    </row>
    <row r="17">
      <c r="A17" s="38"/>
      <c r="B17" s="38" t="s">
        <v>8089</v>
      </c>
      <c r="C17" s="38"/>
      <c r="D17" s="38">
        <v>6.0</v>
      </c>
    </row>
    <row r="18">
      <c r="A18" s="38"/>
      <c r="B18" s="38" t="s">
        <v>8086</v>
      </c>
      <c r="C18" s="38"/>
      <c r="D18" s="38">
        <v>2.0</v>
      </c>
    </row>
    <row r="19">
      <c r="A19" s="38"/>
      <c r="B19" s="38" t="s">
        <v>8090</v>
      </c>
      <c r="C19" s="38"/>
      <c r="D19" s="38">
        <v>2.0</v>
      </c>
    </row>
    <row r="20">
      <c r="A20" s="38" t="s">
        <v>8091</v>
      </c>
      <c r="B20" s="38"/>
      <c r="C20" s="38"/>
      <c r="D20" s="38">
        <v>17.0</v>
      </c>
    </row>
    <row r="21">
      <c r="A21" s="38" t="s">
        <v>4346</v>
      </c>
      <c r="B21" s="38" t="s">
        <v>8079</v>
      </c>
      <c r="C21" s="38"/>
      <c r="D21" s="38">
        <v>6.0</v>
      </c>
    </row>
    <row r="22">
      <c r="A22" s="38"/>
      <c r="B22" s="38" t="s">
        <v>8085</v>
      </c>
      <c r="C22" s="38"/>
      <c r="D22" s="38">
        <v>6.0</v>
      </c>
    </row>
    <row r="23">
      <c r="A23" s="38"/>
      <c r="B23" s="38" t="s">
        <v>8081</v>
      </c>
      <c r="C23" s="38"/>
      <c r="D23" s="38">
        <v>7.0</v>
      </c>
    </row>
    <row r="24">
      <c r="A24" s="38"/>
      <c r="B24" s="38" t="s">
        <v>8082</v>
      </c>
      <c r="C24" s="38"/>
      <c r="D24" s="38">
        <v>4.0</v>
      </c>
    </row>
    <row r="25">
      <c r="A25" s="38" t="s">
        <v>8092</v>
      </c>
      <c r="B25" s="38"/>
      <c r="C25" s="38"/>
      <c r="D25" s="38">
        <v>23.0</v>
      </c>
    </row>
    <row r="26">
      <c r="A26" s="38" t="s">
        <v>4026</v>
      </c>
      <c r="B26" s="38" t="s">
        <v>8079</v>
      </c>
      <c r="C26" s="38"/>
      <c r="D26" s="38">
        <v>3.0</v>
      </c>
    </row>
    <row r="27">
      <c r="A27" s="38"/>
      <c r="B27" s="38" t="s">
        <v>8080</v>
      </c>
      <c r="C27" s="38"/>
      <c r="D27" s="38">
        <v>6.0</v>
      </c>
    </row>
    <row r="28">
      <c r="A28" s="38"/>
      <c r="B28" s="38" t="s">
        <v>8081</v>
      </c>
      <c r="C28" s="38"/>
      <c r="D28" s="38">
        <v>7.0</v>
      </c>
    </row>
    <row r="29">
      <c r="A29" s="38"/>
      <c r="B29" s="38" t="s">
        <v>8082</v>
      </c>
      <c r="C29" s="38"/>
      <c r="D29" s="38">
        <v>3.0</v>
      </c>
    </row>
    <row r="30">
      <c r="A30" s="38" t="s">
        <v>8093</v>
      </c>
      <c r="B30" s="38"/>
      <c r="C30" s="38"/>
      <c r="D30" s="38">
        <v>19.0</v>
      </c>
    </row>
    <row r="31">
      <c r="A31" s="38" t="s">
        <v>8094</v>
      </c>
      <c r="B31" s="38"/>
      <c r="C31" s="38"/>
      <c r="D31" s="38">
        <v>106.0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14" width="44.13"/>
    <col customWidth="1" min="16" max="16" width="20.13"/>
    <col customWidth="1" min="17" max="17" width="22.38"/>
    <col customWidth="1" min="18" max="18" width="25.5"/>
    <col customWidth="1" min="20" max="20" width="47.63"/>
    <col customWidth="1" min="42" max="42" width="19.75"/>
    <col customWidth="1" min="43" max="43" width="25.0"/>
  </cols>
  <sheetData>
    <row r="1">
      <c r="A1" s="20" t="s">
        <v>64</v>
      </c>
      <c r="B1" s="20" t="s">
        <v>58</v>
      </c>
      <c r="C1" s="20" t="s">
        <v>70</v>
      </c>
      <c r="D1" s="20" t="s">
        <v>59</v>
      </c>
      <c r="E1" s="20" t="s">
        <v>65</v>
      </c>
      <c r="F1" s="20" t="s">
        <v>72</v>
      </c>
      <c r="G1" s="20" t="s">
        <v>73</v>
      </c>
      <c r="H1" s="20" t="s">
        <v>75</v>
      </c>
      <c r="I1" s="20" t="s">
        <v>76</v>
      </c>
      <c r="J1" s="20" t="s">
        <v>77</v>
      </c>
      <c r="K1" s="20" t="s">
        <v>8095</v>
      </c>
      <c r="L1" s="20" t="s">
        <v>78</v>
      </c>
      <c r="M1" s="20" t="s">
        <v>8096</v>
      </c>
      <c r="N1" s="20" t="s">
        <v>7865</v>
      </c>
      <c r="O1" s="20" t="s">
        <v>7866</v>
      </c>
      <c r="P1" s="20" t="s">
        <v>8097</v>
      </c>
      <c r="Q1" s="20" t="s">
        <v>8098</v>
      </c>
      <c r="R1" s="20" t="s">
        <v>8099</v>
      </c>
      <c r="S1" s="20" t="s">
        <v>8100</v>
      </c>
      <c r="T1" s="20" t="s">
        <v>8101</v>
      </c>
      <c r="U1" s="20" t="s">
        <v>8102</v>
      </c>
      <c r="V1" s="20" t="s">
        <v>8103</v>
      </c>
      <c r="W1" s="20" t="s">
        <v>8104</v>
      </c>
      <c r="X1" s="20" t="s">
        <v>8105</v>
      </c>
      <c r="Y1" s="20" t="s">
        <v>8106</v>
      </c>
      <c r="Z1" s="20" t="s">
        <v>8107</v>
      </c>
      <c r="AA1" s="20" t="s">
        <v>8108</v>
      </c>
      <c r="AB1" s="20" t="s">
        <v>8109</v>
      </c>
      <c r="AC1" s="20" t="s">
        <v>8110</v>
      </c>
      <c r="AD1" s="20" t="s">
        <v>71</v>
      </c>
      <c r="AE1" s="20" t="s">
        <v>8111</v>
      </c>
      <c r="AF1" s="20" t="s">
        <v>8112</v>
      </c>
      <c r="AG1" s="20" t="s">
        <v>66</v>
      </c>
      <c r="AH1" s="20" t="s">
        <v>74</v>
      </c>
      <c r="AI1" s="20" t="s">
        <v>8113</v>
      </c>
      <c r="AJ1" s="20" t="s">
        <v>8114</v>
      </c>
      <c r="AK1" s="20" t="s">
        <v>8115</v>
      </c>
      <c r="AL1" s="20" t="s">
        <v>69</v>
      </c>
      <c r="AM1" s="20" t="s">
        <v>8113</v>
      </c>
      <c r="AN1" s="20" t="s">
        <v>8114</v>
      </c>
      <c r="AO1" s="20" t="s">
        <v>8115</v>
      </c>
      <c r="AP1" s="20" t="s">
        <v>69</v>
      </c>
      <c r="AQ1" s="39" t="s">
        <v>79</v>
      </c>
      <c r="AR1" s="39" t="s">
        <v>8116</v>
      </c>
      <c r="AS1" s="39" t="s">
        <v>8117</v>
      </c>
    </row>
    <row r="2">
      <c r="A2" s="21" t="s">
        <v>8118</v>
      </c>
      <c r="B2" s="22" t="s">
        <v>8119</v>
      </c>
      <c r="C2" s="22">
        <v>1.0</v>
      </c>
      <c r="D2" s="22" t="s">
        <v>8120</v>
      </c>
      <c r="E2" s="22" t="s">
        <v>8119</v>
      </c>
      <c r="F2" s="22" t="s">
        <v>8121</v>
      </c>
      <c r="G2" s="24"/>
      <c r="H2" s="22">
        <v>3.2587301880131E13</v>
      </c>
      <c r="I2" s="24"/>
      <c r="J2" s="22" t="s">
        <v>8122</v>
      </c>
      <c r="K2" s="22">
        <v>4.2085703549171E13</v>
      </c>
      <c r="L2" s="24"/>
      <c r="M2" s="24"/>
      <c r="N2" s="22" t="s">
        <v>6265</v>
      </c>
      <c r="O2" s="22" t="s">
        <v>8123</v>
      </c>
      <c r="P2" s="22" t="s">
        <v>6265</v>
      </c>
      <c r="Q2" s="22" t="s">
        <v>8123</v>
      </c>
      <c r="R2" s="22" t="s">
        <v>8124</v>
      </c>
      <c r="S2" s="24"/>
      <c r="T2" s="40" t="s">
        <v>8125</v>
      </c>
      <c r="U2" s="22" t="s">
        <v>8126</v>
      </c>
      <c r="V2" s="24"/>
      <c r="W2" s="22" t="s">
        <v>8127</v>
      </c>
      <c r="X2" s="22" t="s">
        <v>8128</v>
      </c>
      <c r="Y2" s="24"/>
      <c r="Z2" s="24"/>
      <c r="AA2" s="22" t="s">
        <v>8129</v>
      </c>
      <c r="AB2" s="22" t="s">
        <v>8130</v>
      </c>
      <c r="AC2" s="25"/>
      <c r="AD2" s="22" t="s">
        <v>8131</v>
      </c>
      <c r="AE2" s="22" t="s">
        <v>8132</v>
      </c>
      <c r="AF2" s="24"/>
      <c r="AG2" s="22">
        <v>1.0387964232003E13</v>
      </c>
      <c r="AH2" s="22" t="s">
        <v>90</v>
      </c>
      <c r="AI2" s="22">
        <v>2.3314611863875E13</v>
      </c>
      <c r="AJ2" s="25"/>
      <c r="AK2" s="24"/>
      <c r="AL2" s="22" t="s">
        <v>8133</v>
      </c>
      <c r="AM2" s="22">
        <v>5.972614447347E12</v>
      </c>
      <c r="AN2" s="25"/>
      <c r="AO2" s="25"/>
      <c r="AP2" s="22" t="s">
        <v>8134</v>
      </c>
      <c r="AQ2" s="30" t="s">
        <v>8135</v>
      </c>
      <c r="AR2" s="30" t="b">
        <v>0</v>
      </c>
      <c r="AS2" s="30" t="b">
        <v>0</v>
      </c>
    </row>
    <row r="3">
      <c r="A3" s="21" t="s">
        <v>8118</v>
      </c>
      <c r="B3" s="24"/>
      <c r="C3" s="24"/>
      <c r="D3" s="22" t="s">
        <v>8120</v>
      </c>
      <c r="E3" s="24"/>
      <c r="F3" s="22" t="s">
        <v>8136</v>
      </c>
      <c r="G3" s="24"/>
      <c r="H3" s="22">
        <v>9.453511475523E12</v>
      </c>
      <c r="I3" s="24"/>
      <c r="J3" s="24"/>
      <c r="K3" s="24"/>
      <c r="L3" s="24"/>
      <c r="M3" s="24"/>
      <c r="N3" s="22" t="s">
        <v>6265</v>
      </c>
      <c r="O3" s="22" t="s">
        <v>8123</v>
      </c>
      <c r="P3" s="22" t="s">
        <v>6265</v>
      </c>
      <c r="Q3" s="22" t="s">
        <v>8123</v>
      </c>
      <c r="R3" s="22" t="s">
        <v>8124</v>
      </c>
      <c r="S3" s="24"/>
      <c r="T3" s="40" t="s">
        <v>8125</v>
      </c>
      <c r="U3" s="22" t="s">
        <v>8126</v>
      </c>
      <c r="V3" s="24"/>
      <c r="W3" s="22" t="s">
        <v>8127</v>
      </c>
      <c r="X3" s="22" t="s">
        <v>8128</v>
      </c>
      <c r="Y3" s="24"/>
      <c r="Z3" s="24"/>
      <c r="AA3" s="22" t="s">
        <v>8129</v>
      </c>
      <c r="AB3" s="22" t="s">
        <v>8130</v>
      </c>
      <c r="AC3" s="25"/>
      <c r="AD3" s="25"/>
      <c r="AE3" s="22" t="s">
        <v>8132</v>
      </c>
      <c r="AF3" s="24"/>
      <c r="AG3" s="22">
        <v>1.0387964232003E13</v>
      </c>
      <c r="AH3" s="22" t="s">
        <v>8137</v>
      </c>
      <c r="AI3" s="22">
        <v>2.3314611863875E13</v>
      </c>
      <c r="AJ3" s="25"/>
      <c r="AK3" s="24"/>
      <c r="AL3" s="22" t="s">
        <v>8136</v>
      </c>
      <c r="AM3" s="22">
        <v>2.3414360703299E13</v>
      </c>
      <c r="AN3" s="25"/>
      <c r="AO3" s="25"/>
      <c r="AP3" s="22" t="s">
        <v>8138</v>
      </c>
      <c r="AQ3" s="30"/>
      <c r="AR3" s="30" t="b">
        <v>0</v>
      </c>
      <c r="AS3" s="30" t="b">
        <v>0</v>
      </c>
    </row>
    <row r="4">
      <c r="A4" s="21" t="s">
        <v>8139</v>
      </c>
      <c r="B4" s="22" t="s">
        <v>8140</v>
      </c>
      <c r="C4" s="22">
        <v>1.0</v>
      </c>
      <c r="D4" s="22" t="s">
        <v>8141</v>
      </c>
      <c r="E4" s="22" t="s">
        <v>8140</v>
      </c>
      <c r="F4" s="22" t="s">
        <v>8121</v>
      </c>
      <c r="G4" s="24"/>
      <c r="H4" s="22">
        <v>3.2581474189635E13</v>
      </c>
      <c r="I4" s="24"/>
      <c r="J4" s="24"/>
      <c r="K4" s="22">
        <v>4.2085703581939E13</v>
      </c>
      <c r="L4" s="24"/>
      <c r="M4" s="24"/>
      <c r="N4" s="22" t="s">
        <v>8142</v>
      </c>
      <c r="O4" s="22" t="s">
        <v>8143</v>
      </c>
      <c r="P4" s="22" t="s">
        <v>8142</v>
      </c>
      <c r="Q4" s="22" t="s">
        <v>8143</v>
      </c>
      <c r="R4" s="22" t="s">
        <v>8144</v>
      </c>
      <c r="S4" s="24"/>
      <c r="T4" s="40" t="s">
        <v>8145</v>
      </c>
      <c r="U4" s="22" t="s">
        <v>8146</v>
      </c>
      <c r="V4" s="24"/>
      <c r="W4" s="22" t="s">
        <v>8147</v>
      </c>
      <c r="X4" s="22" t="s">
        <v>8148</v>
      </c>
      <c r="Y4" s="24"/>
      <c r="Z4" s="24"/>
      <c r="AA4" s="22" t="s">
        <v>8129</v>
      </c>
      <c r="AB4" s="22" t="s">
        <v>8130</v>
      </c>
      <c r="AC4" s="25"/>
      <c r="AD4" s="22" t="s">
        <v>8131</v>
      </c>
      <c r="AE4" s="22" t="s">
        <v>8132</v>
      </c>
      <c r="AF4" s="24"/>
      <c r="AG4" s="22">
        <v>1.0384941875523E13</v>
      </c>
      <c r="AH4" s="22" t="s">
        <v>90</v>
      </c>
      <c r="AI4" s="22">
        <v>6.445235339507E12</v>
      </c>
      <c r="AJ4" s="25"/>
      <c r="AK4" s="24"/>
      <c r="AL4" s="22" t="s">
        <v>8134</v>
      </c>
      <c r="AM4" s="22">
        <v>2.3414360703299E13</v>
      </c>
      <c r="AN4" s="25"/>
      <c r="AO4" s="25"/>
      <c r="AP4" s="22" t="s">
        <v>8149</v>
      </c>
      <c r="AQ4" s="30" t="s">
        <v>8150</v>
      </c>
      <c r="AR4" s="30" t="b">
        <v>0</v>
      </c>
      <c r="AS4" s="30" t="b">
        <v>0</v>
      </c>
    </row>
    <row r="5">
      <c r="A5" s="21" t="s">
        <v>8139</v>
      </c>
      <c r="B5" s="24"/>
      <c r="C5" s="24"/>
      <c r="D5" s="22" t="s">
        <v>8141</v>
      </c>
      <c r="E5" s="24"/>
      <c r="F5" s="22" t="s">
        <v>8136</v>
      </c>
      <c r="G5" s="24"/>
      <c r="H5" s="22">
        <v>9.451139662147E12</v>
      </c>
      <c r="I5" s="24"/>
      <c r="J5" s="24"/>
      <c r="K5" s="24"/>
      <c r="L5" s="24"/>
      <c r="M5" s="24"/>
      <c r="N5" s="22" t="s">
        <v>8142</v>
      </c>
      <c r="O5" s="22" t="s">
        <v>8143</v>
      </c>
      <c r="P5" s="22" t="s">
        <v>8142</v>
      </c>
      <c r="Q5" s="22" t="s">
        <v>8143</v>
      </c>
      <c r="R5" s="22" t="s">
        <v>8144</v>
      </c>
      <c r="S5" s="24"/>
      <c r="T5" s="40" t="s">
        <v>8145</v>
      </c>
      <c r="U5" s="22" t="s">
        <v>8146</v>
      </c>
      <c r="V5" s="24"/>
      <c r="W5" s="22" t="s">
        <v>8147</v>
      </c>
      <c r="X5" s="22" t="s">
        <v>8148</v>
      </c>
      <c r="Y5" s="24"/>
      <c r="Z5" s="24"/>
      <c r="AA5" s="22" t="s">
        <v>8129</v>
      </c>
      <c r="AB5" s="22" t="s">
        <v>8130</v>
      </c>
      <c r="AC5" s="25"/>
      <c r="AD5" s="24"/>
      <c r="AE5" s="22" t="s">
        <v>8132</v>
      </c>
      <c r="AF5" s="24"/>
      <c r="AG5" s="22">
        <v>1.0384941875523E13</v>
      </c>
      <c r="AH5" s="22" t="s">
        <v>8137</v>
      </c>
      <c r="AI5" s="22">
        <v>6.445235339507E12</v>
      </c>
      <c r="AJ5" s="25"/>
      <c r="AK5" s="24"/>
      <c r="AL5" s="22" t="s">
        <v>8136</v>
      </c>
      <c r="AM5" s="22">
        <v>2.3414395765059E13</v>
      </c>
      <c r="AN5" s="25"/>
      <c r="AO5" s="25"/>
      <c r="AP5" s="22" t="s">
        <v>8151</v>
      </c>
      <c r="AQ5" s="30"/>
      <c r="AR5" s="30" t="b">
        <v>0</v>
      </c>
      <c r="AS5" s="30" t="b">
        <v>0</v>
      </c>
    </row>
    <row r="6">
      <c r="A6" s="21" t="s">
        <v>8152</v>
      </c>
      <c r="B6" s="22" t="s">
        <v>8153</v>
      </c>
      <c r="C6" s="22">
        <v>1.0</v>
      </c>
      <c r="D6" s="22" t="s">
        <v>8154</v>
      </c>
      <c r="E6" s="22" t="s">
        <v>8153</v>
      </c>
      <c r="F6" s="22" t="s">
        <v>8155</v>
      </c>
      <c r="G6" s="24"/>
      <c r="H6" s="22">
        <v>3.2585167733059E13</v>
      </c>
      <c r="I6" s="24"/>
      <c r="J6" s="41">
        <v>46007.0</v>
      </c>
      <c r="K6" s="22">
        <v>4.7338059759939E13</v>
      </c>
      <c r="L6" s="24"/>
      <c r="M6" s="24"/>
      <c r="N6" s="22" t="s">
        <v>7740</v>
      </c>
      <c r="O6" s="22" t="s">
        <v>4732</v>
      </c>
      <c r="P6" s="22" t="s">
        <v>7740</v>
      </c>
      <c r="Q6" s="22" t="s">
        <v>4732</v>
      </c>
      <c r="R6" s="22" t="s">
        <v>8156</v>
      </c>
      <c r="S6" s="24"/>
      <c r="T6" s="40" t="s">
        <v>8157</v>
      </c>
      <c r="U6" s="22" t="s">
        <v>8158</v>
      </c>
      <c r="V6" s="24"/>
      <c r="W6" s="22" t="s">
        <v>8159</v>
      </c>
      <c r="X6" s="22" t="s">
        <v>8160</v>
      </c>
      <c r="Y6" s="24"/>
      <c r="Z6" s="24"/>
      <c r="AA6" s="22" t="s">
        <v>8129</v>
      </c>
      <c r="AB6" s="22" t="s">
        <v>8130</v>
      </c>
      <c r="AC6" s="25"/>
      <c r="AD6" s="22" t="s">
        <v>8161</v>
      </c>
      <c r="AE6" s="22" t="s">
        <v>8132</v>
      </c>
      <c r="AF6" s="24"/>
      <c r="AG6" s="22">
        <v>1.0386855559491E13</v>
      </c>
      <c r="AH6" s="22" t="s">
        <v>90</v>
      </c>
      <c r="AI6" s="22">
        <v>2.3313300980035E13</v>
      </c>
      <c r="AJ6" s="25"/>
      <c r="AK6" s="24"/>
      <c r="AL6" s="22" t="s">
        <v>8162</v>
      </c>
      <c r="AM6" s="22">
        <v>2.3414395765059E13</v>
      </c>
      <c r="AN6" s="25"/>
      <c r="AO6" s="25"/>
      <c r="AP6" s="22" t="s">
        <v>8149</v>
      </c>
      <c r="AQ6" s="30" t="s">
        <v>55</v>
      </c>
      <c r="AR6" s="30" t="b">
        <v>0</v>
      </c>
      <c r="AS6" s="30" t="b">
        <v>0</v>
      </c>
    </row>
    <row r="7">
      <c r="A7" s="21" t="s">
        <v>8152</v>
      </c>
      <c r="B7" s="24"/>
      <c r="C7" s="24"/>
      <c r="D7" s="22" t="s">
        <v>8154</v>
      </c>
      <c r="E7" s="24"/>
      <c r="F7" s="22" t="s">
        <v>8149</v>
      </c>
      <c r="G7" s="24"/>
      <c r="H7" s="22">
        <v>9.452570116419E12</v>
      </c>
      <c r="I7" s="24"/>
      <c r="J7" s="24"/>
      <c r="K7" s="24"/>
      <c r="L7" s="24"/>
      <c r="M7" s="24"/>
      <c r="N7" s="22" t="s">
        <v>7740</v>
      </c>
      <c r="O7" s="22" t="s">
        <v>4732</v>
      </c>
      <c r="P7" s="22" t="s">
        <v>7740</v>
      </c>
      <c r="Q7" s="22" t="s">
        <v>4732</v>
      </c>
      <c r="R7" s="22" t="s">
        <v>8156</v>
      </c>
      <c r="S7" s="24"/>
      <c r="T7" s="40" t="s">
        <v>8157</v>
      </c>
      <c r="U7" s="22" t="s">
        <v>8158</v>
      </c>
      <c r="V7" s="24"/>
      <c r="W7" s="22" t="s">
        <v>8159</v>
      </c>
      <c r="X7" s="22" t="s">
        <v>8160</v>
      </c>
      <c r="Y7" s="24"/>
      <c r="Z7" s="24"/>
      <c r="AA7" s="22" t="s">
        <v>8129</v>
      </c>
      <c r="AB7" s="22" t="s">
        <v>8130</v>
      </c>
      <c r="AC7" s="25"/>
      <c r="AD7" s="24"/>
      <c r="AE7" s="22" t="s">
        <v>8132</v>
      </c>
      <c r="AF7" s="24"/>
      <c r="AG7" s="22">
        <v>1.0386855559491E13</v>
      </c>
      <c r="AH7" s="22" t="s">
        <v>8137</v>
      </c>
      <c r="AI7" s="22">
        <v>2.3313300980035E13</v>
      </c>
      <c r="AJ7" s="25"/>
      <c r="AK7" s="24"/>
      <c r="AL7" s="22" t="s">
        <v>8149</v>
      </c>
      <c r="AM7" s="22">
        <v>2.3414031843651E13</v>
      </c>
      <c r="AN7" s="25"/>
      <c r="AO7" s="25"/>
      <c r="AP7" s="22" t="s">
        <v>8134</v>
      </c>
      <c r="AQ7" s="30"/>
      <c r="AR7" s="30" t="b">
        <v>0</v>
      </c>
      <c r="AS7" s="30" t="b">
        <v>0</v>
      </c>
    </row>
    <row r="8">
      <c r="A8" s="21" t="s">
        <v>8163</v>
      </c>
      <c r="B8" s="22" t="s">
        <v>8140</v>
      </c>
      <c r="C8" s="22">
        <v>1.0</v>
      </c>
      <c r="D8" s="22" t="s">
        <v>8164</v>
      </c>
      <c r="E8" s="22" t="s">
        <v>8140</v>
      </c>
      <c r="F8" s="22" t="s">
        <v>8121</v>
      </c>
      <c r="G8" s="24"/>
      <c r="H8" s="22">
        <v>3.2587795104067E13</v>
      </c>
      <c r="I8" s="24"/>
      <c r="J8" s="22" t="s">
        <v>8165</v>
      </c>
      <c r="K8" s="22">
        <v>4.2085703581939E13</v>
      </c>
      <c r="L8" s="24"/>
      <c r="M8" s="24"/>
      <c r="N8" s="22" t="s">
        <v>8166</v>
      </c>
      <c r="O8" s="22" t="s">
        <v>8167</v>
      </c>
      <c r="P8" s="22" t="s">
        <v>8166</v>
      </c>
      <c r="Q8" s="22" t="s">
        <v>8167</v>
      </c>
      <c r="R8" s="22" t="s">
        <v>8168</v>
      </c>
      <c r="S8" s="24"/>
      <c r="T8" s="40" t="s">
        <v>8169</v>
      </c>
      <c r="U8" s="22" t="s">
        <v>8170</v>
      </c>
      <c r="V8" s="24"/>
      <c r="W8" s="22" t="s">
        <v>8171</v>
      </c>
      <c r="X8" s="22" t="s">
        <v>8172</v>
      </c>
      <c r="Y8" s="24"/>
      <c r="Z8" s="24"/>
      <c r="AA8" s="22" t="s">
        <v>8129</v>
      </c>
      <c r="AB8" s="22" t="s">
        <v>8130</v>
      </c>
      <c r="AC8" s="25"/>
      <c r="AD8" s="22" t="s">
        <v>8131</v>
      </c>
      <c r="AE8" s="22" t="s">
        <v>8132</v>
      </c>
      <c r="AF8" s="24"/>
      <c r="AG8" s="22">
        <v>1.0388218413379E13</v>
      </c>
      <c r="AH8" s="22" t="s">
        <v>90</v>
      </c>
      <c r="AI8" s="22">
        <v>6.436192190707E12</v>
      </c>
      <c r="AJ8" s="25"/>
      <c r="AK8" s="24"/>
      <c r="AL8" s="22" t="s">
        <v>8134</v>
      </c>
      <c r="AM8" s="22">
        <v>2.3413307146563E13</v>
      </c>
      <c r="AN8" s="25"/>
      <c r="AO8" s="25"/>
      <c r="AP8" s="22" t="s">
        <v>8173</v>
      </c>
      <c r="AQ8" s="30" t="s">
        <v>8150</v>
      </c>
      <c r="AR8" s="30" t="b">
        <v>0</v>
      </c>
      <c r="AS8" s="30" t="b">
        <v>0</v>
      </c>
    </row>
    <row r="9">
      <c r="A9" s="21" t="s">
        <v>8163</v>
      </c>
      <c r="B9" s="24"/>
      <c r="C9" s="24"/>
      <c r="D9" s="22" t="s">
        <v>8164</v>
      </c>
      <c r="E9" s="24"/>
      <c r="F9" s="22" t="s">
        <v>8136</v>
      </c>
      <c r="G9" s="24"/>
      <c r="H9" s="22">
        <v>9.453711589699E12</v>
      </c>
      <c r="I9" s="24"/>
      <c r="J9" s="24"/>
      <c r="K9" s="24"/>
      <c r="L9" s="24"/>
      <c r="M9" s="24"/>
      <c r="N9" s="22" t="s">
        <v>8166</v>
      </c>
      <c r="O9" s="22" t="s">
        <v>8167</v>
      </c>
      <c r="P9" s="22" t="s">
        <v>8166</v>
      </c>
      <c r="Q9" s="22" t="s">
        <v>8167</v>
      </c>
      <c r="R9" s="22" t="s">
        <v>8168</v>
      </c>
      <c r="S9" s="24"/>
      <c r="T9" s="40" t="s">
        <v>8169</v>
      </c>
      <c r="U9" s="22" t="s">
        <v>8170</v>
      </c>
      <c r="V9" s="24"/>
      <c r="W9" s="22" t="s">
        <v>8171</v>
      </c>
      <c r="X9" s="22" t="s">
        <v>8172</v>
      </c>
      <c r="Y9" s="24"/>
      <c r="Z9" s="24"/>
      <c r="AA9" s="22" t="s">
        <v>8129</v>
      </c>
      <c r="AB9" s="22" t="s">
        <v>8130</v>
      </c>
      <c r="AC9" s="25"/>
      <c r="AD9" s="24"/>
      <c r="AE9" s="22" t="s">
        <v>8132</v>
      </c>
      <c r="AF9" s="24"/>
      <c r="AG9" s="22">
        <v>1.0388218413379E13</v>
      </c>
      <c r="AH9" s="22" t="s">
        <v>8137</v>
      </c>
      <c r="AI9" s="22">
        <v>6.436192190707E12</v>
      </c>
      <c r="AJ9" s="25"/>
      <c r="AK9" s="24"/>
      <c r="AL9" s="22" t="s">
        <v>8136</v>
      </c>
      <c r="AM9" s="22">
        <v>2.3413307146563E13</v>
      </c>
      <c r="AN9" s="25"/>
      <c r="AO9" s="25"/>
      <c r="AP9" s="22" t="s">
        <v>8149</v>
      </c>
      <c r="AQ9" s="30"/>
      <c r="AR9" s="30" t="b">
        <v>0</v>
      </c>
      <c r="AS9" s="30" t="b">
        <v>0</v>
      </c>
    </row>
    <row r="10">
      <c r="A10" s="21" t="s">
        <v>8174</v>
      </c>
      <c r="B10" s="22" t="s">
        <v>8140</v>
      </c>
      <c r="C10" s="22">
        <v>1.0</v>
      </c>
      <c r="D10" s="22" t="s">
        <v>8175</v>
      </c>
      <c r="E10" s="22" t="s">
        <v>8140</v>
      </c>
      <c r="F10" s="22" t="s">
        <v>8121</v>
      </c>
      <c r="G10" s="22" t="s">
        <v>89</v>
      </c>
      <c r="H10" s="22">
        <v>3.2601231622467E13</v>
      </c>
      <c r="I10" s="22" t="s">
        <v>89</v>
      </c>
      <c r="J10" s="24"/>
      <c r="K10" s="22">
        <v>4.2085703581939E13</v>
      </c>
      <c r="L10" s="24"/>
      <c r="M10" s="24"/>
      <c r="N10" s="22" t="s">
        <v>3820</v>
      </c>
      <c r="O10" s="22" t="s">
        <v>8176</v>
      </c>
      <c r="P10" s="22" t="s">
        <v>3820</v>
      </c>
      <c r="Q10" s="22" t="s">
        <v>8176</v>
      </c>
      <c r="R10" s="22" t="s">
        <v>8177</v>
      </c>
      <c r="S10" s="24"/>
      <c r="T10" s="40" t="s">
        <v>8178</v>
      </c>
      <c r="U10" s="22" t="s">
        <v>8179</v>
      </c>
      <c r="V10" s="24"/>
      <c r="W10" s="22" t="s">
        <v>8180</v>
      </c>
      <c r="X10" s="22" t="s">
        <v>8181</v>
      </c>
      <c r="Y10" s="24"/>
      <c r="Z10" s="24"/>
      <c r="AA10" s="22" t="s">
        <v>8129</v>
      </c>
      <c r="AB10" s="22" t="s">
        <v>8130</v>
      </c>
      <c r="AC10" s="25"/>
      <c r="AD10" s="22" t="s">
        <v>8131</v>
      </c>
      <c r="AE10" s="22" t="s">
        <v>8132</v>
      </c>
      <c r="AF10" s="24"/>
      <c r="AG10" s="22">
        <v>1.0394851770691E13</v>
      </c>
      <c r="AH10" s="22" t="s">
        <v>90</v>
      </c>
      <c r="AI10" s="22">
        <v>2.3328908902723E13</v>
      </c>
      <c r="AJ10" s="25"/>
      <c r="AK10" s="24"/>
      <c r="AL10" s="22" t="s">
        <v>8134</v>
      </c>
      <c r="AM10" s="22">
        <v>7.447029514563E12</v>
      </c>
      <c r="AN10" s="25"/>
      <c r="AO10" s="25"/>
      <c r="AP10" s="22" t="s">
        <v>8136</v>
      </c>
      <c r="AQ10" s="30" t="s">
        <v>8150</v>
      </c>
      <c r="AR10" s="30" t="b">
        <v>0</v>
      </c>
      <c r="AS10" s="30" t="b">
        <v>0</v>
      </c>
    </row>
    <row r="11">
      <c r="A11" s="21" t="s">
        <v>8174</v>
      </c>
      <c r="B11" s="24"/>
      <c r="C11" s="24"/>
      <c r="D11" s="22" t="s">
        <v>8175</v>
      </c>
      <c r="E11" s="24"/>
      <c r="F11" s="22" t="s">
        <v>8136</v>
      </c>
      <c r="G11" s="24"/>
      <c r="H11" s="22">
        <v>9.459198067011E12</v>
      </c>
      <c r="I11" s="22" t="s">
        <v>89</v>
      </c>
      <c r="J11" s="24"/>
      <c r="K11" s="24"/>
      <c r="L11" s="24"/>
      <c r="M11" s="24"/>
      <c r="N11" s="22" t="s">
        <v>3820</v>
      </c>
      <c r="O11" s="22" t="s">
        <v>8176</v>
      </c>
      <c r="P11" s="22" t="s">
        <v>3820</v>
      </c>
      <c r="Q11" s="22" t="s">
        <v>8176</v>
      </c>
      <c r="R11" s="22" t="s">
        <v>8177</v>
      </c>
      <c r="S11" s="24"/>
      <c r="T11" s="40" t="s">
        <v>8178</v>
      </c>
      <c r="U11" s="22" t="s">
        <v>8179</v>
      </c>
      <c r="V11" s="24"/>
      <c r="W11" s="22" t="s">
        <v>8180</v>
      </c>
      <c r="X11" s="22" t="s">
        <v>8181</v>
      </c>
      <c r="Y11" s="24"/>
      <c r="Z11" s="24"/>
      <c r="AA11" s="22" t="s">
        <v>8129</v>
      </c>
      <c r="AB11" s="22" t="s">
        <v>8130</v>
      </c>
      <c r="AC11" s="25"/>
      <c r="AD11" s="25"/>
      <c r="AE11" s="22" t="s">
        <v>8132</v>
      </c>
      <c r="AF11" s="24"/>
      <c r="AG11" s="22">
        <v>1.0394851770691E13</v>
      </c>
      <c r="AH11" s="22" t="s">
        <v>8137</v>
      </c>
      <c r="AI11" s="22">
        <v>2.3328908902723E13</v>
      </c>
      <c r="AJ11" s="25"/>
      <c r="AK11" s="24"/>
      <c r="AL11" s="22" t="s">
        <v>8136</v>
      </c>
      <c r="AM11" s="22">
        <v>2.3412816380227E13</v>
      </c>
      <c r="AN11" s="25"/>
      <c r="AO11" s="25"/>
      <c r="AP11" s="22" t="s">
        <v>8133</v>
      </c>
      <c r="AQ11" s="30"/>
      <c r="AR11" s="30" t="b">
        <v>0</v>
      </c>
      <c r="AS11" s="30" t="b">
        <v>0</v>
      </c>
    </row>
    <row r="12">
      <c r="A12" s="21" t="s">
        <v>8174</v>
      </c>
      <c r="B12" s="22" t="s">
        <v>8140</v>
      </c>
      <c r="C12" s="22">
        <v>-1.0</v>
      </c>
      <c r="D12" s="22" t="s">
        <v>8175</v>
      </c>
      <c r="E12" s="22" t="s">
        <v>8140</v>
      </c>
      <c r="F12" s="22" t="s">
        <v>8121</v>
      </c>
      <c r="G12" s="22" t="s">
        <v>89</v>
      </c>
      <c r="H12" s="22">
        <v>3.2601231622467E13</v>
      </c>
      <c r="I12" s="22" t="s">
        <v>89</v>
      </c>
      <c r="J12" s="24"/>
      <c r="K12" s="22">
        <v>4.2085703581939E13</v>
      </c>
      <c r="L12" s="22" t="s">
        <v>8182</v>
      </c>
      <c r="M12" s="35" t="s">
        <v>8183</v>
      </c>
      <c r="N12" s="22" t="s">
        <v>3820</v>
      </c>
      <c r="O12" s="22" t="s">
        <v>8176</v>
      </c>
      <c r="P12" s="22" t="s">
        <v>3820</v>
      </c>
      <c r="Q12" s="22" t="s">
        <v>8176</v>
      </c>
      <c r="R12" s="22" t="s">
        <v>8177</v>
      </c>
      <c r="S12" s="24"/>
      <c r="T12" s="40" t="s">
        <v>8178</v>
      </c>
      <c r="U12" s="22" t="s">
        <v>8179</v>
      </c>
      <c r="V12" s="24"/>
      <c r="W12" s="22" t="s">
        <v>8180</v>
      </c>
      <c r="X12" s="22" t="s">
        <v>8181</v>
      </c>
      <c r="Y12" s="24"/>
      <c r="Z12" s="24"/>
      <c r="AA12" s="22" t="s">
        <v>8129</v>
      </c>
      <c r="AB12" s="22" t="s">
        <v>8130</v>
      </c>
      <c r="AC12" s="25"/>
      <c r="AD12" s="22" t="s">
        <v>8131</v>
      </c>
      <c r="AE12" s="22" t="s">
        <v>8132</v>
      </c>
      <c r="AF12" s="24"/>
      <c r="AG12" s="22">
        <v>1.0394851770691E13</v>
      </c>
      <c r="AH12" s="22" t="s">
        <v>8184</v>
      </c>
      <c r="AI12" s="22">
        <v>2.3328908902723E13</v>
      </c>
      <c r="AJ12" s="25"/>
      <c r="AK12" s="22">
        <v>6.714601046339E12</v>
      </c>
      <c r="AL12" s="22" t="s">
        <v>8134</v>
      </c>
      <c r="AM12" s="22">
        <v>2.3412816380227E13</v>
      </c>
      <c r="AN12" s="25"/>
      <c r="AO12" s="25"/>
      <c r="AP12" s="22" t="s">
        <v>8136</v>
      </c>
      <c r="AQ12" s="30" t="s">
        <v>8150</v>
      </c>
      <c r="AR12" s="30" t="b">
        <v>0</v>
      </c>
      <c r="AS12" s="30" t="b">
        <v>0</v>
      </c>
    </row>
    <row r="13">
      <c r="A13" s="21" t="s">
        <v>8185</v>
      </c>
      <c r="B13" s="22" t="s">
        <v>8119</v>
      </c>
      <c r="C13" s="22">
        <v>1.0</v>
      </c>
      <c r="D13" s="22" t="s">
        <v>8186</v>
      </c>
      <c r="E13" s="22" t="s">
        <v>8119</v>
      </c>
      <c r="F13" s="22" t="s">
        <v>8121</v>
      </c>
      <c r="G13" s="24"/>
      <c r="H13" s="22">
        <v>3.2608812958019E13</v>
      </c>
      <c r="I13" s="24"/>
      <c r="J13" s="24"/>
      <c r="K13" s="22">
        <v>4.2085703549171E13</v>
      </c>
      <c r="L13" s="24"/>
      <c r="M13" s="24"/>
      <c r="N13" s="22" t="s">
        <v>8187</v>
      </c>
      <c r="O13" s="22" t="s">
        <v>8188</v>
      </c>
      <c r="P13" s="22" t="s">
        <v>8187</v>
      </c>
      <c r="Q13" s="22" t="s">
        <v>8188</v>
      </c>
      <c r="R13" s="22" t="s">
        <v>8189</v>
      </c>
      <c r="S13" s="24"/>
      <c r="T13" s="40" t="s">
        <v>8190</v>
      </c>
      <c r="U13" s="22" t="s">
        <v>8191</v>
      </c>
      <c r="V13" s="24"/>
      <c r="W13" s="22" t="s">
        <v>8192</v>
      </c>
      <c r="X13" s="22" t="s">
        <v>8193</v>
      </c>
      <c r="Y13" s="24"/>
      <c r="Z13" s="24"/>
      <c r="AA13" s="22" t="s">
        <v>8129</v>
      </c>
      <c r="AB13" s="22" t="s">
        <v>8130</v>
      </c>
      <c r="AC13" s="25"/>
      <c r="AD13" s="22" t="s">
        <v>8131</v>
      </c>
      <c r="AE13" s="22" t="s">
        <v>8132</v>
      </c>
      <c r="AF13" s="24"/>
      <c r="AG13" s="22">
        <v>1.0398641389891E13</v>
      </c>
      <c r="AH13" s="22" t="s">
        <v>90</v>
      </c>
      <c r="AI13" s="22">
        <v>2.3333187944771E13</v>
      </c>
      <c r="AJ13" s="25"/>
      <c r="AK13" s="24"/>
      <c r="AL13" s="22" t="s">
        <v>8133</v>
      </c>
      <c r="AM13" s="22">
        <v>8.670698209603E12</v>
      </c>
      <c r="AN13" s="25"/>
      <c r="AO13" s="25"/>
      <c r="AP13" s="22" t="s">
        <v>8133</v>
      </c>
      <c r="AQ13" s="30" t="s">
        <v>8135</v>
      </c>
      <c r="AR13" s="30" t="b">
        <v>0</v>
      </c>
      <c r="AS13" s="30" t="b">
        <v>0</v>
      </c>
    </row>
    <row r="14">
      <c r="A14" s="21" t="s">
        <v>8185</v>
      </c>
      <c r="B14" s="24"/>
      <c r="C14" s="24"/>
      <c r="D14" s="22" t="s">
        <v>8186</v>
      </c>
      <c r="E14" s="24"/>
      <c r="F14" s="22" t="s">
        <v>8136</v>
      </c>
      <c r="G14" s="24"/>
      <c r="H14" s="22">
        <v>9.462259843395E12</v>
      </c>
      <c r="I14" s="24"/>
      <c r="J14" s="24"/>
      <c r="K14" s="24"/>
      <c r="L14" s="24"/>
      <c r="M14" s="24"/>
      <c r="N14" s="22" t="s">
        <v>8187</v>
      </c>
      <c r="O14" s="22" t="s">
        <v>8188</v>
      </c>
      <c r="P14" s="22" t="s">
        <v>8187</v>
      </c>
      <c r="Q14" s="22" t="s">
        <v>8188</v>
      </c>
      <c r="R14" s="22" t="s">
        <v>8189</v>
      </c>
      <c r="S14" s="24"/>
      <c r="T14" s="40" t="s">
        <v>8190</v>
      </c>
      <c r="U14" s="22" t="s">
        <v>8191</v>
      </c>
      <c r="V14" s="24"/>
      <c r="W14" s="22" t="s">
        <v>8192</v>
      </c>
      <c r="X14" s="22" t="s">
        <v>8193</v>
      </c>
      <c r="Y14" s="24"/>
      <c r="Z14" s="24"/>
      <c r="AA14" s="22" t="s">
        <v>8129</v>
      </c>
      <c r="AB14" s="22" t="s">
        <v>8130</v>
      </c>
      <c r="AC14" s="25"/>
      <c r="AD14" s="24"/>
      <c r="AE14" s="22" t="s">
        <v>8132</v>
      </c>
      <c r="AF14" s="24"/>
      <c r="AG14" s="22">
        <v>1.0398641389891E13</v>
      </c>
      <c r="AH14" s="22" t="s">
        <v>8137</v>
      </c>
      <c r="AI14" s="22">
        <v>2.3333187944771E13</v>
      </c>
      <c r="AJ14" s="25"/>
      <c r="AK14" s="24"/>
      <c r="AL14" s="22" t="s">
        <v>8136</v>
      </c>
      <c r="AM14" s="22">
        <v>8.670698209603E12</v>
      </c>
      <c r="AN14" s="25"/>
      <c r="AO14" s="25"/>
      <c r="AP14" s="22" t="s">
        <v>8136</v>
      </c>
      <c r="AQ14" s="30"/>
      <c r="AR14" s="30" t="b">
        <v>0</v>
      </c>
      <c r="AS14" s="30" t="b">
        <v>0</v>
      </c>
    </row>
    <row r="15">
      <c r="A15" s="21" t="s">
        <v>8194</v>
      </c>
      <c r="B15" s="22" t="s">
        <v>8140</v>
      </c>
      <c r="C15" s="22">
        <v>1.0</v>
      </c>
      <c r="D15" s="22" t="s">
        <v>8195</v>
      </c>
      <c r="E15" s="22" t="s">
        <v>8140</v>
      </c>
      <c r="F15" s="22" t="s">
        <v>8121</v>
      </c>
      <c r="G15" s="24"/>
      <c r="H15" s="22">
        <v>3.2610321924419E13</v>
      </c>
      <c r="I15" s="24"/>
      <c r="J15" s="24"/>
      <c r="K15" s="22">
        <v>4.2085703581939E13</v>
      </c>
      <c r="L15" s="24"/>
      <c r="M15" s="24"/>
      <c r="N15" s="22" t="s">
        <v>3752</v>
      </c>
      <c r="O15" s="22" t="s">
        <v>5929</v>
      </c>
      <c r="P15" s="22" t="s">
        <v>3752</v>
      </c>
      <c r="Q15" s="22" t="s">
        <v>5929</v>
      </c>
      <c r="R15" s="22" t="s">
        <v>8196</v>
      </c>
      <c r="S15" s="24"/>
      <c r="T15" s="40" t="s">
        <v>8197</v>
      </c>
      <c r="U15" s="22" t="s">
        <v>8198</v>
      </c>
      <c r="V15" s="24"/>
      <c r="W15" s="22" t="s">
        <v>8199</v>
      </c>
      <c r="X15" s="22" t="s">
        <v>8200</v>
      </c>
      <c r="Y15" s="24"/>
      <c r="Z15" s="24"/>
      <c r="AA15" s="22" t="s">
        <v>8129</v>
      </c>
      <c r="AB15" s="22" t="s">
        <v>8130</v>
      </c>
      <c r="AC15" s="25"/>
      <c r="AD15" s="22" t="s">
        <v>8131</v>
      </c>
      <c r="AE15" s="22" t="s">
        <v>8132</v>
      </c>
      <c r="AF15" s="24"/>
      <c r="AG15" s="22">
        <v>1.0399358845251E13</v>
      </c>
      <c r="AH15" s="22" t="s">
        <v>90</v>
      </c>
      <c r="AI15" s="22">
        <v>2.3333969035587E13</v>
      </c>
      <c r="AJ15" s="25"/>
      <c r="AK15" s="24"/>
      <c r="AL15" s="22" t="s">
        <v>8134</v>
      </c>
      <c r="AM15" s="22">
        <v>2.3412310933827E13</v>
      </c>
      <c r="AN15" s="25"/>
      <c r="AO15" s="25"/>
      <c r="AP15" s="22" t="s">
        <v>8201</v>
      </c>
      <c r="AQ15" s="30" t="s">
        <v>8150</v>
      </c>
      <c r="AR15" s="30" t="b">
        <v>0</v>
      </c>
      <c r="AS15" s="30" t="b">
        <v>0</v>
      </c>
    </row>
    <row r="16">
      <c r="A16" s="21" t="s">
        <v>8194</v>
      </c>
      <c r="B16" s="24"/>
      <c r="C16" s="24"/>
      <c r="D16" s="22" t="s">
        <v>8195</v>
      </c>
      <c r="E16" s="24"/>
      <c r="F16" s="22" t="s">
        <v>8136</v>
      </c>
      <c r="G16" s="24"/>
      <c r="H16" s="22">
        <v>9.462889316675E12</v>
      </c>
      <c r="I16" s="24"/>
      <c r="J16" s="24"/>
      <c r="K16" s="24"/>
      <c r="L16" s="24"/>
      <c r="M16" s="24"/>
      <c r="N16" s="22" t="s">
        <v>3752</v>
      </c>
      <c r="O16" s="22" t="s">
        <v>5929</v>
      </c>
      <c r="P16" s="22" t="s">
        <v>3752</v>
      </c>
      <c r="Q16" s="22" t="s">
        <v>5929</v>
      </c>
      <c r="R16" s="22" t="s">
        <v>8196</v>
      </c>
      <c r="S16" s="24"/>
      <c r="T16" s="40" t="s">
        <v>8197</v>
      </c>
      <c r="U16" s="22" t="s">
        <v>8198</v>
      </c>
      <c r="V16" s="24"/>
      <c r="W16" s="22" t="s">
        <v>8199</v>
      </c>
      <c r="X16" s="22" t="s">
        <v>8200</v>
      </c>
      <c r="Y16" s="24"/>
      <c r="Z16" s="24"/>
      <c r="AA16" s="22" t="s">
        <v>8129</v>
      </c>
      <c r="AB16" s="22" t="s">
        <v>8130</v>
      </c>
      <c r="AC16" s="25"/>
      <c r="AD16" s="24"/>
      <c r="AE16" s="22" t="s">
        <v>8132</v>
      </c>
      <c r="AF16" s="24"/>
      <c r="AG16" s="22">
        <v>1.0399358845251E13</v>
      </c>
      <c r="AH16" s="22" t="s">
        <v>8137</v>
      </c>
      <c r="AI16" s="22">
        <v>2.3333969035587E13</v>
      </c>
      <c r="AJ16" s="25"/>
      <c r="AK16" s="24"/>
      <c r="AL16" s="22" t="s">
        <v>8136</v>
      </c>
      <c r="AM16" s="22">
        <v>2.3412310933827E13</v>
      </c>
      <c r="AN16" s="25"/>
      <c r="AO16" s="25"/>
      <c r="AP16" s="22" t="s">
        <v>8149</v>
      </c>
      <c r="AQ16" s="30"/>
      <c r="AR16" s="30" t="b">
        <v>0</v>
      </c>
      <c r="AS16" s="30" t="b">
        <v>0</v>
      </c>
    </row>
    <row r="17">
      <c r="A17" s="21" t="s">
        <v>8202</v>
      </c>
      <c r="B17" s="22" t="s">
        <v>8140</v>
      </c>
      <c r="C17" s="22">
        <v>1.0</v>
      </c>
      <c r="D17" s="22" t="s">
        <v>8203</v>
      </c>
      <c r="E17" s="22" t="s">
        <v>8140</v>
      </c>
      <c r="F17" s="22" t="s">
        <v>8121</v>
      </c>
      <c r="G17" s="24"/>
      <c r="H17" s="22">
        <v>3.2601791365443E13</v>
      </c>
      <c r="I17" s="24"/>
      <c r="J17" s="24"/>
      <c r="K17" s="22">
        <v>4.2085703581939E13</v>
      </c>
      <c r="L17" s="24"/>
      <c r="M17" s="24"/>
      <c r="N17" s="22" t="s">
        <v>8204</v>
      </c>
      <c r="O17" s="22" t="s">
        <v>8205</v>
      </c>
      <c r="P17" s="22" t="s">
        <v>8204</v>
      </c>
      <c r="Q17" s="22" t="s">
        <v>8205</v>
      </c>
      <c r="R17" s="22" t="s">
        <v>8206</v>
      </c>
      <c r="S17" s="24"/>
      <c r="T17" s="40" t="s">
        <v>8207</v>
      </c>
      <c r="U17" s="22" t="s">
        <v>8208</v>
      </c>
      <c r="V17" s="24"/>
      <c r="W17" s="22" t="s">
        <v>8209</v>
      </c>
      <c r="X17" s="22" t="s">
        <v>8128</v>
      </c>
      <c r="Y17" s="24"/>
      <c r="Z17" s="24"/>
      <c r="AA17" s="22" t="s">
        <v>8129</v>
      </c>
      <c r="AB17" s="22" t="s">
        <v>8130</v>
      </c>
      <c r="AC17" s="25"/>
      <c r="AD17" s="22" t="s">
        <v>8131</v>
      </c>
      <c r="AE17" s="22" t="s">
        <v>8132</v>
      </c>
      <c r="AF17" s="24"/>
      <c r="AG17" s="22">
        <v>1.0395124531523E13</v>
      </c>
      <c r="AH17" s="22" t="s">
        <v>90</v>
      </c>
      <c r="AI17" s="22">
        <v>2.3329239073091E13</v>
      </c>
      <c r="AJ17" s="25"/>
      <c r="AK17" s="24"/>
      <c r="AL17" s="22" t="s">
        <v>8134</v>
      </c>
      <c r="AM17" s="22">
        <v>2.3412270137667E13</v>
      </c>
      <c r="AN17" s="25"/>
      <c r="AO17" s="25"/>
      <c r="AP17" s="22" t="s">
        <v>8162</v>
      </c>
      <c r="AQ17" s="30" t="s">
        <v>8150</v>
      </c>
      <c r="AR17" s="30" t="b">
        <v>0</v>
      </c>
      <c r="AS17" s="30" t="b">
        <v>0</v>
      </c>
    </row>
    <row r="18">
      <c r="A18" s="21" t="s">
        <v>8202</v>
      </c>
      <c r="B18" s="24"/>
      <c r="C18" s="24"/>
      <c r="D18" s="22" t="s">
        <v>8203</v>
      </c>
      <c r="E18" s="24"/>
      <c r="F18" s="22" t="s">
        <v>8136</v>
      </c>
      <c r="G18" s="24"/>
      <c r="H18" s="22">
        <v>9.459445629251E12</v>
      </c>
      <c r="I18" s="24"/>
      <c r="J18" s="24"/>
      <c r="K18" s="24"/>
      <c r="L18" s="24"/>
      <c r="M18" s="24"/>
      <c r="N18" s="22" t="s">
        <v>8204</v>
      </c>
      <c r="O18" s="22" t="s">
        <v>8205</v>
      </c>
      <c r="P18" s="22" t="s">
        <v>8204</v>
      </c>
      <c r="Q18" s="22" t="s">
        <v>8205</v>
      </c>
      <c r="R18" s="22" t="s">
        <v>8206</v>
      </c>
      <c r="S18" s="24"/>
      <c r="T18" s="40" t="s">
        <v>8207</v>
      </c>
      <c r="U18" s="22" t="s">
        <v>8208</v>
      </c>
      <c r="V18" s="24"/>
      <c r="W18" s="22" t="s">
        <v>8209</v>
      </c>
      <c r="X18" s="22" t="s">
        <v>8128</v>
      </c>
      <c r="Y18" s="24"/>
      <c r="Z18" s="24"/>
      <c r="AA18" s="22" t="s">
        <v>8129</v>
      </c>
      <c r="AB18" s="22" t="s">
        <v>8130</v>
      </c>
      <c r="AC18" s="25"/>
      <c r="AD18" s="24"/>
      <c r="AE18" s="22" t="s">
        <v>8132</v>
      </c>
      <c r="AF18" s="24"/>
      <c r="AG18" s="22">
        <v>1.0395124531523E13</v>
      </c>
      <c r="AH18" s="22" t="s">
        <v>8137</v>
      </c>
      <c r="AI18" s="22">
        <v>2.3329239073091E13</v>
      </c>
      <c r="AJ18" s="25"/>
      <c r="AK18" s="24"/>
      <c r="AL18" s="22" t="s">
        <v>8136</v>
      </c>
      <c r="AM18" s="22">
        <v>2.3412270137667E13</v>
      </c>
      <c r="AN18" s="25"/>
      <c r="AO18" s="25"/>
      <c r="AP18" s="22" t="s">
        <v>8149</v>
      </c>
      <c r="AQ18" s="30"/>
      <c r="AR18" s="30" t="b">
        <v>0</v>
      </c>
      <c r="AS18" s="30" t="b">
        <v>0</v>
      </c>
    </row>
    <row r="19">
      <c r="A19" s="21" t="s">
        <v>8210</v>
      </c>
      <c r="B19" s="22" t="s">
        <v>8211</v>
      </c>
      <c r="C19" s="22">
        <v>1.0</v>
      </c>
      <c r="D19" s="22" t="s">
        <v>8212</v>
      </c>
      <c r="E19" s="22" t="s">
        <v>8211</v>
      </c>
      <c r="F19" s="22" t="s">
        <v>8155</v>
      </c>
      <c r="G19" s="24"/>
      <c r="H19" s="22">
        <v>3.2608127516995E13</v>
      </c>
      <c r="I19" s="24"/>
      <c r="J19" s="24"/>
      <c r="K19" s="22">
        <v>4.7338059727171E13</v>
      </c>
      <c r="L19" s="24"/>
      <c r="M19" s="24"/>
      <c r="N19" s="22" t="s">
        <v>8213</v>
      </c>
      <c r="O19" s="22" t="s">
        <v>8214</v>
      </c>
      <c r="P19" s="22" t="s">
        <v>8213</v>
      </c>
      <c r="Q19" s="22" t="s">
        <v>8214</v>
      </c>
      <c r="R19" s="22" t="s">
        <v>8215</v>
      </c>
      <c r="S19" s="24"/>
      <c r="T19" s="40" t="s">
        <v>8216</v>
      </c>
      <c r="U19" s="22" t="s">
        <v>8217</v>
      </c>
      <c r="V19" s="24"/>
      <c r="W19" s="22" t="s">
        <v>8218</v>
      </c>
      <c r="X19" s="22" t="s">
        <v>8219</v>
      </c>
      <c r="Y19" s="24"/>
      <c r="Z19" s="24"/>
      <c r="AA19" s="22" t="s">
        <v>8129</v>
      </c>
      <c r="AB19" s="22" t="s">
        <v>8130</v>
      </c>
      <c r="AC19" s="25"/>
      <c r="AD19" s="22" t="s">
        <v>8161</v>
      </c>
      <c r="AE19" s="22" t="s">
        <v>8132</v>
      </c>
      <c r="AF19" s="24"/>
      <c r="AG19" s="22">
        <v>1.0398297882947E13</v>
      </c>
      <c r="AH19" s="22" t="s">
        <v>90</v>
      </c>
      <c r="AI19" s="22">
        <v>2.3332764877123E13</v>
      </c>
      <c r="AJ19" s="25"/>
      <c r="AK19" s="24"/>
      <c r="AL19" s="22" t="s">
        <v>8151</v>
      </c>
      <c r="AM19" s="22">
        <v>8.596559692099E12</v>
      </c>
      <c r="AN19" s="25"/>
      <c r="AO19" s="25"/>
      <c r="AP19" s="22" t="s">
        <v>8134</v>
      </c>
      <c r="AQ19" s="30" t="s">
        <v>54</v>
      </c>
      <c r="AR19" s="30" t="b">
        <v>0</v>
      </c>
      <c r="AS19" s="30" t="b">
        <v>0</v>
      </c>
    </row>
    <row r="20">
      <c r="A20" s="21" t="s">
        <v>8210</v>
      </c>
      <c r="B20" s="24"/>
      <c r="C20" s="24"/>
      <c r="D20" s="22" t="s">
        <v>8212</v>
      </c>
      <c r="E20" s="24"/>
      <c r="F20" s="22" t="s">
        <v>8149</v>
      </c>
      <c r="G20" s="24"/>
      <c r="H20" s="22">
        <v>9.461958574403E12</v>
      </c>
      <c r="I20" s="24"/>
      <c r="J20" s="24"/>
      <c r="K20" s="24"/>
      <c r="L20" s="24"/>
      <c r="M20" s="24"/>
      <c r="N20" s="22" t="s">
        <v>8213</v>
      </c>
      <c r="O20" s="22" t="s">
        <v>8214</v>
      </c>
      <c r="P20" s="22" t="s">
        <v>8213</v>
      </c>
      <c r="Q20" s="22" t="s">
        <v>8214</v>
      </c>
      <c r="R20" s="22" t="s">
        <v>8215</v>
      </c>
      <c r="S20" s="24"/>
      <c r="T20" s="40" t="s">
        <v>8216</v>
      </c>
      <c r="U20" s="22" t="s">
        <v>8217</v>
      </c>
      <c r="V20" s="24"/>
      <c r="W20" s="22" t="s">
        <v>8218</v>
      </c>
      <c r="X20" s="22" t="s">
        <v>8219</v>
      </c>
      <c r="Y20" s="24"/>
      <c r="Z20" s="24"/>
      <c r="AA20" s="22" t="s">
        <v>8129</v>
      </c>
      <c r="AB20" s="22" t="s">
        <v>8130</v>
      </c>
      <c r="AC20" s="25"/>
      <c r="AD20" s="24"/>
      <c r="AE20" s="22" t="s">
        <v>8132</v>
      </c>
      <c r="AF20" s="24"/>
      <c r="AG20" s="22">
        <v>1.0398297882947E13</v>
      </c>
      <c r="AH20" s="22" t="s">
        <v>8137</v>
      </c>
      <c r="AI20" s="22">
        <v>2.3332764877123E13</v>
      </c>
      <c r="AJ20" s="25"/>
      <c r="AK20" s="24"/>
      <c r="AL20" s="22" t="s">
        <v>8149</v>
      </c>
      <c r="AM20" s="22">
        <v>8.596559692099E12</v>
      </c>
      <c r="AN20" s="25"/>
      <c r="AO20" s="25"/>
      <c r="AP20" s="22" t="s">
        <v>8136</v>
      </c>
      <c r="AQ20" s="30"/>
      <c r="AR20" s="30" t="b">
        <v>0</v>
      </c>
      <c r="AS20" s="30" t="b">
        <v>0</v>
      </c>
    </row>
    <row r="21">
      <c r="A21" s="21" t="s">
        <v>8220</v>
      </c>
      <c r="B21" s="22" t="s">
        <v>8140</v>
      </c>
      <c r="C21" s="22">
        <v>1.0</v>
      </c>
      <c r="D21" s="22" t="s">
        <v>8221</v>
      </c>
      <c r="E21" s="22" t="s">
        <v>8140</v>
      </c>
      <c r="F21" s="22" t="s">
        <v>8121</v>
      </c>
      <c r="G21" s="24"/>
      <c r="H21" s="22">
        <v>3.2616246346051E13</v>
      </c>
      <c r="I21" s="24"/>
      <c r="J21" s="24"/>
      <c r="K21" s="22">
        <v>4.2085703581939E13</v>
      </c>
      <c r="L21" s="24"/>
      <c r="M21" s="24"/>
      <c r="N21" s="22" t="s">
        <v>7992</v>
      </c>
      <c r="O21" s="22" t="s">
        <v>8222</v>
      </c>
      <c r="P21" s="22" t="s">
        <v>7992</v>
      </c>
      <c r="Q21" s="22" t="s">
        <v>8222</v>
      </c>
      <c r="R21" s="22" t="s">
        <v>8223</v>
      </c>
      <c r="S21" s="24"/>
      <c r="T21" s="40" t="s">
        <v>8224</v>
      </c>
      <c r="U21" s="22" t="s">
        <v>8225</v>
      </c>
      <c r="V21" s="24"/>
      <c r="W21" s="22" t="s">
        <v>8226</v>
      </c>
      <c r="X21" s="22" t="s">
        <v>8227</v>
      </c>
      <c r="Y21" s="24"/>
      <c r="Z21" s="24"/>
      <c r="AA21" s="22" t="s">
        <v>8129</v>
      </c>
      <c r="AB21" s="22" t="s">
        <v>8130</v>
      </c>
      <c r="AC21" s="25"/>
      <c r="AD21" s="22" t="s">
        <v>8131</v>
      </c>
      <c r="AE21" s="22" t="s">
        <v>8132</v>
      </c>
      <c r="AF21" s="24"/>
      <c r="AG21" s="22">
        <v>1.0402308325699E13</v>
      </c>
      <c r="AH21" s="22" t="s">
        <v>90</v>
      </c>
      <c r="AI21" s="22">
        <v>2.3337615229251E13</v>
      </c>
      <c r="AJ21" s="25"/>
      <c r="AK21" s="24"/>
      <c r="AL21" s="22" t="s">
        <v>8134</v>
      </c>
      <c r="AM21" s="22">
        <v>2.3411361218883E13</v>
      </c>
      <c r="AN21" s="25"/>
      <c r="AO21" s="25"/>
      <c r="AP21" s="22" t="s">
        <v>8149</v>
      </c>
      <c r="AQ21" s="30" t="s">
        <v>8150</v>
      </c>
      <c r="AR21" s="30" t="b">
        <v>0</v>
      </c>
      <c r="AS21" s="30" t="b">
        <v>0</v>
      </c>
    </row>
    <row r="22">
      <c r="A22" s="21" t="s">
        <v>8220</v>
      </c>
      <c r="B22" s="24"/>
      <c r="C22" s="24"/>
      <c r="D22" s="22" t="s">
        <v>8221</v>
      </c>
      <c r="E22" s="24"/>
      <c r="F22" s="22" t="s">
        <v>8136</v>
      </c>
      <c r="G22" s="24"/>
      <c r="H22" s="22">
        <v>9.465377718595E12</v>
      </c>
      <c r="I22" s="24"/>
      <c r="J22" s="24"/>
      <c r="K22" s="24"/>
      <c r="L22" s="24"/>
      <c r="M22" s="24"/>
      <c r="N22" s="22" t="s">
        <v>7992</v>
      </c>
      <c r="O22" s="22" t="s">
        <v>8222</v>
      </c>
      <c r="P22" s="22" t="s">
        <v>7992</v>
      </c>
      <c r="Q22" s="22" t="s">
        <v>8222</v>
      </c>
      <c r="R22" s="22" t="s">
        <v>8223</v>
      </c>
      <c r="S22" s="24"/>
      <c r="T22" s="40" t="s">
        <v>8224</v>
      </c>
      <c r="U22" s="22" t="s">
        <v>8225</v>
      </c>
      <c r="V22" s="24"/>
      <c r="W22" s="22" t="s">
        <v>8226</v>
      </c>
      <c r="X22" s="22" t="s">
        <v>8227</v>
      </c>
      <c r="Y22" s="24"/>
      <c r="Z22" s="24"/>
      <c r="AA22" s="22" t="s">
        <v>8129</v>
      </c>
      <c r="AB22" s="22" t="s">
        <v>8130</v>
      </c>
      <c r="AC22" s="25"/>
      <c r="AD22" s="25"/>
      <c r="AE22" s="22" t="s">
        <v>8132</v>
      </c>
      <c r="AF22" s="24"/>
      <c r="AG22" s="22">
        <v>1.0402308325699E13</v>
      </c>
      <c r="AH22" s="22" t="s">
        <v>8137</v>
      </c>
      <c r="AI22" s="22">
        <v>2.3337615229251E13</v>
      </c>
      <c r="AJ22" s="25"/>
      <c r="AK22" s="24"/>
      <c r="AL22" s="22" t="s">
        <v>8136</v>
      </c>
      <c r="AM22" s="22">
        <v>2.3411262062915E13</v>
      </c>
      <c r="AN22" s="25"/>
      <c r="AO22" s="25"/>
      <c r="AP22" s="22" t="s">
        <v>8136</v>
      </c>
      <c r="AQ22" s="30"/>
      <c r="AR22" s="30" t="b">
        <v>0</v>
      </c>
      <c r="AS22" s="30" t="b">
        <v>0</v>
      </c>
    </row>
    <row r="23">
      <c r="A23" s="21" t="s">
        <v>8228</v>
      </c>
      <c r="B23" s="22" t="s">
        <v>8119</v>
      </c>
      <c r="C23" s="22">
        <v>1.0</v>
      </c>
      <c r="D23" s="22" t="s">
        <v>8229</v>
      </c>
      <c r="E23" s="22" t="s">
        <v>8119</v>
      </c>
      <c r="F23" s="22" t="s">
        <v>8121</v>
      </c>
      <c r="G23" s="24"/>
      <c r="H23" s="22">
        <v>3.2630636085571E13</v>
      </c>
      <c r="I23" s="24"/>
      <c r="J23" s="24"/>
      <c r="K23" s="22">
        <v>4.2085703549171E13</v>
      </c>
      <c r="L23" s="24"/>
      <c r="M23" s="24"/>
      <c r="N23" s="22" t="s">
        <v>3725</v>
      </c>
      <c r="O23" s="22" t="s">
        <v>8230</v>
      </c>
      <c r="P23" s="22" t="s">
        <v>3725</v>
      </c>
      <c r="Q23" s="22" t="s">
        <v>8230</v>
      </c>
      <c r="R23" s="22" t="s">
        <v>8231</v>
      </c>
      <c r="S23" s="24"/>
      <c r="T23" s="40" t="s">
        <v>8232</v>
      </c>
      <c r="U23" s="22" t="s">
        <v>8233</v>
      </c>
      <c r="V23" s="24"/>
      <c r="W23" s="22" t="s">
        <v>8234</v>
      </c>
      <c r="X23" s="22" t="s">
        <v>8128</v>
      </c>
      <c r="Y23" s="24"/>
      <c r="Z23" s="24"/>
      <c r="AA23" s="22" t="s">
        <v>8129</v>
      </c>
      <c r="AB23" s="22" t="s">
        <v>8130</v>
      </c>
      <c r="AC23" s="25"/>
      <c r="AD23" s="22" t="s">
        <v>8131</v>
      </c>
      <c r="AE23" s="22" t="s">
        <v>8132</v>
      </c>
      <c r="AF23" s="24"/>
      <c r="AG23" s="22">
        <v>1.0407283687747E13</v>
      </c>
      <c r="AH23" s="22" t="s">
        <v>90</v>
      </c>
      <c r="AI23" s="22">
        <v>2.3343044788547E13</v>
      </c>
      <c r="AJ23" s="25"/>
      <c r="AK23" s="24"/>
      <c r="AL23" s="22" t="s">
        <v>8133</v>
      </c>
      <c r="AM23" s="22">
        <v>2.3411141378371E13</v>
      </c>
      <c r="AN23" s="25"/>
      <c r="AO23" s="25"/>
      <c r="AP23" s="22" t="s">
        <v>8133</v>
      </c>
      <c r="AQ23" s="30" t="s">
        <v>8135</v>
      </c>
      <c r="AR23" s="30" t="b">
        <v>0</v>
      </c>
      <c r="AS23" s="30" t="b">
        <v>0</v>
      </c>
    </row>
    <row r="24">
      <c r="A24" s="21" t="s">
        <v>8228</v>
      </c>
      <c r="B24" s="24"/>
      <c r="C24" s="24"/>
      <c r="D24" s="22" t="s">
        <v>8229</v>
      </c>
      <c r="E24" s="24"/>
      <c r="F24" s="22" t="s">
        <v>8136</v>
      </c>
      <c r="G24" s="24"/>
      <c r="H24" s="22">
        <v>9.469670981955E12</v>
      </c>
      <c r="I24" s="24"/>
      <c r="J24" s="24"/>
      <c r="K24" s="24"/>
      <c r="L24" s="24"/>
      <c r="M24" s="24"/>
      <c r="N24" s="22" t="s">
        <v>3725</v>
      </c>
      <c r="O24" s="22" t="s">
        <v>8230</v>
      </c>
      <c r="P24" s="22" t="s">
        <v>3725</v>
      </c>
      <c r="Q24" s="22" t="s">
        <v>8230</v>
      </c>
      <c r="R24" s="22" t="s">
        <v>8231</v>
      </c>
      <c r="S24" s="24"/>
      <c r="T24" s="40" t="s">
        <v>8232</v>
      </c>
      <c r="U24" s="22" t="s">
        <v>8233</v>
      </c>
      <c r="V24" s="24"/>
      <c r="W24" s="22" t="s">
        <v>8234</v>
      </c>
      <c r="X24" s="22" t="s">
        <v>8128</v>
      </c>
      <c r="Y24" s="24"/>
      <c r="Z24" s="24"/>
      <c r="AA24" s="22" t="s">
        <v>8129</v>
      </c>
      <c r="AB24" s="22" t="s">
        <v>8130</v>
      </c>
      <c r="AC24" s="25"/>
      <c r="AD24" s="25"/>
      <c r="AE24" s="22" t="s">
        <v>8132</v>
      </c>
      <c r="AF24" s="24"/>
      <c r="AG24" s="22">
        <v>1.0407283687747E13</v>
      </c>
      <c r="AH24" s="22" t="s">
        <v>8137</v>
      </c>
      <c r="AI24" s="22">
        <v>2.3343044788547E13</v>
      </c>
      <c r="AJ24" s="25"/>
      <c r="AK24" s="24"/>
      <c r="AL24" s="22" t="s">
        <v>8136</v>
      </c>
      <c r="AM24" s="22">
        <v>2.3411141378371E13</v>
      </c>
      <c r="AN24" s="25"/>
      <c r="AO24" s="25"/>
      <c r="AP24" s="22" t="s">
        <v>8136</v>
      </c>
      <c r="AQ24" s="30"/>
      <c r="AR24" s="30" t="b">
        <v>0</v>
      </c>
      <c r="AS24" s="30" t="b">
        <v>0</v>
      </c>
    </row>
    <row r="25">
      <c r="A25" s="21" t="s">
        <v>8235</v>
      </c>
      <c r="B25" s="22" t="s">
        <v>8140</v>
      </c>
      <c r="C25" s="22">
        <v>1.0</v>
      </c>
      <c r="D25" s="22" t="s">
        <v>8236</v>
      </c>
      <c r="E25" s="22" t="s">
        <v>8140</v>
      </c>
      <c r="F25" s="22" t="s">
        <v>8121</v>
      </c>
      <c r="G25" s="24"/>
      <c r="H25" s="22">
        <v>3.2631253139779E13</v>
      </c>
      <c r="I25" s="24"/>
      <c r="J25" s="24"/>
      <c r="K25" s="22">
        <v>4.2085703581939E13</v>
      </c>
      <c r="L25" s="24"/>
      <c r="M25" s="24"/>
      <c r="N25" s="22" t="s">
        <v>4334</v>
      </c>
      <c r="O25" s="22" t="s">
        <v>8237</v>
      </c>
      <c r="P25" s="22" t="s">
        <v>4334</v>
      </c>
      <c r="Q25" s="22" t="s">
        <v>8237</v>
      </c>
      <c r="R25" s="22" t="s">
        <v>8238</v>
      </c>
      <c r="S25" s="24"/>
      <c r="T25" s="40" t="s">
        <v>8239</v>
      </c>
      <c r="U25" s="22" t="s">
        <v>8240</v>
      </c>
      <c r="V25" s="24"/>
      <c r="W25" s="22" t="s">
        <v>8241</v>
      </c>
      <c r="X25" s="22" t="s">
        <v>8242</v>
      </c>
      <c r="Y25" s="24"/>
      <c r="Z25" s="24"/>
      <c r="AA25" s="22" t="s">
        <v>8129</v>
      </c>
      <c r="AB25" s="22" t="s">
        <v>8130</v>
      </c>
      <c r="AC25" s="25"/>
      <c r="AD25" s="22" t="s">
        <v>8131</v>
      </c>
      <c r="AE25" s="22" t="s">
        <v>8132</v>
      </c>
      <c r="AF25" s="24"/>
      <c r="AG25" s="22">
        <v>1.0407590068547E13</v>
      </c>
      <c r="AH25" s="22" t="s">
        <v>90</v>
      </c>
      <c r="AI25" s="22">
        <v>2.3343333114179E13</v>
      </c>
      <c r="AJ25" s="25"/>
      <c r="AK25" s="24"/>
      <c r="AL25" s="22" t="s">
        <v>8134</v>
      </c>
      <c r="AM25" s="22">
        <v>2.3412988444995E13</v>
      </c>
      <c r="AN25" s="25"/>
      <c r="AO25" s="25"/>
      <c r="AP25" s="22" t="s">
        <v>8243</v>
      </c>
      <c r="AQ25" s="30" t="s">
        <v>8150</v>
      </c>
      <c r="AR25" s="30" t="b">
        <v>0</v>
      </c>
      <c r="AS25" s="30" t="b">
        <v>0</v>
      </c>
    </row>
    <row r="26">
      <c r="A26" s="21" t="s">
        <v>8235</v>
      </c>
      <c r="B26" s="24"/>
      <c r="C26" s="24"/>
      <c r="D26" s="22" t="s">
        <v>8236</v>
      </c>
      <c r="E26" s="24"/>
      <c r="F26" s="22" t="s">
        <v>8136</v>
      </c>
      <c r="G26" s="24"/>
      <c r="H26" s="22">
        <v>9.469891576131E12</v>
      </c>
      <c r="I26" s="24"/>
      <c r="J26" s="24"/>
      <c r="K26" s="24"/>
      <c r="L26" s="24"/>
      <c r="M26" s="24"/>
      <c r="N26" s="22" t="s">
        <v>4334</v>
      </c>
      <c r="O26" s="22" t="s">
        <v>8237</v>
      </c>
      <c r="P26" s="22" t="s">
        <v>4334</v>
      </c>
      <c r="Q26" s="22" t="s">
        <v>8237</v>
      </c>
      <c r="R26" s="22" t="s">
        <v>8238</v>
      </c>
      <c r="S26" s="24"/>
      <c r="T26" s="40" t="s">
        <v>8239</v>
      </c>
      <c r="U26" s="22" t="s">
        <v>8240</v>
      </c>
      <c r="V26" s="24"/>
      <c r="W26" s="22" t="s">
        <v>8241</v>
      </c>
      <c r="X26" s="22" t="s">
        <v>8242</v>
      </c>
      <c r="Y26" s="24"/>
      <c r="Z26" s="24"/>
      <c r="AA26" s="22" t="s">
        <v>8129</v>
      </c>
      <c r="AB26" s="22" t="s">
        <v>8130</v>
      </c>
      <c r="AC26" s="25"/>
      <c r="AD26" s="24"/>
      <c r="AE26" s="22" t="s">
        <v>8132</v>
      </c>
      <c r="AF26" s="24"/>
      <c r="AG26" s="22">
        <v>1.0407590068547E13</v>
      </c>
      <c r="AH26" s="22" t="s">
        <v>8137</v>
      </c>
      <c r="AI26" s="22">
        <v>2.3343333114179E13</v>
      </c>
      <c r="AJ26" s="25"/>
      <c r="AK26" s="24"/>
      <c r="AL26" s="22" t="s">
        <v>8136</v>
      </c>
      <c r="AM26" s="22">
        <v>2.3409889739075E13</v>
      </c>
      <c r="AN26" s="25"/>
      <c r="AO26" s="25"/>
      <c r="AP26" s="22" t="s">
        <v>8133</v>
      </c>
      <c r="AQ26" s="30"/>
      <c r="AR26" s="30" t="b">
        <v>0</v>
      </c>
      <c r="AS26" s="30" t="b">
        <v>0</v>
      </c>
    </row>
    <row r="27">
      <c r="A27" s="21" t="s">
        <v>8244</v>
      </c>
      <c r="B27" s="22" t="s">
        <v>8140</v>
      </c>
      <c r="C27" s="22">
        <v>1.0</v>
      </c>
      <c r="D27" s="22" t="s">
        <v>8245</v>
      </c>
      <c r="E27" s="22" t="s">
        <v>8140</v>
      </c>
      <c r="F27" s="22" t="s">
        <v>8121</v>
      </c>
      <c r="G27" s="24"/>
      <c r="H27" s="22">
        <v>3.2631578362179E13</v>
      </c>
      <c r="I27" s="24"/>
      <c r="J27" s="24"/>
      <c r="K27" s="22">
        <v>4.2085703581939E13</v>
      </c>
      <c r="L27" s="24"/>
      <c r="M27" s="24"/>
      <c r="N27" s="22" t="s">
        <v>3802</v>
      </c>
      <c r="O27" s="22" t="s">
        <v>8246</v>
      </c>
      <c r="P27" s="22" t="s">
        <v>3802</v>
      </c>
      <c r="Q27" s="22" t="s">
        <v>8246</v>
      </c>
      <c r="R27" s="22" t="s">
        <v>8247</v>
      </c>
      <c r="S27" s="24"/>
      <c r="T27" s="40" t="s">
        <v>8248</v>
      </c>
      <c r="U27" s="22" t="s">
        <v>8249</v>
      </c>
      <c r="V27" s="24"/>
      <c r="W27" s="22" t="s">
        <v>8250</v>
      </c>
      <c r="X27" s="22" t="s">
        <v>8251</v>
      </c>
      <c r="Y27" s="24"/>
      <c r="Z27" s="24"/>
      <c r="AA27" s="22" t="s">
        <v>8129</v>
      </c>
      <c r="AB27" s="22" t="s">
        <v>8130</v>
      </c>
      <c r="AC27" s="25"/>
      <c r="AD27" s="22" t="s">
        <v>8131</v>
      </c>
      <c r="AE27" s="22" t="s">
        <v>8132</v>
      </c>
      <c r="AF27" s="24"/>
      <c r="AG27" s="22">
        <v>1.0407753351491E13</v>
      </c>
      <c r="AH27" s="22" t="s">
        <v>90</v>
      </c>
      <c r="AI27" s="22">
        <v>6.473148891379E12</v>
      </c>
      <c r="AJ27" s="25"/>
      <c r="AK27" s="24"/>
      <c r="AL27" s="22" t="s">
        <v>8134</v>
      </c>
      <c r="AM27" s="22">
        <v>2.3409889739075E13</v>
      </c>
      <c r="AN27" s="25"/>
      <c r="AO27" s="25"/>
      <c r="AP27" s="22" t="s">
        <v>8252</v>
      </c>
      <c r="AQ27" s="30" t="s">
        <v>8150</v>
      </c>
      <c r="AR27" s="30" t="b">
        <v>0</v>
      </c>
      <c r="AS27" s="30" t="b">
        <v>0</v>
      </c>
    </row>
    <row r="28">
      <c r="A28" s="21" t="s">
        <v>8244</v>
      </c>
      <c r="B28" s="24"/>
      <c r="C28" s="24"/>
      <c r="D28" s="22" t="s">
        <v>8245</v>
      </c>
      <c r="E28" s="24"/>
      <c r="F28" s="22" t="s">
        <v>8136</v>
      </c>
      <c r="G28" s="24"/>
      <c r="H28" s="22">
        <v>9.470008787267E12</v>
      </c>
      <c r="I28" s="24"/>
      <c r="J28" s="24"/>
      <c r="K28" s="24"/>
      <c r="L28" s="24"/>
      <c r="M28" s="24"/>
      <c r="N28" s="22" t="s">
        <v>3802</v>
      </c>
      <c r="O28" s="22" t="s">
        <v>8246</v>
      </c>
      <c r="P28" s="22" t="s">
        <v>3802</v>
      </c>
      <c r="Q28" s="22" t="s">
        <v>8246</v>
      </c>
      <c r="R28" s="22" t="s">
        <v>8247</v>
      </c>
      <c r="S28" s="24"/>
      <c r="T28" s="40" t="s">
        <v>8248</v>
      </c>
      <c r="U28" s="22" t="s">
        <v>8249</v>
      </c>
      <c r="V28" s="24"/>
      <c r="W28" s="22" t="s">
        <v>8250</v>
      </c>
      <c r="X28" s="22" t="s">
        <v>8251</v>
      </c>
      <c r="Y28" s="24"/>
      <c r="Z28" s="24"/>
      <c r="AA28" s="22" t="s">
        <v>8129</v>
      </c>
      <c r="AB28" s="22" t="s">
        <v>8130</v>
      </c>
      <c r="AC28" s="25"/>
      <c r="AD28" s="25"/>
      <c r="AE28" s="22" t="s">
        <v>8132</v>
      </c>
      <c r="AF28" s="24"/>
      <c r="AG28" s="22">
        <v>1.0407753351491E13</v>
      </c>
      <c r="AH28" s="22" t="s">
        <v>8137</v>
      </c>
      <c r="AI28" s="22">
        <v>6.473148891379E12</v>
      </c>
      <c r="AJ28" s="25"/>
      <c r="AK28" s="24"/>
      <c r="AL28" s="22" t="s">
        <v>8136</v>
      </c>
      <c r="AM28" s="22">
        <v>2.3409770561859E13</v>
      </c>
      <c r="AN28" s="25"/>
      <c r="AO28" s="25"/>
      <c r="AP28" s="22" t="s">
        <v>8136</v>
      </c>
      <c r="AQ28" s="30"/>
      <c r="AR28" s="30" t="b">
        <v>0</v>
      </c>
      <c r="AS28" s="30" t="b">
        <v>0</v>
      </c>
    </row>
    <row r="29">
      <c r="A29" s="21" t="s">
        <v>8253</v>
      </c>
      <c r="B29" s="22" t="s">
        <v>8140</v>
      </c>
      <c r="C29" s="22">
        <v>1.0</v>
      </c>
      <c r="D29" s="22" t="s">
        <v>8254</v>
      </c>
      <c r="E29" s="22" t="s">
        <v>8140</v>
      </c>
      <c r="F29" s="22" t="s">
        <v>8121</v>
      </c>
      <c r="G29" s="24"/>
      <c r="H29" s="22">
        <v>3.2603479605571E13</v>
      </c>
      <c r="I29" s="24"/>
      <c r="J29" s="24"/>
      <c r="K29" s="22">
        <v>4.2085703581939E13</v>
      </c>
      <c r="L29" s="24"/>
      <c r="M29" s="24"/>
      <c r="N29" s="22" t="s">
        <v>3962</v>
      </c>
      <c r="O29" s="22" t="s">
        <v>8255</v>
      </c>
      <c r="P29" s="22" t="s">
        <v>3962</v>
      </c>
      <c r="Q29" s="22" t="s">
        <v>8255</v>
      </c>
      <c r="R29" s="22" t="s">
        <v>8256</v>
      </c>
      <c r="S29" s="24"/>
      <c r="T29" s="40" t="s">
        <v>8257</v>
      </c>
      <c r="U29" s="22" t="s">
        <v>8258</v>
      </c>
      <c r="V29" s="24"/>
      <c r="W29" s="22" t="s">
        <v>8259</v>
      </c>
      <c r="X29" s="22" t="s">
        <v>8260</v>
      </c>
      <c r="Y29" s="24"/>
      <c r="Z29" s="24"/>
      <c r="AA29" s="22" t="s">
        <v>8129</v>
      </c>
      <c r="AB29" s="22" t="s">
        <v>8130</v>
      </c>
      <c r="AC29" s="25"/>
      <c r="AD29" s="22" t="s">
        <v>8131</v>
      </c>
      <c r="AE29" s="22" t="s">
        <v>8132</v>
      </c>
      <c r="AF29" s="24"/>
      <c r="AG29" s="22">
        <v>1.0395954938179E13</v>
      </c>
      <c r="AH29" s="22" t="s">
        <v>90</v>
      </c>
      <c r="AI29" s="22">
        <v>2.3330154152259E13</v>
      </c>
      <c r="AJ29" s="25"/>
      <c r="AK29" s="24"/>
      <c r="AL29" s="22" t="s">
        <v>8134</v>
      </c>
      <c r="AM29" s="22">
        <v>2.3409313677635E13</v>
      </c>
      <c r="AN29" s="25"/>
      <c r="AO29" s="25"/>
      <c r="AP29" s="22" t="s">
        <v>8133</v>
      </c>
      <c r="AQ29" s="30" t="s">
        <v>8150</v>
      </c>
      <c r="AR29" s="30" t="b">
        <v>0</v>
      </c>
      <c r="AS29" s="30" t="b">
        <v>0</v>
      </c>
    </row>
    <row r="30">
      <c r="A30" s="21" t="s">
        <v>8253</v>
      </c>
      <c r="B30" s="24"/>
      <c r="C30" s="24"/>
      <c r="D30" s="22" t="s">
        <v>8254</v>
      </c>
      <c r="E30" s="24"/>
      <c r="F30" s="22" t="s">
        <v>8136</v>
      </c>
      <c r="G30" s="24"/>
      <c r="H30" s="22">
        <v>9.460127433027E12</v>
      </c>
      <c r="I30" s="24"/>
      <c r="J30" s="24"/>
      <c r="K30" s="24"/>
      <c r="L30" s="24"/>
      <c r="M30" s="24"/>
      <c r="N30" s="22" t="s">
        <v>3962</v>
      </c>
      <c r="O30" s="22" t="s">
        <v>8255</v>
      </c>
      <c r="P30" s="22" t="s">
        <v>3962</v>
      </c>
      <c r="Q30" s="22" t="s">
        <v>8255</v>
      </c>
      <c r="R30" s="22" t="s">
        <v>8256</v>
      </c>
      <c r="S30" s="24"/>
      <c r="T30" s="40" t="s">
        <v>8257</v>
      </c>
      <c r="U30" s="22" t="s">
        <v>8258</v>
      </c>
      <c r="V30" s="24"/>
      <c r="W30" s="22" t="s">
        <v>8259</v>
      </c>
      <c r="X30" s="22" t="s">
        <v>8260</v>
      </c>
      <c r="Y30" s="24"/>
      <c r="Z30" s="24"/>
      <c r="AA30" s="22" t="s">
        <v>8129</v>
      </c>
      <c r="AB30" s="22" t="s">
        <v>8130</v>
      </c>
      <c r="AC30" s="25"/>
      <c r="AD30" s="25"/>
      <c r="AE30" s="22" t="s">
        <v>8132</v>
      </c>
      <c r="AF30" s="24"/>
      <c r="AG30" s="22">
        <v>1.0395954938179E13</v>
      </c>
      <c r="AH30" s="22" t="s">
        <v>8137</v>
      </c>
      <c r="AI30" s="22">
        <v>2.3330154152259E13</v>
      </c>
      <c r="AJ30" s="25"/>
      <c r="AK30" s="24"/>
      <c r="AL30" s="22" t="s">
        <v>8136</v>
      </c>
      <c r="AM30" s="22">
        <v>6.446403879155E12</v>
      </c>
      <c r="AN30" s="25"/>
      <c r="AO30" s="25"/>
      <c r="AP30" s="22" t="s">
        <v>8134</v>
      </c>
      <c r="AQ30" s="30"/>
      <c r="AR30" s="30" t="b">
        <v>0</v>
      </c>
      <c r="AS30" s="30" t="b">
        <v>0</v>
      </c>
    </row>
    <row r="31">
      <c r="A31" s="21" t="s">
        <v>8261</v>
      </c>
      <c r="B31" s="22" t="s">
        <v>8262</v>
      </c>
      <c r="C31" s="22">
        <v>1.0</v>
      </c>
      <c r="D31" s="22" t="s">
        <v>8221</v>
      </c>
      <c r="E31" s="22" t="s">
        <v>8262</v>
      </c>
      <c r="F31" s="22" t="s">
        <v>8155</v>
      </c>
      <c r="G31" s="24"/>
      <c r="H31" s="22">
        <v>3.2636326740291E13</v>
      </c>
      <c r="I31" s="24"/>
      <c r="J31" s="24"/>
      <c r="K31" s="22">
        <v>4.7338059792707E13</v>
      </c>
      <c r="L31" s="24"/>
      <c r="M31" s="24"/>
      <c r="N31" s="22" t="s">
        <v>3866</v>
      </c>
      <c r="O31" s="22" t="s">
        <v>3968</v>
      </c>
      <c r="P31" s="22" t="s">
        <v>3866</v>
      </c>
      <c r="Q31" s="22" t="s">
        <v>3968</v>
      </c>
      <c r="R31" s="22" t="s">
        <v>8263</v>
      </c>
      <c r="S31" s="24"/>
      <c r="T31" s="40" t="s">
        <v>8264</v>
      </c>
      <c r="U31" s="22" t="s">
        <v>8265</v>
      </c>
      <c r="V31" s="22" t="s">
        <v>8266</v>
      </c>
      <c r="W31" s="22" t="s">
        <v>8267</v>
      </c>
      <c r="X31" s="22" t="s">
        <v>8268</v>
      </c>
      <c r="Y31" s="24"/>
      <c r="Z31" s="24"/>
      <c r="AA31" s="22" t="s">
        <v>8129</v>
      </c>
      <c r="AB31" s="22" t="s">
        <v>8130</v>
      </c>
      <c r="AC31" s="25"/>
      <c r="AD31" s="22" t="s">
        <v>8161</v>
      </c>
      <c r="AE31" s="22" t="s">
        <v>8132</v>
      </c>
      <c r="AF31" s="24"/>
      <c r="AG31" s="22">
        <v>1.0410135781699E13</v>
      </c>
      <c r="AH31" s="22" t="s">
        <v>90</v>
      </c>
      <c r="AI31" s="22">
        <v>7.442303779139E12</v>
      </c>
      <c r="AJ31" s="25"/>
      <c r="AK31" s="24"/>
      <c r="AL31" s="22" t="s">
        <v>8269</v>
      </c>
      <c r="AM31" s="22">
        <v>6.446403879155E12</v>
      </c>
      <c r="AN31" s="25"/>
      <c r="AO31" s="25"/>
      <c r="AP31" s="22" t="s">
        <v>8136</v>
      </c>
      <c r="AQ31" s="30" t="s">
        <v>91</v>
      </c>
      <c r="AR31" s="30" t="b">
        <v>0</v>
      </c>
      <c r="AS31" s="30" t="b">
        <v>0</v>
      </c>
    </row>
    <row r="32">
      <c r="A32" s="21" t="s">
        <v>8261</v>
      </c>
      <c r="B32" s="24"/>
      <c r="C32" s="24"/>
      <c r="D32" s="22" t="s">
        <v>8221</v>
      </c>
      <c r="E32" s="24"/>
      <c r="F32" s="22" t="s">
        <v>8149</v>
      </c>
      <c r="G32" s="24"/>
      <c r="H32" s="22">
        <v>9.471928697155E12</v>
      </c>
      <c r="I32" s="24"/>
      <c r="J32" s="24"/>
      <c r="K32" s="24"/>
      <c r="L32" s="24"/>
      <c r="M32" s="24"/>
      <c r="N32" s="22" t="s">
        <v>3866</v>
      </c>
      <c r="O32" s="22" t="s">
        <v>3968</v>
      </c>
      <c r="P32" s="22" t="s">
        <v>3866</v>
      </c>
      <c r="Q32" s="22" t="s">
        <v>3968</v>
      </c>
      <c r="R32" s="22" t="s">
        <v>8263</v>
      </c>
      <c r="S32" s="24"/>
      <c r="T32" s="40" t="s">
        <v>8264</v>
      </c>
      <c r="U32" s="22" t="s">
        <v>8265</v>
      </c>
      <c r="V32" s="22" t="s">
        <v>8266</v>
      </c>
      <c r="W32" s="22" t="s">
        <v>8267</v>
      </c>
      <c r="X32" s="22" t="s">
        <v>8268</v>
      </c>
      <c r="Y32" s="24"/>
      <c r="Z32" s="24"/>
      <c r="AA32" s="22" t="s">
        <v>8129</v>
      </c>
      <c r="AB32" s="22" t="s">
        <v>8130</v>
      </c>
      <c r="AC32" s="25"/>
      <c r="AD32" s="25"/>
      <c r="AE32" s="22" t="s">
        <v>8132</v>
      </c>
      <c r="AF32" s="24"/>
      <c r="AG32" s="22">
        <v>1.0410135781699E13</v>
      </c>
      <c r="AH32" s="22" t="s">
        <v>8137</v>
      </c>
      <c r="AI32" s="22">
        <v>7.442303779139E12</v>
      </c>
      <c r="AJ32" s="25"/>
      <c r="AK32" s="24"/>
      <c r="AL32" s="22" t="s">
        <v>8149</v>
      </c>
      <c r="AM32" s="22">
        <v>6.478896333043E12</v>
      </c>
      <c r="AN32" s="25"/>
      <c r="AO32" s="25"/>
      <c r="AP32" s="22" t="s">
        <v>8133</v>
      </c>
      <c r="AQ32" s="30"/>
      <c r="AR32" s="30" t="b">
        <v>0</v>
      </c>
      <c r="AS32" s="30" t="b">
        <v>0</v>
      </c>
    </row>
    <row r="33">
      <c r="A33" s="21" t="s">
        <v>8270</v>
      </c>
      <c r="B33" s="22" t="s">
        <v>8140</v>
      </c>
      <c r="C33" s="22">
        <v>1.0</v>
      </c>
      <c r="D33" s="22" t="s">
        <v>8221</v>
      </c>
      <c r="E33" s="22" t="s">
        <v>8140</v>
      </c>
      <c r="F33" s="22" t="s">
        <v>8121</v>
      </c>
      <c r="G33" s="24"/>
      <c r="H33" s="22">
        <v>3.2619919606083E13</v>
      </c>
      <c r="I33" s="24"/>
      <c r="J33" s="24"/>
      <c r="K33" s="22">
        <v>4.2085703581939E13</v>
      </c>
      <c r="L33" s="24"/>
      <c r="M33" s="24"/>
      <c r="N33" s="22" t="s">
        <v>3725</v>
      </c>
      <c r="O33" s="22" t="s">
        <v>8271</v>
      </c>
      <c r="P33" s="22" t="s">
        <v>3725</v>
      </c>
      <c r="Q33" s="22" t="s">
        <v>8271</v>
      </c>
      <c r="R33" s="22" t="s">
        <v>8272</v>
      </c>
      <c r="S33" s="24"/>
      <c r="T33" s="40" t="s">
        <v>8273</v>
      </c>
      <c r="U33" s="22" t="s">
        <v>8274</v>
      </c>
      <c r="V33" s="24"/>
      <c r="W33" s="22" t="s">
        <v>8275</v>
      </c>
      <c r="X33" s="22" t="s">
        <v>8276</v>
      </c>
      <c r="Y33" s="24"/>
      <c r="Z33" s="24"/>
      <c r="AA33" s="22" t="s">
        <v>8129</v>
      </c>
      <c r="AB33" s="22" t="s">
        <v>8130</v>
      </c>
      <c r="AC33" s="25"/>
      <c r="AD33" s="22" t="s">
        <v>8131</v>
      </c>
      <c r="AE33" s="22" t="s">
        <v>8132</v>
      </c>
      <c r="AF33" s="24"/>
      <c r="AG33" s="22">
        <v>1.0404153721155E13</v>
      </c>
      <c r="AH33" s="22" t="s">
        <v>90</v>
      </c>
      <c r="AI33" s="22">
        <v>7.464624423235E12</v>
      </c>
      <c r="AJ33" s="25"/>
      <c r="AK33" s="24"/>
      <c r="AL33" s="22" t="s">
        <v>8134</v>
      </c>
      <c r="AM33" s="22">
        <v>6.478896333043E12</v>
      </c>
      <c r="AN33" s="25"/>
      <c r="AO33" s="25"/>
      <c r="AP33" s="22" t="s">
        <v>8136</v>
      </c>
      <c r="AQ33" s="30" t="s">
        <v>8150</v>
      </c>
      <c r="AR33" s="30" t="b">
        <v>0</v>
      </c>
      <c r="AS33" s="30" t="b">
        <v>0</v>
      </c>
    </row>
    <row r="34">
      <c r="A34" s="21" t="s">
        <v>8270</v>
      </c>
      <c r="B34" s="24"/>
      <c r="C34" s="24"/>
      <c r="D34" s="22" t="s">
        <v>8221</v>
      </c>
      <c r="E34" s="24"/>
      <c r="F34" s="22" t="s">
        <v>8136</v>
      </c>
      <c r="G34" s="24"/>
      <c r="H34" s="22">
        <v>9.466891665731E12</v>
      </c>
      <c r="I34" s="24"/>
      <c r="J34" s="24"/>
      <c r="K34" s="24"/>
      <c r="L34" s="24"/>
      <c r="M34" s="24"/>
      <c r="N34" s="22" t="s">
        <v>3725</v>
      </c>
      <c r="O34" s="22" t="s">
        <v>8271</v>
      </c>
      <c r="P34" s="22" t="s">
        <v>3725</v>
      </c>
      <c r="Q34" s="22" t="s">
        <v>8271</v>
      </c>
      <c r="R34" s="22" t="s">
        <v>8272</v>
      </c>
      <c r="S34" s="24"/>
      <c r="T34" s="40" t="s">
        <v>8273</v>
      </c>
      <c r="U34" s="22" t="s">
        <v>8274</v>
      </c>
      <c r="V34" s="24"/>
      <c r="W34" s="22" t="s">
        <v>8275</v>
      </c>
      <c r="X34" s="22" t="s">
        <v>8276</v>
      </c>
      <c r="Y34" s="24"/>
      <c r="Z34" s="24"/>
      <c r="AA34" s="22" t="s">
        <v>8129</v>
      </c>
      <c r="AB34" s="22" t="s">
        <v>8130</v>
      </c>
      <c r="AC34" s="25"/>
      <c r="AD34" s="25"/>
      <c r="AE34" s="22" t="s">
        <v>8132</v>
      </c>
      <c r="AF34" s="24"/>
      <c r="AG34" s="22">
        <v>1.0404153721155E13</v>
      </c>
      <c r="AH34" s="22" t="s">
        <v>8137</v>
      </c>
      <c r="AI34" s="22">
        <v>7.464624423235E12</v>
      </c>
      <c r="AJ34" s="25"/>
      <c r="AK34" s="24"/>
      <c r="AL34" s="22" t="s">
        <v>8136</v>
      </c>
      <c r="AM34" s="22">
        <v>7.433540632899E12</v>
      </c>
      <c r="AN34" s="25"/>
      <c r="AO34" s="25"/>
      <c r="AP34" s="22" t="s">
        <v>8133</v>
      </c>
      <c r="AQ34" s="30"/>
      <c r="AR34" s="30" t="b">
        <v>0</v>
      </c>
      <c r="AS34" s="30" t="b">
        <v>0</v>
      </c>
    </row>
    <row r="35">
      <c r="A35" s="21" t="s">
        <v>8277</v>
      </c>
      <c r="B35" s="22" t="s">
        <v>8140</v>
      </c>
      <c r="C35" s="22">
        <v>1.0</v>
      </c>
      <c r="D35" s="22" t="s">
        <v>8278</v>
      </c>
      <c r="E35" s="22" t="s">
        <v>8140</v>
      </c>
      <c r="F35" s="22" t="s">
        <v>8121</v>
      </c>
      <c r="G35" s="24"/>
      <c r="H35" s="22">
        <v>3.2641981219139E13</v>
      </c>
      <c r="I35" s="24"/>
      <c r="J35" s="24"/>
      <c r="K35" s="22">
        <v>4.2085703581939E13</v>
      </c>
      <c r="L35" s="24"/>
      <c r="M35" s="24"/>
      <c r="N35" s="22" t="s">
        <v>5245</v>
      </c>
      <c r="O35" s="22" t="s">
        <v>8279</v>
      </c>
      <c r="P35" s="22" t="s">
        <v>5245</v>
      </c>
      <c r="Q35" s="22" t="s">
        <v>8279</v>
      </c>
      <c r="R35" s="22" t="s">
        <v>8280</v>
      </c>
      <c r="S35" s="24"/>
      <c r="T35" s="40" t="s">
        <v>8281</v>
      </c>
      <c r="U35" s="22" t="s">
        <v>8282</v>
      </c>
      <c r="V35" s="24"/>
      <c r="W35" s="22" t="s">
        <v>8283</v>
      </c>
      <c r="X35" s="22" t="s">
        <v>8128</v>
      </c>
      <c r="Y35" s="24"/>
      <c r="Z35" s="24"/>
      <c r="AA35" s="22" t="s">
        <v>8129</v>
      </c>
      <c r="AB35" s="22" t="s">
        <v>8130</v>
      </c>
      <c r="AC35" s="25"/>
      <c r="AD35" s="22" t="s">
        <v>8131</v>
      </c>
      <c r="AE35" s="22" t="s">
        <v>8132</v>
      </c>
      <c r="AF35" s="24"/>
      <c r="AG35" s="22">
        <v>1.0412907659587E13</v>
      </c>
      <c r="AH35" s="22" t="s">
        <v>90</v>
      </c>
      <c r="AI35" s="22">
        <v>8.563901038915E12</v>
      </c>
      <c r="AJ35" s="25"/>
      <c r="AK35" s="24"/>
      <c r="AL35" s="22" t="s">
        <v>8134</v>
      </c>
      <c r="AM35" s="22">
        <v>7.433540632899E12</v>
      </c>
      <c r="AN35" s="25"/>
      <c r="AO35" s="25"/>
      <c r="AP35" s="22" t="s">
        <v>8136</v>
      </c>
      <c r="AQ35" s="30" t="s">
        <v>8150</v>
      </c>
      <c r="AR35" s="30" t="b">
        <v>0</v>
      </c>
      <c r="AS35" s="30" t="b">
        <v>0</v>
      </c>
    </row>
    <row r="36">
      <c r="A36" s="21" t="s">
        <v>8277</v>
      </c>
      <c r="B36" s="24"/>
      <c r="C36" s="24"/>
      <c r="D36" s="22" t="s">
        <v>8278</v>
      </c>
      <c r="E36" s="24"/>
      <c r="F36" s="22" t="s">
        <v>8136</v>
      </c>
      <c r="G36" s="24"/>
      <c r="H36" s="22">
        <v>9.474311684419E12</v>
      </c>
      <c r="I36" s="24"/>
      <c r="J36" s="24"/>
      <c r="K36" s="24"/>
      <c r="L36" s="24"/>
      <c r="M36" s="24"/>
      <c r="N36" s="22" t="s">
        <v>5245</v>
      </c>
      <c r="O36" s="22" t="s">
        <v>8279</v>
      </c>
      <c r="P36" s="22" t="s">
        <v>5245</v>
      </c>
      <c r="Q36" s="22" t="s">
        <v>8279</v>
      </c>
      <c r="R36" s="22" t="s">
        <v>8280</v>
      </c>
      <c r="S36" s="24"/>
      <c r="T36" s="40" t="s">
        <v>8281</v>
      </c>
      <c r="U36" s="22" t="s">
        <v>8282</v>
      </c>
      <c r="V36" s="24"/>
      <c r="W36" s="22" t="s">
        <v>8283</v>
      </c>
      <c r="X36" s="22" t="s">
        <v>8128</v>
      </c>
      <c r="Y36" s="24"/>
      <c r="Z36" s="24"/>
      <c r="AA36" s="22" t="s">
        <v>8129</v>
      </c>
      <c r="AB36" s="22" t="s">
        <v>8130</v>
      </c>
      <c r="AC36" s="25"/>
      <c r="AD36" s="25"/>
      <c r="AE36" s="22" t="s">
        <v>8132</v>
      </c>
      <c r="AF36" s="24"/>
      <c r="AG36" s="22">
        <v>1.0412907659587E13</v>
      </c>
      <c r="AH36" s="22" t="s">
        <v>8137</v>
      </c>
      <c r="AI36" s="22">
        <v>8.563901038915E12</v>
      </c>
      <c r="AJ36" s="25"/>
      <c r="AK36" s="24"/>
      <c r="AL36" s="22" t="s">
        <v>8136</v>
      </c>
      <c r="AM36" s="22">
        <v>2.3407902589251E13</v>
      </c>
      <c r="AN36" s="25"/>
      <c r="AO36" s="25"/>
      <c r="AP36" s="22" t="s">
        <v>8133</v>
      </c>
      <c r="AQ36" s="30"/>
      <c r="AR36" s="30" t="b">
        <v>0</v>
      </c>
      <c r="AS36" s="30" t="b">
        <v>0</v>
      </c>
    </row>
    <row r="37">
      <c r="A37" s="21" t="s">
        <v>8284</v>
      </c>
      <c r="B37" s="22" t="s">
        <v>8140</v>
      </c>
      <c r="C37" s="22">
        <v>1.0</v>
      </c>
      <c r="D37" s="22" t="s">
        <v>8212</v>
      </c>
      <c r="E37" s="22" t="s">
        <v>8140</v>
      </c>
      <c r="F37" s="22" t="s">
        <v>8121</v>
      </c>
      <c r="G37" s="24"/>
      <c r="H37" s="22">
        <v>3.2644948230467E13</v>
      </c>
      <c r="I37" s="24"/>
      <c r="J37" s="24"/>
      <c r="K37" s="22">
        <v>4.2085703581939E13</v>
      </c>
      <c r="L37" s="24"/>
      <c r="M37" s="24"/>
      <c r="N37" s="22" t="s">
        <v>4257</v>
      </c>
      <c r="O37" s="22" t="s">
        <v>4257</v>
      </c>
      <c r="P37" s="22" t="s">
        <v>4257</v>
      </c>
      <c r="Q37" s="22" t="s">
        <v>4257</v>
      </c>
      <c r="R37" s="22" t="s">
        <v>8285</v>
      </c>
      <c r="S37" s="24"/>
      <c r="T37" s="40" t="s">
        <v>8286</v>
      </c>
      <c r="U37" s="22" t="s">
        <v>8287</v>
      </c>
      <c r="V37" s="24"/>
      <c r="W37" s="22" t="s">
        <v>8288</v>
      </c>
      <c r="X37" s="22" t="s">
        <v>8289</v>
      </c>
      <c r="Y37" s="24"/>
      <c r="Z37" s="24"/>
      <c r="AA37" s="22" t="s">
        <v>8129</v>
      </c>
      <c r="AB37" s="22" t="s">
        <v>8130</v>
      </c>
      <c r="AC37" s="25"/>
      <c r="AD37" s="22" t="s">
        <v>8131</v>
      </c>
      <c r="AE37" s="22" t="s">
        <v>8132</v>
      </c>
      <c r="AF37" s="24"/>
      <c r="AG37" s="22">
        <v>1.0414378025283E13</v>
      </c>
      <c r="AH37" s="22" t="s">
        <v>90</v>
      </c>
      <c r="AI37" s="22">
        <v>7.406929576259E12</v>
      </c>
      <c r="AJ37" s="25"/>
      <c r="AK37" s="24"/>
      <c r="AL37" s="22" t="s">
        <v>8134</v>
      </c>
      <c r="AM37" s="22">
        <v>2.3407902589251E13</v>
      </c>
      <c r="AN37" s="25"/>
      <c r="AO37" s="25"/>
      <c r="AP37" s="22" t="s">
        <v>8136</v>
      </c>
      <c r="AQ37" s="30" t="s">
        <v>8150</v>
      </c>
      <c r="AR37" s="30" t="b">
        <v>0</v>
      </c>
      <c r="AS37" s="30" t="b">
        <v>0</v>
      </c>
    </row>
    <row r="38">
      <c r="A38" s="21" t="s">
        <v>8284</v>
      </c>
      <c r="B38" s="24"/>
      <c r="C38" s="24"/>
      <c r="D38" s="22" t="s">
        <v>8212</v>
      </c>
      <c r="E38" s="24"/>
      <c r="F38" s="22" t="s">
        <v>8136</v>
      </c>
      <c r="G38" s="24"/>
      <c r="H38" s="22">
        <v>9.475519938883E12</v>
      </c>
      <c r="I38" s="24"/>
      <c r="J38" s="24"/>
      <c r="K38" s="24"/>
      <c r="L38" s="24"/>
      <c r="M38" s="24"/>
      <c r="N38" s="22" t="s">
        <v>4257</v>
      </c>
      <c r="O38" s="22" t="s">
        <v>4257</v>
      </c>
      <c r="P38" s="22" t="s">
        <v>4257</v>
      </c>
      <c r="Q38" s="22" t="s">
        <v>4257</v>
      </c>
      <c r="R38" s="22" t="s">
        <v>8285</v>
      </c>
      <c r="S38" s="24"/>
      <c r="T38" s="40" t="s">
        <v>8286</v>
      </c>
      <c r="U38" s="22" t="s">
        <v>8287</v>
      </c>
      <c r="V38" s="24"/>
      <c r="W38" s="22" t="s">
        <v>8288</v>
      </c>
      <c r="X38" s="22" t="s">
        <v>8289</v>
      </c>
      <c r="Y38" s="24"/>
      <c r="Z38" s="24"/>
      <c r="AA38" s="22" t="s">
        <v>8129</v>
      </c>
      <c r="AB38" s="22" t="s">
        <v>8130</v>
      </c>
      <c r="AC38" s="25"/>
      <c r="AD38" s="24"/>
      <c r="AE38" s="22" t="s">
        <v>8132</v>
      </c>
      <c r="AF38" s="24"/>
      <c r="AG38" s="22">
        <v>1.0414378025283E13</v>
      </c>
      <c r="AH38" s="22" t="s">
        <v>8137</v>
      </c>
      <c r="AI38" s="22">
        <v>7.406929576259E12</v>
      </c>
      <c r="AJ38" s="25"/>
      <c r="AK38" s="24"/>
      <c r="AL38" s="22" t="s">
        <v>8136</v>
      </c>
      <c r="AM38" s="22">
        <v>8.499438027075E12</v>
      </c>
      <c r="AN38" s="25"/>
      <c r="AO38" s="25"/>
      <c r="AP38" s="22" t="s">
        <v>8149</v>
      </c>
      <c r="AQ38" s="30"/>
      <c r="AR38" s="30" t="b">
        <v>0</v>
      </c>
      <c r="AS38" s="30" t="b">
        <v>0</v>
      </c>
    </row>
    <row r="39">
      <c r="A39" s="21" t="s">
        <v>8290</v>
      </c>
      <c r="B39" s="22" t="s">
        <v>8153</v>
      </c>
      <c r="C39" s="22">
        <v>1.0</v>
      </c>
      <c r="D39" s="22" t="s">
        <v>8212</v>
      </c>
      <c r="E39" s="22" t="s">
        <v>8153</v>
      </c>
      <c r="F39" s="22" t="s">
        <v>8155</v>
      </c>
      <c r="G39" s="24"/>
      <c r="H39" s="22">
        <v>3.2647134052675E13</v>
      </c>
      <c r="I39" s="24"/>
      <c r="J39" s="24"/>
      <c r="K39" s="22">
        <v>4.7338059759939E13</v>
      </c>
      <c r="L39" s="24"/>
      <c r="M39" s="24"/>
      <c r="N39" s="22" t="s">
        <v>8291</v>
      </c>
      <c r="O39" s="22" t="s">
        <v>8292</v>
      </c>
      <c r="P39" s="22" t="s">
        <v>8291</v>
      </c>
      <c r="Q39" s="22" t="s">
        <v>8292</v>
      </c>
      <c r="R39" s="22" t="s">
        <v>8293</v>
      </c>
      <c r="S39" s="24"/>
      <c r="T39" s="40" t="s">
        <v>8294</v>
      </c>
      <c r="U39" s="22" t="s">
        <v>8295</v>
      </c>
      <c r="V39" s="24"/>
      <c r="W39" s="22" t="s">
        <v>8296</v>
      </c>
      <c r="X39" s="22" t="s">
        <v>8297</v>
      </c>
      <c r="Y39" s="24"/>
      <c r="Z39" s="24"/>
      <c r="AA39" s="22" t="s">
        <v>8129</v>
      </c>
      <c r="AB39" s="22" t="s">
        <v>8130</v>
      </c>
      <c r="AC39" s="25"/>
      <c r="AD39" s="22" t="s">
        <v>8161</v>
      </c>
      <c r="AE39" s="22" t="s">
        <v>8132</v>
      </c>
      <c r="AF39" s="24"/>
      <c r="AG39" s="22">
        <v>1.0415346614595E13</v>
      </c>
      <c r="AH39" s="22" t="s">
        <v>90</v>
      </c>
      <c r="AI39" s="22">
        <v>8.416752533827E12</v>
      </c>
      <c r="AJ39" s="25"/>
      <c r="AK39" s="24"/>
      <c r="AL39" s="22" t="s">
        <v>8162</v>
      </c>
      <c r="AM39" s="22">
        <v>8.620335399235E12</v>
      </c>
      <c r="AN39" s="25"/>
      <c r="AO39" s="25"/>
      <c r="AP39" s="22" t="s">
        <v>8133</v>
      </c>
      <c r="AQ39" s="30" t="s">
        <v>55</v>
      </c>
      <c r="AR39" s="30" t="b">
        <v>0</v>
      </c>
      <c r="AS39" s="30" t="b">
        <v>0</v>
      </c>
    </row>
    <row r="40">
      <c r="A40" s="21" t="s">
        <v>8290</v>
      </c>
      <c r="B40" s="24"/>
      <c r="C40" s="24"/>
      <c r="D40" s="22" t="s">
        <v>8212</v>
      </c>
      <c r="E40" s="24"/>
      <c r="F40" s="22" t="s">
        <v>8149</v>
      </c>
      <c r="G40" s="24"/>
      <c r="H40" s="22">
        <v>9.476288905539E12</v>
      </c>
      <c r="I40" s="24"/>
      <c r="J40" s="24"/>
      <c r="K40" s="24"/>
      <c r="L40" s="24"/>
      <c r="M40" s="24"/>
      <c r="N40" s="22" t="s">
        <v>8291</v>
      </c>
      <c r="O40" s="22" t="s">
        <v>8292</v>
      </c>
      <c r="P40" s="22" t="s">
        <v>8291</v>
      </c>
      <c r="Q40" s="22" t="s">
        <v>8292</v>
      </c>
      <c r="R40" s="22" t="s">
        <v>8293</v>
      </c>
      <c r="S40" s="24"/>
      <c r="T40" s="40" t="s">
        <v>8294</v>
      </c>
      <c r="U40" s="22" t="s">
        <v>8295</v>
      </c>
      <c r="V40" s="24"/>
      <c r="W40" s="22" t="s">
        <v>8296</v>
      </c>
      <c r="X40" s="22" t="s">
        <v>8297</v>
      </c>
      <c r="Y40" s="24"/>
      <c r="Z40" s="24"/>
      <c r="AA40" s="22" t="s">
        <v>8129</v>
      </c>
      <c r="AB40" s="22" t="s">
        <v>8130</v>
      </c>
      <c r="AC40" s="25"/>
      <c r="AD40" s="25"/>
      <c r="AE40" s="22" t="s">
        <v>8132</v>
      </c>
      <c r="AF40" s="24"/>
      <c r="AG40" s="22">
        <v>1.0415346614595E13</v>
      </c>
      <c r="AH40" s="22" t="s">
        <v>8137</v>
      </c>
      <c r="AI40" s="22">
        <v>8.416752533827E12</v>
      </c>
      <c r="AJ40" s="25"/>
      <c r="AK40" s="24"/>
      <c r="AL40" s="22" t="s">
        <v>8149</v>
      </c>
      <c r="AM40" s="22">
        <v>8.563377373507E12</v>
      </c>
      <c r="AN40" s="25"/>
      <c r="AO40" s="25"/>
      <c r="AP40" s="22" t="s">
        <v>8136</v>
      </c>
      <c r="AQ40" s="30"/>
      <c r="AR40" s="30" t="b">
        <v>0</v>
      </c>
      <c r="AS40" s="30" t="b">
        <v>0</v>
      </c>
    </row>
    <row r="41">
      <c r="A41" s="21" t="s">
        <v>8298</v>
      </c>
      <c r="B41" s="22" t="s">
        <v>8119</v>
      </c>
      <c r="C41" s="22">
        <v>1.0</v>
      </c>
      <c r="D41" s="22" t="s">
        <v>8254</v>
      </c>
      <c r="E41" s="22" t="s">
        <v>8119</v>
      </c>
      <c r="F41" s="22" t="s">
        <v>8121</v>
      </c>
      <c r="G41" s="24"/>
      <c r="H41" s="22">
        <v>3.2647867695427E13</v>
      </c>
      <c r="I41" s="24"/>
      <c r="J41" s="24"/>
      <c r="K41" s="22">
        <v>4.2085703549171E13</v>
      </c>
      <c r="L41" s="24"/>
      <c r="M41" s="24"/>
      <c r="N41" s="22" t="s">
        <v>4257</v>
      </c>
      <c r="O41" s="22" t="s">
        <v>8299</v>
      </c>
      <c r="P41" s="22" t="s">
        <v>4257</v>
      </c>
      <c r="Q41" s="22" t="s">
        <v>8299</v>
      </c>
      <c r="R41" s="22" t="s">
        <v>8300</v>
      </c>
      <c r="S41" s="24"/>
      <c r="T41" s="40" t="s">
        <v>8301</v>
      </c>
      <c r="U41" s="22" t="s">
        <v>8302</v>
      </c>
      <c r="V41" s="24"/>
      <c r="W41" s="22" t="s">
        <v>8303</v>
      </c>
      <c r="X41" s="22" t="s">
        <v>8242</v>
      </c>
      <c r="Y41" s="24"/>
      <c r="Z41" s="24"/>
      <c r="AA41" s="22" t="s">
        <v>8129</v>
      </c>
      <c r="AB41" s="22" t="s">
        <v>8130</v>
      </c>
      <c r="AC41" s="25"/>
      <c r="AD41" s="22" t="s">
        <v>8131</v>
      </c>
      <c r="AE41" s="22" t="s">
        <v>8132</v>
      </c>
      <c r="AF41" s="24"/>
      <c r="AG41" s="22">
        <v>1.0415668429123E13</v>
      </c>
      <c r="AH41" s="22" t="s">
        <v>90</v>
      </c>
      <c r="AI41" s="22">
        <v>8.656989651267E12</v>
      </c>
      <c r="AJ41" s="25"/>
      <c r="AK41" s="24"/>
      <c r="AL41" s="22" t="s">
        <v>8133</v>
      </c>
      <c r="AM41" s="22">
        <v>8.621860454723E12</v>
      </c>
      <c r="AN41" s="25"/>
      <c r="AO41" s="25"/>
      <c r="AP41" s="22" t="s">
        <v>8134</v>
      </c>
      <c r="AQ41" s="30" t="s">
        <v>8135</v>
      </c>
      <c r="AR41" s="30" t="b">
        <v>0</v>
      </c>
      <c r="AS41" s="30" t="b">
        <v>0</v>
      </c>
    </row>
    <row r="42">
      <c r="A42" s="21" t="s">
        <v>8298</v>
      </c>
      <c r="B42" s="24"/>
      <c r="C42" s="24"/>
      <c r="D42" s="22" t="s">
        <v>8254</v>
      </c>
      <c r="E42" s="24"/>
      <c r="F42" s="22" t="s">
        <v>8136</v>
      </c>
      <c r="G42" s="24"/>
      <c r="H42" s="22">
        <v>9.476555047235E12</v>
      </c>
      <c r="I42" s="24"/>
      <c r="J42" s="24"/>
      <c r="K42" s="24"/>
      <c r="L42" s="24"/>
      <c r="M42" s="24"/>
      <c r="N42" s="22" t="s">
        <v>4257</v>
      </c>
      <c r="O42" s="22" t="s">
        <v>8299</v>
      </c>
      <c r="P42" s="22" t="s">
        <v>4257</v>
      </c>
      <c r="Q42" s="22" t="s">
        <v>8299</v>
      </c>
      <c r="R42" s="22" t="s">
        <v>8300</v>
      </c>
      <c r="S42" s="24"/>
      <c r="T42" s="40" t="s">
        <v>8301</v>
      </c>
      <c r="U42" s="22" t="s">
        <v>8302</v>
      </c>
      <c r="V42" s="24"/>
      <c r="W42" s="22" t="s">
        <v>8303</v>
      </c>
      <c r="X42" s="22" t="s">
        <v>8242</v>
      </c>
      <c r="Y42" s="24"/>
      <c r="Z42" s="24"/>
      <c r="AA42" s="22" t="s">
        <v>8129</v>
      </c>
      <c r="AB42" s="22" t="s">
        <v>8130</v>
      </c>
      <c r="AC42" s="25"/>
      <c r="AD42" s="25"/>
      <c r="AE42" s="22" t="s">
        <v>8132</v>
      </c>
      <c r="AF42" s="24"/>
      <c r="AG42" s="22">
        <v>1.0415668429123E13</v>
      </c>
      <c r="AH42" s="22" t="s">
        <v>8137</v>
      </c>
      <c r="AI42" s="22">
        <v>8.656989651267E12</v>
      </c>
      <c r="AJ42" s="25"/>
      <c r="AK42" s="24"/>
      <c r="AL42" s="22" t="s">
        <v>8136</v>
      </c>
      <c r="AM42" s="22">
        <v>8.621860454723E12</v>
      </c>
      <c r="AN42" s="25"/>
      <c r="AO42" s="25"/>
      <c r="AP42" s="22" t="s">
        <v>8136</v>
      </c>
      <c r="AQ42" s="30"/>
      <c r="AR42" s="30" t="b">
        <v>0</v>
      </c>
      <c r="AS42" s="30" t="b">
        <v>0</v>
      </c>
    </row>
    <row r="43">
      <c r="A43" s="21" t="s">
        <v>8304</v>
      </c>
      <c r="B43" s="22" t="s">
        <v>8140</v>
      </c>
      <c r="C43" s="22">
        <v>1.0</v>
      </c>
      <c r="D43" s="22" t="s">
        <v>8305</v>
      </c>
      <c r="E43" s="22" t="s">
        <v>8140</v>
      </c>
      <c r="F43" s="22" t="s">
        <v>8121</v>
      </c>
      <c r="G43" s="24"/>
      <c r="H43" s="22">
        <v>3.2648108540227E13</v>
      </c>
      <c r="I43" s="24"/>
      <c r="J43" s="24"/>
      <c r="K43" s="22">
        <v>4.2085703581939E13</v>
      </c>
      <c r="L43" s="24"/>
      <c r="M43" s="24"/>
      <c r="N43" s="22" t="s">
        <v>4074</v>
      </c>
      <c r="O43" s="22" t="s">
        <v>8306</v>
      </c>
      <c r="P43" s="22" t="s">
        <v>4074</v>
      </c>
      <c r="Q43" s="22" t="s">
        <v>8306</v>
      </c>
      <c r="R43" s="22" t="s">
        <v>8307</v>
      </c>
      <c r="S43" s="24"/>
      <c r="T43" s="40" t="s">
        <v>8308</v>
      </c>
      <c r="U43" s="22" t="s">
        <v>8309</v>
      </c>
      <c r="V43" s="22">
        <v>48.0</v>
      </c>
      <c r="W43" s="22" t="s">
        <v>8310</v>
      </c>
      <c r="X43" s="22" t="s">
        <v>8251</v>
      </c>
      <c r="Y43" s="24"/>
      <c r="Z43" s="24"/>
      <c r="AA43" s="22" t="s">
        <v>8129</v>
      </c>
      <c r="AB43" s="22" t="s">
        <v>8130</v>
      </c>
      <c r="AC43" s="25"/>
      <c r="AD43" s="22" t="s">
        <v>8131</v>
      </c>
      <c r="AE43" s="22" t="s">
        <v>8132</v>
      </c>
      <c r="AF43" s="24"/>
      <c r="AG43" s="22">
        <v>1.0415772664131E13</v>
      </c>
      <c r="AH43" s="22" t="s">
        <v>90</v>
      </c>
      <c r="AI43" s="22">
        <v>2.3359414960451E13</v>
      </c>
      <c r="AJ43" s="25"/>
      <c r="AK43" s="24"/>
      <c r="AL43" s="22" t="s">
        <v>8134</v>
      </c>
      <c r="AM43" s="22">
        <v>7.429139988803E12</v>
      </c>
      <c r="AN43" s="25"/>
      <c r="AO43" s="25"/>
      <c r="AP43" s="22" t="s">
        <v>8134</v>
      </c>
      <c r="AQ43" s="30" t="s">
        <v>8150</v>
      </c>
      <c r="AR43" s="30" t="b">
        <v>0</v>
      </c>
      <c r="AS43" s="30" t="b">
        <v>0</v>
      </c>
    </row>
    <row r="44">
      <c r="A44" s="21" t="s">
        <v>8304</v>
      </c>
      <c r="B44" s="24"/>
      <c r="C44" s="24"/>
      <c r="D44" s="22" t="s">
        <v>8305</v>
      </c>
      <c r="E44" s="24"/>
      <c r="F44" s="22" t="s">
        <v>8136</v>
      </c>
      <c r="G44" s="24"/>
      <c r="H44" s="22">
        <v>9.476652106051E12</v>
      </c>
      <c r="I44" s="24"/>
      <c r="J44" s="24"/>
      <c r="K44" s="24"/>
      <c r="L44" s="24"/>
      <c r="M44" s="24"/>
      <c r="N44" s="22" t="s">
        <v>4074</v>
      </c>
      <c r="O44" s="22" t="s">
        <v>8306</v>
      </c>
      <c r="P44" s="22" t="s">
        <v>4074</v>
      </c>
      <c r="Q44" s="22" t="s">
        <v>8306</v>
      </c>
      <c r="R44" s="22" t="s">
        <v>8307</v>
      </c>
      <c r="S44" s="24"/>
      <c r="T44" s="40" t="s">
        <v>8308</v>
      </c>
      <c r="U44" s="22" t="s">
        <v>8309</v>
      </c>
      <c r="V44" s="22">
        <v>48.0</v>
      </c>
      <c r="W44" s="22" t="s">
        <v>8310</v>
      </c>
      <c r="X44" s="22" t="s">
        <v>8251</v>
      </c>
      <c r="Y44" s="24"/>
      <c r="Z44" s="24"/>
      <c r="AA44" s="22" t="s">
        <v>8129</v>
      </c>
      <c r="AB44" s="22" t="s">
        <v>8130</v>
      </c>
      <c r="AC44" s="25"/>
      <c r="AD44" s="25"/>
      <c r="AE44" s="22" t="s">
        <v>8132</v>
      </c>
      <c r="AF44" s="24"/>
      <c r="AG44" s="22">
        <v>1.0415772664131E13</v>
      </c>
      <c r="AH44" s="22" t="s">
        <v>8137</v>
      </c>
      <c r="AI44" s="22">
        <v>2.3359414960451E13</v>
      </c>
      <c r="AJ44" s="25"/>
      <c r="AK44" s="24"/>
      <c r="AL44" s="22" t="s">
        <v>8136</v>
      </c>
      <c r="AM44" s="22">
        <v>7.429139988803E12</v>
      </c>
      <c r="AN44" s="25"/>
      <c r="AO44" s="25"/>
      <c r="AP44" s="22" t="s">
        <v>8311</v>
      </c>
      <c r="AQ44" s="30"/>
      <c r="AR44" s="30" t="b">
        <v>0</v>
      </c>
      <c r="AS44" s="30" t="b">
        <v>0</v>
      </c>
    </row>
    <row r="45">
      <c r="A45" s="21" t="s">
        <v>8312</v>
      </c>
      <c r="B45" s="22" t="s">
        <v>8211</v>
      </c>
      <c r="C45" s="22">
        <v>2.0</v>
      </c>
      <c r="D45" s="22" t="s">
        <v>8221</v>
      </c>
      <c r="E45" s="22" t="s">
        <v>8211</v>
      </c>
      <c r="F45" s="22" t="s">
        <v>8155</v>
      </c>
      <c r="G45" s="24"/>
      <c r="H45" s="22">
        <v>3.2648286830915E13</v>
      </c>
      <c r="I45" s="24"/>
      <c r="J45" s="24"/>
      <c r="K45" s="22">
        <v>4.7338059727171E13</v>
      </c>
      <c r="L45" s="24"/>
      <c r="M45" s="24"/>
      <c r="N45" s="22" t="s">
        <v>8313</v>
      </c>
      <c r="O45" s="22" t="s">
        <v>8314</v>
      </c>
      <c r="P45" s="22" t="s">
        <v>8313</v>
      </c>
      <c r="Q45" s="22" t="s">
        <v>8314</v>
      </c>
      <c r="R45" s="22" t="s">
        <v>8315</v>
      </c>
      <c r="S45" s="24"/>
      <c r="T45" s="40" t="s">
        <v>8316</v>
      </c>
      <c r="U45" s="22" t="s">
        <v>8317</v>
      </c>
      <c r="V45" s="24"/>
      <c r="W45" s="22" t="s">
        <v>8318</v>
      </c>
      <c r="X45" s="22" t="s">
        <v>8319</v>
      </c>
      <c r="Y45" s="24"/>
      <c r="Z45" s="24"/>
      <c r="AA45" s="22" t="s">
        <v>8129</v>
      </c>
      <c r="AB45" s="22" t="s">
        <v>8130</v>
      </c>
      <c r="AC45" s="25"/>
      <c r="AD45" s="22" t="s">
        <v>8161</v>
      </c>
      <c r="AE45" s="22" t="s">
        <v>8132</v>
      </c>
      <c r="AF45" s="24"/>
      <c r="AG45" s="22">
        <v>1.0415845572931E13</v>
      </c>
      <c r="AH45" s="22" t="s">
        <v>90</v>
      </c>
      <c r="AI45" s="22">
        <v>5.976551227635E12</v>
      </c>
      <c r="AJ45" s="25"/>
      <c r="AK45" s="24"/>
      <c r="AL45" s="22" t="s">
        <v>8151</v>
      </c>
      <c r="AM45" s="22">
        <v>6.472472232179E12</v>
      </c>
      <c r="AN45" s="25"/>
      <c r="AO45" s="25"/>
      <c r="AP45" s="22" t="s">
        <v>8134</v>
      </c>
      <c r="AQ45" s="30" t="s">
        <v>54</v>
      </c>
      <c r="AR45" s="30" t="b">
        <v>0</v>
      </c>
      <c r="AS45" s="30" t="b">
        <v>0</v>
      </c>
    </row>
    <row r="46">
      <c r="A46" s="21" t="s">
        <v>8312</v>
      </c>
      <c r="B46" s="24"/>
      <c r="C46" s="24"/>
      <c r="D46" s="22" t="s">
        <v>8221</v>
      </c>
      <c r="E46" s="24"/>
      <c r="F46" s="22" t="s">
        <v>8320</v>
      </c>
      <c r="G46" s="24"/>
      <c r="H46" s="22">
        <v>9.476721180995E12</v>
      </c>
      <c r="I46" s="24"/>
      <c r="J46" s="24"/>
      <c r="K46" s="24"/>
      <c r="L46" s="24"/>
      <c r="M46" s="24"/>
      <c r="N46" s="22" t="s">
        <v>8313</v>
      </c>
      <c r="O46" s="22" t="s">
        <v>8314</v>
      </c>
      <c r="P46" s="22" t="s">
        <v>8313</v>
      </c>
      <c r="Q46" s="22" t="s">
        <v>8314</v>
      </c>
      <c r="R46" s="22" t="s">
        <v>8315</v>
      </c>
      <c r="S46" s="24"/>
      <c r="T46" s="40" t="s">
        <v>8316</v>
      </c>
      <c r="U46" s="22" t="s">
        <v>8317</v>
      </c>
      <c r="V46" s="24"/>
      <c r="W46" s="22" t="s">
        <v>8318</v>
      </c>
      <c r="X46" s="22" t="s">
        <v>8319</v>
      </c>
      <c r="Y46" s="24"/>
      <c r="Z46" s="24"/>
      <c r="AA46" s="22" t="s">
        <v>8129</v>
      </c>
      <c r="AB46" s="22" t="s">
        <v>8130</v>
      </c>
      <c r="AC46" s="25"/>
      <c r="AD46" s="24"/>
      <c r="AE46" s="22" t="s">
        <v>8132</v>
      </c>
      <c r="AF46" s="24"/>
      <c r="AG46" s="22">
        <v>1.0415845572931E13</v>
      </c>
      <c r="AH46" s="22" t="s">
        <v>8137</v>
      </c>
      <c r="AI46" s="22">
        <v>5.976551227635E12</v>
      </c>
      <c r="AJ46" s="25"/>
      <c r="AK46" s="24"/>
      <c r="AL46" s="22" t="s">
        <v>8320</v>
      </c>
      <c r="AM46" s="22">
        <v>6.472472232179E12</v>
      </c>
      <c r="AN46" s="25"/>
      <c r="AO46" s="25"/>
      <c r="AP46" s="22" t="s">
        <v>8136</v>
      </c>
      <c r="AQ46" s="30"/>
      <c r="AR46" s="30" t="b">
        <v>0</v>
      </c>
      <c r="AS46" s="30" t="b">
        <v>0</v>
      </c>
    </row>
    <row r="47">
      <c r="A47" s="21" t="s">
        <v>8321</v>
      </c>
      <c r="B47" s="22" t="s">
        <v>8140</v>
      </c>
      <c r="C47" s="22">
        <v>1.0</v>
      </c>
      <c r="D47" s="22" t="s">
        <v>8221</v>
      </c>
      <c r="E47" s="22" t="s">
        <v>8140</v>
      </c>
      <c r="F47" s="22" t="s">
        <v>8121</v>
      </c>
      <c r="G47" s="24"/>
      <c r="H47" s="22">
        <v>3.2657009574211E13</v>
      </c>
      <c r="I47" s="24"/>
      <c r="J47" s="24"/>
      <c r="K47" s="22">
        <v>4.2085703581939E13</v>
      </c>
      <c r="L47" s="24"/>
      <c r="M47" s="24"/>
      <c r="N47" s="22" t="s">
        <v>8322</v>
      </c>
      <c r="O47" s="22" t="s">
        <v>8323</v>
      </c>
      <c r="P47" s="22" t="s">
        <v>8322</v>
      </c>
      <c r="Q47" s="22" t="s">
        <v>8323</v>
      </c>
      <c r="R47" s="22" t="s">
        <v>8324</v>
      </c>
      <c r="S47" s="24"/>
      <c r="T47" s="40" t="s">
        <v>8325</v>
      </c>
      <c r="U47" s="22" t="s">
        <v>8326</v>
      </c>
      <c r="V47" s="24"/>
      <c r="W47" s="22" t="s">
        <v>8327</v>
      </c>
      <c r="X47" s="22" t="s">
        <v>8328</v>
      </c>
      <c r="Y47" s="24"/>
      <c r="Z47" s="24"/>
      <c r="AA47" s="22" t="s">
        <v>8129</v>
      </c>
      <c r="AB47" s="22" t="s">
        <v>8130</v>
      </c>
      <c r="AC47" s="25"/>
      <c r="AD47" s="22" t="s">
        <v>8131</v>
      </c>
      <c r="AE47" s="22" t="s">
        <v>8132</v>
      </c>
      <c r="AF47" s="24"/>
      <c r="AG47" s="22">
        <v>1.0419019481411E13</v>
      </c>
      <c r="AH47" s="22" t="s">
        <v>90</v>
      </c>
      <c r="AI47" s="22">
        <v>2.3364986569027E13</v>
      </c>
      <c r="AJ47" s="25"/>
      <c r="AK47" s="24"/>
      <c r="AL47" s="22" t="s">
        <v>8134</v>
      </c>
      <c r="AM47" s="22">
        <v>2.3407726657859E13</v>
      </c>
      <c r="AN47" s="25"/>
      <c r="AO47" s="25"/>
      <c r="AP47" s="22" t="s">
        <v>8269</v>
      </c>
      <c r="AQ47" s="30" t="s">
        <v>8150</v>
      </c>
      <c r="AR47" s="30" t="b">
        <v>0</v>
      </c>
      <c r="AS47" s="30" t="b">
        <v>0</v>
      </c>
    </row>
    <row r="48">
      <c r="A48" s="21" t="s">
        <v>8321</v>
      </c>
      <c r="B48" s="24"/>
      <c r="C48" s="24"/>
      <c r="D48" s="22" t="s">
        <v>8221</v>
      </c>
      <c r="E48" s="24"/>
      <c r="F48" s="22" t="s">
        <v>8136</v>
      </c>
      <c r="G48" s="24"/>
      <c r="H48" s="22">
        <v>9.479590805827E12</v>
      </c>
      <c r="I48" s="24"/>
      <c r="J48" s="24"/>
      <c r="K48" s="24"/>
      <c r="L48" s="24"/>
      <c r="M48" s="24"/>
      <c r="N48" s="22" t="s">
        <v>8322</v>
      </c>
      <c r="O48" s="22" t="s">
        <v>8323</v>
      </c>
      <c r="P48" s="22" t="s">
        <v>8322</v>
      </c>
      <c r="Q48" s="22" t="s">
        <v>8323</v>
      </c>
      <c r="R48" s="22" t="s">
        <v>8324</v>
      </c>
      <c r="S48" s="24"/>
      <c r="T48" s="40" t="s">
        <v>8325</v>
      </c>
      <c r="U48" s="22" t="s">
        <v>8326</v>
      </c>
      <c r="V48" s="24"/>
      <c r="W48" s="22" t="s">
        <v>8327</v>
      </c>
      <c r="X48" s="22" t="s">
        <v>8328</v>
      </c>
      <c r="Y48" s="24"/>
      <c r="Z48" s="24"/>
      <c r="AA48" s="22" t="s">
        <v>8129</v>
      </c>
      <c r="AB48" s="22" t="s">
        <v>8130</v>
      </c>
      <c r="AC48" s="25"/>
      <c r="AD48" s="25"/>
      <c r="AE48" s="22" t="s">
        <v>8132</v>
      </c>
      <c r="AF48" s="24"/>
      <c r="AG48" s="22">
        <v>1.0419019481411E13</v>
      </c>
      <c r="AH48" s="22" t="s">
        <v>8137</v>
      </c>
      <c r="AI48" s="22">
        <v>2.3364986569027E13</v>
      </c>
      <c r="AJ48" s="25"/>
      <c r="AK48" s="24"/>
      <c r="AL48" s="22" t="s">
        <v>8136</v>
      </c>
      <c r="AM48" s="22">
        <v>2.3407726657859E13</v>
      </c>
      <c r="AN48" s="25"/>
      <c r="AO48" s="25"/>
      <c r="AP48" s="22" t="s">
        <v>8149</v>
      </c>
      <c r="AQ48" s="30"/>
      <c r="AR48" s="30" t="b">
        <v>0</v>
      </c>
      <c r="AS48" s="30" t="b">
        <v>0</v>
      </c>
    </row>
    <row r="49">
      <c r="A49" s="21" t="s">
        <v>8329</v>
      </c>
      <c r="B49" s="22" t="s">
        <v>8262</v>
      </c>
      <c r="C49" s="22">
        <v>1.0</v>
      </c>
      <c r="D49" s="22" t="s">
        <v>8221</v>
      </c>
      <c r="E49" s="22" t="s">
        <v>8262</v>
      </c>
      <c r="F49" s="22" t="s">
        <v>8155</v>
      </c>
      <c r="G49" s="24"/>
      <c r="H49" s="22">
        <v>3.2660808892739E13</v>
      </c>
      <c r="I49" s="24"/>
      <c r="J49" s="24"/>
      <c r="K49" s="22">
        <v>4.7338059792707E13</v>
      </c>
      <c r="L49" s="24"/>
      <c r="M49" s="24"/>
      <c r="N49" s="22" t="s">
        <v>4365</v>
      </c>
      <c r="O49" s="22" t="s">
        <v>8330</v>
      </c>
      <c r="P49" s="22" t="s">
        <v>4365</v>
      </c>
      <c r="Q49" s="22" t="s">
        <v>8330</v>
      </c>
      <c r="R49" s="22" t="s">
        <v>8331</v>
      </c>
      <c r="S49" s="24"/>
      <c r="T49" s="40" t="s">
        <v>8332</v>
      </c>
      <c r="U49" s="22" t="s">
        <v>8333</v>
      </c>
      <c r="V49" s="22">
        <v>11.0</v>
      </c>
      <c r="W49" s="22" t="s">
        <v>8334</v>
      </c>
      <c r="X49" s="22" t="s">
        <v>8335</v>
      </c>
      <c r="Y49" s="24"/>
      <c r="Z49" s="24"/>
      <c r="AA49" s="22" t="s">
        <v>8129</v>
      </c>
      <c r="AB49" s="22" t="s">
        <v>8130</v>
      </c>
      <c r="AC49" s="25"/>
      <c r="AD49" s="22" t="s">
        <v>8161</v>
      </c>
      <c r="AE49" s="22" t="s">
        <v>8132</v>
      </c>
      <c r="AF49" s="24"/>
      <c r="AG49" s="22">
        <v>1.0420807631171E13</v>
      </c>
      <c r="AH49" s="22" t="s">
        <v>90</v>
      </c>
      <c r="AI49" s="22">
        <v>2.3369212232003E13</v>
      </c>
      <c r="AJ49" s="25"/>
      <c r="AK49" s="24"/>
      <c r="AL49" s="22" t="s">
        <v>8269</v>
      </c>
      <c r="AM49" s="22">
        <v>8.643863380291E12</v>
      </c>
      <c r="AN49" s="25"/>
      <c r="AO49" s="25"/>
      <c r="AP49" s="22" t="s">
        <v>8336</v>
      </c>
      <c r="AQ49" s="30" t="s">
        <v>91</v>
      </c>
      <c r="AR49" s="30" t="b">
        <v>0</v>
      </c>
      <c r="AS49" s="30" t="b">
        <v>0</v>
      </c>
    </row>
    <row r="50">
      <c r="A50" s="21" t="s">
        <v>8329</v>
      </c>
      <c r="B50" s="24"/>
      <c r="C50" s="24"/>
      <c r="D50" s="22" t="s">
        <v>8221</v>
      </c>
      <c r="E50" s="24"/>
      <c r="F50" s="22" t="s">
        <v>8149</v>
      </c>
      <c r="G50" s="24"/>
      <c r="H50" s="22">
        <v>9.481057141059E12</v>
      </c>
      <c r="I50" s="24"/>
      <c r="J50" s="24"/>
      <c r="K50" s="24"/>
      <c r="L50" s="24"/>
      <c r="M50" s="24"/>
      <c r="N50" s="22" t="s">
        <v>4365</v>
      </c>
      <c r="O50" s="22" t="s">
        <v>8330</v>
      </c>
      <c r="P50" s="22" t="s">
        <v>4365</v>
      </c>
      <c r="Q50" s="22" t="s">
        <v>8330</v>
      </c>
      <c r="R50" s="22" t="s">
        <v>8331</v>
      </c>
      <c r="S50" s="24"/>
      <c r="T50" s="40" t="s">
        <v>8332</v>
      </c>
      <c r="U50" s="22" t="s">
        <v>8333</v>
      </c>
      <c r="V50" s="22">
        <v>11.0</v>
      </c>
      <c r="W50" s="22" t="s">
        <v>8334</v>
      </c>
      <c r="X50" s="22" t="s">
        <v>8335</v>
      </c>
      <c r="Y50" s="24"/>
      <c r="Z50" s="24"/>
      <c r="AA50" s="22" t="s">
        <v>8129</v>
      </c>
      <c r="AB50" s="22" t="s">
        <v>8130</v>
      </c>
      <c r="AC50" s="25"/>
      <c r="AD50" s="24"/>
      <c r="AE50" s="22" t="s">
        <v>8132</v>
      </c>
      <c r="AF50" s="24"/>
      <c r="AG50" s="22">
        <v>1.0420807631171E13</v>
      </c>
      <c r="AH50" s="22" t="s">
        <v>8137</v>
      </c>
      <c r="AI50" s="22">
        <v>2.3369212232003E13</v>
      </c>
      <c r="AJ50" s="25"/>
      <c r="AK50" s="24"/>
      <c r="AL50" s="22" t="s">
        <v>8149</v>
      </c>
      <c r="AM50" s="22">
        <v>7.457860223299E12</v>
      </c>
      <c r="AN50" s="25"/>
      <c r="AO50" s="25"/>
      <c r="AP50" s="22" t="s">
        <v>8133</v>
      </c>
      <c r="AQ50" s="30"/>
      <c r="AR50" s="30" t="b">
        <v>0</v>
      </c>
      <c r="AS50" s="30" t="b">
        <v>0</v>
      </c>
    </row>
    <row r="51">
      <c r="A51" s="21" t="s">
        <v>8337</v>
      </c>
      <c r="B51" s="22" t="s">
        <v>8140</v>
      </c>
      <c r="C51" s="22">
        <v>1.0</v>
      </c>
      <c r="D51" s="22" t="s">
        <v>8203</v>
      </c>
      <c r="E51" s="22" t="s">
        <v>8140</v>
      </c>
      <c r="F51" s="22" t="s">
        <v>8121</v>
      </c>
      <c r="G51" s="24"/>
      <c r="H51" s="22">
        <v>3.2612991205699E13</v>
      </c>
      <c r="I51" s="24"/>
      <c r="J51" s="24"/>
      <c r="K51" s="22">
        <v>4.2085703581939E13</v>
      </c>
      <c r="L51" s="24"/>
      <c r="M51" s="24"/>
      <c r="N51" s="22" t="s">
        <v>8338</v>
      </c>
      <c r="O51" s="22" t="s">
        <v>8339</v>
      </c>
      <c r="P51" s="22" t="s">
        <v>8338</v>
      </c>
      <c r="Q51" s="22" t="s">
        <v>8339</v>
      </c>
      <c r="R51" s="22" t="s">
        <v>8340</v>
      </c>
      <c r="S51" s="24"/>
      <c r="T51" s="40" t="s">
        <v>8341</v>
      </c>
      <c r="U51" s="22" t="s">
        <v>8342</v>
      </c>
      <c r="V51" s="24"/>
      <c r="W51" s="22" t="s">
        <v>8343</v>
      </c>
      <c r="X51" s="22" t="s">
        <v>8128</v>
      </c>
      <c r="Y51" s="24"/>
      <c r="Z51" s="24"/>
      <c r="AA51" s="22" t="s">
        <v>8129</v>
      </c>
      <c r="AB51" s="22" t="s">
        <v>8130</v>
      </c>
      <c r="AC51" s="25"/>
      <c r="AD51" s="22" t="s">
        <v>8131</v>
      </c>
      <c r="AE51" s="22" t="s">
        <v>8132</v>
      </c>
      <c r="AF51" s="24"/>
      <c r="AG51" s="22">
        <v>1.0400663044419E13</v>
      </c>
      <c r="AH51" s="22" t="s">
        <v>90</v>
      </c>
      <c r="AI51" s="22">
        <v>2.3335698923843E13</v>
      </c>
      <c r="AJ51" s="25"/>
      <c r="AK51" s="24"/>
      <c r="AL51" s="22" t="s">
        <v>8134</v>
      </c>
      <c r="AM51" s="22">
        <v>2.3403116953923E13</v>
      </c>
      <c r="AN51" s="25"/>
      <c r="AO51" s="25"/>
      <c r="AP51" s="22" t="s">
        <v>8134</v>
      </c>
      <c r="AQ51" s="30" t="s">
        <v>8150</v>
      </c>
      <c r="AR51" s="30" t="b">
        <v>0</v>
      </c>
      <c r="AS51" s="30" t="b">
        <v>0</v>
      </c>
    </row>
    <row r="52">
      <c r="A52" s="21" t="s">
        <v>8337</v>
      </c>
      <c r="B52" s="24"/>
      <c r="C52" s="24"/>
      <c r="D52" s="22" t="s">
        <v>8203</v>
      </c>
      <c r="E52" s="24"/>
      <c r="F52" s="22" t="s">
        <v>8136</v>
      </c>
      <c r="G52" s="24"/>
      <c r="H52" s="22">
        <v>9.464002838851E12</v>
      </c>
      <c r="I52" s="24"/>
      <c r="J52" s="24"/>
      <c r="K52" s="24"/>
      <c r="L52" s="24"/>
      <c r="M52" s="24"/>
      <c r="N52" s="22" t="s">
        <v>8338</v>
      </c>
      <c r="O52" s="22" t="s">
        <v>8339</v>
      </c>
      <c r="P52" s="22" t="s">
        <v>8338</v>
      </c>
      <c r="Q52" s="22" t="s">
        <v>8339</v>
      </c>
      <c r="R52" s="22" t="s">
        <v>8340</v>
      </c>
      <c r="S52" s="24"/>
      <c r="T52" s="40" t="s">
        <v>8341</v>
      </c>
      <c r="U52" s="22" t="s">
        <v>8342</v>
      </c>
      <c r="V52" s="24"/>
      <c r="W52" s="22" t="s">
        <v>8343</v>
      </c>
      <c r="X52" s="22" t="s">
        <v>8128</v>
      </c>
      <c r="Y52" s="24"/>
      <c r="Z52" s="24"/>
      <c r="AA52" s="22" t="s">
        <v>8129</v>
      </c>
      <c r="AB52" s="22" t="s">
        <v>8130</v>
      </c>
      <c r="AC52" s="25"/>
      <c r="AD52" s="25"/>
      <c r="AE52" s="22" t="s">
        <v>8132</v>
      </c>
      <c r="AF52" s="24"/>
      <c r="AG52" s="22">
        <v>1.0400663044419E13</v>
      </c>
      <c r="AH52" s="22" t="s">
        <v>8137</v>
      </c>
      <c r="AI52" s="22">
        <v>2.3335698923843E13</v>
      </c>
      <c r="AJ52" s="25"/>
      <c r="AK52" s="24"/>
      <c r="AL52" s="22" t="s">
        <v>8136</v>
      </c>
      <c r="AM52" s="22">
        <v>2.3402960257347E13</v>
      </c>
      <c r="AN52" s="25"/>
      <c r="AO52" s="25"/>
      <c r="AP52" s="22" t="s">
        <v>8201</v>
      </c>
      <c r="AQ52" s="30"/>
      <c r="AR52" s="30" t="b">
        <v>0</v>
      </c>
      <c r="AS52" s="30" t="b">
        <v>0</v>
      </c>
    </row>
    <row r="53">
      <c r="A53" s="21" t="s">
        <v>8344</v>
      </c>
      <c r="B53" s="22" t="s">
        <v>8140</v>
      </c>
      <c r="C53" s="22">
        <v>1.0</v>
      </c>
      <c r="D53" s="22" t="s">
        <v>8345</v>
      </c>
      <c r="E53" s="22" t="s">
        <v>8140</v>
      </c>
      <c r="F53" s="22" t="s">
        <v>8121</v>
      </c>
      <c r="G53" s="24"/>
      <c r="H53" s="22">
        <v>3.2663348937027E13</v>
      </c>
      <c r="I53" s="24"/>
      <c r="J53" s="24"/>
      <c r="K53" s="22">
        <v>4.2085703581939E13</v>
      </c>
      <c r="L53" s="24"/>
      <c r="M53" s="24"/>
      <c r="N53" s="22" t="s">
        <v>8346</v>
      </c>
      <c r="O53" s="22" t="s">
        <v>8347</v>
      </c>
      <c r="P53" s="22" t="s">
        <v>8346</v>
      </c>
      <c r="Q53" s="22" t="s">
        <v>8347</v>
      </c>
      <c r="R53" s="22" t="s">
        <v>8348</v>
      </c>
      <c r="S53" s="24"/>
      <c r="T53" s="40" t="s">
        <v>8349</v>
      </c>
      <c r="U53" s="22" t="s">
        <v>8350</v>
      </c>
      <c r="V53" s="24"/>
      <c r="W53" s="22" t="s">
        <v>8351</v>
      </c>
      <c r="X53" s="22" t="s">
        <v>8289</v>
      </c>
      <c r="Y53" s="24"/>
      <c r="Z53" s="24"/>
      <c r="AA53" s="22" t="s">
        <v>8129</v>
      </c>
      <c r="AB53" s="22" t="s">
        <v>8130</v>
      </c>
      <c r="AC53" s="25"/>
      <c r="AD53" s="22" t="s">
        <v>8131</v>
      </c>
      <c r="AE53" s="22" t="s">
        <v>8132</v>
      </c>
      <c r="AF53" s="24"/>
      <c r="AG53" s="22">
        <v>1.0422192210243E13</v>
      </c>
      <c r="AH53" s="22" t="s">
        <v>90</v>
      </c>
      <c r="AI53" s="22">
        <v>2.3371785175363E13</v>
      </c>
      <c r="AJ53" s="25"/>
      <c r="AK53" s="24"/>
      <c r="AL53" s="22" t="s">
        <v>8134</v>
      </c>
      <c r="AM53" s="22">
        <v>2.3402960257347E13</v>
      </c>
      <c r="AN53" s="25"/>
      <c r="AO53" s="25"/>
      <c r="AP53" s="22" t="s">
        <v>8149</v>
      </c>
      <c r="AQ53" s="30" t="s">
        <v>8150</v>
      </c>
      <c r="AR53" s="30" t="b">
        <v>0</v>
      </c>
      <c r="AS53" s="30" t="b">
        <v>0</v>
      </c>
    </row>
    <row r="54">
      <c r="A54" s="21" t="s">
        <v>8344</v>
      </c>
      <c r="B54" s="24"/>
      <c r="C54" s="24"/>
      <c r="D54" s="22" t="s">
        <v>8345</v>
      </c>
      <c r="E54" s="24"/>
      <c r="F54" s="22" t="s">
        <v>8136</v>
      </c>
      <c r="G54" s="24"/>
      <c r="H54" s="22">
        <v>9.482351935811E12</v>
      </c>
      <c r="I54" s="24"/>
      <c r="J54" s="24"/>
      <c r="K54" s="24"/>
      <c r="L54" s="24"/>
      <c r="M54" s="24"/>
      <c r="N54" s="22" t="s">
        <v>8346</v>
      </c>
      <c r="O54" s="22" t="s">
        <v>8347</v>
      </c>
      <c r="P54" s="22" t="s">
        <v>8346</v>
      </c>
      <c r="Q54" s="22" t="s">
        <v>8347</v>
      </c>
      <c r="R54" s="22" t="s">
        <v>8348</v>
      </c>
      <c r="S54" s="24"/>
      <c r="T54" s="40" t="s">
        <v>8349</v>
      </c>
      <c r="U54" s="22" t="s">
        <v>8350</v>
      </c>
      <c r="V54" s="24"/>
      <c r="W54" s="22" t="s">
        <v>8351</v>
      </c>
      <c r="X54" s="22" t="s">
        <v>8289</v>
      </c>
      <c r="Y54" s="24"/>
      <c r="Z54" s="24"/>
      <c r="AA54" s="22" t="s">
        <v>8129</v>
      </c>
      <c r="AB54" s="22" t="s">
        <v>8130</v>
      </c>
      <c r="AC54" s="25"/>
      <c r="AD54" s="25"/>
      <c r="AE54" s="22" t="s">
        <v>8132</v>
      </c>
      <c r="AF54" s="24"/>
      <c r="AG54" s="22">
        <v>1.0422192210243E13</v>
      </c>
      <c r="AH54" s="22" t="s">
        <v>8137</v>
      </c>
      <c r="AI54" s="22">
        <v>2.3371785175363E13</v>
      </c>
      <c r="AJ54" s="25"/>
      <c r="AK54" s="24"/>
      <c r="AL54" s="22" t="s">
        <v>8136</v>
      </c>
      <c r="AM54" s="22">
        <v>6.484930691315E12</v>
      </c>
      <c r="AN54" s="25"/>
      <c r="AO54" s="25"/>
      <c r="AP54" s="22" t="s">
        <v>8134</v>
      </c>
      <c r="AQ54" s="30"/>
      <c r="AR54" s="30" t="b">
        <v>0</v>
      </c>
      <c r="AS54" s="30" t="b">
        <v>0</v>
      </c>
    </row>
    <row r="55">
      <c r="A55" s="21" t="s">
        <v>8352</v>
      </c>
      <c r="B55" s="22" t="s">
        <v>8140</v>
      </c>
      <c r="C55" s="22">
        <v>1.0</v>
      </c>
      <c r="D55" s="22" t="s">
        <v>8254</v>
      </c>
      <c r="E55" s="22" t="s">
        <v>8140</v>
      </c>
      <c r="F55" s="22" t="s">
        <v>8121</v>
      </c>
      <c r="G55" s="24"/>
      <c r="H55" s="22">
        <v>3.2670559797571E13</v>
      </c>
      <c r="I55" s="24"/>
      <c r="J55" s="24"/>
      <c r="K55" s="22">
        <v>4.2085703581939E13</v>
      </c>
      <c r="L55" s="24"/>
      <c r="M55" s="24"/>
      <c r="N55" s="22" t="s">
        <v>8353</v>
      </c>
      <c r="O55" s="22" t="s">
        <v>8354</v>
      </c>
      <c r="P55" s="22" t="s">
        <v>8353</v>
      </c>
      <c r="Q55" s="22" t="s">
        <v>8354</v>
      </c>
      <c r="R55" s="22" t="s">
        <v>8355</v>
      </c>
      <c r="S55" s="24"/>
      <c r="T55" s="40" t="s">
        <v>8356</v>
      </c>
      <c r="U55" s="22" t="s">
        <v>8357</v>
      </c>
      <c r="V55" s="24"/>
      <c r="W55" s="22" t="s">
        <v>8358</v>
      </c>
      <c r="X55" s="22" t="s">
        <v>8128</v>
      </c>
      <c r="Y55" s="24"/>
      <c r="Z55" s="24"/>
      <c r="AA55" s="22" t="s">
        <v>8129</v>
      </c>
      <c r="AB55" s="22" t="s">
        <v>8130</v>
      </c>
      <c r="AC55" s="25"/>
      <c r="AD55" s="22" t="s">
        <v>8131</v>
      </c>
      <c r="AE55" s="22" t="s">
        <v>8132</v>
      </c>
      <c r="AF55" s="24"/>
      <c r="AG55" s="22">
        <v>1.0425560695107E13</v>
      </c>
      <c r="AH55" s="22" t="s">
        <v>90</v>
      </c>
      <c r="AI55" s="22">
        <v>2.3378895536451E13</v>
      </c>
      <c r="AJ55" s="25"/>
      <c r="AK55" s="24"/>
      <c r="AL55" s="22" t="s">
        <v>8134</v>
      </c>
      <c r="AM55" s="22">
        <v>6.484930691315E12</v>
      </c>
      <c r="AN55" s="25"/>
      <c r="AO55" s="25"/>
      <c r="AP55" s="22" t="s">
        <v>8136</v>
      </c>
      <c r="AQ55" s="30" t="s">
        <v>8150</v>
      </c>
      <c r="AR55" s="30" t="b">
        <v>0</v>
      </c>
      <c r="AS55" s="30" t="b">
        <v>0</v>
      </c>
    </row>
    <row r="56">
      <c r="A56" s="21" t="s">
        <v>8352</v>
      </c>
      <c r="B56" s="24"/>
      <c r="C56" s="24"/>
      <c r="D56" s="22" t="s">
        <v>8254</v>
      </c>
      <c r="E56" s="24"/>
      <c r="F56" s="22" t="s">
        <v>8136</v>
      </c>
      <c r="G56" s="24"/>
      <c r="H56" s="22">
        <v>9.485233193283E12</v>
      </c>
      <c r="I56" s="24"/>
      <c r="J56" s="24"/>
      <c r="K56" s="24"/>
      <c r="L56" s="24"/>
      <c r="M56" s="24"/>
      <c r="N56" s="22" t="s">
        <v>8353</v>
      </c>
      <c r="O56" s="22" t="s">
        <v>8354</v>
      </c>
      <c r="P56" s="22" t="s">
        <v>8353</v>
      </c>
      <c r="Q56" s="22" t="s">
        <v>8354</v>
      </c>
      <c r="R56" s="22" t="s">
        <v>8355</v>
      </c>
      <c r="S56" s="24"/>
      <c r="T56" s="40" t="s">
        <v>8356</v>
      </c>
      <c r="U56" s="22" t="s">
        <v>8357</v>
      </c>
      <c r="V56" s="24"/>
      <c r="W56" s="22" t="s">
        <v>8358</v>
      </c>
      <c r="X56" s="22" t="s">
        <v>8128</v>
      </c>
      <c r="Y56" s="24"/>
      <c r="Z56" s="24"/>
      <c r="AA56" s="22" t="s">
        <v>8129</v>
      </c>
      <c r="AB56" s="22" t="s">
        <v>8130</v>
      </c>
      <c r="AC56" s="25"/>
      <c r="AD56" s="24"/>
      <c r="AE56" s="22" t="s">
        <v>8132</v>
      </c>
      <c r="AF56" s="24"/>
      <c r="AG56" s="22">
        <v>1.0425560695107E13</v>
      </c>
      <c r="AH56" s="22" t="s">
        <v>8137</v>
      </c>
      <c r="AI56" s="22">
        <v>2.3378895536451E13</v>
      </c>
      <c r="AJ56" s="25"/>
      <c r="AK56" s="24"/>
      <c r="AL56" s="22" t="s">
        <v>8136</v>
      </c>
      <c r="AM56" s="22">
        <v>7.439263236419E12</v>
      </c>
      <c r="AN56" s="25"/>
      <c r="AO56" s="25"/>
      <c r="AP56" s="22" t="s">
        <v>8136</v>
      </c>
      <c r="AQ56" s="30"/>
      <c r="AR56" s="30" t="b">
        <v>0</v>
      </c>
      <c r="AS56" s="30" t="b">
        <v>0</v>
      </c>
    </row>
    <row r="57">
      <c r="A57" s="21" t="s">
        <v>8359</v>
      </c>
      <c r="B57" s="22" t="s">
        <v>8140</v>
      </c>
      <c r="C57" s="22">
        <v>1.0</v>
      </c>
      <c r="D57" s="24"/>
      <c r="E57" s="22" t="s">
        <v>8140</v>
      </c>
      <c r="F57" s="22" t="s">
        <v>8121</v>
      </c>
      <c r="G57" s="22" t="s">
        <v>89</v>
      </c>
      <c r="H57" s="22">
        <v>3.2670630347075E13</v>
      </c>
      <c r="I57" s="22" t="s">
        <v>89</v>
      </c>
      <c r="J57" s="22" t="s">
        <v>8360</v>
      </c>
      <c r="K57" s="22">
        <v>4.2085703581939E13</v>
      </c>
      <c r="L57" s="24"/>
      <c r="M57" s="24"/>
      <c r="N57" s="22" t="s">
        <v>4257</v>
      </c>
      <c r="O57" s="22" t="s">
        <v>8361</v>
      </c>
      <c r="P57" s="22" t="s">
        <v>4257</v>
      </c>
      <c r="Q57" s="22" t="s">
        <v>8361</v>
      </c>
      <c r="R57" s="22" t="s">
        <v>8362</v>
      </c>
      <c r="S57" s="22" t="s">
        <v>8363</v>
      </c>
      <c r="T57" s="40" t="s">
        <v>8364</v>
      </c>
      <c r="U57" s="22" t="s">
        <v>8365</v>
      </c>
      <c r="V57" s="24"/>
      <c r="W57" s="22" t="s">
        <v>8366</v>
      </c>
      <c r="X57" s="22" t="s">
        <v>8367</v>
      </c>
      <c r="Y57" s="24"/>
      <c r="Z57" s="24"/>
      <c r="AA57" s="22" t="s">
        <v>8129</v>
      </c>
      <c r="AB57" s="22" t="s">
        <v>8130</v>
      </c>
      <c r="AC57" s="25"/>
      <c r="AD57" s="22" t="s">
        <v>8131</v>
      </c>
      <c r="AE57" s="22" t="s">
        <v>8132</v>
      </c>
      <c r="AF57" s="24"/>
      <c r="AG57" s="22">
        <v>1.0425594478915E13</v>
      </c>
      <c r="AH57" s="22" t="s">
        <v>90</v>
      </c>
      <c r="AI57" s="22">
        <v>8.478401233219E12</v>
      </c>
      <c r="AJ57" s="25"/>
      <c r="AK57" s="24"/>
      <c r="AL57" s="22" t="s">
        <v>8134</v>
      </c>
      <c r="AM57" s="22">
        <v>7.393001636163E12</v>
      </c>
      <c r="AN57" s="25"/>
      <c r="AO57" s="25"/>
      <c r="AP57" s="22" t="s">
        <v>8136</v>
      </c>
      <c r="AQ57" s="30" t="s">
        <v>8150</v>
      </c>
      <c r="AR57" s="30" t="b">
        <v>0</v>
      </c>
      <c r="AS57" s="30" t="b">
        <v>0</v>
      </c>
    </row>
    <row r="58">
      <c r="A58" s="21" t="s">
        <v>8359</v>
      </c>
      <c r="B58" s="24"/>
      <c r="C58" s="24"/>
      <c r="D58" s="24"/>
      <c r="E58" s="24"/>
      <c r="F58" s="22" t="s">
        <v>8136</v>
      </c>
      <c r="G58" s="24"/>
      <c r="H58" s="22">
        <v>9.485265207619E12</v>
      </c>
      <c r="I58" s="22" t="s">
        <v>89</v>
      </c>
      <c r="J58" s="24"/>
      <c r="K58" s="24"/>
      <c r="L58" s="24"/>
      <c r="M58" s="24"/>
      <c r="N58" s="22" t="s">
        <v>4257</v>
      </c>
      <c r="O58" s="22" t="s">
        <v>8361</v>
      </c>
      <c r="P58" s="22" t="s">
        <v>4257</v>
      </c>
      <c r="Q58" s="22" t="s">
        <v>8361</v>
      </c>
      <c r="R58" s="22" t="s">
        <v>8362</v>
      </c>
      <c r="S58" s="22" t="s">
        <v>8363</v>
      </c>
      <c r="T58" s="40" t="s">
        <v>8364</v>
      </c>
      <c r="U58" s="22" t="s">
        <v>8365</v>
      </c>
      <c r="V58" s="24"/>
      <c r="W58" s="22" t="s">
        <v>8366</v>
      </c>
      <c r="X58" s="22" t="s">
        <v>8367</v>
      </c>
      <c r="Y58" s="24"/>
      <c r="Z58" s="24"/>
      <c r="AA58" s="22" t="s">
        <v>8129</v>
      </c>
      <c r="AB58" s="22" t="s">
        <v>8130</v>
      </c>
      <c r="AC58" s="25"/>
      <c r="AD58" s="24"/>
      <c r="AE58" s="22" t="s">
        <v>8132</v>
      </c>
      <c r="AF58" s="24"/>
      <c r="AG58" s="22">
        <v>1.0425594478915E13</v>
      </c>
      <c r="AH58" s="22" t="s">
        <v>8137</v>
      </c>
      <c r="AI58" s="22">
        <v>8.478401233219E12</v>
      </c>
      <c r="AJ58" s="25"/>
      <c r="AK58" s="24"/>
      <c r="AL58" s="22" t="s">
        <v>8136</v>
      </c>
      <c r="AM58" s="22">
        <v>2.3401456238915E13</v>
      </c>
      <c r="AN58" s="25"/>
      <c r="AO58" s="25"/>
      <c r="AP58" s="22" t="s">
        <v>8133</v>
      </c>
      <c r="AQ58" s="30"/>
      <c r="AR58" s="30" t="b">
        <v>0</v>
      </c>
      <c r="AS58" s="30" t="b">
        <v>0</v>
      </c>
    </row>
    <row r="59">
      <c r="A59" s="21" t="s">
        <v>8359</v>
      </c>
      <c r="B59" s="22" t="s">
        <v>8140</v>
      </c>
      <c r="C59" s="22">
        <v>-1.0</v>
      </c>
      <c r="D59" s="24"/>
      <c r="E59" s="22" t="s">
        <v>8140</v>
      </c>
      <c r="F59" s="22" t="s">
        <v>8121</v>
      </c>
      <c r="G59" s="22" t="s">
        <v>89</v>
      </c>
      <c r="H59" s="22">
        <v>3.2670630347075E13</v>
      </c>
      <c r="I59" s="22" t="s">
        <v>89</v>
      </c>
      <c r="J59" s="24"/>
      <c r="K59" s="22">
        <v>4.2085703581939E13</v>
      </c>
      <c r="L59" s="22" t="s">
        <v>8182</v>
      </c>
      <c r="M59" s="35" t="s">
        <v>8368</v>
      </c>
      <c r="N59" s="22" t="s">
        <v>4257</v>
      </c>
      <c r="O59" s="22" t="s">
        <v>8361</v>
      </c>
      <c r="P59" s="22" t="s">
        <v>4257</v>
      </c>
      <c r="Q59" s="22" t="s">
        <v>8361</v>
      </c>
      <c r="R59" s="22" t="s">
        <v>8362</v>
      </c>
      <c r="S59" s="22" t="s">
        <v>8363</v>
      </c>
      <c r="T59" s="40" t="s">
        <v>8364</v>
      </c>
      <c r="U59" s="22" t="s">
        <v>8365</v>
      </c>
      <c r="V59" s="24"/>
      <c r="W59" s="22" t="s">
        <v>8366</v>
      </c>
      <c r="X59" s="22" t="s">
        <v>8367</v>
      </c>
      <c r="Y59" s="24"/>
      <c r="Z59" s="24"/>
      <c r="AA59" s="22" t="s">
        <v>8129</v>
      </c>
      <c r="AB59" s="22" t="s">
        <v>8130</v>
      </c>
      <c r="AC59" s="25"/>
      <c r="AD59" s="22" t="s">
        <v>8131</v>
      </c>
      <c r="AE59" s="22" t="s">
        <v>8132</v>
      </c>
      <c r="AF59" s="24"/>
      <c r="AG59" s="22">
        <v>1.0425594478915E13</v>
      </c>
      <c r="AH59" s="22" t="s">
        <v>8184</v>
      </c>
      <c r="AI59" s="22">
        <v>8.478401233219E12</v>
      </c>
      <c r="AJ59" s="25"/>
      <c r="AK59" s="22">
        <v>6.715101479235E12</v>
      </c>
      <c r="AL59" s="22" t="s">
        <v>8134</v>
      </c>
      <c r="AM59" s="22">
        <v>8.582045139267E12</v>
      </c>
      <c r="AN59" s="25"/>
      <c r="AO59" s="25"/>
      <c r="AP59" s="22" t="s">
        <v>8134</v>
      </c>
      <c r="AQ59" s="30" t="s">
        <v>8150</v>
      </c>
      <c r="AR59" s="30" t="b">
        <v>0</v>
      </c>
      <c r="AS59" s="30" t="b">
        <v>0</v>
      </c>
    </row>
    <row r="60">
      <c r="A60" s="21" t="s">
        <v>8369</v>
      </c>
      <c r="B60" s="22" t="s">
        <v>8370</v>
      </c>
      <c r="C60" s="22">
        <v>1.0</v>
      </c>
      <c r="D60" s="22" t="s">
        <v>8371</v>
      </c>
      <c r="E60" s="22" t="s">
        <v>8370</v>
      </c>
      <c r="F60" s="22" t="s">
        <v>8155</v>
      </c>
      <c r="G60" s="24"/>
      <c r="H60" s="22">
        <v>3.2670776262979E13</v>
      </c>
      <c r="I60" s="24"/>
      <c r="J60" s="24"/>
      <c r="K60" s="22">
        <v>4.9521175494979E13</v>
      </c>
      <c r="L60" s="24"/>
      <c r="M60" s="24"/>
      <c r="N60" s="22" t="s">
        <v>6847</v>
      </c>
      <c r="O60" s="22" t="s">
        <v>8372</v>
      </c>
      <c r="P60" s="22" t="s">
        <v>8373</v>
      </c>
      <c r="Q60" s="22" t="s">
        <v>8374</v>
      </c>
      <c r="R60" s="22" t="s">
        <v>8375</v>
      </c>
      <c r="S60" s="22" t="s">
        <v>8376</v>
      </c>
      <c r="T60" s="40" t="s">
        <v>8377</v>
      </c>
      <c r="U60" s="22" t="s">
        <v>8378</v>
      </c>
      <c r="V60" s="24"/>
      <c r="W60" s="22" t="s">
        <v>8379</v>
      </c>
      <c r="X60" s="22" t="s">
        <v>8380</v>
      </c>
      <c r="Y60" s="24"/>
      <c r="Z60" s="24"/>
      <c r="AA60" s="22" t="s">
        <v>8129</v>
      </c>
      <c r="AB60" s="22" t="s">
        <v>8130</v>
      </c>
      <c r="AC60" s="25"/>
      <c r="AD60" s="22" t="s">
        <v>8161</v>
      </c>
      <c r="AE60" s="22" t="s">
        <v>8132</v>
      </c>
      <c r="AF60" s="24"/>
      <c r="AG60" s="22">
        <v>1.0425665093955E13</v>
      </c>
      <c r="AH60" s="22" t="s">
        <v>90</v>
      </c>
      <c r="AI60" s="22">
        <v>7.467654545731E12</v>
      </c>
      <c r="AJ60" s="25"/>
      <c r="AK60" s="24"/>
      <c r="AL60" s="22" t="s">
        <v>8138</v>
      </c>
      <c r="AM60" s="22">
        <v>8.582045139267E12</v>
      </c>
      <c r="AN60" s="25"/>
      <c r="AO60" s="25"/>
      <c r="AP60" s="22" t="s">
        <v>8136</v>
      </c>
      <c r="AQ60" s="30" t="s">
        <v>91</v>
      </c>
      <c r="AR60" s="30" t="b">
        <v>0</v>
      </c>
      <c r="AS60" s="30" t="b">
        <v>1</v>
      </c>
    </row>
    <row r="61">
      <c r="A61" s="21" t="s">
        <v>8369</v>
      </c>
      <c r="B61" s="24"/>
      <c r="C61" s="24"/>
      <c r="D61" s="22" t="s">
        <v>8371</v>
      </c>
      <c r="E61" s="24"/>
      <c r="F61" s="22" t="s">
        <v>8149</v>
      </c>
      <c r="G61" s="24"/>
      <c r="H61" s="22">
        <v>9.485331661123E12</v>
      </c>
      <c r="I61" s="24"/>
      <c r="J61" s="24"/>
      <c r="K61" s="24"/>
      <c r="L61" s="24"/>
      <c r="M61" s="24"/>
      <c r="N61" s="22" t="s">
        <v>6847</v>
      </c>
      <c r="O61" s="22" t="s">
        <v>8372</v>
      </c>
      <c r="P61" s="22" t="s">
        <v>8373</v>
      </c>
      <c r="Q61" s="22" t="s">
        <v>8374</v>
      </c>
      <c r="R61" s="22" t="s">
        <v>8375</v>
      </c>
      <c r="S61" s="22" t="s">
        <v>8376</v>
      </c>
      <c r="T61" s="40" t="s">
        <v>8377</v>
      </c>
      <c r="U61" s="22" t="s">
        <v>8378</v>
      </c>
      <c r="V61" s="24"/>
      <c r="W61" s="22" t="s">
        <v>8379</v>
      </c>
      <c r="X61" s="22" t="s">
        <v>8380</v>
      </c>
      <c r="Y61" s="24"/>
      <c r="Z61" s="24"/>
      <c r="AA61" s="22" t="s">
        <v>8129</v>
      </c>
      <c r="AB61" s="22" t="s">
        <v>8130</v>
      </c>
      <c r="AC61" s="25"/>
      <c r="AD61" s="25"/>
      <c r="AE61" s="22" t="s">
        <v>8132</v>
      </c>
      <c r="AF61" s="24"/>
      <c r="AG61" s="22">
        <v>1.0425665093955E13</v>
      </c>
      <c r="AH61" s="22" t="s">
        <v>8137</v>
      </c>
      <c r="AI61" s="22">
        <v>7.467654545731E12</v>
      </c>
      <c r="AJ61" s="25"/>
      <c r="AK61" s="24"/>
      <c r="AL61" s="22" t="s">
        <v>8149</v>
      </c>
      <c r="AM61" s="22">
        <v>8.590208368963E12</v>
      </c>
      <c r="AN61" s="25"/>
      <c r="AO61" s="25"/>
      <c r="AP61" s="22" t="s">
        <v>8134</v>
      </c>
      <c r="AQ61" s="30"/>
      <c r="AR61" s="30" t="b">
        <v>0</v>
      </c>
      <c r="AS61" s="30" t="b">
        <v>0</v>
      </c>
    </row>
    <row r="62">
      <c r="A62" s="21" t="s">
        <v>8381</v>
      </c>
      <c r="B62" s="22" t="s">
        <v>8119</v>
      </c>
      <c r="C62" s="22">
        <v>1.0</v>
      </c>
      <c r="D62" s="22" t="s">
        <v>8175</v>
      </c>
      <c r="E62" s="22" t="s">
        <v>8119</v>
      </c>
      <c r="F62" s="22" t="s">
        <v>8121</v>
      </c>
      <c r="G62" s="22" t="s">
        <v>89</v>
      </c>
      <c r="H62" s="22">
        <v>3.2674018525507E13</v>
      </c>
      <c r="I62" s="22" t="s">
        <v>89</v>
      </c>
      <c r="J62" s="24"/>
      <c r="K62" s="22">
        <v>4.2085703549171E13</v>
      </c>
      <c r="L62" s="24"/>
      <c r="M62" s="24"/>
      <c r="N62" s="22" t="s">
        <v>8382</v>
      </c>
      <c r="O62" s="22" t="s">
        <v>8383</v>
      </c>
      <c r="P62" s="22" t="s">
        <v>8382</v>
      </c>
      <c r="Q62" s="22" t="s">
        <v>8383</v>
      </c>
      <c r="R62" s="22" t="s">
        <v>8384</v>
      </c>
      <c r="S62" s="24"/>
      <c r="T62" s="40" t="s">
        <v>8385</v>
      </c>
      <c r="U62" s="22" t="s">
        <v>8386</v>
      </c>
      <c r="V62" s="24"/>
      <c r="W62" s="22" t="s">
        <v>8387</v>
      </c>
      <c r="X62" s="22" t="s">
        <v>8242</v>
      </c>
      <c r="Y62" s="24"/>
      <c r="Z62" s="24"/>
      <c r="AA62" s="22" t="s">
        <v>8129</v>
      </c>
      <c r="AB62" s="22" t="s">
        <v>8130</v>
      </c>
      <c r="AC62" s="25"/>
      <c r="AD62" s="22" t="s">
        <v>8131</v>
      </c>
      <c r="AE62" s="22" t="s">
        <v>8132</v>
      </c>
      <c r="AF62" s="24"/>
      <c r="AG62" s="22">
        <v>1.0427168457027E13</v>
      </c>
      <c r="AH62" s="22" t="s">
        <v>90</v>
      </c>
      <c r="AI62" s="22">
        <v>6.469772607731E12</v>
      </c>
      <c r="AJ62" s="25"/>
      <c r="AK62" s="24"/>
      <c r="AL62" s="22" t="s">
        <v>8133</v>
      </c>
      <c r="AM62" s="22">
        <v>8.590208368963E12</v>
      </c>
      <c r="AN62" s="25"/>
      <c r="AO62" s="25"/>
      <c r="AP62" s="22" t="s">
        <v>8136</v>
      </c>
      <c r="AQ62" s="30" t="s">
        <v>8135</v>
      </c>
      <c r="AR62" s="30" t="b">
        <v>0</v>
      </c>
      <c r="AS62" s="30" t="b">
        <v>0</v>
      </c>
    </row>
    <row r="63">
      <c r="A63" s="21" t="s">
        <v>8381</v>
      </c>
      <c r="B63" s="24"/>
      <c r="C63" s="24"/>
      <c r="D63" s="22" t="s">
        <v>8175</v>
      </c>
      <c r="E63" s="24"/>
      <c r="F63" s="22" t="s">
        <v>8136</v>
      </c>
      <c r="G63" s="24"/>
      <c r="H63" s="22">
        <v>9.486651982147E12</v>
      </c>
      <c r="I63" s="22" t="s">
        <v>89</v>
      </c>
      <c r="J63" s="24"/>
      <c r="K63" s="24"/>
      <c r="L63" s="24"/>
      <c r="M63" s="24"/>
      <c r="N63" s="22" t="s">
        <v>8382</v>
      </c>
      <c r="O63" s="22" t="s">
        <v>8383</v>
      </c>
      <c r="P63" s="22" t="s">
        <v>8382</v>
      </c>
      <c r="Q63" s="22" t="s">
        <v>8383</v>
      </c>
      <c r="R63" s="22" t="s">
        <v>8384</v>
      </c>
      <c r="S63" s="24"/>
      <c r="T63" s="40" t="s">
        <v>8385</v>
      </c>
      <c r="U63" s="22" t="s">
        <v>8386</v>
      </c>
      <c r="V63" s="24"/>
      <c r="W63" s="22" t="s">
        <v>8387</v>
      </c>
      <c r="X63" s="22" t="s">
        <v>8242</v>
      </c>
      <c r="Y63" s="24"/>
      <c r="Z63" s="24"/>
      <c r="AA63" s="22" t="s">
        <v>8129</v>
      </c>
      <c r="AB63" s="22" t="s">
        <v>8130</v>
      </c>
      <c r="AC63" s="25"/>
      <c r="AD63" s="25"/>
      <c r="AE63" s="22" t="s">
        <v>8132</v>
      </c>
      <c r="AF63" s="24"/>
      <c r="AG63" s="22">
        <v>1.0427168457027E13</v>
      </c>
      <c r="AH63" s="22" t="s">
        <v>8137</v>
      </c>
      <c r="AI63" s="22">
        <v>6.469772607731E12</v>
      </c>
      <c r="AJ63" s="25"/>
      <c r="AK63" s="24"/>
      <c r="AL63" s="22" t="s">
        <v>8136</v>
      </c>
      <c r="AM63" s="22">
        <v>2.3403781849411E13</v>
      </c>
      <c r="AN63" s="25"/>
      <c r="AO63" s="25"/>
      <c r="AP63" s="22" t="s">
        <v>8138</v>
      </c>
      <c r="AQ63" s="30"/>
      <c r="AR63" s="30" t="b">
        <v>0</v>
      </c>
      <c r="AS63" s="30" t="b">
        <v>0</v>
      </c>
    </row>
    <row r="64">
      <c r="A64" s="21" t="s">
        <v>8381</v>
      </c>
      <c r="B64" s="22" t="s">
        <v>8119</v>
      </c>
      <c r="C64" s="22">
        <v>-1.0</v>
      </c>
      <c r="D64" s="22" t="s">
        <v>8175</v>
      </c>
      <c r="E64" s="22" t="s">
        <v>8119</v>
      </c>
      <c r="F64" s="22" t="s">
        <v>8121</v>
      </c>
      <c r="G64" s="22" t="s">
        <v>89</v>
      </c>
      <c r="H64" s="22">
        <v>3.2674018525507E13</v>
      </c>
      <c r="I64" s="22" t="s">
        <v>89</v>
      </c>
      <c r="J64" s="24"/>
      <c r="K64" s="22">
        <v>4.2085703549171E13</v>
      </c>
      <c r="L64" s="22" t="s">
        <v>8182</v>
      </c>
      <c r="M64" s="35" t="s">
        <v>8388</v>
      </c>
      <c r="N64" s="22" t="s">
        <v>8382</v>
      </c>
      <c r="O64" s="22" t="s">
        <v>8383</v>
      </c>
      <c r="P64" s="22" t="s">
        <v>8382</v>
      </c>
      <c r="Q64" s="22" t="s">
        <v>8383</v>
      </c>
      <c r="R64" s="22" t="s">
        <v>8384</v>
      </c>
      <c r="S64" s="24"/>
      <c r="T64" s="40" t="s">
        <v>8385</v>
      </c>
      <c r="U64" s="22" t="s">
        <v>8386</v>
      </c>
      <c r="V64" s="24"/>
      <c r="W64" s="22" t="s">
        <v>8387</v>
      </c>
      <c r="X64" s="22" t="s">
        <v>8242</v>
      </c>
      <c r="Y64" s="24"/>
      <c r="Z64" s="24"/>
      <c r="AA64" s="22" t="s">
        <v>8129</v>
      </c>
      <c r="AB64" s="22" t="s">
        <v>8130</v>
      </c>
      <c r="AC64" s="25"/>
      <c r="AD64" s="22" t="s">
        <v>8131</v>
      </c>
      <c r="AE64" s="22" t="s">
        <v>8132</v>
      </c>
      <c r="AF64" s="24"/>
      <c r="AG64" s="22">
        <v>1.0427168457027E13</v>
      </c>
      <c r="AH64" s="22" t="s">
        <v>8184</v>
      </c>
      <c r="AI64" s="22">
        <v>6.469772607731E12</v>
      </c>
      <c r="AJ64" s="25"/>
      <c r="AK64" s="22">
        <v>6.714601013571E12</v>
      </c>
      <c r="AL64" s="22" t="s">
        <v>8133</v>
      </c>
      <c r="AM64" s="22">
        <v>2.3403781849411E13</v>
      </c>
      <c r="AN64" s="25"/>
      <c r="AO64" s="25"/>
      <c r="AP64" s="22" t="s">
        <v>8149</v>
      </c>
      <c r="AQ64" s="30" t="s">
        <v>8135</v>
      </c>
      <c r="AR64" s="30" t="b">
        <v>0</v>
      </c>
      <c r="AS64" s="30" t="b">
        <v>0</v>
      </c>
    </row>
    <row r="65">
      <c r="A65" s="21" t="s">
        <v>8389</v>
      </c>
      <c r="B65" s="22" t="s">
        <v>8119</v>
      </c>
      <c r="C65" s="22">
        <v>1.0</v>
      </c>
      <c r="D65" s="22" t="s">
        <v>8212</v>
      </c>
      <c r="E65" s="22" t="s">
        <v>8119</v>
      </c>
      <c r="F65" s="22" t="s">
        <v>8121</v>
      </c>
      <c r="G65" s="24"/>
      <c r="H65" s="22">
        <v>3.2666766016835E13</v>
      </c>
      <c r="I65" s="24"/>
      <c r="J65" s="24"/>
      <c r="K65" s="22">
        <v>4.2085703549171E13</v>
      </c>
      <c r="L65" s="24"/>
      <c r="M65" s="24"/>
      <c r="N65" s="22" t="s">
        <v>5711</v>
      </c>
      <c r="O65" s="22" t="s">
        <v>8390</v>
      </c>
      <c r="P65" s="22" t="s">
        <v>5711</v>
      </c>
      <c r="Q65" s="22" t="s">
        <v>8390</v>
      </c>
      <c r="R65" s="22" t="s">
        <v>8391</v>
      </c>
      <c r="S65" s="24"/>
      <c r="T65" s="40" t="s">
        <v>8392</v>
      </c>
      <c r="U65" s="22" t="s">
        <v>8393</v>
      </c>
      <c r="V65" s="24"/>
      <c r="W65" s="22" t="s">
        <v>8394</v>
      </c>
      <c r="X65" s="22" t="s">
        <v>8380</v>
      </c>
      <c r="Y65" s="24"/>
      <c r="Z65" s="24"/>
      <c r="AA65" s="22" t="s">
        <v>8129</v>
      </c>
      <c r="AB65" s="22" t="s">
        <v>8130</v>
      </c>
      <c r="AC65" s="25"/>
      <c r="AD65" s="22" t="s">
        <v>8131</v>
      </c>
      <c r="AE65" s="22" t="s">
        <v>8132</v>
      </c>
      <c r="AF65" s="24"/>
      <c r="AG65" s="22">
        <v>1.0423817208131E13</v>
      </c>
      <c r="AH65" s="22" t="s">
        <v>90</v>
      </c>
      <c r="AI65" s="22">
        <v>2.3377045225795E13</v>
      </c>
      <c r="AJ65" s="25"/>
      <c r="AK65" s="24"/>
      <c r="AL65" s="22" t="s">
        <v>8133</v>
      </c>
      <c r="AM65" s="22">
        <v>2.3400941420867E13</v>
      </c>
      <c r="AN65" s="25"/>
      <c r="AO65" s="25"/>
      <c r="AP65" s="22" t="s">
        <v>8136</v>
      </c>
      <c r="AQ65" s="30" t="s">
        <v>8135</v>
      </c>
      <c r="AR65" s="30" t="b">
        <v>0</v>
      </c>
      <c r="AS65" s="30" t="b">
        <v>0</v>
      </c>
    </row>
    <row r="66">
      <c r="A66" s="21" t="s">
        <v>8389</v>
      </c>
      <c r="B66" s="24"/>
      <c r="C66" s="24"/>
      <c r="D66" s="22" t="s">
        <v>8212</v>
      </c>
      <c r="E66" s="24"/>
      <c r="F66" s="22" t="s">
        <v>8136</v>
      </c>
      <c r="G66" s="24"/>
      <c r="H66" s="22">
        <v>9.483703124291E12</v>
      </c>
      <c r="I66" s="24"/>
      <c r="J66" s="24"/>
      <c r="K66" s="24"/>
      <c r="L66" s="24"/>
      <c r="M66" s="24"/>
      <c r="N66" s="22" t="s">
        <v>5711</v>
      </c>
      <c r="O66" s="22" t="s">
        <v>8390</v>
      </c>
      <c r="P66" s="22" t="s">
        <v>5711</v>
      </c>
      <c r="Q66" s="22" t="s">
        <v>8390</v>
      </c>
      <c r="R66" s="22" t="s">
        <v>8391</v>
      </c>
      <c r="S66" s="24"/>
      <c r="T66" s="40" t="s">
        <v>8392</v>
      </c>
      <c r="U66" s="22" t="s">
        <v>8393</v>
      </c>
      <c r="V66" s="24"/>
      <c r="W66" s="22" t="s">
        <v>8394</v>
      </c>
      <c r="X66" s="22" t="s">
        <v>8380</v>
      </c>
      <c r="Y66" s="24"/>
      <c r="Z66" s="24"/>
      <c r="AA66" s="22" t="s">
        <v>8129</v>
      </c>
      <c r="AB66" s="22" t="s">
        <v>8130</v>
      </c>
      <c r="AC66" s="25"/>
      <c r="AD66" s="24"/>
      <c r="AE66" s="22" t="s">
        <v>8132</v>
      </c>
      <c r="AF66" s="24"/>
      <c r="AG66" s="22">
        <v>1.0423817208131E13</v>
      </c>
      <c r="AH66" s="22" t="s">
        <v>8137</v>
      </c>
      <c r="AI66" s="22">
        <v>2.3377045225795E13</v>
      </c>
      <c r="AJ66" s="25"/>
      <c r="AK66" s="24"/>
      <c r="AL66" s="22" t="s">
        <v>8136</v>
      </c>
      <c r="AM66" s="22">
        <v>5.971319161075E12</v>
      </c>
      <c r="AN66" s="25"/>
      <c r="AO66" s="25"/>
      <c r="AP66" s="22" t="s">
        <v>8336</v>
      </c>
      <c r="AQ66" s="30"/>
      <c r="AR66" s="30" t="b">
        <v>0</v>
      </c>
      <c r="AS66" s="30" t="b">
        <v>0</v>
      </c>
    </row>
    <row r="67">
      <c r="A67" s="21" t="s">
        <v>8395</v>
      </c>
      <c r="B67" s="22" t="s">
        <v>8370</v>
      </c>
      <c r="C67" s="22">
        <v>2.0</v>
      </c>
      <c r="D67" s="22" t="s">
        <v>8175</v>
      </c>
      <c r="E67" s="22" t="s">
        <v>8370</v>
      </c>
      <c r="F67" s="22" t="s">
        <v>8155</v>
      </c>
      <c r="G67" s="22" t="s">
        <v>89</v>
      </c>
      <c r="H67" s="22">
        <v>3.2676109713731E13</v>
      </c>
      <c r="I67" s="22" t="s">
        <v>89</v>
      </c>
      <c r="J67" s="24"/>
      <c r="K67" s="22">
        <v>4.9521175494979E13</v>
      </c>
      <c r="L67" s="24"/>
      <c r="M67" s="24"/>
      <c r="N67" s="22" t="s">
        <v>5269</v>
      </c>
      <c r="O67" s="22" t="s">
        <v>5758</v>
      </c>
      <c r="P67" s="22" t="s">
        <v>5269</v>
      </c>
      <c r="Q67" s="22" t="s">
        <v>5758</v>
      </c>
      <c r="R67" s="22" t="s">
        <v>8396</v>
      </c>
      <c r="S67" s="22" t="s">
        <v>8397</v>
      </c>
      <c r="T67" s="40" t="s">
        <v>8398</v>
      </c>
      <c r="U67" s="22" t="s">
        <v>8399</v>
      </c>
      <c r="V67" s="22" t="s">
        <v>3970</v>
      </c>
      <c r="W67" s="22" t="s">
        <v>8400</v>
      </c>
      <c r="X67" s="22" t="s">
        <v>8251</v>
      </c>
      <c r="Y67" s="24"/>
      <c r="Z67" s="24"/>
      <c r="AA67" s="22" t="s">
        <v>8129</v>
      </c>
      <c r="AB67" s="22" t="s">
        <v>8130</v>
      </c>
      <c r="AC67" s="25"/>
      <c r="AD67" s="22" t="s">
        <v>8161</v>
      </c>
      <c r="AE67" s="22" t="s">
        <v>8132</v>
      </c>
      <c r="AF67" s="24"/>
      <c r="AG67" s="22">
        <v>1.0428154937667E13</v>
      </c>
      <c r="AH67" s="22" t="s">
        <v>90</v>
      </c>
      <c r="AI67" s="22">
        <v>7.472085795139E12</v>
      </c>
      <c r="AJ67" s="25"/>
      <c r="AK67" s="24"/>
      <c r="AL67" s="22" t="s">
        <v>8138</v>
      </c>
      <c r="AM67" s="22">
        <v>5.971319161075E12</v>
      </c>
      <c r="AN67" s="25"/>
      <c r="AO67" s="25"/>
      <c r="AP67" s="22" t="s">
        <v>8149</v>
      </c>
      <c r="AQ67" s="30" t="s">
        <v>91</v>
      </c>
      <c r="AR67" s="30" t="b">
        <v>0</v>
      </c>
      <c r="AS67" s="30" t="b">
        <v>1</v>
      </c>
    </row>
    <row r="68">
      <c r="A68" s="21" t="s">
        <v>8395</v>
      </c>
      <c r="B68" s="24"/>
      <c r="C68" s="24"/>
      <c r="D68" s="22" t="s">
        <v>8175</v>
      </c>
      <c r="E68" s="24"/>
      <c r="F68" s="22" t="s">
        <v>8320</v>
      </c>
      <c r="G68" s="24"/>
      <c r="H68" s="22">
        <v>9.487476621635E12</v>
      </c>
      <c r="I68" s="22" t="s">
        <v>89</v>
      </c>
      <c r="J68" s="24"/>
      <c r="K68" s="24"/>
      <c r="L68" s="24"/>
      <c r="M68" s="24"/>
      <c r="N68" s="22" t="s">
        <v>5269</v>
      </c>
      <c r="O68" s="22" t="s">
        <v>5758</v>
      </c>
      <c r="P68" s="22" t="s">
        <v>5269</v>
      </c>
      <c r="Q68" s="22" t="s">
        <v>5758</v>
      </c>
      <c r="R68" s="22" t="s">
        <v>8396</v>
      </c>
      <c r="S68" s="22" t="s">
        <v>8397</v>
      </c>
      <c r="T68" s="40" t="s">
        <v>8398</v>
      </c>
      <c r="U68" s="22" t="s">
        <v>8399</v>
      </c>
      <c r="V68" s="22" t="s">
        <v>3970</v>
      </c>
      <c r="W68" s="22" t="s">
        <v>8400</v>
      </c>
      <c r="X68" s="22" t="s">
        <v>8251</v>
      </c>
      <c r="Y68" s="24"/>
      <c r="Z68" s="24"/>
      <c r="AA68" s="22" t="s">
        <v>8129</v>
      </c>
      <c r="AB68" s="22" t="s">
        <v>8130</v>
      </c>
      <c r="AC68" s="25"/>
      <c r="AD68" s="24"/>
      <c r="AE68" s="22" t="s">
        <v>8132</v>
      </c>
      <c r="AF68" s="24"/>
      <c r="AG68" s="22">
        <v>1.0428154937667E13</v>
      </c>
      <c r="AH68" s="22" t="s">
        <v>8137</v>
      </c>
      <c r="AI68" s="22">
        <v>7.472085795139E12</v>
      </c>
      <c r="AJ68" s="25"/>
      <c r="AK68" s="24"/>
      <c r="AL68" s="22" t="s">
        <v>8320</v>
      </c>
      <c r="AM68" s="22">
        <v>6.472867315955E12</v>
      </c>
      <c r="AN68" s="25"/>
      <c r="AO68" s="25"/>
      <c r="AP68" s="22" t="s">
        <v>8134</v>
      </c>
      <c r="AQ68" s="30"/>
      <c r="AR68" s="30" t="b">
        <v>0</v>
      </c>
      <c r="AS68" s="30" t="b">
        <v>0</v>
      </c>
    </row>
    <row r="69">
      <c r="A69" s="21" t="s">
        <v>8395</v>
      </c>
      <c r="B69" s="22" t="s">
        <v>8370</v>
      </c>
      <c r="C69" s="22">
        <v>-2.0</v>
      </c>
      <c r="D69" s="22" t="s">
        <v>8175</v>
      </c>
      <c r="E69" s="22" t="s">
        <v>8370</v>
      </c>
      <c r="F69" s="22" t="s">
        <v>8155</v>
      </c>
      <c r="G69" s="22" t="s">
        <v>89</v>
      </c>
      <c r="H69" s="22">
        <v>3.2676109713731E13</v>
      </c>
      <c r="I69" s="22" t="s">
        <v>89</v>
      </c>
      <c r="J69" s="24"/>
      <c r="K69" s="22">
        <v>4.9521175494979E13</v>
      </c>
      <c r="L69" s="22" t="s">
        <v>8182</v>
      </c>
      <c r="M69" s="35" t="s">
        <v>8401</v>
      </c>
      <c r="N69" s="22" t="s">
        <v>5269</v>
      </c>
      <c r="O69" s="22" t="s">
        <v>5758</v>
      </c>
      <c r="P69" s="22" t="s">
        <v>5269</v>
      </c>
      <c r="Q69" s="22" t="s">
        <v>5758</v>
      </c>
      <c r="R69" s="22" t="s">
        <v>8396</v>
      </c>
      <c r="S69" s="22" t="s">
        <v>8397</v>
      </c>
      <c r="T69" s="40" t="s">
        <v>8398</v>
      </c>
      <c r="U69" s="22" t="s">
        <v>8399</v>
      </c>
      <c r="V69" s="22" t="s">
        <v>3970</v>
      </c>
      <c r="W69" s="22" t="s">
        <v>8400</v>
      </c>
      <c r="X69" s="22" t="s">
        <v>8251</v>
      </c>
      <c r="Y69" s="24"/>
      <c r="Z69" s="24"/>
      <c r="AA69" s="22" t="s">
        <v>8129</v>
      </c>
      <c r="AB69" s="22" t="s">
        <v>8130</v>
      </c>
      <c r="AC69" s="25"/>
      <c r="AD69" s="22" t="s">
        <v>8161</v>
      </c>
      <c r="AE69" s="22" t="s">
        <v>8132</v>
      </c>
      <c r="AF69" s="24"/>
      <c r="AG69" s="22">
        <v>1.0428154937667E13</v>
      </c>
      <c r="AH69" s="22" t="s">
        <v>8184</v>
      </c>
      <c r="AI69" s="22">
        <v>7.472085795139E12</v>
      </c>
      <c r="AJ69" s="25"/>
      <c r="AK69" s="22">
        <v>6.714600915267E12</v>
      </c>
      <c r="AL69" s="22" t="s">
        <v>8138</v>
      </c>
      <c r="AM69" s="22">
        <v>6.472867315955E12</v>
      </c>
      <c r="AN69" s="25"/>
      <c r="AO69" s="25"/>
      <c r="AP69" s="22" t="s">
        <v>8136</v>
      </c>
      <c r="AQ69" s="30" t="s">
        <v>91</v>
      </c>
      <c r="AR69" s="30" t="b">
        <v>0</v>
      </c>
      <c r="AS69" s="30" t="b">
        <v>1</v>
      </c>
    </row>
    <row r="70">
      <c r="A70" s="21" t="s">
        <v>8402</v>
      </c>
      <c r="B70" s="22" t="s">
        <v>8403</v>
      </c>
      <c r="C70" s="22">
        <v>1.0</v>
      </c>
      <c r="D70" s="22" t="s">
        <v>8175</v>
      </c>
      <c r="E70" s="22" t="s">
        <v>8403</v>
      </c>
      <c r="F70" s="22" t="s">
        <v>8155</v>
      </c>
      <c r="G70" s="22" t="s">
        <v>89</v>
      </c>
      <c r="H70" s="22">
        <v>3.2678211060035E13</v>
      </c>
      <c r="I70" s="22" t="s">
        <v>89</v>
      </c>
      <c r="J70" s="24"/>
      <c r="K70" s="22">
        <v>4.7338059825475E13</v>
      </c>
      <c r="L70" s="24"/>
      <c r="M70" s="24"/>
      <c r="N70" s="22" t="s">
        <v>8404</v>
      </c>
      <c r="O70" s="22" t="s">
        <v>8405</v>
      </c>
      <c r="P70" s="22" t="s">
        <v>8404</v>
      </c>
      <c r="Q70" s="22" t="s">
        <v>8405</v>
      </c>
      <c r="R70" s="22" t="s">
        <v>8406</v>
      </c>
      <c r="S70" s="22" t="s">
        <v>8407</v>
      </c>
      <c r="T70" s="40" t="s">
        <v>8408</v>
      </c>
      <c r="U70" s="22" t="s">
        <v>8409</v>
      </c>
      <c r="V70" s="24"/>
      <c r="W70" s="22" t="s">
        <v>8410</v>
      </c>
      <c r="X70" s="22" t="s">
        <v>8289</v>
      </c>
      <c r="Y70" s="24"/>
      <c r="Z70" s="24"/>
      <c r="AA70" s="22" t="s">
        <v>8129</v>
      </c>
      <c r="AB70" s="22" t="s">
        <v>8130</v>
      </c>
      <c r="AC70" s="25"/>
      <c r="AD70" s="22" t="s">
        <v>8161</v>
      </c>
      <c r="AE70" s="22" t="s">
        <v>8132</v>
      </c>
      <c r="AF70" s="24"/>
      <c r="AG70" s="22">
        <v>1.0429118710083E13</v>
      </c>
      <c r="AH70" s="22" t="s">
        <v>90</v>
      </c>
      <c r="AI70" s="22">
        <v>2.3384145133891E13</v>
      </c>
      <c r="AJ70" s="25"/>
      <c r="AK70" s="24"/>
      <c r="AL70" s="22" t="s">
        <v>8243</v>
      </c>
      <c r="AM70" s="22">
        <v>8.609434665283E12</v>
      </c>
      <c r="AN70" s="25"/>
      <c r="AO70" s="25"/>
      <c r="AP70" s="22" t="s">
        <v>8133</v>
      </c>
      <c r="AQ70" s="30" t="s">
        <v>95</v>
      </c>
      <c r="AR70" s="30" t="b">
        <v>0</v>
      </c>
      <c r="AS70" s="30" t="b">
        <v>0</v>
      </c>
    </row>
    <row r="71">
      <c r="A71" s="21" t="s">
        <v>8402</v>
      </c>
      <c r="B71" s="24"/>
      <c r="C71" s="24"/>
      <c r="D71" s="22" t="s">
        <v>8175</v>
      </c>
      <c r="E71" s="24"/>
      <c r="F71" s="22" t="s">
        <v>8149</v>
      </c>
      <c r="G71" s="24"/>
      <c r="H71" s="22">
        <v>9.488358080835E12</v>
      </c>
      <c r="I71" s="22" t="s">
        <v>89</v>
      </c>
      <c r="J71" s="24"/>
      <c r="K71" s="24"/>
      <c r="L71" s="24"/>
      <c r="M71" s="24"/>
      <c r="N71" s="22" t="s">
        <v>8404</v>
      </c>
      <c r="O71" s="22" t="s">
        <v>8405</v>
      </c>
      <c r="P71" s="22" t="s">
        <v>8404</v>
      </c>
      <c r="Q71" s="22" t="s">
        <v>8405</v>
      </c>
      <c r="R71" s="22" t="s">
        <v>8406</v>
      </c>
      <c r="S71" s="22" t="s">
        <v>8407</v>
      </c>
      <c r="T71" s="40" t="s">
        <v>8408</v>
      </c>
      <c r="U71" s="22" t="s">
        <v>8409</v>
      </c>
      <c r="V71" s="24"/>
      <c r="W71" s="22" t="s">
        <v>8410</v>
      </c>
      <c r="X71" s="22" t="s">
        <v>8289</v>
      </c>
      <c r="Y71" s="24"/>
      <c r="Z71" s="24"/>
      <c r="AA71" s="22" t="s">
        <v>8129</v>
      </c>
      <c r="AB71" s="22" t="s">
        <v>8130</v>
      </c>
      <c r="AC71" s="25"/>
      <c r="AD71" s="25"/>
      <c r="AE71" s="22" t="s">
        <v>8132</v>
      </c>
      <c r="AF71" s="24"/>
      <c r="AG71" s="22">
        <v>1.0429118710083E13</v>
      </c>
      <c r="AH71" s="22" t="s">
        <v>8137</v>
      </c>
      <c r="AI71" s="22">
        <v>2.3384145133891E13</v>
      </c>
      <c r="AJ71" s="25"/>
      <c r="AK71" s="24"/>
      <c r="AL71" s="22" t="s">
        <v>8149</v>
      </c>
      <c r="AM71" s="22">
        <v>8.609434665283E12</v>
      </c>
      <c r="AN71" s="25"/>
      <c r="AO71" s="25"/>
      <c r="AP71" s="22" t="s">
        <v>8136</v>
      </c>
      <c r="AQ71" s="30"/>
      <c r="AR71" s="30" t="b">
        <v>0</v>
      </c>
      <c r="AS71" s="30" t="b">
        <v>0</v>
      </c>
    </row>
    <row r="72">
      <c r="A72" s="21" t="s">
        <v>8402</v>
      </c>
      <c r="B72" s="22" t="s">
        <v>8403</v>
      </c>
      <c r="C72" s="22">
        <v>-1.0</v>
      </c>
      <c r="D72" s="22" t="s">
        <v>8175</v>
      </c>
      <c r="E72" s="22" t="s">
        <v>8403</v>
      </c>
      <c r="F72" s="22" t="s">
        <v>8155</v>
      </c>
      <c r="G72" s="22" t="s">
        <v>89</v>
      </c>
      <c r="H72" s="22">
        <v>3.2678211060035E13</v>
      </c>
      <c r="I72" s="22" t="s">
        <v>89</v>
      </c>
      <c r="J72" s="24"/>
      <c r="K72" s="22">
        <v>4.7338059825475E13</v>
      </c>
      <c r="L72" s="22" t="s">
        <v>8182</v>
      </c>
      <c r="M72" s="24"/>
      <c r="N72" s="22" t="s">
        <v>8404</v>
      </c>
      <c r="O72" s="22" t="s">
        <v>8405</v>
      </c>
      <c r="P72" s="22" t="s">
        <v>8404</v>
      </c>
      <c r="Q72" s="22" t="s">
        <v>8405</v>
      </c>
      <c r="R72" s="22" t="s">
        <v>8406</v>
      </c>
      <c r="S72" s="22" t="s">
        <v>8407</v>
      </c>
      <c r="T72" s="40" t="s">
        <v>8408</v>
      </c>
      <c r="U72" s="22" t="s">
        <v>8409</v>
      </c>
      <c r="V72" s="24"/>
      <c r="W72" s="22" t="s">
        <v>8410</v>
      </c>
      <c r="X72" s="22" t="s">
        <v>8289</v>
      </c>
      <c r="Y72" s="24"/>
      <c r="Z72" s="24"/>
      <c r="AA72" s="22" t="s">
        <v>8129</v>
      </c>
      <c r="AB72" s="22" t="s">
        <v>8130</v>
      </c>
      <c r="AC72" s="25"/>
      <c r="AD72" s="22" t="s">
        <v>8161</v>
      </c>
      <c r="AE72" s="22" t="s">
        <v>8132</v>
      </c>
      <c r="AF72" s="24"/>
      <c r="AG72" s="22">
        <v>1.0429118710083E13</v>
      </c>
      <c r="AH72" s="22" t="s">
        <v>8184</v>
      </c>
      <c r="AI72" s="22">
        <v>2.3384145133891E13</v>
      </c>
      <c r="AJ72" s="25"/>
      <c r="AK72" s="22">
        <v>6.714641711427E12</v>
      </c>
      <c r="AL72" s="22" t="s">
        <v>8243</v>
      </c>
      <c r="AM72" s="22">
        <v>8.659858358595E12</v>
      </c>
      <c r="AN72" s="25"/>
      <c r="AO72" s="25"/>
      <c r="AP72" s="22" t="s">
        <v>8138</v>
      </c>
      <c r="AQ72" s="30" t="s">
        <v>95</v>
      </c>
      <c r="AR72" s="30" t="b">
        <v>0</v>
      </c>
      <c r="AS72" s="30" t="b">
        <v>0</v>
      </c>
    </row>
    <row r="73">
      <c r="A73" s="21" t="s">
        <v>8411</v>
      </c>
      <c r="B73" s="22" t="s">
        <v>8140</v>
      </c>
      <c r="C73" s="22">
        <v>1.0</v>
      </c>
      <c r="D73" s="22" t="s">
        <v>8412</v>
      </c>
      <c r="E73" s="22" t="s">
        <v>8140</v>
      </c>
      <c r="F73" s="22" t="s">
        <v>8121</v>
      </c>
      <c r="G73" s="24"/>
      <c r="H73" s="22">
        <v>3.2678306021699E13</v>
      </c>
      <c r="I73" s="24"/>
      <c r="J73" s="24"/>
      <c r="K73" s="22">
        <v>4.2085703581939E13</v>
      </c>
      <c r="L73" s="24"/>
      <c r="M73" s="24"/>
      <c r="N73" s="22" t="s">
        <v>8413</v>
      </c>
      <c r="O73" s="22" t="s">
        <v>3910</v>
      </c>
      <c r="P73" s="22" t="s">
        <v>8413</v>
      </c>
      <c r="Q73" s="22" t="s">
        <v>3910</v>
      </c>
      <c r="R73" s="22" t="s">
        <v>8414</v>
      </c>
      <c r="S73" s="24"/>
      <c r="T73" s="40" t="s">
        <v>8415</v>
      </c>
      <c r="U73" s="22" t="s">
        <v>8416</v>
      </c>
      <c r="V73" s="24"/>
      <c r="W73" s="22" t="s">
        <v>8417</v>
      </c>
      <c r="X73" s="22" t="s">
        <v>8289</v>
      </c>
      <c r="Y73" s="24"/>
      <c r="Z73" s="24"/>
      <c r="AA73" s="22" t="s">
        <v>8129</v>
      </c>
      <c r="AB73" s="22" t="s">
        <v>8130</v>
      </c>
      <c r="AC73" s="25"/>
      <c r="AD73" s="22" t="s">
        <v>8131</v>
      </c>
      <c r="AE73" s="22" t="s">
        <v>8132</v>
      </c>
      <c r="AF73" s="24"/>
      <c r="AG73" s="22">
        <v>1.0429155508547E13</v>
      </c>
      <c r="AH73" s="22" t="s">
        <v>90</v>
      </c>
      <c r="AI73" s="22">
        <v>6.445327286515E12</v>
      </c>
      <c r="AJ73" s="25"/>
      <c r="AK73" s="24"/>
      <c r="AL73" s="22" t="s">
        <v>8134</v>
      </c>
      <c r="AM73" s="22">
        <v>8.659858358595E12</v>
      </c>
      <c r="AN73" s="25"/>
      <c r="AO73" s="25"/>
      <c r="AP73" s="22" t="s">
        <v>8149</v>
      </c>
      <c r="AQ73" s="30" t="s">
        <v>8150</v>
      </c>
      <c r="AR73" s="30" t="b">
        <v>0</v>
      </c>
      <c r="AS73" s="30" t="b">
        <v>0</v>
      </c>
    </row>
    <row r="74">
      <c r="A74" s="21" t="s">
        <v>8411</v>
      </c>
      <c r="B74" s="24"/>
      <c r="C74" s="24"/>
      <c r="D74" s="22" t="s">
        <v>8412</v>
      </c>
      <c r="E74" s="24"/>
      <c r="F74" s="22" t="s">
        <v>8136</v>
      </c>
      <c r="G74" s="24"/>
      <c r="H74" s="22">
        <v>9.488389308739E12</v>
      </c>
      <c r="I74" s="24"/>
      <c r="J74" s="24"/>
      <c r="K74" s="24"/>
      <c r="L74" s="24"/>
      <c r="M74" s="24"/>
      <c r="N74" s="22" t="s">
        <v>8413</v>
      </c>
      <c r="O74" s="22" t="s">
        <v>3910</v>
      </c>
      <c r="P74" s="22" t="s">
        <v>8413</v>
      </c>
      <c r="Q74" s="22" t="s">
        <v>3910</v>
      </c>
      <c r="R74" s="22" t="s">
        <v>8414</v>
      </c>
      <c r="S74" s="24"/>
      <c r="T74" s="40" t="s">
        <v>8415</v>
      </c>
      <c r="U74" s="22" t="s">
        <v>8416</v>
      </c>
      <c r="V74" s="24"/>
      <c r="W74" s="22" t="s">
        <v>8417</v>
      </c>
      <c r="X74" s="22" t="s">
        <v>8289</v>
      </c>
      <c r="Y74" s="24"/>
      <c r="Z74" s="24"/>
      <c r="AA74" s="22" t="s">
        <v>8129</v>
      </c>
      <c r="AB74" s="22" t="s">
        <v>8130</v>
      </c>
      <c r="AC74" s="25"/>
      <c r="AD74" s="25"/>
      <c r="AE74" s="22" t="s">
        <v>8132</v>
      </c>
      <c r="AF74" s="24"/>
      <c r="AG74" s="22">
        <v>1.0429155508547E13</v>
      </c>
      <c r="AH74" s="22" t="s">
        <v>8137</v>
      </c>
      <c r="AI74" s="22">
        <v>6.445327286515E12</v>
      </c>
      <c r="AJ74" s="25"/>
      <c r="AK74" s="24"/>
      <c r="AL74" s="22" t="s">
        <v>8136</v>
      </c>
      <c r="AM74" s="22">
        <v>6.428557213939E12</v>
      </c>
      <c r="AN74" s="25"/>
      <c r="AO74" s="25"/>
      <c r="AP74" s="22" t="s">
        <v>8134</v>
      </c>
      <c r="AQ74" s="30"/>
      <c r="AR74" s="30" t="b">
        <v>0</v>
      </c>
      <c r="AS74" s="30" t="b">
        <v>0</v>
      </c>
    </row>
    <row r="75">
      <c r="A75" s="21" t="s">
        <v>8418</v>
      </c>
      <c r="B75" s="22" t="s">
        <v>8140</v>
      </c>
      <c r="C75" s="22">
        <v>1.0</v>
      </c>
      <c r="D75" s="22" t="s">
        <v>8419</v>
      </c>
      <c r="E75" s="22" t="s">
        <v>8140</v>
      </c>
      <c r="F75" s="22" t="s">
        <v>8121</v>
      </c>
      <c r="G75" s="24"/>
      <c r="H75" s="22">
        <v>3.2678876414275E13</v>
      </c>
      <c r="I75" s="24"/>
      <c r="J75" s="24"/>
      <c r="K75" s="22">
        <v>4.2085703581939E13</v>
      </c>
      <c r="L75" s="24"/>
      <c r="M75" s="24"/>
      <c r="N75" s="22" t="s">
        <v>8420</v>
      </c>
      <c r="O75" s="22" t="s">
        <v>8421</v>
      </c>
      <c r="P75" s="22" t="s">
        <v>5429</v>
      </c>
      <c r="Q75" s="22" t="s">
        <v>3919</v>
      </c>
      <c r="R75" s="22" t="s">
        <v>8422</v>
      </c>
      <c r="S75" s="24"/>
      <c r="T75" s="40" t="s">
        <v>8423</v>
      </c>
      <c r="U75" s="22" t="s">
        <v>8424</v>
      </c>
      <c r="V75" s="22">
        <v>1.0</v>
      </c>
      <c r="W75" s="22">
        <v>2320.0</v>
      </c>
      <c r="X75" s="22" t="s">
        <v>8425</v>
      </c>
      <c r="Y75" s="24"/>
      <c r="Z75" s="24"/>
      <c r="AA75" s="22" t="s">
        <v>8426</v>
      </c>
      <c r="AB75" s="22" t="s">
        <v>8427</v>
      </c>
      <c r="AC75" s="25"/>
      <c r="AD75" s="22" t="s">
        <v>8131</v>
      </c>
      <c r="AE75" s="22" t="s">
        <v>8132</v>
      </c>
      <c r="AF75" s="24"/>
      <c r="AG75" s="22">
        <v>1.0429425287491E13</v>
      </c>
      <c r="AH75" s="22" t="s">
        <v>90</v>
      </c>
      <c r="AI75" s="22">
        <v>8.500233109827E12</v>
      </c>
      <c r="AJ75" s="25"/>
      <c r="AK75" s="24"/>
      <c r="AL75" s="22" t="s">
        <v>8134</v>
      </c>
      <c r="AM75" s="22">
        <v>6.428557213939E12</v>
      </c>
      <c r="AN75" s="25"/>
      <c r="AO75" s="25"/>
      <c r="AP75" s="22" t="s">
        <v>8136</v>
      </c>
      <c r="AQ75" s="30" t="s">
        <v>8150</v>
      </c>
      <c r="AR75" s="30" t="b">
        <v>0</v>
      </c>
      <c r="AS75" s="30" t="b">
        <v>0</v>
      </c>
    </row>
    <row r="76">
      <c r="A76" s="21" t="s">
        <v>8418</v>
      </c>
      <c r="B76" s="24"/>
      <c r="C76" s="24"/>
      <c r="D76" s="22" t="s">
        <v>8419</v>
      </c>
      <c r="E76" s="24"/>
      <c r="F76" s="22" t="s">
        <v>8252</v>
      </c>
      <c r="G76" s="24"/>
      <c r="H76" s="22">
        <v>9.488607904067E12</v>
      </c>
      <c r="I76" s="24"/>
      <c r="J76" s="24"/>
      <c r="K76" s="24"/>
      <c r="L76" s="24"/>
      <c r="M76" s="24"/>
      <c r="N76" s="22" t="s">
        <v>8420</v>
      </c>
      <c r="O76" s="22" t="s">
        <v>8421</v>
      </c>
      <c r="P76" s="22" t="s">
        <v>5429</v>
      </c>
      <c r="Q76" s="22" t="s">
        <v>3919</v>
      </c>
      <c r="R76" s="22" t="s">
        <v>8422</v>
      </c>
      <c r="S76" s="24"/>
      <c r="T76" s="40" t="s">
        <v>8423</v>
      </c>
      <c r="U76" s="22" t="s">
        <v>8424</v>
      </c>
      <c r="V76" s="22">
        <v>1.0</v>
      </c>
      <c r="W76" s="22">
        <v>2320.0</v>
      </c>
      <c r="X76" s="22" t="s">
        <v>8425</v>
      </c>
      <c r="Y76" s="24"/>
      <c r="Z76" s="24"/>
      <c r="AA76" s="22" t="s">
        <v>8426</v>
      </c>
      <c r="AB76" s="22" t="s">
        <v>8427</v>
      </c>
      <c r="AC76" s="25"/>
      <c r="AD76" s="25"/>
      <c r="AE76" s="22" t="s">
        <v>8132</v>
      </c>
      <c r="AF76" s="24"/>
      <c r="AG76" s="22">
        <v>1.0429425287491E13</v>
      </c>
      <c r="AH76" s="22" t="s">
        <v>8137</v>
      </c>
      <c r="AI76" s="22">
        <v>8.500233109827E12</v>
      </c>
      <c r="AJ76" s="25"/>
      <c r="AK76" s="24"/>
      <c r="AL76" s="22" t="s">
        <v>8252</v>
      </c>
      <c r="AM76" s="22">
        <v>2.3404690178371E13</v>
      </c>
      <c r="AN76" s="25"/>
      <c r="AO76" s="25"/>
      <c r="AP76" s="22" t="s">
        <v>8149</v>
      </c>
      <c r="AQ76" s="30"/>
      <c r="AR76" s="30" t="b">
        <v>0</v>
      </c>
      <c r="AS76" s="30" t="b">
        <v>0</v>
      </c>
    </row>
    <row r="77">
      <c r="A77" s="21" t="s">
        <v>8428</v>
      </c>
      <c r="B77" s="22" t="s">
        <v>8429</v>
      </c>
      <c r="C77" s="22">
        <v>1.0</v>
      </c>
      <c r="D77" s="22" t="s">
        <v>8175</v>
      </c>
      <c r="E77" s="22" t="s">
        <v>8429</v>
      </c>
      <c r="F77" s="22" t="s">
        <v>8155</v>
      </c>
      <c r="G77" s="22" t="s">
        <v>89</v>
      </c>
      <c r="H77" s="22">
        <v>3.2679527874883E13</v>
      </c>
      <c r="I77" s="22" t="s">
        <v>89</v>
      </c>
      <c r="J77" s="24"/>
      <c r="K77" s="22">
        <v>4.9521175527747E13</v>
      </c>
      <c r="L77" s="24"/>
      <c r="M77" s="24"/>
      <c r="N77" s="22" t="s">
        <v>4081</v>
      </c>
      <c r="O77" s="22" t="s">
        <v>8430</v>
      </c>
      <c r="P77" s="22" t="s">
        <v>4081</v>
      </c>
      <c r="Q77" s="22" t="s">
        <v>8430</v>
      </c>
      <c r="R77" s="22" t="s">
        <v>8431</v>
      </c>
      <c r="S77" s="22" t="s">
        <v>8432</v>
      </c>
      <c r="T77" s="40" t="s">
        <v>8433</v>
      </c>
      <c r="U77" s="22" t="s">
        <v>8434</v>
      </c>
      <c r="V77" s="24"/>
      <c r="W77" s="22" t="s">
        <v>8435</v>
      </c>
      <c r="X77" s="22" t="s">
        <v>8128</v>
      </c>
      <c r="Y77" s="24"/>
      <c r="Z77" s="24"/>
      <c r="AA77" s="22" t="s">
        <v>8129</v>
      </c>
      <c r="AB77" s="22" t="s">
        <v>8130</v>
      </c>
      <c r="AC77" s="25"/>
      <c r="AD77" s="22" t="s">
        <v>8161</v>
      </c>
      <c r="AE77" s="22" t="s">
        <v>8132</v>
      </c>
      <c r="AF77" s="24"/>
      <c r="AG77" s="22">
        <v>1.0429725442371E13</v>
      </c>
      <c r="AH77" s="22" t="s">
        <v>90</v>
      </c>
      <c r="AI77" s="22">
        <v>2.3384829395267E13</v>
      </c>
      <c r="AJ77" s="25"/>
      <c r="AK77" s="24"/>
      <c r="AL77" s="22" t="s">
        <v>8201</v>
      </c>
      <c r="AM77" s="22">
        <v>6.485054816499E12</v>
      </c>
      <c r="AN77" s="25"/>
      <c r="AO77" s="25"/>
      <c r="AP77" s="22" t="s">
        <v>8134</v>
      </c>
      <c r="AQ77" s="30" t="s">
        <v>95</v>
      </c>
      <c r="AR77" s="30" t="b">
        <v>0</v>
      </c>
      <c r="AS77" s="30" t="b">
        <v>1</v>
      </c>
    </row>
    <row r="78">
      <c r="A78" s="21" t="s">
        <v>8428</v>
      </c>
      <c r="B78" s="24"/>
      <c r="C78" s="24"/>
      <c r="D78" s="22" t="s">
        <v>8175</v>
      </c>
      <c r="E78" s="24"/>
      <c r="F78" s="22" t="s">
        <v>8149</v>
      </c>
      <c r="G78" s="24"/>
      <c r="H78" s="22">
        <v>9.488836952387E12</v>
      </c>
      <c r="I78" s="22" t="s">
        <v>89</v>
      </c>
      <c r="J78" s="24"/>
      <c r="K78" s="24"/>
      <c r="L78" s="24"/>
      <c r="M78" s="24"/>
      <c r="N78" s="22" t="s">
        <v>4081</v>
      </c>
      <c r="O78" s="22" t="s">
        <v>8430</v>
      </c>
      <c r="P78" s="22" t="s">
        <v>4081</v>
      </c>
      <c r="Q78" s="22" t="s">
        <v>8430</v>
      </c>
      <c r="R78" s="22" t="s">
        <v>8431</v>
      </c>
      <c r="S78" s="22" t="s">
        <v>8432</v>
      </c>
      <c r="T78" s="40" t="s">
        <v>8433</v>
      </c>
      <c r="U78" s="22" t="s">
        <v>8434</v>
      </c>
      <c r="V78" s="24"/>
      <c r="W78" s="22" t="s">
        <v>8435</v>
      </c>
      <c r="X78" s="22" t="s">
        <v>8128</v>
      </c>
      <c r="Y78" s="24"/>
      <c r="Z78" s="24"/>
      <c r="AA78" s="22" t="s">
        <v>8129</v>
      </c>
      <c r="AB78" s="22" t="s">
        <v>8130</v>
      </c>
      <c r="AC78" s="25"/>
      <c r="AD78" s="25"/>
      <c r="AE78" s="22" t="s">
        <v>8132</v>
      </c>
      <c r="AF78" s="24"/>
      <c r="AG78" s="22">
        <v>1.0429725442371E13</v>
      </c>
      <c r="AH78" s="22" t="s">
        <v>8137</v>
      </c>
      <c r="AI78" s="22">
        <v>2.3384829395267E13</v>
      </c>
      <c r="AJ78" s="25"/>
      <c r="AK78" s="24"/>
      <c r="AL78" s="22" t="s">
        <v>8149</v>
      </c>
      <c r="AM78" s="22">
        <v>2.3398529794371E13</v>
      </c>
      <c r="AN78" s="25"/>
      <c r="AO78" s="25"/>
      <c r="AP78" s="22" t="s">
        <v>8134</v>
      </c>
      <c r="AQ78" s="30"/>
      <c r="AR78" s="30" t="b">
        <v>0</v>
      </c>
      <c r="AS78" s="30" t="b">
        <v>0</v>
      </c>
    </row>
    <row r="79">
      <c r="A79" s="21" t="s">
        <v>8428</v>
      </c>
      <c r="B79" s="22" t="s">
        <v>8429</v>
      </c>
      <c r="C79" s="22">
        <v>-1.0</v>
      </c>
      <c r="D79" s="22" t="s">
        <v>8175</v>
      </c>
      <c r="E79" s="22" t="s">
        <v>8429</v>
      </c>
      <c r="F79" s="22" t="s">
        <v>8155</v>
      </c>
      <c r="G79" s="22" t="s">
        <v>89</v>
      </c>
      <c r="H79" s="22">
        <v>3.2679527874883E13</v>
      </c>
      <c r="I79" s="22" t="s">
        <v>89</v>
      </c>
      <c r="J79" s="24"/>
      <c r="K79" s="22">
        <v>4.9521175527747E13</v>
      </c>
      <c r="L79" s="22" t="s">
        <v>8182</v>
      </c>
      <c r="M79" s="24"/>
      <c r="N79" s="22" t="s">
        <v>4081</v>
      </c>
      <c r="O79" s="22" t="s">
        <v>8430</v>
      </c>
      <c r="P79" s="22" t="s">
        <v>4081</v>
      </c>
      <c r="Q79" s="22" t="s">
        <v>8430</v>
      </c>
      <c r="R79" s="22" t="s">
        <v>8431</v>
      </c>
      <c r="S79" s="22" t="s">
        <v>8432</v>
      </c>
      <c r="T79" s="40" t="s">
        <v>8433</v>
      </c>
      <c r="U79" s="22" t="s">
        <v>8434</v>
      </c>
      <c r="V79" s="24"/>
      <c r="W79" s="22" t="s">
        <v>8435</v>
      </c>
      <c r="X79" s="22" t="s">
        <v>8128</v>
      </c>
      <c r="Y79" s="24"/>
      <c r="Z79" s="24"/>
      <c r="AA79" s="22" t="s">
        <v>8129</v>
      </c>
      <c r="AB79" s="22" t="s">
        <v>8130</v>
      </c>
      <c r="AC79" s="25"/>
      <c r="AD79" s="22" t="s">
        <v>8161</v>
      </c>
      <c r="AE79" s="22" t="s">
        <v>8132</v>
      </c>
      <c r="AF79" s="24"/>
      <c r="AG79" s="22">
        <v>1.0429725442371E13</v>
      </c>
      <c r="AH79" s="22" t="s">
        <v>8184</v>
      </c>
      <c r="AI79" s="22">
        <v>2.3384829395267E13</v>
      </c>
      <c r="AJ79" s="25"/>
      <c r="AK79" s="22">
        <v>6.714644234563E12</v>
      </c>
      <c r="AL79" s="22" t="s">
        <v>8201</v>
      </c>
      <c r="AM79" s="22">
        <v>2.3398529794371E13</v>
      </c>
      <c r="AN79" s="25"/>
      <c r="AO79" s="25"/>
      <c r="AP79" s="22" t="s">
        <v>8136</v>
      </c>
      <c r="AQ79" s="30" t="s">
        <v>95</v>
      </c>
      <c r="AR79" s="30" t="b">
        <v>0</v>
      </c>
      <c r="AS79" s="30" t="b">
        <v>1</v>
      </c>
    </row>
    <row r="80">
      <c r="A80" s="21" t="s">
        <v>8436</v>
      </c>
      <c r="B80" s="22" t="s">
        <v>8140</v>
      </c>
      <c r="C80" s="22">
        <v>1.0</v>
      </c>
      <c r="D80" s="22" t="s">
        <v>8141</v>
      </c>
      <c r="E80" s="22" t="s">
        <v>8140</v>
      </c>
      <c r="F80" s="22" t="s">
        <v>8121</v>
      </c>
      <c r="G80" s="24"/>
      <c r="H80" s="22">
        <v>3.2680184283459E13</v>
      </c>
      <c r="I80" s="24"/>
      <c r="J80" s="24"/>
      <c r="K80" s="22">
        <v>4.2085703581939E13</v>
      </c>
      <c r="L80" s="24"/>
      <c r="M80" s="24"/>
      <c r="N80" s="22" t="s">
        <v>5421</v>
      </c>
      <c r="O80" s="22" t="s">
        <v>7733</v>
      </c>
      <c r="P80" s="22" t="s">
        <v>5421</v>
      </c>
      <c r="Q80" s="22" t="s">
        <v>7733</v>
      </c>
      <c r="R80" s="22" t="s">
        <v>8437</v>
      </c>
      <c r="S80" s="24"/>
      <c r="T80" s="40" t="s">
        <v>8438</v>
      </c>
      <c r="U80" s="22" t="s">
        <v>8439</v>
      </c>
      <c r="V80" s="24"/>
      <c r="W80" s="22" t="s">
        <v>8440</v>
      </c>
      <c r="X80" s="22" t="s">
        <v>8441</v>
      </c>
      <c r="Y80" s="24"/>
      <c r="Z80" s="24"/>
      <c r="AA80" s="22" t="s">
        <v>8129</v>
      </c>
      <c r="AB80" s="22" t="s">
        <v>8130</v>
      </c>
      <c r="AC80" s="25"/>
      <c r="AD80" s="22" t="s">
        <v>8131</v>
      </c>
      <c r="AE80" s="22" t="s">
        <v>8132</v>
      </c>
      <c r="AF80" s="24"/>
      <c r="AG80" s="22">
        <v>1.0430025498947E13</v>
      </c>
      <c r="AH80" s="22" t="s">
        <v>90</v>
      </c>
      <c r="AI80" s="22">
        <v>7.465970532675E12</v>
      </c>
      <c r="AJ80" s="25"/>
      <c r="AK80" s="24"/>
      <c r="AL80" s="22" t="s">
        <v>8134</v>
      </c>
      <c r="AM80" s="22">
        <v>8.632737136963E12</v>
      </c>
      <c r="AN80" s="25"/>
      <c r="AO80" s="25"/>
      <c r="AP80" s="22" t="s">
        <v>8133</v>
      </c>
      <c r="AQ80" s="30" t="s">
        <v>8150</v>
      </c>
      <c r="AR80" s="30" t="b">
        <v>0</v>
      </c>
      <c r="AS80" s="30" t="b">
        <v>0</v>
      </c>
    </row>
    <row r="81">
      <c r="A81" s="21" t="s">
        <v>8436</v>
      </c>
      <c r="B81" s="24"/>
      <c r="C81" s="24"/>
      <c r="D81" s="22" t="s">
        <v>8141</v>
      </c>
      <c r="E81" s="24"/>
      <c r="F81" s="22" t="s">
        <v>8136</v>
      </c>
      <c r="G81" s="24"/>
      <c r="H81" s="22">
        <v>9.489090249027E12</v>
      </c>
      <c r="I81" s="24"/>
      <c r="J81" s="24"/>
      <c r="K81" s="24"/>
      <c r="L81" s="24"/>
      <c r="M81" s="24"/>
      <c r="N81" s="22" t="s">
        <v>5421</v>
      </c>
      <c r="O81" s="22" t="s">
        <v>7733</v>
      </c>
      <c r="P81" s="22" t="s">
        <v>5421</v>
      </c>
      <c r="Q81" s="22" t="s">
        <v>7733</v>
      </c>
      <c r="R81" s="22" t="s">
        <v>8437</v>
      </c>
      <c r="S81" s="24"/>
      <c r="T81" s="40" t="s">
        <v>8438</v>
      </c>
      <c r="U81" s="22" t="s">
        <v>8439</v>
      </c>
      <c r="V81" s="24"/>
      <c r="W81" s="22" t="s">
        <v>8440</v>
      </c>
      <c r="X81" s="22" t="s">
        <v>8441</v>
      </c>
      <c r="Y81" s="24"/>
      <c r="Z81" s="24"/>
      <c r="AA81" s="22" t="s">
        <v>8129</v>
      </c>
      <c r="AB81" s="22" t="s">
        <v>8130</v>
      </c>
      <c r="AC81" s="25"/>
      <c r="AD81" s="25"/>
      <c r="AE81" s="22" t="s">
        <v>8132</v>
      </c>
      <c r="AF81" s="24"/>
      <c r="AG81" s="22">
        <v>1.0430025498947E13</v>
      </c>
      <c r="AH81" s="22" t="s">
        <v>8137</v>
      </c>
      <c r="AI81" s="22">
        <v>7.465970532675E12</v>
      </c>
      <c r="AJ81" s="25"/>
      <c r="AK81" s="24"/>
      <c r="AL81" s="22" t="s">
        <v>8136</v>
      </c>
      <c r="AM81" s="22">
        <v>6.444521128179E12</v>
      </c>
      <c r="AN81" s="25"/>
      <c r="AO81" s="25"/>
      <c r="AP81" s="22" t="s">
        <v>8134</v>
      </c>
      <c r="AQ81" s="30"/>
      <c r="AR81" s="30" t="b">
        <v>0</v>
      </c>
      <c r="AS81" s="30" t="b">
        <v>0</v>
      </c>
    </row>
    <row r="82">
      <c r="A82" s="21" t="s">
        <v>8442</v>
      </c>
      <c r="B82" s="22" t="s">
        <v>8140</v>
      </c>
      <c r="C82" s="22">
        <v>1.0</v>
      </c>
      <c r="D82" s="22" t="s">
        <v>8175</v>
      </c>
      <c r="E82" s="22" t="s">
        <v>8140</v>
      </c>
      <c r="F82" s="22" t="s">
        <v>8121</v>
      </c>
      <c r="G82" s="22" t="s">
        <v>89</v>
      </c>
      <c r="H82" s="22">
        <v>3.2674105852227E13</v>
      </c>
      <c r="I82" s="22" t="s">
        <v>89</v>
      </c>
      <c r="J82" s="24"/>
      <c r="K82" s="22">
        <v>4.2085703581939E13</v>
      </c>
      <c r="L82" s="24"/>
      <c r="M82" s="24"/>
      <c r="N82" s="22" t="s">
        <v>5837</v>
      </c>
      <c r="O82" s="22" t="s">
        <v>8443</v>
      </c>
      <c r="P82" s="22" t="s">
        <v>5837</v>
      </c>
      <c r="Q82" s="22" t="s">
        <v>8443</v>
      </c>
      <c r="R82" s="22" t="s">
        <v>8444</v>
      </c>
      <c r="S82" s="22" t="s">
        <v>8445</v>
      </c>
      <c r="T82" s="40" t="s">
        <v>8446</v>
      </c>
      <c r="U82" s="22" t="s">
        <v>8447</v>
      </c>
      <c r="V82" s="22">
        <v>9.0</v>
      </c>
      <c r="W82" s="22" t="s">
        <v>8448</v>
      </c>
      <c r="X82" s="22" t="s">
        <v>8449</v>
      </c>
      <c r="Y82" s="24"/>
      <c r="Z82" s="24"/>
      <c r="AA82" s="22" t="s">
        <v>8129</v>
      </c>
      <c r="AB82" s="22" t="s">
        <v>8130</v>
      </c>
      <c r="AC82" s="25"/>
      <c r="AD82" s="22" t="s">
        <v>8131</v>
      </c>
      <c r="AE82" s="22" t="s">
        <v>8132</v>
      </c>
      <c r="AF82" s="24"/>
      <c r="AG82" s="22">
        <v>1.0427211022659E13</v>
      </c>
      <c r="AH82" s="22" t="s">
        <v>90</v>
      </c>
      <c r="AI82" s="22">
        <v>2.3377705926979E13</v>
      </c>
      <c r="AJ82" s="25"/>
      <c r="AK82" s="24"/>
      <c r="AL82" s="22" t="s">
        <v>8134</v>
      </c>
      <c r="AM82" s="22">
        <v>6.444521128179E12</v>
      </c>
      <c r="AN82" s="25"/>
      <c r="AO82" s="25"/>
      <c r="AP82" s="22" t="s">
        <v>8136</v>
      </c>
      <c r="AQ82" s="30" t="s">
        <v>8150</v>
      </c>
      <c r="AR82" s="30" t="b">
        <v>0</v>
      </c>
      <c r="AS82" s="30" t="b">
        <v>0</v>
      </c>
    </row>
    <row r="83">
      <c r="A83" s="21" t="s">
        <v>8442</v>
      </c>
      <c r="B83" s="24"/>
      <c r="C83" s="24"/>
      <c r="D83" s="22" t="s">
        <v>8175</v>
      </c>
      <c r="E83" s="24"/>
      <c r="F83" s="22" t="s">
        <v>8136</v>
      </c>
      <c r="G83" s="24"/>
      <c r="H83" s="22">
        <v>9.486692778307E12</v>
      </c>
      <c r="I83" s="22" t="s">
        <v>89</v>
      </c>
      <c r="J83" s="24"/>
      <c r="K83" s="24"/>
      <c r="L83" s="24"/>
      <c r="M83" s="24"/>
      <c r="N83" s="22" t="s">
        <v>5837</v>
      </c>
      <c r="O83" s="22" t="s">
        <v>8443</v>
      </c>
      <c r="P83" s="22" t="s">
        <v>5837</v>
      </c>
      <c r="Q83" s="22" t="s">
        <v>8443</v>
      </c>
      <c r="R83" s="22" t="s">
        <v>8444</v>
      </c>
      <c r="S83" s="22" t="s">
        <v>8445</v>
      </c>
      <c r="T83" s="40" t="s">
        <v>8446</v>
      </c>
      <c r="U83" s="22" t="s">
        <v>8447</v>
      </c>
      <c r="V83" s="22">
        <v>9.0</v>
      </c>
      <c r="W83" s="22" t="s">
        <v>8448</v>
      </c>
      <c r="X83" s="22" t="s">
        <v>8449</v>
      </c>
      <c r="Y83" s="24"/>
      <c r="Z83" s="24"/>
      <c r="AA83" s="22" t="s">
        <v>8129</v>
      </c>
      <c r="AB83" s="22" t="s">
        <v>8130</v>
      </c>
      <c r="AC83" s="25"/>
      <c r="AD83" s="25"/>
      <c r="AE83" s="22" t="s">
        <v>8132</v>
      </c>
      <c r="AF83" s="24"/>
      <c r="AG83" s="22">
        <v>1.0427211022659E13</v>
      </c>
      <c r="AH83" s="22" t="s">
        <v>8137</v>
      </c>
      <c r="AI83" s="22">
        <v>2.3377705926979E13</v>
      </c>
      <c r="AJ83" s="25"/>
      <c r="AK83" s="24"/>
      <c r="AL83" s="22" t="s">
        <v>8136</v>
      </c>
      <c r="AM83" s="22">
        <v>8.631314317635E12</v>
      </c>
      <c r="AN83" s="25"/>
      <c r="AO83" s="25"/>
      <c r="AP83" s="22" t="s">
        <v>8133</v>
      </c>
      <c r="AQ83" s="30"/>
      <c r="AR83" s="30" t="b">
        <v>0</v>
      </c>
      <c r="AS83" s="30" t="b">
        <v>0</v>
      </c>
    </row>
    <row r="84">
      <c r="A84" s="21" t="s">
        <v>8442</v>
      </c>
      <c r="B84" s="22" t="s">
        <v>8140</v>
      </c>
      <c r="C84" s="22">
        <v>-1.0</v>
      </c>
      <c r="D84" s="22" t="s">
        <v>8175</v>
      </c>
      <c r="E84" s="22" t="s">
        <v>8140</v>
      </c>
      <c r="F84" s="22" t="s">
        <v>8121</v>
      </c>
      <c r="G84" s="22" t="s">
        <v>89</v>
      </c>
      <c r="H84" s="22">
        <v>3.2674105852227E13</v>
      </c>
      <c r="I84" s="22" t="s">
        <v>89</v>
      </c>
      <c r="J84" s="24"/>
      <c r="K84" s="22">
        <v>4.2085703581939E13</v>
      </c>
      <c r="L84" s="22" t="s">
        <v>8182</v>
      </c>
      <c r="M84" s="35" t="s">
        <v>8450</v>
      </c>
      <c r="N84" s="22" t="s">
        <v>5837</v>
      </c>
      <c r="O84" s="22" t="s">
        <v>8443</v>
      </c>
      <c r="P84" s="22" t="s">
        <v>5837</v>
      </c>
      <c r="Q84" s="22" t="s">
        <v>8443</v>
      </c>
      <c r="R84" s="22" t="s">
        <v>8444</v>
      </c>
      <c r="S84" s="22" t="s">
        <v>8445</v>
      </c>
      <c r="T84" s="40" t="s">
        <v>8446</v>
      </c>
      <c r="U84" s="22" t="s">
        <v>8447</v>
      </c>
      <c r="V84" s="22">
        <v>9.0</v>
      </c>
      <c r="W84" s="22" t="s">
        <v>8448</v>
      </c>
      <c r="X84" s="22" t="s">
        <v>8449</v>
      </c>
      <c r="Y84" s="24"/>
      <c r="Z84" s="24"/>
      <c r="AA84" s="22" t="s">
        <v>8129</v>
      </c>
      <c r="AB84" s="22" t="s">
        <v>8130</v>
      </c>
      <c r="AC84" s="25"/>
      <c r="AD84" s="22" t="s">
        <v>8131</v>
      </c>
      <c r="AE84" s="22" t="s">
        <v>8132</v>
      </c>
      <c r="AF84" s="24"/>
      <c r="AG84" s="22">
        <v>1.0427211022659E13</v>
      </c>
      <c r="AH84" s="22" t="s">
        <v>8184</v>
      </c>
      <c r="AI84" s="22">
        <v>2.3377705926979E13</v>
      </c>
      <c r="AJ84" s="25"/>
      <c r="AK84" s="22">
        <v>6.714600980803E12</v>
      </c>
      <c r="AL84" s="22" t="s">
        <v>8134</v>
      </c>
      <c r="AM84" s="22">
        <v>8.631314317635E12</v>
      </c>
      <c r="AN84" s="25"/>
      <c r="AO84" s="25"/>
      <c r="AP84" s="22" t="s">
        <v>8134</v>
      </c>
      <c r="AQ84" s="30" t="s">
        <v>8150</v>
      </c>
      <c r="AR84" s="30" t="b">
        <v>0</v>
      </c>
      <c r="AS84" s="30" t="b">
        <v>0</v>
      </c>
    </row>
    <row r="85">
      <c r="A85" s="21" t="s">
        <v>8451</v>
      </c>
      <c r="B85" s="22" t="s">
        <v>8262</v>
      </c>
      <c r="C85" s="22">
        <v>1.0</v>
      </c>
      <c r="D85" s="22" t="s">
        <v>8175</v>
      </c>
      <c r="E85" s="22" t="s">
        <v>8262</v>
      </c>
      <c r="F85" s="22" t="s">
        <v>8155</v>
      </c>
      <c r="G85" s="22" t="s">
        <v>89</v>
      </c>
      <c r="H85" s="22">
        <v>3.2682008084803E13</v>
      </c>
      <c r="I85" s="22" t="s">
        <v>89</v>
      </c>
      <c r="J85" s="24"/>
      <c r="K85" s="22">
        <v>4.7338059792707E13</v>
      </c>
      <c r="L85" s="24"/>
      <c r="M85" s="24"/>
      <c r="N85" s="22" t="s">
        <v>4784</v>
      </c>
      <c r="O85" s="22" t="s">
        <v>8452</v>
      </c>
      <c r="P85" s="22" t="s">
        <v>4784</v>
      </c>
      <c r="Q85" s="22" t="s">
        <v>8452</v>
      </c>
      <c r="R85" s="22" t="s">
        <v>8453</v>
      </c>
      <c r="S85" s="24"/>
      <c r="T85" s="40" t="s">
        <v>8454</v>
      </c>
      <c r="U85" s="22" t="s">
        <v>8455</v>
      </c>
      <c r="V85" s="24"/>
      <c r="W85" s="22" t="s">
        <v>8456</v>
      </c>
      <c r="X85" s="22" t="s">
        <v>8128</v>
      </c>
      <c r="Y85" s="24"/>
      <c r="Z85" s="24"/>
      <c r="AA85" s="22" t="s">
        <v>8129</v>
      </c>
      <c r="AB85" s="22" t="s">
        <v>8130</v>
      </c>
      <c r="AC85" s="25"/>
      <c r="AD85" s="22" t="s">
        <v>8161</v>
      </c>
      <c r="AE85" s="22" t="s">
        <v>8132</v>
      </c>
      <c r="AF85" s="24"/>
      <c r="AG85" s="22">
        <v>1.0430856659267E13</v>
      </c>
      <c r="AH85" s="22" t="s">
        <v>90</v>
      </c>
      <c r="AI85" s="22">
        <v>2.3386351108419E13</v>
      </c>
      <c r="AJ85" s="25"/>
      <c r="AK85" s="24"/>
      <c r="AL85" s="22" t="s">
        <v>8269</v>
      </c>
      <c r="AM85" s="22">
        <v>8.631314317635E12</v>
      </c>
      <c r="AN85" s="25"/>
      <c r="AO85" s="25"/>
      <c r="AP85" s="22" t="s">
        <v>8457</v>
      </c>
      <c r="AQ85" s="30" t="s">
        <v>91</v>
      </c>
      <c r="AR85" s="30" t="b">
        <v>0</v>
      </c>
      <c r="AS85" s="30" t="b">
        <v>0</v>
      </c>
    </row>
    <row r="86">
      <c r="A86" s="21" t="s">
        <v>8451</v>
      </c>
      <c r="B86" s="24"/>
      <c r="C86" s="24"/>
      <c r="D86" s="22" t="s">
        <v>8175</v>
      </c>
      <c r="E86" s="24"/>
      <c r="F86" s="22" t="s">
        <v>8149</v>
      </c>
      <c r="G86" s="24"/>
      <c r="H86" s="22">
        <v>9.489854267715E12</v>
      </c>
      <c r="I86" s="22" t="s">
        <v>89</v>
      </c>
      <c r="J86" s="24"/>
      <c r="K86" s="24"/>
      <c r="L86" s="24"/>
      <c r="M86" s="24"/>
      <c r="N86" s="22" t="s">
        <v>4784</v>
      </c>
      <c r="O86" s="22" t="s">
        <v>8452</v>
      </c>
      <c r="P86" s="22" t="s">
        <v>4784</v>
      </c>
      <c r="Q86" s="22" t="s">
        <v>8452</v>
      </c>
      <c r="R86" s="22" t="s">
        <v>8453</v>
      </c>
      <c r="S86" s="24"/>
      <c r="T86" s="40" t="s">
        <v>8454</v>
      </c>
      <c r="U86" s="22" t="s">
        <v>8455</v>
      </c>
      <c r="V86" s="24"/>
      <c r="W86" s="22" t="s">
        <v>8456</v>
      </c>
      <c r="X86" s="22" t="s">
        <v>8128</v>
      </c>
      <c r="Y86" s="24"/>
      <c r="Z86" s="24"/>
      <c r="AA86" s="22" t="s">
        <v>8129</v>
      </c>
      <c r="AB86" s="22" t="s">
        <v>8130</v>
      </c>
      <c r="AC86" s="25"/>
      <c r="AD86" s="24"/>
      <c r="AE86" s="22" t="s">
        <v>8132</v>
      </c>
      <c r="AF86" s="24"/>
      <c r="AG86" s="22">
        <v>1.0430856659267E13</v>
      </c>
      <c r="AH86" s="22" t="s">
        <v>8137</v>
      </c>
      <c r="AI86" s="22">
        <v>2.3386351108419E13</v>
      </c>
      <c r="AJ86" s="25"/>
      <c r="AK86" s="24"/>
      <c r="AL86" s="22" t="s">
        <v>8149</v>
      </c>
      <c r="AM86" s="22">
        <v>2.3397887312195E13</v>
      </c>
      <c r="AN86" s="25"/>
      <c r="AO86" s="25"/>
      <c r="AP86" s="22" t="s">
        <v>8134</v>
      </c>
      <c r="AQ86" s="30"/>
      <c r="AR86" s="30" t="b">
        <v>0</v>
      </c>
      <c r="AS86" s="30" t="b">
        <v>0</v>
      </c>
    </row>
    <row r="87">
      <c r="A87" s="21" t="s">
        <v>8451</v>
      </c>
      <c r="B87" s="22" t="s">
        <v>8262</v>
      </c>
      <c r="C87" s="22">
        <v>-1.0</v>
      </c>
      <c r="D87" s="22" t="s">
        <v>8175</v>
      </c>
      <c r="E87" s="22" t="s">
        <v>8262</v>
      </c>
      <c r="F87" s="22" t="s">
        <v>8155</v>
      </c>
      <c r="G87" s="22" t="s">
        <v>89</v>
      </c>
      <c r="H87" s="22">
        <v>3.2682008084803E13</v>
      </c>
      <c r="I87" s="22" t="s">
        <v>89</v>
      </c>
      <c r="J87" s="24"/>
      <c r="K87" s="22">
        <v>4.7338059792707E13</v>
      </c>
      <c r="L87" s="22" t="s">
        <v>8182</v>
      </c>
      <c r="M87" s="35" t="s">
        <v>8458</v>
      </c>
      <c r="N87" s="22" t="s">
        <v>4784</v>
      </c>
      <c r="O87" s="22" t="s">
        <v>8452</v>
      </c>
      <c r="P87" s="22" t="s">
        <v>4784</v>
      </c>
      <c r="Q87" s="22" t="s">
        <v>8452</v>
      </c>
      <c r="R87" s="22" t="s">
        <v>8453</v>
      </c>
      <c r="S87" s="24"/>
      <c r="T87" s="40" t="s">
        <v>8454</v>
      </c>
      <c r="U87" s="22" t="s">
        <v>8455</v>
      </c>
      <c r="V87" s="24"/>
      <c r="W87" s="22" t="s">
        <v>8456</v>
      </c>
      <c r="X87" s="22" t="s">
        <v>8128</v>
      </c>
      <c r="Y87" s="24"/>
      <c r="Z87" s="24"/>
      <c r="AA87" s="22" t="s">
        <v>8129</v>
      </c>
      <c r="AB87" s="22" t="s">
        <v>8130</v>
      </c>
      <c r="AC87" s="25"/>
      <c r="AD87" s="22" t="s">
        <v>8161</v>
      </c>
      <c r="AE87" s="22" t="s">
        <v>8132</v>
      </c>
      <c r="AF87" s="24"/>
      <c r="AG87" s="22">
        <v>1.0430856659267E13</v>
      </c>
      <c r="AH87" s="22" t="s">
        <v>8184</v>
      </c>
      <c r="AI87" s="22">
        <v>2.3386351108419E13</v>
      </c>
      <c r="AJ87" s="25"/>
      <c r="AK87" s="22">
        <v>6.714600849731E12</v>
      </c>
      <c r="AL87" s="22" t="s">
        <v>8269</v>
      </c>
      <c r="AM87" s="22">
        <v>2.3397887312195E13</v>
      </c>
      <c r="AN87" s="25"/>
      <c r="AO87" s="25"/>
      <c r="AP87" s="22" t="s">
        <v>8136</v>
      </c>
      <c r="AQ87" s="30" t="s">
        <v>91</v>
      </c>
      <c r="AR87" s="30" t="b">
        <v>0</v>
      </c>
      <c r="AS87" s="30" t="b">
        <v>0</v>
      </c>
    </row>
    <row r="88">
      <c r="A88" s="21" t="s">
        <v>8459</v>
      </c>
      <c r="B88" s="22" t="s">
        <v>8140</v>
      </c>
      <c r="C88" s="22">
        <v>1.0</v>
      </c>
      <c r="D88" s="22" t="s">
        <v>8141</v>
      </c>
      <c r="E88" s="22" t="s">
        <v>8140</v>
      </c>
      <c r="F88" s="22" t="s">
        <v>8121</v>
      </c>
      <c r="G88" s="24"/>
      <c r="H88" s="22">
        <v>3.2682493575491E13</v>
      </c>
      <c r="I88" s="24"/>
      <c r="J88" s="24"/>
      <c r="K88" s="22">
        <v>4.2085703581939E13</v>
      </c>
      <c r="L88" s="24"/>
      <c r="M88" s="24"/>
      <c r="N88" s="22" t="s">
        <v>8460</v>
      </c>
      <c r="O88" s="22" t="s">
        <v>8461</v>
      </c>
      <c r="P88" s="22" t="s">
        <v>8460</v>
      </c>
      <c r="Q88" s="22" t="s">
        <v>8461</v>
      </c>
      <c r="R88" s="22" t="s">
        <v>8462</v>
      </c>
      <c r="S88" s="24"/>
      <c r="T88" s="40" t="s">
        <v>8463</v>
      </c>
      <c r="U88" s="22" t="s">
        <v>8464</v>
      </c>
      <c r="V88" s="24"/>
      <c r="W88" s="22" t="s">
        <v>8465</v>
      </c>
      <c r="X88" s="22" t="s">
        <v>8251</v>
      </c>
      <c r="Y88" s="24"/>
      <c r="Z88" s="24"/>
      <c r="AA88" s="22" t="s">
        <v>8129</v>
      </c>
      <c r="AB88" s="22" t="s">
        <v>8130</v>
      </c>
      <c r="AC88" s="25"/>
      <c r="AD88" s="22" t="s">
        <v>8131</v>
      </c>
      <c r="AE88" s="22" t="s">
        <v>8132</v>
      </c>
      <c r="AF88" s="24"/>
      <c r="AG88" s="22">
        <v>1.0431075811651E13</v>
      </c>
      <c r="AH88" s="22" t="s">
        <v>90</v>
      </c>
      <c r="AI88" s="22">
        <v>6.480048554227E12</v>
      </c>
      <c r="AJ88" s="25"/>
      <c r="AK88" s="24"/>
      <c r="AL88" s="22" t="s">
        <v>8134</v>
      </c>
      <c r="AM88" s="22">
        <v>2.3398498435395E13</v>
      </c>
      <c r="AN88" s="25"/>
      <c r="AO88" s="25"/>
      <c r="AP88" s="22" t="s">
        <v>8269</v>
      </c>
      <c r="AQ88" s="30" t="s">
        <v>8150</v>
      </c>
      <c r="AR88" s="30" t="b">
        <v>0</v>
      </c>
      <c r="AS88" s="30" t="b">
        <v>0</v>
      </c>
    </row>
    <row r="89">
      <c r="A89" s="21" t="s">
        <v>8459</v>
      </c>
      <c r="B89" s="24"/>
      <c r="C89" s="24"/>
      <c r="D89" s="22" t="s">
        <v>8141</v>
      </c>
      <c r="E89" s="24"/>
      <c r="F89" s="22" t="s">
        <v>8136</v>
      </c>
      <c r="G89" s="24"/>
      <c r="H89" s="22">
        <v>9.490031313219E12</v>
      </c>
      <c r="I89" s="24"/>
      <c r="J89" s="24"/>
      <c r="K89" s="24"/>
      <c r="L89" s="24"/>
      <c r="M89" s="24"/>
      <c r="N89" s="22" t="s">
        <v>8460</v>
      </c>
      <c r="O89" s="22" t="s">
        <v>8461</v>
      </c>
      <c r="P89" s="22" t="s">
        <v>8460</v>
      </c>
      <c r="Q89" s="22" t="s">
        <v>8461</v>
      </c>
      <c r="R89" s="22" t="s">
        <v>8462</v>
      </c>
      <c r="S89" s="24"/>
      <c r="T89" s="40" t="s">
        <v>8463</v>
      </c>
      <c r="U89" s="22" t="s">
        <v>8464</v>
      </c>
      <c r="V89" s="24"/>
      <c r="W89" s="22" t="s">
        <v>8465</v>
      </c>
      <c r="X89" s="22" t="s">
        <v>8251</v>
      </c>
      <c r="Y89" s="24"/>
      <c r="Z89" s="24"/>
      <c r="AA89" s="22" t="s">
        <v>8129</v>
      </c>
      <c r="AB89" s="22" t="s">
        <v>8130</v>
      </c>
      <c r="AC89" s="25"/>
      <c r="AD89" s="24"/>
      <c r="AE89" s="22" t="s">
        <v>8132</v>
      </c>
      <c r="AF89" s="24"/>
      <c r="AG89" s="22">
        <v>1.0431075811651E13</v>
      </c>
      <c r="AH89" s="22" t="s">
        <v>8137</v>
      </c>
      <c r="AI89" s="22">
        <v>6.480048554227E12</v>
      </c>
      <c r="AJ89" s="25"/>
      <c r="AK89" s="24"/>
      <c r="AL89" s="22" t="s">
        <v>8136</v>
      </c>
      <c r="AM89" s="22">
        <v>7.457167900995E12</v>
      </c>
      <c r="AN89" s="25"/>
      <c r="AO89" s="25"/>
      <c r="AP89" s="22" t="s">
        <v>8134</v>
      </c>
      <c r="AQ89" s="30"/>
      <c r="AR89" s="30" t="b">
        <v>0</v>
      </c>
      <c r="AS89" s="30" t="b">
        <v>0</v>
      </c>
    </row>
    <row r="90">
      <c r="A90" s="21" t="s">
        <v>8466</v>
      </c>
      <c r="B90" s="22" t="s">
        <v>8467</v>
      </c>
      <c r="C90" s="22">
        <v>1.0</v>
      </c>
      <c r="D90" s="22" t="s">
        <v>8175</v>
      </c>
      <c r="E90" s="22" t="s">
        <v>8467</v>
      </c>
      <c r="F90" s="22" t="s">
        <v>8155</v>
      </c>
      <c r="G90" s="22" t="s">
        <v>89</v>
      </c>
      <c r="H90" s="22">
        <v>3.2682606756163E13</v>
      </c>
      <c r="I90" s="22" t="s">
        <v>89</v>
      </c>
      <c r="J90" s="24"/>
      <c r="K90" s="22">
        <v>4.9521175462211E13</v>
      </c>
      <c r="L90" s="24"/>
      <c r="M90" s="24"/>
      <c r="N90" s="22" t="s">
        <v>8468</v>
      </c>
      <c r="O90" s="22" t="s">
        <v>8469</v>
      </c>
      <c r="P90" s="22" t="s">
        <v>8468</v>
      </c>
      <c r="Q90" s="22" t="s">
        <v>8469</v>
      </c>
      <c r="R90" s="22" t="s">
        <v>8470</v>
      </c>
      <c r="S90" s="24"/>
      <c r="T90" s="40" t="s">
        <v>8471</v>
      </c>
      <c r="U90" s="22" t="s">
        <v>8472</v>
      </c>
      <c r="V90" s="24"/>
      <c r="W90" s="22" t="s">
        <v>8473</v>
      </c>
      <c r="X90" s="22" t="s">
        <v>8474</v>
      </c>
      <c r="Y90" s="24"/>
      <c r="Z90" s="24"/>
      <c r="AA90" s="22" t="s">
        <v>8129</v>
      </c>
      <c r="AB90" s="22" t="s">
        <v>8130</v>
      </c>
      <c r="AC90" s="25"/>
      <c r="AD90" s="22" t="s">
        <v>8161</v>
      </c>
      <c r="AE90" s="22" t="s">
        <v>8132</v>
      </c>
      <c r="AF90" s="24"/>
      <c r="AG90" s="22">
        <v>1.0431126143299E13</v>
      </c>
      <c r="AH90" s="22" t="s">
        <v>90</v>
      </c>
      <c r="AI90" s="22">
        <v>2.3386805076291E13</v>
      </c>
      <c r="AJ90" s="25"/>
      <c r="AK90" s="24"/>
      <c r="AL90" s="22" t="s">
        <v>8173</v>
      </c>
      <c r="AM90" s="22">
        <v>5.959831879923E12</v>
      </c>
      <c r="AN90" s="25"/>
      <c r="AO90" s="25"/>
      <c r="AP90" s="22" t="s">
        <v>8133</v>
      </c>
      <c r="AQ90" s="30" t="s">
        <v>55</v>
      </c>
      <c r="AR90" s="30" t="b">
        <v>0</v>
      </c>
      <c r="AS90" s="30" t="b">
        <v>1</v>
      </c>
    </row>
    <row r="91">
      <c r="A91" s="21" t="s">
        <v>8466</v>
      </c>
      <c r="B91" s="24"/>
      <c r="C91" s="24"/>
      <c r="D91" s="22" t="s">
        <v>8175</v>
      </c>
      <c r="E91" s="24"/>
      <c r="F91" s="22" t="s">
        <v>8149</v>
      </c>
      <c r="G91" s="24"/>
      <c r="H91" s="22">
        <v>9.490069291331E12</v>
      </c>
      <c r="I91" s="22" t="s">
        <v>89</v>
      </c>
      <c r="J91" s="24"/>
      <c r="K91" s="24"/>
      <c r="L91" s="24"/>
      <c r="M91" s="24"/>
      <c r="N91" s="22" t="s">
        <v>8468</v>
      </c>
      <c r="O91" s="22" t="s">
        <v>8469</v>
      </c>
      <c r="P91" s="22" t="s">
        <v>8468</v>
      </c>
      <c r="Q91" s="22" t="s">
        <v>8469</v>
      </c>
      <c r="R91" s="22" t="s">
        <v>8470</v>
      </c>
      <c r="S91" s="24"/>
      <c r="T91" s="40" t="s">
        <v>8471</v>
      </c>
      <c r="U91" s="22" t="s">
        <v>8472</v>
      </c>
      <c r="V91" s="24"/>
      <c r="W91" s="22" t="s">
        <v>8473</v>
      </c>
      <c r="X91" s="22" t="s">
        <v>8474</v>
      </c>
      <c r="Y91" s="24"/>
      <c r="Z91" s="24"/>
      <c r="AA91" s="22" t="s">
        <v>8129</v>
      </c>
      <c r="AB91" s="22" t="s">
        <v>8130</v>
      </c>
      <c r="AC91" s="25"/>
      <c r="AD91" s="25"/>
      <c r="AE91" s="22" t="s">
        <v>8132</v>
      </c>
      <c r="AF91" s="24"/>
      <c r="AG91" s="22">
        <v>1.0431126143299E13</v>
      </c>
      <c r="AH91" s="22" t="s">
        <v>8137</v>
      </c>
      <c r="AI91" s="22">
        <v>2.3386805076291E13</v>
      </c>
      <c r="AJ91" s="25"/>
      <c r="AK91" s="24"/>
      <c r="AL91" s="22" t="s">
        <v>8149</v>
      </c>
      <c r="AM91" s="22">
        <v>8.597518319939E12</v>
      </c>
      <c r="AN91" s="25"/>
      <c r="AO91" s="25"/>
      <c r="AP91" s="22" t="s">
        <v>8201</v>
      </c>
      <c r="AQ91" s="30"/>
      <c r="AR91" s="30" t="b">
        <v>0</v>
      </c>
      <c r="AS91" s="30" t="b">
        <v>0</v>
      </c>
    </row>
    <row r="92">
      <c r="A92" s="21" t="s">
        <v>8466</v>
      </c>
      <c r="B92" s="22" t="s">
        <v>8467</v>
      </c>
      <c r="C92" s="22">
        <v>-1.0</v>
      </c>
      <c r="D92" s="22" t="s">
        <v>8175</v>
      </c>
      <c r="E92" s="22" t="s">
        <v>8467</v>
      </c>
      <c r="F92" s="22" t="s">
        <v>8155</v>
      </c>
      <c r="G92" s="22" t="s">
        <v>89</v>
      </c>
      <c r="H92" s="22">
        <v>3.2682606756163E13</v>
      </c>
      <c r="I92" s="22" t="s">
        <v>89</v>
      </c>
      <c r="J92" s="24"/>
      <c r="K92" s="22">
        <v>4.9521175462211E13</v>
      </c>
      <c r="L92" s="22" t="s">
        <v>8182</v>
      </c>
      <c r="M92" s="35" t="s">
        <v>8475</v>
      </c>
      <c r="N92" s="22" t="s">
        <v>8468</v>
      </c>
      <c r="O92" s="22" t="s">
        <v>8469</v>
      </c>
      <c r="P92" s="22" t="s">
        <v>8468</v>
      </c>
      <c r="Q92" s="22" t="s">
        <v>8469</v>
      </c>
      <c r="R92" s="22" t="s">
        <v>8470</v>
      </c>
      <c r="S92" s="24"/>
      <c r="T92" s="40" t="s">
        <v>8471</v>
      </c>
      <c r="U92" s="22" t="s">
        <v>8472</v>
      </c>
      <c r="V92" s="24"/>
      <c r="W92" s="22" t="s">
        <v>8473</v>
      </c>
      <c r="X92" s="22" t="s">
        <v>8474</v>
      </c>
      <c r="Y92" s="24"/>
      <c r="Z92" s="24"/>
      <c r="AA92" s="22" t="s">
        <v>8129</v>
      </c>
      <c r="AB92" s="22" t="s">
        <v>8130</v>
      </c>
      <c r="AC92" s="25"/>
      <c r="AD92" s="22" t="s">
        <v>8161</v>
      </c>
      <c r="AE92" s="22" t="s">
        <v>8132</v>
      </c>
      <c r="AF92" s="24"/>
      <c r="AG92" s="22">
        <v>1.0431126143299E13</v>
      </c>
      <c r="AH92" s="22" t="s">
        <v>8184</v>
      </c>
      <c r="AI92" s="22">
        <v>2.3386805076291E13</v>
      </c>
      <c r="AJ92" s="25"/>
      <c r="AK92" s="22">
        <v>6.714600816963E12</v>
      </c>
      <c r="AL92" s="22" t="s">
        <v>8173</v>
      </c>
      <c r="AM92" s="22">
        <v>8.597518319939E12</v>
      </c>
      <c r="AN92" s="25"/>
      <c r="AO92" s="25"/>
      <c r="AP92" s="22" t="s">
        <v>8149</v>
      </c>
      <c r="AQ92" s="30" t="s">
        <v>55</v>
      </c>
      <c r="AR92" s="30" t="b">
        <v>0</v>
      </c>
      <c r="AS92" s="30" t="b">
        <v>1</v>
      </c>
    </row>
    <row r="93">
      <c r="A93" s="21" t="s">
        <v>8476</v>
      </c>
      <c r="B93" s="22" t="s">
        <v>8140</v>
      </c>
      <c r="C93" s="22">
        <v>1.0</v>
      </c>
      <c r="D93" s="22" t="s">
        <v>8175</v>
      </c>
      <c r="E93" s="22" t="s">
        <v>8140</v>
      </c>
      <c r="F93" s="22" t="s">
        <v>8121</v>
      </c>
      <c r="G93" s="22" t="s">
        <v>89</v>
      </c>
      <c r="H93" s="22">
        <v>3.2685561315651E13</v>
      </c>
      <c r="I93" s="22" t="s">
        <v>89</v>
      </c>
      <c r="J93" s="24"/>
      <c r="K93" s="22">
        <v>4.2085703581939E13</v>
      </c>
      <c r="L93" s="24"/>
      <c r="M93" s="24"/>
      <c r="N93" s="22" t="s">
        <v>8477</v>
      </c>
      <c r="O93" s="22" t="s">
        <v>8478</v>
      </c>
      <c r="P93" s="22" t="s">
        <v>8477</v>
      </c>
      <c r="Q93" s="22" t="s">
        <v>8478</v>
      </c>
      <c r="R93" s="22" t="s">
        <v>8479</v>
      </c>
      <c r="S93" s="24"/>
      <c r="T93" s="40" t="s">
        <v>8480</v>
      </c>
      <c r="U93" s="22" t="s">
        <v>8481</v>
      </c>
      <c r="V93" s="24"/>
      <c r="W93" s="22" t="s">
        <v>8482</v>
      </c>
      <c r="X93" s="22" t="s">
        <v>8289</v>
      </c>
      <c r="Y93" s="24"/>
      <c r="Z93" s="24"/>
      <c r="AA93" s="22" t="s">
        <v>8129</v>
      </c>
      <c r="AB93" s="22" t="s">
        <v>8130</v>
      </c>
      <c r="AC93" s="25"/>
      <c r="AD93" s="22" t="s">
        <v>8131</v>
      </c>
      <c r="AE93" s="22" t="s">
        <v>8132</v>
      </c>
      <c r="AF93" s="24"/>
      <c r="AG93" s="22">
        <v>1.0432438534467E13</v>
      </c>
      <c r="AH93" s="22" t="s">
        <v>90</v>
      </c>
      <c r="AI93" s="22">
        <v>2.3389228466499E13</v>
      </c>
      <c r="AJ93" s="25"/>
      <c r="AK93" s="24"/>
      <c r="AL93" s="22" t="s">
        <v>8134</v>
      </c>
      <c r="AM93" s="22">
        <v>2.3396904763715E13</v>
      </c>
      <c r="AN93" s="25"/>
      <c r="AO93" s="25"/>
      <c r="AP93" s="22" t="s">
        <v>8133</v>
      </c>
      <c r="AQ93" s="30" t="s">
        <v>8150</v>
      </c>
      <c r="AR93" s="30" t="b">
        <v>0</v>
      </c>
      <c r="AS93" s="30" t="b">
        <v>0</v>
      </c>
    </row>
    <row r="94">
      <c r="A94" s="21" t="s">
        <v>8476</v>
      </c>
      <c r="B94" s="24"/>
      <c r="C94" s="24"/>
      <c r="D94" s="22" t="s">
        <v>8175</v>
      </c>
      <c r="E94" s="24"/>
      <c r="F94" s="22" t="s">
        <v>8136</v>
      </c>
      <c r="G94" s="24"/>
      <c r="H94" s="22">
        <v>9.491205849411E12</v>
      </c>
      <c r="I94" s="22" t="s">
        <v>89</v>
      </c>
      <c r="J94" s="24"/>
      <c r="K94" s="24"/>
      <c r="L94" s="24"/>
      <c r="M94" s="24"/>
      <c r="N94" s="22" t="s">
        <v>8477</v>
      </c>
      <c r="O94" s="22" t="s">
        <v>8478</v>
      </c>
      <c r="P94" s="22" t="s">
        <v>8477</v>
      </c>
      <c r="Q94" s="22" t="s">
        <v>8478</v>
      </c>
      <c r="R94" s="22" t="s">
        <v>8479</v>
      </c>
      <c r="S94" s="24"/>
      <c r="T94" s="40" t="s">
        <v>8480</v>
      </c>
      <c r="U94" s="22" t="s">
        <v>8481</v>
      </c>
      <c r="V94" s="24"/>
      <c r="W94" s="22" t="s">
        <v>8482</v>
      </c>
      <c r="X94" s="22" t="s">
        <v>8289</v>
      </c>
      <c r="Y94" s="24"/>
      <c r="Z94" s="24"/>
      <c r="AA94" s="22" t="s">
        <v>8129</v>
      </c>
      <c r="AB94" s="22" t="s">
        <v>8130</v>
      </c>
      <c r="AC94" s="25"/>
      <c r="AD94" s="24"/>
      <c r="AE94" s="22" t="s">
        <v>8132</v>
      </c>
      <c r="AF94" s="24"/>
      <c r="AG94" s="22">
        <v>1.0432438534467E13</v>
      </c>
      <c r="AH94" s="22" t="s">
        <v>8137</v>
      </c>
      <c r="AI94" s="22">
        <v>2.3389228466499E13</v>
      </c>
      <c r="AJ94" s="25"/>
      <c r="AK94" s="24"/>
      <c r="AL94" s="22" t="s">
        <v>8136</v>
      </c>
      <c r="AM94" s="22">
        <v>2.3396904763715E13</v>
      </c>
      <c r="AN94" s="25"/>
      <c r="AO94" s="25"/>
      <c r="AP94" s="22" t="s">
        <v>8136</v>
      </c>
      <c r="AQ94" s="30"/>
      <c r="AR94" s="30" t="b">
        <v>0</v>
      </c>
      <c r="AS94" s="30" t="b">
        <v>0</v>
      </c>
    </row>
    <row r="95">
      <c r="A95" s="21" t="s">
        <v>8476</v>
      </c>
      <c r="B95" s="22" t="s">
        <v>8140</v>
      </c>
      <c r="C95" s="22">
        <v>-1.0</v>
      </c>
      <c r="D95" s="22" t="s">
        <v>8175</v>
      </c>
      <c r="E95" s="22" t="s">
        <v>8140</v>
      </c>
      <c r="F95" s="22" t="s">
        <v>8121</v>
      </c>
      <c r="G95" s="22" t="s">
        <v>89</v>
      </c>
      <c r="H95" s="22">
        <v>3.2685561315651E13</v>
      </c>
      <c r="I95" s="22" t="s">
        <v>89</v>
      </c>
      <c r="J95" s="24"/>
      <c r="K95" s="22">
        <v>4.2085703581939E13</v>
      </c>
      <c r="L95" s="22" t="s">
        <v>8182</v>
      </c>
      <c r="M95" s="35" t="s">
        <v>8483</v>
      </c>
      <c r="N95" s="22" t="s">
        <v>8477</v>
      </c>
      <c r="O95" s="22" t="s">
        <v>8478</v>
      </c>
      <c r="P95" s="22" t="s">
        <v>8477</v>
      </c>
      <c r="Q95" s="22" t="s">
        <v>8478</v>
      </c>
      <c r="R95" s="22" t="s">
        <v>8479</v>
      </c>
      <c r="S95" s="24"/>
      <c r="T95" s="40" t="s">
        <v>8480</v>
      </c>
      <c r="U95" s="22" t="s">
        <v>8481</v>
      </c>
      <c r="V95" s="24"/>
      <c r="W95" s="22" t="s">
        <v>8482</v>
      </c>
      <c r="X95" s="22" t="s">
        <v>8289</v>
      </c>
      <c r="Y95" s="24"/>
      <c r="Z95" s="24"/>
      <c r="AA95" s="22" t="s">
        <v>8129</v>
      </c>
      <c r="AB95" s="22" t="s">
        <v>8130</v>
      </c>
      <c r="AC95" s="25"/>
      <c r="AD95" s="22" t="s">
        <v>8131</v>
      </c>
      <c r="AE95" s="22" t="s">
        <v>8132</v>
      </c>
      <c r="AF95" s="24"/>
      <c r="AG95" s="22">
        <v>1.0432438534467E13</v>
      </c>
      <c r="AH95" s="22" t="s">
        <v>8184</v>
      </c>
      <c r="AI95" s="22">
        <v>2.3389228466499E13</v>
      </c>
      <c r="AJ95" s="25"/>
      <c r="AK95" s="22">
        <v>6.714600784195E12</v>
      </c>
      <c r="AL95" s="22" t="s">
        <v>8134</v>
      </c>
      <c r="AM95" s="22">
        <v>7.449834815811E12</v>
      </c>
      <c r="AN95" s="25"/>
      <c r="AO95" s="25"/>
      <c r="AP95" s="22" t="s">
        <v>8133</v>
      </c>
      <c r="AQ95" s="30" t="s">
        <v>8150</v>
      </c>
      <c r="AR95" s="30" t="b">
        <v>0</v>
      </c>
      <c r="AS95" s="30" t="b">
        <v>0</v>
      </c>
    </row>
    <row r="96">
      <c r="A96" s="21" t="s">
        <v>8484</v>
      </c>
      <c r="B96" s="22" t="s">
        <v>8119</v>
      </c>
      <c r="C96" s="22">
        <v>1.0</v>
      </c>
      <c r="D96" s="22" t="s">
        <v>8175</v>
      </c>
      <c r="E96" s="22" t="s">
        <v>8119</v>
      </c>
      <c r="F96" s="22" t="s">
        <v>8121</v>
      </c>
      <c r="G96" s="22" t="s">
        <v>89</v>
      </c>
      <c r="H96" s="22">
        <v>3.2680442167619E13</v>
      </c>
      <c r="I96" s="22" t="s">
        <v>89</v>
      </c>
      <c r="J96" s="24"/>
      <c r="K96" s="22">
        <v>4.2085703549171E13</v>
      </c>
      <c r="L96" s="24"/>
      <c r="M96" s="24"/>
      <c r="N96" s="22" t="s">
        <v>8485</v>
      </c>
      <c r="O96" s="22" t="s">
        <v>8486</v>
      </c>
      <c r="P96" s="22" t="s">
        <v>8485</v>
      </c>
      <c r="Q96" s="22" t="s">
        <v>8486</v>
      </c>
      <c r="R96" s="22" t="s">
        <v>8487</v>
      </c>
      <c r="S96" s="24"/>
      <c r="T96" s="40" t="s">
        <v>8488</v>
      </c>
      <c r="U96" s="22" t="s">
        <v>8489</v>
      </c>
      <c r="V96" s="24"/>
      <c r="W96" s="22" t="s">
        <v>8490</v>
      </c>
      <c r="X96" s="22" t="s">
        <v>8380</v>
      </c>
      <c r="Y96" s="24"/>
      <c r="Z96" s="24"/>
      <c r="AA96" s="22" t="s">
        <v>8129</v>
      </c>
      <c r="AB96" s="22" t="s">
        <v>8130</v>
      </c>
      <c r="AC96" s="25"/>
      <c r="AD96" s="22" t="s">
        <v>8131</v>
      </c>
      <c r="AE96" s="22" t="s">
        <v>8132</v>
      </c>
      <c r="AF96" s="24"/>
      <c r="AG96" s="22">
        <v>1.0430142054723E13</v>
      </c>
      <c r="AH96" s="22" t="s">
        <v>90</v>
      </c>
      <c r="AI96" s="22">
        <v>2.3381105606979E13</v>
      </c>
      <c r="AJ96" s="25"/>
      <c r="AK96" s="24"/>
      <c r="AL96" s="22" t="s">
        <v>8133</v>
      </c>
      <c r="AM96" s="22">
        <v>7.449834815811E12</v>
      </c>
      <c r="AN96" s="25"/>
      <c r="AO96" s="25"/>
      <c r="AP96" s="22" t="s">
        <v>8136</v>
      </c>
      <c r="AQ96" s="30" t="s">
        <v>8135</v>
      </c>
      <c r="AR96" s="30" t="b">
        <v>0</v>
      </c>
      <c r="AS96" s="30" t="b">
        <v>0</v>
      </c>
    </row>
    <row r="97">
      <c r="A97" s="21" t="s">
        <v>8484</v>
      </c>
      <c r="B97" s="24"/>
      <c r="C97" s="24"/>
      <c r="D97" s="22" t="s">
        <v>8175</v>
      </c>
      <c r="E97" s="24"/>
      <c r="F97" s="22" t="s">
        <v>768</v>
      </c>
      <c r="G97" s="24"/>
      <c r="H97" s="24"/>
      <c r="I97" s="22" t="s">
        <v>89</v>
      </c>
      <c r="J97" s="24"/>
      <c r="K97" s="24"/>
      <c r="L97" s="24"/>
      <c r="M97" s="24"/>
      <c r="N97" s="22" t="s">
        <v>8485</v>
      </c>
      <c r="O97" s="22" t="s">
        <v>8486</v>
      </c>
      <c r="P97" s="22" t="s">
        <v>8485</v>
      </c>
      <c r="Q97" s="22" t="s">
        <v>8486</v>
      </c>
      <c r="R97" s="22" t="s">
        <v>8487</v>
      </c>
      <c r="S97" s="24"/>
      <c r="T97" s="40" t="s">
        <v>8488</v>
      </c>
      <c r="U97" s="22" t="s">
        <v>8489</v>
      </c>
      <c r="V97" s="24"/>
      <c r="W97" s="22" t="s">
        <v>8490</v>
      </c>
      <c r="X97" s="22" t="s">
        <v>8380</v>
      </c>
      <c r="Y97" s="24"/>
      <c r="Z97" s="24"/>
      <c r="AA97" s="22" t="s">
        <v>8129</v>
      </c>
      <c r="AB97" s="22" t="s">
        <v>8130</v>
      </c>
      <c r="AC97" s="25"/>
      <c r="AD97" s="25"/>
      <c r="AE97" s="22" t="s">
        <v>8132</v>
      </c>
      <c r="AF97" s="24"/>
      <c r="AG97" s="22">
        <v>1.0430142054723E13</v>
      </c>
      <c r="AH97" s="22" t="s">
        <v>769</v>
      </c>
      <c r="AI97" s="22">
        <v>2.3381105606979E13</v>
      </c>
      <c r="AJ97" s="25"/>
      <c r="AK97" s="24"/>
      <c r="AL97" s="22" t="s">
        <v>8491</v>
      </c>
      <c r="AM97" s="22">
        <v>2.3396877435203E13</v>
      </c>
      <c r="AN97" s="25"/>
      <c r="AO97" s="25"/>
      <c r="AP97" s="22" t="s">
        <v>8243</v>
      </c>
      <c r="AQ97" s="30"/>
      <c r="AR97" s="30" t="b">
        <v>0</v>
      </c>
      <c r="AS97" s="30" t="b">
        <v>0</v>
      </c>
    </row>
    <row r="98">
      <c r="A98" s="21" t="s">
        <v>8484</v>
      </c>
      <c r="B98" s="24"/>
      <c r="C98" s="24"/>
      <c r="D98" s="22" t="s">
        <v>8175</v>
      </c>
      <c r="E98" s="24"/>
      <c r="F98" s="22" t="s">
        <v>8136</v>
      </c>
      <c r="G98" s="24"/>
      <c r="H98" s="22">
        <v>9.489199497539E12</v>
      </c>
      <c r="I98" s="22" t="s">
        <v>89</v>
      </c>
      <c r="J98" s="24"/>
      <c r="K98" s="24"/>
      <c r="L98" s="24"/>
      <c r="M98" s="24"/>
      <c r="N98" s="22" t="s">
        <v>8485</v>
      </c>
      <c r="O98" s="22" t="s">
        <v>8486</v>
      </c>
      <c r="P98" s="22" t="s">
        <v>8485</v>
      </c>
      <c r="Q98" s="22" t="s">
        <v>8486</v>
      </c>
      <c r="R98" s="22" t="s">
        <v>8487</v>
      </c>
      <c r="S98" s="24"/>
      <c r="T98" s="40" t="s">
        <v>8488</v>
      </c>
      <c r="U98" s="22" t="s">
        <v>8489</v>
      </c>
      <c r="V98" s="24"/>
      <c r="W98" s="22" t="s">
        <v>8490</v>
      </c>
      <c r="X98" s="22" t="s">
        <v>8380</v>
      </c>
      <c r="Y98" s="24"/>
      <c r="Z98" s="24"/>
      <c r="AA98" s="22" t="s">
        <v>8129</v>
      </c>
      <c r="AB98" s="22" t="s">
        <v>8130</v>
      </c>
      <c r="AC98" s="25"/>
      <c r="AD98" s="24"/>
      <c r="AE98" s="22" t="s">
        <v>8132</v>
      </c>
      <c r="AF98" s="24"/>
      <c r="AG98" s="22">
        <v>1.0430142054723E13</v>
      </c>
      <c r="AH98" s="22" t="s">
        <v>8137</v>
      </c>
      <c r="AI98" s="22">
        <v>2.3381105606979E13</v>
      </c>
      <c r="AJ98" s="25"/>
      <c r="AK98" s="24"/>
      <c r="AL98" s="22" t="s">
        <v>8136</v>
      </c>
      <c r="AM98" s="22">
        <v>2.3396877435203E13</v>
      </c>
      <c r="AN98" s="25"/>
      <c r="AO98" s="25"/>
      <c r="AP98" s="22" t="s">
        <v>8149</v>
      </c>
      <c r="AQ98" s="30"/>
      <c r="AR98" s="30" t="b">
        <v>0</v>
      </c>
      <c r="AS98" s="30" t="b">
        <v>0</v>
      </c>
    </row>
    <row r="99">
      <c r="A99" s="21" t="s">
        <v>8484</v>
      </c>
      <c r="B99" s="22" t="s">
        <v>8119</v>
      </c>
      <c r="C99" s="22">
        <v>-1.0</v>
      </c>
      <c r="D99" s="22" t="s">
        <v>8175</v>
      </c>
      <c r="E99" s="22" t="s">
        <v>8119</v>
      </c>
      <c r="F99" s="22" t="s">
        <v>8121</v>
      </c>
      <c r="G99" s="22" t="s">
        <v>89</v>
      </c>
      <c r="H99" s="22">
        <v>3.2680442167619E13</v>
      </c>
      <c r="I99" s="22" t="s">
        <v>89</v>
      </c>
      <c r="J99" s="24"/>
      <c r="K99" s="22">
        <v>4.2085703549171E13</v>
      </c>
      <c r="L99" s="22" t="s">
        <v>8182</v>
      </c>
      <c r="M99" s="35" t="s">
        <v>8492</v>
      </c>
      <c r="N99" s="22" t="s">
        <v>8485</v>
      </c>
      <c r="O99" s="22" t="s">
        <v>8486</v>
      </c>
      <c r="P99" s="22" t="s">
        <v>8485</v>
      </c>
      <c r="Q99" s="22" t="s">
        <v>8486</v>
      </c>
      <c r="R99" s="22" t="s">
        <v>8487</v>
      </c>
      <c r="S99" s="24"/>
      <c r="T99" s="40" t="s">
        <v>8488</v>
      </c>
      <c r="U99" s="22" t="s">
        <v>8489</v>
      </c>
      <c r="V99" s="24"/>
      <c r="W99" s="22" t="s">
        <v>8490</v>
      </c>
      <c r="X99" s="22" t="s">
        <v>8380</v>
      </c>
      <c r="Y99" s="24"/>
      <c r="Z99" s="24"/>
      <c r="AA99" s="22" t="s">
        <v>8129</v>
      </c>
      <c r="AB99" s="22" t="s">
        <v>8130</v>
      </c>
      <c r="AC99" s="25"/>
      <c r="AD99" s="22" t="s">
        <v>8131</v>
      </c>
      <c r="AE99" s="22" t="s">
        <v>8132</v>
      </c>
      <c r="AF99" s="24"/>
      <c r="AG99" s="22">
        <v>1.0430142054723E13</v>
      </c>
      <c r="AH99" s="22" t="s">
        <v>8184</v>
      </c>
      <c r="AI99" s="22">
        <v>2.3381105606979E13</v>
      </c>
      <c r="AJ99" s="25"/>
      <c r="AK99" s="22">
        <v>6.714600882499E12</v>
      </c>
      <c r="AL99" s="22" t="s">
        <v>8133</v>
      </c>
      <c r="AM99" s="22">
        <v>2.3396747379011E13</v>
      </c>
      <c r="AN99" s="25"/>
      <c r="AO99" s="25"/>
      <c r="AP99" s="22" t="s">
        <v>8173</v>
      </c>
      <c r="AQ99" s="30" t="s">
        <v>8135</v>
      </c>
      <c r="AR99" s="30" t="b">
        <v>0</v>
      </c>
      <c r="AS99" s="30" t="b">
        <v>0</v>
      </c>
    </row>
    <row r="100">
      <c r="A100" s="21" t="s">
        <v>8493</v>
      </c>
      <c r="B100" s="22" t="s">
        <v>8467</v>
      </c>
      <c r="C100" s="22">
        <v>1.0</v>
      </c>
      <c r="D100" s="22" t="s">
        <v>8494</v>
      </c>
      <c r="E100" s="22" t="s">
        <v>8467</v>
      </c>
      <c r="F100" s="22" t="s">
        <v>8155</v>
      </c>
      <c r="G100" s="24"/>
      <c r="H100" s="22">
        <v>3.2686306427203E13</v>
      </c>
      <c r="I100" s="24"/>
      <c r="J100" s="24"/>
      <c r="K100" s="22">
        <v>4.9521175462211E13</v>
      </c>
      <c r="L100" s="24"/>
      <c r="M100" s="24"/>
      <c r="N100" s="22" t="s">
        <v>4297</v>
      </c>
      <c r="O100" s="22" t="s">
        <v>8495</v>
      </c>
      <c r="P100" s="22" t="s">
        <v>4297</v>
      </c>
      <c r="Q100" s="22" t="s">
        <v>8495</v>
      </c>
      <c r="R100" s="22" t="s">
        <v>8496</v>
      </c>
      <c r="S100" s="24"/>
      <c r="T100" s="40" t="s">
        <v>8497</v>
      </c>
      <c r="U100" s="22" t="s">
        <v>8498</v>
      </c>
      <c r="V100" s="24"/>
      <c r="W100" s="22" t="s">
        <v>8499</v>
      </c>
      <c r="X100" s="22" t="s">
        <v>8289</v>
      </c>
      <c r="Y100" s="24"/>
      <c r="Z100" s="24"/>
      <c r="AA100" s="22" t="s">
        <v>8129</v>
      </c>
      <c r="AB100" s="22" t="s">
        <v>8130</v>
      </c>
      <c r="AC100" s="25"/>
      <c r="AD100" s="22" t="s">
        <v>8161</v>
      </c>
      <c r="AE100" s="22" t="s">
        <v>8132</v>
      </c>
      <c r="AF100" s="24"/>
      <c r="AG100" s="22">
        <v>1.0432762806595E13</v>
      </c>
      <c r="AH100" s="22" t="s">
        <v>90</v>
      </c>
      <c r="AI100" s="22">
        <v>8.564938965315E12</v>
      </c>
      <c r="AJ100" s="25"/>
      <c r="AK100" s="24"/>
      <c r="AL100" s="22" t="s">
        <v>8173</v>
      </c>
      <c r="AM100" s="22">
        <v>2.3396747379011E13</v>
      </c>
      <c r="AN100" s="25"/>
      <c r="AO100" s="25"/>
      <c r="AP100" s="22" t="s">
        <v>8149</v>
      </c>
      <c r="AQ100" s="30" t="s">
        <v>55</v>
      </c>
      <c r="AR100" s="30" t="b">
        <v>0</v>
      </c>
      <c r="AS100" s="30" t="b">
        <v>1</v>
      </c>
    </row>
    <row r="101">
      <c r="A101" s="21" t="s">
        <v>8493</v>
      </c>
      <c r="B101" s="24"/>
      <c r="C101" s="24"/>
      <c r="D101" s="22" t="s">
        <v>8494</v>
      </c>
      <c r="E101" s="24"/>
      <c r="F101" s="22" t="s">
        <v>8149</v>
      </c>
      <c r="G101" s="24"/>
      <c r="H101" s="22">
        <v>9.491498729795E12</v>
      </c>
      <c r="I101" s="24"/>
      <c r="J101" s="24"/>
      <c r="K101" s="24"/>
      <c r="L101" s="24"/>
      <c r="M101" s="24"/>
      <c r="N101" s="22" t="s">
        <v>4297</v>
      </c>
      <c r="O101" s="22" t="s">
        <v>8495</v>
      </c>
      <c r="P101" s="22" t="s">
        <v>4297</v>
      </c>
      <c r="Q101" s="22" t="s">
        <v>8495</v>
      </c>
      <c r="R101" s="22" t="s">
        <v>8496</v>
      </c>
      <c r="S101" s="24"/>
      <c r="T101" s="40" t="s">
        <v>8497</v>
      </c>
      <c r="U101" s="22" t="s">
        <v>8498</v>
      </c>
      <c r="V101" s="24"/>
      <c r="W101" s="22" t="s">
        <v>8499</v>
      </c>
      <c r="X101" s="22" t="s">
        <v>8289</v>
      </c>
      <c r="Y101" s="24"/>
      <c r="Z101" s="24"/>
      <c r="AA101" s="22" t="s">
        <v>8129</v>
      </c>
      <c r="AB101" s="22" t="s">
        <v>8130</v>
      </c>
      <c r="AC101" s="25"/>
      <c r="AD101" s="25"/>
      <c r="AE101" s="22" t="s">
        <v>8132</v>
      </c>
      <c r="AF101" s="24"/>
      <c r="AG101" s="22">
        <v>1.0432762806595E13</v>
      </c>
      <c r="AH101" s="22" t="s">
        <v>8137</v>
      </c>
      <c r="AI101" s="22">
        <v>8.564938965315E12</v>
      </c>
      <c r="AJ101" s="25"/>
      <c r="AK101" s="24"/>
      <c r="AL101" s="22" t="s">
        <v>8149</v>
      </c>
      <c r="AM101" s="22">
        <v>2.3396633084227E13</v>
      </c>
      <c r="AN101" s="25"/>
      <c r="AO101" s="25"/>
      <c r="AP101" s="22" t="s">
        <v>8134</v>
      </c>
      <c r="AQ101" s="30"/>
      <c r="AR101" s="30" t="b">
        <v>0</v>
      </c>
      <c r="AS101" s="30" t="b">
        <v>0</v>
      </c>
    </row>
    <row r="102">
      <c r="A102" s="21" t="s">
        <v>8500</v>
      </c>
      <c r="B102" s="22" t="s">
        <v>8119</v>
      </c>
      <c r="C102" s="22">
        <v>1.0</v>
      </c>
      <c r="D102" s="22" t="s">
        <v>8501</v>
      </c>
      <c r="E102" s="22" t="s">
        <v>8119</v>
      </c>
      <c r="F102" s="22" t="s">
        <v>8121</v>
      </c>
      <c r="G102" s="24"/>
      <c r="H102" s="22">
        <v>3.2687005991235E13</v>
      </c>
      <c r="I102" s="24"/>
      <c r="J102" s="24"/>
      <c r="K102" s="22">
        <v>4.2085703549171E13</v>
      </c>
      <c r="L102" s="24"/>
      <c r="M102" s="24"/>
      <c r="N102" s="22" t="s">
        <v>8502</v>
      </c>
      <c r="O102" s="22" t="s">
        <v>8503</v>
      </c>
      <c r="P102" s="22" t="s">
        <v>8502</v>
      </c>
      <c r="Q102" s="22" t="s">
        <v>8503</v>
      </c>
      <c r="R102" s="22" t="s">
        <v>8504</v>
      </c>
      <c r="S102" s="22" t="s">
        <v>8505</v>
      </c>
      <c r="T102" s="40" t="s">
        <v>8506</v>
      </c>
      <c r="U102" s="22" t="s">
        <v>8507</v>
      </c>
      <c r="V102" s="24"/>
      <c r="W102" s="22" t="s">
        <v>8508</v>
      </c>
      <c r="X102" s="22" t="s">
        <v>8289</v>
      </c>
      <c r="Y102" s="24"/>
      <c r="Z102" s="24"/>
      <c r="AA102" s="22" t="s">
        <v>8129</v>
      </c>
      <c r="AB102" s="22" t="s">
        <v>8130</v>
      </c>
      <c r="AC102" s="25"/>
      <c r="AD102" s="22" t="s">
        <v>8131</v>
      </c>
      <c r="AE102" s="22" t="s">
        <v>8132</v>
      </c>
      <c r="AF102" s="24"/>
      <c r="AG102" s="22">
        <v>1.0433080754499E13</v>
      </c>
      <c r="AH102" s="22" t="s">
        <v>90</v>
      </c>
      <c r="AI102" s="22">
        <v>2.3390359028035E13</v>
      </c>
      <c r="AJ102" s="25"/>
      <c r="AK102" s="24"/>
      <c r="AL102" s="22" t="s">
        <v>8133</v>
      </c>
      <c r="AM102" s="22">
        <v>2.3396633084227E13</v>
      </c>
      <c r="AN102" s="25"/>
      <c r="AO102" s="25"/>
      <c r="AP102" s="22" t="s">
        <v>8136</v>
      </c>
      <c r="AQ102" s="30" t="s">
        <v>8135</v>
      </c>
      <c r="AR102" s="30" t="b">
        <v>0</v>
      </c>
      <c r="AS102" s="30" t="b">
        <v>0</v>
      </c>
    </row>
    <row r="103">
      <c r="A103" s="21" t="s">
        <v>8500</v>
      </c>
      <c r="B103" s="24"/>
      <c r="C103" s="24"/>
      <c r="D103" s="22" t="s">
        <v>8501</v>
      </c>
      <c r="E103" s="24"/>
      <c r="F103" s="22" t="s">
        <v>8136</v>
      </c>
      <c r="G103" s="24"/>
      <c r="H103" s="22">
        <v>9.491747275075E12</v>
      </c>
      <c r="I103" s="24"/>
      <c r="J103" s="24"/>
      <c r="K103" s="24"/>
      <c r="L103" s="24"/>
      <c r="M103" s="24"/>
      <c r="N103" s="22" t="s">
        <v>8502</v>
      </c>
      <c r="O103" s="22" t="s">
        <v>8503</v>
      </c>
      <c r="P103" s="22" t="s">
        <v>8502</v>
      </c>
      <c r="Q103" s="22" t="s">
        <v>8503</v>
      </c>
      <c r="R103" s="22" t="s">
        <v>8504</v>
      </c>
      <c r="S103" s="22" t="s">
        <v>8505</v>
      </c>
      <c r="T103" s="40" t="s">
        <v>8506</v>
      </c>
      <c r="U103" s="22" t="s">
        <v>8507</v>
      </c>
      <c r="V103" s="24"/>
      <c r="W103" s="22" t="s">
        <v>8508</v>
      </c>
      <c r="X103" s="22" t="s">
        <v>8289</v>
      </c>
      <c r="Y103" s="24"/>
      <c r="Z103" s="24"/>
      <c r="AA103" s="22" t="s">
        <v>8129</v>
      </c>
      <c r="AB103" s="22" t="s">
        <v>8130</v>
      </c>
      <c r="AC103" s="25"/>
      <c r="AD103" s="25"/>
      <c r="AE103" s="22" t="s">
        <v>8132</v>
      </c>
      <c r="AF103" s="24"/>
      <c r="AG103" s="22">
        <v>1.0433080754499E13</v>
      </c>
      <c r="AH103" s="22" t="s">
        <v>8137</v>
      </c>
      <c r="AI103" s="22">
        <v>2.3390359028035E13</v>
      </c>
      <c r="AJ103" s="25"/>
      <c r="AK103" s="24"/>
      <c r="AL103" s="22" t="s">
        <v>8136</v>
      </c>
      <c r="AM103" s="22">
        <v>2.3398219546947E13</v>
      </c>
      <c r="AN103" s="25"/>
      <c r="AO103" s="25"/>
      <c r="AP103" s="22" t="s">
        <v>8138</v>
      </c>
      <c r="AQ103" s="30"/>
      <c r="AR103" s="30" t="b">
        <v>0</v>
      </c>
      <c r="AS103" s="30" t="b">
        <v>0</v>
      </c>
    </row>
    <row r="104">
      <c r="A104" s="21" t="s">
        <v>8509</v>
      </c>
      <c r="B104" s="22" t="s">
        <v>8119</v>
      </c>
      <c r="C104" s="22">
        <v>1.0</v>
      </c>
      <c r="D104" s="22" t="s">
        <v>8254</v>
      </c>
      <c r="E104" s="22" t="s">
        <v>8119</v>
      </c>
      <c r="F104" s="22" t="s">
        <v>8121</v>
      </c>
      <c r="G104" s="24"/>
      <c r="H104" s="22">
        <v>3.2687500362051E13</v>
      </c>
      <c r="I104" s="24"/>
      <c r="J104" s="24"/>
      <c r="K104" s="22">
        <v>4.2085703549171E13</v>
      </c>
      <c r="L104" s="24"/>
      <c r="M104" s="24"/>
      <c r="N104" s="22" t="s">
        <v>8510</v>
      </c>
      <c r="O104" s="22" t="s">
        <v>8511</v>
      </c>
      <c r="P104" s="22" t="s">
        <v>8510</v>
      </c>
      <c r="Q104" s="22" t="s">
        <v>8511</v>
      </c>
      <c r="R104" s="22" t="s">
        <v>8512</v>
      </c>
      <c r="S104" s="24"/>
      <c r="T104" s="40" t="s">
        <v>8513</v>
      </c>
      <c r="U104" s="22" t="s">
        <v>8514</v>
      </c>
      <c r="V104" s="24"/>
      <c r="W104" s="22" t="s">
        <v>8515</v>
      </c>
      <c r="X104" s="22" t="s">
        <v>8289</v>
      </c>
      <c r="Y104" s="24"/>
      <c r="Z104" s="24"/>
      <c r="AA104" s="22" t="s">
        <v>8129</v>
      </c>
      <c r="AB104" s="22" t="s">
        <v>8130</v>
      </c>
      <c r="AC104" s="25"/>
      <c r="AD104" s="22" t="s">
        <v>8131</v>
      </c>
      <c r="AE104" s="22" t="s">
        <v>8132</v>
      </c>
      <c r="AF104" s="24"/>
      <c r="AG104" s="22">
        <v>1.0433306820931E13</v>
      </c>
      <c r="AH104" s="22" t="s">
        <v>90</v>
      </c>
      <c r="AI104" s="22">
        <v>2.3390819549507E13</v>
      </c>
      <c r="AJ104" s="25"/>
      <c r="AK104" s="24"/>
      <c r="AL104" s="22" t="s">
        <v>8133</v>
      </c>
      <c r="AM104" s="22">
        <v>2.3398219546947E13</v>
      </c>
      <c r="AN104" s="25"/>
      <c r="AO104" s="25"/>
      <c r="AP104" s="22" t="s">
        <v>8149</v>
      </c>
      <c r="AQ104" s="30" t="s">
        <v>8135</v>
      </c>
      <c r="AR104" s="30" t="b">
        <v>0</v>
      </c>
      <c r="AS104" s="30" t="b">
        <v>0</v>
      </c>
    </row>
    <row r="105">
      <c r="A105" s="21" t="s">
        <v>8509</v>
      </c>
      <c r="B105" s="24"/>
      <c r="C105" s="24"/>
      <c r="D105" s="22" t="s">
        <v>8254</v>
      </c>
      <c r="E105" s="24"/>
      <c r="F105" s="22" t="s">
        <v>8136</v>
      </c>
      <c r="G105" s="24"/>
      <c r="H105" s="22">
        <v>9.491915931971E12</v>
      </c>
      <c r="I105" s="24"/>
      <c r="J105" s="24"/>
      <c r="K105" s="24"/>
      <c r="L105" s="24"/>
      <c r="M105" s="24"/>
      <c r="N105" s="22" t="s">
        <v>8510</v>
      </c>
      <c r="O105" s="22" t="s">
        <v>8511</v>
      </c>
      <c r="P105" s="22" t="s">
        <v>8510</v>
      </c>
      <c r="Q105" s="22" t="s">
        <v>8511</v>
      </c>
      <c r="R105" s="22" t="s">
        <v>8512</v>
      </c>
      <c r="S105" s="24"/>
      <c r="T105" s="40" t="s">
        <v>8513</v>
      </c>
      <c r="U105" s="22" t="s">
        <v>8514</v>
      </c>
      <c r="V105" s="24"/>
      <c r="W105" s="22" t="s">
        <v>8515</v>
      </c>
      <c r="X105" s="22" t="s">
        <v>8289</v>
      </c>
      <c r="Y105" s="24"/>
      <c r="Z105" s="24"/>
      <c r="AA105" s="22" t="s">
        <v>8129</v>
      </c>
      <c r="AB105" s="22" t="s">
        <v>8130</v>
      </c>
      <c r="AC105" s="25"/>
      <c r="AD105" s="24"/>
      <c r="AE105" s="22" t="s">
        <v>8132</v>
      </c>
      <c r="AF105" s="24"/>
      <c r="AG105" s="22">
        <v>1.0433306820931E13</v>
      </c>
      <c r="AH105" s="22" t="s">
        <v>8137</v>
      </c>
      <c r="AI105" s="22">
        <v>2.3390819549507E13</v>
      </c>
      <c r="AJ105" s="25"/>
      <c r="AK105" s="24"/>
      <c r="AL105" s="22" t="s">
        <v>8136</v>
      </c>
      <c r="AM105" s="22">
        <v>8.648090157379E12</v>
      </c>
      <c r="AN105" s="25"/>
      <c r="AO105" s="25"/>
      <c r="AP105" s="22" t="s">
        <v>8136</v>
      </c>
      <c r="AQ105" s="30"/>
      <c r="AR105" s="30" t="b">
        <v>0</v>
      </c>
      <c r="AS105" s="30" t="b">
        <v>0</v>
      </c>
    </row>
    <row r="106">
      <c r="A106" s="21" t="s">
        <v>8516</v>
      </c>
      <c r="B106" s="22" t="s">
        <v>8262</v>
      </c>
      <c r="C106" s="22">
        <v>3.0</v>
      </c>
      <c r="D106" s="22" t="s">
        <v>8203</v>
      </c>
      <c r="E106" s="22" t="s">
        <v>8262</v>
      </c>
      <c r="F106" s="22" t="s">
        <v>8155</v>
      </c>
      <c r="G106" s="24"/>
      <c r="H106" s="22">
        <v>3.2687542206787E13</v>
      </c>
      <c r="I106" s="24"/>
      <c r="J106" s="24"/>
      <c r="K106" s="22">
        <v>4.7338059792707E13</v>
      </c>
      <c r="L106" s="24"/>
      <c r="M106" s="24"/>
      <c r="N106" s="22" t="s">
        <v>4877</v>
      </c>
      <c r="O106" s="22" t="s">
        <v>6731</v>
      </c>
      <c r="P106" s="22" t="s">
        <v>4877</v>
      </c>
      <c r="Q106" s="22" t="s">
        <v>6731</v>
      </c>
      <c r="R106" s="22" t="s">
        <v>8517</v>
      </c>
      <c r="S106" s="22" t="s">
        <v>8518</v>
      </c>
      <c r="T106" s="40" t="s">
        <v>8519</v>
      </c>
      <c r="U106" s="22" t="s">
        <v>8520</v>
      </c>
      <c r="V106" s="24"/>
      <c r="W106" s="22" t="s">
        <v>8521</v>
      </c>
      <c r="X106" s="22" t="s">
        <v>8276</v>
      </c>
      <c r="Y106" s="24"/>
      <c r="Z106" s="24"/>
      <c r="AA106" s="22" t="s">
        <v>8129</v>
      </c>
      <c r="AB106" s="22" t="s">
        <v>8130</v>
      </c>
      <c r="AC106" s="25"/>
      <c r="AD106" s="22" t="s">
        <v>8161</v>
      </c>
      <c r="AE106" s="22" t="s">
        <v>8132</v>
      </c>
      <c r="AF106" s="24"/>
      <c r="AG106" s="22">
        <v>1.0433327399235E13</v>
      </c>
      <c r="AH106" s="22" t="s">
        <v>90</v>
      </c>
      <c r="AI106" s="22">
        <v>2.3390863065411E13</v>
      </c>
      <c r="AJ106" s="25"/>
      <c r="AK106" s="24"/>
      <c r="AL106" s="22" t="s">
        <v>8269</v>
      </c>
      <c r="AM106" s="22">
        <v>6.445243891955E12</v>
      </c>
      <c r="AN106" s="25"/>
      <c r="AO106" s="25"/>
      <c r="AP106" s="22" t="s">
        <v>8136</v>
      </c>
      <c r="AQ106" s="30" t="s">
        <v>91</v>
      </c>
      <c r="AR106" s="30" t="b">
        <v>0</v>
      </c>
      <c r="AS106" s="30" t="b">
        <v>0</v>
      </c>
    </row>
    <row r="107">
      <c r="A107" s="21" t="s">
        <v>8516</v>
      </c>
      <c r="B107" s="22" t="s">
        <v>8403</v>
      </c>
      <c r="C107" s="22">
        <v>1.0</v>
      </c>
      <c r="D107" s="22" t="s">
        <v>8203</v>
      </c>
      <c r="E107" s="22" t="s">
        <v>8403</v>
      </c>
      <c r="F107" s="22" t="s">
        <v>8155</v>
      </c>
      <c r="G107" s="24"/>
      <c r="H107" s="22">
        <v>3.2687542239555E13</v>
      </c>
      <c r="I107" s="24"/>
      <c r="J107" s="24"/>
      <c r="K107" s="22">
        <v>4.7338059825475E13</v>
      </c>
      <c r="L107" s="24"/>
      <c r="M107" s="24"/>
      <c r="N107" s="22" t="s">
        <v>4877</v>
      </c>
      <c r="O107" s="22" t="s">
        <v>6731</v>
      </c>
      <c r="P107" s="22" t="s">
        <v>4877</v>
      </c>
      <c r="Q107" s="22" t="s">
        <v>6731</v>
      </c>
      <c r="R107" s="22" t="s">
        <v>8517</v>
      </c>
      <c r="S107" s="22" t="s">
        <v>8518</v>
      </c>
      <c r="T107" s="40" t="s">
        <v>8519</v>
      </c>
      <c r="U107" s="22" t="s">
        <v>8520</v>
      </c>
      <c r="V107" s="24"/>
      <c r="W107" s="22" t="s">
        <v>8521</v>
      </c>
      <c r="X107" s="22" t="s">
        <v>8276</v>
      </c>
      <c r="Y107" s="24"/>
      <c r="Z107" s="24"/>
      <c r="AA107" s="22" t="s">
        <v>8129</v>
      </c>
      <c r="AB107" s="22" t="s">
        <v>8130</v>
      </c>
      <c r="AC107" s="25"/>
      <c r="AD107" s="22" t="s">
        <v>8161</v>
      </c>
      <c r="AE107" s="22" t="s">
        <v>8132</v>
      </c>
      <c r="AF107" s="24"/>
      <c r="AG107" s="22">
        <v>1.0433327399235E13</v>
      </c>
      <c r="AH107" s="22" t="s">
        <v>90</v>
      </c>
      <c r="AI107" s="22">
        <v>2.3390863065411E13</v>
      </c>
      <c r="AJ107" s="25"/>
      <c r="AK107" s="24"/>
      <c r="AL107" s="22" t="s">
        <v>8243</v>
      </c>
      <c r="AM107" s="22">
        <v>8.621603422531E12</v>
      </c>
      <c r="AN107" s="25"/>
      <c r="AO107" s="25"/>
      <c r="AP107" s="22" t="s">
        <v>8173</v>
      </c>
      <c r="AQ107" s="30" t="s">
        <v>95</v>
      </c>
      <c r="AR107" s="30" t="b">
        <v>0</v>
      </c>
      <c r="AS107" s="30" t="b">
        <v>0</v>
      </c>
    </row>
    <row r="108">
      <c r="A108" s="21" t="s">
        <v>8516</v>
      </c>
      <c r="B108" s="24"/>
      <c r="C108" s="24"/>
      <c r="D108" s="22" t="s">
        <v>8203</v>
      </c>
      <c r="E108" s="24"/>
      <c r="F108" s="22" t="s">
        <v>8522</v>
      </c>
      <c r="G108" s="24"/>
      <c r="H108" s="22">
        <v>9.491930939715E12</v>
      </c>
      <c r="I108" s="24"/>
      <c r="J108" s="24"/>
      <c r="K108" s="24"/>
      <c r="L108" s="24"/>
      <c r="M108" s="24"/>
      <c r="N108" s="22" t="s">
        <v>4877</v>
      </c>
      <c r="O108" s="22" t="s">
        <v>6731</v>
      </c>
      <c r="P108" s="22" t="s">
        <v>4877</v>
      </c>
      <c r="Q108" s="22" t="s">
        <v>6731</v>
      </c>
      <c r="R108" s="22" t="s">
        <v>8517</v>
      </c>
      <c r="S108" s="22" t="s">
        <v>8518</v>
      </c>
      <c r="T108" s="40" t="s">
        <v>8519</v>
      </c>
      <c r="U108" s="22" t="s">
        <v>8520</v>
      </c>
      <c r="V108" s="24"/>
      <c r="W108" s="22" t="s">
        <v>8521</v>
      </c>
      <c r="X108" s="22" t="s">
        <v>8276</v>
      </c>
      <c r="Y108" s="24"/>
      <c r="Z108" s="24"/>
      <c r="AA108" s="22" t="s">
        <v>8129</v>
      </c>
      <c r="AB108" s="22" t="s">
        <v>8130</v>
      </c>
      <c r="AC108" s="25"/>
      <c r="AD108" s="25"/>
      <c r="AE108" s="22" t="s">
        <v>8132</v>
      </c>
      <c r="AF108" s="24"/>
      <c r="AG108" s="22">
        <v>1.0433327399235E13</v>
      </c>
      <c r="AH108" s="22" t="s">
        <v>8137</v>
      </c>
      <c r="AI108" s="22">
        <v>2.3390863065411E13</v>
      </c>
      <c r="AJ108" s="25"/>
      <c r="AK108" s="24"/>
      <c r="AL108" s="22" t="s">
        <v>8522</v>
      </c>
      <c r="AM108" s="22">
        <v>8.606436852035E12</v>
      </c>
      <c r="AN108" s="25"/>
      <c r="AO108" s="25"/>
      <c r="AP108" s="22" t="s">
        <v>8133</v>
      </c>
      <c r="AQ108" s="30"/>
      <c r="AR108" s="30" t="b">
        <v>0</v>
      </c>
      <c r="AS108" s="30" t="b">
        <v>0</v>
      </c>
    </row>
    <row r="109">
      <c r="A109" s="21" t="s">
        <v>8523</v>
      </c>
      <c r="B109" s="22" t="s">
        <v>8403</v>
      </c>
      <c r="C109" s="22">
        <v>1.0</v>
      </c>
      <c r="D109" s="22" t="s">
        <v>8203</v>
      </c>
      <c r="E109" s="22" t="s">
        <v>8403</v>
      </c>
      <c r="F109" s="22" t="s">
        <v>8155</v>
      </c>
      <c r="G109" s="24"/>
      <c r="H109" s="22">
        <v>3.2687548268867E13</v>
      </c>
      <c r="I109" s="24"/>
      <c r="J109" s="24"/>
      <c r="K109" s="22">
        <v>4.7338059825475E13</v>
      </c>
      <c r="L109" s="24"/>
      <c r="M109" s="24"/>
      <c r="N109" s="22" t="s">
        <v>4877</v>
      </c>
      <c r="O109" s="22" t="s">
        <v>6731</v>
      </c>
      <c r="P109" s="22" t="s">
        <v>4877</v>
      </c>
      <c r="Q109" s="22" t="s">
        <v>6731</v>
      </c>
      <c r="R109" s="22" t="s">
        <v>8517</v>
      </c>
      <c r="S109" s="22" t="s">
        <v>8518</v>
      </c>
      <c r="T109" s="40" t="s">
        <v>8519</v>
      </c>
      <c r="U109" s="22" t="s">
        <v>8520</v>
      </c>
      <c r="V109" s="24"/>
      <c r="W109" s="22" t="s">
        <v>8521</v>
      </c>
      <c r="X109" s="22" t="s">
        <v>8276</v>
      </c>
      <c r="Y109" s="24"/>
      <c r="Z109" s="24"/>
      <c r="AA109" s="22" t="s">
        <v>8129</v>
      </c>
      <c r="AB109" s="22" t="s">
        <v>8130</v>
      </c>
      <c r="AC109" s="25"/>
      <c r="AD109" s="22" t="s">
        <v>8161</v>
      </c>
      <c r="AE109" s="22" t="s">
        <v>8132</v>
      </c>
      <c r="AF109" s="24"/>
      <c r="AG109" s="22">
        <v>1.0433330413891E13</v>
      </c>
      <c r="AH109" s="22" t="s">
        <v>90</v>
      </c>
      <c r="AI109" s="22">
        <v>2.3390863065411E13</v>
      </c>
      <c r="AJ109" s="25"/>
      <c r="AK109" s="24"/>
      <c r="AL109" s="22" t="s">
        <v>8243</v>
      </c>
      <c r="AM109" s="22">
        <v>8.606436852035E12</v>
      </c>
      <c r="AN109" s="25"/>
      <c r="AO109" s="25"/>
      <c r="AP109" s="22" t="s">
        <v>8136</v>
      </c>
      <c r="AQ109" s="30" t="s">
        <v>95</v>
      </c>
      <c r="AR109" s="30" t="b">
        <v>0</v>
      </c>
      <c r="AS109" s="30" t="b">
        <v>0</v>
      </c>
    </row>
    <row r="110">
      <c r="A110" s="21" t="s">
        <v>8523</v>
      </c>
      <c r="B110" s="24"/>
      <c r="C110" s="24"/>
      <c r="D110" s="22" t="s">
        <v>8203</v>
      </c>
      <c r="E110" s="24"/>
      <c r="F110" s="22" t="s">
        <v>8149</v>
      </c>
      <c r="G110" s="24"/>
      <c r="H110" s="22">
        <v>9.491932905795E12</v>
      </c>
      <c r="I110" s="24"/>
      <c r="J110" s="24"/>
      <c r="K110" s="24"/>
      <c r="L110" s="24"/>
      <c r="M110" s="24"/>
      <c r="N110" s="22" t="s">
        <v>4877</v>
      </c>
      <c r="O110" s="22" t="s">
        <v>6731</v>
      </c>
      <c r="P110" s="22" t="s">
        <v>4877</v>
      </c>
      <c r="Q110" s="22" t="s">
        <v>6731</v>
      </c>
      <c r="R110" s="22" t="s">
        <v>8517</v>
      </c>
      <c r="S110" s="22" t="s">
        <v>8518</v>
      </c>
      <c r="T110" s="40" t="s">
        <v>8519</v>
      </c>
      <c r="U110" s="22" t="s">
        <v>8520</v>
      </c>
      <c r="V110" s="24"/>
      <c r="W110" s="22" t="s">
        <v>8521</v>
      </c>
      <c r="X110" s="22" t="s">
        <v>8276</v>
      </c>
      <c r="Y110" s="24"/>
      <c r="Z110" s="24"/>
      <c r="AA110" s="22" t="s">
        <v>8129</v>
      </c>
      <c r="AB110" s="22" t="s">
        <v>8130</v>
      </c>
      <c r="AC110" s="25"/>
      <c r="AD110" s="25"/>
      <c r="AE110" s="22" t="s">
        <v>8132</v>
      </c>
      <c r="AF110" s="24"/>
      <c r="AG110" s="22">
        <v>1.0433330413891E13</v>
      </c>
      <c r="AH110" s="22" t="s">
        <v>8137</v>
      </c>
      <c r="AI110" s="22">
        <v>2.3390863065411E13</v>
      </c>
      <c r="AJ110" s="25"/>
      <c r="AK110" s="24"/>
      <c r="AL110" s="22" t="s">
        <v>8149</v>
      </c>
      <c r="AM110" s="22">
        <v>2.3396347314499E13</v>
      </c>
      <c r="AN110" s="25"/>
      <c r="AO110" s="25"/>
      <c r="AP110" s="22" t="s">
        <v>8133</v>
      </c>
      <c r="AQ110" s="30"/>
      <c r="AR110" s="30" t="b">
        <v>0</v>
      </c>
      <c r="AS110" s="30" t="b">
        <v>0</v>
      </c>
    </row>
    <row r="111">
      <c r="A111" s="21" t="s">
        <v>8524</v>
      </c>
      <c r="B111" s="22" t="s">
        <v>8467</v>
      </c>
      <c r="C111" s="22">
        <v>1.0</v>
      </c>
      <c r="D111" s="22" t="s">
        <v>8254</v>
      </c>
      <c r="E111" s="22" t="s">
        <v>8467</v>
      </c>
      <c r="F111" s="22" t="s">
        <v>8155</v>
      </c>
      <c r="G111" s="24"/>
      <c r="H111" s="22">
        <v>3.2686104969539E13</v>
      </c>
      <c r="I111" s="24"/>
      <c r="J111" s="24"/>
      <c r="K111" s="22">
        <v>4.9521175462211E13</v>
      </c>
      <c r="L111" s="24"/>
      <c r="M111" s="24"/>
      <c r="N111" s="22" t="s">
        <v>4582</v>
      </c>
      <c r="O111" s="22" t="s">
        <v>8525</v>
      </c>
      <c r="P111" s="22" t="s">
        <v>4582</v>
      </c>
      <c r="Q111" s="22" t="s">
        <v>8525</v>
      </c>
      <c r="R111" s="22" t="s">
        <v>8526</v>
      </c>
      <c r="S111" s="24"/>
      <c r="T111" s="40" t="s">
        <v>8527</v>
      </c>
      <c r="U111" s="22" t="s">
        <v>8528</v>
      </c>
      <c r="V111" s="24"/>
      <c r="W111" s="22" t="s">
        <v>8529</v>
      </c>
      <c r="X111" s="22" t="s">
        <v>8380</v>
      </c>
      <c r="Y111" s="24"/>
      <c r="Z111" s="24"/>
      <c r="AA111" s="22" t="s">
        <v>8129</v>
      </c>
      <c r="AB111" s="22" t="s">
        <v>8130</v>
      </c>
      <c r="AC111" s="25"/>
      <c r="AD111" s="22" t="s">
        <v>8161</v>
      </c>
      <c r="AE111" s="22" t="s">
        <v>8132</v>
      </c>
      <c r="AF111" s="24"/>
      <c r="AG111" s="22">
        <v>1.0432674300227E13</v>
      </c>
      <c r="AH111" s="22" t="s">
        <v>90</v>
      </c>
      <c r="AI111" s="22">
        <v>8.605386604867E12</v>
      </c>
      <c r="AJ111" s="25"/>
      <c r="AK111" s="24"/>
      <c r="AL111" s="22" t="s">
        <v>8173</v>
      </c>
      <c r="AM111" s="22">
        <v>2.3396347314499E13</v>
      </c>
      <c r="AN111" s="25"/>
      <c r="AO111" s="25"/>
      <c r="AP111" s="22" t="s">
        <v>8136</v>
      </c>
      <c r="AQ111" s="30" t="s">
        <v>55</v>
      </c>
      <c r="AR111" s="30" t="b">
        <v>0</v>
      </c>
      <c r="AS111" s="30" t="b">
        <v>1</v>
      </c>
    </row>
    <row r="112">
      <c r="A112" s="21" t="s">
        <v>8524</v>
      </c>
      <c r="B112" s="24"/>
      <c r="C112" s="24"/>
      <c r="D112" s="22" t="s">
        <v>8254</v>
      </c>
      <c r="E112" s="24"/>
      <c r="F112" s="22" t="s">
        <v>8149</v>
      </c>
      <c r="G112" s="24"/>
      <c r="H112" s="22">
        <v>9.491423002947E12</v>
      </c>
      <c r="I112" s="24"/>
      <c r="J112" s="24"/>
      <c r="K112" s="24"/>
      <c r="L112" s="24"/>
      <c r="M112" s="24"/>
      <c r="N112" s="22" t="s">
        <v>4582</v>
      </c>
      <c r="O112" s="22" t="s">
        <v>8525</v>
      </c>
      <c r="P112" s="22" t="s">
        <v>4582</v>
      </c>
      <c r="Q112" s="22" t="s">
        <v>8525</v>
      </c>
      <c r="R112" s="22" t="s">
        <v>8526</v>
      </c>
      <c r="S112" s="24"/>
      <c r="T112" s="40" t="s">
        <v>8527</v>
      </c>
      <c r="U112" s="22" t="s">
        <v>8528</v>
      </c>
      <c r="V112" s="24"/>
      <c r="W112" s="22" t="s">
        <v>8529</v>
      </c>
      <c r="X112" s="22" t="s">
        <v>8380</v>
      </c>
      <c r="Y112" s="24"/>
      <c r="Z112" s="24"/>
      <c r="AA112" s="22" t="s">
        <v>8129</v>
      </c>
      <c r="AB112" s="22" t="s">
        <v>8130</v>
      </c>
      <c r="AC112" s="25"/>
      <c r="AD112" s="25"/>
      <c r="AE112" s="22" t="s">
        <v>8132</v>
      </c>
      <c r="AF112" s="24"/>
      <c r="AG112" s="22">
        <v>1.0432674300227E13</v>
      </c>
      <c r="AH112" s="22" t="s">
        <v>8137</v>
      </c>
      <c r="AI112" s="22">
        <v>8.605386604867E12</v>
      </c>
      <c r="AJ112" s="25"/>
      <c r="AK112" s="24"/>
      <c r="AL112" s="22" t="s">
        <v>8149</v>
      </c>
      <c r="AM112" s="22">
        <v>8.552114192707E12</v>
      </c>
      <c r="AN112" s="25"/>
      <c r="AO112" s="25"/>
      <c r="AP112" s="22" t="s">
        <v>8133</v>
      </c>
      <c r="AQ112" s="30"/>
      <c r="AR112" s="30" t="b">
        <v>0</v>
      </c>
      <c r="AS112" s="30" t="b">
        <v>0</v>
      </c>
    </row>
    <row r="113">
      <c r="A113" s="21" t="s">
        <v>8530</v>
      </c>
      <c r="B113" s="22" t="s">
        <v>8140</v>
      </c>
      <c r="C113" s="22">
        <v>1.0</v>
      </c>
      <c r="D113" s="22" t="s">
        <v>8221</v>
      </c>
      <c r="E113" s="22" t="s">
        <v>8140</v>
      </c>
      <c r="F113" s="22" t="s">
        <v>8121</v>
      </c>
      <c r="G113" s="24"/>
      <c r="H113" s="22">
        <v>3.2688114893123E13</v>
      </c>
      <c r="I113" s="24"/>
      <c r="J113" s="24"/>
      <c r="K113" s="22">
        <v>4.2085703581939E13</v>
      </c>
      <c r="L113" s="24"/>
      <c r="M113" s="24"/>
      <c r="N113" s="22" t="s">
        <v>8531</v>
      </c>
      <c r="O113" s="22" t="s">
        <v>8532</v>
      </c>
      <c r="P113" s="22" t="s">
        <v>8531</v>
      </c>
      <c r="Q113" s="22" t="s">
        <v>8532</v>
      </c>
      <c r="R113" s="22" t="s">
        <v>8533</v>
      </c>
      <c r="S113" s="24"/>
      <c r="T113" s="40" t="s">
        <v>8534</v>
      </c>
      <c r="U113" s="22" t="s">
        <v>8535</v>
      </c>
      <c r="V113" s="24"/>
      <c r="W113" s="22" t="s">
        <v>8536</v>
      </c>
      <c r="X113" s="22" t="s">
        <v>8251</v>
      </c>
      <c r="Y113" s="24"/>
      <c r="Z113" s="24"/>
      <c r="AA113" s="22" t="s">
        <v>8129</v>
      </c>
      <c r="AB113" s="22" t="s">
        <v>8130</v>
      </c>
      <c r="AC113" s="25"/>
      <c r="AD113" s="22" t="s">
        <v>8131</v>
      </c>
      <c r="AE113" s="22" t="s">
        <v>8132</v>
      </c>
      <c r="AF113" s="24"/>
      <c r="AG113" s="22">
        <v>1.0433594720579E13</v>
      </c>
      <c r="AH113" s="22" t="s">
        <v>90</v>
      </c>
      <c r="AI113" s="22">
        <v>8.568591253827E12</v>
      </c>
      <c r="AJ113" s="25"/>
      <c r="AK113" s="24"/>
      <c r="AL113" s="22" t="s">
        <v>8134</v>
      </c>
      <c r="AM113" s="22">
        <v>8.552114192707E12</v>
      </c>
      <c r="AN113" s="25"/>
      <c r="AO113" s="25"/>
      <c r="AP113" s="22" t="s">
        <v>8136</v>
      </c>
      <c r="AQ113" s="30" t="s">
        <v>8150</v>
      </c>
      <c r="AR113" s="30" t="b">
        <v>0</v>
      </c>
      <c r="AS113" s="30" t="b">
        <v>0</v>
      </c>
    </row>
    <row r="114">
      <c r="A114" s="21" t="s">
        <v>8530</v>
      </c>
      <c r="B114" s="24"/>
      <c r="C114" s="24"/>
      <c r="D114" s="22" t="s">
        <v>8221</v>
      </c>
      <c r="E114" s="24"/>
      <c r="F114" s="22" t="s">
        <v>8136</v>
      </c>
      <c r="G114" s="24"/>
      <c r="H114" s="22">
        <v>9.492125516099E12</v>
      </c>
      <c r="I114" s="24"/>
      <c r="J114" s="24"/>
      <c r="K114" s="24"/>
      <c r="L114" s="24"/>
      <c r="M114" s="24"/>
      <c r="N114" s="22" t="s">
        <v>8531</v>
      </c>
      <c r="O114" s="22" t="s">
        <v>8532</v>
      </c>
      <c r="P114" s="22" t="s">
        <v>8531</v>
      </c>
      <c r="Q114" s="22" t="s">
        <v>8532</v>
      </c>
      <c r="R114" s="22" t="s">
        <v>8533</v>
      </c>
      <c r="S114" s="24"/>
      <c r="T114" s="40" t="s">
        <v>8534</v>
      </c>
      <c r="U114" s="22" t="s">
        <v>8535</v>
      </c>
      <c r="V114" s="24"/>
      <c r="W114" s="22" t="s">
        <v>8536</v>
      </c>
      <c r="X114" s="22" t="s">
        <v>8251</v>
      </c>
      <c r="Y114" s="24"/>
      <c r="Z114" s="24"/>
      <c r="AA114" s="22" t="s">
        <v>8129</v>
      </c>
      <c r="AB114" s="22" t="s">
        <v>8130</v>
      </c>
      <c r="AC114" s="25"/>
      <c r="AD114" s="24"/>
      <c r="AE114" s="22" t="s">
        <v>8132</v>
      </c>
      <c r="AF114" s="24"/>
      <c r="AG114" s="22">
        <v>1.0433594720579E13</v>
      </c>
      <c r="AH114" s="22" t="s">
        <v>8137</v>
      </c>
      <c r="AI114" s="22">
        <v>8.568591253827E12</v>
      </c>
      <c r="AJ114" s="25"/>
      <c r="AK114" s="24"/>
      <c r="AL114" s="22" t="s">
        <v>8136</v>
      </c>
      <c r="AM114" s="22">
        <v>2.3398188384579E13</v>
      </c>
      <c r="AN114" s="25"/>
      <c r="AO114" s="25"/>
      <c r="AP114" s="22" t="s">
        <v>8173</v>
      </c>
      <c r="AQ114" s="30"/>
      <c r="AR114" s="30" t="b">
        <v>0</v>
      </c>
      <c r="AS114" s="30" t="b">
        <v>0</v>
      </c>
    </row>
    <row r="115">
      <c r="A115" s="21" t="s">
        <v>8537</v>
      </c>
      <c r="B115" s="22" t="s">
        <v>8370</v>
      </c>
      <c r="C115" s="22">
        <v>1.0</v>
      </c>
      <c r="D115" s="22" t="s">
        <v>8245</v>
      </c>
      <c r="E115" s="22" t="s">
        <v>8370</v>
      </c>
      <c r="F115" s="22" t="s">
        <v>8155</v>
      </c>
      <c r="G115" s="24"/>
      <c r="H115" s="22">
        <v>3.2688896311619E13</v>
      </c>
      <c r="I115" s="24"/>
      <c r="J115" s="24"/>
      <c r="K115" s="22">
        <v>4.9521175494979E13</v>
      </c>
      <c r="L115" s="24"/>
      <c r="M115" s="24"/>
      <c r="N115" s="22" t="s">
        <v>8538</v>
      </c>
      <c r="O115" s="22" t="s">
        <v>8539</v>
      </c>
      <c r="P115" s="22" t="s">
        <v>8540</v>
      </c>
      <c r="Q115" s="22" t="s">
        <v>8541</v>
      </c>
      <c r="R115" s="22" t="s">
        <v>8542</v>
      </c>
      <c r="S115" s="24"/>
      <c r="T115" s="40" t="s">
        <v>8543</v>
      </c>
      <c r="U115" s="22" t="s">
        <v>8544</v>
      </c>
      <c r="V115" s="24"/>
      <c r="W115" s="22" t="s">
        <v>8545</v>
      </c>
      <c r="X115" s="22" t="s">
        <v>8546</v>
      </c>
      <c r="Y115" s="24"/>
      <c r="Z115" s="24"/>
      <c r="AA115" s="22" t="s">
        <v>8129</v>
      </c>
      <c r="AB115" s="22" t="s">
        <v>8130</v>
      </c>
      <c r="AC115" s="25"/>
      <c r="AD115" s="22" t="s">
        <v>8161</v>
      </c>
      <c r="AE115" s="22" t="s">
        <v>8132</v>
      </c>
      <c r="AF115" s="24"/>
      <c r="AG115" s="22">
        <v>1.0433946845507E13</v>
      </c>
      <c r="AH115" s="22" t="s">
        <v>90</v>
      </c>
      <c r="AI115" s="22">
        <v>8.409215271235E12</v>
      </c>
      <c r="AJ115" s="25"/>
      <c r="AK115" s="24"/>
      <c r="AL115" s="22" t="s">
        <v>8138</v>
      </c>
      <c r="AM115" s="22">
        <v>2.3398188384579E13</v>
      </c>
      <c r="AN115" s="25"/>
      <c r="AO115" s="25"/>
      <c r="AP115" s="22" t="s">
        <v>8149</v>
      </c>
      <c r="AQ115" s="30" t="s">
        <v>91</v>
      </c>
      <c r="AR115" s="30" t="b">
        <v>0</v>
      </c>
      <c r="AS115" s="30" t="b">
        <v>1</v>
      </c>
    </row>
    <row r="116">
      <c r="A116" s="21" t="s">
        <v>8537</v>
      </c>
      <c r="B116" s="24"/>
      <c r="C116" s="24"/>
      <c r="D116" s="22" t="s">
        <v>8245</v>
      </c>
      <c r="E116" s="24"/>
      <c r="F116" s="22" t="s">
        <v>8149</v>
      </c>
      <c r="G116" s="24"/>
      <c r="H116" s="22">
        <v>9.492434321731E12</v>
      </c>
      <c r="I116" s="24"/>
      <c r="J116" s="24"/>
      <c r="K116" s="24"/>
      <c r="L116" s="24"/>
      <c r="M116" s="24"/>
      <c r="N116" s="22" t="s">
        <v>8538</v>
      </c>
      <c r="O116" s="22" t="s">
        <v>8539</v>
      </c>
      <c r="P116" s="22" t="s">
        <v>8540</v>
      </c>
      <c r="Q116" s="22" t="s">
        <v>8541</v>
      </c>
      <c r="R116" s="22" t="s">
        <v>8542</v>
      </c>
      <c r="S116" s="24"/>
      <c r="T116" s="40" t="s">
        <v>8543</v>
      </c>
      <c r="U116" s="22" t="s">
        <v>8544</v>
      </c>
      <c r="V116" s="24"/>
      <c r="W116" s="22" t="s">
        <v>8545</v>
      </c>
      <c r="X116" s="22" t="s">
        <v>8546</v>
      </c>
      <c r="Y116" s="24"/>
      <c r="Z116" s="24"/>
      <c r="AA116" s="22" t="s">
        <v>8129</v>
      </c>
      <c r="AB116" s="22" t="s">
        <v>8130</v>
      </c>
      <c r="AC116" s="25"/>
      <c r="AD116" s="25"/>
      <c r="AE116" s="22" t="s">
        <v>8132</v>
      </c>
      <c r="AF116" s="24"/>
      <c r="AG116" s="22">
        <v>1.0433946845507E13</v>
      </c>
      <c r="AH116" s="22" t="s">
        <v>8137</v>
      </c>
      <c r="AI116" s="22">
        <v>8.409215271235E12</v>
      </c>
      <c r="AJ116" s="25"/>
      <c r="AK116" s="24"/>
      <c r="AL116" s="22" t="s">
        <v>8149</v>
      </c>
      <c r="AM116" s="22">
        <v>2.3395655287107E13</v>
      </c>
      <c r="AN116" s="25"/>
      <c r="AO116" s="25"/>
      <c r="AP116" s="22" t="s">
        <v>8320</v>
      </c>
      <c r="AQ116" s="30"/>
      <c r="AR116" s="30" t="b">
        <v>0</v>
      </c>
      <c r="AS116" s="30" t="b">
        <v>0</v>
      </c>
    </row>
    <row r="117">
      <c r="A117" s="21" t="s">
        <v>8547</v>
      </c>
      <c r="B117" s="22" t="s">
        <v>8211</v>
      </c>
      <c r="C117" s="22">
        <v>1.0</v>
      </c>
      <c r="D117" s="22" t="s">
        <v>8212</v>
      </c>
      <c r="E117" s="22" t="s">
        <v>8211</v>
      </c>
      <c r="F117" s="22" t="s">
        <v>8155</v>
      </c>
      <c r="G117" s="24"/>
      <c r="H117" s="22">
        <v>3.2690338431299E13</v>
      </c>
      <c r="I117" s="24"/>
      <c r="J117" s="24"/>
      <c r="K117" s="22">
        <v>4.7338059727171E13</v>
      </c>
      <c r="L117" s="24"/>
      <c r="M117" s="24"/>
      <c r="N117" s="22" t="s">
        <v>5409</v>
      </c>
      <c r="O117" s="22" t="s">
        <v>8548</v>
      </c>
      <c r="P117" s="22" t="s">
        <v>5409</v>
      </c>
      <c r="Q117" s="22" t="s">
        <v>8548</v>
      </c>
      <c r="R117" s="22" t="s">
        <v>8549</v>
      </c>
      <c r="S117" s="24"/>
      <c r="T117" s="40" t="s">
        <v>8550</v>
      </c>
      <c r="U117" s="22" t="s">
        <v>8551</v>
      </c>
      <c r="V117" s="24"/>
      <c r="W117" s="22" t="s">
        <v>8552</v>
      </c>
      <c r="X117" s="22" t="s">
        <v>8553</v>
      </c>
      <c r="Y117" s="24"/>
      <c r="Z117" s="24"/>
      <c r="AA117" s="22" t="s">
        <v>8129</v>
      </c>
      <c r="AB117" s="22" t="s">
        <v>8130</v>
      </c>
      <c r="AC117" s="25"/>
      <c r="AD117" s="22" t="s">
        <v>8161</v>
      </c>
      <c r="AE117" s="22" t="s">
        <v>8132</v>
      </c>
      <c r="AF117" s="24"/>
      <c r="AG117" s="22">
        <v>1.0434588344643E13</v>
      </c>
      <c r="AH117" s="22" t="s">
        <v>90</v>
      </c>
      <c r="AI117" s="22">
        <v>2.3392590856515E13</v>
      </c>
      <c r="AJ117" s="25"/>
      <c r="AK117" s="24"/>
      <c r="AL117" s="22" t="s">
        <v>8151</v>
      </c>
      <c r="AM117" s="22">
        <v>6.470625526003E12</v>
      </c>
      <c r="AN117" s="25"/>
      <c r="AO117" s="25"/>
      <c r="AP117" s="22" t="s">
        <v>8134</v>
      </c>
      <c r="AQ117" s="30" t="s">
        <v>54</v>
      </c>
      <c r="AR117" s="30" t="b">
        <v>0</v>
      </c>
      <c r="AS117" s="30" t="b">
        <v>0</v>
      </c>
    </row>
    <row r="118">
      <c r="A118" s="21" t="s">
        <v>8547</v>
      </c>
      <c r="B118" s="24"/>
      <c r="C118" s="24"/>
      <c r="D118" s="22" t="s">
        <v>8212</v>
      </c>
      <c r="E118" s="24"/>
      <c r="F118" s="22" t="s">
        <v>8149</v>
      </c>
      <c r="G118" s="24"/>
      <c r="H118" s="22">
        <v>9.493000716611E12</v>
      </c>
      <c r="I118" s="24"/>
      <c r="J118" s="24"/>
      <c r="K118" s="24"/>
      <c r="L118" s="24"/>
      <c r="M118" s="24"/>
      <c r="N118" s="22" t="s">
        <v>5409</v>
      </c>
      <c r="O118" s="22" t="s">
        <v>8548</v>
      </c>
      <c r="P118" s="22" t="s">
        <v>5409</v>
      </c>
      <c r="Q118" s="22" t="s">
        <v>8548</v>
      </c>
      <c r="R118" s="22" t="s">
        <v>8549</v>
      </c>
      <c r="S118" s="24"/>
      <c r="T118" s="40" t="s">
        <v>8550</v>
      </c>
      <c r="U118" s="22" t="s">
        <v>8551</v>
      </c>
      <c r="V118" s="24"/>
      <c r="W118" s="22" t="s">
        <v>8552</v>
      </c>
      <c r="X118" s="22" t="s">
        <v>8553</v>
      </c>
      <c r="Y118" s="24"/>
      <c r="Z118" s="24"/>
      <c r="AA118" s="22" t="s">
        <v>8129</v>
      </c>
      <c r="AB118" s="22" t="s">
        <v>8130</v>
      </c>
      <c r="AC118" s="25"/>
      <c r="AD118" s="25"/>
      <c r="AE118" s="22" t="s">
        <v>8132</v>
      </c>
      <c r="AF118" s="24"/>
      <c r="AG118" s="22">
        <v>1.0434588344643E13</v>
      </c>
      <c r="AH118" s="22" t="s">
        <v>8137</v>
      </c>
      <c r="AI118" s="22">
        <v>2.3392590856515E13</v>
      </c>
      <c r="AJ118" s="25"/>
      <c r="AK118" s="24"/>
      <c r="AL118" s="22" t="s">
        <v>8149</v>
      </c>
      <c r="AM118" s="22">
        <v>6.470625526003E12</v>
      </c>
      <c r="AN118" s="25"/>
      <c r="AO118" s="25"/>
      <c r="AP118" s="22" t="s">
        <v>8136</v>
      </c>
      <c r="AQ118" s="30"/>
      <c r="AR118" s="30" t="b">
        <v>0</v>
      </c>
      <c r="AS118" s="30" t="b">
        <v>0</v>
      </c>
    </row>
    <row r="119">
      <c r="A119" s="21" t="s">
        <v>8554</v>
      </c>
      <c r="B119" s="22" t="s">
        <v>8140</v>
      </c>
      <c r="C119" s="22">
        <v>1.0</v>
      </c>
      <c r="D119" s="22" t="s">
        <v>8203</v>
      </c>
      <c r="E119" s="22" t="s">
        <v>8140</v>
      </c>
      <c r="F119" s="22" t="s">
        <v>8121</v>
      </c>
      <c r="G119" s="24"/>
      <c r="H119" s="22">
        <v>3.2690620563779E13</v>
      </c>
      <c r="I119" s="24"/>
      <c r="J119" s="24"/>
      <c r="K119" s="22">
        <v>4.2085703581939E13</v>
      </c>
      <c r="L119" s="24"/>
      <c r="M119" s="24"/>
      <c r="N119" s="22" t="s">
        <v>6514</v>
      </c>
      <c r="O119" s="22" t="s">
        <v>8555</v>
      </c>
      <c r="P119" s="22" t="s">
        <v>6514</v>
      </c>
      <c r="Q119" s="22" t="s">
        <v>8555</v>
      </c>
      <c r="R119" s="22" t="s">
        <v>8556</v>
      </c>
      <c r="S119" s="24"/>
      <c r="T119" s="40" t="s">
        <v>8557</v>
      </c>
      <c r="U119" s="22" t="s">
        <v>8558</v>
      </c>
      <c r="V119" s="24"/>
      <c r="W119" s="22" t="s">
        <v>8559</v>
      </c>
      <c r="X119" s="22" t="s">
        <v>8560</v>
      </c>
      <c r="Y119" s="24"/>
      <c r="Z119" s="24"/>
      <c r="AA119" s="22" t="s">
        <v>8129</v>
      </c>
      <c r="AB119" s="22" t="s">
        <v>8130</v>
      </c>
      <c r="AC119" s="25"/>
      <c r="AD119" s="22" t="s">
        <v>8131</v>
      </c>
      <c r="AE119" s="22" t="s">
        <v>8132</v>
      </c>
      <c r="AF119" s="24"/>
      <c r="AG119" s="22">
        <v>1.0434716270915E13</v>
      </c>
      <c r="AH119" s="22" t="s">
        <v>90</v>
      </c>
      <c r="AI119" s="22">
        <v>2.3392693322051E13</v>
      </c>
      <c r="AJ119" s="25"/>
      <c r="AK119" s="24"/>
      <c r="AL119" s="22" t="s">
        <v>8134</v>
      </c>
      <c r="AM119" s="22">
        <v>2.3395387572547E13</v>
      </c>
      <c r="AN119" s="25"/>
      <c r="AO119" s="25"/>
      <c r="AP119" s="22" t="s">
        <v>8133</v>
      </c>
      <c r="AQ119" s="30" t="s">
        <v>8150</v>
      </c>
      <c r="AR119" s="30" t="b">
        <v>0</v>
      </c>
      <c r="AS119" s="30" t="b">
        <v>0</v>
      </c>
    </row>
    <row r="120">
      <c r="A120" s="21" t="s">
        <v>8554</v>
      </c>
      <c r="B120" s="24"/>
      <c r="C120" s="24"/>
      <c r="D120" s="22" t="s">
        <v>8203</v>
      </c>
      <c r="E120" s="24"/>
      <c r="F120" s="22" t="s">
        <v>8136</v>
      </c>
      <c r="G120" s="24"/>
      <c r="H120" s="22">
        <v>9.493087158595E12</v>
      </c>
      <c r="I120" s="24"/>
      <c r="J120" s="24"/>
      <c r="K120" s="24"/>
      <c r="L120" s="24"/>
      <c r="M120" s="24"/>
      <c r="N120" s="22" t="s">
        <v>6514</v>
      </c>
      <c r="O120" s="22" t="s">
        <v>8555</v>
      </c>
      <c r="P120" s="22" t="s">
        <v>6514</v>
      </c>
      <c r="Q120" s="22" t="s">
        <v>8555</v>
      </c>
      <c r="R120" s="22" t="s">
        <v>8556</v>
      </c>
      <c r="S120" s="24"/>
      <c r="T120" s="40" t="s">
        <v>8557</v>
      </c>
      <c r="U120" s="22" t="s">
        <v>8558</v>
      </c>
      <c r="V120" s="24"/>
      <c r="W120" s="22" t="s">
        <v>8559</v>
      </c>
      <c r="X120" s="22" t="s">
        <v>8560</v>
      </c>
      <c r="Y120" s="24"/>
      <c r="Z120" s="24"/>
      <c r="AA120" s="22" t="s">
        <v>8129</v>
      </c>
      <c r="AB120" s="22" t="s">
        <v>8130</v>
      </c>
      <c r="AC120" s="25"/>
      <c r="AD120" s="25"/>
      <c r="AE120" s="22" t="s">
        <v>8132</v>
      </c>
      <c r="AF120" s="24"/>
      <c r="AG120" s="22">
        <v>1.0434716270915E13</v>
      </c>
      <c r="AH120" s="22" t="s">
        <v>8137</v>
      </c>
      <c r="AI120" s="22">
        <v>2.3392693322051E13</v>
      </c>
      <c r="AJ120" s="25"/>
      <c r="AK120" s="24"/>
      <c r="AL120" s="22" t="s">
        <v>8136</v>
      </c>
      <c r="AM120" s="22">
        <v>2.3395387572547E13</v>
      </c>
      <c r="AN120" s="25"/>
      <c r="AO120" s="25"/>
      <c r="AP120" s="22" t="s">
        <v>8136</v>
      </c>
      <c r="AQ120" s="30"/>
      <c r="AR120" s="30" t="b">
        <v>0</v>
      </c>
      <c r="AS120" s="30" t="b">
        <v>0</v>
      </c>
    </row>
    <row r="121">
      <c r="A121" s="21" t="s">
        <v>8561</v>
      </c>
      <c r="B121" s="22" t="s">
        <v>8119</v>
      </c>
      <c r="C121" s="22">
        <v>1.0</v>
      </c>
      <c r="D121" s="22" t="s">
        <v>8254</v>
      </c>
      <c r="E121" s="22" t="s">
        <v>8119</v>
      </c>
      <c r="F121" s="22" t="s">
        <v>8121</v>
      </c>
      <c r="G121" s="24"/>
      <c r="H121" s="22">
        <v>3.2688666411331E13</v>
      </c>
      <c r="I121" s="24"/>
      <c r="J121" s="24"/>
      <c r="K121" s="22">
        <v>4.2085703549171E13</v>
      </c>
      <c r="L121" s="24"/>
      <c r="M121" s="24"/>
      <c r="N121" s="22" t="s">
        <v>4827</v>
      </c>
      <c r="O121" s="22" t="s">
        <v>3856</v>
      </c>
      <c r="P121" s="22" t="s">
        <v>4827</v>
      </c>
      <c r="Q121" s="22" t="s">
        <v>3856</v>
      </c>
      <c r="R121" s="22" t="s">
        <v>8562</v>
      </c>
      <c r="S121" s="24"/>
      <c r="T121" s="40" t="s">
        <v>8563</v>
      </c>
      <c r="U121" s="22" t="s">
        <v>8564</v>
      </c>
      <c r="V121" s="24"/>
      <c r="W121" s="22" t="s">
        <v>8565</v>
      </c>
      <c r="X121" s="22" t="s">
        <v>8566</v>
      </c>
      <c r="Y121" s="24"/>
      <c r="Z121" s="24"/>
      <c r="AA121" s="22" t="s">
        <v>8129</v>
      </c>
      <c r="AB121" s="22" t="s">
        <v>8130</v>
      </c>
      <c r="AC121" s="25"/>
      <c r="AD121" s="22" t="s">
        <v>8131</v>
      </c>
      <c r="AE121" s="22" t="s">
        <v>8132</v>
      </c>
      <c r="AF121" s="24"/>
      <c r="AG121" s="22">
        <v>1.0433847099715E13</v>
      </c>
      <c r="AH121" s="22" t="s">
        <v>90</v>
      </c>
      <c r="AI121" s="22">
        <v>2.3391723487555E13</v>
      </c>
      <c r="AJ121" s="25"/>
      <c r="AK121" s="24"/>
      <c r="AL121" s="22" t="s">
        <v>8133</v>
      </c>
      <c r="AM121" s="22">
        <v>6.482462703859E12</v>
      </c>
      <c r="AN121" s="25"/>
      <c r="AO121" s="25"/>
      <c r="AP121" s="22" t="s">
        <v>8134</v>
      </c>
      <c r="AQ121" s="30" t="s">
        <v>8135</v>
      </c>
      <c r="AR121" s="30" t="b">
        <v>0</v>
      </c>
      <c r="AS121" s="30" t="b">
        <v>0</v>
      </c>
    </row>
    <row r="122">
      <c r="A122" s="21" t="s">
        <v>8561</v>
      </c>
      <c r="B122" s="24"/>
      <c r="C122" s="24"/>
      <c r="D122" s="22" t="s">
        <v>8254</v>
      </c>
      <c r="E122" s="24"/>
      <c r="F122" s="22" t="s">
        <v>8136</v>
      </c>
      <c r="G122" s="24"/>
      <c r="H122" s="22">
        <v>9.492343456067E12</v>
      </c>
      <c r="I122" s="24"/>
      <c r="J122" s="24"/>
      <c r="K122" s="24"/>
      <c r="L122" s="24"/>
      <c r="M122" s="24"/>
      <c r="N122" s="22" t="s">
        <v>4827</v>
      </c>
      <c r="O122" s="22" t="s">
        <v>3856</v>
      </c>
      <c r="P122" s="22" t="s">
        <v>4827</v>
      </c>
      <c r="Q122" s="22" t="s">
        <v>3856</v>
      </c>
      <c r="R122" s="22" t="s">
        <v>8562</v>
      </c>
      <c r="S122" s="24"/>
      <c r="T122" s="40" t="s">
        <v>8563</v>
      </c>
      <c r="U122" s="22" t="s">
        <v>8564</v>
      </c>
      <c r="V122" s="24"/>
      <c r="W122" s="22" t="s">
        <v>8565</v>
      </c>
      <c r="X122" s="22" t="s">
        <v>8566</v>
      </c>
      <c r="Y122" s="24"/>
      <c r="Z122" s="24"/>
      <c r="AA122" s="22" t="s">
        <v>8129</v>
      </c>
      <c r="AB122" s="22" t="s">
        <v>8130</v>
      </c>
      <c r="AC122" s="25"/>
      <c r="AD122" s="25"/>
      <c r="AE122" s="22" t="s">
        <v>8132</v>
      </c>
      <c r="AF122" s="24"/>
      <c r="AG122" s="22">
        <v>1.0433847099715E13</v>
      </c>
      <c r="AH122" s="22" t="s">
        <v>8137</v>
      </c>
      <c r="AI122" s="22">
        <v>2.3391723487555E13</v>
      </c>
      <c r="AJ122" s="25"/>
      <c r="AK122" s="24"/>
      <c r="AL122" s="22" t="s">
        <v>8136</v>
      </c>
      <c r="AM122" s="22">
        <v>6.482462703859E12</v>
      </c>
      <c r="AN122" s="25"/>
      <c r="AO122" s="25"/>
      <c r="AP122" s="22" t="s">
        <v>8136</v>
      </c>
      <c r="AQ122" s="30"/>
      <c r="AR122" s="30" t="b">
        <v>0</v>
      </c>
      <c r="AS122" s="30" t="b">
        <v>0</v>
      </c>
    </row>
    <row r="123">
      <c r="A123" s="21" t="s">
        <v>8567</v>
      </c>
      <c r="B123" s="22" t="s">
        <v>8116</v>
      </c>
      <c r="C123" s="22">
        <v>1.0</v>
      </c>
      <c r="D123" s="22" t="s">
        <v>8175</v>
      </c>
      <c r="E123" s="22" t="s">
        <v>8116</v>
      </c>
      <c r="F123" s="22" t="s">
        <v>8117</v>
      </c>
      <c r="G123" s="22" t="s">
        <v>89</v>
      </c>
      <c r="H123" s="22">
        <v>3.2635830337859E13</v>
      </c>
      <c r="I123" s="22" t="s">
        <v>89</v>
      </c>
      <c r="J123" s="24"/>
      <c r="K123" s="22">
        <v>4.9664170623299E13</v>
      </c>
      <c r="L123" s="24"/>
      <c r="M123" s="24"/>
      <c r="N123" s="22" t="s">
        <v>6462</v>
      </c>
      <c r="O123" s="22" t="s">
        <v>8568</v>
      </c>
      <c r="P123" s="22" t="s">
        <v>6462</v>
      </c>
      <c r="Q123" s="22" t="s">
        <v>8568</v>
      </c>
      <c r="R123" s="22" t="s">
        <v>8569</v>
      </c>
      <c r="S123" s="24"/>
      <c r="T123" s="40" t="s">
        <v>8570</v>
      </c>
      <c r="U123" s="22" t="s">
        <v>8571</v>
      </c>
      <c r="V123" s="24"/>
      <c r="W123" s="22" t="s">
        <v>8572</v>
      </c>
      <c r="X123" s="22" t="s">
        <v>8289</v>
      </c>
      <c r="Y123" s="24"/>
      <c r="Z123" s="24"/>
      <c r="AA123" s="22" t="s">
        <v>8129</v>
      </c>
      <c r="AB123" s="22" t="s">
        <v>8130</v>
      </c>
      <c r="AC123" s="25"/>
      <c r="AD123" s="22" t="s">
        <v>8573</v>
      </c>
      <c r="AE123" s="22" t="s">
        <v>8132</v>
      </c>
      <c r="AF123" s="24"/>
      <c r="AG123" s="22">
        <v>1.0409884778819E13</v>
      </c>
      <c r="AH123" s="22" t="s">
        <v>90</v>
      </c>
      <c r="AI123" s="22">
        <v>2.3345688707395E13</v>
      </c>
      <c r="AJ123" s="25"/>
      <c r="AK123" s="24"/>
      <c r="AL123" s="22" t="s">
        <v>8117</v>
      </c>
      <c r="AM123" s="22">
        <v>8.646186238275E12</v>
      </c>
      <c r="AN123" s="25"/>
      <c r="AO123" s="25"/>
      <c r="AP123" s="22" t="s">
        <v>8162</v>
      </c>
      <c r="AQ123" s="30" t="s">
        <v>8116</v>
      </c>
      <c r="AR123" s="30" t="b">
        <v>1</v>
      </c>
      <c r="AS123" s="30" t="b">
        <v>0</v>
      </c>
    </row>
    <row r="124">
      <c r="A124" s="21" t="s">
        <v>8567</v>
      </c>
      <c r="B124" s="22" t="s">
        <v>8403</v>
      </c>
      <c r="C124" s="22">
        <v>1.0</v>
      </c>
      <c r="D124" s="22" t="s">
        <v>8175</v>
      </c>
      <c r="E124" s="22" t="s">
        <v>8403</v>
      </c>
      <c r="F124" s="22" t="s">
        <v>8155</v>
      </c>
      <c r="G124" s="22" t="s">
        <v>89</v>
      </c>
      <c r="H124" s="22">
        <v>3.2635830370627E13</v>
      </c>
      <c r="I124" s="22" t="s">
        <v>89</v>
      </c>
      <c r="J124" s="24"/>
      <c r="K124" s="22">
        <v>4.7338059825475E13</v>
      </c>
      <c r="L124" s="24"/>
      <c r="M124" s="24"/>
      <c r="N124" s="22" t="s">
        <v>6462</v>
      </c>
      <c r="O124" s="22" t="s">
        <v>8568</v>
      </c>
      <c r="P124" s="22" t="s">
        <v>6462</v>
      </c>
      <c r="Q124" s="22" t="s">
        <v>8568</v>
      </c>
      <c r="R124" s="22" t="s">
        <v>8569</v>
      </c>
      <c r="S124" s="24"/>
      <c r="T124" s="40" t="s">
        <v>8570</v>
      </c>
      <c r="U124" s="22" t="s">
        <v>8571</v>
      </c>
      <c r="V124" s="24"/>
      <c r="W124" s="22" t="s">
        <v>8572</v>
      </c>
      <c r="X124" s="22" t="s">
        <v>8289</v>
      </c>
      <c r="Y124" s="24"/>
      <c r="Z124" s="24"/>
      <c r="AA124" s="22" t="s">
        <v>8129</v>
      </c>
      <c r="AB124" s="22" t="s">
        <v>8130</v>
      </c>
      <c r="AC124" s="25"/>
      <c r="AD124" s="22" t="s">
        <v>8161</v>
      </c>
      <c r="AE124" s="22" t="s">
        <v>8132</v>
      </c>
      <c r="AF124" s="24"/>
      <c r="AG124" s="22">
        <v>1.0409884778819E13</v>
      </c>
      <c r="AH124" s="22" t="s">
        <v>90</v>
      </c>
      <c r="AI124" s="22">
        <v>2.3345688707395E13</v>
      </c>
      <c r="AJ124" s="25"/>
      <c r="AK124" s="24"/>
      <c r="AL124" s="22" t="s">
        <v>8243</v>
      </c>
      <c r="AM124" s="22">
        <v>8.646186238275E12</v>
      </c>
      <c r="AN124" s="25"/>
      <c r="AO124" s="25"/>
      <c r="AP124" s="22" t="s">
        <v>8149</v>
      </c>
      <c r="AQ124" s="30" t="s">
        <v>95</v>
      </c>
      <c r="AR124" s="30" t="b">
        <v>0</v>
      </c>
      <c r="AS124" s="30" t="b">
        <v>0</v>
      </c>
    </row>
    <row r="125">
      <c r="A125" s="21" t="s">
        <v>8567</v>
      </c>
      <c r="B125" s="24"/>
      <c r="C125" s="24"/>
      <c r="D125" s="22" t="s">
        <v>8175</v>
      </c>
      <c r="E125" s="24"/>
      <c r="F125" s="22" t="s">
        <v>8149</v>
      </c>
      <c r="G125" s="24"/>
      <c r="H125" s="22">
        <v>9.471697551683E12</v>
      </c>
      <c r="I125" s="22" t="s">
        <v>89</v>
      </c>
      <c r="J125" s="24"/>
      <c r="K125" s="24"/>
      <c r="L125" s="24"/>
      <c r="M125" s="24"/>
      <c r="N125" s="22" t="s">
        <v>6462</v>
      </c>
      <c r="O125" s="22" t="s">
        <v>8568</v>
      </c>
      <c r="P125" s="22" t="s">
        <v>6462</v>
      </c>
      <c r="Q125" s="22" t="s">
        <v>8568</v>
      </c>
      <c r="R125" s="22" t="s">
        <v>8569</v>
      </c>
      <c r="S125" s="24"/>
      <c r="T125" s="40" t="s">
        <v>8570</v>
      </c>
      <c r="U125" s="22" t="s">
        <v>8571</v>
      </c>
      <c r="V125" s="24"/>
      <c r="W125" s="22" t="s">
        <v>8572</v>
      </c>
      <c r="X125" s="22" t="s">
        <v>8289</v>
      </c>
      <c r="Y125" s="24"/>
      <c r="Z125" s="24"/>
      <c r="AA125" s="22" t="s">
        <v>8129</v>
      </c>
      <c r="AB125" s="22" t="s">
        <v>8130</v>
      </c>
      <c r="AC125" s="25"/>
      <c r="AD125" s="24"/>
      <c r="AE125" s="22" t="s">
        <v>8132</v>
      </c>
      <c r="AF125" s="24"/>
      <c r="AG125" s="22">
        <v>1.0409884778819E13</v>
      </c>
      <c r="AH125" s="22" t="s">
        <v>8137</v>
      </c>
      <c r="AI125" s="22">
        <v>2.3345688707395E13</v>
      </c>
      <c r="AJ125" s="25"/>
      <c r="AK125" s="24"/>
      <c r="AL125" s="22" t="s">
        <v>8149</v>
      </c>
      <c r="AM125" s="22">
        <v>8.622693089603E12</v>
      </c>
      <c r="AN125" s="25"/>
      <c r="AO125" s="25"/>
      <c r="AP125" s="22" t="s">
        <v>8336</v>
      </c>
      <c r="AQ125" s="30"/>
      <c r="AR125" s="30" t="b">
        <v>0</v>
      </c>
      <c r="AS125" s="30" t="b">
        <v>0</v>
      </c>
    </row>
    <row r="126">
      <c r="A126" s="21" t="s">
        <v>8567</v>
      </c>
      <c r="B126" s="22" t="s">
        <v>8116</v>
      </c>
      <c r="C126" s="22">
        <v>-1.0</v>
      </c>
      <c r="D126" s="22" t="s">
        <v>8175</v>
      </c>
      <c r="E126" s="22" t="s">
        <v>8116</v>
      </c>
      <c r="F126" s="22" t="s">
        <v>8117</v>
      </c>
      <c r="G126" s="22" t="s">
        <v>89</v>
      </c>
      <c r="H126" s="22">
        <v>3.2635830337859E13</v>
      </c>
      <c r="I126" s="22" t="s">
        <v>89</v>
      </c>
      <c r="J126" s="24"/>
      <c r="K126" s="22">
        <v>4.9664170623299E13</v>
      </c>
      <c r="L126" s="22" t="s">
        <v>8182</v>
      </c>
      <c r="M126" s="24"/>
      <c r="N126" s="22" t="s">
        <v>6462</v>
      </c>
      <c r="O126" s="22" t="s">
        <v>8568</v>
      </c>
      <c r="P126" s="22" t="s">
        <v>6462</v>
      </c>
      <c r="Q126" s="22" t="s">
        <v>8568</v>
      </c>
      <c r="R126" s="22" t="s">
        <v>8569</v>
      </c>
      <c r="S126" s="24"/>
      <c r="T126" s="40" t="s">
        <v>8570</v>
      </c>
      <c r="U126" s="22" t="s">
        <v>8571</v>
      </c>
      <c r="V126" s="24"/>
      <c r="W126" s="22" t="s">
        <v>8572</v>
      </c>
      <c r="X126" s="22" t="s">
        <v>8289</v>
      </c>
      <c r="Y126" s="24"/>
      <c r="Z126" s="24"/>
      <c r="AA126" s="22" t="s">
        <v>8129</v>
      </c>
      <c r="AB126" s="22" t="s">
        <v>8130</v>
      </c>
      <c r="AC126" s="25"/>
      <c r="AD126" s="22" t="s">
        <v>8573</v>
      </c>
      <c r="AE126" s="22" t="s">
        <v>8132</v>
      </c>
      <c r="AF126" s="24"/>
      <c r="AG126" s="22">
        <v>1.0409884778819E13</v>
      </c>
      <c r="AH126" s="22" t="s">
        <v>8184</v>
      </c>
      <c r="AI126" s="22">
        <v>2.3345688707395E13</v>
      </c>
      <c r="AJ126" s="25"/>
      <c r="AK126" s="22">
        <v>6.714641547587E12</v>
      </c>
      <c r="AL126" s="22" t="s">
        <v>8117</v>
      </c>
      <c r="AM126" s="22">
        <v>8.622693089603E12</v>
      </c>
      <c r="AN126" s="25"/>
      <c r="AO126" s="25"/>
      <c r="AP126" s="22" t="s">
        <v>8149</v>
      </c>
      <c r="AQ126" s="30" t="s">
        <v>8116</v>
      </c>
      <c r="AR126" s="30" t="b">
        <v>1</v>
      </c>
      <c r="AS126" s="30" t="b">
        <v>0</v>
      </c>
    </row>
    <row r="127">
      <c r="A127" s="21" t="s">
        <v>8567</v>
      </c>
      <c r="B127" s="22" t="s">
        <v>8403</v>
      </c>
      <c r="C127" s="22">
        <v>-1.0</v>
      </c>
      <c r="D127" s="22" t="s">
        <v>8175</v>
      </c>
      <c r="E127" s="22" t="s">
        <v>8403</v>
      </c>
      <c r="F127" s="22" t="s">
        <v>8155</v>
      </c>
      <c r="G127" s="22" t="s">
        <v>89</v>
      </c>
      <c r="H127" s="22">
        <v>3.2635830370627E13</v>
      </c>
      <c r="I127" s="22" t="s">
        <v>89</v>
      </c>
      <c r="J127" s="24"/>
      <c r="K127" s="22">
        <v>4.7338059825475E13</v>
      </c>
      <c r="L127" s="22" t="s">
        <v>8182</v>
      </c>
      <c r="M127" s="24"/>
      <c r="N127" s="22" t="s">
        <v>6462</v>
      </c>
      <c r="O127" s="22" t="s">
        <v>8568</v>
      </c>
      <c r="P127" s="22" t="s">
        <v>6462</v>
      </c>
      <c r="Q127" s="22" t="s">
        <v>8568</v>
      </c>
      <c r="R127" s="22" t="s">
        <v>8569</v>
      </c>
      <c r="S127" s="24"/>
      <c r="T127" s="40" t="s">
        <v>8570</v>
      </c>
      <c r="U127" s="22" t="s">
        <v>8571</v>
      </c>
      <c r="V127" s="24"/>
      <c r="W127" s="22" t="s">
        <v>8572</v>
      </c>
      <c r="X127" s="22" t="s">
        <v>8289</v>
      </c>
      <c r="Y127" s="24"/>
      <c r="Z127" s="24"/>
      <c r="AA127" s="22" t="s">
        <v>8129</v>
      </c>
      <c r="AB127" s="22" t="s">
        <v>8130</v>
      </c>
      <c r="AC127" s="25"/>
      <c r="AD127" s="22" t="s">
        <v>8161</v>
      </c>
      <c r="AE127" s="22" t="s">
        <v>8132</v>
      </c>
      <c r="AF127" s="24"/>
      <c r="AG127" s="22">
        <v>1.0409884778819E13</v>
      </c>
      <c r="AH127" s="22" t="s">
        <v>8184</v>
      </c>
      <c r="AI127" s="22">
        <v>2.3345688707395E13</v>
      </c>
      <c r="AJ127" s="25"/>
      <c r="AK127" s="22">
        <v>6.714641547587E12</v>
      </c>
      <c r="AL127" s="22" t="s">
        <v>8243</v>
      </c>
      <c r="AM127" s="22">
        <v>7.400331510083E12</v>
      </c>
      <c r="AN127" s="25"/>
      <c r="AO127" s="25"/>
      <c r="AP127" s="22" t="s">
        <v>8138</v>
      </c>
      <c r="AQ127" s="30" t="s">
        <v>95</v>
      </c>
      <c r="AR127" s="30" t="b">
        <v>0</v>
      </c>
      <c r="AS127" s="30" t="b">
        <v>0</v>
      </c>
    </row>
    <row r="128">
      <c r="A128" s="21" t="s">
        <v>8574</v>
      </c>
      <c r="B128" s="22" t="s">
        <v>8403</v>
      </c>
      <c r="C128" s="22">
        <v>1.0</v>
      </c>
      <c r="D128" s="22" t="s">
        <v>8203</v>
      </c>
      <c r="E128" s="22" t="s">
        <v>8403</v>
      </c>
      <c r="F128" s="22" t="s">
        <v>8155</v>
      </c>
      <c r="G128" s="24"/>
      <c r="H128" s="22">
        <v>3.2639971262787E13</v>
      </c>
      <c r="I128" s="24"/>
      <c r="J128" s="24"/>
      <c r="K128" s="22">
        <v>4.7338059825475E13</v>
      </c>
      <c r="L128" s="24"/>
      <c r="M128" s="24"/>
      <c r="N128" s="22" t="s">
        <v>4071</v>
      </c>
      <c r="O128" s="22" t="s">
        <v>8575</v>
      </c>
      <c r="P128" s="22" t="s">
        <v>4071</v>
      </c>
      <c r="Q128" s="22" t="s">
        <v>8575</v>
      </c>
      <c r="R128" s="22" t="s">
        <v>8576</v>
      </c>
      <c r="S128" s="24"/>
      <c r="T128" s="40" t="s">
        <v>8577</v>
      </c>
      <c r="U128" s="22" t="s">
        <v>8578</v>
      </c>
      <c r="V128" s="24"/>
      <c r="W128" s="22" t="s">
        <v>8579</v>
      </c>
      <c r="X128" s="22" t="s">
        <v>8200</v>
      </c>
      <c r="Y128" s="24"/>
      <c r="Z128" s="24"/>
      <c r="AA128" s="22" t="s">
        <v>8129</v>
      </c>
      <c r="AB128" s="22" t="s">
        <v>8130</v>
      </c>
      <c r="AC128" s="25"/>
      <c r="AD128" s="22" t="s">
        <v>8161</v>
      </c>
      <c r="AE128" s="22" t="s">
        <v>8132</v>
      </c>
      <c r="AF128" s="24"/>
      <c r="AG128" s="22">
        <v>1.0411901780291E13</v>
      </c>
      <c r="AH128" s="22" t="s">
        <v>90</v>
      </c>
      <c r="AI128" s="22">
        <v>8.499012927811E12</v>
      </c>
      <c r="AJ128" s="25"/>
      <c r="AK128" s="24"/>
      <c r="AL128" s="22" t="s">
        <v>8243</v>
      </c>
      <c r="AM128" s="22">
        <v>7.400331510083E12</v>
      </c>
      <c r="AN128" s="25"/>
      <c r="AO128" s="25"/>
      <c r="AP128" s="22" t="s">
        <v>8149</v>
      </c>
      <c r="AQ128" s="30" t="s">
        <v>95</v>
      </c>
      <c r="AR128" s="30" t="b">
        <v>0</v>
      </c>
      <c r="AS128" s="30" t="b">
        <v>0</v>
      </c>
    </row>
    <row r="129">
      <c r="A129" s="21" t="s">
        <v>8574</v>
      </c>
      <c r="B129" s="22" t="s">
        <v>8116</v>
      </c>
      <c r="C129" s="22">
        <v>1.0</v>
      </c>
      <c r="D129" s="22" t="s">
        <v>8203</v>
      </c>
      <c r="E129" s="22" t="s">
        <v>8116</v>
      </c>
      <c r="F129" s="22" t="s">
        <v>8117</v>
      </c>
      <c r="G129" s="24"/>
      <c r="H129" s="22">
        <v>3.2639971295555E13</v>
      </c>
      <c r="I129" s="24"/>
      <c r="J129" s="24"/>
      <c r="K129" s="22">
        <v>4.9664170623299E13</v>
      </c>
      <c r="L129" s="24"/>
      <c r="M129" s="24"/>
      <c r="N129" s="22" t="s">
        <v>4071</v>
      </c>
      <c r="O129" s="22" t="s">
        <v>8575</v>
      </c>
      <c r="P129" s="22" t="s">
        <v>4071</v>
      </c>
      <c r="Q129" s="22" t="s">
        <v>8575</v>
      </c>
      <c r="R129" s="22" t="s">
        <v>8576</v>
      </c>
      <c r="S129" s="24"/>
      <c r="T129" s="40" t="s">
        <v>8577</v>
      </c>
      <c r="U129" s="22" t="s">
        <v>8578</v>
      </c>
      <c r="V129" s="24"/>
      <c r="W129" s="22" t="s">
        <v>8579</v>
      </c>
      <c r="X129" s="22" t="s">
        <v>8200</v>
      </c>
      <c r="Y129" s="24"/>
      <c r="Z129" s="24"/>
      <c r="AA129" s="22" t="s">
        <v>8129</v>
      </c>
      <c r="AB129" s="22" t="s">
        <v>8130</v>
      </c>
      <c r="AC129" s="25"/>
      <c r="AD129" s="22" t="s">
        <v>8573</v>
      </c>
      <c r="AE129" s="22" t="s">
        <v>8132</v>
      </c>
      <c r="AF129" s="24"/>
      <c r="AG129" s="22">
        <v>1.0411901780291E13</v>
      </c>
      <c r="AH129" s="22" t="s">
        <v>90</v>
      </c>
      <c r="AI129" s="22">
        <v>8.499012927811E12</v>
      </c>
      <c r="AJ129" s="25"/>
      <c r="AK129" s="24"/>
      <c r="AL129" s="22" t="s">
        <v>8117</v>
      </c>
      <c r="AM129" s="22">
        <v>8.611193520451E12</v>
      </c>
      <c r="AN129" s="25"/>
      <c r="AO129" s="25"/>
      <c r="AP129" s="22" t="s">
        <v>8134</v>
      </c>
      <c r="AQ129" s="30" t="s">
        <v>8116</v>
      </c>
      <c r="AR129" s="30" t="b">
        <v>1</v>
      </c>
      <c r="AS129" s="30" t="b">
        <v>0</v>
      </c>
    </row>
    <row r="130">
      <c r="A130" s="21" t="s">
        <v>8574</v>
      </c>
      <c r="B130" s="24"/>
      <c r="C130" s="24"/>
      <c r="D130" s="22" t="s">
        <v>8203</v>
      </c>
      <c r="E130" s="24"/>
      <c r="F130" s="22" t="s">
        <v>8149</v>
      </c>
      <c r="G130" s="24"/>
      <c r="H130" s="22">
        <v>9.473450246467E12</v>
      </c>
      <c r="I130" s="24"/>
      <c r="J130" s="24"/>
      <c r="K130" s="24"/>
      <c r="L130" s="24"/>
      <c r="M130" s="24"/>
      <c r="N130" s="22" t="s">
        <v>4071</v>
      </c>
      <c r="O130" s="22" t="s">
        <v>8575</v>
      </c>
      <c r="P130" s="22" t="s">
        <v>4071</v>
      </c>
      <c r="Q130" s="22" t="s">
        <v>8575</v>
      </c>
      <c r="R130" s="22" t="s">
        <v>8576</v>
      </c>
      <c r="S130" s="24"/>
      <c r="T130" s="40" t="s">
        <v>8577</v>
      </c>
      <c r="U130" s="22" t="s">
        <v>8578</v>
      </c>
      <c r="V130" s="24"/>
      <c r="W130" s="22" t="s">
        <v>8579</v>
      </c>
      <c r="X130" s="22" t="s">
        <v>8200</v>
      </c>
      <c r="Y130" s="24"/>
      <c r="Z130" s="24"/>
      <c r="AA130" s="22" t="s">
        <v>8129</v>
      </c>
      <c r="AB130" s="22" t="s">
        <v>8130</v>
      </c>
      <c r="AC130" s="25"/>
      <c r="AD130" s="25"/>
      <c r="AE130" s="22" t="s">
        <v>8132</v>
      </c>
      <c r="AF130" s="24"/>
      <c r="AG130" s="22">
        <v>1.0411901780291E13</v>
      </c>
      <c r="AH130" s="22" t="s">
        <v>8137</v>
      </c>
      <c r="AI130" s="22">
        <v>8.499012927811E12</v>
      </c>
      <c r="AJ130" s="25"/>
      <c r="AK130" s="24"/>
      <c r="AL130" s="22" t="s">
        <v>8149</v>
      </c>
      <c r="AM130" s="22">
        <v>2.3395166421315E13</v>
      </c>
      <c r="AN130" s="25"/>
      <c r="AO130" s="25"/>
      <c r="AP130" s="22" t="s">
        <v>8134</v>
      </c>
      <c r="AQ130" s="30"/>
      <c r="AR130" s="30" t="b">
        <v>0</v>
      </c>
      <c r="AS130" s="30" t="b">
        <v>0</v>
      </c>
    </row>
    <row r="131">
      <c r="A131" s="21" t="s">
        <v>8580</v>
      </c>
      <c r="B131" s="22" t="s">
        <v>8119</v>
      </c>
      <c r="C131" s="22">
        <v>1.0</v>
      </c>
      <c r="D131" s="22" t="s">
        <v>8581</v>
      </c>
      <c r="E131" s="22" t="s">
        <v>8119</v>
      </c>
      <c r="F131" s="22" t="s">
        <v>8121</v>
      </c>
      <c r="G131" s="24"/>
      <c r="H131" s="22">
        <v>3.2692681376067E13</v>
      </c>
      <c r="I131" s="24"/>
      <c r="J131" s="24"/>
      <c r="K131" s="22">
        <v>4.2085703549171E13</v>
      </c>
      <c r="L131" s="24"/>
      <c r="M131" s="24"/>
      <c r="N131" s="22" t="s">
        <v>8582</v>
      </c>
      <c r="O131" s="22" t="s">
        <v>8583</v>
      </c>
      <c r="P131" s="22" t="s">
        <v>8582</v>
      </c>
      <c r="Q131" s="22" t="s">
        <v>8583</v>
      </c>
      <c r="R131" s="22" t="s">
        <v>8584</v>
      </c>
      <c r="S131" s="24"/>
      <c r="T131" s="40" t="s">
        <v>8585</v>
      </c>
      <c r="U131" s="22" t="s">
        <v>8586</v>
      </c>
      <c r="V131" s="24"/>
      <c r="W131" s="22" t="s">
        <v>8587</v>
      </c>
      <c r="X131" s="22" t="s">
        <v>8289</v>
      </c>
      <c r="Y131" s="24"/>
      <c r="Z131" s="24"/>
      <c r="AA131" s="22" t="s">
        <v>8129</v>
      </c>
      <c r="AB131" s="22" t="s">
        <v>8130</v>
      </c>
      <c r="AC131" s="25"/>
      <c r="AD131" s="22" t="s">
        <v>8131</v>
      </c>
      <c r="AE131" s="22" t="s">
        <v>8132</v>
      </c>
      <c r="AF131" s="24"/>
      <c r="AG131" s="22">
        <v>1.0435682566467E13</v>
      </c>
      <c r="AH131" s="22" t="s">
        <v>90</v>
      </c>
      <c r="AI131" s="22">
        <v>2.3393549418819E13</v>
      </c>
      <c r="AJ131" s="25"/>
      <c r="AK131" s="24"/>
      <c r="AL131" s="22" t="s">
        <v>8133</v>
      </c>
      <c r="AM131" s="22">
        <v>2.3395166421315E13</v>
      </c>
      <c r="AN131" s="25"/>
      <c r="AO131" s="25"/>
      <c r="AP131" s="22" t="s">
        <v>8136</v>
      </c>
      <c r="AQ131" s="30" t="s">
        <v>8135</v>
      </c>
      <c r="AR131" s="30" t="b">
        <v>0</v>
      </c>
      <c r="AS131" s="30" t="b">
        <v>0</v>
      </c>
    </row>
    <row r="132">
      <c r="A132" s="21" t="s">
        <v>8580</v>
      </c>
      <c r="B132" s="24"/>
      <c r="C132" s="24"/>
      <c r="D132" s="22" t="s">
        <v>8581</v>
      </c>
      <c r="E132" s="24"/>
      <c r="F132" s="22" t="s">
        <v>8136</v>
      </c>
      <c r="G132" s="24"/>
      <c r="H132" s="22">
        <v>9.493714403651E12</v>
      </c>
      <c r="I132" s="24"/>
      <c r="J132" s="24"/>
      <c r="K132" s="24"/>
      <c r="L132" s="24"/>
      <c r="M132" s="24"/>
      <c r="N132" s="22" t="s">
        <v>8582</v>
      </c>
      <c r="O132" s="22" t="s">
        <v>8583</v>
      </c>
      <c r="P132" s="22" t="s">
        <v>8582</v>
      </c>
      <c r="Q132" s="22" t="s">
        <v>8583</v>
      </c>
      <c r="R132" s="22" t="s">
        <v>8584</v>
      </c>
      <c r="S132" s="24"/>
      <c r="T132" s="40" t="s">
        <v>8585</v>
      </c>
      <c r="U132" s="22" t="s">
        <v>8586</v>
      </c>
      <c r="V132" s="24"/>
      <c r="W132" s="22" t="s">
        <v>8587</v>
      </c>
      <c r="X132" s="22" t="s">
        <v>8289</v>
      </c>
      <c r="Y132" s="24"/>
      <c r="Z132" s="24"/>
      <c r="AA132" s="22" t="s">
        <v>8129</v>
      </c>
      <c r="AB132" s="22" t="s">
        <v>8130</v>
      </c>
      <c r="AC132" s="25"/>
      <c r="AD132" s="25"/>
      <c r="AE132" s="22" t="s">
        <v>8132</v>
      </c>
      <c r="AF132" s="24"/>
      <c r="AG132" s="22">
        <v>1.0435682566467E13</v>
      </c>
      <c r="AH132" s="22" t="s">
        <v>8137</v>
      </c>
      <c r="AI132" s="22">
        <v>2.3393549418819E13</v>
      </c>
      <c r="AJ132" s="25"/>
      <c r="AK132" s="24"/>
      <c r="AL132" s="22" t="s">
        <v>8136</v>
      </c>
      <c r="AM132" s="22">
        <v>6.445574947059E12</v>
      </c>
      <c r="AN132" s="25"/>
      <c r="AO132" s="25"/>
      <c r="AP132" s="22" t="s">
        <v>8134</v>
      </c>
      <c r="AQ132" s="30"/>
      <c r="AR132" s="30" t="b">
        <v>0</v>
      </c>
      <c r="AS132" s="30" t="b">
        <v>0</v>
      </c>
    </row>
    <row r="133">
      <c r="A133" s="21" t="s">
        <v>8588</v>
      </c>
      <c r="B133" s="22" t="s">
        <v>8467</v>
      </c>
      <c r="C133" s="22">
        <v>1.0</v>
      </c>
      <c r="D133" s="22" t="s">
        <v>8203</v>
      </c>
      <c r="E133" s="22" t="s">
        <v>8467</v>
      </c>
      <c r="F133" s="22" t="s">
        <v>8155</v>
      </c>
      <c r="G133" s="24"/>
      <c r="H133" s="22">
        <v>3.2693489533251E13</v>
      </c>
      <c r="I133" s="24"/>
      <c r="J133" s="24"/>
      <c r="K133" s="22">
        <v>4.9521175462211E13</v>
      </c>
      <c r="L133" s="24"/>
      <c r="M133" s="24"/>
      <c r="N133" s="22" t="s">
        <v>5025</v>
      </c>
      <c r="O133" s="22" t="s">
        <v>8589</v>
      </c>
      <c r="P133" s="22" t="s">
        <v>5025</v>
      </c>
      <c r="Q133" s="22" t="s">
        <v>8589</v>
      </c>
      <c r="R133" s="22" t="s">
        <v>8590</v>
      </c>
      <c r="S133" s="24"/>
      <c r="T133" s="40" t="s">
        <v>8591</v>
      </c>
      <c r="U133" s="22" t="s">
        <v>8592</v>
      </c>
      <c r="V133" s="24"/>
      <c r="W133" s="22" t="s">
        <v>8593</v>
      </c>
      <c r="X133" s="22" t="s">
        <v>8289</v>
      </c>
      <c r="Y133" s="24"/>
      <c r="Z133" s="24"/>
      <c r="AA133" s="22" t="s">
        <v>8129</v>
      </c>
      <c r="AB133" s="22" t="s">
        <v>8130</v>
      </c>
      <c r="AC133" s="25"/>
      <c r="AD133" s="22" t="s">
        <v>8161</v>
      </c>
      <c r="AE133" s="22" t="s">
        <v>8132</v>
      </c>
      <c r="AF133" s="24"/>
      <c r="AG133" s="22">
        <v>1.0436049895747E13</v>
      </c>
      <c r="AH133" s="22" t="s">
        <v>90</v>
      </c>
      <c r="AI133" s="22">
        <v>2.3394036678979E13</v>
      </c>
      <c r="AJ133" s="25"/>
      <c r="AK133" s="24"/>
      <c r="AL133" s="22" t="s">
        <v>8173</v>
      </c>
      <c r="AM133" s="22">
        <v>6.445574947059E12</v>
      </c>
      <c r="AN133" s="25"/>
      <c r="AO133" s="25"/>
      <c r="AP133" s="22" t="s">
        <v>8136</v>
      </c>
      <c r="AQ133" s="30" t="s">
        <v>55</v>
      </c>
      <c r="AR133" s="30" t="b">
        <v>0</v>
      </c>
      <c r="AS133" s="30" t="b">
        <v>1</v>
      </c>
    </row>
    <row r="134">
      <c r="A134" s="21" t="s">
        <v>8588</v>
      </c>
      <c r="B134" s="24"/>
      <c r="C134" s="24"/>
      <c r="D134" s="22" t="s">
        <v>8203</v>
      </c>
      <c r="E134" s="24"/>
      <c r="F134" s="22" t="s">
        <v>8149</v>
      </c>
      <c r="G134" s="24"/>
      <c r="H134" s="22">
        <v>9.494041198915E12</v>
      </c>
      <c r="I134" s="24"/>
      <c r="J134" s="24"/>
      <c r="K134" s="24"/>
      <c r="L134" s="24"/>
      <c r="M134" s="24"/>
      <c r="N134" s="22" t="s">
        <v>5025</v>
      </c>
      <c r="O134" s="22" t="s">
        <v>8589</v>
      </c>
      <c r="P134" s="22" t="s">
        <v>5025</v>
      </c>
      <c r="Q134" s="22" t="s">
        <v>8589</v>
      </c>
      <c r="R134" s="22" t="s">
        <v>8590</v>
      </c>
      <c r="S134" s="24"/>
      <c r="T134" s="40" t="s">
        <v>8591</v>
      </c>
      <c r="U134" s="22" t="s">
        <v>8592</v>
      </c>
      <c r="V134" s="24"/>
      <c r="W134" s="22" t="s">
        <v>8593</v>
      </c>
      <c r="X134" s="22" t="s">
        <v>8289</v>
      </c>
      <c r="Y134" s="24"/>
      <c r="Z134" s="24"/>
      <c r="AA134" s="22" t="s">
        <v>8129</v>
      </c>
      <c r="AB134" s="22" t="s">
        <v>8130</v>
      </c>
      <c r="AC134" s="25"/>
      <c r="AD134" s="24"/>
      <c r="AE134" s="22" t="s">
        <v>8132</v>
      </c>
      <c r="AF134" s="24"/>
      <c r="AG134" s="22">
        <v>1.0436049895747E13</v>
      </c>
      <c r="AH134" s="22" t="s">
        <v>8137</v>
      </c>
      <c r="AI134" s="22">
        <v>2.3394036678979E13</v>
      </c>
      <c r="AJ134" s="25"/>
      <c r="AK134" s="24"/>
      <c r="AL134" s="22" t="s">
        <v>8149</v>
      </c>
      <c r="AM134" s="22">
        <v>6.474123411699E12</v>
      </c>
      <c r="AN134" s="25"/>
      <c r="AO134" s="25"/>
      <c r="AP134" s="22" t="s">
        <v>8133</v>
      </c>
      <c r="AQ134" s="30"/>
      <c r="AR134" s="30" t="b">
        <v>0</v>
      </c>
      <c r="AS134" s="30" t="b">
        <v>0</v>
      </c>
    </row>
    <row r="135">
      <c r="A135" s="21" t="s">
        <v>8594</v>
      </c>
      <c r="B135" s="22" t="s">
        <v>8467</v>
      </c>
      <c r="C135" s="22">
        <v>1.0</v>
      </c>
      <c r="D135" s="22" t="s">
        <v>8305</v>
      </c>
      <c r="E135" s="22" t="s">
        <v>8467</v>
      </c>
      <c r="F135" s="22" t="s">
        <v>8155</v>
      </c>
      <c r="G135" s="24"/>
      <c r="H135" s="22">
        <v>3.2693600878915E13</v>
      </c>
      <c r="I135" s="24"/>
      <c r="J135" s="24"/>
      <c r="K135" s="22">
        <v>4.9521175462211E13</v>
      </c>
      <c r="L135" s="24"/>
      <c r="M135" s="24"/>
      <c r="N135" s="22" t="s">
        <v>3755</v>
      </c>
      <c r="O135" s="22" t="s">
        <v>4086</v>
      </c>
      <c r="P135" s="22" t="s">
        <v>3755</v>
      </c>
      <c r="Q135" s="22" t="s">
        <v>4086</v>
      </c>
      <c r="R135" s="22" t="s">
        <v>8595</v>
      </c>
      <c r="S135" s="24"/>
      <c r="T135" s="40" t="s">
        <v>8596</v>
      </c>
      <c r="U135" s="22" t="s">
        <v>8597</v>
      </c>
      <c r="V135" s="24"/>
      <c r="W135" s="22" t="s">
        <v>8598</v>
      </c>
      <c r="X135" s="22" t="s">
        <v>8289</v>
      </c>
      <c r="Y135" s="24"/>
      <c r="Z135" s="24"/>
      <c r="AA135" s="22" t="s">
        <v>8129</v>
      </c>
      <c r="AB135" s="22" t="s">
        <v>8130</v>
      </c>
      <c r="AC135" s="25"/>
      <c r="AD135" s="22" t="s">
        <v>8161</v>
      </c>
      <c r="AE135" s="22" t="s">
        <v>8132</v>
      </c>
      <c r="AF135" s="24"/>
      <c r="AG135" s="22">
        <v>1.0436106256707E13</v>
      </c>
      <c r="AH135" s="22" t="s">
        <v>90</v>
      </c>
      <c r="AI135" s="22">
        <v>2.3394120958275E13</v>
      </c>
      <c r="AJ135" s="25"/>
      <c r="AK135" s="24"/>
      <c r="AL135" s="22" t="s">
        <v>8173</v>
      </c>
      <c r="AM135" s="22">
        <v>6.474123411699E12</v>
      </c>
      <c r="AN135" s="25"/>
      <c r="AO135" s="25"/>
      <c r="AP135" s="22" t="s">
        <v>8457</v>
      </c>
      <c r="AQ135" s="30" t="s">
        <v>55</v>
      </c>
      <c r="AR135" s="30" t="b">
        <v>0</v>
      </c>
      <c r="AS135" s="30" t="b">
        <v>1</v>
      </c>
    </row>
    <row r="136">
      <c r="A136" s="21" t="s">
        <v>8594</v>
      </c>
      <c r="B136" s="24"/>
      <c r="C136" s="24"/>
      <c r="D136" s="22" t="s">
        <v>8305</v>
      </c>
      <c r="E136" s="24"/>
      <c r="F136" s="22" t="s">
        <v>8149</v>
      </c>
      <c r="G136" s="24"/>
      <c r="H136" s="22">
        <v>9.494094512451E12</v>
      </c>
      <c r="I136" s="24"/>
      <c r="J136" s="24"/>
      <c r="K136" s="24"/>
      <c r="L136" s="24"/>
      <c r="M136" s="24"/>
      <c r="N136" s="22" t="s">
        <v>3755</v>
      </c>
      <c r="O136" s="22" t="s">
        <v>4086</v>
      </c>
      <c r="P136" s="22" t="s">
        <v>3755</v>
      </c>
      <c r="Q136" s="22" t="s">
        <v>4086</v>
      </c>
      <c r="R136" s="22" t="s">
        <v>8595</v>
      </c>
      <c r="S136" s="24"/>
      <c r="T136" s="40" t="s">
        <v>8596</v>
      </c>
      <c r="U136" s="22" t="s">
        <v>8597</v>
      </c>
      <c r="V136" s="24"/>
      <c r="W136" s="22" t="s">
        <v>8598</v>
      </c>
      <c r="X136" s="22" t="s">
        <v>8289</v>
      </c>
      <c r="Y136" s="24"/>
      <c r="Z136" s="24"/>
      <c r="AA136" s="22" t="s">
        <v>8129</v>
      </c>
      <c r="AB136" s="22" t="s">
        <v>8130</v>
      </c>
      <c r="AC136" s="25"/>
      <c r="AD136" s="25"/>
      <c r="AE136" s="22" t="s">
        <v>8132</v>
      </c>
      <c r="AF136" s="24"/>
      <c r="AG136" s="22">
        <v>1.0436106256707E13</v>
      </c>
      <c r="AH136" s="22" t="s">
        <v>8137</v>
      </c>
      <c r="AI136" s="22">
        <v>2.3394120958275E13</v>
      </c>
      <c r="AJ136" s="25"/>
      <c r="AK136" s="24"/>
      <c r="AL136" s="22" t="s">
        <v>8149</v>
      </c>
      <c r="AM136" s="22">
        <v>8.641793786179E12</v>
      </c>
      <c r="AN136" s="25"/>
      <c r="AO136" s="25"/>
      <c r="AP136" s="22" t="s">
        <v>8133</v>
      </c>
      <c r="AQ136" s="30"/>
      <c r="AR136" s="30" t="b">
        <v>0</v>
      </c>
      <c r="AS136" s="30" t="b">
        <v>0</v>
      </c>
    </row>
    <row r="137">
      <c r="A137" s="21" t="s">
        <v>8599</v>
      </c>
      <c r="B137" s="22" t="s">
        <v>8140</v>
      </c>
      <c r="C137" s="22">
        <v>1.0</v>
      </c>
      <c r="D137" s="22" t="s">
        <v>8221</v>
      </c>
      <c r="E137" s="22" t="s">
        <v>8140</v>
      </c>
      <c r="F137" s="22" t="s">
        <v>8121</v>
      </c>
      <c r="G137" s="24"/>
      <c r="H137" s="22">
        <v>3.2693844934979E13</v>
      </c>
      <c r="I137" s="24"/>
      <c r="J137" s="24"/>
      <c r="K137" s="22">
        <v>4.2085703581939E13</v>
      </c>
      <c r="L137" s="24"/>
      <c r="M137" s="24"/>
      <c r="N137" s="22" t="s">
        <v>8600</v>
      </c>
      <c r="O137" s="22" t="s">
        <v>5146</v>
      </c>
      <c r="P137" s="22" t="s">
        <v>8600</v>
      </c>
      <c r="Q137" s="22" t="s">
        <v>8601</v>
      </c>
      <c r="R137" s="22" t="s">
        <v>8602</v>
      </c>
      <c r="S137" s="24"/>
      <c r="T137" s="40" t="s">
        <v>8603</v>
      </c>
      <c r="U137" s="22" t="s">
        <v>8604</v>
      </c>
      <c r="V137" s="24"/>
      <c r="W137" s="22" t="s">
        <v>8605</v>
      </c>
      <c r="X137" s="22" t="s">
        <v>8276</v>
      </c>
      <c r="Y137" s="24"/>
      <c r="Z137" s="24"/>
      <c r="AA137" s="22" t="s">
        <v>8129</v>
      </c>
      <c r="AB137" s="22" t="s">
        <v>8130</v>
      </c>
      <c r="AC137" s="25"/>
      <c r="AD137" s="22" t="s">
        <v>8131</v>
      </c>
      <c r="AE137" s="22" t="s">
        <v>8132</v>
      </c>
      <c r="AF137" s="24"/>
      <c r="AG137" s="22">
        <v>1.0436219371843E13</v>
      </c>
      <c r="AH137" s="22" t="s">
        <v>90</v>
      </c>
      <c r="AI137" s="22">
        <v>6.474335486195E12</v>
      </c>
      <c r="AJ137" s="25"/>
      <c r="AK137" s="24"/>
      <c r="AL137" s="22" t="s">
        <v>8134</v>
      </c>
      <c r="AM137" s="22">
        <v>8.641793786179E12</v>
      </c>
      <c r="AN137" s="25"/>
      <c r="AO137" s="25"/>
      <c r="AP137" s="22" t="s">
        <v>8136</v>
      </c>
      <c r="AQ137" s="30" t="s">
        <v>8150</v>
      </c>
      <c r="AR137" s="30" t="b">
        <v>0</v>
      </c>
      <c r="AS137" s="30" t="b">
        <v>0</v>
      </c>
    </row>
    <row r="138">
      <c r="A138" s="21" t="s">
        <v>8599</v>
      </c>
      <c r="B138" s="24"/>
      <c r="C138" s="24"/>
      <c r="D138" s="22" t="s">
        <v>8221</v>
      </c>
      <c r="E138" s="24"/>
      <c r="F138" s="22" t="s">
        <v>8136</v>
      </c>
      <c r="G138" s="24"/>
      <c r="H138" s="22">
        <v>9.494202450243E12</v>
      </c>
      <c r="I138" s="24"/>
      <c r="J138" s="24"/>
      <c r="K138" s="24"/>
      <c r="L138" s="24"/>
      <c r="M138" s="24"/>
      <c r="N138" s="22" t="s">
        <v>8600</v>
      </c>
      <c r="O138" s="22" t="s">
        <v>5146</v>
      </c>
      <c r="P138" s="22" t="s">
        <v>8600</v>
      </c>
      <c r="Q138" s="22" t="s">
        <v>8601</v>
      </c>
      <c r="R138" s="22" t="s">
        <v>8602</v>
      </c>
      <c r="S138" s="24"/>
      <c r="T138" s="40" t="s">
        <v>8603</v>
      </c>
      <c r="U138" s="22" t="s">
        <v>8604</v>
      </c>
      <c r="V138" s="24"/>
      <c r="W138" s="22" t="s">
        <v>8605</v>
      </c>
      <c r="X138" s="22" t="s">
        <v>8276</v>
      </c>
      <c r="Y138" s="24"/>
      <c r="Z138" s="24"/>
      <c r="AA138" s="22" t="s">
        <v>8129</v>
      </c>
      <c r="AB138" s="22" t="s">
        <v>8130</v>
      </c>
      <c r="AC138" s="25"/>
      <c r="AD138" s="25"/>
      <c r="AE138" s="22" t="s">
        <v>8132</v>
      </c>
      <c r="AF138" s="24"/>
      <c r="AG138" s="22">
        <v>1.0436219371843E13</v>
      </c>
      <c r="AH138" s="22" t="s">
        <v>8137</v>
      </c>
      <c r="AI138" s="22">
        <v>6.474335486195E12</v>
      </c>
      <c r="AJ138" s="25"/>
      <c r="AK138" s="24"/>
      <c r="AL138" s="22" t="s">
        <v>8136</v>
      </c>
      <c r="AM138" s="22">
        <v>8.570460995907E12</v>
      </c>
      <c r="AN138" s="25"/>
      <c r="AO138" s="25"/>
      <c r="AP138" s="22" t="s">
        <v>8149</v>
      </c>
      <c r="AQ138" s="30"/>
      <c r="AR138" s="30" t="b">
        <v>0</v>
      </c>
      <c r="AS138" s="30" t="b">
        <v>0</v>
      </c>
    </row>
    <row r="139">
      <c r="A139" s="21" t="s">
        <v>8606</v>
      </c>
      <c r="B139" s="22" t="s">
        <v>8140</v>
      </c>
      <c r="C139" s="22">
        <v>1.0</v>
      </c>
      <c r="D139" s="22" t="s">
        <v>8203</v>
      </c>
      <c r="E139" s="22" t="s">
        <v>8140</v>
      </c>
      <c r="F139" s="22" t="s">
        <v>8121</v>
      </c>
      <c r="G139" s="24"/>
      <c r="H139" s="22">
        <v>3.2694591652163E13</v>
      </c>
      <c r="I139" s="24"/>
      <c r="J139" s="24"/>
      <c r="K139" s="22">
        <v>4.2085703581939E13</v>
      </c>
      <c r="L139" s="24"/>
      <c r="M139" s="24"/>
      <c r="N139" s="22" t="s">
        <v>3921</v>
      </c>
      <c r="O139" s="22" t="s">
        <v>8607</v>
      </c>
      <c r="P139" s="22" t="s">
        <v>3921</v>
      </c>
      <c r="Q139" s="22" t="s">
        <v>8607</v>
      </c>
      <c r="R139" s="22" t="s">
        <v>8608</v>
      </c>
      <c r="S139" s="24"/>
      <c r="T139" s="40" t="s">
        <v>8609</v>
      </c>
      <c r="U139" s="22" t="s">
        <v>8610</v>
      </c>
      <c r="V139" s="24"/>
      <c r="W139" s="22" t="s">
        <v>8611</v>
      </c>
      <c r="X139" s="22" t="s">
        <v>8289</v>
      </c>
      <c r="Y139" s="24"/>
      <c r="Z139" s="24"/>
      <c r="AA139" s="22" t="s">
        <v>8129</v>
      </c>
      <c r="AB139" s="22" t="s">
        <v>8130</v>
      </c>
      <c r="AC139" s="25"/>
      <c r="AD139" s="22" t="s">
        <v>8131</v>
      </c>
      <c r="AE139" s="22" t="s">
        <v>8132</v>
      </c>
      <c r="AF139" s="24"/>
      <c r="AG139" s="22">
        <v>1.0436558750019E13</v>
      </c>
      <c r="AH139" s="22" t="s">
        <v>90</v>
      </c>
      <c r="AI139" s="22">
        <v>2.3394652127555E13</v>
      </c>
      <c r="AJ139" s="25"/>
      <c r="AK139" s="24"/>
      <c r="AL139" s="22" t="s">
        <v>8134</v>
      </c>
      <c r="AM139" s="22">
        <v>5.966145388787E12</v>
      </c>
      <c r="AN139" s="25"/>
      <c r="AO139" s="25"/>
      <c r="AP139" s="22" t="s">
        <v>8134</v>
      </c>
      <c r="AQ139" s="30" t="s">
        <v>8150</v>
      </c>
      <c r="AR139" s="30" t="b">
        <v>0</v>
      </c>
      <c r="AS139" s="30" t="b">
        <v>0</v>
      </c>
    </row>
    <row r="140">
      <c r="A140" s="21" t="s">
        <v>8606</v>
      </c>
      <c r="B140" s="24"/>
      <c r="C140" s="24"/>
      <c r="D140" s="22" t="s">
        <v>8203</v>
      </c>
      <c r="E140" s="24"/>
      <c r="F140" s="22" t="s">
        <v>8136</v>
      </c>
      <c r="G140" s="24"/>
      <c r="H140" s="22">
        <v>9.494496477507E12</v>
      </c>
      <c r="I140" s="24"/>
      <c r="J140" s="24"/>
      <c r="K140" s="24"/>
      <c r="L140" s="24"/>
      <c r="M140" s="24"/>
      <c r="N140" s="22" t="s">
        <v>3921</v>
      </c>
      <c r="O140" s="22" t="s">
        <v>8607</v>
      </c>
      <c r="P140" s="22" t="s">
        <v>3921</v>
      </c>
      <c r="Q140" s="22" t="s">
        <v>8607</v>
      </c>
      <c r="R140" s="22" t="s">
        <v>8608</v>
      </c>
      <c r="S140" s="24"/>
      <c r="T140" s="40" t="s">
        <v>8609</v>
      </c>
      <c r="U140" s="22" t="s">
        <v>8610</v>
      </c>
      <c r="V140" s="24"/>
      <c r="W140" s="22" t="s">
        <v>8611</v>
      </c>
      <c r="X140" s="22" t="s">
        <v>8289</v>
      </c>
      <c r="Y140" s="24"/>
      <c r="Z140" s="24"/>
      <c r="AA140" s="22" t="s">
        <v>8129</v>
      </c>
      <c r="AB140" s="22" t="s">
        <v>8130</v>
      </c>
      <c r="AC140" s="25"/>
      <c r="AD140" s="25"/>
      <c r="AE140" s="22" t="s">
        <v>8132</v>
      </c>
      <c r="AF140" s="24"/>
      <c r="AG140" s="22">
        <v>1.0436558750019E13</v>
      </c>
      <c r="AH140" s="22" t="s">
        <v>8137</v>
      </c>
      <c r="AI140" s="22">
        <v>2.3394652127555E13</v>
      </c>
      <c r="AJ140" s="25"/>
      <c r="AK140" s="24"/>
      <c r="AL140" s="22" t="s">
        <v>8136</v>
      </c>
      <c r="AM140" s="22">
        <v>8.609284456771E12</v>
      </c>
      <c r="AN140" s="25"/>
      <c r="AO140" s="25"/>
      <c r="AP140" s="22" t="s">
        <v>8133</v>
      </c>
      <c r="AQ140" s="30"/>
      <c r="AR140" s="30" t="b">
        <v>0</v>
      </c>
      <c r="AS140" s="30" t="b">
        <v>0</v>
      </c>
    </row>
    <row r="141">
      <c r="A141" s="21" t="s">
        <v>8612</v>
      </c>
      <c r="B141" s="22" t="s">
        <v>8119</v>
      </c>
      <c r="C141" s="22">
        <v>1.0</v>
      </c>
      <c r="D141" s="22" t="s">
        <v>8613</v>
      </c>
      <c r="E141" s="22" t="s">
        <v>8119</v>
      </c>
      <c r="F141" s="22" t="s">
        <v>8121</v>
      </c>
      <c r="G141" s="24"/>
      <c r="H141" s="22">
        <v>3.2694652535107E13</v>
      </c>
      <c r="I141" s="24"/>
      <c r="J141" s="24"/>
      <c r="K141" s="22">
        <v>4.2085703549171E13</v>
      </c>
      <c r="L141" s="24"/>
      <c r="M141" s="24"/>
      <c r="N141" s="22" t="s">
        <v>8614</v>
      </c>
      <c r="O141" s="22" t="s">
        <v>8615</v>
      </c>
      <c r="P141" s="22" t="s">
        <v>8614</v>
      </c>
      <c r="Q141" s="22" t="s">
        <v>8615</v>
      </c>
      <c r="R141" s="22" t="s">
        <v>8616</v>
      </c>
      <c r="S141" s="24"/>
      <c r="T141" s="40" t="s">
        <v>8617</v>
      </c>
      <c r="U141" s="22" t="s">
        <v>8618</v>
      </c>
      <c r="V141" s="24"/>
      <c r="W141" s="22" t="s">
        <v>8619</v>
      </c>
      <c r="X141" s="22" t="s">
        <v>8620</v>
      </c>
      <c r="Y141" s="24"/>
      <c r="Z141" s="24"/>
      <c r="AA141" s="22" t="s">
        <v>8129</v>
      </c>
      <c r="AB141" s="22" t="s">
        <v>8130</v>
      </c>
      <c r="AC141" s="25"/>
      <c r="AD141" s="22" t="s">
        <v>8131</v>
      </c>
      <c r="AE141" s="22" t="s">
        <v>8132</v>
      </c>
      <c r="AF141" s="24"/>
      <c r="AG141" s="22">
        <v>1.0436585718083E13</v>
      </c>
      <c r="AH141" s="22" t="s">
        <v>90</v>
      </c>
      <c r="AI141" s="22">
        <v>6.465250033907E12</v>
      </c>
      <c r="AJ141" s="25"/>
      <c r="AK141" s="24"/>
      <c r="AL141" s="22" t="s">
        <v>8133</v>
      </c>
      <c r="AM141" s="22">
        <v>8.609284456771E12</v>
      </c>
      <c r="AN141" s="25"/>
      <c r="AO141" s="25"/>
      <c r="AP141" s="22" t="s">
        <v>8136</v>
      </c>
      <c r="AQ141" s="30" t="s">
        <v>8135</v>
      </c>
      <c r="AR141" s="30" t="b">
        <v>0</v>
      </c>
      <c r="AS141" s="30" t="b">
        <v>0</v>
      </c>
    </row>
    <row r="142">
      <c r="A142" s="21" t="s">
        <v>8612</v>
      </c>
      <c r="B142" s="24"/>
      <c r="C142" s="24"/>
      <c r="D142" s="22" t="s">
        <v>8613</v>
      </c>
      <c r="E142" s="24"/>
      <c r="F142" s="22" t="s">
        <v>8136</v>
      </c>
      <c r="G142" s="24"/>
      <c r="H142" s="22">
        <v>9.494517809475E12</v>
      </c>
      <c r="I142" s="24"/>
      <c r="J142" s="24"/>
      <c r="K142" s="24"/>
      <c r="L142" s="24"/>
      <c r="M142" s="24"/>
      <c r="N142" s="22" t="s">
        <v>8614</v>
      </c>
      <c r="O142" s="22" t="s">
        <v>8615</v>
      </c>
      <c r="P142" s="22" t="s">
        <v>8614</v>
      </c>
      <c r="Q142" s="22" t="s">
        <v>8615</v>
      </c>
      <c r="R142" s="22" t="s">
        <v>8616</v>
      </c>
      <c r="S142" s="24"/>
      <c r="T142" s="40" t="s">
        <v>8617</v>
      </c>
      <c r="U142" s="22" t="s">
        <v>8618</v>
      </c>
      <c r="V142" s="24"/>
      <c r="W142" s="22" t="s">
        <v>8619</v>
      </c>
      <c r="X142" s="22" t="s">
        <v>8620</v>
      </c>
      <c r="Y142" s="24"/>
      <c r="Z142" s="24"/>
      <c r="AA142" s="22" t="s">
        <v>8129</v>
      </c>
      <c r="AB142" s="22" t="s">
        <v>8130</v>
      </c>
      <c r="AC142" s="25"/>
      <c r="AD142" s="24"/>
      <c r="AE142" s="22" t="s">
        <v>8132</v>
      </c>
      <c r="AF142" s="24"/>
      <c r="AG142" s="22">
        <v>1.0436585718083E13</v>
      </c>
      <c r="AH142" s="22" t="s">
        <v>8137</v>
      </c>
      <c r="AI142" s="22">
        <v>6.465250033907E12</v>
      </c>
      <c r="AJ142" s="25"/>
      <c r="AK142" s="24"/>
      <c r="AL142" s="22" t="s">
        <v>8136</v>
      </c>
      <c r="AM142" s="22">
        <v>7.429671158083E12</v>
      </c>
      <c r="AN142" s="25"/>
      <c r="AO142" s="25"/>
      <c r="AP142" s="22" t="s">
        <v>8136</v>
      </c>
      <c r="AQ142" s="30"/>
      <c r="AR142" s="30" t="b">
        <v>0</v>
      </c>
      <c r="AS142" s="30" t="b">
        <v>0</v>
      </c>
    </row>
    <row r="143">
      <c r="A143" s="21" t="s">
        <v>8621</v>
      </c>
      <c r="B143" s="22" t="s">
        <v>8262</v>
      </c>
      <c r="C143" s="22">
        <v>1.0</v>
      </c>
      <c r="D143" s="22" t="s">
        <v>8622</v>
      </c>
      <c r="E143" s="22" t="s">
        <v>8262</v>
      </c>
      <c r="F143" s="22" t="s">
        <v>8155</v>
      </c>
      <c r="G143" s="24"/>
      <c r="H143" s="22">
        <v>3.2691269206339E13</v>
      </c>
      <c r="I143" s="24"/>
      <c r="J143" s="24"/>
      <c r="K143" s="22">
        <v>4.7338059792707E13</v>
      </c>
      <c r="L143" s="24"/>
      <c r="M143" s="24"/>
      <c r="N143" s="22" t="s">
        <v>8623</v>
      </c>
      <c r="O143" s="22" t="s">
        <v>8624</v>
      </c>
      <c r="P143" s="22" t="s">
        <v>8623</v>
      </c>
      <c r="Q143" s="22" t="s">
        <v>8624</v>
      </c>
      <c r="R143" s="22" t="s">
        <v>8625</v>
      </c>
      <c r="S143" s="24"/>
      <c r="T143" s="40" t="s">
        <v>8626</v>
      </c>
      <c r="U143" s="22" t="s">
        <v>8627</v>
      </c>
      <c r="V143" s="24"/>
      <c r="W143" s="22" t="s">
        <v>8628</v>
      </c>
      <c r="X143" s="22" t="s">
        <v>8629</v>
      </c>
      <c r="Y143" s="24"/>
      <c r="Z143" s="24"/>
      <c r="AA143" s="22" t="s">
        <v>8129</v>
      </c>
      <c r="AB143" s="22" t="s">
        <v>8130</v>
      </c>
      <c r="AC143" s="25"/>
      <c r="AD143" s="22" t="s">
        <v>8161</v>
      </c>
      <c r="AE143" s="22" t="s">
        <v>8132</v>
      </c>
      <c r="AF143" s="24"/>
      <c r="AG143" s="22">
        <v>1.0435018031427E13</v>
      </c>
      <c r="AH143" s="22" t="s">
        <v>90</v>
      </c>
      <c r="AI143" s="22">
        <v>8.527965749571E12</v>
      </c>
      <c r="AJ143" s="25"/>
      <c r="AK143" s="24"/>
      <c r="AL143" s="22" t="s">
        <v>8269</v>
      </c>
      <c r="AM143" s="22">
        <v>5.962473472243E12</v>
      </c>
      <c r="AN143" s="25"/>
      <c r="AO143" s="25"/>
      <c r="AP143" s="22" t="s">
        <v>8136</v>
      </c>
      <c r="AQ143" s="30" t="s">
        <v>91</v>
      </c>
      <c r="AR143" s="30" t="b">
        <v>0</v>
      </c>
      <c r="AS143" s="30" t="b">
        <v>0</v>
      </c>
    </row>
    <row r="144">
      <c r="A144" s="21" t="s">
        <v>8621</v>
      </c>
      <c r="B144" s="24"/>
      <c r="C144" s="24"/>
      <c r="D144" s="22" t="s">
        <v>8622</v>
      </c>
      <c r="E144" s="24"/>
      <c r="F144" s="22" t="s">
        <v>8149</v>
      </c>
      <c r="G144" s="24"/>
      <c r="H144" s="22">
        <v>9.493277802819E12</v>
      </c>
      <c r="I144" s="24"/>
      <c r="J144" s="24"/>
      <c r="K144" s="24"/>
      <c r="L144" s="24"/>
      <c r="M144" s="24"/>
      <c r="N144" s="22" t="s">
        <v>8623</v>
      </c>
      <c r="O144" s="22" t="s">
        <v>8624</v>
      </c>
      <c r="P144" s="22" t="s">
        <v>8623</v>
      </c>
      <c r="Q144" s="22" t="s">
        <v>8624</v>
      </c>
      <c r="R144" s="22" t="s">
        <v>8625</v>
      </c>
      <c r="S144" s="24"/>
      <c r="T144" s="40" t="s">
        <v>8626</v>
      </c>
      <c r="U144" s="22" t="s">
        <v>8627</v>
      </c>
      <c r="V144" s="24"/>
      <c r="W144" s="22" t="s">
        <v>8628</v>
      </c>
      <c r="X144" s="22" t="s">
        <v>8629</v>
      </c>
      <c r="Y144" s="24"/>
      <c r="Z144" s="24"/>
      <c r="AA144" s="22" t="s">
        <v>8129</v>
      </c>
      <c r="AB144" s="22" t="s">
        <v>8130</v>
      </c>
      <c r="AC144" s="25"/>
      <c r="AD144" s="24"/>
      <c r="AE144" s="22" t="s">
        <v>8132</v>
      </c>
      <c r="AF144" s="24"/>
      <c r="AG144" s="22">
        <v>1.0435018031427E13</v>
      </c>
      <c r="AH144" s="22" t="s">
        <v>8137</v>
      </c>
      <c r="AI144" s="22">
        <v>8.527965749571E12</v>
      </c>
      <c r="AJ144" s="25"/>
      <c r="AK144" s="24"/>
      <c r="AL144" s="22" t="s">
        <v>8149</v>
      </c>
      <c r="AM144" s="22">
        <v>2.3394696462659E13</v>
      </c>
      <c r="AN144" s="25"/>
      <c r="AO144" s="25"/>
      <c r="AP144" s="22" t="s">
        <v>8162</v>
      </c>
      <c r="AQ144" s="30"/>
      <c r="AR144" s="30" t="b">
        <v>0</v>
      </c>
      <c r="AS144" s="30" t="b">
        <v>0</v>
      </c>
    </row>
    <row r="145">
      <c r="A145" s="21" t="s">
        <v>8630</v>
      </c>
      <c r="B145" s="22" t="s">
        <v>8140</v>
      </c>
      <c r="C145" s="22">
        <v>1.0</v>
      </c>
      <c r="D145" s="22" t="s">
        <v>8221</v>
      </c>
      <c r="E145" s="22" t="s">
        <v>8140</v>
      </c>
      <c r="F145" s="22" t="s">
        <v>8121</v>
      </c>
      <c r="G145" s="24"/>
      <c r="H145" s="22">
        <v>3.2692528709955E13</v>
      </c>
      <c r="I145" s="24"/>
      <c r="J145" s="24"/>
      <c r="K145" s="22">
        <v>4.2085703581939E13</v>
      </c>
      <c r="L145" s="24"/>
      <c r="M145" s="24"/>
      <c r="N145" s="22" t="s">
        <v>3674</v>
      </c>
      <c r="O145" s="22" t="s">
        <v>8631</v>
      </c>
      <c r="P145" s="22" t="s">
        <v>3674</v>
      </c>
      <c r="Q145" s="22" t="s">
        <v>8631</v>
      </c>
      <c r="R145" s="22" t="s">
        <v>8632</v>
      </c>
      <c r="S145" s="24"/>
      <c r="T145" s="40" t="s">
        <v>8633</v>
      </c>
      <c r="U145" s="22" t="s">
        <v>8634</v>
      </c>
      <c r="V145" s="22">
        <v>130.0</v>
      </c>
      <c r="W145" s="22" t="s">
        <v>8635</v>
      </c>
      <c r="X145" s="22" t="s">
        <v>8276</v>
      </c>
      <c r="Y145" s="24"/>
      <c r="Z145" s="24"/>
      <c r="AA145" s="22" t="s">
        <v>8129</v>
      </c>
      <c r="AB145" s="22" t="s">
        <v>8130</v>
      </c>
      <c r="AC145" s="25"/>
      <c r="AD145" s="22" t="s">
        <v>8131</v>
      </c>
      <c r="AE145" s="22" t="s">
        <v>8132</v>
      </c>
      <c r="AF145" s="24"/>
      <c r="AG145" s="22">
        <v>1.0435611132227E13</v>
      </c>
      <c r="AH145" s="22" t="s">
        <v>90</v>
      </c>
      <c r="AI145" s="22">
        <v>7.414601646403E12</v>
      </c>
      <c r="AJ145" s="25"/>
      <c r="AK145" s="24"/>
      <c r="AL145" s="22" t="s">
        <v>8134</v>
      </c>
      <c r="AM145" s="22">
        <v>2.3394696462659E13</v>
      </c>
      <c r="AN145" s="25"/>
      <c r="AO145" s="25"/>
      <c r="AP145" s="22" t="s">
        <v>8149</v>
      </c>
      <c r="AQ145" s="30" t="s">
        <v>8150</v>
      </c>
      <c r="AR145" s="30" t="b">
        <v>0</v>
      </c>
      <c r="AS145" s="30" t="b">
        <v>0</v>
      </c>
    </row>
    <row r="146">
      <c r="A146" s="21" t="s">
        <v>8630</v>
      </c>
      <c r="B146" s="24"/>
      <c r="C146" s="24"/>
      <c r="D146" s="22" t="s">
        <v>8221</v>
      </c>
      <c r="E146" s="24"/>
      <c r="F146" s="22" t="s">
        <v>8136</v>
      </c>
      <c r="G146" s="24"/>
      <c r="H146" s="22">
        <v>9.493655290179E12</v>
      </c>
      <c r="I146" s="24"/>
      <c r="J146" s="24"/>
      <c r="K146" s="24"/>
      <c r="L146" s="24"/>
      <c r="M146" s="24"/>
      <c r="N146" s="22" t="s">
        <v>3674</v>
      </c>
      <c r="O146" s="22" t="s">
        <v>8631</v>
      </c>
      <c r="P146" s="22" t="s">
        <v>3674</v>
      </c>
      <c r="Q146" s="22" t="s">
        <v>8631</v>
      </c>
      <c r="R146" s="22" t="s">
        <v>8632</v>
      </c>
      <c r="S146" s="24"/>
      <c r="T146" s="40" t="s">
        <v>8633</v>
      </c>
      <c r="U146" s="22" t="s">
        <v>8634</v>
      </c>
      <c r="V146" s="22">
        <v>130.0</v>
      </c>
      <c r="W146" s="22" t="s">
        <v>8635</v>
      </c>
      <c r="X146" s="22" t="s">
        <v>8276</v>
      </c>
      <c r="Y146" s="24"/>
      <c r="Z146" s="24"/>
      <c r="AA146" s="22" t="s">
        <v>8129</v>
      </c>
      <c r="AB146" s="22" t="s">
        <v>8130</v>
      </c>
      <c r="AC146" s="25"/>
      <c r="AD146" s="25"/>
      <c r="AE146" s="22" t="s">
        <v>8132</v>
      </c>
      <c r="AF146" s="24"/>
      <c r="AG146" s="22">
        <v>1.0435611132227E13</v>
      </c>
      <c r="AH146" s="22" t="s">
        <v>8137</v>
      </c>
      <c r="AI146" s="22">
        <v>7.414601646403E12</v>
      </c>
      <c r="AJ146" s="25"/>
      <c r="AK146" s="24"/>
      <c r="AL146" s="22" t="s">
        <v>8136</v>
      </c>
      <c r="AM146" s="22">
        <v>8.626459935043E12</v>
      </c>
      <c r="AN146" s="25"/>
      <c r="AO146" s="25"/>
      <c r="AP146" s="22" t="s">
        <v>8134</v>
      </c>
      <c r="AQ146" s="30"/>
      <c r="AR146" s="30" t="b">
        <v>0</v>
      </c>
      <c r="AS146" s="30" t="b">
        <v>0</v>
      </c>
    </row>
    <row r="147">
      <c r="A147" s="21" t="s">
        <v>8636</v>
      </c>
      <c r="B147" s="22" t="s">
        <v>8140</v>
      </c>
      <c r="C147" s="22">
        <v>1.0</v>
      </c>
      <c r="D147" s="22" t="s">
        <v>8254</v>
      </c>
      <c r="E147" s="22" t="s">
        <v>8140</v>
      </c>
      <c r="F147" s="22" t="s">
        <v>8121</v>
      </c>
      <c r="G147" s="24"/>
      <c r="H147" s="22">
        <v>3.2694683763011E13</v>
      </c>
      <c r="I147" s="24"/>
      <c r="J147" s="24"/>
      <c r="K147" s="22">
        <v>4.2085703581939E13</v>
      </c>
      <c r="L147" s="24"/>
      <c r="M147" s="24"/>
      <c r="N147" s="22" t="s">
        <v>8637</v>
      </c>
      <c r="O147" s="22" t="s">
        <v>4278</v>
      </c>
      <c r="P147" s="22" t="s">
        <v>8637</v>
      </c>
      <c r="Q147" s="22" t="s">
        <v>4278</v>
      </c>
      <c r="R147" s="22" t="s">
        <v>8638</v>
      </c>
      <c r="S147" s="24"/>
      <c r="T147" s="40" t="s">
        <v>8639</v>
      </c>
      <c r="U147" s="22" t="s">
        <v>8640</v>
      </c>
      <c r="V147" s="22">
        <v>24.0</v>
      </c>
      <c r="W147" s="22" t="s">
        <v>8641</v>
      </c>
      <c r="X147" s="22" t="s">
        <v>8642</v>
      </c>
      <c r="Y147" s="24"/>
      <c r="Z147" s="24"/>
      <c r="AA147" s="22" t="s">
        <v>8129</v>
      </c>
      <c r="AB147" s="22" t="s">
        <v>8130</v>
      </c>
      <c r="AC147" s="25"/>
      <c r="AD147" s="22" t="s">
        <v>8131</v>
      </c>
      <c r="AE147" s="22" t="s">
        <v>8132</v>
      </c>
      <c r="AF147" s="24"/>
      <c r="AG147" s="22">
        <v>1.0436600463683E13</v>
      </c>
      <c r="AH147" s="22" t="s">
        <v>90</v>
      </c>
      <c r="AI147" s="22">
        <v>8.626459935043E12</v>
      </c>
      <c r="AJ147" s="25"/>
      <c r="AK147" s="24"/>
      <c r="AL147" s="22" t="s">
        <v>8134</v>
      </c>
      <c r="AM147" s="22">
        <v>8.626459935043E12</v>
      </c>
      <c r="AN147" s="25"/>
      <c r="AO147" s="25"/>
      <c r="AP147" s="22" t="s">
        <v>8136</v>
      </c>
      <c r="AQ147" s="30" t="s">
        <v>8150</v>
      </c>
      <c r="AR147" s="30" t="b">
        <v>0</v>
      </c>
      <c r="AS147" s="30" t="b">
        <v>0</v>
      </c>
    </row>
    <row r="148">
      <c r="A148" s="21" t="s">
        <v>8636</v>
      </c>
      <c r="B148" s="24"/>
      <c r="C148" s="24"/>
      <c r="D148" s="22" t="s">
        <v>8254</v>
      </c>
      <c r="E148" s="24"/>
      <c r="F148" s="22" t="s">
        <v>8136</v>
      </c>
      <c r="G148" s="24"/>
      <c r="H148" s="22">
        <v>9.494529835331E12</v>
      </c>
      <c r="I148" s="24"/>
      <c r="J148" s="24"/>
      <c r="K148" s="24"/>
      <c r="L148" s="24"/>
      <c r="M148" s="24"/>
      <c r="N148" s="22" t="s">
        <v>8637</v>
      </c>
      <c r="O148" s="22" t="s">
        <v>4278</v>
      </c>
      <c r="P148" s="22" t="s">
        <v>8637</v>
      </c>
      <c r="Q148" s="22" t="s">
        <v>4278</v>
      </c>
      <c r="R148" s="22" t="s">
        <v>8638</v>
      </c>
      <c r="S148" s="24"/>
      <c r="T148" s="40" t="s">
        <v>8639</v>
      </c>
      <c r="U148" s="22" t="s">
        <v>8640</v>
      </c>
      <c r="V148" s="22">
        <v>24.0</v>
      </c>
      <c r="W148" s="22" t="s">
        <v>8641</v>
      </c>
      <c r="X148" s="22" t="s">
        <v>8642</v>
      </c>
      <c r="Y148" s="24"/>
      <c r="Z148" s="24"/>
      <c r="AA148" s="22" t="s">
        <v>8129</v>
      </c>
      <c r="AB148" s="22" t="s">
        <v>8130</v>
      </c>
      <c r="AC148" s="25"/>
      <c r="AD148" s="25"/>
      <c r="AE148" s="22" t="s">
        <v>8132</v>
      </c>
      <c r="AF148" s="24"/>
      <c r="AG148" s="22">
        <v>1.0436600463683E13</v>
      </c>
      <c r="AH148" s="22" t="s">
        <v>8137</v>
      </c>
      <c r="AI148" s="22">
        <v>8.626459935043E12</v>
      </c>
      <c r="AJ148" s="25"/>
      <c r="AK148" s="24"/>
      <c r="AL148" s="22" t="s">
        <v>8136</v>
      </c>
      <c r="AM148" s="22">
        <v>8.626572263747E12</v>
      </c>
      <c r="AN148" s="25"/>
      <c r="AO148" s="25"/>
      <c r="AP148" s="22" t="s">
        <v>8149</v>
      </c>
      <c r="AQ148" s="30"/>
      <c r="AR148" s="30" t="b">
        <v>0</v>
      </c>
      <c r="AS148" s="30" t="b">
        <v>0</v>
      </c>
    </row>
    <row r="149">
      <c r="A149" s="21" t="s">
        <v>8643</v>
      </c>
      <c r="B149" s="22" t="s">
        <v>8153</v>
      </c>
      <c r="C149" s="22">
        <v>1.0</v>
      </c>
      <c r="D149" s="22" t="s">
        <v>8221</v>
      </c>
      <c r="E149" s="22" t="s">
        <v>8153</v>
      </c>
      <c r="F149" s="22" t="s">
        <v>8155</v>
      </c>
      <c r="G149" s="24"/>
      <c r="H149" s="22">
        <v>3.2694695330115E13</v>
      </c>
      <c r="I149" s="24"/>
      <c r="J149" s="24"/>
      <c r="K149" s="22">
        <v>4.7338059759939E13</v>
      </c>
      <c r="L149" s="24"/>
      <c r="M149" s="24"/>
      <c r="N149" s="22" t="s">
        <v>3711</v>
      </c>
      <c r="O149" s="22" t="s">
        <v>8644</v>
      </c>
      <c r="P149" s="22" t="s">
        <v>3711</v>
      </c>
      <c r="Q149" s="22" t="s">
        <v>8644</v>
      </c>
      <c r="R149" s="22" t="s">
        <v>8645</v>
      </c>
      <c r="S149" s="24"/>
      <c r="T149" s="40" t="s">
        <v>8646</v>
      </c>
      <c r="U149" s="22" t="s">
        <v>8647</v>
      </c>
      <c r="V149" s="24"/>
      <c r="W149" s="22" t="s">
        <v>8648</v>
      </c>
      <c r="X149" s="22" t="s">
        <v>8289</v>
      </c>
      <c r="Y149" s="24"/>
      <c r="Z149" s="24"/>
      <c r="AA149" s="22" t="s">
        <v>8129</v>
      </c>
      <c r="AB149" s="22" t="s">
        <v>8130</v>
      </c>
      <c r="AC149" s="25"/>
      <c r="AD149" s="22" t="s">
        <v>8161</v>
      </c>
      <c r="AE149" s="22" t="s">
        <v>8132</v>
      </c>
      <c r="AF149" s="24"/>
      <c r="AG149" s="22">
        <v>1.0436604821827E13</v>
      </c>
      <c r="AH149" s="22" t="s">
        <v>90</v>
      </c>
      <c r="AI149" s="22">
        <v>2.3394696462659E13</v>
      </c>
      <c r="AJ149" s="25"/>
      <c r="AK149" s="24"/>
      <c r="AL149" s="22" t="s">
        <v>8162</v>
      </c>
      <c r="AM149" s="22">
        <v>7.478909403459E12</v>
      </c>
      <c r="AN149" s="25"/>
      <c r="AO149" s="25"/>
      <c r="AP149" s="22" t="s">
        <v>8336</v>
      </c>
      <c r="AQ149" s="30" t="s">
        <v>55</v>
      </c>
      <c r="AR149" s="30" t="b">
        <v>0</v>
      </c>
      <c r="AS149" s="30" t="b">
        <v>0</v>
      </c>
    </row>
    <row r="150">
      <c r="A150" s="21" t="s">
        <v>8643</v>
      </c>
      <c r="B150" s="24"/>
      <c r="C150" s="24"/>
      <c r="D150" s="22" t="s">
        <v>8221</v>
      </c>
      <c r="E150" s="24"/>
      <c r="F150" s="22" t="s">
        <v>8149</v>
      </c>
      <c r="G150" s="24"/>
      <c r="H150" s="22">
        <v>9.494533538115E12</v>
      </c>
      <c r="I150" s="24"/>
      <c r="J150" s="24"/>
      <c r="K150" s="24"/>
      <c r="L150" s="24"/>
      <c r="M150" s="24"/>
      <c r="N150" s="22" t="s">
        <v>3711</v>
      </c>
      <c r="O150" s="22" t="s">
        <v>8644</v>
      </c>
      <c r="P150" s="22" t="s">
        <v>3711</v>
      </c>
      <c r="Q150" s="22" t="s">
        <v>8644</v>
      </c>
      <c r="R150" s="22" t="s">
        <v>8645</v>
      </c>
      <c r="S150" s="24"/>
      <c r="T150" s="40" t="s">
        <v>8646</v>
      </c>
      <c r="U150" s="22" t="s">
        <v>8647</v>
      </c>
      <c r="V150" s="24"/>
      <c r="W150" s="22" t="s">
        <v>8648</v>
      </c>
      <c r="X150" s="22" t="s">
        <v>8289</v>
      </c>
      <c r="Y150" s="24"/>
      <c r="Z150" s="24"/>
      <c r="AA150" s="22" t="s">
        <v>8129</v>
      </c>
      <c r="AB150" s="22" t="s">
        <v>8130</v>
      </c>
      <c r="AC150" s="25"/>
      <c r="AD150" s="25"/>
      <c r="AE150" s="22" t="s">
        <v>8132</v>
      </c>
      <c r="AF150" s="24"/>
      <c r="AG150" s="22">
        <v>1.0436604821827E13</v>
      </c>
      <c r="AH150" s="22" t="s">
        <v>8137</v>
      </c>
      <c r="AI150" s="22">
        <v>2.3394696462659E13</v>
      </c>
      <c r="AJ150" s="25"/>
      <c r="AK150" s="24"/>
      <c r="AL150" s="22" t="s">
        <v>8149</v>
      </c>
      <c r="AM150" s="22">
        <v>7.478909403459E12</v>
      </c>
      <c r="AN150" s="25"/>
      <c r="AO150" s="25"/>
      <c r="AP150" s="22" t="s">
        <v>8149</v>
      </c>
      <c r="AQ150" s="30"/>
      <c r="AR150" s="30" t="b">
        <v>0</v>
      </c>
      <c r="AS150" s="30" t="b">
        <v>0</v>
      </c>
    </row>
    <row r="151">
      <c r="A151" s="21" t="s">
        <v>8649</v>
      </c>
      <c r="B151" s="22" t="s">
        <v>8140</v>
      </c>
      <c r="C151" s="22">
        <v>1.0</v>
      </c>
      <c r="D151" s="22" t="s">
        <v>8203</v>
      </c>
      <c r="E151" s="22" t="s">
        <v>8140</v>
      </c>
      <c r="F151" s="22" t="s">
        <v>8121</v>
      </c>
      <c r="G151" s="24"/>
      <c r="H151" s="22">
        <v>3.2694714171715E13</v>
      </c>
      <c r="I151" s="24"/>
      <c r="J151" s="24"/>
      <c r="K151" s="22">
        <v>4.2085703581939E13</v>
      </c>
      <c r="L151" s="24"/>
      <c r="M151" s="24"/>
      <c r="N151" s="24"/>
      <c r="O151" s="22" t="s">
        <v>8650</v>
      </c>
      <c r="P151" s="22" t="s">
        <v>8651</v>
      </c>
      <c r="Q151" s="22" t="s">
        <v>8650</v>
      </c>
      <c r="R151" s="22" t="s">
        <v>8652</v>
      </c>
      <c r="S151" s="24"/>
      <c r="T151" s="40" t="s">
        <v>8653</v>
      </c>
      <c r="U151" s="22" t="s">
        <v>8654</v>
      </c>
      <c r="V151" s="24"/>
      <c r="W151" s="22" t="s">
        <v>8655</v>
      </c>
      <c r="X151" s="22" t="s">
        <v>8656</v>
      </c>
      <c r="Y151" s="24"/>
      <c r="Z151" s="24"/>
      <c r="AA151" s="22" t="s">
        <v>8129</v>
      </c>
      <c r="AB151" s="22" t="s">
        <v>8130</v>
      </c>
      <c r="AC151" s="25"/>
      <c r="AD151" s="22" t="s">
        <v>8131</v>
      </c>
      <c r="AE151" s="22" t="s">
        <v>8132</v>
      </c>
      <c r="AF151" s="24"/>
      <c r="AG151" s="22">
        <v>1.0436612587843E13</v>
      </c>
      <c r="AH151" s="22" t="s">
        <v>90</v>
      </c>
      <c r="AI151" s="22">
        <v>5.962473472243E12</v>
      </c>
      <c r="AJ151" s="25"/>
      <c r="AK151" s="24"/>
      <c r="AL151" s="22" t="s">
        <v>8134</v>
      </c>
      <c r="AM151" s="22">
        <v>2.3394652127555E13</v>
      </c>
      <c r="AN151" s="25"/>
      <c r="AO151" s="25"/>
      <c r="AP151" s="22" t="s">
        <v>8134</v>
      </c>
      <c r="AQ151" s="30" t="s">
        <v>8150</v>
      </c>
      <c r="AR151" s="30" t="b">
        <v>0</v>
      </c>
      <c r="AS151" s="30" t="b">
        <v>0</v>
      </c>
    </row>
    <row r="152">
      <c r="A152" s="21" t="s">
        <v>8649</v>
      </c>
      <c r="B152" s="24"/>
      <c r="C152" s="24"/>
      <c r="D152" s="22" t="s">
        <v>8203</v>
      </c>
      <c r="E152" s="24"/>
      <c r="F152" s="22" t="s">
        <v>8136</v>
      </c>
      <c r="G152" s="24"/>
      <c r="H152" s="22">
        <v>9.494539927875E12</v>
      </c>
      <c r="I152" s="24"/>
      <c r="J152" s="24"/>
      <c r="K152" s="24"/>
      <c r="L152" s="24"/>
      <c r="M152" s="24"/>
      <c r="N152" s="24"/>
      <c r="O152" s="22" t="s">
        <v>8650</v>
      </c>
      <c r="P152" s="22" t="s">
        <v>8651</v>
      </c>
      <c r="Q152" s="22" t="s">
        <v>8650</v>
      </c>
      <c r="R152" s="22" t="s">
        <v>8652</v>
      </c>
      <c r="S152" s="24"/>
      <c r="T152" s="40" t="s">
        <v>8653</v>
      </c>
      <c r="U152" s="22" t="s">
        <v>8654</v>
      </c>
      <c r="V152" s="24"/>
      <c r="W152" s="22" t="s">
        <v>8655</v>
      </c>
      <c r="X152" s="22" t="s">
        <v>8656</v>
      </c>
      <c r="Y152" s="24"/>
      <c r="Z152" s="24"/>
      <c r="AA152" s="22" t="s">
        <v>8129</v>
      </c>
      <c r="AB152" s="22" t="s">
        <v>8130</v>
      </c>
      <c r="AC152" s="25"/>
      <c r="AD152" s="24"/>
      <c r="AE152" s="22" t="s">
        <v>8132</v>
      </c>
      <c r="AF152" s="24"/>
      <c r="AG152" s="22">
        <v>1.0436612587843E13</v>
      </c>
      <c r="AH152" s="22" t="s">
        <v>8137</v>
      </c>
      <c r="AI152" s="22">
        <v>5.962473472243E12</v>
      </c>
      <c r="AJ152" s="25"/>
      <c r="AK152" s="24"/>
      <c r="AL152" s="22" t="s">
        <v>8136</v>
      </c>
      <c r="AM152" s="22">
        <v>6.474335486195E12</v>
      </c>
      <c r="AN152" s="25"/>
      <c r="AO152" s="25"/>
      <c r="AP152" s="22" t="s">
        <v>8134</v>
      </c>
      <c r="AQ152" s="30"/>
      <c r="AR152" s="30" t="b">
        <v>0</v>
      </c>
      <c r="AS152" s="30" t="b">
        <v>0</v>
      </c>
    </row>
    <row r="153">
      <c r="A153" s="21" t="s">
        <v>8657</v>
      </c>
      <c r="B153" s="22" t="s">
        <v>8140</v>
      </c>
      <c r="C153" s="22">
        <v>1.0</v>
      </c>
      <c r="D153" s="22" t="s">
        <v>8278</v>
      </c>
      <c r="E153" s="22" t="s">
        <v>8140</v>
      </c>
      <c r="F153" s="22" t="s">
        <v>8121</v>
      </c>
      <c r="G153" s="24"/>
      <c r="H153" s="22">
        <v>3.2694754869571E13</v>
      </c>
      <c r="I153" s="24"/>
      <c r="J153" s="24"/>
      <c r="K153" s="22">
        <v>4.2085703581939E13</v>
      </c>
      <c r="L153" s="24"/>
      <c r="M153" s="24"/>
      <c r="N153" s="22" t="s">
        <v>5821</v>
      </c>
      <c r="O153" s="22" t="s">
        <v>8658</v>
      </c>
      <c r="P153" s="22" t="s">
        <v>5821</v>
      </c>
      <c r="Q153" s="22" t="s">
        <v>8658</v>
      </c>
      <c r="R153" s="22" t="s">
        <v>8659</v>
      </c>
      <c r="S153" s="24"/>
      <c r="T153" s="40" t="s">
        <v>8660</v>
      </c>
      <c r="U153" s="22" t="s">
        <v>8661</v>
      </c>
      <c r="V153" s="24"/>
      <c r="W153" s="22" t="s">
        <v>8662</v>
      </c>
      <c r="X153" s="22" t="s">
        <v>8663</v>
      </c>
      <c r="Y153" s="24"/>
      <c r="Z153" s="24"/>
      <c r="AA153" s="22" t="s">
        <v>8129</v>
      </c>
      <c r="AB153" s="22" t="s">
        <v>8130</v>
      </c>
      <c r="AC153" s="25"/>
      <c r="AD153" s="22" t="s">
        <v>8131</v>
      </c>
      <c r="AE153" s="22" t="s">
        <v>8132</v>
      </c>
      <c r="AF153" s="24"/>
      <c r="AG153" s="22">
        <v>1.0436631462211E13</v>
      </c>
      <c r="AH153" s="22" t="s">
        <v>90</v>
      </c>
      <c r="AI153" s="22">
        <v>7.429671158083E12</v>
      </c>
      <c r="AJ153" s="25"/>
      <c r="AK153" s="24"/>
      <c r="AL153" s="22" t="s">
        <v>8134</v>
      </c>
      <c r="AM153" s="22">
        <v>2.3394120958275E13</v>
      </c>
      <c r="AN153" s="25"/>
      <c r="AO153" s="25"/>
      <c r="AP153" s="22" t="s">
        <v>8173</v>
      </c>
      <c r="AQ153" s="30" t="s">
        <v>8150</v>
      </c>
      <c r="AR153" s="30" t="b">
        <v>0</v>
      </c>
      <c r="AS153" s="30" t="b">
        <v>0</v>
      </c>
    </row>
    <row r="154">
      <c r="A154" s="21" t="s">
        <v>8657</v>
      </c>
      <c r="B154" s="24"/>
      <c r="C154" s="24"/>
      <c r="D154" s="22" t="s">
        <v>8278</v>
      </c>
      <c r="E154" s="24"/>
      <c r="F154" s="22" t="s">
        <v>8136</v>
      </c>
      <c r="G154" s="24"/>
      <c r="H154" s="22">
        <v>9.494554706243E12</v>
      </c>
      <c r="I154" s="24"/>
      <c r="J154" s="24"/>
      <c r="K154" s="24"/>
      <c r="L154" s="24"/>
      <c r="M154" s="24"/>
      <c r="N154" s="22" t="s">
        <v>5821</v>
      </c>
      <c r="O154" s="22" t="s">
        <v>8658</v>
      </c>
      <c r="P154" s="22" t="s">
        <v>5821</v>
      </c>
      <c r="Q154" s="22" t="s">
        <v>8658</v>
      </c>
      <c r="R154" s="22" t="s">
        <v>8659</v>
      </c>
      <c r="S154" s="24"/>
      <c r="T154" s="40" t="s">
        <v>8660</v>
      </c>
      <c r="U154" s="22" t="s">
        <v>8661</v>
      </c>
      <c r="V154" s="24"/>
      <c r="W154" s="22" t="s">
        <v>8662</v>
      </c>
      <c r="X154" s="22" t="s">
        <v>8663</v>
      </c>
      <c r="Y154" s="24"/>
      <c r="Z154" s="24"/>
      <c r="AA154" s="22" t="s">
        <v>8129</v>
      </c>
      <c r="AB154" s="22" t="s">
        <v>8130</v>
      </c>
      <c r="AC154" s="25"/>
      <c r="AD154" s="25"/>
      <c r="AE154" s="22" t="s">
        <v>8132</v>
      </c>
      <c r="AF154" s="24"/>
      <c r="AG154" s="22">
        <v>1.0436631462211E13</v>
      </c>
      <c r="AH154" s="22" t="s">
        <v>8137</v>
      </c>
      <c r="AI154" s="22">
        <v>7.429671158083E12</v>
      </c>
      <c r="AJ154" s="25"/>
      <c r="AK154" s="24"/>
      <c r="AL154" s="22" t="s">
        <v>8136</v>
      </c>
      <c r="AM154" s="22">
        <v>2.3394036678979E13</v>
      </c>
      <c r="AN154" s="25"/>
      <c r="AO154" s="25"/>
      <c r="AP154" s="22" t="s">
        <v>8149</v>
      </c>
      <c r="AQ154" s="30"/>
      <c r="AR154" s="30" t="b">
        <v>0</v>
      </c>
      <c r="AS154" s="30" t="b">
        <v>0</v>
      </c>
    </row>
    <row r="155">
      <c r="A155" s="21" t="s">
        <v>8664</v>
      </c>
      <c r="B155" s="22" t="s">
        <v>8119</v>
      </c>
      <c r="C155" s="22">
        <v>1.0</v>
      </c>
      <c r="D155" s="22" t="s">
        <v>8305</v>
      </c>
      <c r="E155" s="22" t="s">
        <v>8119</v>
      </c>
      <c r="F155" s="22" t="s">
        <v>8121</v>
      </c>
      <c r="G155" s="24"/>
      <c r="H155" s="22">
        <v>3.2694772302147E13</v>
      </c>
      <c r="I155" s="24"/>
      <c r="J155" s="24"/>
      <c r="K155" s="22">
        <v>4.2085703549171E13</v>
      </c>
      <c r="L155" s="24"/>
      <c r="M155" s="24"/>
      <c r="N155" s="22" t="s">
        <v>8665</v>
      </c>
      <c r="O155" s="22" t="s">
        <v>8666</v>
      </c>
      <c r="P155" s="22" t="s">
        <v>8665</v>
      </c>
      <c r="Q155" s="22" t="s">
        <v>8666</v>
      </c>
      <c r="R155" s="22" t="s">
        <v>8667</v>
      </c>
      <c r="S155" s="24"/>
      <c r="T155" s="40" t="s">
        <v>8668</v>
      </c>
      <c r="U155" s="22" t="s">
        <v>8669</v>
      </c>
      <c r="V155" s="24"/>
      <c r="W155" s="22" t="s">
        <v>8670</v>
      </c>
      <c r="X155" s="22" t="s">
        <v>8671</v>
      </c>
      <c r="Y155" s="24"/>
      <c r="Z155" s="24"/>
      <c r="AA155" s="22" t="s">
        <v>8129</v>
      </c>
      <c r="AB155" s="22" t="s">
        <v>8130</v>
      </c>
      <c r="AC155" s="25"/>
      <c r="AD155" s="22" t="s">
        <v>8131</v>
      </c>
      <c r="AE155" s="22" t="s">
        <v>8132</v>
      </c>
      <c r="AF155" s="24"/>
      <c r="AG155" s="22">
        <v>1.0436639686979E13</v>
      </c>
      <c r="AH155" s="22" t="s">
        <v>90</v>
      </c>
      <c r="AI155" s="22">
        <v>8.609284456771E12</v>
      </c>
      <c r="AJ155" s="25"/>
      <c r="AK155" s="24"/>
      <c r="AL155" s="22" t="s">
        <v>8133</v>
      </c>
      <c r="AM155" s="22">
        <v>2.3393549418819E13</v>
      </c>
      <c r="AN155" s="25"/>
      <c r="AO155" s="25"/>
      <c r="AP155" s="22" t="s">
        <v>8133</v>
      </c>
      <c r="AQ155" s="30" t="s">
        <v>8135</v>
      </c>
      <c r="AR155" s="30" t="b">
        <v>0</v>
      </c>
      <c r="AS155" s="30" t="b">
        <v>0</v>
      </c>
    </row>
    <row r="156">
      <c r="A156" s="21" t="s">
        <v>8664</v>
      </c>
      <c r="B156" s="24"/>
      <c r="C156" s="24"/>
      <c r="D156" s="22" t="s">
        <v>8305</v>
      </c>
      <c r="E156" s="24"/>
      <c r="F156" s="22" t="s">
        <v>8136</v>
      </c>
      <c r="G156" s="24"/>
      <c r="H156" s="22">
        <v>9.494560768323E12</v>
      </c>
      <c r="I156" s="24"/>
      <c r="J156" s="24"/>
      <c r="K156" s="24"/>
      <c r="L156" s="24"/>
      <c r="M156" s="24"/>
      <c r="N156" s="22" t="s">
        <v>8665</v>
      </c>
      <c r="O156" s="22" t="s">
        <v>8666</v>
      </c>
      <c r="P156" s="22" t="s">
        <v>8665</v>
      </c>
      <c r="Q156" s="22" t="s">
        <v>8666</v>
      </c>
      <c r="R156" s="22" t="s">
        <v>8667</v>
      </c>
      <c r="S156" s="24"/>
      <c r="T156" s="40" t="s">
        <v>8668</v>
      </c>
      <c r="U156" s="22" t="s">
        <v>8669</v>
      </c>
      <c r="V156" s="24"/>
      <c r="W156" s="22" t="s">
        <v>8670</v>
      </c>
      <c r="X156" s="22" t="s">
        <v>8671</v>
      </c>
      <c r="Y156" s="24"/>
      <c r="Z156" s="24"/>
      <c r="AA156" s="22" t="s">
        <v>8129</v>
      </c>
      <c r="AB156" s="22" t="s">
        <v>8130</v>
      </c>
      <c r="AC156" s="25"/>
      <c r="AD156" s="25"/>
      <c r="AE156" s="22" t="s">
        <v>8132</v>
      </c>
      <c r="AF156" s="24"/>
      <c r="AG156" s="22">
        <v>1.0436639686979E13</v>
      </c>
      <c r="AH156" s="22" t="s">
        <v>8137</v>
      </c>
      <c r="AI156" s="22">
        <v>8.609284456771E12</v>
      </c>
      <c r="AJ156" s="25"/>
      <c r="AK156" s="24"/>
      <c r="AL156" s="22" t="s">
        <v>8136</v>
      </c>
      <c r="AM156" s="22">
        <v>2.3393549418819E13</v>
      </c>
      <c r="AN156" s="25"/>
      <c r="AO156" s="25"/>
      <c r="AP156" s="22" t="s">
        <v>8136</v>
      </c>
      <c r="AQ156" s="30"/>
      <c r="AR156" s="30" t="b">
        <v>0</v>
      </c>
      <c r="AS156" s="30" t="b">
        <v>0</v>
      </c>
    </row>
    <row r="157">
      <c r="A157" s="21" t="s">
        <v>8672</v>
      </c>
      <c r="B157" s="22" t="s">
        <v>8140</v>
      </c>
      <c r="C157" s="22">
        <v>1.0</v>
      </c>
      <c r="D157" s="22" t="s">
        <v>8203</v>
      </c>
      <c r="E157" s="22" t="s">
        <v>8140</v>
      </c>
      <c r="F157" s="22" t="s">
        <v>8121</v>
      </c>
      <c r="G157" s="24"/>
      <c r="H157" s="22">
        <v>3.2694694314307E13</v>
      </c>
      <c r="I157" s="24"/>
      <c r="J157" s="24"/>
      <c r="K157" s="22">
        <v>4.2085703581939E13</v>
      </c>
      <c r="L157" s="24"/>
      <c r="M157" s="24"/>
      <c r="N157" s="22" t="s">
        <v>4303</v>
      </c>
      <c r="O157" s="22" t="s">
        <v>4304</v>
      </c>
      <c r="P157" s="22" t="s">
        <v>4303</v>
      </c>
      <c r="Q157" s="22" t="s">
        <v>4304</v>
      </c>
      <c r="R157" s="22" t="s">
        <v>8673</v>
      </c>
      <c r="S157" s="22" t="s">
        <v>8674</v>
      </c>
      <c r="T157" s="40" t="s">
        <v>8675</v>
      </c>
      <c r="U157" s="22" t="s">
        <v>8676</v>
      </c>
      <c r="V157" s="24"/>
      <c r="W157" s="22" t="s">
        <v>8677</v>
      </c>
      <c r="X157" s="22" t="s">
        <v>8289</v>
      </c>
      <c r="Y157" s="24"/>
      <c r="Z157" s="24"/>
      <c r="AA157" s="22" t="s">
        <v>8129</v>
      </c>
      <c r="AB157" s="22" t="s">
        <v>8130</v>
      </c>
      <c r="AC157" s="25"/>
      <c r="AD157" s="22" t="s">
        <v>8131</v>
      </c>
      <c r="AE157" s="22" t="s">
        <v>8132</v>
      </c>
      <c r="AF157" s="24"/>
      <c r="AG157" s="22">
        <v>1.0436604428611E13</v>
      </c>
      <c r="AH157" s="22" t="s">
        <v>90</v>
      </c>
      <c r="AI157" s="22">
        <v>7.428970119491E12</v>
      </c>
      <c r="AJ157" s="25"/>
      <c r="AK157" s="24"/>
      <c r="AL157" s="22" t="s">
        <v>8134</v>
      </c>
      <c r="AM157" s="22">
        <v>7.414601646403E12</v>
      </c>
      <c r="AN157" s="25"/>
      <c r="AO157" s="25"/>
      <c r="AP157" s="22" t="s">
        <v>8134</v>
      </c>
      <c r="AQ157" s="30" t="s">
        <v>8150</v>
      </c>
      <c r="AR157" s="30" t="b">
        <v>0</v>
      </c>
      <c r="AS157" s="30" t="b">
        <v>0</v>
      </c>
    </row>
    <row r="158">
      <c r="A158" s="21" t="s">
        <v>8672</v>
      </c>
      <c r="B158" s="24"/>
      <c r="C158" s="24"/>
      <c r="D158" s="22" t="s">
        <v>8203</v>
      </c>
      <c r="E158" s="24"/>
      <c r="F158" s="22" t="s">
        <v>8136</v>
      </c>
      <c r="G158" s="24"/>
      <c r="H158" s="22">
        <v>9.494533177667E12</v>
      </c>
      <c r="I158" s="24"/>
      <c r="J158" s="24"/>
      <c r="K158" s="24"/>
      <c r="L158" s="24"/>
      <c r="M158" s="24"/>
      <c r="N158" s="22" t="s">
        <v>4303</v>
      </c>
      <c r="O158" s="22" t="s">
        <v>4304</v>
      </c>
      <c r="P158" s="22" t="s">
        <v>4303</v>
      </c>
      <c r="Q158" s="22" t="s">
        <v>4304</v>
      </c>
      <c r="R158" s="22" t="s">
        <v>8673</v>
      </c>
      <c r="S158" s="22" t="s">
        <v>8674</v>
      </c>
      <c r="T158" s="40" t="s">
        <v>8675</v>
      </c>
      <c r="U158" s="22" t="s">
        <v>8676</v>
      </c>
      <c r="V158" s="24"/>
      <c r="W158" s="22" t="s">
        <v>8677</v>
      </c>
      <c r="X158" s="22" t="s">
        <v>8289</v>
      </c>
      <c r="Y158" s="24"/>
      <c r="Z158" s="24"/>
      <c r="AA158" s="22" t="s">
        <v>8129</v>
      </c>
      <c r="AB158" s="22" t="s">
        <v>8130</v>
      </c>
      <c r="AC158" s="25"/>
      <c r="AD158" s="25"/>
      <c r="AE158" s="22" t="s">
        <v>8132</v>
      </c>
      <c r="AF158" s="24"/>
      <c r="AG158" s="22">
        <v>1.0436604428611E13</v>
      </c>
      <c r="AH158" s="22" t="s">
        <v>8137</v>
      </c>
      <c r="AI158" s="22">
        <v>7.428970119491E12</v>
      </c>
      <c r="AJ158" s="25"/>
      <c r="AK158" s="24"/>
      <c r="AL158" s="22" t="s">
        <v>8136</v>
      </c>
      <c r="AM158" s="22">
        <v>7.414601646403E12</v>
      </c>
      <c r="AN158" s="25"/>
      <c r="AO158" s="25"/>
      <c r="AP158" s="22" t="s">
        <v>8136</v>
      </c>
      <c r="AQ158" s="30"/>
      <c r="AR158" s="30" t="b">
        <v>0</v>
      </c>
      <c r="AS158" s="30" t="b">
        <v>0</v>
      </c>
    </row>
    <row r="159">
      <c r="A159" s="21" t="s">
        <v>8678</v>
      </c>
      <c r="B159" s="22" t="s">
        <v>8429</v>
      </c>
      <c r="C159" s="22">
        <v>1.0</v>
      </c>
      <c r="D159" s="22" t="s">
        <v>8221</v>
      </c>
      <c r="E159" s="22" t="s">
        <v>8429</v>
      </c>
      <c r="F159" s="22" t="s">
        <v>8155</v>
      </c>
      <c r="G159" s="24"/>
      <c r="H159" s="22">
        <v>3.2694886957379E13</v>
      </c>
      <c r="I159" s="24"/>
      <c r="J159" s="24"/>
      <c r="K159" s="22">
        <v>4.9521175527747E13</v>
      </c>
      <c r="L159" s="24"/>
      <c r="M159" s="24"/>
      <c r="N159" s="22" t="s">
        <v>3872</v>
      </c>
      <c r="O159" s="22" t="s">
        <v>8679</v>
      </c>
      <c r="P159" s="22" t="s">
        <v>3872</v>
      </c>
      <c r="Q159" s="22" t="s">
        <v>8680</v>
      </c>
      <c r="R159" s="22" t="s">
        <v>8681</v>
      </c>
      <c r="S159" s="24"/>
      <c r="T159" s="40" t="s">
        <v>8682</v>
      </c>
      <c r="U159" s="22" t="s">
        <v>8683</v>
      </c>
      <c r="V159" s="24"/>
      <c r="W159" s="22" t="s">
        <v>8684</v>
      </c>
      <c r="X159" s="22" t="s">
        <v>8685</v>
      </c>
      <c r="Y159" s="24"/>
      <c r="Z159" s="24"/>
      <c r="AA159" s="22" t="s">
        <v>8129</v>
      </c>
      <c r="AB159" s="22" t="s">
        <v>8130</v>
      </c>
      <c r="AC159" s="25"/>
      <c r="AD159" s="22" t="s">
        <v>8161</v>
      </c>
      <c r="AE159" s="22" t="s">
        <v>8132</v>
      </c>
      <c r="AF159" s="24"/>
      <c r="AG159" s="22">
        <v>1.0436692869443E13</v>
      </c>
      <c r="AH159" s="22" t="s">
        <v>90</v>
      </c>
      <c r="AI159" s="22">
        <v>8.570460995907E12</v>
      </c>
      <c r="AJ159" s="25"/>
      <c r="AK159" s="24"/>
      <c r="AL159" s="22" t="s">
        <v>8201</v>
      </c>
      <c r="AM159" s="22">
        <v>7.471516778819E12</v>
      </c>
      <c r="AN159" s="25"/>
      <c r="AO159" s="25"/>
      <c r="AP159" s="22" t="s">
        <v>8133</v>
      </c>
      <c r="AQ159" s="30" t="s">
        <v>95</v>
      </c>
      <c r="AR159" s="30" t="b">
        <v>0</v>
      </c>
      <c r="AS159" s="30" t="b">
        <v>1</v>
      </c>
    </row>
    <row r="160">
      <c r="A160" s="21" t="s">
        <v>8678</v>
      </c>
      <c r="B160" s="24"/>
      <c r="C160" s="24"/>
      <c r="D160" s="22" t="s">
        <v>8221</v>
      </c>
      <c r="E160" s="24"/>
      <c r="F160" s="22" t="s">
        <v>8149</v>
      </c>
      <c r="G160" s="24"/>
      <c r="H160" s="22">
        <v>9.494604218691E12</v>
      </c>
      <c r="I160" s="24"/>
      <c r="J160" s="24"/>
      <c r="K160" s="24"/>
      <c r="L160" s="24"/>
      <c r="M160" s="24"/>
      <c r="N160" s="22" t="s">
        <v>3872</v>
      </c>
      <c r="O160" s="22" t="s">
        <v>8679</v>
      </c>
      <c r="P160" s="22" t="s">
        <v>3872</v>
      </c>
      <c r="Q160" s="22" t="s">
        <v>8680</v>
      </c>
      <c r="R160" s="22" t="s">
        <v>8681</v>
      </c>
      <c r="S160" s="24"/>
      <c r="T160" s="40" t="s">
        <v>8682</v>
      </c>
      <c r="U160" s="22" t="s">
        <v>8683</v>
      </c>
      <c r="V160" s="24"/>
      <c r="W160" s="22" t="s">
        <v>8684</v>
      </c>
      <c r="X160" s="22" t="s">
        <v>8685</v>
      </c>
      <c r="Y160" s="24"/>
      <c r="Z160" s="24"/>
      <c r="AA160" s="22" t="s">
        <v>8129</v>
      </c>
      <c r="AB160" s="22" t="s">
        <v>8130</v>
      </c>
      <c r="AC160" s="25"/>
      <c r="AD160" s="24"/>
      <c r="AE160" s="22" t="s">
        <v>8132</v>
      </c>
      <c r="AF160" s="24"/>
      <c r="AG160" s="22">
        <v>1.0436692869443E13</v>
      </c>
      <c r="AH160" s="22" t="s">
        <v>8137</v>
      </c>
      <c r="AI160" s="22">
        <v>8.570460995907E12</v>
      </c>
      <c r="AJ160" s="25"/>
      <c r="AK160" s="24"/>
      <c r="AL160" s="22" t="s">
        <v>8149</v>
      </c>
      <c r="AM160" s="22">
        <v>8.527965749571E12</v>
      </c>
      <c r="AN160" s="25"/>
      <c r="AO160" s="25"/>
      <c r="AP160" s="22" t="s">
        <v>8269</v>
      </c>
      <c r="AQ160" s="30"/>
      <c r="AR160" s="30" t="b">
        <v>0</v>
      </c>
      <c r="AS160" s="30" t="b">
        <v>0</v>
      </c>
    </row>
    <row r="161">
      <c r="A161" s="21" t="s">
        <v>8686</v>
      </c>
      <c r="B161" s="22" t="s">
        <v>8119</v>
      </c>
      <c r="C161" s="22">
        <v>1.0</v>
      </c>
      <c r="D161" s="22" t="s">
        <v>8305</v>
      </c>
      <c r="E161" s="22" t="s">
        <v>8119</v>
      </c>
      <c r="F161" s="22" t="s">
        <v>8121</v>
      </c>
      <c r="G161" s="24"/>
      <c r="H161" s="22">
        <v>3.2695047389507E13</v>
      </c>
      <c r="I161" s="24"/>
      <c r="J161" s="24"/>
      <c r="K161" s="22">
        <v>4.2085703549171E13</v>
      </c>
      <c r="L161" s="24"/>
      <c r="M161" s="24"/>
      <c r="N161" s="22" t="s">
        <v>3846</v>
      </c>
      <c r="O161" s="22" t="s">
        <v>4086</v>
      </c>
      <c r="P161" s="22" t="s">
        <v>3846</v>
      </c>
      <c r="Q161" s="22" t="s">
        <v>4086</v>
      </c>
      <c r="R161" s="22" t="s">
        <v>8687</v>
      </c>
      <c r="S161" s="24"/>
      <c r="T161" s="40" t="s">
        <v>8688</v>
      </c>
      <c r="U161" s="22" t="s">
        <v>8689</v>
      </c>
      <c r="V161" s="24"/>
      <c r="W161" s="22" t="s">
        <v>8690</v>
      </c>
      <c r="X161" s="22" t="s">
        <v>8691</v>
      </c>
      <c r="Y161" s="24"/>
      <c r="Z161" s="24"/>
      <c r="AA161" s="22" t="s">
        <v>8129</v>
      </c>
      <c r="AB161" s="22" t="s">
        <v>8130</v>
      </c>
      <c r="AC161" s="25"/>
      <c r="AD161" s="22" t="s">
        <v>8131</v>
      </c>
      <c r="AE161" s="22" t="s">
        <v>8132</v>
      </c>
      <c r="AF161" s="24"/>
      <c r="AG161" s="22">
        <v>1.0436765516099E13</v>
      </c>
      <c r="AH161" s="22" t="s">
        <v>90</v>
      </c>
      <c r="AI161" s="22">
        <v>8.641793786179E12</v>
      </c>
      <c r="AJ161" s="25"/>
      <c r="AK161" s="24"/>
      <c r="AL161" s="22" t="s">
        <v>8133</v>
      </c>
      <c r="AM161" s="22">
        <v>8.527965749571E12</v>
      </c>
      <c r="AN161" s="25"/>
      <c r="AO161" s="25"/>
      <c r="AP161" s="22" t="s">
        <v>8149</v>
      </c>
      <c r="AQ161" s="30" t="s">
        <v>8135</v>
      </c>
      <c r="AR161" s="30" t="b">
        <v>0</v>
      </c>
      <c r="AS161" s="30" t="b">
        <v>0</v>
      </c>
    </row>
    <row r="162">
      <c r="A162" s="21" t="s">
        <v>8686</v>
      </c>
      <c r="B162" s="24"/>
      <c r="C162" s="24"/>
      <c r="D162" s="22" t="s">
        <v>8305</v>
      </c>
      <c r="E162" s="24"/>
      <c r="F162" s="22" t="s">
        <v>8136</v>
      </c>
      <c r="G162" s="24"/>
      <c r="H162" s="22">
        <v>9.494661267779E12</v>
      </c>
      <c r="I162" s="24"/>
      <c r="J162" s="24"/>
      <c r="K162" s="24"/>
      <c r="L162" s="24"/>
      <c r="M162" s="24"/>
      <c r="N162" s="22" t="s">
        <v>3846</v>
      </c>
      <c r="O162" s="22" t="s">
        <v>4086</v>
      </c>
      <c r="P162" s="22" t="s">
        <v>3846</v>
      </c>
      <c r="Q162" s="22" t="s">
        <v>4086</v>
      </c>
      <c r="R162" s="22" t="s">
        <v>8687</v>
      </c>
      <c r="S162" s="24"/>
      <c r="T162" s="40" t="s">
        <v>8688</v>
      </c>
      <c r="U162" s="22" t="s">
        <v>8689</v>
      </c>
      <c r="V162" s="24"/>
      <c r="W162" s="22" t="s">
        <v>8690</v>
      </c>
      <c r="X162" s="22" t="s">
        <v>8691</v>
      </c>
      <c r="Y162" s="24"/>
      <c r="Z162" s="24"/>
      <c r="AA162" s="22" t="s">
        <v>8129</v>
      </c>
      <c r="AB162" s="22" t="s">
        <v>8130</v>
      </c>
      <c r="AC162" s="25"/>
      <c r="AD162" s="24"/>
      <c r="AE162" s="22" t="s">
        <v>8132</v>
      </c>
      <c r="AF162" s="24"/>
      <c r="AG162" s="22">
        <v>1.0436765516099E13</v>
      </c>
      <c r="AH162" s="22" t="s">
        <v>8137</v>
      </c>
      <c r="AI162" s="22">
        <v>8.641793786179E12</v>
      </c>
      <c r="AJ162" s="25"/>
      <c r="AK162" s="24"/>
      <c r="AL162" s="22" t="s">
        <v>8136</v>
      </c>
      <c r="AM162" s="22">
        <v>2.3392693322051E13</v>
      </c>
      <c r="AN162" s="25"/>
      <c r="AO162" s="25"/>
      <c r="AP162" s="22" t="s">
        <v>8134</v>
      </c>
      <c r="AQ162" s="30"/>
      <c r="AR162" s="30" t="b">
        <v>0</v>
      </c>
      <c r="AS162" s="30" t="b">
        <v>0</v>
      </c>
    </row>
    <row r="163">
      <c r="A163" s="21" t="s">
        <v>8692</v>
      </c>
      <c r="B163" s="22" t="s">
        <v>8370</v>
      </c>
      <c r="C163" s="22">
        <v>1.0</v>
      </c>
      <c r="D163" s="22" t="s">
        <v>8278</v>
      </c>
      <c r="E163" s="22" t="s">
        <v>8370</v>
      </c>
      <c r="F163" s="22" t="s">
        <v>8155</v>
      </c>
      <c r="G163" s="24"/>
      <c r="H163" s="22">
        <v>3.2695086743875E13</v>
      </c>
      <c r="I163" s="24"/>
      <c r="J163" s="24"/>
      <c r="K163" s="22">
        <v>4.9521175494979E13</v>
      </c>
      <c r="L163" s="24"/>
      <c r="M163" s="24"/>
      <c r="N163" s="22" t="s">
        <v>3808</v>
      </c>
      <c r="O163" s="22" t="s">
        <v>8693</v>
      </c>
      <c r="P163" s="22" t="s">
        <v>3808</v>
      </c>
      <c r="Q163" s="22" t="s">
        <v>8693</v>
      </c>
      <c r="R163" s="22" t="s">
        <v>8694</v>
      </c>
      <c r="S163" s="24"/>
      <c r="T163" s="40" t="s">
        <v>8695</v>
      </c>
      <c r="U163" s="22" t="s">
        <v>8696</v>
      </c>
      <c r="V163" s="24"/>
      <c r="W163" s="22" t="s">
        <v>8697</v>
      </c>
      <c r="X163" s="22" t="s">
        <v>8380</v>
      </c>
      <c r="Y163" s="24"/>
      <c r="Z163" s="24"/>
      <c r="AA163" s="22" t="s">
        <v>8129</v>
      </c>
      <c r="AB163" s="22" t="s">
        <v>8130</v>
      </c>
      <c r="AC163" s="25"/>
      <c r="AD163" s="22" t="s">
        <v>8161</v>
      </c>
      <c r="AE163" s="22" t="s">
        <v>8132</v>
      </c>
      <c r="AF163" s="24"/>
      <c r="AG163" s="22">
        <v>1.0436784161091E13</v>
      </c>
      <c r="AH163" s="22" t="s">
        <v>90</v>
      </c>
      <c r="AI163" s="22">
        <v>2.3394886156611E13</v>
      </c>
      <c r="AJ163" s="25"/>
      <c r="AK163" s="24"/>
      <c r="AL163" s="22" t="s">
        <v>8138</v>
      </c>
      <c r="AM163" s="22">
        <v>2.3392693322051E13</v>
      </c>
      <c r="AN163" s="25"/>
      <c r="AO163" s="25"/>
      <c r="AP163" s="22" t="s">
        <v>8136</v>
      </c>
      <c r="AQ163" s="30" t="s">
        <v>91</v>
      </c>
      <c r="AR163" s="30" t="b">
        <v>0</v>
      </c>
      <c r="AS163" s="30" t="b">
        <v>1</v>
      </c>
    </row>
    <row r="164">
      <c r="A164" s="21" t="s">
        <v>8692</v>
      </c>
      <c r="B164" s="24"/>
      <c r="C164" s="24"/>
      <c r="D164" s="22" t="s">
        <v>8278</v>
      </c>
      <c r="E164" s="24"/>
      <c r="F164" s="22" t="s">
        <v>8149</v>
      </c>
      <c r="G164" s="24"/>
      <c r="H164" s="22">
        <v>9.494675816771E12</v>
      </c>
      <c r="I164" s="24"/>
      <c r="J164" s="24"/>
      <c r="K164" s="24"/>
      <c r="L164" s="24"/>
      <c r="M164" s="24"/>
      <c r="N164" s="22" t="s">
        <v>3808</v>
      </c>
      <c r="O164" s="22" t="s">
        <v>8693</v>
      </c>
      <c r="P164" s="22" t="s">
        <v>3808</v>
      </c>
      <c r="Q164" s="22" t="s">
        <v>8693</v>
      </c>
      <c r="R164" s="22" t="s">
        <v>8694</v>
      </c>
      <c r="S164" s="24"/>
      <c r="T164" s="40" t="s">
        <v>8695</v>
      </c>
      <c r="U164" s="22" t="s">
        <v>8696</v>
      </c>
      <c r="V164" s="24"/>
      <c r="W164" s="22" t="s">
        <v>8697</v>
      </c>
      <c r="X164" s="22" t="s">
        <v>8380</v>
      </c>
      <c r="Y164" s="24"/>
      <c r="Z164" s="24"/>
      <c r="AA164" s="22" t="s">
        <v>8129</v>
      </c>
      <c r="AB164" s="22" t="s">
        <v>8130</v>
      </c>
      <c r="AC164" s="25"/>
      <c r="AD164" s="24"/>
      <c r="AE164" s="22" t="s">
        <v>8132</v>
      </c>
      <c r="AF164" s="24"/>
      <c r="AG164" s="22">
        <v>1.0436784161091E13</v>
      </c>
      <c r="AH164" s="22" t="s">
        <v>8137</v>
      </c>
      <c r="AI164" s="22">
        <v>2.3394886156611E13</v>
      </c>
      <c r="AJ164" s="25"/>
      <c r="AK164" s="24"/>
      <c r="AL164" s="22" t="s">
        <v>8149</v>
      </c>
      <c r="AM164" s="22">
        <v>2.3392590856515E13</v>
      </c>
      <c r="AN164" s="25"/>
      <c r="AO164" s="25"/>
      <c r="AP164" s="22" t="s">
        <v>8151</v>
      </c>
      <c r="AQ164" s="30"/>
      <c r="AR164" s="30" t="b">
        <v>0</v>
      </c>
      <c r="AS164" s="30" t="b">
        <v>0</v>
      </c>
    </row>
    <row r="165">
      <c r="A165" s="21" t="s">
        <v>8698</v>
      </c>
      <c r="B165" s="22" t="s">
        <v>8140</v>
      </c>
      <c r="C165" s="22">
        <v>1.0</v>
      </c>
      <c r="D165" s="22" t="s">
        <v>8221</v>
      </c>
      <c r="E165" s="22" t="s">
        <v>8140</v>
      </c>
      <c r="F165" s="22" t="s">
        <v>8121</v>
      </c>
      <c r="G165" s="24"/>
      <c r="H165" s="22">
        <v>3.2695256908099E13</v>
      </c>
      <c r="I165" s="24"/>
      <c r="J165" s="24"/>
      <c r="K165" s="22">
        <v>4.2085703581939E13</v>
      </c>
      <c r="L165" s="24"/>
      <c r="M165" s="24"/>
      <c r="N165" s="22" t="s">
        <v>8699</v>
      </c>
      <c r="O165" s="22" t="s">
        <v>8700</v>
      </c>
      <c r="P165" s="22" t="s">
        <v>8699</v>
      </c>
      <c r="Q165" s="22" t="s">
        <v>8701</v>
      </c>
      <c r="R165" s="22" t="s">
        <v>8702</v>
      </c>
      <c r="S165" s="24"/>
      <c r="T165" s="40" t="s">
        <v>8703</v>
      </c>
      <c r="U165" s="22" t="s">
        <v>8704</v>
      </c>
      <c r="V165" s="24"/>
      <c r="W165" s="22" t="s">
        <v>8705</v>
      </c>
      <c r="X165" s="22" t="s">
        <v>8251</v>
      </c>
      <c r="Y165" s="24"/>
      <c r="Z165" s="24"/>
      <c r="AA165" s="22" t="s">
        <v>8129</v>
      </c>
      <c r="AB165" s="22" t="s">
        <v>8130</v>
      </c>
      <c r="AC165" s="25"/>
      <c r="AD165" s="22" t="s">
        <v>8131</v>
      </c>
      <c r="AE165" s="22" t="s">
        <v>8132</v>
      </c>
      <c r="AF165" s="24"/>
      <c r="AG165" s="22">
        <v>1.0436863820099E13</v>
      </c>
      <c r="AH165" s="22" t="s">
        <v>90</v>
      </c>
      <c r="AI165" s="22">
        <v>5.966145388787E12</v>
      </c>
      <c r="AJ165" s="25"/>
      <c r="AK165" s="24"/>
      <c r="AL165" s="22" t="s">
        <v>8134</v>
      </c>
      <c r="AM165" s="22">
        <v>8.409215271235E12</v>
      </c>
      <c r="AN165" s="25"/>
      <c r="AO165" s="25"/>
      <c r="AP165" s="22" t="s">
        <v>8138</v>
      </c>
      <c r="AQ165" s="30" t="s">
        <v>8150</v>
      </c>
      <c r="AR165" s="30" t="b">
        <v>0</v>
      </c>
      <c r="AS165" s="30" t="b">
        <v>0</v>
      </c>
    </row>
    <row r="166">
      <c r="A166" s="21" t="s">
        <v>8698</v>
      </c>
      <c r="B166" s="24"/>
      <c r="C166" s="24"/>
      <c r="D166" s="22" t="s">
        <v>8221</v>
      </c>
      <c r="E166" s="24"/>
      <c r="F166" s="22" t="s">
        <v>8136</v>
      </c>
      <c r="G166" s="24"/>
      <c r="H166" s="22">
        <v>9.494737912131E12</v>
      </c>
      <c r="I166" s="24"/>
      <c r="J166" s="24"/>
      <c r="K166" s="24"/>
      <c r="L166" s="24"/>
      <c r="M166" s="24"/>
      <c r="N166" s="22" t="s">
        <v>8699</v>
      </c>
      <c r="O166" s="22" t="s">
        <v>8700</v>
      </c>
      <c r="P166" s="22" t="s">
        <v>8699</v>
      </c>
      <c r="Q166" s="22" t="s">
        <v>8701</v>
      </c>
      <c r="R166" s="22" t="s">
        <v>8702</v>
      </c>
      <c r="S166" s="24"/>
      <c r="T166" s="40" t="s">
        <v>8703</v>
      </c>
      <c r="U166" s="22" t="s">
        <v>8704</v>
      </c>
      <c r="V166" s="24"/>
      <c r="W166" s="22" t="s">
        <v>8705</v>
      </c>
      <c r="X166" s="22" t="s">
        <v>8251</v>
      </c>
      <c r="Y166" s="24"/>
      <c r="Z166" s="24"/>
      <c r="AA166" s="22" t="s">
        <v>8129</v>
      </c>
      <c r="AB166" s="22" t="s">
        <v>8130</v>
      </c>
      <c r="AC166" s="25"/>
      <c r="AD166" s="24"/>
      <c r="AE166" s="22" t="s">
        <v>8132</v>
      </c>
      <c r="AF166" s="24"/>
      <c r="AG166" s="22">
        <v>1.0436863820099E13</v>
      </c>
      <c r="AH166" s="22" t="s">
        <v>8137</v>
      </c>
      <c r="AI166" s="22">
        <v>5.966145388787E12</v>
      </c>
      <c r="AJ166" s="25"/>
      <c r="AK166" s="24"/>
      <c r="AL166" s="22" t="s">
        <v>8136</v>
      </c>
      <c r="AM166" s="22">
        <v>8.409215271235E12</v>
      </c>
      <c r="AN166" s="25"/>
      <c r="AO166" s="25"/>
      <c r="AP166" s="22" t="s">
        <v>8149</v>
      </c>
      <c r="AQ166" s="30"/>
      <c r="AR166" s="30" t="b">
        <v>0</v>
      </c>
      <c r="AS166" s="30" t="b">
        <v>0</v>
      </c>
    </row>
    <row r="167">
      <c r="A167" s="21" t="s">
        <v>8706</v>
      </c>
      <c r="B167" s="22" t="s">
        <v>8707</v>
      </c>
      <c r="C167" s="22">
        <v>1.0</v>
      </c>
      <c r="D167" s="22" t="s">
        <v>8141</v>
      </c>
      <c r="E167" s="22" t="s">
        <v>8707</v>
      </c>
      <c r="F167" s="22" t="s">
        <v>8155</v>
      </c>
      <c r="G167" s="24"/>
      <c r="H167" s="22">
        <v>3.2695440802115E13</v>
      </c>
      <c r="I167" s="24"/>
      <c r="J167" s="24"/>
      <c r="K167" s="22">
        <v>4.9521175429443E13</v>
      </c>
      <c r="L167" s="24"/>
      <c r="M167" s="24"/>
      <c r="N167" s="22" t="s">
        <v>8708</v>
      </c>
      <c r="O167" s="22" t="s">
        <v>7421</v>
      </c>
      <c r="P167" s="22" t="s">
        <v>8708</v>
      </c>
      <c r="Q167" s="22" t="s">
        <v>7421</v>
      </c>
      <c r="R167" s="22" t="s">
        <v>8709</v>
      </c>
      <c r="S167" s="24"/>
      <c r="T167" s="40" t="s">
        <v>8710</v>
      </c>
      <c r="U167" s="22" t="s">
        <v>8711</v>
      </c>
      <c r="V167" s="24"/>
      <c r="W167" s="22" t="s">
        <v>8712</v>
      </c>
      <c r="X167" s="22" t="s">
        <v>8380</v>
      </c>
      <c r="Y167" s="24"/>
      <c r="Z167" s="24"/>
      <c r="AA167" s="22" t="s">
        <v>8129</v>
      </c>
      <c r="AB167" s="22" t="s">
        <v>8130</v>
      </c>
      <c r="AC167" s="25"/>
      <c r="AD167" s="22" t="s">
        <v>8161</v>
      </c>
      <c r="AE167" s="22" t="s">
        <v>8132</v>
      </c>
      <c r="AF167" s="24"/>
      <c r="AG167" s="22">
        <v>1.0436946526531E13</v>
      </c>
      <c r="AH167" s="22" t="s">
        <v>90</v>
      </c>
      <c r="AI167" s="22">
        <v>7.478909403459E12</v>
      </c>
      <c r="AJ167" s="25"/>
      <c r="AK167" s="24"/>
      <c r="AL167" s="22" t="s">
        <v>8336</v>
      </c>
      <c r="AM167" s="22">
        <v>2.3391723487555E13</v>
      </c>
      <c r="AN167" s="25"/>
      <c r="AO167" s="25"/>
      <c r="AP167" s="22" t="s">
        <v>8133</v>
      </c>
      <c r="AQ167" s="30" t="s">
        <v>54</v>
      </c>
      <c r="AR167" s="30" t="b">
        <v>0</v>
      </c>
      <c r="AS167" s="30" t="b">
        <v>1</v>
      </c>
    </row>
    <row r="168">
      <c r="A168" s="21" t="s">
        <v>8706</v>
      </c>
      <c r="B168" s="24"/>
      <c r="C168" s="24"/>
      <c r="D168" s="22" t="s">
        <v>8141</v>
      </c>
      <c r="E168" s="24"/>
      <c r="F168" s="22" t="s">
        <v>8149</v>
      </c>
      <c r="G168" s="24"/>
      <c r="H168" s="22">
        <v>9.494803677507E12</v>
      </c>
      <c r="I168" s="24"/>
      <c r="J168" s="24"/>
      <c r="K168" s="24"/>
      <c r="L168" s="24"/>
      <c r="M168" s="24"/>
      <c r="N168" s="22" t="s">
        <v>8708</v>
      </c>
      <c r="O168" s="22" t="s">
        <v>7421</v>
      </c>
      <c r="P168" s="22" t="s">
        <v>8708</v>
      </c>
      <c r="Q168" s="22" t="s">
        <v>7421</v>
      </c>
      <c r="R168" s="22" t="s">
        <v>8709</v>
      </c>
      <c r="S168" s="24"/>
      <c r="T168" s="40" t="s">
        <v>8710</v>
      </c>
      <c r="U168" s="22" t="s">
        <v>8711</v>
      </c>
      <c r="V168" s="24"/>
      <c r="W168" s="22" t="s">
        <v>8712</v>
      </c>
      <c r="X168" s="22" t="s">
        <v>8380</v>
      </c>
      <c r="Y168" s="24"/>
      <c r="Z168" s="24"/>
      <c r="AA168" s="22" t="s">
        <v>8129</v>
      </c>
      <c r="AB168" s="22" t="s">
        <v>8130</v>
      </c>
      <c r="AC168" s="25"/>
      <c r="AD168" s="25"/>
      <c r="AE168" s="22" t="s">
        <v>8132</v>
      </c>
      <c r="AF168" s="24"/>
      <c r="AG168" s="22">
        <v>1.0436946526531E13</v>
      </c>
      <c r="AH168" s="22" t="s">
        <v>8137</v>
      </c>
      <c r="AI168" s="22">
        <v>7.478909403459E12</v>
      </c>
      <c r="AJ168" s="25"/>
      <c r="AK168" s="24"/>
      <c r="AL168" s="22" t="s">
        <v>8149</v>
      </c>
      <c r="AM168" s="22">
        <v>8.568591253827E12</v>
      </c>
      <c r="AN168" s="25"/>
      <c r="AO168" s="25"/>
      <c r="AP168" s="22" t="s">
        <v>8136</v>
      </c>
      <c r="AQ168" s="30"/>
      <c r="AR168" s="30" t="b">
        <v>0</v>
      </c>
      <c r="AS168" s="30" t="b">
        <v>0</v>
      </c>
    </row>
    <row r="169">
      <c r="A169" s="21" t="s">
        <v>8713</v>
      </c>
      <c r="B169" s="22" t="s">
        <v>8429</v>
      </c>
      <c r="C169" s="22">
        <v>1.0</v>
      </c>
      <c r="D169" s="22" t="s">
        <v>8221</v>
      </c>
      <c r="E169" s="22" t="s">
        <v>8429</v>
      </c>
      <c r="F169" s="22" t="s">
        <v>8155</v>
      </c>
      <c r="G169" s="24"/>
      <c r="H169" s="22">
        <v>3.2695475011907E13</v>
      </c>
      <c r="I169" s="24"/>
      <c r="J169" s="24"/>
      <c r="K169" s="22">
        <v>4.9521175527747E13</v>
      </c>
      <c r="L169" s="24"/>
      <c r="M169" s="24"/>
      <c r="N169" s="22" t="s">
        <v>8714</v>
      </c>
      <c r="O169" s="22" t="s">
        <v>8715</v>
      </c>
      <c r="P169" s="22" t="s">
        <v>8714</v>
      </c>
      <c r="Q169" s="22" t="s">
        <v>8715</v>
      </c>
      <c r="R169" s="22" t="s">
        <v>8716</v>
      </c>
      <c r="S169" s="24"/>
      <c r="T169" s="40" t="s">
        <v>8717</v>
      </c>
      <c r="U169" s="22" t="s">
        <v>8718</v>
      </c>
      <c r="V169" s="24"/>
      <c r="W169" s="22" t="s">
        <v>8719</v>
      </c>
      <c r="X169" s="22" t="s">
        <v>8685</v>
      </c>
      <c r="Y169" s="24"/>
      <c r="Z169" s="24"/>
      <c r="AA169" s="22" t="s">
        <v>8129</v>
      </c>
      <c r="AB169" s="22" t="s">
        <v>8130</v>
      </c>
      <c r="AC169" s="25"/>
      <c r="AD169" s="22" t="s">
        <v>8161</v>
      </c>
      <c r="AE169" s="22" t="s">
        <v>8132</v>
      </c>
      <c r="AF169" s="24"/>
      <c r="AG169" s="22">
        <v>1.0436963467587E13</v>
      </c>
      <c r="AH169" s="22" t="s">
        <v>90</v>
      </c>
      <c r="AI169" s="22">
        <v>8.610061582659E12</v>
      </c>
      <c r="AJ169" s="25"/>
      <c r="AK169" s="24"/>
      <c r="AL169" s="22" t="s">
        <v>8201</v>
      </c>
      <c r="AM169" s="22">
        <v>8.610061582659E12</v>
      </c>
      <c r="AN169" s="25"/>
      <c r="AO169" s="25"/>
      <c r="AP169" s="22" t="s">
        <v>8201</v>
      </c>
      <c r="AQ169" s="30" t="s">
        <v>95</v>
      </c>
      <c r="AR169" s="30" t="b">
        <v>0</v>
      </c>
      <c r="AS169" s="30" t="b">
        <v>1</v>
      </c>
    </row>
    <row r="170">
      <c r="A170" s="21" t="s">
        <v>8713</v>
      </c>
      <c r="B170" s="24"/>
      <c r="C170" s="24"/>
      <c r="D170" s="22" t="s">
        <v>8221</v>
      </c>
      <c r="E170" s="24"/>
      <c r="F170" s="22" t="s">
        <v>8149</v>
      </c>
      <c r="G170" s="24"/>
      <c r="H170" s="22">
        <v>9.494817046851E12</v>
      </c>
      <c r="I170" s="24"/>
      <c r="J170" s="24"/>
      <c r="K170" s="24"/>
      <c r="L170" s="24"/>
      <c r="M170" s="24"/>
      <c r="N170" s="22" t="s">
        <v>8714</v>
      </c>
      <c r="O170" s="22" t="s">
        <v>8715</v>
      </c>
      <c r="P170" s="22" t="s">
        <v>8714</v>
      </c>
      <c r="Q170" s="22" t="s">
        <v>8715</v>
      </c>
      <c r="R170" s="22" t="s">
        <v>8716</v>
      </c>
      <c r="S170" s="24"/>
      <c r="T170" s="40" t="s">
        <v>8717</v>
      </c>
      <c r="U170" s="22" t="s">
        <v>8718</v>
      </c>
      <c r="V170" s="24"/>
      <c r="W170" s="22" t="s">
        <v>8719</v>
      </c>
      <c r="X170" s="22" t="s">
        <v>8685</v>
      </c>
      <c r="Y170" s="24"/>
      <c r="Z170" s="24"/>
      <c r="AA170" s="22" t="s">
        <v>8129</v>
      </c>
      <c r="AB170" s="22" t="s">
        <v>8130</v>
      </c>
      <c r="AC170" s="25"/>
      <c r="AD170" s="25"/>
      <c r="AE170" s="22" t="s">
        <v>8132</v>
      </c>
      <c r="AF170" s="24"/>
      <c r="AG170" s="22">
        <v>1.0436963467587E13</v>
      </c>
      <c r="AH170" s="22" t="s">
        <v>8137</v>
      </c>
      <c r="AI170" s="22">
        <v>8.610061582659E12</v>
      </c>
      <c r="AJ170" s="25"/>
      <c r="AK170" s="24"/>
      <c r="AL170" s="22" t="s">
        <v>8149</v>
      </c>
      <c r="AM170" s="22">
        <v>8.610061582659E12</v>
      </c>
      <c r="AN170" s="25"/>
      <c r="AO170" s="25"/>
      <c r="AP170" s="22" t="s">
        <v>8149</v>
      </c>
      <c r="AQ170" s="30"/>
      <c r="AR170" s="30" t="b">
        <v>0</v>
      </c>
      <c r="AS170" s="30" t="b">
        <v>0</v>
      </c>
    </row>
    <row r="171">
      <c r="A171" s="21" t="s">
        <v>8720</v>
      </c>
      <c r="B171" s="22" t="s">
        <v>8429</v>
      </c>
      <c r="C171" s="22">
        <v>1.0</v>
      </c>
      <c r="D171" s="22" t="s">
        <v>8721</v>
      </c>
      <c r="E171" s="22" t="s">
        <v>8429</v>
      </c>
      <c r="F171" s="22" t="s">
        <v>8155</v>
      </c>
      <c r="G171" s="24"/>
      <c r="H171" s="22">
        <v>3.2695643734339E13</v>
      </c>
      <c r="I171" s="24"/>
      <c r="J171" s="24"/>
      <c r="K171" s="22">
        <v>4.9521175527747E13</v>
      </c>
      <c r="L171" s="24"/>
      <c r="M171" s="24"/>
      <c r="N171" s="22" t="s">
        <v>8722</v>
      </c>
      <c r="O171" s="22" t="s">
        <v>8723</v>
      </c>
      <c r="P171" s="22" t="s">
        <v>8722</v>
      </c>
      <c r="Q171" s="22" t="s">
        <v>8723</v>
      </c>
      <c r="R171" s="22" t="s">
        <v>8724</v>
      </c>
      <c r="S171" s="24"/>
      <c r="T171" s="40" t="s">
        <v>8725</v>
      </c>
      <c r="U171" s="22" t="s">
        <v>8726</v>
      </c>
      <c r="V171" s="24"/>
      <c r="W171" s="22" t="s">
        <v>8727</v>
      </c>
      <c r="X171" s="22" t="s">
        <v>8728</v>
      </c>
      <c r="Y171" s="24"/>
      <c r="Z171" s="24"/>
      <c r="AA171" s="22" t="s">
        <v>8129</v>
      </c>
      <c r="AB171" s="22" t="s">
        <v>8130</v>
      </c>
      <c r="AC171" s="25"/>
      <c r="AD171" s="22" t="s">
        <v>8161</v>
      </c>
      <c r="AE171" s="22" t="s">
        <v>8132</v>
      </c>
      <c r="AF171" s="24"/>
      <c r="AG171" s="22">
        <v>1.0437039948099E13</v>
      </c>
      <c r="AH171" s="22" t="s">
        <v>90</v>
      </c>
      <c r="AI171" s="22">
        <v>7.486654087491E12</v>
      </c>
      <c r="AJ171" s="25"/>
      <c r="AK171" s="24"/>
      <c r="AL171" s="22" t="s">
        <v>8201</v>
      </c>
      <c r="AM171" s="22">
        <v>6.465250033907E12</v>
      </c>
      <c r="AN171" s="25"/>
      <c r="AO171" s="25"/>
      <c r="AP171" s="22" t="s">
        <v>8133</v>
      </c>
      <c r="AQ171" s="30" t="s">
        <v>95</v>
      </c>
      <c r="AR171" s="30" t="b">
        <v>0</v>
      </c>
      <c r="AS171" s="30" t="b">
        <v>1</v>
      </c>
    </row>
    <row r="172">
      <c r="A172" s="21" t="s">
        <v>8720</v>
      </c>
      <c r="B172" s="24"/>
      <c r="C172" s="24"/>
      <c r="D172" s="22" t="s">
        <v>8721</v>
      </c>
      <c r="E172" s="24"/>
      <c r="F172" s="22" t="s">
        <v>8149</v>
      </c>
      <c r="G172" s="24"/>
      <c r="H172" s="22">
        <v>9.494879404355E12</v>
      </c>
      <c r="I172" s="24"/>
      <c r="J172" s="24"/>
      <c r="K172" s="24"/>
      <c r="L172" s="24"/>
      <c r="M172" s="24"/>
      <c r="N172" s="22" t="s">
        <v>8722</v>
      </c>
      <c r="O172" s="22" t="s">
        <v>8723</v>
      </c>
      <c r="P172" s="22" t="s">
        <v>8722</v>
      </c>
      <c r="Q172" s="22" t="s">
        <v>8723</v>
      </c>
      <c r="R172" s="22" t="s">
        <v>8724</v>
      </c>
      <c r="S172" s="24"/>
      <c r="T172" s="40" t="s">
        <v>8725</v>
      </c>
      <c r="U172" s="22" t="s">
        <v>8726</v>
      </c>
      <c r="V172" s="24"/>
      <c r="W172" s="22" t="s">
        <v>8727</v>
      </c>
      <c r="X172" s="22" t="s">
        <v>8728</v>
      </c>
      <c r="Y172" s="24"/>
      <c r="Z172" s="24"/>
      <c r="AA172" s="22" t="s">
        <v>8129</v>
      </c>
      <c r="AB172" s="22" t="s">
        <v>8130</v>
      </c>
      <c r="AC172" s="25"/>
      <c r="AD172" s="25"/>
      <c r="AE172" s="22" t="s">
        <v>8132</v>
      </c>
      <c r="AF172" s="24"/>
      <c r="AG172" s="22">
        <v>1.0437039948099E13</v>
      </c>
      <c r="AH172" s="22" t="s">
        <v>8137</v>
      </c>
      <c r="AI172" s="22">
        <v>7.486654087491E12</v>
      </c>
      <c r="AJ172" s="25"/>
      <c r="AK172" s="24"/>
      <c r="AL172" s="22" t="s">
        <v>8149</v>
      </c>
      <c r="AM172" s="22">
        <v>2.3393060716867E13</v>
      </c>
      <c r="AN172" s="25"/>
      <c r="AO172" s="25"/>
      <c r="AP172" s="22" t="s">
        <v>8336</v>
      </c>
      <c r="AQ172" s="30"/>
      <c r="AR172" s="30" t="b">
        <v>0</v>
      </c>
      <c r="AS172" s="30" t="b">
        <v>0</v>
      </c>
    </row>
    <row r="173">
      <c r="A173" s="21" t="s">
        <v>8729</v>
      </c>
      <c r="B173" s="22" t="s">
        <v>8370</v>
      </c>
      <c r="C173" s="22">
        <v>1.0</v>
      </c>
      <c r="D173" s="22" t="s">
        <v>8212</v>
      </c>
      <c r="E173" s="22" t="s">
        <v>8370</v>
      </c>
      <c r="F173" s="22" t="s">
        <v>8155</v>
      </c>
      <c r="G173" s="24"/>
      <c r="H173" s="22">
        <v>3.2694658400579E13</v>
      </c>
      <c r="I173" s="24"/>
      <c r="J173" s="24"/>
      <c r="K173" s="22">
        <v>4.9521175494979E13</v>
      </c>
      <c r="L173" s="24"/>
      <c r="M173" s="24"/>
      <c r="N173" s="22" t="s">
        <v>5136</v>
      </c>
      <c r="O173" s="22" t="s">
        <v>8730</v>
      </c>
      <c r="P173" s="22" t="s">
        <v>5136</v>
      </c>
      <c r="Q173" s="22" t="s">
        <v>8730</v>
      </c>
      <c r="R173" s="22" t="s">
        <v>8731</v>
      </c>
      <c r="S173" s="24"/>
      <c r="T173" s="40" t="s">
        <v>8732</v>
      </c>
      <c r="U173" s="22" t="s">
        <v>8733</v>
      </c>
      <c r="V173" s="24"/>
      <c r="W173" s="22" t="s">
        <v>8734</v>
      </c>
      <c r="X173" s="22" t="s">
        <v>8380</v>
      </c>
      <c r="Y173" s="24"/>
      <c r="Z173" s="24"/>
      <c r="AA173" s="22" t="s">
        <v>8129</v>
      </c>
      <c r="AB173" s="22" t="s">
        <v>8130</v>
      </c>
      <c r="AC173" s="25"/>
      <c r="AD173" s="22" t="s">
        <v>8161</v>
      </c>
      <c r="AE173" s="22" t="s">
        <v>8132</v>
      </c>
      <c r="AF173" s="24"/>
      <c r="AG173" s="22">
        <v>1.0436588437827E13</v>
      </c>
      <c r="AH173" s="22" t="s">
        <v>90</v>
      </c>
      <c r="AI173" s="22">
        <v>8.626572263747E12</v>
      </c>
      <c r="AJ173" s="25"/>
      <c r="AK173" s="24"/>
      <c r="AL173" s="22" t="s">
        <v>8138</v>
      </c>
      <c r="AM173" s="22">
        <v>2.3393060716867E13</v>
      </c>
      <c r="AN173" s="25"/>
      <c r="AO173" s="25"/>
      <c r="AP173" s="22" t="s">
        <v>8149</v>
      </c>
      <c r="AQ173" s="30" t="s">
        <v>91</v>
      </c>
      <c r="AR173" s="30" t="b">
        <v>0</v>
      </c>
      <c r="AS173" s="30" t="b">
        <v>1</v>
      </c>
    </row>
    <row r="174">
      <c r="A174" s="21" t="s">
        <v>8729</v>
      </c>
      <c r="B174" s="24"/>
      <c r="C174" s="24"/>
      <c r="D174" s="22" t="s">
        <v>8212</v>
      </c>
      <c r="E174" s="24"/>
      <c r="F174" s="22" t="s">
        <v>8149</v>
      </c>
      <c r="G174" s="24"/>
      <c r="H174" s="22">
        <v>9.494520004931E12</v>
      </c>
      <c r="I174" s="24"/>
      <c r="J174" s="24"/>
      <c r="K174" s="24"/>
      <c r="L174" s="24"/>
      <c r="M174" s="24"/>
      <c r="N174" s="22" t="s">
        <v>5136</v>
      </c>
      <c r="O174" s="22" t="s">
        <v>8730</v>
      </c>
      <c r="P174" s="22" t="s">
        <v>5136</v>
      </c>
      <c r="Q174" s="22" t="s">
        <v>8730</v>
      </c>
      <c r="R174" s="22" t="s">
        <v>8731</v>
      </c>
      <c r="S174" s="24"/>
      <c r="T174" s="40" t="s">
        <v>8732</v>
      </c>
      <c r="U174" s="22" t="s">
        <v>8733</v>
      </c>
      <c r="V174" s="24"/>
      <c r="W174" s="22" t="s">
        <v>8734</v>
      </c>
      <c r="X174" s="22" t="s">
        <v>8380</v>
      </c>
      <c r="Y174" s="24"/>
      <c r="Z174" s="24"/>
      <c r="AA174" s="22" t="s">
        <v>8129</v>
      </c>
      <c r="AB174" s="22" t="s">
        <v>8130</v>
      </c>
      <c r="AC174" s="25"/>
      <c r="AD174" s="25"/>
      <c r="AE174" s="22" t="s">
        <v>8132</v>
      </c>
      <c r="AF174" s="24"/>
      <c r="AG174" s="22">
        <v>1.0436588437827E13</v>
      </c>
      <c r="AH174" s="22" t="s">
        <v>8137</v>
      </c>
      <c r="AI174" s="22">
        <v>8.626572263747E12</v>
      </c>
      <c r="AJ174" s="25"/>
      <c r="AK174" s="24"/>
      <c r="AL174" s="22" t="s">
        <v>8149</v>
      </c>
      <c r="AM174" s="22">
        <v>2.3390359028035E13</v>
      </c>
      <c r="AN174" s="25"/>
      <c r="AO174" s="25"/>
      <c r="AP174" s="22" t="s">
        <v>8133</v>
      </c>
      <c r="AQ174" s="30"/>
      <c r="AR174" s="30" t="b">
        <v>0</v>
      </c>
      <c r="AS174" s="30" t="b">
        <v>0</v>
      </c>
    </row>
    <row r="175">
      <c r="A175" s="21" t="s">
        <v>8735</v>
      </c>
      <c r="B175" s="22" t="s">
        <v>8140</v>
      </c>
      <c r="C175" s="22">
        <v>1.0</v>
      </c>
      <c r="D175" s="22" t="s">
        <v>8141</v>
      </c>
      <c r="E175" s="22" t="s">
        <v>8140</v>
      </c>
      <c r="F175" s="22" t="s">
        <v>8121</v>
      </c>
      <c r="G175" s="24"/>
      <c r="H175" s="22">
        <v>3.2695714971971E13</v>
      </c>
      <c r="I175" s="24"/>
      <c r="J175" s="24"/>
      <c r="K175" s="22">
        <v>4.2085703581939E13</v>
      </c>
      <c r="L175" s="24"/>
      <c r="M175" s="24"/>
      <c r="N175" s="22" t="s">
        <v>4638</v>
      </c>
      <c r="O175" s="22" t="s">
        <v>6598</v>
      </c>
      <c r="P175" s="22" t="s">
        <v>4638</v>
      </c>
      <c r="Q175" s="22" t="s">
        <v>6598</v>
      </c>
      <c r="R175" s="22" t="s">
        <v>8736</v>
      </c>
      <c r="S175" s="24"/>
      <c r="T175" s="40" t="s">
        <v>8737</v>
      </c>
      <c r="U175" s="22" t="s">
        <v>8738</v>
      </c>
      <c r="V175" s="24"/>
      <c r="W175" s="22" t="s">
        <v>8739</v>
      </c>
      <c r="X175" s="22" t="s">
        <v>8251</v>
      </c>
      <c r="Y175" s="24"/>
      <c r="Z175" s="24"/>
      <c r="AA175" s="22" t="s">
        <v>8129</v>
      </c>
      <c r="AB175" s="22" t="s">
        <v>8130</v>
      </c>
      <c r="AC175" s="25"/>
      <c r="AD175" s="22" t="s">
        <v>8131</v>
      </c>
      <c r="AE175" s="22" t="s">
        <v>8132</v>
      </c>
      <c r="AF175" s="24"/>
      <c r="AG175" s="22">
        <v>1.0437073502531E13</v>
      </c>
      <c r="AH175" s="22" t="s">
        <v>90</v>
      </c>
      <c r="AI175" s="22">
        <v>6.445574947059E12</v>
      </c>
      <c r="AJ175" s="25"/>
      <c r="AK175" s="24"/>
      <c r="AL175" s="22" t="s">
        <v>8134</v>
      </c>
      <c r="AM175" s="22">
        <v>2.3390359028035E13</v>
      </c>
      <c r="AN175" s="25"/>
      <c r="AO175" s="25"/>
      <c r="AP175" s="22" t="s">
        <v>8136</v>
      </c>
      <c r="AQ175" s="30" t="s">
        <v>8150</v>
      </c>
      <c r="AR175" s="30" t="b">
        <v>0</v>
      </c>
      <c r="AS175" s="30" t="b">
        <v>0</v>
      </c>
    </row>
    <row r="176">
      <c r="A176" s="21" t="s">
        <v>8735</v>
      </c>
      <c r="B176" s="24"/>
      <c r="C176" s="24"/>
      <c r="D176" s="22" t="s">
        <v>8141</v>
      </c>
      <c r="E176" s="24"/>
      <c r="F176" s="22" t="s">
        <v>8136</v>
      </c>
      <c r="G176" s="24"/>
      <c r="H176" s="22">
        <v>9.494907715907E12</v>
      </c>
      <c r="I176" s="24"/>
      <c r="J176" s="24"/>
      <c r="K176" s="24"/>
      <c r="L176" s="24"/>
      <c r="M176" s="24"/>
      <c r="N176" s="22" t="s">
        <v>4638</v>
      </c>
      <c r="O176" s="22" t="s">
        <v>6598</v>
      </c>
      <c r="P176" s="22" t="s">
        <v>4638</v>
      </c>
      <c r="Q176" s="22" t="s">
        <v>6598</v>
      </c>
      <c r="R176" s="22" t="s">
        <v>8736</v>
      </c>
      <c r="S176" s="24"/>
      <c r="T176" s="40" t="s">
        <v>8737</v>
      </c>
      <c r="U176" s="22" t="s">
        <v>8738</v>
      </c>
      <c r="V176" s="24"/>
      <c r="W176" s="22" t="s">
        <v>8739</v>
      </c>
      <c r="X176" s="22" t="s">
        <v>8251</v>
      </c>
      <c r="Y176" s="24"/>
      <c r="Z176" s="24"/>
      <c r="AA176" s="22" t="s">
        <v>8129</v>
      </c>
      <c r="AB176" s="22" t="s">
        <v>8130</v>
      </c>
      <c r="AC176" s="25"/>
      <c r="AD176" s="24"/>
      <c r="AE176" s="22" t="s">
        <v>8132</v>
      </c>
      <c r="AF176" s="24"/>
      <c r="AG176" s="22">
        <v>1.0437073502531E13</v>
      </c>
      <c r="AH176" s="22" t="s">
        <v>8137</v>
      </c>
      <c r="AI176" s="22">
        <v>6.445574947059E12</v>
      </c>
      <c r="AJ176" s="25"/>
      <c r="AK176" s="24"/>
      <c r="AL176" s="22" t="s">
        <v>8136</v>
      </c>
      <c r="AM176" s="22">
        <v>8.564938965315E12</v>
      </c>
      <c r="AN176" s="25"/>
      <c r="AO176" s="25"/>
      <c r="AP176" s="22" t="s">
        <v>8149</v>
      </c>
      <c r="AQ176" s="30"/>
      <c r="AR176" s="30" t="b">
        <v>0</v>
      </c>
      <c r="AS176" s="30" t="b">
        <v>0</v>
      </c>
    </row>
    <row r="177">
      <c r="A177" s="21" t="s">
        <v>8740</v>
      </c>
      <c r="B177" s="22" t="s">
        <v>8707</v>
      </c>
      <c r="C177" s="22">
        <v>1.0</v>
      </c>
      <c r="D177" s="22" t="s">
        <v>8203</v>
      </c>
      <c r="E177" s="22" t="s">
        <v>8707</v>
      </c>
      <c r="F177" s="22" t="s">
        <v>8155</v>
      </c>
      <c r="G177" s="24"/>
      <c r="H177" s="22">
        <v>3.2695717265731E13</v>
      </c>
      <c r="I177" s="24"/>
      <c r="J177" s="24"/>
      <c r="K177" s="22">
        <v>4.9521175429443E13</v>
      </c>
      <c r="L177" s="24"/>
      <c r="M177" s="24"/>
      <c r="N177" s="22" t="s">
        <v>3889</v>
      </c>
      <c r="O177" s="22" t="s">
        <v>8741</v>
      </c>
      <c r="P177" s="22" t="s">
        <v>3889</v>
      </c>
      <c r="Q177" s="22" t="s">
        <v>8742</v>
      </c>
      <c r="R177" s="22" t="s">
        <v>8743</v>
      </c>
      <c r="S177" s="24"/>
      <c r="T177" s="40" t="s">
        <v>8744</v>
      </c>
      <c r="U177" s="22" t="s">
        <v>8745</v>
      </c>
      <c r="V177" s="24"/>
      <c r="W177" s="22" t="s">
        <v>8746</v>
      </c>
      <c r="X177" s="22" t="s">
        <v>8747</v>
      </c>
      <c r="Y177" s="24"/>
      <c r="Z177" s="24"/>
      <c r="AA177" s="22" t="s">
        <v>8129</v>
      </c>
      <c r="AB177" s="22" t="s">
        <v>8130</v>
      </c>
      <c r="AC177" s="25"/>
      <c r="AD177" s="22" t="s">
        <v>8161</v>
      </c>
      <c r="AE177" s="22" t="s">
        <v>8132</v>
      </c>
      <c r="AF177" s="24"/>
      <c r="AG177" s="22">
        <v>1.0437074616643E13</v>
      </c>
      <c r="AH177" s="22" t="s">
        <v>90</v>
      </c>
      <c r="AI177" s="22">
        <v>8.622693089603E12</v>
      </c>
      <c r="AJ177" s="25"/>
      <c r="AK177" s="24"/>
      <c r="AL177" s="22" t="s">
        <v>8336</v>
      </c>
      <c r="AM177" s="22">
        <v>8.605386604867E12</v>
      </c>
      <c r="AN177" s="25"/>
      <c r="AO177" s="25"/>
      <c r="AP177" s="22" t="s">
        <v>8173</v>
      </c>
      <c r="AQ177" s="30" t="s">
        <v>54</v>
      </c>
      <c r="AR177" s="30" t="b">
        <v>0</v>
      </c>
      <c r="AS177" s="30" t="b">
        <v>1</v>
      </c>
    </row>
    <row r="178">
      <c r="A178" s="21" t="s">
        <v>8740</v>
      </c>
      <c r="B178" s="24"/>
      <c r="C178" s="24"/>
      <c r="D178" s="22" t="s">
        <v>8203</v>
      </c>
      <c r="E178" s="24"/>
      <c r="F178" s="22" t="s">
        <v>8149</v>
      </c>
      <c r="G178" s="24"/>
      <c r="H178" s="22">
        <v>9.494908567875E12</v>
      </c>
      <c r="I178" s="24"/>
      <c r="J178" s="24"/>
      <c r="K178" s="24"/>
      <c r="L178" s="24"/>
      <c r="M178" s="24"/>
      <c r="N178" s="22" t="s">
        <v>3889</v>
      </c>
      <c r="O178" s="22" t="s">
        <v>8741</v>
      </c>
      <c r="P178" s="22" t="s">
        <v>3889</v>
      </c>
      <c r="Q178" s="22" t="s">
        <v>8742</v>
      </c>
      <c r="R178" s="22" t="s">
        <v>8743</v>
      </c>
      <c r="S178" s="24"/>
      <c r="T178" s="40" t="s">
        <v>8744</v>
      </c>
      <c r="U178" s="22" t="s">
        <v>8745</v>
      </c>
      <c r="V178" s="24"/>
      <c r="W178" s="22" t="s">
        <v>8746</v>
      </c>
      <c r="X178" s="22" t="s">
        <v>8747</v>
      </c>
      <c r="Y178" s="24"/>
      <c r="Z178" s="24"/>
      <c r="AA178" s="22" t="s">
        <v>8129</v>
      </c>
      <c r="AB178" s="22" t="s">
        <v>8130</v>
      </c>
      <c r="AC178" s="25"/>
      <c r="AD178" s="24"/>
      <c r="AE178" s="22" t="s">
        <v>8132</v>
      </c>
      <c r="AF178" s="24"/>
      <c r="AG178" s="22">
        <v>1.0437074616643E13</v>
      </c>
      <c r="AH178" s="22" t="s">
        <v>8137</v>
      </c>
      <c r="AI178" s="22">
        <v>8.622693089603E12</v>
      </c>
      <c r="AJ178" s="25"/>
      <c r="AK178" s="24"/>
      <c r="AL178" s="22" t="s">
        <v>8149</v>
      </c>
      <c r="AM178" s="22">
        <v>8.605386604867E12</v>
      </c>
      <c r="AN178" s="25"/>
      <c r="AO178" s="25"/>
      <c r="AP178" s="22" t="s">
        <v>8149</v>
      </c>
      <c r="AQ178" s="30"/>
      <c r="AR178" s="30" t="b">
        <v>0</v>
      </c>
      <c r="AS178" s="30" t="b">
        <v>0</v>
      </c>
    </row>
    <row r="179">
      <c r="A179" s="21" t="s">
        <v>8748</v>
      </c>
      <c r="B179" s="22" t="s">
        <v>8153</v>
      </c>
      <c r="C179" s="22">
        <v>1.0</v>
      </c>
      <c r="D179" s="22" t="s">
        <v>8221</v>
      </c>
      <c r="E179" s="22" t="s">
        <v>8153</v>
      </c>
      <c r="F179" s="22" t="s">
        <v>8155</v>
      </c>
      <c r="G179" s="24"/>
      <c r="H179" s="22">
        <v>3.2695733551427E13</v>
      </c>
      <c r="I179" s="24"/>
      <c r="J179" s="24"/>
      <c r="K179" s="22">
        <v>4.7338059759939E13</v>
      </c>
      <c r="L179" s="24"/>
      <c r="M179" s="24"/>
      <c r="N179" s="22" t="s">
        <v>4318</v>
      </c>
      <c r="O179" s="22" t="s">
        <v>8749</v>
      </c>
      <c r="P179" s="22" t="s">
        <v>4318</v>
      </c>
      <c r="Q179" s="22" t="s">
        <v>8749</v>
      </c>
      <c r="R179" s="22" t="s">
        <v>8750</v>
      </c>
      <c r="S179" s="24"/>
      <c r="T179" s="40" t="s">
        <v>8751</v>
      </c>
      <c r="U179" s="22" t="s">
        <v>8752</v>
      </c>
      <c r="V179" s="24"/>
      <c r="W179" s="22" t="s">
        <v>8753</v>
      </c>
      <c r="X179" s="22" t="s">
        <v>8251</v>
      </c>
      <c r="Y179" s="24"/>
      <c r="Z179" s="24"/>
      <c r="AA179" s="22" t="s">
        <v>8129</v>
      </c>
      <c r="AB179" s="22" t="s">
        <v>8130</v>
      </c>
      <c r="AC179" s="25"/>
      <c r="AD179" s="22" t="s">
        <v>8161</v>
      </c>
      <c r="AE179" s="22" t="s">
        <v>8132</v>
      </c>
      <c r="AF179" s="24"/>
      <c r="AG179" s="22">
        <v>1.0437078974787E13</v>
      </c>
      <c r="AH179" s="22" t="s">
        <v>90</v>
      </c>
      <c r="AI179" s="22">
        <v>8.646186238275E12</v>
      </c>
      <c r="AJ179" s="25"/>
      <c r="AK179" s="24"/>
      <c r="AL179" s="22" t="s">
        <v>8162</v>
      </c>
      <c r="AM179" s="22">
        <v>2.3389228466499E13</v>
      </c>
      <c r="AN179" s="25"/>
      <c r="AO179" s="25"/>
      <c r="AP179" s="22" t="s">
        <v>8134</v>
      </c>
      <c r="AQ179" s="30" t="s">
        <v>55</v>
      </c>
      <c r="AR179" s="30" t="b">
        <v>0</v>
      </c>
      <c r="AS179" s="30" t="b">
        <v>0</v>
      </c>
    </row>
    <row r="180">
      <c r="A180" s="21" t="s">
        <v>8748</v>
      </c>
      <c r="B180" s="24"/>
      <c r="C180" s="24"/>
      <c r="D180" s="22" t="s">
        <v>8221</v>
      </c>
      <c r="E180" s="24"/>
      <c r="F180" s="22" t="s">
        <v>8149</v>
      </c>
      <c r="G180" s="24"/>
      <c r="H180" s="22">
        <v>9.494912598339E12</v>
      </c>
      <c r="I180" s="24"/>
      <c r="J180" s="24"/>
      <c r="K180" s="24"/>
      <c r="L180" s="24"/>
      <c r="M180" s="24"/>
      <c r="N180" s="22" t="s">
        <v>4318</v>
      </c>
      <c r="O180" s="22" t="s">
        <v>8749</v>
      </c>
      <c r="P180" s="22" t="s">
        <v>4318</v>
      </c>
      <c r="Q180" s="22" t="s">
        <v>8749</v>
      </c>
      <c r="R180" s="22" t="s">
        <v>8750</v>
      </c>
      <c r="S180" s="24"/>
      <c r="T180" s="40" t="s">
        <v>8751</v>
      </c>
      <c r="U180" s="22" t="s">
        <v>8752</v>
      </c>
      <c r="V180" s="24"/>
      <c r="W180" s="22" t="s">
        <v>8753</v>
      </c>
      <c r="X180" s="22" t="s">
        <v>8251</v>
      </c>
      <c r="Y180" s="24"/>
      <c r="Z180" s="24"/>
      <c r="AA180" s="22" t="s">
        <v>8129</v>
      </c>
      <c r="AB180" s="22" t="s">
        <v>8130</v>
      </c>
      <c r="AC180" s="25"/>
      <c r="AD180" s="25"/>
      <c r="AE180" s="22" t="s">
        <v>8132</v>
      </c>
      <c r="AF180" s="24"/>
      <c r="AG180" s="22">
        <v>1.0437078974787E13</v>
      </c>
      <c r="AH180" s="22" t="s">
        <v>8137</v>
      </c>
      <c r="AI180" s="22">
        <v>8.646186238275E12</v>
      </c>
      <c r="AJ180" s="25"/>
      <c r="AK180" s="24"/>
      <c r="AL180" s="22" t="s">
        <v>8149</v>
      </c>
      <c r="AM180" s="22">
        <v>2.3386805076291E13</v>
      </c>
      <c r="AN180" s="25"/>
      <c r="AO180" s="25"/>
      <c r="AP180" s="22" t="s">
        <v>8173</v>
      </c>
      <c r="AQ180" s="30"/>
      <c r="AR180" s="30" t="b">
        <v>0</v>
      </c>
      <c r="AS180" s="30" t="b">
        <v>0</v>
      </c>
    </row>
    <row r="181">
      <c r="A181" s="21" t="s">
        <v>8754</v>
      </c>
      <c r="B181" s="22" t="s">
        <v>8140</v>
      </c>
      <c r="C181" s="22">
        <v>1.0</v>
      </c>
      <c r="D181" s="22" t="s">
        <v>8164</v>
      </c>
      <c r="E181" s="22" t="s">
        <v>8140</v>
      </c>
      <c r="F181" s="22" t="s">
        <v>8121</v>
      </c>
      <c r="G181" s="24"/>
      <c r="H181" s="22">
        <v>3.2695833100611E13</v>
      </c>
      <c r="I181" s="24"/>
      <c r="J181" s="22" t="s">
        <v>8165</v>
      </c>
      <c r="K181" s="22">
        <v>4.2085703581939E13</v>
      </c>
      <c r="L181" s="24"/>
      <c r="M181" s="24"/>
      <c r="N181" s="22" t="s">
        <v>4081</v>
      </c>
      <c r="O181" s="22" t="s">
        <v>8755</v>
      </c>
      <c r="P181" s="22" t="s">
        <v>4081</v>
      </c>
      <c r="Q181" s="22" t="s">
        <v>8755</v>
      </c>
      <c r="R181" s="22" t="s">
        <v>8756</v>
      </c>
      <c r="S181" s="24"/>
      <c r="T181" s="40" t="s">
        <v>8757</v>
      </c>
      <c r="U181" s="22" t="s">
        <v>8758</v>
      </c>
      <c r="V181" s="24"/>
      <c r="W181" s="22" t="s">
        <v>8283</v>
      </c>
      <c r="X181" s="22" t="s">
        <v>8128</v>
      </c>
      <c r="Y181" s="24"/>
      <c r="Z181" s="24"/>
      <c r="AA181" s="22" t="s">
        <v>8129</v>
      </c>
      <c r="AB181" s="22" t="s">
        <v>8130</v>
      </c>
      <c r="AC181" s="25"/>
      <c r="AD181" s="22" t="s">
        <v>8131</v>
      </c>
      <c r="AE181" s="22" t="s">
        <v>8132</v>
      </c>
      <c r="AF181" s="24"/>
      <c r="AG181" s="22">
        <v>1.0437125112131E13</v>
      </c>
      <c r="AH181" s="22" t="s">
        <v>90</v>
      </c>
      <c r="AI181" s="22">
        <v>6.482462703859E12</v>
      </c>
      <c r="AJ181" s="25"/>
      <c r="AK181" s="24"/>
      <c r="AL181" s="22" t="s">
        <v>8134</v>
      </c>
      <c r="AM181" s="22">
        <v>2.3386805076291E13</v>
      </c>
      <c r="AN181" s="25"/>
      <c r="AO181" s="25"/>
      <c r="AP181" s="22" t="s">
        <v>8149</v>
      </c>
      <c r="AQ181" s="30" t="s">
        <v>8150</v>
      </c>
      <c r="AR181" s="30" t="b">
        <v>0</v>
      </c>
      <c r="AS181" s="30" t="b">
        <v>0</v>
      </c>
    </row>
    <row r="182">
      <c r="A182" s="21" t="s">
        <v>8754</v>
      </c>
      <c r="B182" s="24"/>
      <c r="C182" s="24"/>
      <c r="D182" s="22" t="s">
        <v>8164</v>
      </c>
      <c r="E182" s="24"/>
      <c r="F182" s="22" t="s">
        <v>8136</v>
      </c>
      <c r="G182" s="24"/>
      <c r="H182" s="22">
        <v>9.494952935747E12</v>
      </c>
      <c r="I182" s="24"/>
      <c r="J182" s="24"/>
      <c r="K182" s="24"/>
      <c r="L182" s="24"/>
      <c r="M182" s="24"/>
      <c r="N182" s="22" t="s">
        <v>4081</v>
      </c>
      <c r="O182" s="22" t="s">
        <v>8755</v>
      </c>
      <c r="P182" s="22" t="s">
        <v>4081</v>
      </c>
      <c r="Q182" s="22" t="s">
        <v>8755</v>
      </c>
      <c r="R182" s="22" t="s">
        <v>8756</v>
      </c>
      <c r="S182" s="24"/>
      <c r="T182" s="40" t="s">
        <v>8757</v>
      </c>
      <c r="U182" s="22" t="s">
        <v>8758</v>
      </c>
      <c r="V182" s="24"/>
      <c r="W182" s="22" t="s">
        <v>8283</v>
      </c>
      <c r="X182" s="22" t="s">
        <v>8128</v>
      </c>
      <c r="Y182" s="24"/>
      <c r="Z182" s="24"/>
      <c r="AA182" s="22" t="s">
        <v>8129</v>
      </c>
      <c r="AB182" s="22" t="s">
        <v>8130</v>
      </c>
      <c r="AC182" s="25"/>
      <c r="AD182" s="24"/>
      <c r="AE182" s="22" t="s">
        <v>8132</v>
      </c>
      <c r="AF182" s="24"/>
      <c r="AG182" s="22">
        <v>1.0437125112131E13</v>
      </c>
      <c r="AH182" s="22" t="s">
        <v>8137</v>
      </c>
      <c r="AI182" s="22">
        <v>6.482462703859E12</v>
      </c>
      <c r="AJ182" s="25"/>
      <c r="AK182" s="24"/>
      <c r="AL182" s="22" t="s">
        <v>8136</v>
      </c>
      <c r="AM182" s="22">
        <v>6.480048554227E12</v>
      </c>
      <c r="AN182" s="25"/>
      <c r="AO182" s="25"/>
      <c r="AP182" s="22" t="s">
        <v>8136</v>
      </c>
      <c r="AQ182" s="30"/>
      <c r="AR182" s="30" t="b">
        <v>0</v>
      </c>
      <c r="AS182" s="30" t="b">
        <v>0</v>
      </c>
    </row>
    <row r="183">
      <c r="A183" s="21" t="s">
        <v>8759</v>
      </c>
      <c r="B183" s="22" t="s">
        <v>8707</v>
      </c>
      <c r="C183" s="22">
        <v>1.0</v>
      </c>
      <c r="D183" s="22" t="s">
        <v>8221</v>
      </c>
      <c r="E183" s="22" t="s">
        <v>8707</v>
      </c>
      <c r="F183" s="22" t="s">
        <v>8155</v>
      </c>
      <c r="G183" s="24"/>
      <c r="H183" s="22">
        <v>3.2691516965187E13</v>
      </c>
      <c r="I183" s="24"/>
      <c r="J183" s="24"/>
      <c r="K183" s="22">
        <v>4.9521175429443E13</v>
      </c>
      <c r="L183" s="24"/>
      <c r="M183" s="24"/>
      <c r="N183" s="22" t="s">
        <v>4467</v>
      </c>
      <c r="O183" s="22" t="s">
        <v>8760</v>
      </c>
      <c r="P183" s="22" t="s">
        <v>4467</v>
      </c>
      <c r="Q183" s="22" t="s">
        <v>8760</v>
      </c>
      <c r="R183" s="22" t="s">
        <v>8761</v>
      </c>
      <c r="S183" s="24"/>
      <c r="T183" s="40" t="s">
        <v>8762</v>
      </c>
      <c r="U183" s="22" t="s">
        <v>8763</v>
      </c>
      <c r="V183" s="24"/>
      <c r="W183" s="22" t="s">
        <v>8764</v>
      </c>
      <c r="X183" s="22" t="s">
        <v>8289</v>
      </c>
      <c r="Y183" s="24"/>
      <c r="Z183" s="24"/>
      <c r="AA183" s="22" t="s">
        <v>8129</v>
      </c>
      <c r="AB183" s="22" t="s">
        <v>8130</v>
      </c>
      <c r="AC183" s="25"/>
      <c r="AD183" s="22" t="s">
        <v>8161</v>
      </c>
      <c r="AE183" s="22" t="s">
        <v>8132</v>
      </c>
      <c r="AF183" s="24"/>
      <c r="AG183" s="22">
        <v>1.0435136422211E13</v>
      </c>
      <c r="AH183" s="22" t="s">
        <v>90</v>
      </c>
      <c r="AI183" s="22">
        <v>2.3393060716867E13</v>
      </c>
      <c r="AJ183" s="25"/>
      <c r="AK183" s="24"/>
      <c r="AL183" s="22" t="s">
        <v>8336</v>
      </c>
      <c r="AM183" s="22">
        <v>2.3390819549507E13</v>
      </c>
      <c r="AN183" s="25"/>
      <c r="AO183" s="25"/>
      <c r="AP183" s="22" t="s">
        <v>8133</v>
      </c>
      <c r="AQ183" s="30" t="s">
        <v>54</v>
      </c>
      <c r="AR183" s="30" t="b">
        <v>0</v>
      </c>
      <c r="AS183" s="30" t="b">
        <v>1</v>
      </c>
    </row>
    <row r="184">
      <c r="A184" s="21" t="s">
        <v>8759</v>
      </c>
      <c r="B184" s="24"/>
      <c r="C184" s="24"/>
      <c r="D184" s="22" t="s">
        <v>8221</v>
      </c>
      <c r="E184" s="24"/>
      <c r="F184" s="22" t="s">
        <v>8149</v>
      </c>
      <c r="G184" s="24"/>
      <c r="H184" s="22">
        <v>9.493342028099E12</v>
      </c>
      <c r="I184" s="24"/>
      <c r="J184" s="24"/>
      <c r="K184" s="24"/>
      <c r="L184" s="24"/>
      <c r="M184" s="24"/>
      <c r="N184" s="22" t="s">
        <v>4467</v>
      </c>
      <c r="O184" s="22" t="s">
        <v>8760</v>
      </c>
      <c r="P184" s="22" t="s">
        <v>4467</v>
      </c>
      <c r="Q184" s="22" t="s">
        <v>8760</v>
      </c>
      <c r="R184" s="22" t="s">
        <v>8761</v>
      </c>
      <c r="S184" s="24"/>
      <c r="T184" s="40" t="s">
        <v>8762</v>
      </c>
      <c r="U184" s="22" t="s">
        <v>8763</v>
      </c>
      <c r="V184" s="24"/>
      <c r="W184" s="22" t="s">
        <v>8764</v>
      </c>
      <c r="X184" s="22" t="s">
        <v>8289</v>
      </c>
      <c r="Y184" s="24"/>
      <c r="Z184" s="24"/>
      <c r="AA184" s="22" t="s">
        <v>8129</v>
      </c>
      <c r="AB184" s="22" t="s">
        <v>8130</v>
      </c>
      <c r="AC184" s="25"/>
      <c r="AD184" s="24"/>
      <c r="AE184" s="22" t="s">
        <v>8132</v>
      </c>
      <c r="AF184" s="24"/>
      <c r="AG184" s="22">
        <v>1.0435136422211E13</v>
      </c>
      <c r="AH184" s="22" t="s">
        <v>8137</v>
      </c>
      <c r="AI184" s="22">
        <v>2.3393060716867E13</v>
      </c>
      <c r="AJ184" s="25"/>
      <c r="AK184" s="24"/>
      <c r="AL184" s="22" t="s">
        <v>8149</v>
      </c>
      <c r="AM184" s="22">
        <v>2.3390819549507E13</v>
      </c>
      <c r="AN184" s="25"/>
      <c r="AO184" s="25"/>
      <c r="AP184" s="22" t="s">
        <v>8136</v>
      </c>
      <c r="AQ184" s="30"/>
      <c r="AR184" s="30" t="b">
        <v>0</v>
      </c>
      <c r="AS184" s="30" t="b">
        <v>0</v>
      </c>
    </row>
    <row r="185">
      <c r="A185" s="21" t="s">
        <v>8765</v>
      </c>
      <c r="B185" s="22" t="s">
        <v>8140</v>
      </c>
      <c r="C185" s="22">
        <v>1.0</v>
      </c>
      <c r="D185" s="22" t="s">
        <v>8766</v>
      </c>
      <c r="E185" s="22" t="s">
        <v>8140</v>
      </c>
      <c r="F185" s="22" t="s">
        <v>8121</v>
      </c>
      <c r="G185" s="24"/>
      <c r="H185" s="22">
        <v>3.2695659200835E13</v>
      </c>
      <c r="I185" s="24"/>
      <c r="J185" s="24"/>
      <c r="K185" s="22">
        <v>4.2085703581939E13</v>
      </c>
      <c r="L185" s="24"/>
      <c r="M185" s="24"/>
      <c r="N185" s="22" t="s">
        <v>5130</v>
      </c>
      <c r="O185" s="22" t="s">
        <v>8767</v>
      </c>
      <c r="P185" s="22" t="s">
        <v>5130</v>
      </c>
      <c r="Q185" s="22" t="s">
        <v>8767</v>
      </c>
      <c r="R185" s="22" t="s">
        <v>8768</v>
      </c>
      <c r="S185" s="24"/>
      <c r="T185" s="40" t="s">
        <v>8769</v>
      </c>
      <c r="U185" s="22" t="s">
        <v>8770</v>
      </c>
      <c r="V185" s="22">
        <v>3.0</v>
      </c>
      <c r="W185" s="22" t="s">
        <v>8771</v>
      </c>
      <c r="X185" s="22" t="s">
        <v>8200</v>
      </c>
      <c r="Y185" s="24"/>
      <c r="Z185" s="24"/>
      <c r="AA185" s="22" t="s">
        <v>8129</v>
      </c>
      <c r="AB185" s="22" t="s">
        <v>8130</v>
      </c>
      <c r="AC185" s="25"/>
      <c r="AD185" s="22" t="s">
        <v>8131</v>
      </c>
      <c r="AE185" s="22" t="s">
        <v>8132</v>
      </c>
      <c r="AF185" s="24"/>
      <c r="AG185" s="22">
        <v>1.0437047451971E13</v>
      </c>
      <c r="AH185" s="22" t="s">
        <v>90</v>
      </c>
      <c r="AI185" s="22">
        <v>2.3395166421315E13</v>
      </c>
      <c r="AJ185" s="25"/>
      <c r="AK185" s="24"/>
      <c r="AL185" s="22" t="s">
        <v>8134</v>
      </c>
      <c r="AM185" s="22">
        <v>2.3381105606979E13</v>
      </c>
      <c r="AN185" s="25"/>
      <c r="AO185" s="25"/>
      <c r="AP185" s="22" t="s">
        <v>8133</v>
      </c>
      <c r="AQ185" s="30" t="s">
        <v>8150</v>
      </c>
      <c r="AR185" s="30" t="b">
        <v>0</v>
      </c>
      <c r="AS185" s="30" t="b">
        <v>0</v>
      </c>
    </row>
    <row r="186">
      <c r="A186" s="21" t="s">
        <v>8765</v>
      </c>
      <c r="B186" s="24"/>
      <c r="C186" s="24"/>
      <c r="D186" s="22" t="s">
        <v>8766</v>
      </c>
      <c r="E186" s="24"/>
      <c r="F186" s="22" t="s">
        <v>8136</v>
      </c>
      <c r="G186" s="24"/>
      <c r="H186" s="22">
        <v>9.494885728579E12</v>
      </c>
      <c r="I186" s="24"/>
      <c r="J186" s="24"/>
      <c r="K186" s="24"/>
      <c r="L186" s="24"/>
      <c r="M186" s="24"/>
      <c r="N186" s="22" t="s">
        <v>5130</v>
      </c>
      <c r="O186" s="22" t="s">
        <v>8767</v>
      </c>
      <c r="P186" s="22" t="s">
        <v>5130</v>
      </c>
      <c r="Q186" s="22" t="s">
        <v>8767</v>
      </c>
      <c r="R186" s="22" t="s">
        <v>8768</v>
      </c>
      <c r="S186" s="24"/>
      <c r="T186" s="40" t="s">
        <v>8769</v>
      </c>
      <c r="U186" s="22" t="s">
        <v>8770</v>
      </c>
      <c r="V186" s="22">
        <v>3.0</v>
      </c>
      <c r="W186" s="22" t="s">
        <v>8771</v>
      </c>
      <c r="X186" s="22" t="s">
        <v>8200</v>
      </c>
      <c r="Y186" s="24"/>
      <c r="Z186" s="24"/>
      <c r="AA186" s="22" t="s">
        <v>8129</v>
      </c>
      <c r="AB186" s="22" t="s">
        <v>8130</v>
      </c>
      <c r="AC186" s="25"/>
      <c r="AD186" s="24"/>
      <c r="AE186" s="22" t="s">
        <v>8132</v>
      </c>
      <c r="AF186" s="24"/>
      <c r="AG186" s="22">
        <v>1.0437047451971E13</v>
      </c>
      <c r="AH186" s="22" t="s">
        <v>8137</v>
      </c>
      <c r="AI186" s="22">
        <v>2.3395166421315E13</v>
      </c>
      <c r="AJ186" s="25"/>
      <c r="AK186" s="24"/>
      <c r="AL186" s="22" t="s">
        <v>8136</v>
      </c>
      <c r="AM186" s="22">
        <v>2.3381105606979E13</v>
      </c>
      <c r="AN186" s="25"/>
      <c r="AO186" s="25"/>
      <c r="AP186" s="22" t="s">
        <v>8491</v>
      </c>
      <c r="AQ186" s="30"/>
      <c r="AR186" s="30" t="b">
        <v>0</v>
      </c>
      <c r="AS186" s="30" t="b">
        <v>0</v>
      </c>
    </row>
    <row r="187">
      <c r="A187" s="21" t="s">
        <v>8772</v>
      </c>
      <c r="B187" s="22" t="s">
        <v>8119</v>
      </c>
      <c r="C187" s="22">
        <v>1.0</v>
      </c>
      <c r="D187" s="22" t="s">
        <v>8221</v>
      </c>
      <c r="E187" s="22" t="s">
        <v>8119</v>
      </c>
      <c r="F187" s="22" t="s">
        <v>8121</v>
      </c>
      <c r="G187" s="24"/>
      <c r="H187" s="22">
        <v>3.2694822371651E13</v>
      </c>
      <c r="I187" s="24"/>
      <c r="J187" s="24"/>
      <c r="K187" s="22">
        <v>4.2085703549171E13</v>
      </c>
      <c r="L187" s="24"/>
      <c r="M187" s="24"/>
      <c r="N187" s="22" t="s">
        <v>8773</v>
      </c>
      <c r="O187" s="22" t="s">
        <v>8774</v>
      </c>
      <c r="P187" s="22" t="s">
        <v>8773</v>
      </c>
      <c r="Q187" s="22" t="s">
        <v>8774</v>
      </c>
      <c r="R187" s="22" t="s">
        <v>8775</v>
      </c>
      <c r="S187" s="24"/>
      <c r="T187" s="40" t="s">
        <v>8776</v>
      </c>
      <c r="U187" s="22" t="s">
        <v>8777</v>
      </c>
      <c r="V187" s="24"/>
      <c r="W187" s="22" t="s">
        <v>8778</v>
      </c>
      <c r="X187" s="22" t="s">
        <v>8779</v>
      </c>
      <c r="Y187" s="24"/>
      <c r="Z187" s="24"/>
      <c r="AA187" s="22" t="s">
        <v>8129</v>
      </c>
      <c r="AB187" s="22" t="s">
        <v>8130</v>
      </c>
      <c r="AC187" s="25"/>
      <c r="AD187" s="22" t="s">
        <v>8131</v>
      </c>
      <c r="AE187" s="22" t="s">
        <v>8132</v>
      </c>
      <c r="AF187" s="24"/>
      <c r="AG187" s="22">
        <v>1.0436662722883E13</v>
      </c>
      <c r="AH187" s="22" t="s">
        <v>90</v>
      </c>
      <c r="AI187" s="22">
        <v>7.471516778819E12</v>
      </c>
      <c r="AJ187" s="25"/>
      <c r="AK187" s="24"/>
      <c r="AL187" s="22" t="s">
        <v>8133</v>
      </c>
      <c r="AM187" s="22">
        <v>2.3381105606979E13</v>
      </c>
      <c r="AN187" s="25"/>
      <c r="AO187" s="25"/>
      <c r="AP187" s="22" t="s">
        <v>8136</v>
      </c>
      <c r="AQ187" s="30" t="s">
        <v>8135</v>
      </c>
      <c r="AR187" s="30" t="b">
        <v>0</v>
      </c>
      <c r="AS187" s="30" t="b">
        <v>0</v>
      </c>
    </row>
    <row r="188">
      <c r="A188" s="21" t="s">
        <v>8772</v>
      </c>
      <c r="B188" s="24"/>
      <c r="C188" s="24"/>
      <c r="D188" s="22" t="s">
        <v>8221</v>
      </c>
      <c r="E188" s="24"/>
      <c r="F188" s="22" t="s">
        <v>8136</v>
      </c>
      <c r="G188" s="24"/>
      <c r="H188" s="22">
        <v>9.494579970371E12</v>
      </c>
      <c r="I188" s="24"/>
      <c r="J188" s="24"/>
      <c r="K188" s="24"/>
      <c r="L188" s="24"/>
      <c r="M188" s="24"/>
      <c r="N188" s="22" t="s">
        <v>8773</v>
      </c>
      <c r="O188" s="22" t="s">
        <v>8774</v>
      </c>
      <c r="P188" s="22" t="s">
        <v>8773</v>
      </c>
      <c r="Q188" s="22" t="s">
        <v>8774</v>
      </c>
      <c r="R188" s="22" t="s">
        <v>8775</v>
      </c>
      <c r="S188" s="24"/>
      <c r="T188" s="40" t="s">
        <v>8776</v>
      </c>
      <c r="U188" s="22" t="s">
        <v>8777</v>
      </c>
      <c r="V188" s="24"/>
      <c r="W188" s="22" t="s">
        <v>8778</v>
      </c>
      <c r="X188" s="22" t="s">
        <v>8779</v>
      </c>
      <c r="Y188" s="24"/>
      <c r="Z188" s="24"/>
      <c r="AA188" s="22" t="s">
        <v>8129</v>
      </c>
      <c r="AB188" s="22" t="s">
        <v>8130</v>
      </c>
      <c r="AC188" s="25"/>
      <c r="AD188" s="25"/>
      <c r="AE188" s="22" t="s">
        <v>8132</v>
      </c>
      <c r="AF188" s="24"/>
      <c r="AG188" s="22">
        <v>1.0436662722883E13</v>
      </c>
      <c r="AH188" s="22" t="s">
        <v>8137</v>
      </c>
      <c r="AI188" s="22">
        <v>7.471516778819E12</v>
      </c>
      <c r="AJ188" s="25"/>
      <c r="AK188" s="24"/>
      <c r="AL188" s="22" t="s">
        <v>8136</v>
      </c>
      <c r="AM188" s="22">
        <v>2.3384829395267E13</v>
      </c>
      <c r="AN188" s="25"/>
      <c r="AO188" s="25"/>
      <c r="AP188" s="22" t="s">
        <v>8201</v>
      </c>
      <c r="AQ188" s="30"/>
      <c r="AR188" s="30" t="b">
        <v>0</v>
      </c>
      <c r="AS188" s="30" t="b">
        <v>0</v>
      </c>
    </row>
    <row r="189">
      <c r="A189" s="21" t="s">
        <v>8780</v>
      </c>
      <c r="B189" s="22" t="s">
        <v>8119</v>
      </c>
      <c r="C189" s="22">
        <v>2.0</v>
      </c>
      <c r="D189" s="22" t="s">
        <v>8175</v>
      </c>
      <c r="E189" s="22" t="s">
        <v>8119</v>
      </c>
      <c r="F189" s="22" t="s">
        <v>8121</v>
      </c>
      <c r="G189" s="22" t="s">
        <v>89</v>
      </c>
      <c r="H189" s="22">
        <v>3.2696923390275E13</v>
      </c>
      <c r="I189" s="22" t="s">
        <v>89</v>
      </c>
      <c r="J189" s="24"/>
      <c r="K189" s="22">
        <v>4.2085703549171E13</v>
      </c>
      <c r="L189" s="24"/>
      <c r="M189" s="24"/>
      <c r="N189" s="22" t="s">
        <v>8781</v>
      </c>
      <c r="O189" s="22" t="s">
        <v>8782</v>
      </c>
      <c r="P189" s="22" t="s">
        <v>8781</v>
      </c>
      <c r="Q189" s="22" t="s">
        <v>8782</v>
      </c>
      <c r="R189" s="22" t="s">
        <v>8783</v>
      </c>
      <c r="S189" s="22" t="s">
        <v>8781</v>
      </c>
      <c r="T189" s="40" t="s">
        <v>8784</v>
      </c>
      <c r="U189" s="22" t="s">
        <v>8785</v>
      </c>
      <c r="V189" s="22" t="s">
        <v>8786</v>
      </c>
      <c r="W189" s="22" t="s">
        <v>8787</v>
      </c>
      <c r="X189" s="22" t="s">
        <v>8289</v>
      </c>
      <c r="Y189" s="24"/>
      <c r="Z189" s="24"/>
      <c r="AA189" s="22" t="s">
        <v>8129</v>
      </c>
      <c r="AB189" s="22" t="s">
        <v>8130</v>
      </c>
      <c r="AC189" s="25"/>
      <c r="AD189" s="22" t="s">
        <v>8131</v>
      </c>
      <c r="AE189" s="22" t="s">
        <v>8132</v>
      </c>
      <c r="AF189" s="24"/>
      <c r="AG189" s="22">
        <v>1.0437595595075E13</v>
      </c>
      <c r="AH189" s="22" t="s">
        <v>90</v>
      </c>
      <c r="AI189" s="22">
        <v>6.474123411699E12</v>
      </c>
      <c r="AJ189" s="25"/>
      <c r="AK189" s="24"/>
      <c r="AL189" s="22" t="s">
        <v>8133</v>
      </c>
      <c r="AM189" s="22">
        <v>2.3384829395267E13</v>
      </c>
      <c r="AN189" s="25"/>
      <c r="AO189" s="25"/>
      <c r="AP189" s="22" t="s">
        <v>8149</v>
      </c>
      <c r="AQ189" s="30" t="s">
        <v>8135</v>
      </c>
      <c r="AR189" s="30" t="b">
        <v>0</v>
      </c>
      <c r="AS189" s="30" t="b">
        <v>0</v>
      </c>
    </row>
    <row r="190">
      <c r="A190" s="21" t="s">
        <v>8780</v>
      </c>
      <c r="B190" s="24"/>
      <c r="C190" s="24"/>
      <c r="D190" s="22" t="s">
        <v>8175</v>
      </c>
      <c r="E190" s="24"/>
      <c r="F190" s="22" t="s">
        <v>8457</v>
      </c>
      <c r="G190" s="24"/>
      <c r="H190" s="22">
        <v>9.495389339971E12</v>
      </c>
      <c r="I190" s="22" t="s">
        <v>89</v>
      </c>
      <c r="J190" s="24"/>
      <c r="K190" s="24"/>
      <c r="L190" s="24"/>
      <c r="M190" s="24"/>
      <c r="N190" s="22" t="s">
        <v>8781</v>
      </c>
      <c r="O190" s="22" t="s">
        <v>8782</v>
      </c>
      <c r="P190" s="22" t="s">
        <v>8781</v>
      </c>
      <c r="Q190" s="22" t="s">
        <v>8782</v>
      </c>
      <c r="R190" s="22" t="s">
        <v>8783</v>
      </c>
      <c r="S190" s="22" t="s">
        <v>8781</v>
      </c>
      <c r="T190" s="40" t="s">
        <v>8784</v>
      </c>
      <c r="U190" s="22" t="s">
        <v>8785</v>
      </c>
      <c r="V190" s="22" t="s">
        <v>8786</v>
      </c>
      <c r="W190" s="22" t="s">
        <v>8787</v>
      </c>
      <c r="X190" s="22" t="s">
        <v>8289</v>
      </c>
      <c r="Y190" s="24"/>
      <c r="Z190" s="24"/>
      <c r="AA190" s="22" t="s">
        <v>8129</v>
      </c>
      <c r="AB190" s="22" t="s">
        <v>8130</v>
      </c>
      <c r="AC190" s="25"/>
      <c r="AD190" s="25"/>
      <c r="AE190" s="22" t="s">
        <v>8132</v>
      </c>
      <c r="AF190" s="24"/>
      <c r="AG190" s="22">
        <v>1.0437595595075E13</v>
      </c>
      <c r="AH190" s="22" t="s">
        <v>8137</v>
      </c>
      <c r="AI190" s="22">
        <v>6.474123411699E12</v>
      </c>
      <c r="AJ190" s="25"/>
      <c r="AK190" s="24"/>
      <c r="AL190" s="22" t="s">
        <v>8457</v>
      </c>
      <c r="AM190" s="22">
        <v>8.500233109827E12</v>
      </c>
      <c r="AN190" s="25"/>
      <c r="AO190" s="25"/>
      <c r="AP190" s="22" t="s">
        <v>8252</v>
      </c>
      <c r="AQ190" s="30"/>
      <c r="AR190" s="30" t="b">
        <v>0</v>
      </c>
      <c r="AS190" s="30" t="b">
        <v>0</v>
      </c>
    </row>
    <row r="191">
      <c r="A191" s="21" t="s">
        <v>8780</v>
      </c>
      <c r="B191" s="22" t="s">
        <v>8119</v>
      </c>
      <c r="C191" s="22">
        <v>-2.0</v>
      </c>
      <c r="D191" s="22" t="s">
        <v>8175</v>
      </c>
      <c r="E191" s="22" t="s">
        <v>8119</v>
      </c>
      <c r="F191" s="22" t="s">
        <v>8121</v>
      </c>
      <c r="G191" s="22" t="s">
        <v>89</v>
      </c>
      <c r="H191" s="22">
        <v>3.2696923390275E13</v>
      </c>
      <c r="I191" s="22" t="s">
        <v>89</v>
      </c>
      <c r="J191" s="24"/>
      <c r="K191" s="22">
        <v>4.2085703549171E13</v>
      </c>
      <c r="L191" s="22" t="s">
        <v>8182</v>
      </c>
      <c r="M191" s="35" t="s">
        <v>8788</v>
      </c>
      <c r="N191" s="22" t="s">
        <v>8781</v>
      </c>
      <c r="O191" s="22" t="s">
        <v>8782</v>
      </c>
      <c r="P191" s="22" t="s">
        <v>8781</v>
      </c>
      <c r="Q191" s="22" t="s">
        <v>8782</v>
      </c>
      <c r="R191" s="22" t="s">
        <v>8783</v>
      </c>
      <c r="S191" s="22" t="s">
        <v>8781</v>
      </c>
      <c r="T191" s="40" t="s">
        <v>8784</v>
      </c>
      <c r="U191" s="22" t="s">
        <v>8785</v>
      </c>
      <c r="V191" s="22" t="s">
        <v>8786</v>
      </c>
      <c r="W191" s="22" t="s">
        <v>8787</v>
      </c>
      <c r="X191" s="22" t="s">
        <v>8289</v>
      </c>
      <c r="Y191" s="24"/>
      <c r="Z191" s="24"/>
      <c r="AA191" s="22" t="s">
        <v>8129</v>
      </c>
      <c r="AB191" s="22" t="s">
        <v>8130</v>
      </c>
      <c r="AC191" s="25"/>
      <c r="AD191" s="22" t="s">
        <v>8131</v>
      </c>
      <c r="AE191" s="22" t="s">
        <v>8132</v>
      </c>
      <c r="AF191" s="24"/>
      <c r="AG191" s="22">
        <v>1.0437595595075E13</v>
      </c>
      <c r="AH191" s="22" t="s">
        <v>8184</v>
      </c>
      <c r="AI191" s="22">
        <v>6.474123411699E12</v>
      </c>
      <c r="AJ191" s="25"/>
      <c r="AK191" s="22">
        <v>6.714600751427E12</v>
      </c>
      <c r="AL191" s="22" t="s">
        <v>8133</v>
      </c>
      <c r="AM191" s="22">
        <v>6.445327286515E12</v>
      </c>
      <c r="AN191" s="25"/>
      <c r="AO191" s="25"/>
      <c r="AP191" s="22" t="s">
        <v>8134</v>
      </c>
      <c r="AQ191" s="30" t="s">
        <v>8135</v>
      </c>
      <c r="AR191" s="30" t="b">
        <v>0</v>
      </c>
      <c r="AS191" s="30" t="b">
        <v>0</v>
      </c>
    </row>
    <row r="192">
      <c r="A192" s="21" t="s">
        <v>8789</v>
      </c>
      <c r="B192" s="22" t="s">
        <v>8370</v>
      </c>
      <c r="C192" s="22">
        <v>1.0</v>
      </c>
      <c r="D192" s="22" t="s">
        <v>8278</v>
      </c>
      <c r="E192" s="22" t="s">
        <v>8370</v>
      </c>
      <c r="F192" s="22" t="s">
        <v>8155</v>
      </c>
      <c r="G192" s="24"/>
      <c r="H192" s="22">
        <v>3.2696942362947E13</v>
      </c>
      <c r="I192" s="24"/>
      <c r="J192" s="24"/>
      <c r="K192" s="22">
        <v>4.9521175494979E13</v>
      </c>
      <c r="L192" s="24"/>
      <c r="M192" s="24"/>
      <c r="N192" s="22" t="s">
        <v>3906</v>
      </c>
      <c r="O192" s="22" t="s">
        <v>8790</v>
      </c>
      <c r="P192" s="22" t="s">
        <v>3906</v>
      </c>
      <c r="Q192" s="22" t="s">
        <v>8791</v>
      </c>
      <c r="R192" s="22" t="s">
        <v>8792</v>
      </c>
      <c r="S192" s="24"/>
      <c r="T192" s="40" t="s">
        <v>8793</v>
      </c>
      <c r="U192" s="22" t="s">
        <v>8794</v>
      </c>
      <c r="V192" s="24"/>
      <c r="W192" s="22" t="s">
        <v>8795</v>
      </c>
      <c r="X192" s="22" t="s">
        <v>8128</v>
      </c>
      <c r="Y192" s="24"/>
      <c r="Z192" s="24"/>
      <c r="AA192" s="22" t="s">
        <v>8129</v>
      </c>
      <c r="AB192" s="22" t="s">
        <v>8130</v>
      </c>
      <c r="AC192" s="25"/>
      <c r="AD192" s="22" t="s">
        <v>8161</v>
      </c>
      <c r="AE192" s="22" t="s">
        <v>8132</v>
      </c>
      <c r="AF192" s="24"/>
      <c r="AG192" s="22">
        <v>1.0437604180291E13</v>
      </c>
      <c r="AH192" s="22" t="s">
        <v>90</v>
      </c>
      <c r="AI192" s="22">
        <v>7.400331510083E12</v>
      </c>
      <c r="AJ192" s="25"/>
      <c r="AK192" s="24"/>
      <c r="AL192" s="22" t="s">
        <v>8138</v>
      </c>
      <c r="AM192" s="22">
        <v>2.3384145133891E13</v>
      </c>
      <c r="AN192" s="25"/>
      <c r="AO192" s="25"/>
      <c r="AP192" s="22" t="s">
        <v>8243</v>
      </c>
      <c r="AQ192" s="30" t="s">
        <v>91</v>
      </c>
      <c r="AR192" s="30" t="b">
        <v>0</v>
      </c>
      <c r="AS192" s="30" t="b">
        <v>1</v>
      </c>
    </row>
    <row r="193">
      <c r="A193" s="21" t="s">
        <v>8789</v>
      </c>
      <c r="B193" s="24"/>
      <c r="C193" s="24"/>
      <c r="D193" s="22" t="s">
        <v>8278</v>
      </c>
      <c r="E193" s="24"/>
      <c r="F193" s="22" t="s">
        <v>8149</v>
      </c>
      <c r="G193" s="24"/>
      <c r="H193" s="22">
        <v>9.495397564739E12</v>
      </c>
      <c r="I193" s="24"/>
      <c r="J193" s="24"/>
      <c r="K193" s="24"/>
      <c r="L193" s="24"/>
      <c r="M193" s="24"/>
      <c r="N193" s="22" t="s">
        <v>3906</v>
      </c>
      <c r="O193" s="22" t="s">
        <v>8790</v>
      </c>
      <c r="P193" s="22" t="s">
        <v>3906</v>
      </c>
      <c r="Q193" s="22" t="s">
        <v>8791</v>
      </c>
      <c r="R193" s="22" t="s">
        <v>8792</v>
      </c>
      <c r="S193" s="24"/>
      <c r="T193" s="40" t="s">
        <v>8793</v>
      </c>
      <c r="U193" s="22" t="s">
        <v>8794</v>
      </c>
      <c r="V193" s="24"/>
      <c r="W193" s="22" t="s">
        <v>8795</v>
      </c>
      <c r="X193" s="22" t="s">
        <v>8128</v>
      </c>
      <c r="Y193" s="24"/>
      <c r="Z193" s="24"/>
      <c r="AA193" s="22" t="s">
        <v>8129</v>
      </c>
      <c r="AB193" s="22" t="s">
        <v>8130</v>
      </c>
      <c r="AC193" s="25"/>
      <c r="AD193" s="24"/>
      <c r="AE193" s="22" t="s">
        <v>8132</v>
      </c>
      <c r="AF193" s="24"/>
      <c r="AG193" s="22">
        <v>1.0437604180291E13</v>
      </c>
      <c r="AH193" s="22" t="s">
        <v>8137</v>
      </c>
      <c r="AI193" s="22">
        <v>7.400331510083E12</v>
      </c>
      <c r="AJ193" s="25"/>
      <c r="AK193" s="24"/>
      <c r="AL193" s="22" t="s">
        <v>8149</v>
      </c>
      <c r="AM193" s="22">
        <v>2.3384145133891E13</v>
      </c>
      <c r="AN193" s="25"/>
      <c r="AO193" s="25"/>
      <c r="AP193" s="22" t="s">
        <v>8149</v>
      </c>
      <c r="AQ193" s="30"/>
      <c r="AR193" s="30" t="b">
        <v>0</v>
      </c>
      <c r="AS193" s="30" t="b">
        <v>0</v>
      </c>
    </row>
    <row r="194">
      <c r="A194" s="21" t="s">
        <v>8796</v>
      </c>
      <c r="B194" s="22" t="s">
        <v>8119</v>
      </c>
      <c r="C194" s="22">
        <v>1.0</v>
      </c>
      <c r="D194" s="22" t="s">
        <v>8186</v>
      </c>
      <c r="E194" s="22" t="s">
        <v>8119</v>
      </c>
      <c r="F194" s="22" t="s">
        <v>8121</v>
      </c>
      <c r="G194" s="24"/>
      <c r="H194" s="22">
        <v>3.2697655034179E13</v>
      </c>
      <c r="I194" s="24"/>
      <c r="J194" s="24"/>
      <c r="K194" s="22">
        <v>4.2085703549171E13</v>
      </c>
      <c r="L194" s="24"/>
      <c r="M194" s="24"/>
      <c r="N194" s="22" t="s">
        <v>8797</v>
      </c>
      <c r="O194" s="22" t="s">
        <v>4658</v>
      </c>
      <c r="P194" s="22" t="s">
        <v>8798</v>
      </c>
      <c r="Q194" s="22" t="s">
        <v>8799</v>
      </c>
      <c r="R194" s="22" t="s">
        <v>8800</v>
      </c>
      <c r="S194" s="24"/>
      <c r="T194" s="40" t="s">
        <v>8801</v>
      </c>
      <c r="U194" s="22" t="s">
        <v>8802</v>
      </c>
      <c r="V194" s="24"/>
      <c r="W194" s="22" t="s">
        <v>8803</v>
      </c>
      <c r="X194" s="22" t="s">
        <v>8289</v>
      </c>
      <c r="Y194" s="24"/>
      <c r="Z194" s="24"/>
      <c r="AA194" s="22" t="s">
        <v>8129</v>
      </c>
      <c r="AB194" s="22" t="s">
        <v>8130</v>
      </c>
      <c r="AC194" s="25"/>
      <c r="AD194" s="22" t="s">
        <v>8131</v>
      </c>
      <c r="AE194" s="22" t="s">
        <v>8132</v>
      </c>
      <c r="AF194" s="24"/>
      <c r="AG194" s="22">
        <v>1.0437944672579E13</v>
      </c>
      <c r="AH194" s="22" t="s">
        <v>90</v>
      </c>
      <c r="AI194" s="22">
        <v>8.552114192707E12</v>
      </c>
      <c r="AJ194" s="25"/>
      <c r="AK194" s="24"/>
      <c r="AL194" s="22" t="s">
        <v>8133</v>
      </c>
      <c r="AM194" s="22">
        <v>2.3390863065411E13</v>
      </c>
      <c r="AN194" s="25"/>
      <c r="AO194" s="25"/>
      <c r="AP194" s="22" t="s">
        <v>8243</v>
      </c>
      <c r="AQ194" s="30" t="s">
        <v>8135</v>
      </c>
      <c r="AR194" s="30" t="b">
        <v>0</v>
      </c>
      <c r="AS194" s="30" t="b">
        <v>0</v>
      </c>
    </row>
    <row r="195">
      <c r="A195" s="21" t="s">
        <v>8796</v>
      </c>
      <c r="B195" s="24"/>
      <c r="C195" s="24"/>
      <c r="D195" s="22" t="s">
        <v>8186</v>
      </c>
      <c r="E195" s="24"/>
      <c r="F195" s="22" t="s">
        <v>8136</v>
      </c>
      <c r="G195" s="24"/>
      <c r="H195" s="22">
        <v>9.495691690307E12</v>
      </c>
      <c r="I195" s="24"/>
      <c r="J195" s="24"/>
      <c r="K195" s="24"/>
      <c r="L195" s="24"/>
      <c r="M195" s="24"/>
      <c r="N195" s="22" t="s">
        <v>8797</v>
      </c>
      <c r="O195" s="22" t="s">
        <v>4658</v>
      </c>
      <c r="P195" s="22" t="s">
        <v>8798</v>
      </c>
      <c r="Q195" s="22" t="s">
        <v>8799</v>
      </c>
      <c r="R195" s="22" t="s">
        <v>8800</v>
      </c>
      <c r="S195" s="24"/>
      <c r="T195" s="40" t="s">
        <v>8801</v>
      </c>
      <c r="U195" s="22" t="s">
        <v>8802</v>
      </c>
      <c r="V195" s="24"/>
      <c r="W195" s="22" t="s">
        <v>8803</v>
      </c>
      <c r="X195" s="22" t="s">
        <v>8289</v>
      </c>
      <c r="Y195" s="24"/>
      <c r="Z195" s="24"/>
      <c r="AA195" s="22" t="s">
        <v>8129</v>
      </c>
      <c r="AB195" s="22" t="s">
        <v>8130</v>
      </c>
      <c r="AC195" s="25"/>
      <c r="AD195" s="24"/>
      <c r="AE195" s="22" t="s">
        <v>8132</v>
      </c>
      <c r="AF195" s="24"/>
      <c r="AG195" s="22">
        <v>1.0437944672579E13</v>
      </c>
      <c r="AH195" s="22" t="s">
        <v>8137</v>
      </c>
      <c r="AI195" s="22">
        <v>8.552114192707E12</v>
      </c>
      <c r="AJ195" s="25"/>
      <c r="AK195" s="24"/>
      <c r="AL195" s="22" t="s">
        <v>8136</v>
      </c>
      <c r="AM195" s="22">
        <v>2.3390863065411E13</v>
      </c>
      <c r="AN195" s="25"/>
      <c r="AO195" s="25"/>
      <c r="AP195" s="22" t="s">
        <v>8149</v>
      </c>
      <c r="AQ195" s="30"/>
      <c r="AR195" s="30" t="b">
        <v>0</v>
      </c>
      <c r="AS195" s="30" t="b">
        <v>0</v>
      </c>
    </row>
    <row r="196">
      <c r="A196" s="21" t="s">
        <v>8804</v>
      </c>
      <c r="B196" s="22" t="s">
        <v>8119</v>
      </c>
      <c r="C196" s="22">
        <v>1.0</v>
      </c>
      <c r="D196" s="22" t="s">
        <v>8501</v>
      </c>
      <c r="E196" s="22" t="s">
        <v>8119</v>
      </c>
      <c r="F196" s="22" t="s">
        <v>8121</v>
      </c>
      <c r="G196" s="24"/>
      <c r="H196" s="22">
        <v>3.2697781027139E13</v>
      </c>
      <c r="I196" s="24"/>
      <c r="J196" s="24"/>
      <c r="K196" s="22">
        <v>4.2085703549171E13</v>
      </c>
      <c r="L196" s="24"/>
      <c r="M196" s="24"/>
      <c r="N196" s="22" t="s">
        <v>5574</v>
      </c>
      <c r="O196" s="22" t="s">
        <v>8805</v>
      </c>
      <c r="P196" s="22" t="s">
        <v>5574</v>
      </c>
      <c r="Q196" s="22" t="s">
        <v>8805</v>
      </c>
      <c r="R196" s="22" t="s">
        <v>8806</v>
      </c>
      <c r="S196" s="22" t="s">
        <v>8806</v>
      </c>
      <c r="T196" s="40" t="s">
        <v>8807</v>
      </c>
      <c r="U196" s="22" t="s">
        <v>8808</v>
      </c>
      <c r="V196" s="24"/>
      <c r="W196" s="22" t="s">
        <v>8809</v>
      </c>
      <c r="X196" s="22" t="s">
        <v>8227</v>
      </c>
      <c r="Y196" s="24"/>
      <c r="Z196" s="24"/>
      <c r="AA196" s="22" t="s">
        <v>8129</v>
      </c>
      <c r="AB196" s="22" t="s">
        <v>8130</v>
      </c>
      <c r="AC196" s="25"/>
      <c r="AD196" s="22" t="s">
        <v>8131</v>
      </c>
      <c r="AE196" s="22" t="s">
        <v>8132</v>
      </c>
      <c r="AF196" s="24"/>
      <c r="AG196" s="22">
        <v>1.0438007062851E13</v>
      </c>
      <c r="AH196" s="22" t="s">
        <v>90</v>
      </c>
      <c r="AI196" s="22">
        <v>2.3396347314499E13</v>
      </c>
      <c r="AJ196" s="25"/>
      <c r="AK196" s="24"/>
      <c r="AL196" s="22" t="s">
        <v>8133</v>
      </c>
      <c r="AM196" s="22">
        <v>2.3377705926979E13</v>
      </c>
      <c r="AN196" s="25"/>
      <c r="AO196" s="25"/>
      <c r="AP196" s="22" t="s">
        <v>8134</v>
      </c>
      <c r="AQ196" s="30" t="s">
        <v>8135</v>
      </c>
      <c r="AR196" s="30" t="b">
        <v>0</v>
      </c>
      <c r="AS196" s="30" t="b">
        <v>0</v>
      </c>
    </row>
    <row r="197">
      <c r="A197" s="21" t="s">
        <v>8804</v>
      </c>
      <c r="B197" s="24"/>
      <c r="C197" s="24"/>
      <c r="D197" s="22" t="s">
        <v>8501</v>
      </c>
      <c r="E197" s="24"/>
      <c r="F197" s="22" t="s">
        <v>8136</v>
      </c>
      <c r="G197" s="24"/>
      <c r="H197" s="22">
        <v>9.495750410563E12</v>
      </c>
      <c r="I197" s="24"/>
      <c r="J197" s="24"/>
      <c r="K197" s="24"/>
      <c r="L197" s="24"/>
      <c r="M197" s="24"/>
      <c r="N197" s="22" t="s">
        <v>5574</v>
      </c>
      <c r="O197" s="22" t="s">
        <v>8805</v>
      </c>
      <c r="P197" s="22" t="s">
        <v>5574</v>
      </c>
      <c r="Q197" s="22" t="s">
        <v>8805</v>
      </c>
      <c r="R197" s="22" t="s">
        <v>8806</v>
      </c>
      <c r="S197" s="22" t="s">
        <v>8806</v>
      </c>
      <c r="T197" s="40" t="s">
        <v>8807</v>
      </c>
      <c r="U197" s="22" t="s">
        <v>8808</v>
      </c>
      <c r="V197" s="24"/>
      <c r="W197" s="22" t="s">
        <v>8809</v>
      </c>
      <c r="X197" s="22" t="s">
        <v>8227</v>
      </c>
      <c r="Y197" s="24"/>
      <c r="Z197" s="24"/>
      <c r="AA197" s="22" t="s">
        <v>8129</v>
      </c>
      <c r="AB197" s="22" t="s">
        <v>8130</v>
      </c>
      <c r="AC197" s="25"/>
      <c r="AD197" s="24"/>
      <c r="AE197" s="22" t="s">
        <v>8132</v>
      </c>
      <c r="AF197" s="24"/>
      <c r="AG197" s="22">
        <v>1.0438007062851E13</v>
      </c>
      <c r="AH197" s="22" t="s">
        <v>8137</v>
      </c>
      <c r="AI197" s="22">
        <v>2.3396347314499E13</v>
      </c>
      <c r="AJ197" s="25"/>
      <c r="AK197" s="24"/>
      <c r="AL197" s="22" t="s">
        <v>8136</v>
      </c>
      <c r="AM197" s="22">
        <v>2.3377705926979E13</v>
      </c>
      <c r="AN197" s="25"/>
      <c r="AO197" s="25"/>
      <c r="AP197" s="22" t="s">
        <v>8136</v>
      </c>
      <c r="AQ197" s="30"/>
      <c r="AR197" s="30" t="b">
        <v>0</v>
      </c>
      <c r="AS197" s="30" t="b">
        <v>0</v>
      </c>
    </row>
    <row r="198">
      <c r="A198" s="21" t="s">
        <v>8810</v>
      </c>
      <c r="B198" s="22" t="s">
        <v>8119</v>
      </c>
      <c r="C198" s="22">
        <v>1.0</v>
      </c>
      <c r="D198" s="22" t="s">
        <v>8494</v>
      </c>
      <c r="E198" s="22" t="s">
        <v>8119</v>
      </c>
      <c r="F198" s="22" t="s">
        <v>8121</v>
      </c>
      <c r="G198" s="24"/>
      <c r="H198" s="22">
        <v>3.2697878380867E13</v>
      </c>
      <c r="I198" s="24"/>
      <c r="J198" s="24"/>
      <c r="K198" s="22">
        <v>4.2085703549171E13</v>
      </c>
      <c r="L198" s="24"/>
      <c r="M198" s="24"/>
      <c r="N198" s="22" t="s">
        <v>6112</v>
      </c>
      <c r="O198" s="22" t="s">
        <v>7806</v>
      </c>
      <c r="P198" s="22" t="s">
        <v>6112</v>
      </c>
      <c r="Q198" s="22" t="s">
        <v>7806</v>
      </c>
      <c r="R198" s="22" t="s">
        <v>8811</v>
      </c>
      <c r="S198" s="24"/>
      <c r="T198" s="40" t="s">
        <v>8812</v>
      </c>
      <c r="U198" s="22" t="s">
        <v>8813</v>
      </c>
      <c r="V198" s="24"/>
      <c r="W198" s="22" t="s">
        <v>8814</v>
      </c>
      <c r="X198" s="22" t="s">
        <v>8200</v>
      </c>
      <c r="Y198" s="24"/>
      <c r="Z198" s="24"/>
      <c r="AA198" s="22" t="s">
        <v>8129</v>
      </c>
      <c r="AB198" s="22" t="s">
        <v>8130</v>
      </c>
      <c r="AC198" s="25"/>
      <c r="AD198" s="22" t="s">
        <v>8131</v>
      </c>
      <c r="AE198" s="22" t="s">
        <v>8132</v>
      </c>
      <c r="AF198" s="24"/>
      <c r="AG198" s="22">
        <v>1.0438053888323E13</v>
      </c>
      <c r="AH198" s="22" t="s">
        <v>90</v>
      </c>
      <c r="AI198" s="22">
        <v>8.606436852035E12</v>
      </c>
      <c r="AJ198" s="25"/>
      <c r="AK198" s="24"/>
      <c r="AL198" s="22" t="s">
        <v>8133</v>
      </c>
      <c r="AM198" s="22">
        <v>6.469772607731E12</v>
      </c>
      <c r="AN198" s="25"/>
      <c r="AO198" s="25"/>
      <c r="AP198" s="22" t="s">
        <v>8133</v>
      </c>
      <c r="AQ198" s="30" t="s">
        <v>8135</v>
      </c>
      <c r="AR198" s="30" t="b">
        <v>0</v>
      </c>
      <c r="AS198" s="30" t="b">
        <v>0</v>
      </c>
    </row>
    <row r="199">
      <c r="A199" s="21" t="s">
        <v>8810</v>
      </c>
      <c r="B199" s="24"/>
      <c r="C199" s="24"/>
      <c r="D199" s="22" t="s">
        <v>8494</v>
      </c>
      <c r="E199" s="24"/>
      <c r="F199" s="22" t="s">
        <v>8136</v>
      </c>
      <c r="G199" s="24"/>
      <c r="H199" s="22">
        <v>9.495794385219E12</v>
      </c>
      <c r="I199" s="24"/>
      <c r="J199" s="24"/>
      <c r="K199" s="24"/>
      <c r="L199" s="24"/>
      <c r="M199" s="24"/>
      <c r="N199" s="22" t="s">
        <v>6112</v>
      </c>
      <c r="O199" s="22" t="s">
        <v>7806</v>
      </c>
      <c r="P199" s="22" t="s">
        <v>6112</v>
      </c>
      <c r="Q199" s="22" t="s">
        <v>7806</v>
      </c>
      <c r="R199" s="22" t="s">
        <v>8811</v>
      </c>
      <c r="S199" s="24"/>
      <c r="T199" s="40" t="s">
        <v>8812</v>
      </c>
      <c r="U199" s="22" t="s">
        <v>8813</v>
      </c>
      <c r="V199" s="24"/>
      <c r="W199" s="22" t="s">
        <v>8814</v>
      </c>
      <c r="X199" s="22" t="s">
        <v>8200</v>
      </c>
      <c r="Y199" s="24"/>
      <c r="Z199" s="24"/>
      <c r="AA199" s="22" t="s">
        <v>8129</v>
      </c>
      <c r="AB199" s="22" t="s">
        <v>8130</v>
      </c>
      <c r="AC199" s="25"/>
      <c r="AD199" s="25"/>
      <c r="AE199" s="22" t="s">
        <v>8132</v>
      </c>
      <c r="AF199" s="24"/>
      <c r="AG199" s="22">
        <v>1.0438053888323E13</v>
      </c>
      <c r="AH199" s="22" t="s">
        <v>8137</v>
      </c>
      <c r="AI199" s="22">
        <v>8.606436852035E12</v>
      </c>
      <c r="AJ199" s="25"/>
      <c r="AK199" s="24"/>
      <c r="AL199" s="22" t="s">
        <v>8136</v>
      </c>
      <c r="AM199" s="22">
        <v>7.467654545731E12</v>
      </c>
      <c r="AN199" s="25"/>
      <c r="AO199" s="25"/>
      <c r="AP199" s="22" t="s">
        <v>8149</v>
      </c>
      <c r="AQ199" s="30"/>
      <c r="AR199" s="30" t="b">
        <v>0</v>
      </c>
      <c r="AS199" s="30" t="b">
        <v>0</v>
      </c>
    </row>
    <row r="200">
      <c r="A200" s="21" t="s">
        <v>8815</v>
      </c>
      <c r="B200" s="22" t="s">
        <v>8467</v>
      </c>
      <c r="C200" s="22">
        <v>1.0</v>
      </c>
      <c r="D200" s="22" t="s">
        <v>8221</v>
      </c>
      <c r="E200" s="22" t="s">
        <v>8467</v>
      </c>
      <c r="F200" s="22" t="s">
        <v>8155</v>
      </c>
      <c r="G200" s="24"/>
      <c r="H200" s="22">
        <v>3.2697980879171E13</v>
      </c>
      <c r="I200" s="24"/>
      <c r="J200" s="24"/>
      <c r="K200" s="22">
        <v>4.9521175462211E13</v>
      </c>
      <c r="L200" s="24"/>
      <c r="M200" s="24"/>
      <c r="N200" s="22" t="s">
        <v>6682</v>
      </c>
      <c r="O200" s="22" t="s">
        <v>4408</v>
      </c>
      <c r="P200" s="22" t="s">
        <v>6682</v>
      </c>
      <c r="Q200" s="22" t="s">
        <v>4408</v>
      </c>
      <c r="R200" s="22" t="s">
        <v>8816</v>
      </c>
      <c r="S200" s="22" t="s">
        <v>8817</v>
      </c>
      <c r="T200" s="40" t="s">
        <v>8818</v>
      </c>
      <c r="U200" s="22" t="s">
        <v>8819</v>
      </c>
      <c r="V200" s="22">
        <v>18.0</v>
      </c>
      <c r="W200" s="22" t="s">
        <v>8820</v>
      </c>
      <c r="X200" s="22" t="s">
        <v>8821</v>
      </c>
      <c r="Y200" s="24"/>
      <c r="Z200" s="24"/>
      <c r="AA200" s="22" t="s">
        <v>8129</v>
      </c>
      <c r="AB200" s="22" t="s">
        <v>8130</v>
      </c>
      <c r="AC200" s="25"/>
      <c r="AD200" s="22" t="s">
        <v>8161</v>
      </c>
      <c r="AE200" s="22" t="s">
        <v>8132</v>
      </c>
      <c r="AF200" s="24"/>
      <c r="AG200" s="22">
        <v>1.0438101238083E13</v>
      </c>
      <c r="AH200" s="22" t="s">
        <v>90</v>
      </c>
      <c r="AI200" s="22">
        <v>8.621603422531E12</v>
      </c>
      <c r="AJ200" s="25"/>
      <c r="AK200" s="24"/>
      <c r="AL200" s="22" t="s">
        <v>8173</v>
      </c>
      <c r="AM200" s="22">
        <v>8.478401233219E12</v>
      </c>
      <c r="AN200" s="25"/>
      <c r="AO200" s="25"/>
      <c r="AP200" s="22" t="s">
        <v>8134</v>
      </c>
      <c r="AQ200" s="30" t="s">
        <v>55</v>
      </c>
      <c r="AR200" s="30" t="b">
        <v>0</v>
      </c>
      <c r="AS200" s="30" t="b">
        <v>1</v>
      </c>
    </row>
    <row r="201">
      <c r="A201" s="21" t="s">
        <v>8815</v>
      </c>
      <c r="B201" s="24"/>
      <c r="C201" s="24"/>
      <c r="D201" s="22" t="s">
        <v>8221</v>
      </c>
      <c r="E201" s="24"/>
      <c r="F201" s="22" t="s">
        <v>8149</v>
      </c>
      <c r="G201" s="24"/>
      <c r="H201" s="22">
        <v>9.495837540675E12</v>
      </c>
      <c r="I201" s="24"/>
      <c r="J201" s="24"/>
      <c r="K201" s="24"/>
      <c r="L201" s="24"/>
      <c r="M201" s="24"/>
      <c r="N201" s="22" t="s">
        <v>6682</v>
      </c>
      <c r="O201" s="22" t="s">
        <v>4408</v>
      </c>
      <c r="P201" s="22" t="s">
        <v>6682</v>
      </c>
      <c r="Q201" s="22" t="s">
        <v>4408</v>
      </c>
      <c r="R201" s="22" t="s">
        <v>8816</v>
      </c>
      <c r="S201" s="22" t="s">
        <v>8817</v>
      </c>
      <c r="T201" s="40" t="s">
        <v>8818</v>
      </c>
      <c r="U201" s="22" t="s">
        <v>8819</v>
      </c>
      <c r="V201" s="22">
        <v>18.0</v>
      </c>
      <c r="W201" s="22" t="s">
        <v>8820</v>
      </c>
      <c r="X201" s="22" t="s">
        <v>8821</v>
      </c>
      <c r="Y201" s="24"/>
      <c r="Z201" s="24"/>
      <c r="AA201" s="22" t="s">
        <v>8129</v>
      </c>
      <c r="AB201" s="22" t="s">
        <v>8130</v>
      </c>
      <c r="AC201" s="25"/>
      <c r="AD201" s="25"/>
      <c r="AE201" s="22" t="s">
        <v>8132</v>
      </c>
      <c r="AF201" s="24"/>
      <c r="AG201" s="22">
        <v>1.0438101238083E13</v>
      </c>
      <c r="AH201" s="22" t="s">
        <v>8137</v>
      </c>
      <c r="AI201" s="22">
        <v>8.621603422531E12</v>
      </c>
      <c r="AJ201" s="25"/>
      <c r="AK201" s="24"/>
      <c r="AL201" s="22" t="s">
        <v>8149</v>
      </c>
      <c r="AM201" s="22">
        <v>8.478401233219E12</v>
      </c>
      <c r="AN201" s="25"/>
      <c r="AO201" s="25"/>
      <c r="AP201" s="22" t="s">
        <v>8136</v>
      </c>
      <c r="AQ201" s="30"/>
      <c r="AR201" s="30" t="b">
        <v>0</v>
      </c>
      <c r="AS201" s="30" t="b">
        <v>0</v>
      </c>
    </row>
    <row r="202">
      <c r="A202" s="21" t="s">
        <v>8822</v>
      </c>
      <c r="B202" s="22" t="s">
        <v>8140</v>
      </c>
      <c r="C202" s="22">
        <v>1.0</v>
      </c>
      <c r="D202" s="22" t="s">
        <v>8141</v>
      </c>
      <c r="E202" s="22" t="s">
        <v>8140</v>
      </c>
      <c r="F202" s="22" t="s">
        <v>8121</v>
      </c>
      <c r="G202" s="24"/>
      <c r="H202" s="22">
        <v>3.2698009256259E13</v>
      </c>
      <c r="I202" s="24"/>
      <c r="J202" s="24"/>
      <c r="K202" s="22">
        <v>4.2085703581939E13</v>
      </c>
      <c r="L202" s="24"/>
      <c r="M202" s="24"/>
      <c r="N202" s="22" t="s">
        <v>8823</v>
      </c>
      <c r="O202" s="22" t="s">
        <v>8824</v>
      </c>
      <c r="P202" s="22" t="s">
        <v>8823</v>
      </c>
      <c r="Q202" s="22" t="s">
        <v>8824</v>
      </c>
      <c r="R202" s="22" t="s">
        <v>8825</v>
      </c>
      <c r="S202" s="24"/>
      <c r="T202" s="40" t="s">
        <v>8826</v>
      </c>
      <c r="U202" s="22" t="s">
        <v>8827</v>
      </c>
      <c r="V202" s="24"/>
      <c r="W202" s="22" t="s">
        <v>8828</v>
      </c>
      <c r="X202" s="22" t="s">
        <v>8289</v>
      </c>
      <c r="Y202" s="24"/>
      <c r="Z202" s="24"/>
      <c r="AA202" s="22" t="s">
        <v>8129</v>
      </c>
      <c r="AB202" s="22" t="s">
        <v>8130</v>
      </c>
      <c r="AC202" s="25"/>
      <c r="AD202" s="22" t="s">
        <v>8131</v>
      </c>
      <c r="AE202" s="22" t="s">
        <v>8132</v>
      </c>
      <c r="AF202" s="24"/>
      <c r="AG202" s="22">
        <v>1.0438110675267E13</v>
      </c>
      <c r="AH202" s="22" t="s">
        <v>90</v>
      </c>
      <c r="AI202" s="22">
        <v>2.3396476911939E13</v>
      </c>
      <c r="AJ202" s="25"/>
      <c r="AK202" s="24"/>
      <c r="AL202" s="22" t="s">
        <v>8134</v>
      </c>
      <c r="AM202" s="22">
        <v>2.3378895536451E13</v>
      </c>
      <c r="AN202" s="25"/>
      <c r="AO202" s="25"/>
      <c r="AP202" s="22" t="s">
        <v>8134</v>
      </c>
      <c r="AQ202" s="30" t="s">
        <v>8150</v>
      </c>
      <c r="AR202" s="30" t="b">
        <v>0</v>
      </c>
      <c r="AS202" s="30" t="b">
        <v>0</v>
      </c>
    </row>
    <row r="203">
      <c r="A203" s="21" t="s">
        <v>8822</v>
      </c>
      <c r="B203" s="24"/>
      <c r="C203" s="24"/>
      <c r="D203" s="22" t="s">
        <v>8141</v>
      </c>
      <c r="E203" s="24"/>
      <c r="F203" s="22" t="s">
        <v>8136</v>
      </c>
      <c r="G203" s="24"/>
      <c r="H203" s="22">
        <v>9.495845863747E12</v>
      </c>
      <c r="I203" s="24"/>
      <c r="J203" s="24"/>
      <c r="K203" s="24"/>
      <c r="L203" s="24"/>
      <c r="M203" s="24"/>
      <c r="N203" s="22" t="s">
        <v>8823</v>
      </c>
      <c r="O203" s="22" t="s">
        <v>8824</v>
      </c>
      <c r="P203" s="22" t="s">
        <v>8823</v>
      </c>
      <c r="Q203" s="22" t="s">
        <v>8824</v>
      </c>
      <c r="R203" s="22" t="s">
        <v>8825</v>
      </c>
      <c r="S203" s="24"/>
      <c r="T203" s="40" t="s">
        <v>8826</v>
      </c>
      <c r="U203" s="22" t="s">
        <v>8827</v>
      </c>
      <c r="V203" s="24"/>
      <c r="W203" s="22" t="s">
        <v>8828</v>
      </c>
      <c r="X203" s="22" t="s">
        <v>8289</v>
      </c>
      <c r="Y203" s="24"/>
      <c r="Z203" s="24"/>
      <c r="AA203" s="22" t="s">
        <v>8129</v>
      </c>
      <c r="AB203" s="22" t="s">
        <v>8130</v>
      </c>
      <c r="AC203" s="25"/>
      <c r="AD203" s="25"/>
      <c r="AE203" s="22" t="s">
        <v>8132</v>
      </c>
      <c r="AF203" s="24"/>
      <c r="AG203" s="22">
        <v>1.0438110675267E13</v>
      </c>
      <c r="AH203" s="22" t="s">
        <v>8137</v>
      </c>
      <c r="AI203" s="22">
        <v>2.3396476911939E13</v>
      </c>
      <c r="AJ203" s="25"/>
      <c r="AK203" s="24"/>
      <c r="AL203" s="22" t="s">
        <v>8136</v>
      </c>
      <c r="AM203" s="22">
        <v>2.3378895536451E13</v>
      </c>
      <c r="AN203" s="25"/>
      <c r="AO203" s="25"/>
      <c r="AP203" s="22" t="s">
        <v>8136</v>
      </c>
      <c r="AQ203" s="30"/>
      <c r="AR203" s="30" t="b">
        <v>0</v>
      </c>
      <c r="AS203" s="30" t="b">
        <v>0</v>
      </c>
    </row>
    <row r="204">
      <c r="A204" s="21" t="s">
        <v>8829</v>
      </c>
      <c r="B204" s="22" t="s">
        <v>8119</v>
      </c>
      <c r="C204" s="22">
        <v>1.0</v>
      </c>
      <c r="D204" s="22" t="s">
        <v>8221</v>
      </c>
      <c r="E204" s="22" t="s">
        <v>8119</v>
      </c>
      <c r="F204" s="22" t="s">
        <v>8121</v>
      </c>
      <c r="G204" s="24"/>
      <c r="H204" s="22">
        <v>3.2696073683267E13</v>
      </c>
      <c r="I204" s="24"/>
      <c r="J204" s="24"/>
      <c r="K204" s="22">
        <v>4.2085703549171E13</v>
      </c>
      <c r="L204" s="24"/>
      <c r="M204" s="24"/>
      <c r="N204" s="22" t="s">
        <v>5985</v>
      </c>
      <c r="O204" s="22" t="s">
        <v>8830</v>
      </c>
      <c r="P204" s="22" t="s">
        <v>5985</v>
      </c>
      <c r="Q204" s="22" t="s">
        <v>8830</v>
      </c>
      <c r="R204" s="22" t="s">
        <v>8831</v>
      </c>
      <c r="S204" s="24"/>
      <c r="T204" s="40" t="s">
        <v>8832</v>
      </c>
      <c r="U204" s="22" t="s">
        <v>8833</v>
      </c>
      <c r="V204" s="24"/>
      <c r="W204" s="22" t="s">
        <v>8834</v>
      </c>
      <c r="X204" s="22" t="s">
        <v>8128</v>
      </c>
      <c r="Y204" s="24"/>
      <c r="Z204" s="24"/>
      <c r="AA204" s="22" t="s">
        <v>8129</v>
      </c>
      <c r="AB204" s="22" t="s">
        <v>8130</v>
      </c>
      <c r="AC204" s="25"/>
      <c r="AD204" s="22" t="s">
        <v>8131</v>
      </c>
      <c r="AE204" s="22" t="s">
        <v>8132</v>
      </c>
      <c r="AF204" s="24"/>
      <c r="AG204" s="22">
        <v>1.0437233017155E13</v>
      </c>
      <c r="AH204" s="22" t="s">
        <v>90</v>
      </c>
      <c r="AI204" s="22">
        <v>2.3395387572547E13</v>
      </c>
      <c r="AJ204" s="25"/>
      <c r="AK204" s="24"/>
      <c r="AL204" s="22" t="s">
        <v>8133</v>
      </c>
      <c r="AM204" s="22">
        <v>2.3377045225795E13</v>
      </c>
      <c r="AN204" s="25"/>
      <c r="AO204" s="25"/>
      <c r="AP204" s="22" t="s">
        <v>8133</v>
      </c>
      <c r="AQ204" s="30" t="s">
        <v>8135</v>
      </c>
      <c r="AR204" s="30" t="b">
        <v>0</v>
      </c>
      <c r="AS204" s="30" t="b">
        <v>0</v>
      </c>
    </row>
    <row r="205">
      <c r="A205" s="21" t="s">
        <v>8829</v>
      </c>
      <c r="B205" s="24"/>
      <c r="C205" s="24"/>
      <c r="D205" s="22" t="s">
        <v>8221</v>
      </c>
      <c r="E205" s="24"/>
      <c r="F205" s="22" t="s">
        <v>8136</v>
      </c>
      <c r="G205" s="24"/>
      <c r="H205" s="22">
        <v>9.495050977603E12</v>
      </c>
      <c r="I205" s="24"/>
      <c r="J205" s="24"/>
      <c r="K205" s="24"/>
      <c r="L205" s="24"/>
      <c r="M205" s="24"/>
      <c r="N205" s="22" t="s">
        <v>5985</v>
      </c>
      <c r="O205" s="22" t="s">
        <v>8830</v>
      </c>
      <c r="P205" s="22" t="s">
        <v>5985</v>
      </c>
      <c r="Q205" s="22" t="s">
        <v>8830</v>
      </c>
      <c r="R205" s="22" t="s">
        <v>8831</v>
      </c>
      <c r="S205" s="24"/>
      <c r="T205" s="40" t="s">
        <v>8832</v>
      </c>
      <c r="U205" s="22" t="s">
        <v>8833</v>
      </c>
      <c r="V205" s="24"/>
      <c r="W205" s="22" t="s">
        <v>8834</v>
      </c>
      <c r="X205" s="22" t="s">
        <v>8128</v>
      </c>
      <c r="Y205" s="24"/>
      <c r="Z205" s="24"/>
      <c r="AA205" s="22" t="s">
        <v>8129</v>
      </c>
      <c r="AB205" s="22" t="s">
        <v>8130</v>
      </c>
      <c r="AC205" s="25"/>
      <c r="AD205" s="25"/>
      <c r="AE205" s="22" t="s">
        <v>8132</v>
      </c>
      <c r="AF205" s="24"/>
      <c r="AG205" s="22">
        <v>1.0437233017155E13</v>
      </c>
      <c r="AH205" s="22" t="s">
        <v>8137</v>
      </c>
      <c r="AI205" s="22">
        <v>2.3395387572547E13</v>
      </c>
      <c r="AJ205" s="25"/>
      <c r="AK205" s="24"/>
      <c r="AL205" s="22" t="s">
        <v>8136</v>
      </c>
      <c r="AM205" s="22">
        <v>2.3377045225795E13</v>
      </c>
      <c r="AN205" s="25"/>
      <c r="AO205" s="25"/>
      <c r="AP205" s="22" t="s">
        <v>8136</v>
      </c>
      <c r="AQ205" s="30"/>
      <c r="AR205" s="30" t="b">
        <v>0</v>
      </c>
      <c r="AS205" s="30" t="b">
        <v>0</v>
      </c>
    </row>
    <row r="206">
      <c r="A206" s="21" t="s">
        <v>8835</v>
      </c>
      <c r="B206" s="22" t="s">
        <v>8140</v>
      </c>
      <c r="C206" s="22">
        <v>1.0</v>
      </c>
      <c r="D206" s="22" t="s">
        <v>8581</v>
      </c>
      <c r="E206" s="22" t="s">
        <v>8140</v>
      </c>
      <c r="F206" s="22" t="s">
        <v>8121</v>
      </c>
      <c r="G206" s="24"/>
      <c r="H206" s="22">
        <v>3.2698108215619E13</v>
      </c>
      <c r="I206" s="24"/>
      <c r="J206" s="24"/>
      <c r="K206" s="22">
        <v>4.2085703581939E13</v>
      </c>
      <c r="L206" s="24"/>
      <c r="M206" s="24"/>
      <c r="N206" s="22" t="s">
        <v>3946</v>
      </c>
      <c r="O206" s="22" t="s">
        <v>8836</v>
      </c>
      <c r="P206" s="22" t="s">
        <v>4318</v>
      </c>
      <c r="Q206" s="22" t="s">
        <v>8837</v>
      </c>
      <c r="R206" s="22" t="s">
        <v>8838</v>
      </c>
      <c r="S206" s="22">
        <v>9292.0</v>
      </c>
      <c r="T206" s="40" t="s">
        <v>8839</v>
      </c>
      <c r="U206" s="22" t="s">
        <v>8840</v>
      </c>
      <c r="V206" s="24"/>
      <c r="W206" s="22" t="s">
        <v>8841</v>
      </c>
      <c r="X206" s="22" t="s">
        <v>8128</v>
      </c>
      <c r="Y206" s="24"/>
      <c r="Z206" s="24"/>
      <c r="AA206" s="22" t="s">
        <v>8129</v>
      </c>
      <c r="AB206" s="22" t="s">
        <v>8130</v>
      </c>
      <c r="AC206" s="25"/>
      <c r="AD206" s="22" t="s">
        <v>8131</v>
      </c>
      <c r="AE206" s="22" t="s">
        <v>8132</v>
      </c>
      <c r="AF206" s="24"/>
      <c r="AG206" s="22">
        <v>1.0438154191171E13</v>
      </c>
      <c r="AH206" s="22" t="s">
        <v>90</v>
      </c>
      <c r="AI206" s="22">
        <v>8.611193520451E12</v>
      </c>
      <c r="AJ206" s="25"/>
      <c r="AK206" s="24"/>
      <c r="AL206" s="22" t="s">
        <v>8134</v>
      </c>
      <c r="AM206" s="22">
        <v>2.3371785175363E13</v>
      </c>
      <c r="AN206" s="25"/>
      <c r="AO206" s="25"/>
      <c r="AP206" s="22" t="s">
        <v>8134</v>
      </c>
      <c r="AQ206" s="30" t="s">
        <v>8150</v>
      </c>
      <c r="AR206" s="30" t="b">
        <v>0</v>
      </c>
      <c r="AS206" s="30" t="b">
        <v>0</v>
      </c>
    </row>
    <row r="207">
      <c r="A207" s="21" t="s">
        <v>8835</v>
      </c>
      <c r="B207" s="24"/>
      <c r="C207" s="24"/>
      <c r="D207" s="22" t="s">
        <v>8581</v>
      </c>
      <c r="E207" s="24"/>
      <c r="F207" s="22" t="s">
        <v>8136</v>
      </c>
      <c r="G207" s="24"/>
      <c r="H207" s="22">
        <v>9.495884595523E12</v>
      </c>
      <c r="I207" s="24"/>
      <c r="J207" s="24"/>
      <c r="K207" s="24"/>
      <c r="L207" s="24"/>
      <c r="M207" s="24"/>
      <c r="N207" s="22" t="s">
        <v>3946</v>
      </c>
      <c r="O207" s="22" t="s">
        <v>8836</v>
      </c>
      <c r="P207" s="22" t="s">
        <v>4318</v>
      </c>
      <c r="Q207" s="22" t="s">
        <v>8837</v>
      </c>
      <c r="R207" s="22" t="s">
        <v>8838</v>
      </c>
      <c r="S207" s="22">
        <v>9292.0</v>
      </c>
      <c r="T207" s="40" t="s">
        <v>8839</v>
      </c>
      <c r="U207" s="22" t="s">
        <v>8840</v>
      </c>
      <c r="V207" s="24"/>
      <c r="W207" s="22" t="s">
        <v>8841</v>
      </c>
      <c r="X207" s="22" t="s">
        <v>8128</v>
      </c>
      <c r="Y207" s="24"/>
      <c r="Z207" s="24"/>
      <c r="AA207" s="22" t="s">
        <v>8129</v>
      </c>
      <c r="AB207" s="22" t="s">
        <v>8130</v>
      </c>
      <c r="AC207" s="25"/>
      <c r="AD207" s="25"/>
      <c r="AE207" s="22" t="s">
        <v>8132</v>
      </c>
      <c r="AF207" s="24"/>
      <c r="AG207" s="22">
        <v>1.0438154191171E13</v>
      </c>
      <c r="AH207" s="22" t="s">
        <v>8137</v>
      </c>
      <c r="AI207" s="22">
        <v>8.611193520451E12</v>
      </c>
      <c r="AJ207" s="25"/>
      <c r="AK207" s="24"/>
      <c r="AL207" s="22" t="s">
        <v>8136</v>
      </c>
      <c r="AM207" s="22">
        <v>2.3371785175363E13</v>
      </c>
      <c r="AN207" s="25"/>
      <c r="AO207" s="25"/>
      <c r="AP207" s="22" t="s">
        <v>8136</v>
      </c>
      <c r="AQ207" s="30"/>
      <c r="AR207" s="30" t="b">
        <v>0</v>
      </c>
      <c r="AS207" s="30" t="b">
        <v>0</v>
      </c>
    </row>
    <row r="208">
      <c r="A208" s="21" t="s">
        <v>8842</v>
      </c>
      <c r="B208" s="22" t="s">
        <v>8140</v>
      </c>
      <c r="C208" s="22">
        <v>1.0</v>
      </c>
      <c r="D208" s="22" t="s">
        <v>8245</v>
      </c>
      <c r="E208" s="22" t="s">
        <v>8140</v>
      </c>
      <c r="F208" s="22" t="s">
        <v>8121</v>
      </c>
      <c r="G208" s="24"/>
      <c r="H208" s="22">
        <v>3.2698279002435E13</v>
      </c>
      <c r="I208" s="24"/>
      <c r="J208" s="24"/>
      <c r="K208" s="22">
        <v>4.2085703581939E13</v>
      </c>
      <c r="L208" s="24"/>
      <c r="M208" s="24"/>
      <c r="N208" s="22" t="s">
        <v>8843</v>
      </c>
      <c r="O208" s="22" t="s">
        <v>8844</v>
      </c>
      <c r="P208" s="22" t="s">
        <v>8843</v>
      </c>
      <c r="Q208" s="22" t="s">
        <v>8844</v>
      </c>
      <c r="R208" s="22" t="s">
        <v>8845</v>
      </c>
      <c r="S208" s="24"/>
      <c r="T208" s="40" t="s">
        <v>8846</v>
      </c>
      <c r="U208" s="22" t="s">
        <v>8847</v>
      </c>
      <c r="V208" s="24"/>
      <c r="W208" s="22" t="s">
        <v>8848</v>
      </c>
      <c r="X208" s="22" t="s">
        <v>8849</v>
      </c>
      <c r="Y208" s="24"/>
      <c r="Z208" s="24"/>
      <c r="AA208" s="22" t="s">
        <v>8129</v>
      </c>
      <c r="AB208" s="22" t="s">
        <v>8130</v>
      </c>
      <c r="AC208" s="25"/>
      <c r="AD208" s="22" t="s">
        <v>8131</v>
      </c>
      <c r="AE208" s="22" t="s">
        <v>8132</v>
      </c>
      <c r="AF208" s="24"/>
      <c r="AG208" s="22">
        <v>1.0438230344003E13</v>
      </c>
      <c r="AH208" s="22" t="s">
        <v>90</v>
      </c>
      <c r="AI208" s="22">
        <v>2.3396633084227E13</v>
      </c>
      <c r="AJ208" s="25"/>
      <c r="AK208" s="24"/>
      <c r="AL208" s="22" t="s">
        <v>8134</v>
      </c>
      <c r="AM208" s="22">
        <v>2.3369212232003E13</v>
      </c>
      <c r="AN208" s="25"/>
      <c r="AO208" s="25"/>
      <c r="AP208" s="22" t="s">
        <v>8269</v>
      </c>
      <c r="AQ208" s="30" t="s">
        <v>8150</v>
      </c>
      <c r="AR208" s="30" t="b">
        <v>0</v>
      </c>
      <c r="AS208" s="30" t="b">
        <v>0</v>
      </c>
    </row>
    <row r="209">
      <c r="A209" s="21" t="s">
        <v>8842</v>
      </c>
      <c r="B209" s="24"/>
      <c r="C209" s="24"/>
      <c r="D209" s="22" t="s">
        <v>8245</v>
      </c>
      <c r="E209" s="24"/>
      <c r="F209" s="22" t="s">
        <v>8136</v>
      </c>
      <c r="G209" s="24"/>
      <c r="H209" s="22">
        <v>9.495951212867E12</v>
      </c>
      <c r="I209" s="24"/>
      <c r="J209" s="24"/>
      <c r="K209" s="24"/>
      <c r="L209" s="24"/>
      <c r="M209" s="24"/>
      <c r="N209" s="22" t="s">
        <v>8843</v>
      </c>
      <c r="O209" s="22" t="s">
        <v>8844</v>
      </c>
      <c r="P209" s="22" t="s">
        <v>8843</v>
      </c>
      <c r="Q209" s="22" t="s">
        <v>8844</v>
      </c>
      <c r="R209" s="22" t="s">
        <v>8845</v>
      </c>
      <c r="S209" s="24"/>
      <c r="T209" s="40" t="s">
        <v>8846</v>
      </c>
      <c r="U209" s="22" t="s">
        <v>8847</v>
      </c>
      <c r="V209" s="24"/>
      <c r="W209" s="22" t="s">
        <v>8848</v>
      </c>
      <c r="X209" s="22" t="s">
        <v>8849</v>
      </c>
      <c r="Y209" s="24"/>
      <c r="Z209" s="24"/>
      <c r="AA209" s="22" t="s">
        <v>8129</v>
      </c>
      <c r="AB209" s="22" t="s">
        <v>8130</v>
      </c>
      <c r="AC209" s="25"/>
      <c r="AD209" s="25"/>
      <c r="AE209" s="22" t="s">
        <v>8132</v>
      </c>
      <c r="AF209" s="24"/>
      <c r="AG209" s="22">
        <v>1.0438230344003E13</v>
      </c>
      <c r="AH209" s="22" t="s">
        <v>8137</v>
      </c>
      <c r="AI209" s="22">
        <v>2.3396633084227E13</v>
      </c>
      <c r="AJ209" s="25"/>
      <c r="AK209" s="24"/>
      <c r="AL209" s="22" t="s">
        <v>8136</v>
      </c>
      <c r="AM209" s="22">
        <v>2.3369212232003E13</v>
      </c>
      <c r="AN209" s="25"/>
      <c r="AO209" s="25"/>
      <c r="AP209" s="22" t="s">
        <v>8149</v>
      </c>
      <c r="AQ209" s="30"/>
      <c r="AR209" s="30" t="b">
        <v>0</v>
      </c>
      <c r="AS209" s="30" t="b">
        <v>0</v>
      </c>
    </row>
    <row r="210">
      <c r="A210" s="21" t="s">
        <v>8850</v>
      </c>
      <c r="B210" s="22" t="s">
        <v>8467</v>
      </c>
      <c r="C210" s="22">
        <v>1.0</v>
      </c>
      <c r="D210" s="22" t="s">
        <v>8419</v>
      </c>
      <c r="E210" s="22" t="s">
        <v>8467</v>
      </c>
      <c r="F210" s="22" t="s">
        <v>8155</v>
      </c>
      <c r="G210" s="24"/>
      <c r="H210" s="22">
        <v>3.2698509918531E13</v>
      </c>
      <c r="I210" s="24"/>
      <c r="J210" s="24"/>
      <c r="K210" s="22">
        <v>4.9521175462211E13</v>
      </c>
      <c r="L210" s="24"/>
      <c r="M210" s="24"/>
      <c r="N210" s="22" t="s">
        <v>8851</v>
      </c>
      <c r="O210" s="22" t="s">
        <v>8852</v>
      </c>
      <c r="P210" s="22" t="s">
        <v>8851</v>
      </c>
      <c r="Q210" s="22" t="s">
        <v>8852</v>
      </c>
      <c r="R210" s="22" t="s">
        <v>8853</v>
      </c>
      <c r="S210" s="24"/>
      <c r="T210" s="40" t="s">
        <v>8854</v>
      </c>
      <c r="U210" s="22" t="s">
        <v>8855</v>
      </c>
      <c r="V210" s="24"/>
      <c r="W210" s="22" t="s">
        <v>8856</v>
      </c>
      <c r="X210" s="22" t="s">
        <v>8289</v>
      </c>
      <c r="Y210" s="24"/>
      <c r="Z210" s="24"/>
      <c r="AA210" s="22" t="s">
        <v>8129</v>
      </c>
      <c r="AB210" s="22" t="s">
        <v>8130</v>
      </c>
      <c r="AC210" s="25"/>
      <c r="AD210" s="22" t="s">
        <v>8161</v>
      </c>
      <c r="AE210" s="22" t="s">
        <v>8132</v>
      </c>
      <c r="AF210" s="24"/>
      <c r="AG210" s="22">
        <v>1.0438334775619E13</v>
      </c>
      <c r="AH210" s="22" t="s">
        <v>90</v>
      </c>
      <c r="AI210" s="22">
        <v>2.3396747379011E13</v>
      </c>
      <c r="AJ210" s="25"/>
      <c r="AK210" s="24"/>
      <c r="AL210" s="22" t="s">
        <v>8173</v>
      </c>
      <c r="AM210" s="22">
        <v>2.3390863065411E13</v>
      </c>
      <c r="AN210" s="25"/>
      <c r="AO210" s="25"/>
      <c r="AP210" s="22" t="s">
        <v>8269</v>
      </c>
      <c r="AQ210" s="30" t="s">
        <v>55</v>
      </c>
      <c r="AR210" s="30" t="b">
        <v>0</v>
      </c>
      <c r="AS210" s="30" t="b">
        <v>1</v>
      </c>
    </row>
    <row r="211">
      <c r="A211" s="21" t="s">
        <v>8850</v>
      </c>
      <c r="B211" s="24"/>
      <c r="C211" s="24"/>
      <c r="D211" s="22" t="s">
        <v>8419</v>
      </c>
      <c r="E211" s="24"/>
      <c r="F211" s="22" t="s">
        <v>8149</v>
      </c>
      <c r="G211" s="24"/>
      <c r="H211" s="22">
        <v>9.496038310211E12</v>
      </c>
      <c r="I211" s="24"/>
      <c r="J211" s="24"/>
      <c r="K211" s="24"/>
      <c r="L211" s="24"/>
      <c r="M211" s="24"/>
      <c r="N211" s="22" t="s">
        <v>8851</v>
      </c>
      <c r="O211" s="22" t="s">
        <v>8852</v>
      </c>
      <c r="P211" s="22" t="s">
        <v>8851</v>
      </c>
      <c r="Q211" s="22" t="s">
        <v>8852</v>
      </c>
      <c r="R211" s="22" t="s">
        <v>8853</v>
      </c>
      <c r="S211" s="24"/>
      <c r="T211" s="40" t="s">
        <v>8854</v>
      </c>
      <c r="U211" s="22" t="s">
        <v>8855</v>
      </c>
      <c r="V211" s="24"/>
      <c r="W211" s="22" t="s">
        <v>8856</v>
      </c>
      <c r="X211" s="22" t="s">
        <v>8289</v>
      </c>
      <c r="Y211" s="24"/>
      <c r="Z211" s="24"/>
      <c r="AA211" s="22" t="s">
        <v>8129</v>
      </c>
      <c r="AB211" s="22" t="s">
        <v>8130</v>
      </c>
      <c r="AC211" s="25"/>
      <c r="AD211" s="25"/>
      <c r="AE211" s="22" t="s">
        <v>8132</v>
      </c>
      <c r="AF211" s="24"/>
      <c r="AG211" s="22">
        <v>1.0438334775619E13</v>
      </c>
      <c r="AH211" s="22" t="s">
        <v>8137</v>
      </c>
      <c r="AI211" s="22">
        <v>2.3396747379011E13</v>
      </c>
      <c r="AJ211" s="25"/>
      <c r="AK211" s="24"/>
      <c r="AL211" s="22" t="s">
        <v>8149</v>
      </c>
      <c r="AM211" s="22">
        <v>2.3390863065411E13</v>
      </c>
      <c r="AN211" s="25"/>
      <c r="AO211" s="25"/>
      <c r="AP211" s="22" t="s">
        <v>8243</v>
      </c>
      <c r="AQ211" s="30"/>
      <c r="AR211" s="30" t="b">
        <v>0</v>
      </c>
      <c r="AS211" s="30" t="b">
        <v>0</v>
      </c>
    </row>
    <row r="212">
      <c r="A212" s="21" t="s">
        <v>8857</v>
      </c>
      <c r="B212" s="22" t="s">
        <v>8403</v>
      </c>
      <c r="C212" s="22">
        <v>1.0</v>
      </c>
      <c r="D212" s="22" t="s">
        <v>8175</v>
      </c>
      <c r="E212" s="22" t="s">
        <v>8403</v>
      </c>
      <c r="F212" s="22" t="s">
        <v>8155</v>
      </c>
      <c r="G212" s="22" t="s">
        <v>89</v>
      </c>
      <c r="H212" s="22">
        <v>3.2698782384451E13</v>
      </c>
      <c r="I212" s="22" t="s">
        <v>89</v>
      </c>
      <c r="J212" s="24"/>
      <c r="K212" s="22">
        <v>4.7338059825475E13</v>
      </c>
      <c r="L212" s="24"/>
      <c r="M212" s="24"/>
      <c r="N212" s="22" t="s">
        <v>5064</v>
      </c>
      <c r="O212" s="22" t="s">
        <v>8858</v>
      </c>
      <c r="P212" s="22" t="s">
        <v>5064</v>
      </c>
      <c r="Q212" s="22" t="s">
        <v>8858</v>
      </c>
      <c r="R212" s="22" t="s">
        <v>8859</v>
      </c>
      <c r="S212" s="24"/>
      <c r="T212" s="40" t="s">
        <v>8860</v>
      </c>
      <c r="U212" s="22" t="s">
        <v>8861</v>
      </c>
      <c r="V212" s="22" t="s">
        <v>8862</v>
      </c>
      <c r="W212" s="22" t="s">
        <v>8862</v>
      </c>
      <c r="X212" s="22" t="s">
        <v>8289</v>
      </c>
      <c r="Y212" s="24"/>
      <c r="Z212" s="24"/>
      <c r="AA212" s="22" t="s">
        <v>8129</v>
      </c>
      <c r="AB212" s="22" t="s">
        <v>8130</v>
      </c>
      <c r="AC212" s="25"/>
      <c r="AD212" s="22" t="s">
        <v>8161</v>
      </c>
      <c r="AE212" s="22" t="s">
        <v>8132</v>
      </c>
      <c r="AF212" s="24"/>
      <c r="AG212" s="22">
        <v>1.0438459949379E13</v>
      </c>
      <c r="AH212" s="22" t="s">
        <v>90</v>
      </c>
      <c r="AI212" s="22">
        <v>2.3396877435203E13</v>
      </c>
      <c r="AJ212" s="25"/>
      <c r="AK212" s="24"/>
      <c r="AL212" s="22" t="s">
        <v>8243</v>
      </c>
      <c r="AM212" s="22">
        <v>2.3390863065411E13</v>
      </c>
      <c r="AN212" s="25"/>
      <c r="AO212" s="25"/>
      <c r="AP212" s="22" t="s">
        <v>8522</v>
      </c>
      <c r="AQ212" s="30" t="s">
        <v>95</v>
      </c>
      <c r="AR212" s="30" t="b">
        <v>0</v>
      </c>
      <c r="AS212" s="30" t="b">
        <v>0</v>
      </c>
    </row>
    <row r="213">
      <c r="A213" s="21" t="s">
        <v>8857</v>
      </c>
      <c r="B213" s="24"/>
      <c r="C213" s="24"/>
      <c r="D213" s="22" t="s">
        <v>8175</v>
      </c>
      <c r="E213" s="24"/>
      <c r="F213" s="22" t="s">
        <v>8149</v>
      </c>
      <c r="G213" s="24"/>
      <c r="H213" s="22">
        <v>9.496142479683E12</v>
      </c>
      <c r="I213" s="22" t="s">
        <v>89</v>
      </c>
      <c r="J213" s="24"/>
      <c r="K213" s="24"/>
      <c r="L213" s="24"/>
      <c r="M213" s="24"/>
      <c r="N213" s="22" t="s">
        <v>5064</v>
      </c>
      <c r="O213" s="22" t="s">
        <v>8858</v>
      </c>
      <c r="P213" s="22" t="s">
        <v>5064</v>
      </c>
      <c r="Q213" s="22" t="s">
        <v>8858</v>
      </c>
      <c r="R213" s="22" t="s">
        <v>8859</v>
      </c>
      <c r="S213" s="24"/>
      <c r="T213" s="40" t="s">
        <v>8860</v>
      </c>
      <c r="U213" s="22" t="s">
        <v>8861</v>
      </c>
      <c r="V213" s="22" t="s">
        <v>8862</v>
      </c>
      <c r="W213" s="22" t="s">
        <v>8862</v>
      </c>
      <c r="X213" s="22" t="s">
        <v>8289</v>
      </c>
      <c r="Y213" s="24"/>
      <c r="Z213" s="24"/>
      <c r="AA213" s="22" t="s">
        <v>8129</v>
      </c>
      <c r="AB213" s="22" t="s">
        <v>8130</v>
      </c>
      <c r="AC213" s="25"/>
      <c r="AD213" s="25"/>
      <c r="AE213" s="22" t="s">
        <v>8132</v>
      </c>
      <c r="AF213" s="24"/>
      <c r="AG213" s="22">
        <v>1.0438459949379E13</v>
      </c>
      <c r="AH213" s="22" t="s">
        <v>8137</v>
      </c>
      <c r="AI213" s="22">
        <v>2.3396877435203E13</v>
      </c>
      <c r="AJ213" s="25"/>
      <c r="AK213" s="24"/>
      <c r="AL213" s="22" t="s">
        <v>8149</v>
      </c>
      <c r="AM213" s="22">
        <v>7.472085795139E12</v>
      </c>
      <c r="AN213" s="25"/>
      <c r="AO213" s="25"/>
      <c r="AP213" s="22" t="s">
        <v>8138</v>
      </c>
      <c r="AQ213" s="30"/>
      <c r="AR213" s="30" t="b">
        <v>0</v>
      </c>
      <c r="AS213" s="30" t="b">
        <v>0</v>
      </c>
    </row>
    <row r="214">
      <c r="A214" s="21" t="s">
        <v>8857</v>
      </c>
      <c r="B214" s="22" t="s">
        <v>8403</v>
      </c>
      <c r="C214" s="22">
        <v>-1.0</v>
      </c>
      <c r="D214" s="22" t="s">
        <v>8175</v>
      </c>
      <c r="E214" s="22" t="s">
        <v>8403</v>
      </c>
      <c r="F214" s="22" t="s">
        <v>8155</v>
      </c>
      <c r="G214" s="22" t="s">
        <v>89</v>
      </c>
      <c r="H214" s="22">
        <v>3.2698782384451E13</v>
      </c>
      <c r="I214" s="22" t="s">
        <v>89</v>
      </c>
      <c r="J214" s="24"/>
      <c r="K214" s="22">
        <v>4.7338059825475E13</v>
      </c>
      <c r="L214" s="22" t="s">
        <v>8182</v>
      </c>
      <c r="M214" s="24"/>
      <c r="N214" s="22" t="s">
        <v>5064</v>
      </c>
      <c r="O214" s="22" t="s">
        <v>8858</v>
      </c>
      <c r="P214" s="22" t="s">
        <v>5064</v>
      </c>
      <c r="Q214" s="22" t="s">
        <v>8858</v>
      </c>
      <c r="R214" s="22" t="s">
        <v>8859</v>
      </c>
      <c r="S214" s="24"/>
      <c r="T214" s="40" t="s">
        <v>8860</v>
      </c>
      <c r="U214" s="22" t="s">
        <v>8861</v>
      </c>
      <c r="V214" s="22" t="s">
        <v>8862</v>
      </c>
      <c r="W214" s="22" t="s">
        <v>8862</v>
      </c>
      <c r="X214" s="22" t="s">
        <v>8289</v>
      </c>
      <c r="Y214" s="24"/>
      <c r="Z214" s="24"/>
      <c r="AA214" s="22" t="s">
        <v>8129</v>
      </c>
      <c r="AB214" s="22" t="s">
        <v>8130</v>
      </c>
      <c r="AC214" s="25"/>
      <c r="AD214" s="22" t="s">
        <v>8161</v>
      </c>
      <c r="AE214" s="22" t="s">
        <v>8132</v>
      </c>
      <c r="AF214" s="24"/>
      <c r="AG214" s="22">
        <v>1.0438459949379E13</v>
      </c>
      <c r="AH214" s="22" t="s">
        <v>8184</v>
      </c>
      <c r="AI214" s="22">
        <v>2.3396877435203E13</v>
      </c>
      <c r="AJ214" s="25"/>
      <c r="AK214" s="22">
        <v>6.714641449283E12</v>
      </c>
      <c r="AL214" s="22" t="s">
        <v>8243</v>
      </c>
      <c r="AM214" s="22">
        <v>7.472085795139E12</v>
      </c>
      <c r="AN214" s="25"/>
      <c r="AO214" s="25"/>
      <c r="AP214" s="22" t="s">
        <v>8320</v>
      </c>
      <c r="AQ214" s="30" t="s">
        <v>95</v>
      </c>
      <c r="AR214" s="30" t="b">
        <v>0</v>
      </c>
      <c r="AS214" s="30" t="b">
        <v>0</v>
      </c>
    </row>
    <row r="215">
      <c r="A215" s="21" t="s">
        <v>8863</v>
      </c>
      <c r="B215" s="22" t="s">
        <v>8119</v>
      </c>
      <c r="C215" s="22">
        <v>1.0</v>
      </c>
      <c r="D215" s="22" t="s">
        <v>8278</v>
      </c>
      <c r="E215" s="22" t="s">
        <v>8119</v>
      </c>
      <c r="F215" s="22" t="s">
        <v>8121</v>
      </c>
      <c r="G215" s="24"/>
      <c r="H215" s="22">
        <v>3.2698793886019E13</v>
      </c>
      <c r="I215" s="24"/>
      <c r="J215" s="24"/>
      <c r="K215" s="22">
        <v>4.2085703549171E13</v>
      </c>
      <c r="L215" s="24"/>
      <c r="M215" s="24"/>
      <c r="N215" s="22" t="s">
        <v>8864</v>
      </c>
      <c r="O215" s="22" t="s">
        <v>8865</v>
      </c>
      <c r="P215" s="22" t="s">
        <v>8864</v>
      </c>
      <c r="Q215" s="22" t="s">
        <v>8865</v>
      </c>
      <c r="R215" s="22" t="s">
        <v>8866</v>
      </c>
      <c r="S215" s="24"/>
      <c r="T215" s="40" t="s">
        <v>8867</v>
      </c>
      <c r="U215" s="22" t="s">
        <v>8868</v>
      </c>
      <c r="V215" s="24"/>
      <c r="W215" s="22" t="s">
        <v>8869</v>
      </c>
      <c r="X215" s="22" t="s">
        <v>8849</v>
      </c>
      <c r="Y215" s="24"/>
      <c r="Z215" s="24"/>
      <c r="AA215" s="22" t="s">
        <v>8129</v>
      </c>
      <c r="AB215" s="22" t="s">
        <v>8130</v>
      </c>
      <c r="AC215" s="25"/>
      <c r="AD215" s="22" t="s">
        <v>8131</v>
      </c>
      <c r="AE215" s="22" t="s">
        <v>8132</v>
      </c>
      <c r="AF215" s="24"/>
      <c r="AG215" s="22">
        <v>1.0438465585475E13</v>
      </c>
      <c r="AH215" s="22" t="s">
        <v>90</v>
      </c>
      <c r="AI215" s="22">
        <v>7.449834815811E12</v>
      </c>
      <c r="AJ215" s="25"/>
      <c r="AK215" s="24"/>
      <c r="AL215" s="22" t="s">
        <v>8133</v>
      </c>
      <c r="AM215" s="22">
        <v>5.976551227635E12</v>
      </c>
      <c r="AN215" s="25"/>
      <c r="AO215" s="25"/>
      <c r="AP215" s="22" t="s">
        <v>8320</v>
      </c>
      <c r="AQ215" s="30" t="s">
        <v>8135</v>
      </c>
      <c r="AR215" s="30" t="b">
        <v>0</v>
      </c>
      <c r="AS215" s="30" t="b">
        <v>0</v>
      </c>
    </row>
    <row r="216">
      <c r="A216" s="21" t="s">
        <v>8863</v>
      </c>
      <c r="B216" s="24"/>
      <c r="C216" s="24"/>
      <c r="D216" s="22" t="s">
        <v>8278</v>
      </c>
      <c r="E216" s="24"/>
      <c r="F216" s="22" t="s">
        <v>8136</v>
      </c>
      <c r="G216" s="24"/>
      <c r="H216" s="22">
        <v>9.496147099971E12</v>
      </c>
      <c r="I216" s="24"/>
      <c r="J216" s="24"/>
      <c r="K216" s="24"/>
      <c r="L216" s="24"/>
      <c r="M216" s="24"/>
      <c r="N216" s="22" t="s">
        <v>8864</v>
      </c>
      <c r="O216" s="22" t="s">
        <v>8865</v>
      </c>
      <c r="P216" s="22" t="s">
        <v>8864</v>
      </c>
      <c r="Q216" s="22" t="s">
        <v>8865</v>
      </c>
      <c r="R216" s="22" t="s">
        <v>8866</v>
      </c>
      <c r="S216" s="24"/>
      <c r="T216" s="40" t="s">
        <v>8867</v>
      </c>
      <c r="U216" s="22" t="s">
        <v>8868</v>
      </c>
      <c r="V216" s="24"/>
      <c r="W216" s="22" t="s">
        <v>8869</v>
      </c>
      <c r="X216" s="22" t="s">
        <v>8849</v>
      </c>
      <c r="Y216" s="24"/>
      <c r="Z216" s="24"/>
      <c r="AA216" s="22" t="s">
        <v>8129</v>
      </c>
      <c r="AB216" s="22" t="s">
        <v>8130</v>
      </c>
      <c r="AC216" s="25"/>
      <c r="AD216" s="25"/>
      <c r="AE216" s="22" t="s">
        <v>8132</v>
      </c>
      <c r="AF216" s="24"/>
      <c r="AG216" s="22">
        <v>1.0438465585475E13</v>
      </c>
      <c r="AH216" s="22" t="s">
        <v>8137</v>
      </c>
      <c r="AI216" s="22">
        <v>7.449834815811E12</v>
      </c>
      <c r="AJ216" s="25"/>
      <c r="AK216" s="24"/>
      <c r="AL216" s="22" t="s">
        <v>8136</v>
      </c>
      <c r="AM216" s="22">
        <v>8.656989651267E12</v>
      </c>
      <c r="AN216" s="25"/>
      <c r="AO216" s="25"/>
      <c r="AP216" s="22" t="s">
        <v>8136</v>
      </c>
      <c r="AQ216" s="30"/>
      <c r="AR216" s="30" t="b">
        <v>0</v>
      </c>
      <c r="AS216" s="30" t="b">
        <v>0</v>
      </c>
    </row>
    <row r="217">
      <c r="A217" s="21" t="s">
        <v>8870</v>
      </c>
      <c r="B217" s="22" t="s">
        <v>8119</v>
      </c>
      <c r="C217" s="22">
        <v>1.0</v>
      </c>
      <c r="D217" s="22" t="s">
        <v>8175</v>
      </c>
      <c r="E217" s="22" t="s">
        <v>8119</v>
      </c>
      <c r="F217" s="22" t="s">
        <v>8121</v>
      </c>
      <c r="G217" s="22" t="s">
        <v>89</v>
      </c>
      <c r="H217" s="22">
        <v>3.2698841071939E13</v>
      </c>
      <c r="I217" s="22" t="s">
        <v>89</v>
      </c>
      <c r="J217" s="24"/>
      <c r="K217" s="22">
        <v>4.2085703549171E13</v>
      </c>
      <c r="L217" s="24"/>
      <c r="M217" s="24"/>
      <c r="N217" s="22" t="s">
        <v>4925</v>
      </c>
      <c r="O217" s="22" t="s">
        <v>7714</v>
      </c>
      <c r="P217" s="22" t="s">
        <v>4925</v>
      </c>
      <c r="Q217" s="22" t="s">
        <v>7714</v>
      </c>
      <c r="R217" s="22" t="s">
        <v>8871</v>
      </c>
      <c r="S217" s="24"/>
      <c r="T217" s="40" t="s">
        <v>8872</v>
      </c>
      <c r="U217" s="22" t="s">
        <v>8873</v>
      </c>
      <c r="V217" s="24"/>
      <c r="W217" s="22" t="s">
        <v>8874</v>
      </c>
      <c r="X217" s="22" t="s">
        <v>8875</v>
      </c>
      <c r="Y217" s="24"/>
      <c r="Z217" s="24"/>
      <c r="AA217" s="22" t="s">
        <v>8129</v>
      </c>
      <c r="AB217" s="22" t="s">
        <v>8130</v>
      </c>
      <c r="AC217" s="25"/>
      <c r="AD217" s="22" t="s">
        <v>8131</v>
      </c>
      <c r="AE217" s="22" t="s">
        <v>8132</v>
      </c>
      <c r="AF217" s="24"/>
      <c r="AG217" s="22">
        <v>1.0438486393155E13</v>
      </c>
      <c r="AH217" s="22" t="s">
        <v>90</v>
      </c>
      <c r="AI217" s="22">
        <v>2.3396904763715E13</v>
      </c>
      <c r="AJ217" s="25"/>
      <c r="AK217" s="24"/>
      <c r="AL217" s="22" t="s">
        <v>8133</v>
      </c>
      <c r="AM217" s="22">
        <v>2.3359414960451E13</v>
      </c>
      <c r="AN217" s="25"/>
      <c r="AO217" s="25"/>
      <c r="AP217" s="22" t="s">
        <v>8134</v>
      </c>
      <c r="AQ217" s="30" t="s">
        <v>8135</v>
      </c>
      <c r="AR217" s="30" t="b">
        <v>0</v>
      </c>
      <c r="AS217" s="30" t="b">
        <v>0</v>
      </c>
    </row>
    <row r="218">
      <c r="A218" s="21" t="s">
        <v>8870</v>
      </c>
      <c r="B218" s="24"/>
      <c r="C218" s="24"/>
      <c r="D218" s="22" t="s">
        <v>8175</v>
      </c>
      <c r="E218" s="24"/>
      <c r="F218" s="22" t="s">
        <v>8136</v>
      </c>
      <c r="G218" s="24"/>
      <c r="H218" s="22">
        <v>9.496164139331E12</v>
      </c>
      <c r="I218" s="22" t="s">
        <v>89</v>
      </c>
      <c r="J218" s="24"/>
      <c r="K218" s="24"/>
      <c r="L218" s="24"/>
      <c r="M218" s="24"/>
      <c r="N218" s="22" t="s">
        <v>4925</v>
      </c>
      <c r="O218" s="22" t="s">
        <v>7714</v>
      </c>
      <c r="P218" s="22" t="s">
        <v>4925</v>
      </c>
      <c r="Q218" s="22" t="s">
        <v>7714</v>
      </c>
      <c r="R218" s="22" t="s">
        <v>8871</v>
      </c>
      <c r="S218" s="24"/>
      <c r="T218" s="40" t="s">
        <v>8872</v>
      </c>
      <c r="U218" s="22" t="s">
        <v>8873</v>
      </c>
      <c r="V218" s="24"/>
      <c r="W218" s="22" t="s">
        <v>8874</v>
      </c>
      <c r="X218" s="22" t="s">
        <v>8875</v>
      </c>
      <c r="Y218" s="24"/>
      <c r="Z218" s="24"/>
      <c r="AA218" s="22" t="s">
        <v>8129</v>
      </c>
      <c r="AB218" s="22" t="s">
        <v>8130</v>
      </c>
      <c r="AC218" s="25"/>
      <c r="AD218" s="25"/>
      <c r="AE218" s="22" t="s">
        <v>8132</v>
      </c>
      <c r="AF218" s="24"/>
      <c r="AG218" s="22">
        <v>1.0438486393155E13</v>
      </c>
      <c r="AH218" s="22" t="s">
        <v>8137</v>
      </c>
      <c r="AI218" s="22">
        <v>2.3396904763715E13</v>
      </c>
      <c r="AJ218" s="25"/>
      <c r="AK218" s="24"/>
      <c r="AL218" s="22" t="s">
        <v>8136</v>
      </c>
      <c r="AM218" s="22">
        <v>2.3359414960451E13</v>
      </c>
      <c r="AN218" s="25"/>
      <c r="AO218" s="25"/>
      <c r="AP218" s="22" t="s">
        <v>8136</v>
      </c>
      <c r="AQ218" s="30"/>
      <c r="AR218" s="30" t="b">
        <v>0</v>
      </c>
      <c r="AS218" s="30" t="b">
        <v>0</v>
      </c>
    </row>
    <row r="219">
      <c r="A219" s="21" t="s">
        <v>8870</v>
      </c>
      <c r="B219" s="22" t="s">
        <v>8119</v>
      </c>
      <c r="C219" s="22">
        <v>-1.0</v>
      </c>
      <c r="D219" s="22" t="s">
        <v>8175</v>
      </c>
      <c r="E219" s="22" t="s">
        <v>8119</v>
      </c>
      <c r="F219" s="22" t="s">
        <v>8121</v>
      </c>
      <c r="G219" s="22" t="s">
        <v>89</v>
      </c>
      <c r="H219" s="22">
        <v>3.2698841071939E13</v>
      </c>
      <c r="I219" s="22" t="s">
        <v>89</v>
      </c>
      <c r="J219" s="24"/>
      <c r="K219" s="22">
        <v>4.2085703549171E13</v>
      </c>
      <c r="L219" s="22" t="s">
        <v>8182</v>
      </c>
      <c r="M219" s="35" t="s">
        <v>8876</v>
      </c>
      <c r="N219" s="22" t="s">
        <v>4925</v>
      </c>
      <c r="O219" s="22" t="s">
        <v>7714</v>
      </c>
      <c r="P219" s="22" t="s">
        <v>4925</v>
      </c>
      <c r="Q219" s="22" t="s">
        <v>7714</v>
      </c>
      <c r="R219" s="22" t="s">
        <v>8871</v>
      </c>
      <c r="S219" s="24"/>
      <c r="T219" s="40" t="s">
        <v>8872</v>
      </c>
      <c r="U219" s="22" t="s">
        <v>8873</v>
      </c>
      <c r="V219" s="24"/>
      <c r="W219" s="22" t="s">
        <v>8874</v>
      </c>
      <c r="X219" s="22" t="s">
        <v>8875</v>
      </c>
      <c r="Y219" s="24"/>
      <c r="Z219" s="24"/>
      <c r="AA219" s="22" t="s">
        <v>8129</v>
      </c>
      <c r="AB219" s="22" t="s">
        <v>8130</v>
      </c>
      <c r="AC219" s="25"/>
      <c r="AD219" s="22" t="s">
        <v>8131</v>
      </c>
      <c r="AE219" s="22" t="s">
        <v>8132</v>
      </c>
      <c r="AF219" s="24"/>
      <c r="AG219" s="22">
        <v>1.0438486393155E13</v>
      </c>
      <c r="AH219" s="22" t="s">
        <v>8184</v>
      </c>
      <c r="AI219" s="22">
        <v>2.3396904763715E13</v>
      </c>
      <c r="AJ219" s="25"/>
      <c r="AK219" s="22">
        <v>6.714600718659E12</v>
      </c>
      <c r="AL219" s="22" t="s">
        <v>8133</v>
      </c>
      <c r="AM219" s="22">
        <v>2.3386351108419E13</v>
      </c>
      <c r="AN219" s="25"/>
      <c r="AO219" s="25"/>
      <c r="AP219" s="22" t="s">
        <v>8269</v>
      </c>
      <c r="AQ219" s="30" t="s">
        <v>8135</v>
      </c>
      <c r="AR219" s="30" t="b">
        <v>0</v>
      </c>
      <c r="AS219" s="30" t="b">
        <v>0</v>
      </c>
    </row>
    <row r="220">
      <c r="A220" s="21" t="s">
        <v>8877</v>
      </c>
      <c r="B220" s="22" t="s">
        <v>8140</v>
      </c>
      <c r="C220" s="22">
        <v>1.0</v>
      </c>
      <c r="D220" s="22" t="s">
        <v>8501</v>
      </c>
      <c r="E220" s="22" t="s">
        <v>8140</v>
      </c>
      <c r="F220" s="22" t="s">
        <v>8121</v>
      </c>
      <c r="G220" s="24"/>
      <c r="H220" s="22">
        <v>3.2696554651971E13</v>
      </c>
      <c r="I220" s="24"/>
      <c r="J220" s="24"/>
      <c r="K220" s="22">
        <v>4.2085703581939E13</v>
      </c>
      <c r="L220" s="24"/>
      <c r="M220" s="24"/>
      <c r="N220" s="22" t="s">
        <v>8878</v>
      </c>
      <c r="O220" s="22" t="s">
        <v>8879</v>
      </c>
      <c r="P220" s="22" t="s">
        <v>8878</v>
      </c>
      <c r="Q220" s="22" t="s">
        <v>8879</v>
      </c>
      <c r="R220" s="22" t="s">
        <v>8880</v>
      </c>
      <c r="S220" s="24"/>
      <c r="T220" s="40" t="s">
        <v>8881</v>
      </c>
      <c r="U220" s="22" t="s">
        <v>8882</v>
      </c>
      <c r="V220" s="24"/>
      <c r="W220" s="22" t="s">
        <v>8883</v>
      </c>
      <c r="X220" s="22" t="s">
        <v>8367</v>
      </c>
      <c r="Y220" s="24"/>
      <c r="Z220" s="24"/>
      <c r="AA220" s="22" t="s">
        <v>8129</v>
      </c>
      <c r="AB220" s="22" t="s">
        <v>8130</v>
      </c>
      <c r="AC220" s="25"/>
      <c r="AD220" s="22" t="s">
        <v>8131</v>
      </c>
      <c r="AE220" s="22" t="s">
        <v>8132</v>
      </c>
      <c r="AF220" s="24"/>
      <c r="AG220" s="22">
        <v>1.0437440700739E13</v>
      </c>
      <c r="AH220" s="22" t="s">
        <v>90</v>
      </c>
      <c r="AI220" s="22">
        <v>6.470625526003E12</v>
      </c>
      <c r="AJ220" s="25"/>
      <c r="AK220" s="24"/>
      <c r="AL220" s="22" t="s">
        <v>8134</v>
      </c>
      <c r="AM220" s="22">
        <v>2.3386351108419E13</v>
      </c>
      <c r="AN220" s="25"/>
      <c r="AO220" s="25"/>
      <c r="AP220" s="22" t="s">
        <v>8149</v>
      </c>
      <c r="AQ220" s="30" t="s">
        <v>8150</v>
      </c>
      <c r="AR220" s="30" t="b">
        <v>0</v>
      </c>
      <c r="AS220" s="30" t="b">
        <v>0</v>
      </c>
    </row>
    <row r="221">
      <c r="A221" s="21" t="s">
        <v>8877</v>
      </c>
      <c r="B221" s="24"/>
      <c r="C221" s="24"/>
      <c r="D221" s="22" t="s">
        <v>8501</v>
      </c>
      <c r="E221" s="24"/>
      <c r="F221" s="22" t="s">
        <v>8136</v>
      </c>
      <c r="G221" s="24"/>
      <c r="H221" s="22">
        <v>9.495244046659E12</v>
      </c>
      <c r="I221" s="24"/>
      <c r="J221" s="24"/>
      <c r="K221" s="24"/>
      <c r="L221" s="24"/>
      <c r="M221" s="24"/>
      <c r="N221" s="22" t="s">
        <v>8878</v>
      </c>
      <c r="O221" s="22" t="s">
        <v>8879</v>
      </c>
      <c r="P221" s="22" t="s">
        <v>8878</v>
      </c>
      <c r="Q221" s="22" t="s">
        <v>8879</v>
      </c>
      <c r="R221" s="22" t="s">
        <v>8880</v>
      </c>
      <c r="S221" s="24"/>
      <c r="T221" s="40" t="s">
        <v>8881</v>
      </c>
      <c r="U221" s="22" t="s">
        <v>8882</v>
      </c>
      <c r="V221" s="24"/>
      <c r="W221" s="22" t="s">
        <v>8883</v>
      </c>
      <c r="X221" s="22" t="s">
        <v>8367</v>
      </c>
      <c r="Y221" s="24"/>
      <c r="Z221" s="24"/>
      <c r="AA221" s="22" t="s">
        <v>8129</v>
      </c>
      <c r="AB221" s="22" t="s">
        <v>8130</v>
      </c>
      <c r="AC221" s="25"/>
      <c r="AD221" s="24"/>
      <c r="AE221" s="22" t="s">
        <v>8132</v>
      </c>
      <c r="AF221" s="24"/>
      <c r="AG221" s="22">
        <v>1.0437440700739E13</v>
      </c>
      <c r="AH221" s="22" t="s">
        <v>8137</v>
      </c>
      <c r="AI221" s="22">
        <v>6.470625526003E12</v>
      </c>
      <c r="AJ221" s="25"/>
      <c r="AK221" s="24"/>
      <c r="AL221" s="22" t="s">
        <v>8136</v>
      </c>
      <c r="AM221" s="22">
        <v>2.3364986569027E13</v>
      </c>
      <c r="AN221" s="25"/>
      <c r="AO221" s="25"/>
      <c r="AP221" s="22" t="s">
        <v>8134</v>
      </c>
      <c r="AQ221" s="30"/>
      <c r="AR221" s="30" t="b">
        <v>0</v>
      </c>
      <c r="AS221" s="30" t="b">
        <v>0</v>
      </c>
    </row>
    <row r="222">
      <c r="A222" s="21" t="s">
        <v>8884</v>
      </c>
      <c r="B222" s="22" t="s">
        <v>8119</v>
      </c>
      <c r="C222" s="22">
        <v>1.0</v>
      </c>
      <c r="D222" s="22" t="s">
        <v>8254</v>
      </c>
      <c r="E222" s="22" t="s">
        <v>8119</v>
      </c>
      <c r="F222" s="22" t="s">
        <v>8121</v>
      </c>
      <c r="G222" s="24"/>
      <c r="H222" s="22">
        <v>3.2699340652867E13</v>
      </c>
      <c r="I222" s="24"/>
      <c r="J222" s="24"/>
      <c r="K222" s="22">
        <v>4.2085703549171E13</v>
      </c>
      <c r="L222" s="24"/>
      <c r="M222" s="24"/>
      <c r="N222" s="22" t="s">
        <v>4328</v>
      </c>
      <c r="O222" s="22" t="s">
        <v>8885</v>
      </c>
      <c r="P222" s="22" t="s">
        <v>4261</v>
      </c>
      <c r="Q222" s="22" t="s">
        <v>8885</v>
      </c>
      <c r="R222" s="22" t="s">
        <v>8886</v>
      </c>
      <c r="S222" s="24"/>
      <c r="T222" s="40" t="s">
        <v>8887</v>
      </c>
      <c r="U222" s="22" t="s">
        <v>8888</v>
      </c>
      <c r="V222" s="24"/>
      <c r="W222" s="22" t="s">
        <v>8889</v>
      </c>
      <c r="X222" s="22" t="s">
        <v>8890</v>
      </c>
      <c r="Y222" s="24"/>
      <c r="Z222" s="24"/>
      <c r="AA222" s="22" t="s">
        <v>8129</v>
      </c>
      <c r="AB222" s="22" t="s">
        <v>8130</v>
      </c>
      <c r="AC222" s="25"/>
      <c r="AD222" s="22" t="s">
        <v>8131</v>
      </c>
      <c r="AE222" s="22" t="s">
        <v>8132</v>
      </c>
      <c r="AF222" s="24"/>
      <c r="AG222" s="22">
        <v>1.0438711574851E13</v>
      </c>
      <c r="AH222" s="22" t="s">
        <v>90</v>
      </c>
      <c r="AI222" s="22">
        <v>5.959831879923E12</v>
      </c>
      <c r="AJ222" s="25"/>
      <c r="AK222" s="24"/>
      <c r="AL222" s="22" t="s">
        <v>8133</v>
      </c>
      <c r="AM222" s="22">
        <v>2.3364986569027E13</v>
      </c>
      <c r="AN222" s="25"/>
      <c r="AO222" s="25"/>
      <c r="AP222" s="22" t="s">
        <v>8136</v>
      </c>
      <c r="AQ222" s="30" t="s">
        <v>8135</v>
      </c>
      <c r="AR222" s="30" t="b">
        <v>0</v>
      </c>
      <c r="AS222" s="30" t="b">
        <v>0</v>
      </c>
    </row>
    <row r="223">
      <c r="A223" s="21" t="s">
        <v>8884</v>
      </c>
      <c r="B223" s="24"/>
      <c r="C223" s="24"/>
      <c r="D223" s="22" t="s">
        <v>8254</v>
      </c>
      <c r="E223" s="24"/>
      <c r="F223" s="22" t="s">
        <v>8136</v>
      </c>
      <c r="G223" s="24"/>
      <c r="H223" s="22">
        <v>9.496350261571E12</v>
      </c>
      <c r="I223" s="24"/>
      <c r="J223" s="24"/>
      <c r="K223" s="24"/>
      <c r="L223" s="24"/>
      <c r="M223" s="24"/>
      <c r="N223" s="22" t="s">
        <v>4328</v>
      </c>
      <c r="O223" s="22" t="s">
        <v>8885</v>
      </c>
      <c r="P223" s="22" t="s">
        <v>4261</v>
      </c>
      <c r="Q223" s="22" t="s">
        <v>8885</v>
      </c>
      <c r="R223" s="22" t="s">
        <v>8886</v>
      </c>
      <c r="S223" s="24"/>
      <c r="T223" s="40" t="s">
        <v>8887</v>
      </c>
      <c r="U223" s="22" t="s">
        <v>8888</v>
      </c>
      <c r="V223" s="24"/>
      <c r="W223" s="22" t="s">
        <v>8889</v>
      </c>
      <c r="X223" s="22" t="s">
        <v>8890</v>
      </c>
      <c r="Y223" s="24"/>
      <c r="Z223" s="24"/>
      <c r="AA223" s="22" t="s">
        <v>8129</v>
      </c>
      <c r="AB223" s="22" t="s">
        <v>8130</v>
      </c>
      <c r="AC223" s="25"/>
      <c r="AD223" s="24"/>
      <c r="AE223" s="22" t="s">
        <v>8132</v>
      </c>
      <c r="AF223" s="24"/>
      <c r="AG223" s="22">
        <v>1.0438711574851E13</v>
      </c>
      <c r="AH223" s="22" t="s">
        <v>8137</v>
      </c>
      <c r="AI223" s="22">
        <v>5.959831879923E12</v>
      </c>
      <c r="AJ223" s="25"/>
      <c r="AK223" s="24"/>
      <c r="AL223" s="22" t="s">
        <v>8136</v>
      </c>
      <c r="AM223" s="22">
        <v>8.416752533827E12</v>
      </c>
      <c r="AN223" s="25"/>
      <c r="AO223" s="25"/>
      <c r="AP223" s="22" t="s">
        <v>8162</v>
      </c>
      <c r="AQ223" s="30"/>
      <c r="AR223" s="30" t="b">
        <v>0</v>
      </c>
      <c r="AS223" s="30" t="b">
        <v>0</v>
      </c>
    </row>
    <row r="224">
      <c r="A224" s="21" t="s">
        <v>8891</v>
      </c>
      <c r="B224" s="22" t="s">
        <v>8140</v>
      </c>
      <c r="C224" s="22">
        <v>1.0</v>
      </c>
      <c r="D224" s="22" t="s">
        <v>8175</v>
      </c>
      <c r="E224" s="22" t="s">
        <v>8140</v>
      </c>
      <c r="F224" s="22" t="s">
        <v>8121</v>
      </c>
      <c r="G224" s="22" t="s">
        <v>89</v>
      </c>
      <c r="H224" s="22">
        <v>3.2699464646979E13</v>
      </c>
      <c r="I224" s="22" t="s">
        <v>89</v>
      </c>
      <c r="J224" s="24"/>
      <c r="K224" s="22">
        <v>4.2085703581939E13</v>
      </c>
      <c r="L224" s="24"/>
      <c r="M224" s="24"/>
      <c r="N224" s="22" t="s">
        <v>5181</v>
      </c>
      <c r="O224" s="22" t="s">
        <v>3927</v>
      </c>
      <c r="P224" s="22" t="s">
        <v>5181</v>
      </c>
      <c r="Q224" s="22" t="s">
        <v>3927</v>
      </c>
      <c r="R224" s="22" t="s">
        <v>8892</v>
      </c>
      <c r="S224" s="24"/>
      <c r="T224" s="40" t="s">
        <v>8893</v>
      </c>
      <c r="U224" s="22" t="s">
        <v>8894</v>
      </c>
      <c r="V224" s="24"/>
      <c r="W224" s="22" t="s">
        <v>8895</v>
      </c>
      <c r="X224" s="22" t="s">
        <v>8251</v>
      </c>
      <c r="Y224" s="24"/>
      <c r="Z224" s="24"/>
      <c r="AA224" s="22" t="s">
        <v>8129</v>
      </c>
      <c r="AB224" s="22" t="s">
        <v>8130</v>
      </c>
      <c r="AC224" s="25"/>
      <c r="AD224" s="22" t="s">
        <v>8131</v>
      </c>
      <c r="AE224" s="22" t="s">
        <v>8132</v>
      </c>
      <c r="AF224" s="24"/>
      <c r="AG224" s="22">
        <v>1.0438769541443E13</v>
      </c>
      <c r="AH224" s="22" t="s">
        <v>90</v>
      </c>
      <c r="AI224" s="22">
        <v>7.457167900995E12</v>
      </c>
      <c r="AJ224" s="25"/>
      <c r="AK224" s="24"/>
      <c r="AL224" s="22" t="s">
        <v>8134</v>
      </c>
      <c r="AM224" s="22">
        <v>8.416752533827E12</v>
      </c>
      <c r="AN224" s="25"/>
      <c r="AO224" s="25"/>
      <c r="AP224" s="22" t="s">
        <v>8149</v>
      </c>
      <c r="AQ224" s="30" t="s">
        <v>8150</v>
      </c>
      <c r="AR224" s="30" t="b">
        <v>0</v>
      </c>
      <c r="AS224" s="30" t="b">
        <v>0</v>
      </c>
    </row>
    <row r="225">
      <c r="A225" s="21" t="s">
        <v>8891</v>
      </c>
      <c r="B225" s="24"/>
      <c r="C225" s="24"/>
      <c r="D225" s="22" t="s">
        <v>8175</v>
      </c>
      <c r="E225" s="24"/>
      <c r="F225" s="22" t="s">
        <v>8136</v>
      </c>
      <c r="G225" s="24"/>
      <c r="H225" s="22">
        <v>9.496397087043E12</v>
      </c>
      <c r="I225" s="22" t="s">
        <v>89</v>
      </c>
      <c r="J225" s="24"/>
      <c r="K225" s="24"/>
      <c r="L225" s="24"/>
      <c r="M225" s="24"/>
      <c r="N225" s="22" t="s">
        <v>5181</v>
      </c>
      <c r="O225" s="22" t="s">
        <v>3927</v>
      </c>
      <c r="P225" s="22" t="s">
        <v>5181</v>
      </c>
      <c r="Q225" s="22" t="s">
        <v>3927</v>
      </c>
      <c r="R225" s="22" t="s">
        <v>8892</v>
      </c>
      <c r="S225" s="24"/>
      <c r="T225" s="40" t="s">
        <v>8893</v>
      </c>
      <c r="U225" s="22" t="s">
        <v>8894</v>
      </c>
      <c r="V225" s="24"/>
      <c r="W225" s="22" t="s">
        <v>8895</v>
      </c>
      <c r="X225" s="22" t="s">
        <v>8251</v>
      </c>
      <c r="Y225" s="24"/>
      <c r="Z225" s="24"/>
      <c r="AA225" s="22" t="s">
        <v>8129</v>
      </c>
      <c r="AB225" s="22" t="s">
        <v>8130</v>
      </c>
      <c r="AC225" s="25"/>
      <c r="AD225" s="24"/>
      <c r="AE225" s="22" t="s">
        <v>8132</v>
      </c>
      <c r="AF225" s="24"/>
      <c r="AG225" s="22">
        <v>1.0438769541443E13</v>
      </c>
      <c r="AH225" s="22" t="s">
        <v>8137</v>
      </c>
      <c r="AI225" s="22">
        <v>7.457167900995E12</v>
      </c>
      <c r="AJ225" s="25"/>
      <c r="AK225" s="24"/>
      <c r="AL225" s="22" t="s">
        <v>8136</v>
      </c>
      <c r="AM225" s="22">
        <v>7.406929576259E12</v>
      </c>
      <c r="AN225" s="25"/>
      <c r="AO225" s="25"/>
      <c r="AP225" s="22" t="s">
        <v>8134</v>
      </c>
      <c r="AQ225" s="30"/>
      <c r="AR225" s="30" t="b">
        <v>0</v>
      </c>
      <c r="AS225" s="30" t="b">
        <v>0</v>
      </c>
    </row>
    <row r="226">
      <c r="A226" s="21" t="s">
        <v>8891</v>
      </c>
      <c r="B226" s="22" t="s">
        <v>8140</v>
      </c>
      <c r="C226" s="22">
        <v>-1.0</v>
      </c>
      <c r="D226" s="22" t="s">
        <v>8175</v>
      </c>
      <c r="E226" s="22" t="s">
        <v>8140</v>
      </c>
      <c r="F226" s="22" t="s">
        <v>8121</v>
      </c>
      <c r="G226" s="22" t="s">
        <v>89</v>
      </c>
      <c r="H226" s="22">
        <v>3.2699464646979E13</v>
      </c>
      <c r="I226" s="22" t="s">
        <v>89</v>
      </c>
      <c r="J226" s="24"/>
      <c r="K226" s="22">
        <v>4.2085703581939E13</v>
      </c>
      <c r="L226" s="22" t="s">
        <v>8182</v>
      </c>
      <c r="M226" s="35" t="s">
        <v>8896</v>
      </c>
      <c r="N226" s="22" t="s">
        <v>5181</v>
      </c>
      <c r="O226" s="22" t="s">
        <v>3927</v>
      </c>
      <c r="P226" s="22" t="s">
        <v>5181</v>
      </c>
      <c r="Q226" s="22" t="s">
        <v>3927</v>
      </c>
      <c r="R226" s="22" t="s">
        <v>8892</v>
      </c>
      <c r="S226" s="24"/>
      <c r="T226" s="40" t="s">
        <v>8893</v>
      </c>
      <c r="U226" s="22" t="s">
        <v>8894</v>
      </c>
      <c r="V226" s="24"/>
      <c r="W226" s="22" t="s">
        <v>8895</v>
      </c>
      <c r="X226" s="22" t="s">
        <v>8251</v>
      </c>
      <c r="Y226" s="24"/>
      <c r="Z226" s="24"/>
      <c r="AA226" s="22" t="s">
        <v>8129</v>
      </c>
      <c r="AB226" s="22" t="s">
        <v>8130</v>
      </c>
      <c r="AC226" s="25"/>
      <c r="AD226" s="22" t="s">
        <v>8131</v>
      </c>
      <c r="AE226" s="22" t="s">
        <v>8132</v>
      </c>
      <c r="AF226" s="24"/>
      <c r="AG226" s="22">
        <v>1.0438769541443E13</v>
      </c>
      <c r="AH226" s="22" t="s">
        <v>8184</v>
      </c>
      <c r="AI226" s="22">
        <v>7.457167900995E12</v>
      </c>
      <c r="AJ226" s="25"/>
      <c r="AK226" s="22">
        <v>6.714600685891E12</v>
      </c>
      <c r="AL226" s="22" t="s">
        <v>8134</v>
      </c>
      <c r="AM226" s="22">
        <v>7.406929576259E12</v>
      </c>
      <c r="AN226" s="25"/>
      <c r="AO226" s="25"/>
      <c r="AP226" s="22" t="s">
        <v>8136</v>
      </c>
      <c r="AQ226" s="30" t="s">
        <v>8150</v>
      </c>
      <c r="AR226" s="30" t="b">
        <v>0</v>
      </c>
      <c r="AS226" s="30" t="b">
        <v>0</v>
      </c>
    </row>
    <row r="227">
      <c r="A227" s="21" t="s">
        <v>8897</v>
      </c>
      <c r="B227" s="22" t="s">
        <v>8140</v>
      </c>
      <c r="C227" s="22">
        <v>1.0</v>
      </c>
      <c r="D227" s="22" t="s">
        <v>8305</v>
      </c>
      <c r="E227" s="22" t="s">
        <v>8140</v>
      </c>
      <c r="F227" s="22" t="s">
        <v>8121</v>
      </c>
      <c r="G227" s="24"/>
      <c r="H227" s="22">
        <v>3.2699532378435E13</v>
      </c>
      <c r="I227" s="24"/>
      <c r="J227" s="24"/>
      <c r="K227" s="22">
        <v>4.2085703581939E13</v>
      </c>
      <c r="L227" s="24"/>
      <c r="M227" s="24"/>
      <c r="N227" s="22" t="s">
        <v>4830</v>
      </c>
      <c r="O227" s="22" t="s">
        <v>8898</v>
      </c>
      <c r="P227" s="22" t="s">
        <v>4830</v>
      </c>
      <c r="Q227" s="22" t="s">
        <v>8898</v>
      </c>
      <c r="R227" s="22" t="s">
        <v>8899</v>
      </c>
      <c r="S227" s="24"/>
      <c r="T227" s="40" t="s">
        <v>8900</v>
      </c>
      <c r="U227" s="22" t="s">
        <v>8901</v>
      </c>
      <c r="V227" s="24"/>
      <c r="W227" s="22" t="s">
        <v>8902</v>
      </c>
      <c r="X227" s="22" t="s">
        <v>8289</v>
      </c>
      <c r="Y227" s="24"/>
      <c r="Z227" s="24"/>
      <c r="AA227" s="22" t="s">
        <v>8129</v>
      </c>
      <c r="AB227" s="22" t="s">
        <v>8130</v>
      </c>
      <c r="AC227" s="25"/>
      <c r="AD227" s="22" t="s">
        <v>8131</v>
      </c>
      <c r="AE227" s="22" t="s">
        <v>8132</v>
      </c>
      <c r="AF227" s="24"/>
      <c r="AG227" s="22">
        <v>1.0438802899267E13</v>
      </c>
      <c r="AH227" s="22" t="s">
        <v>90</v>
      </c>
      <c r="AI227" s="22">
        <v>8.648090157379E12</v>
      </c>
      <c r="AJ227" s="25"/>
      <c r="AK227" s="24"/>
      <c r="AL227" s="22" t="s">
        <v>8134</v>
      </c>
      <c r="AM227" s="22">
        <v>7.442303779139E12</v>
      </c>
      <c r="AN227" s="25"/>
      <c r="AO227" s="25"/>
      <c r="AP227" s="22" t="s">
        <v>8269</v>
      </c>
      <c r="AQ227" s="30" t="s">
        <v>8150</v>
      </c>
      <c r="AR227" s="30" t="b">
        <v>0</v>
      </c>
      <c r="AS227" s="30" t="b">
        <v>0</v>
      </c>
    </row>
    <row r="228">
      <c r="A228" s="21" t="s">
        <v>8897</v>
      </c>
      <c r="B228" s="24"/>
      <c r="C228" s="24"/>
      <c r="D228" s="22" t="s">
        <v>8305</v>
      </c>
      <c r="E228" s="24"/>
      <c r="F228" s="22" t="s">
        <v>8136</v>
      </c>
      <c r="G228" s="24"/>
      <c r="H228" s="22">
        <v>9.496424350019E12</v>
      </c>
      <c r="I228" s="24"/>
      <c r="J228" s="24"/>
      <c r="K228" s="24"/>
      <c r="L228" s="24"/>
      <c r="M228" s="24"/>
      <c r="N228" s="22" t="s">
        <v>4830</v>
      </c>
      <c r="O228" s="22" t="s">
        <v>8898</v>
      </c>
      <c r="P228" s="22" t="s">
        <v>4830</v>
      </c>
      <c r="Q228" s="22" t="s">
        <v>8898</v>
      </c>
      <c r="R228" s="22" t="s">
        <v>8899</v>
      </c>
      <c r="S228" s="24"/>
      <c r="T228" s="40" t="s">
        <v>8900</v>
      </c>
      <c r="U228" s="22" t="s">
        <v>8901</v>
      </c>
      <c r="V228" s="24"/>
      <c r="W228" s="22" t="s">
        <v>8902</v>
      </c>
      <c r="X228" s="22" t="s">
        <v>8289</v>
      </c>
      <c r="Y228" s="24"/>
      <c r="Z228" s="24"/>
      <c r="AA228" s="22" t="s">
        <v>8129</v>
      </c>
      <c r="AB228" s="22" t="s">
        <v>8130</v>
      </c>
      <c r="AC228" s="25"/>
      <c r="AD228" s="24"/>
      <c r="AE228" s="22" t="s">
        <v>8132</v>
      </c>
      <c r="AF228" s="24"/>
      <c r="AG228" s="22">
        <v>1.0438802899267E13</v>
      </c>
      <c r="AH228" s="22" t="s">
        <v>8137</v>
      </c>
      <c r="AI228" s="22">
        <v>8.648090157379E12</v>
      </c>
      <c r="AJ228" s="25"/>
      <c r="AK228" s="24"/>
      <c r="AL228" s="22" t="s">
        <v>8136</v>
      </c>
      <c r="AM228" s="22">
        <v>6.473148891379E12</v>
      </c>
      <c r="AN228" s="25"/>
      <c r="AO228" s="25"/>
      <c r="AP228" s="22" t="s">
        <v>8136</v>
      </c>
      <c r="AQ228" s="30"/>
      <c r="AR228" s="30" t="b">
        <v>0</v>
      </c>
      <c r="AS228" s="30" t="b">
        <v>0</v>
      </c>
    </row>
    <row r="229">
      <c r="A229" s="21" t="s">
        <v>8903</v>
      </c>
      <c r="B229" s="22" t="s">
        <v>8140</v>
      </c>
      <c r="C229" s="22">
        <v>1.0</v>
      </c>
      <c r="D229" s="22" t="s">
        <v>8501</v>
      </c>
      <c r="E229" s="22" t="s">
        <v>8140</v>
      </c>
      <c r="F229" s="22" t="s">
        <v>8121</v>
      </c>
      <c r="G229" s="24"/>
      <c r="H229" s="22">
        <v>3.2699807859011E13</v>
      </c>
      <c r="I229" s="24"/>
      <c r="J229" s="24"/>
      <c r="K229" s="22">
        <v>4.2085703581939E13</v>
      </c>
      <c r="L229" s="24"/>
      <c r="M229" s="24"/>
      <c r="N229" s="22" t="s">
        <v>8904</v>
      </c>
      <c r="O229" s="22" t="s">
        <v>4938</v>
      </c>
      <c r="P229" s="22" t="s">
        <v>8904</v>
      </c>
      <c r="Q229" s="22" t="s">
        <v>4938</v>
      </c>
      <c r="R229" s="22" t="s">
        <v>8905</v>
      </c>
      <c r="S229" s="24"/>
      <c r="T229" s="40" t="s">
        <v>8906</v>
      </c>
      <c r="U229" s="22" t="s">
        <v>8907</v>
      </c>
      <c r="V229" s="24"/>
      <c r="W229" s="22" t="s">
        <v>8908</v>
      </c>
      <c r="X229" s="22" t="s">
        <v>8251</v>
      </c>
      <c r="Y229" s="24"/>
      <c r="Z229" s="24"/>
      <c r="AA229" s="22" t="s">
        <v>8129</v>
      </c>
      <c r="AB229" s="22" t="s">
        <v>8130</v>
      </c>
      <c r="AC229" s="25"/>
      <c r="AD229" s="22" t="s">
        <v>8131</v>
      </c>
      <c r="AE229" s="22" t="s">
        <v>8132</v>
      </c>
      <c r="AF229" s="24"/>
      <c r="AG229" s="22">
        <v>1.0438928335171E13</v>
      </c>
      <c r="AH229" s="22" t="s">
        <v>90</v>
      </c>
      <c r="AI229" s="22">
        <v>2.3397887312195E13</v>
      </c>
      <c r="AJ229" s="25"/>
      <c r="AK229" s="24"/>
      <c r="AL229" s="22" t="s">
        <v>8134</v>
      </c>
      <c r="AM229" s="22">
        <v>2.3343333114179E13</v>
      </c>
      <c r="AN229" s="25"/>
      <c r="AO229" s="25"/>
      <c r="AP229" s="22" t="s">
        <v>8134</v>
      </c>
      <c r="AQ229" s="30" t="s">
        <v>8150</v>
      </c>
      <c r="AR229" s="30" t="b">
        <v>0</v>
      </c>
      <c r="AS229" s="30" t="b">
        <v>0</v>
      </c>
    </row>
    <row r="230">
      <c r="A230" s="21" t="s">
        <v>8903</v>
      </c>
      <c r="B230" s="24"/>
      <c r="C230" s="24"/>
      <c r="D230" s="22" t="s">
        <v>8501</v>
      </c>
      <c r="E230" s="24"/>
      <c r="F230" s="22" t="s">
        <v>8136</v>
      </c>
      <c r="G230" s="24"/>
      <c r="H230" s="22">
        <v>9.496530125123E12</v>
      </c>
      <c r="I230" s="24"/>
      <c r="J230" s="24"/>
      <c r="K230" s="24"/>
      <c r="L230" s="24"/>
      <c r="M230" s="24"/>
      <c r="N230" s="22" t="s">
        <v>8904</v>
      </c>
      <c r="O230" s="22" t="s">
        <v>4938</v>
      </c>
      <c r="P230" s="22" t="s">
        <v>8904</v>
      </c>
      <c r="Q230" s="22" t="s">
        <v>4938</v>
      </c>
      <c r="R230" s="22" t="s">
        <v>8905</v>
      </c>
      <c r="S230" s="24"/>
      <c r="T230" s="40" t="s">
        <v>8906</v>
      </c>
      <c r="U230" s="22" t="s">
        <v>8907</v>
      </c>
      <c r="V230" s="24"/>
      <c r="W230" s="22" t="s">
        <v>8908</v>
      </c>
      <c r="X230" s="22" t="s">
        <v>8251</v>
      </c>
      <c r="Y230" s="24"/>
      <c r="Z230" s="24"/>
      <c r="AA230" s="22" t="s">
        <v>8129</v>
      </c>
      <c r="AB230" s="22" t="s">
        <v>8130</v>
      </c>
      <c r="AC230" s="25"/>
      <c r="AD230" s="24"/>
      <c r="AE230" s="22" t="s">
        <v>8132</v>
      </c>
      <c r="AF230" s="24"/>
      <c r="AG230" s="22">
        <v>1.0438928335171E13</v>
      </c>
      <c r="AH230" s="22" t="s">
        <v>8137</v>
      </c>
      <c r="AI230" s="22">
        <v>2.3397887312195E13</v>
      </c>
      <c r="AJ230" s="25"/>
      <c r="AK230" s="24"/>
      <c r="AL230" s="22" t="s">
        <v>8136</v>
      </c>
      <c r="AM230" s="22">
        <v>2.3343333114179E13</v>
      </c>
      <c r="AN230" s="25"/>
      <c r="AO230" s="25"/>
      <c r="AP230" s="22" t="s">
        <v>8136</v>
      </c>
      <c r="AQ230" s="30"/>
      <c r="AR230" s="30" t="b">
        <v>0</v>
      </c>
      <c r="AS230" s="30" t="b">
        <v>0</v>
      </c>
    </row>
    <row r="231">
      <c r="A231" s="21" t="s">
        <v>8909</v>
      </c>
      <c r="B231" s="22" t="s">
        <v>8467</v>
      </c>
      <c r="C231" s="22">
        <v>1.0</v>
      </c>
      <c r="D231" s="22" t="s">
        <v>8910</v>
      </c>
      <c r="E231" s="22" t="s">
        <v>8467</v>
      </c>
      <c r="F231" s="22" t="s">
        <v>8155</v>
      </c>
      <c r="G231" s="24"/>
      <c r="H231" s="22">
        <v>3.2699979563331E13</v>
      </c>
      <c r="I231" s="24"/>
      <c r="J231" s="24"/>
      <c r="K231" s="22">
        <v>4.9521175462211E13</v>
      </c>
      <c r="L231" s="24"/>
      <c r="M231" s="24"/>
      <c r="N231" s="22" t="s">
        <v>5852</v>
      </c>
      <c r="O231" s="22" t="s">
        <v>8911</v>
      </c>
      <c r="P231" s="22" t="s">
        <v>5852</v>
      </c>
      <c r="Q231" s="22" t="s">
        <v>8911</v>
      </c>
      <c r="R231" s="22" t="s">
        <v>8912</v>
      </c>
      <c r="S231" s="24"/>
      <c r="T231" s="40" t="s">
        <v>8913</v>
      </c>
      <c r="U231" s="22" t="s">
        <v>8914</v>
      </c>
      <c r="V231" s="22" t="s">
        <v>3970</v>
      </c>
      <c r="W231" s="22" t="s">
        <v>8915</v>
      </c>
      <c r="X231" s="22" t="s">
        <v>8289</v>
      </c>
      <c r="Y231" s="24"/>
      <c r="Z231" s="24"/>
      <c r="AA231" s="22" t="s">
        <v>8129</v>
      </c>
      <c r="AB231" s="22" t="s">
        <v>8130</v>
      </c>
      <c r="AC231" s="25"/>
      <c r="AD231" s="22" t="s">
        <v>8161</v>
      </c>
      <c r="AE231" s="22" t="s">
        <v>8132</v>
      </c>
      <c r="AF231" s="24"/>
      <c r="AG231" s="22">
        <v>1.0439006978371E13</v>
      </c>
      <c r="AH231" s="22" t="s">
        <v>90</v>
      </c>
      <c r="AI231" s="22">
        <v>2.3398188384579E13</v>
      </c>
      <c r="AJ231" s="25"/>
      <c r="AK231" s="24"/>
      <c r="AL231" s="22" t="s">
        <v>8173</v>
      </c>
      <c r="AM231" s="22">
        <v>2.3343044788547E13</v>
      </c>
      <c r="AN231" s="25"/>
      <c r="AO231" s="25"/>
      <c r="AP231" s="22" t="s">
        <v>8133</v>
      </c>
      <c r="AQ231" s="30" t="s">
        <v>55</v>
      </c>
      <c r="AR231" s="30" t="b">
        <v>0</v>
      </c>
      <c r="AS231" s="30" t="b">
        <v>1</v>
      </c>
    </row>
    <row r="232">
      <c r="A232" s="21" t="s">
        <v>8909</v>
      </c>
      <c r="B232" s="24"/>
      <c r="C232" s="24"/>
      <c r="D232" s="22" t="s">
        <v>8910</v>
      </c>
      <c r="E232" s="24"/>
      <c r="F232" s="22" t="s">
        <v>8149</v>
      </c>
      <c r="G232" s="24"/>
      <c r="H232" s="22">
        <v>9.496599691587E12</v>
      </c>
      <c r="I232" s="24"/>
      <c r="J232" s="24"/>
      <c r="K232" s="24"/>
      <c r="L232" s="24"/>
      <c r="M232" s="24"/>
      <c r="N232" s="22" t="s">
        <v>5852</v>
      </c>
      <c r="O232" s="22" t="s">
        <v>8911</v>
      </c>
      <c r="P232" s="22" t="s">
        <v>5852</v>
      </c>
      <c r="Q232" s="22" t="s">
        <v>8911</v>
      </c>
      <c r="R232" s="22" t="s">
        <v>8912</v>
      </c>
      <c r="S232" s="24"/>
      <c r="T232" s="40" t="s">
        <v>8913</v>
      </c>
      <c r="U232" s="22" t="s">
        <v>8914</v>
      </c>
      <c r="V232" s="22" t="s">
        <v>3970</v>
      </c>
      <c r="W232" s="22" t="s">
        <v>8915</v>
      </c>
      <c r="X232" s="22" t="s">
        <v>8289</v>
      </c>
      <c r="Y232" s="24"/>
      <c r="Z232" s="24"/>
      <c r="AA232" s="22" t="s">
        <v>8129</v>
      </c>
      <c r="AB232" s="22" t="s">
        <v>8130</v>
      </c>
      <c r="AC232" s="25"/>
      <c r="AD232" s="25"/>
      <c r="AE232" s="22" t="s">
        <v>8132</v>
      </c>
      <c r="AF232" s="24"/>
      <c r="AG232" s="22">
        <v>1.0439006978371E13</v>
      </c>
      <c r="AH232" s="22" t="s">
        <v>8137</v>
      </c>
      <c r="AI232" s="22">
        <v>2.3398188384579E13</v>
      </c>
      <c r="AJ232" s="25"/>
      <c r="AK232" s="24"/>
      <c r="AL232" s="22" t="s">
        <v>8149</v>
      </c>
      <c r="AM232" s="22">
        <v>7.464624423235E12</v>
      </c>
      <c r="AN232" s="25"/>
      <c r="AO232" s="25"/>
      <c r="AP232" s="22" t="s">
        <v>8136</v>
      </c>
      <c r="AQ232" s="30"/>
      <c r="AR232" s="30" t="b">
        <v>0</v>
      </c>
      <c r="AS232" s="30" t="b">
        <v>0</v>
      </c>
    </row>
    <row r="233">
      <c r="A233" s="21" t="s">
        <v>8916</v>
      </c>
      <c r="B233" s="22" t="s">
        <v>8370</v>
      </c>
      <c r="C233" s="22">
        <v>1.0</v>
      </c>
      <c r="D233" s="22" t="s">
        <v>8212</v>
      </c>
      <c r="E233" s="22" t="s">
        <v>8370</v>
      </c>
      <c r="F233" s="22" t="s">
        <v>8155</v>
      </c>
      <c r="G233" s="24"/>
      <c r="H233" s="22">
        <v>3.2699984576835E13</v>
      </c>
      <c r="I233" s="24"/>
      <c r="J233" s="24"/>
      <c r="K233" s="22">
        <v>4.9521175494979E13</v>
      </c>
      <c r="L233" s="24"/>
      <c r="M233" s="24"/>
      <c r="N233" s="22" t="s">
        <v>8917</v>
      </c>
      <c r="O233" s="22" t="s">
        <v>8918</v>
      </c>
      <c r="P233" s="22" t="s">
        <v>8917</v>
      </c>
      <c r="Q233" s="22" t="s">
        <v>8918</v>
      </c>
      <c r="R233" s="22" t="s">
        <v>8919</v>
      </c>
      <c r="S233" s="24"/>
      <c r="T233" s="40" t="s">
        <v>8920</v>
      </c>
      <c r="U233" s="22" t="s">
        <v>8921</v>
      </c>
      <c r="V233" s="24"/>
      <c r="W233" s="22" t="s">
        <v>8922</v>
      </c>
      <c r="X233" s="22" t="s">
        <v>8923</v>
      </c>
      <c r="Y233" s="24"/>
      <c r="Z233" s="24"/>
      <c r="AA233" s="22" t="s">
        <v>8129</v>
      </c>
      <c r="AB233" s="22" t="s">
        <v>8130</v>
      </c>
      <c r="AC233" s="25"/>
      <c r="AD233" s="22" t="s">
        <v>8161</v>
      </c>
      <c r="AE233" s="22" t="s">
        <v>8132</v>
      </c>
      <c r="AF233" s="24"/>
      <c r="AG233" s="22">
        <v>1.0439009435971E13</v>
      </c>
      <c r="AH233" s="22" t="s">
        <v>90</v>
      </c>
      <c r="AI233" s="22">
        <v>2.3398219546947E13</v>
      </c>
      <c r="AJ233" s="25"/>
      <c r="AK233" s="24"/>
      <c r="AL233" s="22" t="s">
        <v>8138</v>
      </c>
      <c r="AM233" s="22">
        <v>2.3337615229251E13</v>
      </c>
      <c r="AN233" s="25"/>
      <c r="AO233" s="25"/>
      <c r="AP233" s="22" t="s">
        <v>8134</v>
      </c>
      <c r="AQ233" s="30" t="s">
        <v>91</v>
      </c>
      <c r="AR233" s="30" t="b">
        <v>0</v>
      </c>
      <c r="AS233" s="30" t="b">
        <v>1</v>
      </c>
    </row>
    <row r="234">
      <c r="A234" s="21" t="s">
        <v>8916</v>
      </c>
      <c r="B234" s="24"/>
      <c r="C234" s="24"/>
      <c r="D234" s="22" t="s">
        <v>8212</v>
      </c>
      <c r="E234" s="24"/>
      <c r="F234" s="22" t="s">
        <v>8149</v>
      </c>
      <c r="G234" s="24"/>
      <c r="H234" s="22">
        <v>9.496601723203E12</v>
      </c>
      <c r="I234" s="24"/>
      <c r="J234" s="24"/>
      <c r="K234" s="24"/>
      <c r="L234" s="24"/>
      <c r="M234" s="24"/>
      <c r="N234" s="22" t="s">
        <v>8917</v>
      </c>
      <c r="O234" s="22" t="s">
        <v>8918</v>
      </c>
      <c r="P234" s="22" t="s">
        <v>8917</v>
      </c>
      <c r="Q234" s="22" t="s">
        <v>8918</v>
      </c>
      <c r="R234" s="22" t="s">
        <v>8919</v>
      </c>
      <c r="S234" s="24"/>
      <c r="T234" s="40" t="s">
        <v>8920</v>
      </c>
      <c r="U234" s="22" t="s">
        <v>8921</v>
      </c>
      <c r="V234" s="24"/>
      <c r="W234" s="22" t="s">
        <v>8922</v>
      </c>
      <c r="X234" s="22" t="s">
        <v>8923</v>
      </c>
      <c r="Y234" s="24"/>
      <c r="Z234" s="24"/>
      <c r="AA234" s="22" t="s">
        <v>8129</v>
      </c>
      <c r="AB234" s="22" t="s">
        <v>8130</v>
      </c>
      <c r="AC234" s="25"/>
      <c r="AD234" s="25"/>
      <c r="AE234" s="22" t="s">
        <v>8132</v>
      </c>
      <c r="AF234" s="24"/>
      <c r="AG234" s="22">
        <v>1.0439009435971E13</v>
      </c>
      <c r="AH234" s="22" t="s">
        <v>8137</v>
      </c>
      <c r="AI234" s="22">
        <v>2.3398219546947E13</v>
      </c>
      <c r="AJ234" s="25"/>
      <c r="AK234" s="24"/>
      <c r="AL234" s="22" t="s">
        <v>8149</v>
      </c>
      <c r="AM234" s="22">
        <v>2.3337615229251E13</v>
      </c>
      <c r="AN234" s="25"/>
      <c r="AO234" s="25"/>
      <c r="AP234" s="22" t="s">
        <v>8136</v>
      </c>
      <c r="AQ234" s="30"/>
      <c r="AR234" s="30" t="b">
        <v>0</v>
      </c>
      <c r="AS234" s="30" t="b">
        <v>0</v>
      </c>
    </row>
    <row r="235">
      <c r="A235" s="21" t="s">
        <v>8924</v>
      </c>
      <c r="B235" s="22" t="s">
        <v>8262</v>
      </c>
      <c r="C235" s="22">
        <v>1.0</v>
      </c>
      <c r="D235" s="22" t="s">
        <v>8501</v>
      </c>
      <c r="E235" s="22" t="s">
        <v>8262</v>
      </c>
      <c r="F235" s="22" t="s">
        <v>8155</v>
      </c>
      <c r="G235" s="24"/>
      <c r="H235" s="22">
        <v>3.2700173943107E13</v>
      </c>
      <c r="I235" s="24"/>
      <c r="J235" s="24"/>
      <c r="K235" s="22">
        <v>4.7338059792707E13</v>
      </c>
      <c r="L235" s="24"/>
      <c r="M235" s="24"/>
      <c r="N235" s="22" t="s">
        <v>4768</v>
      </c>
      <c r="O235" s="22" t="s">
        <v>8925</v>
      </c>
      <c r="P235" s="22" t="s">
        <v>4768</v>
      </c>
      <c r="Q235" s="22" t="s">
        <v>8925</v>
      </c>
      <c r="R235" s="22" t="s">
        <v>8926</v>
      </c>
      <c r="S235" s="24"/>
      <c r="T235" s="40" t="s">
        <v>8927</v>
      </c>
      <c r="U235" s="22" t="s">
        <v>8928</v>
      </c>
      <c r="V235" s="24"/>
      <c r="W235" s="22" t="s">
        <v>8929</v>
      </c>
      <c r="X235" s="22" t="s">
        <v>8930</v>
      </c>
      <c r="Y235" s="24"/>
      <c r="Z235" s="24"/>
      <c r="AA235" s="22" t="s">
        <v>8129</v>
      </c>
      <c r="AB235" s="22" t="s">
        <v>8130</v>
      </c>
      <c r="AC235" s="25"/>
      <c r="AD235" s="22" t="s">
        <v>8161</v>
      </c>
      <c r="AE235" s="22" t="s">
        <v>8132</v>
      </c>
      <c r="AF235" s="24"/>
      <c r="AG235" s="22">
        <v>1.0439095091523E13</v>
      </c>
      <c r="AH235" s="22" t="s">
        <v>90</v>
      </c>
      <c r="AI235" s="22">
        <v>2.3398498435395E13</v>
      </c>
      <c r="AJ235" s="25"/>
      <c r="AK235" s="24"/>
      <c r="AL235" s="22" t="s">
        <v>8269</v>
      </c>
      <c r="AM235" s="22">
        <v>8.563901038915E12</v>
      </c>
      <c r="AN235" s="25"/>
      <c r="AO235" s="25"/>
      <c r="AP235" s="22" t="s">
        <v>8134</v>
      </c>
      <c r="AQ235" s="30" t="s">
        <v>91</v>
      </c>
      <c r="AR235" s="30" t="b">
        <v>0</v>
      </c>
      <c r="AS235" s="30" t="b">
        <v>0</v>
      </c>
    </row>
    <row r="236">
      <c r="A236" s="21" t="s">
        <v>8924</v>
      </c>
      <c r="B236" s="24"/>
      <c r="C236" s="24"/>
      <c r="D236" s="22" t="s">
        <v>8501</v>
      </c>
      <c r="E236" s="24"/>
      <c r="F236" s="22" t="s">
        <v>8149</v>
      </c>
      <c r="G236" s="24"/>
      <c r="H236" s="22">
        <v>9.496680300867E12</v>
      </c>
      <c r="I236" s="24"/>
      <c r="J236" s="24"/>
      <c r="K236" s="24"/>
      <c r="L236" s="24"/>
      <c r="M236" s="24"/>
      <c r="N236" s="22" t="s">
        <v>4768</v>
      </c>
      <c r="O236" s="22" t="s">
        <v>8925</v>
      </c>
      <c r="P236" s="22" t="s">
        <v>4768</v>
      </c>
      <c r="Q236" s="22" t="s">
        <v>8925</v>
      </c>
      <c r="R236" s="22" t="s">
        <v>8926</v>
      </c>
      <c r="S236" s="24"/>
      <c r="T236" s="40" t="s">
        <v>8927</v>
      </c>
      <c r="U236" s="22" t="s">
        <v>8928</v>
      </c>
      <c r="V236" s="24"/>
      <c r="W236" s="22" t="s">
        <v>8929</v>
      </c>
      <c r="X236" s="22" t="s">
        <v>8930</v>
      </c>
      <c r="Y236" s="24"/>
      <c r="Z236" s="24"/>
      <c r="AA236" s="22" t="s">
        <v>8129</v>
      </c>
      <c r="AB236" s="22" t="s">
        <v>8130</v>
      </c>
      <c r="AC236" s="25"/>
      <c r="AD236" s="25"/>
      <c r="AE236" s="22" t="s">
        <v>8132</v>
      </c>
      <c r="AF236" s="24"/>
      <c r="AG236" s="22">
        <v>1.0439095091523E13</v>
      </c>
      <c r="AH236" s="22" t="s">
        <v>8137</v>
      </c>
      <c r="AI236" s="22">
        <v>2.3398498435395E13</v>
      </c>
      <c r="AJ236" s="25"/>
      <c r="AK236" s="24"/>
      <c r="AL236" s="22" t="s">
        <v>8149</v>
      </c>
      <c r="AM236" s="22">
        <v>2.3333969035587E13</v>
      </c>
      <c r="AN236" s="25"/>
      <c r="AO236" s="25"/>
      <c r="AP236" s="22" t="s">
        <v>8134</v>
      </c>
      <c r="AQ236" s="30"/>
      <c r="AR236" s="30" t="b">
        <v>0</v>
      </c>
      <c r="AS236" s="30" t="b">
        <v>0</v>
      </c>
    </row>
    <row r="237">
      <c r="A237" s="21" t="s">
        <v>8931</v>
      </c>
      <c r="B237" s="22" t="s">
        <v>8140</v>
      </c>
      <c r="C237" s="22">
        <v>1.0</v>
      </c>
      <c r="D237" s="22" t="s">
        <v>8245</v>
      </c>
      <c r="E237" s="22" t="s">
        <v>8140</v>
      </c>
      <c r="F237" s="22" t="s">
        <v>8121</v>
      </c>
      <c r="G237" s="24"/>
      <c r="H237" s="22">
        <v>3.2698081870147E13</v>
      </c>
      <c r="I237" s="24"/>
      <c r="J237" s="24"/>
      <c r="K237" s="22">
        <v>4.2085703581939E13</v>
      </c>
      <c r="L237" s="24"/>
      <c r="M237" s="24"/>
      <c r="N237" s="22" t="s">
        <v>5763</v>
      </c>
      <c r="O237" s="22" t="s">
        <v>8932</v>
      </c>
      <c r="P237" s="22" t="s">
        <v>5763</v>
      </c>
      <c r="Q237" s="22" t="s">
        <v>8932</v>
      </c>
      <c r="R237" s="22" t="s">
        <v>8933</v>
      </c>
      <c r="S237" s="24"/>
      <c r="T237" s="40" t="s">
        <v>8934</v>
      </c>
      <c r="U237" s="22" t="s">
        <v>8935</v>
      </c>
      <c r="V237" s="24"/>
      <c r="W237" s="22" t="s">
        <v>8936</v>
      </c>
      <c r="X237" s="22" t="s">
        <v>8937</v>
      </c>
      <c r="Y237" s="24"/>
      <c r="Z237" s="24"/>
      <c r="AA237" s="22" t="s">
        <v>8129</v>
      </c>
      <c r="AB237" s="22" t="s">
        <v>8130</v>
      </c>
      <c r="AC237" s="25"/>
      <c r="AD237" s="22" t="s">
        <v>8131</v>
      </c>
      <c r="AE237" s="22" t="s">
        <v>8132</v>
      </c>
      <c r="AF237" s="24"/>
      <c r="AG237" s="22">
        <v>1.0438141903171E13</v>
      </c>
      <c r="AH237" s="22" t="s">
        <v>90</v>
      </c>
      <c r="AI237" s="22">
        <v>6.445243891955E12</v>
      </c>
      <c r="AJ237" s="25"/>
      <c r="AK237" s="24"/>
      <c r="AL237" s="22" t="s">
        <v>8134</v>
      </c>
      <c r="AM237" s="22">
        <v>2.3333969035587E13</v>
      </c>
      <c r="AN237" s="25"/>
      <c r="AO237" s="25"/>
      <c r="AP237" s="22" t="s">
        <v>8136</v>
      </c>
      <c r="AQ237" s="30" t="s">
        <v>8150</v>
      </c>
      <c r="AR237" s="30" t="b">
        <v>0</v>
      </c>
      <c r="AS237" s="30" t="b">
        <v>0</v>
      </c>
    </row>
    <row r="238">
      <c r="A238" s="21" t="s">
        <v>8931</v>
      </c>
      <c r="B238" s="24"/>
      <c r="C238" s="24"/>
      <c r="D238" s="22" t="s">
        <v>8245</v>
      </c>
      <c r="E238" s="24"/>
      <c r="F238" s="22" t="s">
        <v>8136</v>
      </c>
      <c r="G238" s="24"/>
      <c r="H238" s="22">
        <v>9.495873880387E12</v>
      </c>
      <c r="I238" s="24"/>
      <c r="J238" s="24"/>
      <c r="K238" s="24"/>
      <c r="L238" s="24"/>
      <c r="M238" s="24"/>
      <c r="N238" s="22" t="s">
        <v>5763</v>
      </c>
      <c r="O238" s="22" t="s">
        <v>8932</v>
      </c>
      <c r="P238" s="22" t="s">
        <v>5763</v>
      </c>
      <c r="Q238" s="22" t="s">
        <v>8932</v>
      </c>
      <c r="R238" s="22" t="s">
        <v>8933</v>
      </c>
      <c r="S238" s="24"/>
      <c r="T238" s="40" t="s">
        <v>8934</v>
      </c>
      <c r="U238" s="22" t="s">
        <v>8935</v>
      </c>
      <c r="V238" s="24"/>
      <c r="W238" s="22" t="s">
        <v>8936</v>
      </c>
      <c r="X238" s="22" t="s">
        <v>8937</v>
      </c>
      <c r="Y238" s="24"/>
      <c r="Z238" s="24"/>
      <c r="AA238" s="22" t="s">
        <v>8129</v>
      </c>
      <c r="AB238" s="22" t="s">
        <v>8130</v>
      </c>
      <c r="AC238" s="25"/>
      <c r="AD238" s="24"/>
      <c r="AE238" s="22" t="s">
        <v>8132</v>
      </c>
      <c r="AF238" s="24"/>
      <c r="AG238" s="22">
        <v>1.0438141903171E13</v>
      </c>
      <c r="AH238" s="22" t="s">
        <v>8137</v>
      </c>
      <c r="AI238" s="22">
        <v>6.445243891955E12</v>
      </c>
      <c r="AJ238" s="25"/>
      <c r="AK238" s="24"/>
      <c r="AL238" s="22" t="s">
        <v>8136</v>
      </c>
      <c r="AM238" s="22">
        <v>2.3333187944771E13</v>
      </c>
      <c r="AN238" s="25"/>
      <c r="AO238" s="25"/>
      <c r="AP238" s="22" t="s">
        <v>8136</v>
      </c>
      <c r="AQ238" s="30"/>
      <c r="AR238" s="30" t="b">
        <v>0</v>
      </c>
      <c r="AS238" s="30" t="b">
        <v>0</v>
      </c>
    </row>
    <row r="239">
      <c r="A239" s="21" t="s">
        <v>8938</v>
      </c>
      <c r="B239" s="22" t="s">
        <v>8140</v>
      </c>
      <c r="C239" s="22">
        <v>1.0</v>
      </c>
      <c r="D239" s="22" t="s">
        <v>8221</v>
      </c>
      <c r="E239" s="22" t="s">
        <v>8140</v>
      </c>
      <c r="F239" s="22" t="s">
        <v>8121</v>
      </c>
      <c r="G239" s="24"/>
      <c r="H239" s="22">
        <v>3.2700227191107E13</v>
      </c>
      <c r="I239" s="24"/>
      <c r="J239" s="24"/>
      <c r="K239" s="22">
        <v>4.2085703581939E13</v>
      </c>
      <c r="L239" s="24"/>
      <c r="M239" s="24"/>
      <c r="N239" s="22" t="s">
        <v>4019</v>
      </c>
      <c r="O239" s="22" t="s">
        <v>8939</v>
      </c>
      <c r="P239" s="22" t="s">
        <v>4019</v>
      </c>
      <c r="Q239" s="22" t="s">
        <v>8940</v>
      </c>
      <c r="R239" s="22" t="s">
        <v>8941</v>
      </c>
      <c r="S239" s="24"/>
      <c r="T239" s="40" t="s">
        <v>8942</v>
      </c>
      <c r="U239" s="22" t="s">
        <v>8943</v>
      </c>
      <c r="V239" s="24"/>
      <c r="W239" s="22" t="s">
        <v>8944</v>
      </c>
      <c r="X239" s="22" t="s">
        <v>8945</v>
      </c>
      <c r="Y239" s="24"/>
      <c r="Z239" s="24"/>
      <c r="AA239" s="22" t="s">
        <v>8129</v>
      </c>
      <c r="AB239" s="22" t="s">
        <v>8130</v>
      </c>
      <c r="AC239" s="25"/>
      <c r="AD239" s="22" t="s">
        <v>8131</v>
      </c>
      <c r="AE239" s="22" t="s">
        <v>8132</v>
      </c>
      <c r="AF239" s="24"/>
      <c r="AG239" s="22">
        <v>1.0439118422339E13</v>
      </c>
      <c r="AH239" s="22" t="s">
        <v>90</v>
      </c>
      <c r="AI239" s="22">
        <v>6.485054816499E12</v>
      </c>
      <c r="AJ239" s="25"/>
      <c r="AK239" s="24"/>
      <c r="AL239" s="22" t="s">
        <v>8134</v>
      </c>
      <c r="AM239" s="22">
        <v>2.3332764877123E13</v>
      </c>
      <c r="AN239" s="25"/>
      <c r="AO239" s="25"/>
      <c r="AP239" s="22" t="s">
        <v>8149</v>
      </c>
      <c r="AQ239" s="30" t="s">
        <v>8150</v>
      </c>
      <c r="AR239" s="30" t="b">
        <v>0</v>
      </c>
      <c r="AS239" s="30" t="b">
        <v>0</v>
      </c>
    </row>
    <row r="240">
      <c r="A240" s="21" t="s">
        <v>8938</v>
      </c>
      <c r="B240" s="24"/>
      <c r="C240" s="24"/>
      <c r="D240" s="22" t="s">
        <v>8221</v>
      </c>
      <c r="E240" s="24"/>
      <c r="F240" s="22" t="s">
        <v>8136</v>
      </c>
      <c r="G240" s="24"/>
      <c r="H240" s="22">
        <v>9.496701862211E12</v>
      </c>
      <c r="I240" s="24"/>
      <c r="J240" s="24"/>
      <c r="K240" s="24"/>
      <c r="L240" s="24"/>
      <c r="M240" s="24"/>
      <c r="N240" s="22" t="s">
        <v>4019</v>
      </c>
      <c r="O240" s="22" t="s">
        <v>8939</v>
      </c>
      <c r="P240" s="22" t="s">
        <v>4019</v>
      </c>
      <c r="Q240" s="22" t="s">
        <v>8940</v>
      </c>
      <c r="R240" s="22" t="s">
        <v>8941</v>
      </c>
      <c r="S240" s="24"/>
      <c r="T240" s="40" t="s">
        <v>8942</v>
      </c>
      <c r="U240" s="22" t="s">
        <v>8943</v>
      </c>
      <c r="V240" s="24"/>
      <c r="W240" s="22" t="s">
        <v>8944</v>
      </c>
      <c r="X240" s="22" t="s">
        <v>8945</v>
      </c>
      <c r="Y240" s="24"/>
      <c r="Z240" s="24"/>
      <c r="AA240" s="22" t="s">
        <v>8129</v>
      </c>
      <c r="AB240" s="22" t="s">
        <v>8130</v>
      </c>
      <c r="AC240" s="25"/>
      <c r="AD240" s="25"/>
      <c r="AE240" s="22" t="s">
        <v>8132</v>
      </c>
      <c r="AF240" s="24"/>
      <c r="AG240" s="22">
        <v>1.0439118422339E13</v>
      </c>
      <c r="AH240" s="22" t="s">
        <v>8137</v>
      </c>
      <c r="AI240" s="22">
        <v>6.485054816499E12</v>
      </c>
      <c r="AJ240" s="25"/>
      <c r="AK240" s="24"/>
      <c r="AL240" s="22" t="s">
        <v>8136</v>
      </c>
      <c r="AM240" s="22">
        <v>2.3330154152259E13</v>
      </c>
      <c r="AN240" s="25"/>
      <c r="AO240" s="25"/>
      <c r="AP240" s="22" t="s">
        <v>8136</v>
      </c>
      <c r="AQ240" s="30"/>
      <c r="AR240" s="30" t="b">
        <v>0</v>
      </c>
      <c r="AS240" s="30" t="b">
        <v>0</v>
      </c>
    </row>
    <row r="241">
      <c r="A241" s="21" t="s">
        <v>8946</v>
      </c>
      <c r="B241" s="22" t="s">
        <v>8119</v>
      </c>
      <c r="C241" s="22">
        <v>1.0</v>
      </c>
      <c r="D241" s="22" t="s">
        <v>8175</v>
      </c>
      <c r="E241" s="22" t="s">
        <v>8119</v>
      </c>
      <c r="F241" s="22" t="s">
        <v>8121</v>
      </c>
      <c r="G241" s="22" t="s">
        <v>89</v>
      </c>
      <c r="H241" s="22">
        <v>3.2700265234755E13</v>
      </c>
      <c r="I241" s="22" t="s">
        <v>89</v>
      </c>
      <c r="J241" s="24"/>
      <c r="K241" s="22">
        <v>4.2085703549171E13</v>
      </c>
      <c r="L241" s="24"/>
      <c r="M241" s="24"/>
      <c r="N241" s="22" t="s">
        <v>4096</v>
      </c>
      <c r="O241" s="22" t="s">
        <v>8947</v>
      </c>
      <c r="P241" s="22" t="s">
        <v>4096</v>
      </c>
      <c r="Q241" s="22" t="s">
        <v>8947</v>
      </c>
      <c r="R241" s="22" t="s">
        <v>8948</v>
      </c>
      <c r="S241" s="24"/>
      <c r="T241" s="40" t="s">
        <v>8949</v>
      </c>
      <c r="U241" s="22" t="s">
        <v>8950</v>
      </c>
      <c r="V241" s="24"/>
      <c r="W241" s="22" t="s">
        <v>8951</v>
      </c>
      <c r="X241" s="22" t="s">
        <v>8251</v>
      </c>
      <c r="Y241" s="24"/>
      <c r="Z241" s="24"/>
      <c r="AA241" s="22" t="s">
        <v>8129</v>
      </c>
      <c r="AB241" s="22" t="s">
        <v>8130</v>
      </c>
      <c r="AC241" s="25"/>
      <c r="AD241" s="22" t="s">
        <v>8131</v>
      </c>
      <c r="AE241" s="22" t="s">
        <v>8132</v>
      </c>
      <c r="AF241" s="24"/>
      <c r="AG241" s="22">
        <v>1.0439135953219E13</v>
      </c>
      <c r="AH241" s="22" t="s">
        <v>90</v>
      </c>
      <c r="AI241" s="22">
        <v>8.632737136963E12</v>
      </c>
      <c r="AJ241" s="25"/>
      <c r="AK241" s="24"/>
      <c r="AL241" s="22" t="s">
        <v>8133</v>
      </c>
      <c r="AM241" s="22">
        <v>2.3329239073091E13</v>
      </c>
      <c r="AN241" s="25"/>
      <c r="AO241" s="25"/>
      <c r="AP241" s="22" t="s">
        <v>8134</v>
      </c>
      <c r="AQ241" s="30" t="s">
        <v>8135</v>
      </c>
      <c r="AR241" s="30" t="b">
        <v>0</v>
      </c>
      <c r="AS241" s="30" t="b">
        <v>0</v>
      </c>
    </row>
    <row r="242">
      <c r="A242" s="21" t="s">
        <v>8946</v>
      </c>
      <c r="B242" s="24"/>
      <c r="C242" s="24"/>
      <c r="D242" s="22" t="s">
        <v>8175</v>
      </c>
      <c r="E242" s="24"/>
      <c r="F242" s="22" t="s">
        <v>8136</v>
      </c>
      <c r="G242" s="24"/>
      <c r="H242" s="22">
        <v>9.496717951299E12</v>
      </c>
      <c r="I242" s="22" t="s">
        <v>89</v>
      </c>
      <c r="J242" s="24"/>
      <c r="K242" s="24"/>
      <c r="L242" s="24"/>
      <c r="M242" s="24"/>
      <c r="N242" s="22" t="s">
        <v>4096</v>
      </c>
      <c r="O242" s="22" t="s">
        <v>8947</v>
      </c>
      <c r="P242" s="22" t="s">
        <v>4096</v>
      </c>
      <c r="Q242" s="22" t="s">
        <v>8947</v>
      </c>
      <c r="R242" s="22" t="s">
        <v>8948</v>
      </c>
      <c r="S242" s="24"/>
      <c r="T242" s="40" t="s">
        <v>8949</v>
      </c>
      <c r="U242" s="22" t="s">
        <v>8950</v>
      </c>
      <c r="V242" s="24"/>
      <c r="W242" s="22" t="s">
        <v>8951</v>
      </c>
      <c r="X242" s="22" t="s">
        <v>8251</v>
      </c>
      <c r="Y242" s="24"/>
      <c r="Z242" s="24"/>
      <c r="AA242" s="22" t="s">
        <v>8129</v>
      </c>
      <c r="AB242" s="22" t="s">
        <v>8130</v>
      </c>
      <c r="AC242" s="25"/>
      <c r="AD242" s="25"/>
      <c r="AE242" s="22" t="s">
        <v>8132</v>
      </c>
      <c r="AF242" s="24"/>
      <c r="AG242" s="22">
        <v>1.0439135953219E13</v>
      </c>
      <c r="AH242" s="22" t="s">
        <v>8137</v>
      </c>
      <c r="AI242" s="22">
        <v>8.632737136963E12</v>
      </c>
      <c r="AJ242" s="25"/>
      <c r="AK242" s="24"/>
      <c r="AL242" s="22" t="s">
        <v>8136</v>
      </c>
      <c r="AM242" s="22">
        <v>2.3329239073091E13</v>
      </c>
      <c r="AN242" s="25"/>
      <c r="AO242" s="25"/>
      <c r="AP242" s="22" t="s">
        <v>8136</v>
      </c>
      <c r="AQ242" s="30"/>
      <c r="AR242" s="30" t="b">
        <v>0</v>
      </c>
      <c r="AS242" s="30" t="b">
        <v>0</v>
      </c>
    </row>
    <row r="243">
      <c r="A243" s="21" t="s">
        <v>8946</v>
      </c>
      <c r="B243" s="22" t="s">
        <v>8119</v>
      </c>
      <c r="C243" s="22">
        <v>-1.0</v>
      </c>
      <c r="D243" s="22" t="s">
        <v>8175</v>
      </c>
      <c r="E243" s="22" t="s">
        <v>8119</v>
      </c>
      <c r="F243" s="22" t="s">
        <v>8121</v>
      </c>
      <c r="G243" s="22" t="s">
        <v>89</v>
      </c>
      <c r="H243" s="22">
        <v>3.2700265234755E13</v>
      </c>
      <c r="I243" s="22" t="s">
        <v>89</v>
      </c>
      <c r="J243" s="24"/>
      <c r="K243" s="22">
        <v>4.2085703549171E13</v>
      </c>
      <c r="L243" s="22" t="s">
        <v>8182</v>
      </c>
      <c r="M243" s="35" t="s">
        <v>8952</v>
      </c>
      <c r="N243" s="22" t="s">
        <v>4096</v>
      </c>
      <c r="O243" s="22" t="s">
        <v>8947</v>
      </c>
      <c r="P243" s="22" t="s">
        <v>4096</v>
      </c>
      <c r="Q243" s="22" t="s">
        <v>8947</v>
      </c>
      <c r="R243" s="22" t="s">
        <v>8948</v>
      </c>
      <c r="S243" s="24"/>
      <c r="T243" s="40" t="s">
        <v>8949</v>
      </c>
      <c r="U243" s="22" t="s">
        <v>8950</v>
      </c>
      <c r="V243" s="24"/>
      <c r="W243" s="22" t="s">
        <v>8951</v>
      </c>
      <c r="X243" s="22" t="s">
        <v>8251</v>
      </c>
      <c r="Y243" s="24"/>
      <c r="Z243" s="24"/>
      <c r="AA243" s="22" t="s">
        <v>8129</v>
      </c>
      <c r="AB243" s="22" t="s">
        <v>8130</v>
      </c>
      <c r="AC243" s="25"/>
      <c r="AD243" s="22" t="s">
        <v>8131</v>
      </c>
      <c r="AE243" s="22" t="s">
        <v>8132</v>
      </c>
      <c r="AF243" s="24"/>
      <c r="AG243" s="22">
        <v>1.0439135953219E13</v>
      </c>
      <c r="AH243" s="22" t="s">
        <v>8184</v>
      </c>
      <c r="AI243" s="22">
        <v>8.632737136963E12</v>
      </c>
      <c r="AJ243" s="25"/>
      <c r="AK243" s="22">
        <v>6.714600653123E12</v>
      </c>
      <c r="AL243" s="22" t="s">
        <v>8133</v>
      </c>
      <c r="AM243" s="22">
        <v>2.3328908902723E13</v>
      </c>
      <c r="AN243" s="25"/>
      <c r="AO243" s="25"/>
      <c r="AP243" s="22" t="s">
        <v>8134</v>
      </c>
      <c r="AQ243" s="30" t="s">
        <v>8135</v>
      </c>
      <c r="AR243" s="30" t="b">
        <v>0</v>
      </c>
      <c r="AS243" s="30" t="b">
        <v>0</v>
      </c>
    </row>
    <row r="244">
      <c r="A244" s="21" t="s">
        <v>8953</v>
      </c>
      <c r="B244" s="22" t="s">
        <v>8140</v>
      </c>
      <c r="C244" s="22">
        <v>1.0</v>
      </c>
      <c r="D244" s="22" t="s">
        <v>8175</v>
      </c>
      <c r="E244" s="22" t="s">
        <v>8140</v>
      </c>
      <c r="F244" s="22" t="s">
        <v>8121</v>
      </c>
      <c r="G244" s="22" t="s">
        <v>89</v>
      </c>
      <c r="H244" s="22">
        <v>3.2700321661251E13</v>
      </c>
      <c r="I244" s="22" t="s">
        <v>89</v>
      </c>
      <c r="J244" s="24"/>
      <c r="K244" s="22">
        <v>4.2085703581939E13</v>
      </c>
      <c r="L244" s="24"/>
      <c r="M244" s="24"/>
      <c r="N244" s="22" t="s">
        <v>7018</v>
      </c>
      <c r="O244" s="22" t="s">
        <v>8954</v>
      </c>
      <c r="P244" s="22" t="s">
        <v>7018</v>
      </c>
      <c r="Q244" s="22" t="s">
        <v>8954</v>
      </c>
      <c r="R244" s="22" t="s">
        <v>8955</v>
      </c>
      <c r="S244" s="24"/>
      <c r="T244" s="40" t="s">
        <v>8956</v>
      </c>
      <c r="U244" s="22" t="s">
        <v>8957</v>
      </c>
      <c r="V244" s="24"/>
      <c r="W244" s="22" t="s">
        <v>8958</v>
      </c>
      <c r="X244" s="22" t="s">
        <v>8380</v>
      </c>
      <c r="Y244" s="24"/>
      <c r="Z244" s="24"/>
      <c r="AA244" s="22" t="s">
        <v>8129</v>
      </c>
      <c r="AB244" s="22" t="s">
        <v>8130</v>
      </c>
      <c r="AC244" s="25"/>
      <c r="AD244" s="22" t="s">
        <v>8131</v>
      </c>
      <c r="AE244" s="22" t="s">
        <v>8132</v>
      </c>
      <c r="AF244" s="24"/>
      <c r="AG244" s="22">
        <v>1.0439162069315E13</v>
      </c>
      <c r="AH244" s="22" t="s">
        <v>90</v>
      </c>
      <c r="AI244" s="22">
        <v>6.428557213939E12</v>
      </c>
      <c r="AJ244" s="25"/>
      <c r="AK244" s="24"/>
      <c r="AL244" s="22" t="s">
        <v>8134</v>
      </c>
      <c r="AM244" s="22">
        <v>6.436192190707E12</v>
      </c>
      <c r="AN244" s="25"/>
      <c r="AO244" s="25"/>
      <c r="AP244" s="22" t="s">
        <v>8134</v>
      </c>
      <c r="AQ244" s="30" t="s">
        <v>8150</v>
      </c>
      <c r="AR244" s="30" t="b">
        <v>0</v>
      </c>
      <c r="AS244" s="30" t="b">
        <v>0</v>
      </c>
    </row>
    <row r="245">
      <c r="A245" s="21" t="s">
        <v>8953</v>
      </c>
      <c r="B245" s="24"/>
      <c r="C245" s="24"/>
      <c r="D245" s="22" t="s">
        <v>8175</v>
      </c>
      <c r="E245" s="24"/>
      <c r="F245" s="22" t="s">
        <v>8136</v>
      </c>
      <c r="G245" s="24"/>
      <c r="H245" s="22">
        <v>9.496743018819E12</v>
      </c>
      <c r="I245" s="22" t="s">
        <v>89</v>
      </c>
      <c r="J245" s="24"/>
      <c r="K245" s="24"/>
      <c r="L245" s="24"/>
      <c r="M245" s="24"/>
      <c r="N245" s="22" t="s">
        <v>7018</v>
      </c>
      <c r="O245" s="22" t="s">
        <v>8954</v>
      </c>
      <c r="P245" s="22" t="s">
        <v>7018</v>
      </c>
      <c r="Q245" s="22" t="s">
        <v>8954</v>
      </c>
      <c r="R245" s="22" t="s">
        <v>8955</v>
      </c>
      <c r="S245" s="24"/>
      <c r="T245" s="40" t="s">
        <v>8956</v>
      </c>
      <c r="U245" s="22" t="s">
        <v>8957</v>
      </c>
      <c r="V245" s="24"/>
      <c r="W245" s="22" t="s">
        <v>8958</v>
      </c>
      <c r="X245" s="22" t="s">
        <v>8380</v>
      </c>
      <c r="Y245" s="24"/>
      <c r="Z245" s="24"/>
      <c r="AA245" s="22" t="s">
        <v>8129</v>
      </c>
      <c r="AB245" s="22" t="s">
        <v>8130</v>
      </c>
      <c r="AC245" s="25"/>
      <c r="AD245" s="24"/>
      <c r="AE245" s="22" t="s">
        <v>8132</v>
      </c>
      <c r="AF245" s="24"/>
      <c r="AG245" s="22">
        <v>1.0439162069315E13</v>
      </c>
      <c r="AH245" s="22" t="s">
        <v>8137</v>
      </c>
      <c r="AI245" s="22">
        <v>6.428557213939E12</v>
      </c>
      <c r="AJ245" s="25"/>
      <c r="AK245" s="24"/>
      <c r="AL245" s="22" t="s">
        <v>8136</v>
      </c>
      <c r="AM245" s="22">
        <v>6.436192190707E12</v>
      </c>
      <c r="AN245" s="25"/>
      <c r="AO245" s="25"/>
      <c r="AP245" s="22" t="s">
        <v>8136</v>
      </c>
      <c r="AQ245" s="30"/>
      <c r="AR245" s="30" t="b">
        <v>0</v>
      </c>
      <c r="AS245" s="30" t="b">
        <v>0</v>
      </c>
    </row>
    <row r="246">
      <c r="A246" s="21" t="s">
        <v>8953</v>
      </c>
      <c r="B246" s="22" t="s">
        <v>8140</v>
      </c>
      <c r="C246" s="22">
        <v>-1.0</v>
      </c>
      <c r="D246" s="22" t="s">
        <v>8175</v>
      </c>
      <c r="E246" s="22" t="s">
        <v>8140</v>
      </c>
      <c r="F246" s="22" t="s">
        <v>8121</v>
      </c>
      <c r="G246" s="22" t="s">
        <v>89</v>
      </c>
      <c r="H246" s="22">
        <v>3.2700321661251E13</v>
      </c>
      <c r="I246" s="22" t="s">
        <v>89</v>
      </c>
      <c r="J246" s="24"/>
      <c r="K246" s="22">
        <v>4.2085703581939E13</v>
      </c>
      <c r="L246" s="22" t="s">
        <v>8182</v>
      </c>
      <c r="M246" s="35" t="s">
        <v>8959</v>
      </c>
      <c r="N246" s="22" t="s">
        <v>7018</v>
      </c>
      <c r="O246" s="22" t="s">
        <v>8954</v>
      </c>
      <c r="P246" s="22" t="s">
        <v>7018</v>
      </c>
      <c r="Q246" s="22" t="s">
        <v>8954</v>
      </c>
      <c r="R246" s="22" t="s">
        <v>8955</v>
      </c>
      <c r="S246" s="24"/>
      <c r="T246" s="40" t="s">
        <v>8956</v>
      </c>
      <c r="U246" s="22" t="s">
        <v>8957</v>
      </c>
      <c r="V246" s="24"/>
      <c r="W246" s="22" t="s">
        <v>8958</v>
      </c>
      <c r="X246" s="22" t="s">
        <v>8380</v>
      </c>
      <c r="Y246" s="24"/>
      <c r="Z246" s="24"/>
      <c r="AA246" s="22" t="s">
        <v>8129</v>
      </c>
      <c r="AB246" s="22" t="s">
        <v>8130</v>
      </c>
      <c r="AC246" s="25"/>
      <c r="AD246" s="22" t="s">
        <v>8131</v>
      </c>
      <c r="AE246" s="22" t="s">
        <v>8132</v>
      </c>
      <c r="AF246" s="24"/>
      <c r="AG246" s="22">
        <v>1.0439162069315E13</v>
      </c>
      <c r="AH246" s="22" t="s">
        <v>8184</v>
      </c>
      <c r="AI246" s="22">
        <v>6.428557213939E12</v>
      </c>
      <c r="AJ246" s="25"/>
      <c r="AK246" s="22">
        <v>6.714600620355E12</v>
      </c>
      <c r="AL246" s="22" t="s">
        <v>8134</v>
      </c>
      <c r="AM246" s="22">
        <v>2.3314611863875E13</v>
      </c>
      <c r="AN246" s="25"/>
      <c r="AO246" s="25"/>
      <c r="AP246" s="22" t="s">
        <v>8136</v>
      </c>
      <c r="AQ246" s="30" t="s">
        <v>8150</v>
      </c>
      <c r="AR246" s="30" t="b">
        <v>0</v>
      </c>
      <c r="AS246" s="30" t="b">
        <v>0</v>
      </c>
    </row>
    <row r="247">
      <c r="A247" s="21" t="s">
        <v>8960</v>
      </c>
      <c r="B247" s="22" t="s">
        <v>8370</v>
      </c>
      <c r="C247" s="22">
        <v>1.0</v>
      </c>
      <c r="D247" s="22" t="s">
        <v>8203</v>
      </c>
      <c r="E247" s="22" t="s">
        <v>8370</v>
      </c>
      <c r="F247" s="22" t="s">
        <v>8155</v>
      </c>
      <c r="G247" s="24"/>
      <c r="H247" s="22">
        <v>3.2700326183235E13</v>
      </c>
      <c r="I247" s="24"/>
      <c r="J247" s="24"/>
      <c r="K247" s="22">
        <v>4.9521175494979E13</v>
      </c>
      <c r="L247" s="24"/>
      <c r="M247" s="24"/>
      <c r="N247" s="22" t="s">
        <v>3938</v>
      </c>
      <c r="O247" s="22" t="s">
        <v>8961</v>
      </c>
      <c r="P247" s="22" t="s">
        <v>3938</v>
      </c>
      <c r="Q247" s="22" t="s">
        <v>8961</v>
      </c>
      <c r="R247" s="22" t="s">
        <v>8962</v>
      </c>
      <c r="S247" s="24"/>
      <c r="T247" s="40" t="s">
        <v>8963</v>
      </c>
      <c r="U247" s="22" t="s">
        <v>8964</v>
      </c>
      <c r="V247" s="24"/>
      <c r="W247" s="22" t="s">
        <v>8965</v>
      </c>
      <c r="X247" s="22" t="s">
        <v>8966</v>
      </c>
      <c r="Y247" s="24"/>
      <c r="Z247" s="24"/>
      <c r="AA247" s="22" t="s">
        <v>8129</v>
      </c>
      <c r="AB247" s="22" t="s">
        <v>8130</v>
      </c>
      <c r="AC247" s="25"/>
      <c r="AD247" s="22" t="s">
        <v>8161</v>
      </c>
      <c r="AE247" s="22" t="s">
        <v>8132</v>
      </c>
      <c r="AF247" s="24"/>
      <c r="AG247" s="22">
        <v>1.0439164166467E13</v>
      </c>
      <c r="AH247" s="22" t="s">
        <v>90</v>
      </c>
      <c r="AI247" s="22">
        <v>8.659858358595E12</v>
      </c>
      <c r="AJ247" s="25"/>
      <c r="AK247" s="24"/>
      <c r="AL247" s="22" t="s">
        <v>8138</v>
      </c>
      <c r="AM247" s="22">
        <v>2.3335698923843E13</v>
      </c>
      <c r="AN247" s="25"/>
      <c r="AO247" s="25"/>
      <c r="AP247" s="22" t="s">
        <v>8134</v>
      </c>
      <c r="AQ247" s="30" t="s">
        <v>91</v>
      </c>
      <c r="AR247" s="30" t="b">
        <v>0</v>
      </c>
      <c r="AS247" s="30" t="b">
        <v>1</v>
      </c>
    </row>
    <row r="248">
      <c r="A248" s="21" t="s">
        <v>8960</v>
      </c>
      <c r="B248" s="24"/>
      <c r="C248" s="24"/>
      <c r="D248" s="22" t="s">
        <v>8203</v>
      </c>
      <c r="E248" s="24"/>
      <c r="F248" s="22" t="s">
        <v>8149</v>
      </c>
      <c r="G248" s="24"/>
      <c r="H248" s="22">
        <v>9.496745050435E12</v>
      </c>
      <c r="I248" s="24"/>
      <c r="J248" s="24"/>
      <c r="K248" s="24"/>
      <c r="L248" s="24"/>
      <c r="M248" s="24"/>
      <c r="N248" s="22" t="s">
        <v>3938</v>
      </c>
      <c r="O248" s="22" t="s">
        <v>8961</v>
      </c>
      <c r="P248" s="22" t="s">
        <v>3938</v>
      </c>
      <c r="Q248" s="22" t="s">
        <v>8961</v>
      </c>
      <c r="R248" s="22" t="s">
        <v>8962</v>
      </c>
      <c r="S248" s="24"/>
      <c r="T248" s="40" t="s">
        <v>8963</v>
      </c>
      <c r="U248" s="22" t="s">
        <v>8964</v>
      </c>
      <c r="V248" s="24"/>
      <c r="W248" s="22" t="s">
        <v>8965</v>
      </c>
      <c r="X248" s="22" t="s">
        <v>8966</v>
      </c>
      <c r="Y248" s="24"/>
      <c r="Z248" s="24"/>
      <c r="AA248" s="22" t="s">
        <v>8129</v>
      </c>
      <c r="AB248" s="22" t="s">
        <v>8130</v>
      </c>
      <c r="AC248" s="25"/>
      <c r="AD248" s="24"/>
      <c r="AE248" s="22" t="s">
        <v>8132</v>
      </c>
      <c r="AF248" s="24"/>
      <c r="AG248" s="22">
        <v>1.0439164166467E13</v>
      </c>
      <c r="AH248" s="22" t="s">
        <v>8137</v>
      </c>
      <c r="AI248" s="22">
        <v>8.659858358595E12</v>
      </c>
      <c r="AJ248" s="25"/>
      <c r="AK248" s="24"/>
      <c r="AL248" s="22" t="s">
        <v>8149</v>
      </c>
      <c r="AM248" s="22">
        <v>2.3313300980035E13</v>
      </c>
      <c r="AN248" s="25"/>
      <c r="AO248" s="25"/>
      <c r="AP248" s="22" t="s">
        <v>8149</v>
      </c>
      <c r="AQ248" s="30"/>
      <c r="AR248" s="30" t="b">
        <v>0</v>
      </c>
      <c r="AS248" s="30" t="b">
        <v>0</v>
      </c>
    </row>
    <row r="249">
      <c r="A249" s="21" t="s">
        <v>8967</v>
      </c>
      <c r="B249" s="22" t="s">
        <v>8119</v>
      </c>
      <c r="C249" s="22">
        <v>1.0</v>
      </c>
      <c r="D249" s="22" t="s">
        <v>8968</v>
      </c>
      <c r="E249" s="22" t="s">
        <v>8119</v>
      </c>
      <c r="F249" s="22" t="s">
        <v>8121</v>
      </c>
      <c r="G249" s="24"/>
      <c r="H249" s="22">
        <v>3.2700419309891E13</v>
      </c>
      <c r="I249" s="24"/>
      <c r="J249" s="24"/>
      <c r="K249" s="22">
        <v>4.2085703549171E13</v>
      </c>
      <c r="L249" s="24"/>
      <c r="M249" s="24"/>
      <c r="N249" s="22" t="s">
        <v>7182</v>
      </c>
      <c r="O249" s="22" t="s">
        <v>8969</v>
      </c>
      <c r="P249" s="22" t="s">
        <v>7182</v>
      </c>
      <c r="Q249" s="22" t="s">
        <v>8969</v>
      </c>
      <c r="R249" s="22" t="s">
        <v>8970</v>
      </c>
      <c r="S249" s="24"/>
      <c r="T249" s="40" t="s">
        <v>8971</v>
      </c>
      <c r="U249" s="22" t="s">
        <v>8972</v>
      </c>
      <c r="V249" s="24"/>
      <c r="W249" s="22" t="s">
        <v>8973</v>
      </c>
      <c r="X249" s="40" t="s">
        <v>8974</v>
      </c>
      <c r="Y249" s="24"/>
      <c r="Z249" s="24"/>
      <c r="AA249" s="22" t="s">
        <v>8129</v>
      </c>
      <c r="AB249" s="22" t="s">
        <v>8130</v>
      </c>
      <c r="AC249" s="25"/>
      <c r="AD249" s="22" t="s">
        <v>8131</v>
      </c>
      <c r="AE249" s="22" t="s">
        <v>8132</v>
      </c>
      <c r="AF249" s="24"/>
      <c r="AG249" s="22">
        <v>1.0439203094851E13</v>
      </c>
      <c r="AH249" s="22" t="s">
        <v>90</v>
      </c>
      <c r="AI249" s="22">
        <v>8.609434665283E12</v>
      </c>
      <c r="AJ249" s="25"/>
      <c r="AK249" s="24"/>
      <c r="AL249" s="22" t="s">
        <v>8133</v>
      </c>
      <c r="AM249" s="22">
        <v>6.445235339507E12</v>
      </c>
      <c r="AN249" s="25"/>
      <c r="AO249" s="25"/>
      <c r="AP249" s="22" t="s">
        <v>8134</v>
      </c>
      <c r="AQ249" s="30" t="s">
        <v>8135</v>
      </c>
      <c r="AR249" s="30" t="b">
        <v>0</v>
      </c>
      <c r="AS249" s="30" t="b">
        <v>0</v>
      </c>
    </row>
    <row r="250">
      <c r="A250" s="21" t="s">
        <v>8967</v>
      </c>
      <c r="B250" s="24"/>
      <c r="C250" s="24"/>
      <c r="D250" s="22" t="s">
        <v>8968</v>
      </c>
      <c r="E250" s="24"/>
      <c r="F250" s="22" t="s">
        <v>8136</v>
      </c>
      <c r="G250" s="24"/>
      <c r="H250" s="22">
        <v>9.496781750595E12</v>
      </c>
      <c r="I250" s="24"/>
      <c r="J250" s="24"/>
      <c r="K250" s="24"/>
      <c r="L250" s="24"/>
      <c r="M250" s="24"/>
      <c r="N250" s="22" t="s">
        <v>7182</v>
      </c>
      <c r="O250" s="22" t="s">
        <v>8969</v>
      </c>
      <c r="P250" s="22" t="s">
        <v>7182</v>
      </c>
      <c r="Q250" s="22" t="s">
        <v>8969</v>
      </c>
      <c r="R250" s="22" t="s">
        <v>8970</v>
      </c>
      <c r="S250" s="24"/>
      <c r="T250" s="40" t="s">
        <v>8971</v>
      </c>
      <c r="U250" s="22" t="s">
        <v>8972</v>
      </c>
      <c r="V250" s="24"/>
      <c r="W250" s="22" t="s">
        <v>8973</v>
      </c>
      <c r="X250" s="40" t="s">
        <v>8974</v>
      </c>
      <c r="Y250" s="24"/>
      <c r="Z250" s="24"/>
      <c r="AA250" s="22" t="s">
        <v>8129</v>
      </c>
      <c r="AB250" s="22" t="s">
        <v>8130</v>
      </c>
      <c r="AC250" s="25"/>
      <c r="AD250" s="24"/>
      <c r="AE250" s="22" t="s">
        <v>8132</v>
      </c>
      <c r="AF250" s="24"/>
      <c r="AG250" s="22">
        <v>1.0439203094851E13</v>
      </c>
      <c r="AH250" s="22" t="s">
        <v>8137</v>
      </c>
      <c r="AI250" s="22">
        <v>8.609434665283E12</v>
      </c>
      <c r="AJ250" s="25"/>
      <c r="AK250" s="24"/>
      <c r="AL250" s="22" t="s">
        <v>8136</v>
      </c>
      <c r="AM250" s="22">
        <v>6.445235339507E12</v>
      </c>
      <c r="AN250" s="25"/>
      <c r="AO250" s="25"/>
      <c r="AP250" s="22" t="s">
        <v>8136</v>
      </c>
      <c r="AQ250" s="30"/>
      <c r="AR250" s="30" t="b">
        <v>0</v>
      </c>
      <c r="AS250" s="30" t="b">
        <v>0</v>
      </c>
    </row>
    <row r="251">
      <c r="A251" s="21" t="s">
        <v>8975</v>
      </c>
      <c r="B251" s="22" t="s">
        <v>8140</v>
      </c>
      <c r="C251" s="22">
        <v>1.0</v>
      </c>
      <c r="D251" s="22" t="s">
        <v>8221</v>
      </c>
      <c r="E251" s="22" t="s">
        <v>8140</v>
      </c>
      <c r="F251" s="22" t="s">
        <v>8121</v>
      </c>
      <c r="G251" s="24"/>
      <c r="H251" s="22">
        <v>3.2700217295171E13</v>
      </c>
      <c r="I251" s="24"/>
      <c r="J251" s="24"/>
      <c r="K251" s="22">
        <v>4.2085703581939E13</v>
      </c>
      <c r="L251" s="24"/>
      <c r="M251" s="24"/>
      <c r="N251" s="22" t="s">
        <v>4368</v>
      </c>
      <c r="O251" s="22" t="s">
        <v>4445</v>
      </c>
      <c r="P251" s="22" t="s">
        <v>4368</v>
      </c>
      <c r="Q251" s="22" t="s">
        <v>4445</v>
      </c>
      <c r="R251" s="22" t="s">
        <v>8976</v>
      </c>
      <c r="S251" s="24"/>
      <c r="T251" s="40" t="s">
        <v>8977</v>
      </c>
      <c r="U251" s="22" t="s">
        <v>8978</v>
      </c>
      <c r="V251" s="24"/>
      <c r="W251" s="22" t="s">
        <v>8979</v>
      </c>
      <c r="X251" s="22" t="s">
        <v>8980</v>
      </c>
      <c r="Y251" s="24"/>
      <c r="Z251" s="24"/>
      <c r="AA251" s="22" t="s">
        <v>8129</v>
      </c>
      <c r="AB251" s="22" t="s">
        <v>8130</v>
      </c>
      <c r="AC251" s="25"/>
      <c r="AD251" s="22" t="s">
        <v>8131</v>
      </c>
      <c r="AE251" s="22" t="s">
        <v>8132</v>
      </c>
      <c r="AF251" s="24"/>
      <c r="AG251" s="22">
        <v>1.0439115112771E13</v>
      </c>
      <c r="AH251" s="22" t="s">
        <v>90</v>
      </c>
      <c r="AI251" s="22">
        <v>2.3398529794371E13</v>
      </c>
      <c r="AJ251" s="25"/>
      <c r="AK251" s="24"/>
      <c r="AL251" s="22" t="s">
        <v>8134</v>
      </c>
      <c r="AM251" s="22">
        <v>2.3345688707395E13</v>
      </c>
      <c r="AN251" s="25"/>
      <c r="AO251" s="25"/>
      <c r="AP251" s="22" t="s">
        <v>8117</v>
      </c>
      <c r="AQ251" s="30" t="s">
        <v>8150</v>
      </c>
      <c r="AR251" s="30" t="b">
        <v>0</v>
      </c>
      <c r="AS251" s="30" t="b">
        <v>0</v>
      </c>
    </row>
    <row r="252">
      <c r="A252" s="21" t="s">
        <v>8975</v>
      </c>
      <c r="B252" s="24"/>
      <c r="C252" s="24"/>
      <c r="D252" s="22" t="s">
        <v>8221</v>
      </c>
      <c r="E252" s="24"/>
      <c r="F252" s="22" t="s">
        <v>8136</v>
      </c>
      <c r="G252" s="24"/>
      <c r="H252" s="22">
        <v>9.496698814787E12</v>
      </c>
      <c r="I252" s="24"/>
      <c r="J252" s="24"/>
      <c r="K252" s="24"/>
      <c r="L252" s="24"/>
      <c r="M252" s="24"/>
      <c r="N252" s="22" t="s">
        <v>4368</v>
      </c>
      <c r="O252" s="22" t="s">
        <v>4445</v>
      </c>
      <c r="P252" s="22" t="s">
        <v>4368</v>
      </c>
      <c r="Q252" s="22" t="s">
        <v>4445</v>
      </c>
      <c r="R252" s="22" t="s">
        <v>8976</v>
      </c>
      <c r="S252" s="24"/>
      <c r="T252" s="40" t="s">
        <v>8977</v>
      </c>
      <c r="U252" s="22" t="s">
        <v>8978</v>
      </c>
      <c r="V252" s="24"/>
      <c r="W252" s="22" t="s">
        <v>8979</v>
      </c>
      <c r="X252" s="22" t="s">
        <v>8980</v>
      </c>
      <c r="Y252" s="24"/>
      <c r="Z252" s="24"/>
      <c r="AA252" s="22" t="s">
        <v>8129</v>
      </c>
      <c r="AB252" s="22" t="s">
        <v>8130</v>
      </c>
      <c r="AC252" s="25"/>
      <c r="AD252" s="25"/>
      <c r="AE252" s="22" t="s">
        <v>8132</v>
      </c>
      <c r="AF252" s="24"/>
      <c r="AG252" s="22">
        <v>1.0439115112771E13</v>
      </c>
      <c r="AH252" s="22" t="s">
        <v>8137</v>
      </c>
      <c r="AI252" s="22">
        <v>2.3398529794371E13</v>
      </c>
      <c r="AJ252" s="25"/>
      <c r="AK252" s="24"/>
      <c r="AL252" s="22" t="s">
        <v>8136</v>
      </c>
      <c r="AM252" s="22">
        <v>2.3345688707395E13</v>
      </c>
      <c r="AN252" s="25"/>
      <c r="AO252" s="25"/>
      <c r="AP252" s="22" t="s">
        <v>8149</v>
      </c>
      <c r="AQ252" s="30"/>
      <c r="AR252" s="30" t="b">
        <v>0</v>
      </c>
      <c r="AS252" s="30" t="b">
        <v>0</v>
      </c>
    </row>
    <row r="253">
      <c r="A253" s="21" t="s">
        <v>8981</v>
      </c>
      <c r="B253" s="22" t="s">
        <v>8140</v>
      </c>
      <c r="C253" s="22">
        <v>1.0</v>
      </c>
      <c r="D253" s="22" t="s">
        <v>8141</v>
      </c>
      <c r="E253" s="22" t="s">
        <v>8140</v>
      </c>
      <c r="F253" s="22" t="s">
        <v>8121</v>
      </c>
      <c r="G253" s="24"/>
      <c r="H253" s="22">
        <v>3.2700512174403E13</v>
      </c>
      <c r="I253" s="24"/>
      <c r="J253" s="24"/>
      <c r="K253" s="22">
        <v>4.2085703581939E13</v>
      </c>
      <c r="L253" s="24"/>
      <c r="M253" s="24"/>
      <c r="N253" s="22" t="s">
        <v>8982</v>
      </c>
      <c r="O253" s="22" t="s">
        <v>8983</v>
      </c>
      <c r="P253" s="22" t="s">
        <v>3746</v>
      </c>
      <c r="Q253" s="22" t="s">
        <v>8983</v>
      </c>
      <c r="R253" s="22" t="s">
        <v>8984</v>
      </c>
      <c r="S253" s="24"/>
      <c r="T253" s="40" t="s">
        <v>8985</v>
      </c>
      <c r="U253" s="22" t="s">
        <v>8986</v>
      </c>
      <c r="V253" s="24"/>
      <c r="W253" s="22" t="s">
        <v>8987</v>
      </c>
      <c r="X253" s="22" t="s">
        <v>8988</v>
      </c>
      <c r="Y253" s="24"/>
      <c r="Z253" s="24"/>
      <c r="AA253" s="22" t="s">
        <v>8129</v>
      </c>
      <c r="AB253" s="22" t="s">
        <v>8130</v>
      </c>
      <c r="AC253" s="25"/>
      <c r="AD253" s="22" t="s">
        <v>8131</v>
      </c>
      <c r="AE253" s="22" t="s">
        <v>8132</v>
      </c>
      <c r="AF253" s="24"/>
      <c r="AG253" s="22">
        <v>1.0439245693251E13</v>
      </c>
      <c r="AH253" s="22" t="s">
        <v>90</v>
      </c>
      <c r="AI253" s="22">
        <v>6.472867315955E12</v>
      </c>
      <c r="AJ253" s="25"/>
      <c r="AK253" s="24"/>
      <c r="AL253" s="22" t="s">
        <v>8134</v>
      </c>
      <c r="AM253" s="22">
        <v>8.499012927811E12</v>
      </c>
      <c r="AN253" s="25"/>
      <c r="AO253" s="25"/>
      <c r="AP253" s="22" t="s">
        <v>8243</v>
      </c>
      <c r="AQ253" s="30" t="s">
        <v>8150</v>
      </c>
      <c r="AR253" s="30" t="b">
        <v>0</v>
      </c>
      <c r="AS253" s="30" t="b">
        <v>0</v>
      </c>
    </row>
    <row r="254">
      <c r="A254" s="21" t="s">
        <v>8981</v>
      </c>
      <c r="B254" s="24"/>
      <c r="C254" s="24"/>
      <c r="D254" s="22" t="s">
        <v>8141</v>
      </c>
      <c r="E254" s="24"/>
      <c r="F254" s="22" t="s">
        <v>8136</v>
      </c>
      <c r="G254" s="24"/>
      <c r="H254" s="22">
        <v>9.496822055235E12</v>
      </c>
      <c r="I254" s="24"/>
      <c r="J254" s="24"/>
      <c r="K254" s="24"/>
      <c r="L254" s="24"/>
      <c r="M254" s="24"/>
      <c r="N254" s="22" t="s">
        <v>8982</v>
      </c>
      <c r="O254" s="22" t="s">
        <v>8983</v>
      </c>
      <c r="P254" s="22" t="s">
        <v>3746</v>
      </c>
      <c r="Q254" s="22" t="s">
        <v>8983</v>
      </c>
      <c r="R254" s="22" t="s">
        <v>8984</v>
      </c>
      <c r="S254" s="24"/>
      <c r="T254" s="40" t="s">
        <v>8985</v>
      </c>
      <c r="U254" s="22" t="s">
        <v>8986</v>
      </c>
      <c r="V254" s="24"/>
      <c r="W254" s="22" t="s">
        <v>8987</v>
      </c>
      <c r="X254" s="22" t="s">
        <v>8988</v>
      </c>
      <c r="Y254" s="24"/>
      <c r="Z254" s="24"/>
      <c r="AA254" s="22" t="s">
        <v>8129</v>
      </c>
      <c r="AB254" s="22" t="s">
        <v>8130</v>
      </c>
      <c r="AC254" s="25"/>
      <c r="AD254" s="25"/>
      <c r="AE254" s="22" t="s">
        <v>8132</v>
      </c>
      <c r="AF254" s="24"/>
      <c r="AG254" s="22">
        <v>1.0439245693251E13</v>
      </c>
      <c r="AH254" s="22" t="s">
        <v>8137</v>
      </c>
      <c r="AI254" s="22">
        <v>6.472867315955E12</v>
      </c>
      <c r="AJ254" s="25"/>
      <c r="AK254" s="24"/>
      <c r="AL254" s="22" t="s">
        <v>8136</v>
      </c>
      <c r="AM254" s="22">
        <v>8.499012927811E12</v>
      </c>
      <c r="AN254" s="25"/>
      <c r="AO254" s="25"/>
      <c r="AP254" s="22" t="s">
        <v>8117</v>
      </c>
      <c r="AQ254" s="30"/>
      <c r="AR254" s="30" t="b">
        <v>0</v>
      </c>
      <c r="AS254" s="30" t="b">
        <v>0</v>
      </c>
    </row>
    <row r="255">
      <c r="A255" s="21" t="s">
        <v>8989</v>
      </c>
      <c r="B255" s="22" t="s">
        <v>8403</v>
      </c>
      <c r="C255" s="22">
        <v>2.0</v>
      </c>
      <c r="D255" s="22" t="s">
        <v>8990</v>
      </c>
      <c r="E255" s="22" t="s">
        <v>8403</v>
      </c>
      <c r="F255" s="22" t="s">
        <v>8155</v>
      </c>
      <c r="G255" s="24"/>
      <c r="H255" s="22">
        <v>3.2696612028739E13</v>
      </c>
      <c r="I255" s="24"/>
      <c r="J255" s="22" t="s">
        <v>8991</v>
      </c>
      <c r="K255" s="22">
        <v>4.7338059825475E13</v>
      </c>
      <c r="L255" s="24"/>
      <c r="M255" s="24"/>
      <c r="N255" s="22" t="s">
        <v>5826</v>
      </c>
      <c r="O255" s="22" t="s">
        <v>8992</v>
      </c>
      <c r="P255" s="22" t="s">
        <v>5826</v>
      </c>
      <c r="Q255" s="22" t="s">
        <v>8992</v>
      </c>
      <c r="R255" s="22" t="s">
        <v>8993</v>
      </c>
      <c r="S255" s="24"/>
      <c r="T255" s="40" t="s">
        <v>8994</v>
      </c>
      <c r="U255" s="22" t="s">
        <v>8995</v>
      </c>
      <c r="V255" s="24"/>
      <c r="W255" s="22" t="s">
        <v>8996</v>
      </c>
      <c r="X255" s="22" t="s">
        <v>8997</v>
      </c>
      <c r="Y255" s="24"/>
      <c r="Z255" s="24"/>
      <c r="AA255" s="22" t="s">
        <v>8129</v>
      </c>
      <c r="AB255" s="22" t="s">
        <v>8130</v>
      </c>
      <c r="AC255" s="25"/>
      <c r="AD255" s="22" t="s">
        <v>8161</v>
      </c>
      <c r="AE255" s="22" t="s">
        <v>8132</v>
      </c>
      <c r="AF255" s="24"/>
      <c r="AG255" s="22">
        <v>1.0437464228163E13</v>
      </c>
      <c r="AH255" s="22" t="s">
        <v>90</v>
      </c>
      <c r="AI255" s="22">
        <v>2.3395655287107E13</v>
      </c>
      <c r="AJ255" s="25"/>
      <c r="AK255" s="24"/>
      <c r="AL255" s="22" t="s">
        <v>8243</v>
      </c>
      <c r="AM255" s="22">
        <v>8.499012927811E12</v>
      </c>
      <c r="AN255" s="25"/>
      <c r="AO255" s="25"/>
      <c r="AP255" s="22" t="s">
        <v>8149</v>
      </c>
      <c r="AQ255" s="30" t="s">
        <v>95</v>
      </c>
      <c r="AR255" s="30" t="b">
        <v>0</v>
      </c>
      <c r="AS255" s="30" t="b">
        <v>0</v>
      </c>
    </row>
    <row r="256">
      <c r="A256" s="21" t="s">
        <v>8989</v>
      </c>
      <c r="B256" s="24"/>
      <c r="C256" s="24"/>
      <c r="D256" s="22" t="s">
        <v>8990</v>
      </c>
      <c r="E256" s="24"/>
      <c r="F256" s="22" t="s">
        <v>8320</v>
      </c>
      <c r="G256" s="24"/>
      <c r="H256" s="22">
        <v>9.495266132291E12</v>
      </c>
      <c r="I256" s="24"/>
      <c r="J256" s="24"/>
      <c r="K256" s="24"/>
      <c r="L256" s="29"/>
      <c r="M256" s="24"/>
      <c r="N256" s="22" t="s">
        <v>5826</v>
      </c>
      <c r="O256" s="22" t="s">
        <v>8992</v>
      </c>
      <c r="P256" s="22" t="s">
        <v>5826</v>
      </c>
      <c r="Q256" s="22" t="s">
        <v>8992</v>
      </c>
      <c r="R256" s="22" t="s">
        <v>8993</v>
      </c>
      <c r="S256" s="25"/>
      <c r="T256" s="40" t="s">
        <v>8994</v>
      </c>
      <c r="U256" s="22" t="s">
        <v>8995</v>
      </c>
      <c r="V256" s="24"/>
      <c r="W256" s="22" t="s">
        <v>8996</v>
      </c>
      <c r="X256" s="22" t="s">
        <v>8997</v>
      </c>
      <c r="Y256" s="24"/>
      <c r="Z256" s="24"/>
      <c r="AA256" s="22" t="s">
        <v>8129</v>
      </c>
      <c r="AB256" s="22" t="s">
        <v>8130</v>
      </c>
      <c r="AC256" s="25"/>
      <c r="AD256" s="25"/>
      <c r="AE256" s="22" t="s">
        <v>8132</v>
      </c>
      <c r="AF256" s="25"/>
      <c r="AG256" s="22">
        <v>1.0437464228163E13</v>
      </c>
      <c r="AH256" s="22" t="s">
        <v>8137</v>
      </c>
      <c r="AI256" s="22">
        <v>2.3395655287107E13</v>
      </c>
      <c r="AJ256" s="25"/>
      <c r="AK256" s="25"/>
      <c r="AL256" s="22" t="s">
        <v>8320</v>
      </c>
      <c r="AR256" s="32" t="b">
        <v>0</v>
      </c>
      <c r="AS256" s="32" t="b">
        <v>0</v>
      </c>
    </row>
    <row r="257">
      <c r="A257" s="21" t="s">
        <v>8998</v>
      </c>
      <c r="B257" s="22" t="s">
        <v>8429</v>
      </c>
      <c r="C257" s="22">
        <v>1.0</v>
      </c>
      <c r="D257" s="22" t="s">
        <v>8968</v>
      </c>
      <c r="E257" s="22" t="s">
        <v>8429</v>
      </c>
      <c r="F257" s="22" t="s">
        <v>8155</v>
      </c>
      <c r="G257" s="24"/>
      <c r="H257" s="22">
        <v>3.2698986561859E13</v>
      </c>
      <c r="I257" s="24"/>
      <c r="J257" s="24"/>
      <c r="K257" s="22">
        <v>4.9521175527747E13</v>
      </c>
      <c r="L257" s="29"/>
      <c r="M257" s="24"/>
      <c r="N257" s="22" t="s">
        <v>6435</v>
      </c>
      <c r="O257" s="22" t="s">
        <v>7815</v>
      </c>
      <c r="P257" s="22" t="s">
        <v>6435</v>
      </c>
      <c r="Q257" s="22" t="s">
        <v>7815</v>
      </c>
      <c r="R257" s="22" t="s">
        <v>8999</v>
      </c>
      <c r="S257" s="25"/>
      <c r="T257" s="40" t="s">
        <v>9000</v>
      </c>
      <c r="U257" s="22" t="s">
        <v>9001</v>
      </c>
      <c r="V257" s="24"/>
      <c r="W257" s="22" t="s">
        <v>9002</v>
      </c>
      <c r="X257" s="22" t="s">
        <v>9003</v>
      </c>
      <c r="Y257" s="24"/>
      <c r="Z257" s="24"/>
      <c r="AA257" s="22" t="s">
        <v>8129</v>
      </c>
      <c r="AB257" s="22" t="s">
        <v>8130</v>
      </c>
      <c r="AC257" s="25"/>
      <c r="AD257" s="22" t="s">
        <v>8161</v>
      </c>
      <c r="AE257" s="22" t="s">
        <v>8132</v>
      </c>
      <c r="AF257" s="25"/>
      <c r="AG257" s="22">
        <v>1.0438553338179E13</v>
      </c>
      <c r="AH257" s="22" t="s">
        <v>90</v>
      </c>
      <c r="AI257" s="22">
        <v>8.597518319939E12</v>
      </c>
      <c r="AJ257" s="25"/>
      <c r="AK257" s="25"/>
      <c r="AL257" s="22" t="s">
        <v>8201</v>
      </c>
      <c r="AQ257" s="32" t="s">
        <v>95</v>
      </c>
      <c r="AR257" s="32" t="b">
        <v>0</v>
      </c>
      <c r="AS257" s="32" t="b">
        <v>1</v>
      </c>
    </row>
    <row r="258">
      <c r="A258" s="21" t="s">
        <v>8998</v>
      </c>
      <c r="B258" s="24"/>
      <c r="C258" s="24"/>
      <c r="D258" s="22" t="s">
        <v>8968</v>
      </c>
      <c r="E258" s="24"/>
      <c r="F258" s="22" t="s">
        <v>8149</v>
      </c>
      <c r="G258" s="24"/>
      <c r="H258" s="22">
        <v>9.496220926275E12</v>
      </c>
      <c r="I258" s="24"/>
      <c r="J258" s="24"/>
      <c r="K258" s="24"/>
      <c r="L258" s="29"/>
      <c r="M258" s="24"/>
      <c r="N258" s="22" t="s">
        <v>6435</v>
      </c>
      <c r="O258" s="22" t="s">
        <v>7815</v>
      </c>
      <c r="P258" s="22" t="s">
        <v>6435</v>
      </c>
      <c r="Q258" s="22" t="s">
        <v>7815</v>
      </c>
      <c r="R258" s="22" t="s">
        <v>8999</v>
      </c>
      <c r="S258" s="25"/>
      <c r="T258" s="40" t="s">
        <v>9000</v>
      </c>
      <c r="U258" s="22" t="s">
        <v>9001</v>
      </c>
      <c r="V258" s="24"/>
      <c r="W258" s="22" t="s">
        <v>9002</v>
      </c>
      <c r="X258" s="22" t="s">
        <v>9003</v>
      </c>
      <c r="Y258" s="24"/>
      <c r="Z258" s="24"/>
      <c r="AA258" s="22" t="s">
        <v>8129</v>
      </c>
      <c r="AB258" s="22" t="s">
        <v>8130</v>
      </c>
      <c r="AC258" s="25"/>
      <c r="AD258" s="25"/>
      <c r="AE258" s="22" t="s">
        <v>8132</v>
      </c>
      <c r="AF258" s="25"/>
      <c r="AG258" s="22">
        <v>1.0438553338179E13</v>
      </c>
      <c r="AH258" s="22" t="s">
        <v>8137</v>
      </c>
      <c r="AI258" s="22">
        <v>8.597518319939E12</v>
      </c>
      <c r="AJ258" s="25"/>
      <c r="AK258" s="25"/>
      <c r="AL258" s="22" t="s">
        <v>8149</v>
      </c>
      <c r="AR258" s="32" t="b">
        <v>0</v>
      </c>
      <c r="AS258" s="32" t="b">
        <v>0</v>
      </c>
    </row>
    <row r="259">
      <c r="A259" s="21" t="s">
        <v>9004</v>
      </c>
      <c r="B259" s="22" t="s">
        <v>8707</v>
      </c>
      <c r="C259" s="22">
        <v>1.0</v>
      </c>
      <c r="D259" s="22" t="s">
        <v>8371</v>
      </c>
      <c r="E259" s="22" t="s">
        <v>8707</v>
      </c>
      <c r="F259" s="22" t="s">
        <v>8155</v>
      </c>
      <c r="G259" s="24"/>
      <c r="H259" s="22">
        <v>3.2701723738435E13</v>
      </c>
      <c r="I259" s="24"/>
      <c r="J259" s="24"/>
      <c r="K259" s="22">
        <v>4.9521175429443E13</v>
      </c>
      <c r="L259" s="34"/>
      <c r="M259" s="24"/>
      <c r="N259" s="22" t="s">
        <v>7502</v>
      </c>
      <c r="O259" s="22" t="s">
        <v>3927</v>
      </c>
      <c r="P259" s="22" t="s">
        <v>7502</v>
      </c>
      <c r="Q259" s="22" t="s">
        <v>3927</v>
      </c>
      <c r="R259" s="22" t="s">
        <v>9005</v>
      </c>
      <c r="S259" s="25"/>
      <c r="T259" s="40" t="s">
        <v>9006</v>
      </c>
      <c r="U259" s="22" t="s">
        <v>9007</v>
      </c>
      <c r="V259" s="24"/>
      <c r="W259" s="22" t="s">
        <v>9008</v>
      </c>
      <c r="X259" s="22" t="s">
        <v>8289</v>
      </c>
      <c r="Y259" s="24"/>
      <c r="Z259" s="24"/>
      <c r="AA259" s="22" t="s">
        <v>8129</v>
      </c>
      <c r="AB259" s="22" t="s">
        <v>8130</v>
      </c>
      <c r="AC259" s="25"/>
      <c r="AD259" s="22" t="s">
        <v>8161</v>
      </c>
      <c r="AE259" s="22" t="s">
        <v>8132</v>
      </c>
      <c r="AF259" s="25"/>
      <c r="AG259" s="22">
        <v>1.0439854555459E13</v>
      </c>
      <c r="AH259" s="22" t="s">
        <v>90</v>
      </c>
      <c r="AI259" s="22">
        <v>5.971319161075E12</v>
      </c>
      <c r="AJ259" s="25"/>
      <c r="AK259" s="25"/>
      <c r="AL259" s="22" t="s">
        <v>8336</v>
      </c>
      <c r="AQ259" s="32" t="s">
        <v>54</v>
      </c>
      <c r="AR259" s="32" t="b">
        <v>0</v>
      </c>
      <c r="AS259" s="32" t="b">
        <v>1</v>
      </c>
    </row>
    <row r="260">
      <c r="A260" s="21" t="s">
        <v>9004</v>
      </c>
      <c r="B260" s="24"/>
      <c r="C260" s="24"/>
      <c r="D260" s="22" t="s">
        <v>8371</v>
      </c>
      <c r="E260" s="24"/>
      <c r="F260" s="22" t="s">
        <v>8149</v>
      </c>
      <c r="G260" s="24"/>
      <c r="H260" s="22">
        <v>9.497381667139E12</v>
      </c>
      <c r="I260" s="24"/>
      <c r="J260" s="24"/>
      <c r="K260" s="24"/>
      <c r="L260" s="34"/>
      <c r="M260" s="24"/>
      <c r="N260" s="22" t="s">
        <v>7502</v>
      </c>
      <c r="O260" s="22" t="s">
        <v>3927</v>
      </c>
      <c r="P260" s="22" t="s">
        <v>7502</v>
      </c>
      <c r="Q260" s="22" t="s">
        <v>3927</v>
      </c>
      <c r="R260" s="22" t="s">
        <v>9005</v>
      </c>
      <c r="S260" s="25"/>
      <c r="T260" s="40" t="s">
        <v>9006</v>
      </c>
      <c r="U260" s="22" t="s">
        <v>9007</v>
      </c>
      <c r="V260" s="24"/>
      <c r="W260" s="22" t="s">
        <v>9008</v>
      </c>
      <c r="X260" s="22" t="s">
        <v>8289</v>
      </c>
      <c r="Y260" s="24"/>
      <c r="Z260" s="24"/>
      <c r="AA260" s="22" t="s">
        <v>8129</v>
      </c>
      <c r="AB260" s="22" t="s">
        <v>8130</v>
      </c>
      <c r="AC260" s="25"/>
      <c r="AD260" s="25"/>
      <c r="AE260" s="22" t="s">
        <v>8132</v>
      </c>
      <c r="AF260" s="25"/>
      <c r="AG260" s="22">
        <v>1.0439854555459E13</v>
      </c>
      <c r="AH260" s="22" t="s">
        <v>8137</v>
      </c>
      <c r="AI260" s="22">
        <v>5.971319161075E12</v>
      </c>
      <c r="AJ260" s="25"/>
      <c r="AK260" s="25"/>
      <c r="AL260" s="22" t="s">
        <v>8149</v>
      </c>
      <c r="AR260" s="32" t="b">
        <v>0</v>
      </c>
      <c r="AS260" s="32" t="b">
        <v>0</v>
      </c>
    </row>
    <row r="261">
      <c r="A261" s="21" t="s">
        <v>9009</v>
      </c>
      <c r="B261" s="22" t="s">
        <v>8140</v>
      </c>
      <c r="C261" s="22">
        <v>1.0</v>
      </c>
      <c r="D261" s="22" t="s">
        <v>8141</v>
      </c>
      <c r="E261" s="22" t="s">
        <v>8140</v>
      </c>
      <c r="F261" s="22" t="s">
        <v>8121</v>
      </c>
      <c r="G261" s="24"/>
      <c r="H261" s="22">
        <v>3.2703819612483E13</v>
      </c>
      <c r="I261" s="24"/>
      <c r="J261" s="24"/>
      <c r="K261" s="22">
        <v>4.2085703581939E13</v>
      </c>
      <c r="L261" s="29"/>
      <c r="M261" s="24"/>
      <c r="N261" s="22" t="s">
        <v>9010</v>
      </c>
      <c r="O261" s="22" t="s">
        <v>9011</v>
      </c>
      <c r="P261" s="22" t="s">
        <v>9010</v>
      </c>
      <c r="Q261" s="22" t="s">
        <v>9011</v>
      </c>
      <c r="R261" s="22" t="s">
        <v>9012</v>
      </c>
      <c r="S261" s="25"/>
      <c r="T261" s="40" t="s">
        <v>9013</v>
      </c>
      <c r="U261" s="22" t="s">
        <v>9014</v>
      </c>
      <c r="V261" s="24"/>
      <c r="W261" s="22" t="s">
        <v>9015</v>
      </c>
      <c r="X261" s="22" t="s">
        <v>8251</v>
      </c>
      <c r="Y261" s="24"/>
      <c r="Z261" s="24"/>
      <c r="AA261" s="22" t="s">
        <v>8129</v>
      </c>
      <c r="AB261" s="22" t="s">
        <v>8130</v>
      </c>
      <c r="AC261" s="25"/>
      <c r="AD261" s="22" t="s">
        <v>8131</v>
      </c>
      <c r="AE261" s="22" t="s">
        <v>8132</v>
      </c>
      <c r="AF261" s="25"/>
      <c r="AG261" s="22">
        <v>1.0440801419587E13</v>
      </c>
      <c r="AH261" s="22" t="s">
        <v>90</v>
      </c>
      <c r="AI261" s="22">
        <v>8.582045139267E12</v>
      </c>
      <c r="AJ261" s="25"/>
      <c r="AK261" s="25"/>
      <c r="AL261" s="22" t="s">
        <v>8134</v>
      </c>
      <c r="AQ261" s="32" t="s">
        <v>8150</v>
      </c>
      <c r="AR261" s="32" t="b">
        <v>0</v>
      </c>
      <c r="AS261" s="32" t="b">
        <v>0</v>
      </c>
    </row>
    <row r="262">
      <c r="A262" s="21" t="s">
        <v>9009</v>
      </c>
      <c r="B262" s="24"/>
      <c r="C262" s="24"/>
      <c r="D262" s="22" t="s">
        <v>8141</v>
      </c>
      <c r="E262" s="24"/>
      <c r="F262" s="22" t="s">
        <v>8136</v>
      </c>
      <c r="G262" s="24"/>
      <c r="H262" s="22">
        <v>9.498177339715E12</v>
      </c>
      <c r="I262" s="24"/>
      <c r="J262" s="24"/>
      <c r="K262" s="24"/>
      <c r="L262" s="29"/>
      <c r="M262" s="24"/>
      <c r="N262" s="22" t="s">
        <v>9010</v>
      </c>
      <c r="O262" s="22" t="s">
        <v>9011</v>
      </c>
      <c r="P262" s="22" t="s">
        <v>9010</v>
      </c>
      <c r="Q262" s="22" t="s">
        <v>9011</v>
      </c>
      <c r="R262" s="22" t="s">
        <v>9012</v>
      </c>
      <c r="S262" s="25"/>
      <c r="T262" s="40" t="s">
        <v>9013</v>
      </c>
      <c r="U262" s="22" t="s">
        <v>9014</v>
      </c>
      <c r="V262" s="24"/>
      <c r="W262" s="22" t="s">
        <v>9015</v>
      </c>
      <c r="X262" s="22" t="s">
        <v>8251</v>
      </c>
      <c r="Y262" s="24"/>
      <c r="Z262" s="24"/>
      <c r="AA262" s="22" t="s">
        <v>8129</v>
      </c>
      <c r="AB262" s="22" t="s">
        <v>8130</v>
      </c>
      <c r="AC262" s="25"/>
      <c r="AD262" s="25"/>
      <c r="AE262" s="22" t="s">
        <v>8132</v>
      </c>
      <c r="AF262" s="25"/>
      <c r="AG262" s="22">
        <v>1.0440801419587E13</v>
      </c>
      <c r="AH262" s="22" t="s">
        <v>8137</v>
      </c>
      <c r="AI262" s="22">
        <v>8.582045139267E12</v>
      </c>
      <c r="AJ262" s="25"/>
      <c r="AK262" s="25"/>
      <c r="AL262" s="22" t="s">
        <v>8136</v>
      </c>
      <c r="AR262" s="32" t="b">
        <v>0</v>
      </c>
      <c r="AS262" s="32" t="b">
        <v>0</v>
      </c>
    </row>
    <row r="263">
      <c r="A263" s="21" t="s">
        <v>9016</v>
      </c>
      <c r="B263" s="22" t="s">
        <v>8119</v>
      </c>
      <c r="C263" s="22">
        <v>1.0</v>
      </c>
      <c r="D263" s="22" t="s">
        <v>8968</v>
      </c>
      <c r="E263" s="22" t="s">
        <v>8119</v>
      </c>
      <c r="F263" s="22" t="s">
        <v>8121</v>
      </c>
      <c r="G263" s="24"/>
      <c r="H263" s="22">
        <v>3.2704478085443E13</v>
      </c>
      <c r="I263" s="24"/>
      <c r="J263" s="24"/>
      <c r="K263" s="22">
        <v>4.2085703549171E13</v>
      </c>
      <c r="L263" s="29"/>
      <c r="M263" s="24"/>
      <c r="N263" s="22" t="s">
        <v>3674</v>
      </c>
      <c r="O263" s="22" t="s">
        <v>9017</v>
      </c>
      <c r="P263" s="22" t="s">
        <v>3674</v>
      </c>
      <c r="Q263" s="22" t="s">
        <v>9017</v>
      </c>
      <c r="R263" s="22" t="s">
        <v>9018</v>
      </c>
      <c r="S263" s="25"/>
      <c r="T263" s="40" t="s">
        <v>9019</v>
      </c>
      <c r="U263" s="22" t="s">
        <v>9020</v>
      </c>
      <c r="V263" s="22">
        <v>22.0</v>
      </c>
      <c r="W263" s="22" t="s">
        <v>9021</v>
      </c>
      <c r="X263" s="22" t="s">
        <v>8160</v>
      </c>
      <c r="Y263" s="24"/>
      <c r="Z263" s="24"/>
      <c r="AA263" s="22" t="s">
        <v>8129</v>
      </c>
      <c r="AB263" s="22" t="s">
        <v>8130</v>
      </c>
      <c r="AC263" s="25"/>
      <c r="AD263" s="22" t="s">
        <v>8131</v>
      </c>
      <c r="AE263" s="22" t="s">
        <v>8132</v>
      </c>
      <c r="AF263" s="25"/>
      <c r="AG263" s="22">
        <v>1.0441102491971E13</v>
      </c>
      <c r="AH263" s="22" t="s">
        <v>90</v>
      </c>
      <c r="AI263" s="22">
        <v>2.3401456238915E13</v>
      </c>
      <c r="AJ263" s="25"/>
      <c r="AK263" s="25"/>
      <c r="AL263" s="22" t="s">
        <v>8133</v>
      </c>
      <c r="AQ263" s="32" t="s">
        <v>8135</v>
      </c>
      <c r="AR263" s="32" t="b">
        <v>0</v>
      </c>
      <c r="AS263" s="32" t="b">
        <v>0</v>
      </c>
    </row>
    <row r="264">
      <c r="A264" s="21" t="s">
        <v>9016</v>
      </c>
      <c r="B264" s="24"/>
      <c r="C264" s="24"/>
      <c r="D264" s="22" t="s">
        <v>8968</v>
      </c>
      <c r="E264" s="24"/>
      <c r="F264" s="22" t="s">
        <v>8136</v>
      </c>
      <c r="G264" s="24"/>
      <c r="H264" s="22">
        <v>9.498447216963E12</v>
      </c>
      <c r="I264" s="24"/>
      <c r="J264" s="24"/>
      <c r="K264" s="24"/>
      <c r="L264" s="29"/>
      <c r="M264" s="24"/>
      <c r="N264" s="22" t="s">
        <v>3674</v>
      </c>
      <c r="O264" s="22" t="s">
        <v>9017</v>
      </c>
      <c r="P264" s="22" t="s">
        <v>3674</v>
      </c>
      <c r="Q264" s="22" t="s">
        <v>9017</v>
      </c>
      <c r="R264" s="22" t="s">
        <v>9018</v>
      </c>
      <c r="S264" s="25"/>
      <c r="T264" s="40" t="s">
        <v>9019</v>
      </c>
      <c r="U264" s="22" t="s">
        <v>9020</v>
      </c>
      <c r="V264" s="22">
        <v>22.0</v>
      </c>
      <c r="W264" s="22" t="s">
        <v>9021</v>
      </c>
      <c r="X264" s="22" t="s">
        <v>8160</v>
      </c>
      <c r="Y264" s="24"/>
      <c r="Z264" s="24"/>
      <c r="AA264" s="22" t="s">
        <v>8129</v>
      </c>
      <c r="AB264" s="22" t="s">
        <v>8130</v>
      </c>
      <c r="AC264" s="25"/>
      <c r="AD264" s="25"/>
      <c r="AE264" s="22" t="s">
        <v>8132</v>
      </c>
      <c r="AF264" s="25"/>
      <c r="AG264" s="22">
        <v>1.0441102491971E13</v>
      </c>
      <c r="AH264" s="22" t="s">
        <v>8137</v>
      </c>
      <c r="AI264" s="22">
        <v>2.3401456238915E13</v>
      </c>
      <c r="AJ264" s="25"/>
      <c r="AK264" s="25"/>
      <c r="AL264" s="22" t="s">
        <v>8136</v>
      </c>
      <c r="AR264" s="32" t="b">
        <v>0</v>
      </c>
      <c r="AS264" s="32" t="b">
        <v>0</v>
      </c>
    </row>
    <row r="265">
      <c r="A265" s="21" t="s">
        <v>9022</v>
      </c>
      <c r="B265" s="22" t="s">
        <v>8140</v>
      </c>
      <c r="C265" s="22">
        <v>1.0</v>
      </c>
      <c r="D265" s="22" t="s">
        <v>8175</v>
      </c>
      <c r="E265" s="22" t="s">
        <v>8140</v>
      </c>
      <c r="F265" s="22" t="s">
        <v>8121</v>
      </c>
      <c r="G265" s="22" t="s">
        <v>89</v>
      </c>
      <c r="H265" s="22">
        <v>3.2704570720579E13</v>
      </c>
      <c r="I265" s="22" t="s">
        <v>89</v>
      </c>
      <c r="J265" s="24"/>
      <c r="K265" s="22">
        <v>4.2085703581939E13</v>
      </c>
      <c r="L265" s="29"/>
      <c r="M265" s="24"/>
      <c r="N265" s="22" t="s">
        <v>9023</v>
      </c>
      <c r="O265" s="22" t="s">
        <v>5163</v>
      </c>
      <c r="P265" s="22" t="s">
        <v>9023</v>
      </c>
      <c r="Q265" s="22" t="s">
        <v>5163</v>
      </c>
      <c r="R265" s="22" t="s">
        <v>9024</v>
      </c>
      <c r="S265" s="25"/>
      <c r="T265" s="40" t="s">
        <v>9025</v>
      </c>
      <c r="U265" s="22" t="s">
        <v>9026</v>
      </c>
      <c r="V265" s="24"/>
      <c r="W265" s="22" t="s">
        <v>9027</v>
      </c>
      <c r="X265" s="22" t="s">
        <v>8200</v>
      </c>
      <c r="Y265" s="24"/>
      <c r="Z265" s="24"/>
      <c r="AA265" s="22" t="s">
        <v>8129</v>
      </c>
      <c r="AB265" s="22" t="s">
        <v>8130</v>
      </c>
      <c r="AC265" s="25"/>
      <c r="AD265" s="22" t="s">
        <v>8131</v>
      </c>
      <c r="AE265" s="22" t="s">
        <v>8132</v>
      </c>
      <c r="AF265" s="25"/>
      <c r="AG265" s="22">
        <v>1.0441141158211E13</v>
      </c>
      <c r="AH265" s="22" t="s">
        <v>90</v>
      </c>
      <c r="AI265" s="22">
        <v>7.393001636163E12</v>
      </c>
      <c r="AJ265" s="25"/>
      <c r="AK265" s="25"/>
      <c r="AL265" s="22" t="s">
        <v>8134</v>
      </c>
      <c r="AQ265" s="32" t="s">
        <v>8150</v>
      </c>
      <c r="AR265" s="32" t="b">
        <v>0</v>
      </c>
      <c r="AS265" s="32" t="b">
        <v>0</v>
      </c>
    </row>
    <row r="266">
      <c r="A266" s="21" t="s">
        <v>9022</v>
      </c>
      <c r="B266" s="24"/>
      <c r="C266" s="24"/>
      <c r="D266" s="22" t="s">
        <v>8175</v>
      </c>
      <c r="E266" s="24"/>
      <c r="F266" s="22" t="s">
        <v>8136</v>
      </c>
      <c r="G266" s="24"/>
      <c r="H266" s="22">
        <v>9.498483687747E12</v>
      </c>
      <c r="I266" s="22" t="s">
        <v>89</v>
      </c>
      <c r="J266" s="24"/>
      <c r="K266" s="24"/>
      <c r="L266" s="34"/>
      <c r="M266" s="24"/>
      <c r="N266" s="22" t="s">
        <v>9023</v>
      </c>
      <c r="O266" s="22" t="s">
        <v>5163</v>
      </c>
      <c r="P266" s="22" t="s">
        <v>9023</v>
      </c>
      <c r="Q266" s="22" t="s">
        <v>5163</v>
      </c>
      <c r="R266" s="22" t="s">
        <v>9024</v>
      </c>
      <c r="S266" s="25"/>
      <c r="T266" s="40" t="s">
        <v>9025</v>
      </c>
      <c r="U266" s="22" t="s">
        <v>9026</v>
      </c>
      <c r="V266" s="24"/>
      <c r="W266" s="22" t="s">
        <v>9027</v>
      </c>
      <c r="X266" s="22" t="s">
        <v>8200</v>
      </c>
      <c r="Y266" s="24"/>
      <c r="Z266" s="24"/>
      <c r="AA266" s="22" t="s">
        <v>8129</v>
      </c>
      <c r="AB266" s="22" t="s">
        <v>8130</v>
      </c>
      <c r="AC266" s="25"/>
      <c r="AD266" s="25"/>
      <c r="AE266" s="22" t="s">
        <v>8132</v>
      </c>
      <c r="AF266" s="25"/>
      <c r="AG266" s="22">
        <v>1.0441141158211E13</v>
      </c>
      <c r="AH266" s="22" t="s">
        <v>8137</v>
      </c>
      <c r="AI266" s="22">
        <v>7.393001636163E12</v>
      </c>
      <c r="AJ266" s="25"/>
      <c r="AK266" s="25"/>
      <c r="AL266" s="22" t="s">
        <v>8136</v>
      </c>
      <c r="AR266" s="32" t="b">
        <v>0</v>
      </c>
      <c r="AS266" s="32" t="b">
        <v>0</v>
      </c>
    </row>
    <row r="267">
      <c r="A267" s="21" t="s">
        <v>9022</v>
      </c>
      <c r="B267" s="22" t="s">
        <v>8140</v>
      </c>
      <c r="C267" s="22">
        <v>-1.0</v>
      </c>
      <c r="D267" s="22" t="s">
        <v>8175</v>
      </c>
      <c r="E267" s="22" t="s">
        <v>8140</v>
      </c>
      <c r="F267" s="22" t="s">
        <v>8121</v>
      </c>
      <c r="G267" s="22" t="s">
        <v>89</v>
      </c>
      <c r="H267" s="22">
        <v>3.2704570720579E13</v>
      </c>
      <c r="I267" s="22" t="s">
        <v>89</v>
      </c>
      <c r="J267" s="24"/>
      <c r="K267" s="22">
        <v>4.2085703581939E13</v>
      </c>
      <c r="L267" s="22" t="s">
        <v>8182</v>
      </c>
      <c r="M267" s="35" t="s">
        <v>9028</v>
      </c>
      <c r="N267" s="22" t="s">
        <v>9023</v>
      </c>
      <c r="O267" s="22" t="s">
        <v>5163</v>
      </c>
      <c r="P267" s="22" t="s">
        <v>9023</v>
      </c>
      <c r="Q267" s="22" t="s">
        <v>5163</v>
      </c>
      <c r="R267" s="22" t="s">
        <v>9024</v>
      </c>
      <c r="S267" s="25"/>
      <c r="T267" s="40" t="s">
        <v>9025</v>
      </c>
      <c r="U267" s="22" t="s">
        <v>9026</v>
      </c>
      <c r="V267" s="24"/>
      <c r="W267" s="22" t="s">
        <v>9027</v>
      </c>
      <c r="X267" s="22" t="s">
        <v>8200</v>
      </c>
      <c r="Y267" s="24"/>
      <c r="Z267" s="24"/>
      <c r="AA267" s="22" t="s">
        <v>8129</v>
      </c>
      <c r="AB267" s="22" t="s">
        <v>8130</v>
      </c>
      <c r="AC267" s="25"/>
      <c r="AD267" s="22" t="s">
        <v>8131</v>
      </c>
      <c r="AE267" s="22" t="s">
        <v>8132</v>
      </c>
      <c r="AF267" s="25"/>
      <c r="AG267" s="22">
        <v>1.0441141158211E13</v>
      </c>
      <c r="AH267" s="22" t="s">
        <v>8184</v>
      </c>
      <c r="AI267" s="22">
        <v>7.393001636163E12</v>
      </c>
      <c r="AJ267" s="25"/>
      <c r="AK267" s="22">
        <v>6.714600522051E12</v>
      </c>
      <c r="AL267" s="22" t="s">
        <v>8134</v>
      </c>
      <c r="AQ267" s="32" t="s">
        <v>8150</v>
      </c>
      <c r="AR267" s="32" t="b">
        <v>0</v>
      </c>
      <c r="AS267" s="32" t="b">
        <v>0</v>
      </c>
    </row>
    <row r="268">
      <c r="A268" s="21" t="s">
        <v>9029</v>
      </c>
      <c r="B268" s="22" t="s">
        <v>8140</v>
      </c>
      <c r="C268" s="22">
        <v>1.0</v>
      </c>
      <c r="D268" s="22" t="s">
        <v>8212</v>
      </c>
      <c r="E268" s="22" t="s">
        <v>8140</v>
      </c>
      <c r="F268" s="22" t="s">
        <v>8121</v>
      </c>
      <c r="G268" s="24"/>
      <c r="H268" s="22">
        <v>3.2703591645507E13</v>
      </c>
      <c r="I268" s="24"/>
      <c r="J268" s="24"/>
      <c r="K268" s="22">
        <v>4.2085703581939E13</v>
      </c>
      <c r="L268" s="34"/>
      <c r="M268" s="24"/>
      <c r="N268" s="22" t="s">
        <v>3866</v>
      </c>
      <c r="O268" s="22" t="s">
        <v>9030</v>
      </c>
      <c r="P268" s="22" t="s">
        <v>3866</v>
      </c>
      <c r="Q268" s="22" t="s">
        <v>9030</v>
      </c>
      <c r="R268" s="22" t="s">
        <v>9031</v>
      </c>
      <c r="S268" s="25"/>
      <c r="T268" s="40" t="s">
        <v>9032</v>
      </c>
      <c r="U268" s="22" t="s">
        <v>9033</v>
      </c>
      <c r="V268" s="24"/>
      <c r="W268" s="22" t="s">
        <v>9034</v>
      </c>
      <c r="X268" s="22" t="s">
        <v>9035</v>
      </c>
      <c r="Y268" s="24"/>
      <c r="Z268" s="24"/>
      <c r="AA268" s="22" t="s">
        <v>8129</v>
      </c>
      <c r="AB268" s="22" t="s">
        <v>8130</v>
      </c>
      <c r="AC268" s="25"/>
      <c r="AD268" s="22" t="s">
        <v>8131</v>
      </c>
      <c r="AE268" s="22" t="s">
        <v>8132</v>
      </c>
      <c r="AF268" s="25"/>
      <c r="AG268" s="22">
        <v>1.0440696594755E13</v>
      </c>
      <c r="AH268" s="22" t="s">
        <v>90</v>
      </c>
      <c r="AI268" s="22">
        <v>6.444521128179E12</v>
      </c>
      <c r="AJ268" s="25"/>
      <c r="AK268" s="25"/>
      <c r="AL268" s="22" t="s">
        <v>8134</v>
      </c>
      <c r="AQ268" s="32" t="s">
        <v>8150</v>
      </c>
      <c r="AR268" s="32" t="b">
        <v>0</v>
      </c>
      <c r="AS268" s="32" t="b">
        <v>0</v>
      </c>
    </row>
    <row r="269">
      <c r="A269" s="21" t="s">
        <v>9029</v>
      </c>
      <c r="B269" s="24"/>
      <c r="C269" s="24"/>
      <c r="D269" s="22" t="s">
        <v>8212</v>
      </c>
      <c r="E269" s="24"/>
      <c r="F269" s="22" t="s">
        <v>8136</v>
      </c>
      <c r="G269" s="24"/>
      <c r="H269" s="22">
        <v>9.498090602819E12</v>
      </c>
      <c r="I269" s="24"/>
      <c r="J269" s="24"/>
      <c r="K269" s="24"/>
      <c r="L269" s="29"/>
      <c r="M269" s="24"/>
      <c r="N269" s="22" t="s">
        <v>3866</v>
      </c>
      <c r="O269" s="22" t="s">
        <v>9030</v>
      </c>
      <c r="P269" s="22" t="s">
        <v>3866</v>
      </c>
      <c r="Q269" s="22" t="s">
        <v>9030</v>
      </c>
      <c r="R269" s="22" t="s">
        <v>9031</v>
      </c>
      <c r="S269" s="25"/>
      <c r="T269" s="40" t="s">
        <v>9032</v>
      </c>
      <c r="U269" s="22" t="s">
        <v>9033</v>
      </c>
      <c r="V269" s="24"/>
      <c r="W269" s="22" t="s">
        <v>9034</v>
      </c>
      <c r="X269" s="22" t="s">
        <v>9035</v>
      </c>
      <c r="Y269" s="24"/>
      <c r="Z269" s="24"/>
      <c r="AA269" s="22" t="s">
        <v>8129</v>
      </c>
      <c r="AB269" s="22" t="s">
        <v>8130</v>
      </c>
      <c r="AC269" s="25"/>
      <c r="AD269" s="24"/>
      <c r="AE269" s="22" t="s">
        <v>8132</v>
      </c>
      <c r="AF269" s="25"/>
      <c r="AG269" s="22">
        <v>1.0440696594755E13</v>
      </c>
      <c r="AH269" s="22" t="s">
        <v>8137</v>
      </c>
      <c r="AI269" s="22">
        <v>6.444521128179E12</v>
      </c>
      <c r="AJ269" s="25"/>
      <c r="AK269" s="25"/>
      <c r="AL269" s="22" t="s">
        <v>8136</v>
      </c>
      <c r="AQ269" s="32"/>
      <c r="AR269" s="32" t="b">
        <v>0</v>
      </c>
      <c r="AS269" s="32" t="b">
        <v>0</v>
      </c>
    </row>
    <row r="270">
      <c r="A270" s="21" t="s">
        <v>9036</v>
      </c>
      <c r="B270" s="22" t="s">
        <v>8119</v>
      </c>
      <c r="C270" s="22">
        <v>1.0</v>
      </c>
      <c r="D270" s="22" t="s">
        <v>8203</v>
      </c>
      <c r="E270" s="22" t="s">
        <v>8119</v>
      </c>
      <c r="F270" s="22" t="s">
        <v>8121</v>
      </c>
      <c r="G270" s="24"/>
      <c r="H270" s="22">
        <v>3.2706952331587E13</v>
      </c>
      <c r="I270" s="24"/>
      <c r="J270" s="24"/>
      <c r="K270" s="22">
        <v>4.2085703549171E13</v>
      </c>
      <c r="L270" s="34"/>
      <c r="M270" s="24"/>
      <c r="N270" s="22" t="s">
        <v>9037</v>
      </c>
      <c r="O270" s="22" t="s">
        <v>9038</v>
      </c>
      <c r="P270" s="22" t="s">
        <v>4830</v>
      </c>
      <c r="Q270" s="22" t="s">
        <v>4318</v>
      </c>
      <c r="R270" s="22" t="s">
        <v>9039</v>
      </c>
      <c r="S270" s="25"/>
      <c r="T270" s="40" t="s">
        <v>9040</v>
      </c>
      <c r="U270" s="22" t="s">
        <v>9041</v>
      </c>
      <c r="V270" s="24"/>
      <c r="W270" s="22" t="s">
        <v>9042</v>
      </c>
      <c r="X270" s="22" t="s">
        <v>9043</v>
      </c>
      <c r="Y270" s="24"/>
      <c r="Z270" s="24"/>
      <c r="AA270" s="22" t="s">
        <v>8129</v>
      </c>
      <c r="AB270" s="22" t="s">
        <v>8130</v>
      </c>
      <c r="AC270" s="25"/>
      <c r="AD270" s="22" t="s">
        <v>8131</v>
      </c>
      <c r="AE270" s="22" t="s">
        <v>8132</v>
      </c>
      <c r="AF270" s="25"/>
      <c r="AG270" s="22">
        <v>1.0442374611267E13</v>
      </c>
      <c r="AH270" s="22" t="s">
        <v>90</v>
      </c>
      <c r="AI270" s="22">
        <v>7.439263236419E12</v>
      </c>
      <c r="AJ270" s="25"/>
      <c r="AK270" s="25"/>
      <c r="AL270" s="22" t="s">
        <v>8133</v>
      </c>
      <c r="AQ270" s="32" t="s">
        <v>8135</v>
      </c>
      <c r="AR270" s="32" t="b">
        <v>0</v>
      </c>
      <c r="AS270" s="32" t="b">
        <v>0</v>
      </c>
    </row>
    <row r="271">
      <c r="A271" s="21" t="s">
        <v>9036</v>
      </c>
      <c r="B271" s="24"/>
      <c r="C271" s="24"/>
      <c r="D271" s="22" t="s">
        <v>8203</v>
      </c>
      <c r="E271" s="24"/>
      <c r="F271" s="22" t="s">
        <v>8136</v>
      </c>
      <c r="G271" s="24"/>
      <c r="H271" s="22">
        <v>9.499668906307E12</v>
      </c>
      <c r="I271" s="24"/>
      <c r="J271" s="24"/>
      <c r="K271" s="24"/>
      <c r="L271" s="29"/>
      <c r="M271" s="24"/>
      <c r="N271" s="22" t="s">
        <v>9037</v>
      </c>
      <c r="O271" s="22" t="s">
        <v>9038</v>
      </c>
      <c r="P271" s="22" t="s">
        <v>4830</v>
      </c>
      <c r="Q271" s="22" t="s">
        <v>4318</v>
      </c>
      <c r="R271" s="22" t="s">
        <v>9039</v>
      </c>
      <c r="S271" s="25"/>
      <c r="T271" s="40" t="s">
        <v>9040</v>
      </c>
      <c r="U271" s="22" t="s">
        <v>9041</v>
      </c>
      <c r="V271" s="24"/>
      <c r="W271" s="22" t="s">
        <v>9042</v>
      </c>
      <c r="X271" s="22" t="s">
        <v>9043</v>
      </c>
      <c r="Y271" s="24"/>
      <c r="Z271" s="24"/>
      <c r="AA271" s="22" t="s">
        <v>8129</v>
      </c>
      <c r="AB271" s="22" t="s">
        <v>8130</v>
      </c>
      <c r="AC271" s="25"/>
      <c r="AD271" s="25"/>
      <c r="AE271" s="22" t="s">
        <v>8132</v>
      </c>
      <c r="AF271" s="25"/>
      <c r="AG271" s="22">
        <v>1.0442374611267E13</v>
      </c>
      <c r="AH271" s="22" t="s">
        <v>8137</v>
      </c>
      <c r="AI271" s="22">
        <v>7.439263236419E12</v>
      </c>
      <c r="AJ271" s="25"/>
      <c r="AK271" s="25"/>
      <c r="AL271" s="22" t="s">
        <v>8136</v>
      </c>
      <c r="AR271" s="32" t="b">
        <v>0</v>
      </c>
      <c r="AS271" s="32" t="b">
        <v>0</v>
      </c>
    </row>
    <row r="272">
      <c r="A272" s="21" t="s">
        <v>9044</v>
      </c>
      <c r="B272" s="22" t="s">
        <v>8429</v>
      </c>
      <c r="C272" s="22">
        <v>1.0</v>
      </c>
      <c r="D272" s="22" t="s">
        <v>8141</v>
      </c>
      <c r="E272" s="22" t="s">
        <v>8429</v>
      </c>
      <c r="F272" s="22" t="s">
        <v>8155</v>
      </c>
      <c r="G272" s="24"/>
      <c r="H272" s="22">
        <v>3.2707171615043E13</v>
      </c>
      <c r="I272" s="24"/>
      <c r="J272" s="24"/>
      <c r="K272" s="22">
        <v>4.9521175527747E13</v>
      </c>
      <c r="L272" s="29"/>
      <c r="M272" s="24"/>
      <c r="N272" s="22" t="s">
        <v>7079</v>
      </c>
      <c r="O272" s="22" t="s">
        <v>9045</v>
      </c>
      <c r="P272" s="22" t="s">
        <v>7079</v>
      </c>
      <c r="Q272" s="22" t="s">
        <v>9045</v>
      </c>
      <c r="R272" s="22" t="s">
        <v>9046</v>
      </c>
      <c r="S272" s="22" t="s">
        <v>9047</v>
      </c>
      <c r="T272" s="40" t="s">
        <v>9048</v>
      </c>
      <c r="U272" s="22" t="s">
        <v>9049</v>
      </c>
      <c r="V272" s="24"/>
      <c r="W272" s="22" t="s">
        <v>9050</v>
      </c>
      <c r="X272" s="22" t="s">
        <v>9051</v>
      </c>
      <c r="Y272" s="24"/>
      <c r="Z272" s="24"/>
      <c r="AA272" s="22" t="s">
        <v>8129</v>
      </c>
      <c r="AB272" s="22" t="s">
        <v>8130</v>
      </c>
      <c r="AC272" s="25"/>
      <c r="AD272" s="22" t="s">
        <v>8161</v>
      </c>
      <c r="AE272" s="22" t="s">
        <v>8132</v>
      </c>
      <c r="AF272" s="25"/>
      <c r="AG272" s="22">
        <v>1.0442477830467E13</v>
      </c>
      <c r="AH272" s="22" t="s">
        <v>90</v>
      </c>
      <c r="AI272" s="22">
        <v>2.3402960257347E13</v>
      </c>
      <c r="AJ272" s="25"/>
      <c r="AK272" s="25"/>
      <c r="AL272" s="22" t="s">
        <v>8201</v>
      </c>
      <c r="AQ272" s="32" t="s">
        <v>95</v>
      </c>
      <c r="AR272" s="32" t="b">
        <v>0</v>
      </c>
      <c r="AS272" s="32" t="b">
        <v>1</v>
      </c>
    </row>
    <row r="273">
      <c r="A273" s="21" t="s">
        <v>9044</v>
      </c>
      <c r="B273" s="24"/>
      <c r="C273" s="24"/>
      <c r="D273" s="22" t="s">
        <v>8141</v>
      </c>
      <c r="E273" s="24"/>
      <c r="F273" s="22" t="s">
        <v>8149</v>
      </c>
      <c r="G273" s="24"/>
      <c r="H273" s="22">
        <v>9.499766194499E12</v>
      </c>
      <c r="I273" s="24"/>
      <c r="J273" s="24"/>
      <c r="K273" s="24"/>
      <c r="L273" s="29"/>
      <c r="M273" s="24"/>
      <c r="N273" s="22" t="s">
        <v>7079</v>
      </c>
      <c r="O273" s="22" t="s">
        <v>9045</v>
      </c>
      <c r="P273" s="22" t="s">
        <v>7079</v>
      </c>
      <c r="Q273" s="22" t="s">
        <v>9045</v>
      </c>
      <c r="R273" s="22" t="s">
        <v>9046</v>
      </c>
      <c r="S273" s="22" t="s">
        <v>9047</v>
      </c>
      <c r="T273" s="40" t="s">
        <v>9048</v>
      </c>
      <c r="U273" s="22" t="s">
        <v>9049</v>
      </c>
      <c r="V273" s="24"/>
      <c r="W273" s="22" t="s">
        <v>9050</v>
      </c>
      <c r="X273" s="22" t="s">
        <v>9051</v>
      </c>
      <c r="Y273" s="24"/>
      <c r="Z273" s="24"/>
      <c r="AA273" s="22" t="s">
        <v>8129</v>
      </c>
      <c r="AB273" s="22" t="s">
        <v>8130</v>
      </c>
      <c r="AC273" s="25"/>
      <c r="AD273" s="25"/>
      <c r="AE273" s="22" t="s">
        <v>8132</v>
      </c>
      <c r="AF273" s="25"/>
      <c r="AG273" s="22">
        <v>1.0442477830467E13</v>
      </c>
      <c r="AH273" s="22" t="s">
        <v>8137</v>
      </c>
      <c r="AI273" s="22">
        <v>2.3402960257347E13</v>
      </c>
      <c r="AJ273" s="25"/>
      <c r="AK273" s="25"/>
      <c r="AL273" s="22" t="s">
        <v>8149</v>
      </c>
      <c r="AR273" s="32" t="b">
        <v>0</v>
      </c>
      <c r="AS273" s="32" t="b">
        <v>0</v>
      </c>
    </row>
    <row r="274">
      <c r="A274" s="21" t="s">
        <v>9052</v>
      </c>
      <c r="B274" s="22" t="s">
        <v>8140</v>
      </c>
      <c r="C274" s="22">
        <v>1.0</v>
      </c>
      <c r="D274" s="22" t="s">
        <v>8221</v>
      </c>
      <c r="E274" s="22" t="s">
        <v>8140</v>
      </c>
      <c r="F274" s="22" t="s">
        <v>8121</v>
      </c>
      <c r="G274" s="24"/>
      <c r="H274" s="22">
        <v>3.2707526066499E13</v>
      </c>
      <c r="I274" s="24"/>
      <c r="J274" s="24"/>
      <c r="K274" s="22">
        <v>4.2085703581939E13</v>
      </c>
      <c r="L274" s="29"/>
      <c r="M274" s="24"/>
      <c r="N274" s="22" t="s">
        <v>9053</v>
      </c>
      <c r="O274" s="22" t="s">
        <v>9054</v>
      </c>
      <c r="P274" s="22" t="s">
        <v>9053</v>
      </c>
      <c r="Q274" s="22" t="s">
        <v>9054</v>
      </c>
      <c r="R274" s="22" t="s">
        <v>9055</v>
      </c>
      <c r="S274" s="25"/>
      <c r="T274" s="40" t="s">
        <v>9056</v>
      </c>
      <c r="U274" s="22" t="s">
        <v>9057</v>
      </c>
      <c r="V274" s="24"/>
      <c r="W274" s="22" t="s">
        <v>9058</v>
      </c>
      <c r="X274" s="22" t="s">
        <v>8242</v>
      </c>
      <c r="Y274" s="24"/>
      <c r="Z274" s="24"/>
      <c r="AA274" s="22" t="s">
        <v>8129</v>
      </c>
      <c r="AB274" s="22" t="s">
        <v>8130</v>
      </c>
      <c r="AC274" s="25"/>
      <c r="AD274" s="22" t="s">
        <v>8131</v>
      </c>
      <c r="AE274" s="22" t="s">
        <v>8132</v>
      </c>
      <c r="AF274" s="25"/>
      <c r="AG274" s="22">
        <v>1.0442638295363E13</v>
      </c>
      <c r="AH274" s="22" t="s">
        <v>90</v>
      </c>
      <c r="AI274" s="22">
        <v>2.3403116953923E13</v>
      </c>
      <c r="AJ274" s="25"/>
      <c r="AK274" s="25"/>
      <c r="AL274" s="22" t="s">
        <v>8134</v>
      </c>
      <c r="AQ274" s="32" t="s">
        <v>8150</v>
      </c>
      <c r="AR274" s="32" t="b">
        <v>0</v>
      </c>
      <c r="AS274" s="32" t="b">
        <v>0</v>
      </c>
    </row>
    <row r="275">
      <c r="A275" s="21" t="s">
        <v>9052</v>
      </c>
      <c r="B275" s="24"/>
      <c r="C275" s="24"/>
      <c r="D275" s="22" t="s">
        <v>8221</v>
      </c>
      <c r="E275" s="24"/>
      <c r="F275" s="22" t="s">
        <v>8136</v>
      </c>
      <c r="G275" s="24"/>
      <c r="H275" s="22">
        <v>9.499910996291E12</v>
      </c>
      <c r="I275" s="24"/>
      <c r="J275" s="24"/>
      <c r="K275" s="24"/>
      <c r="L275" s="34"/>
      <c r="M275" s="24"/>
      <c r="N275" s="22" t="s">
        <v>9053</v>
      </c>
      <c r="O275" s="22" t="s">
        <v>9054</v>
      </c>
      <c r="P275" s="22" t="s">
        <v>9053</v>
      </c>
      <c r="Q275" s="22" t="s">
        <v>9054</v>
      </c>
      <c r="R275" s="22" t="s">
        <v>9055</v>
      </c>
      <c r="S275" s="25"/>
      <c r="T275" s="40" t="s">
        <v>9056</v>
      </c>
      <c r="U275" s="22" t="s">
        <v>9057</v>
      </c>
      <c r="V275" s="24"/>
      <c r="W275" s="22" t="s">
        <v>9058</v>
      </c>
      <c r="X275" s="22" t="s">
        <v>8242</v>
      </c>
      <c r="Y275" s="24"/>
      <c r="Z275" s="24"/>
      <c r="AA275" s="22" t="s">
        <v>8129</v>
      </c>
      <c r="AB275" s="22" t="s">
        <v>8130</v>
      </c>
      <c r="AC275" s="25"/>
      <c r="AD275" s="24"/>
      <c r="AE275" s="22" t="s">
        <v>8132</v>
      </c>
      <c r="AF275" s="25"/>
      <c r="AG275" s="22">
        <v>1.0442638295363E13</v>
      </c>
      <c r="AH275" s="22" t="s">
        <v>8137</v>
      </c>
      <c r="AI275" s="22">
        <v>2.3403116953923E13</v>
      </c>
      <c r="AJ275" s="25"/>
      <c r="AK275" s="25"/>
      <c r="AL275" s="22" t="s">
        <v>8136</v>
      </c>
      <c r="AQ275" s="32"/>
      <c r="AR275" s="32" t="b">
        <v>0</v>
      </c>
      <c r="AS275" s="32" t="b">
        <v>0</v>
      </c>
    </row>
    <row r="276">
      <c r="A276" s="21" t="s">
        <v>9059</v>
      </c>
      <c r="B276" s="22" t="s">
        <v>8140</v>
      </c>
      <c r="C276" s="22">
        <v>1.0</v>
      </c>
      <c r="D276" s="22" t="s">
        <v>8278</v>
      </c>
      <c r="E276" s="22" t="s">
        <v>8140</v>
      </c>
      <c r="F276" s="22" t="s">
        <v>8121</v>
      </c>
      <c r="G276" s="24"/>
      <c r="H276" s="22">
        <v>3.2707863118147E13</v>
      </c>
      <c r="I276" s="24"/>
      <c r="J276" s="24"/>
      <c r="K276" s="22">
        <v>4.2085703581939E13</v>
      </c>
      <c r="L276" s="29"/>
      <c r="M276" s="24"/>
      <c r="N276" s="22" t="s">
        <v>9060</v>
      </c>
      <c r="O276" s="22" t="s">
        <v>9061</v>
      </c>
      <c r="P276" s="22" t="s">
        <v>9060</v>
      </c>
      <c r="Q276" s="22" t="s">
        <v>9061</v>
      </c>
      <c r="R276" s="22" t="s">
        <v>9062</v>
      </c>
      <c r="S276" s="25"/>
      <c r="T276" s="40" t="s">
        <v>9063</v>
      </c>
      <c r="U276" s="22" t="s">
        <v>9064</v>
      </c>
      <c r="V276" s="24"/>
      <c r="W276" s="22" t="s">
        <v>9065</v>
      </c>
      <c r="X276" s="22" t="s">
        <v>8242</v>
      </c>
      <c r="Y276" s="24"/>
      <c r="Z276" s="24"/>
      <c r="AA276" s="22" t="s">
        <v>8129</v>
      </c>
      <c r="AB276" s="22" t="s">
        <v>8130</v>
      </c>
      <c r="AC276" s="25"/>
      <c r="AD276" s="22" t="s">
        <v>8131</v>
      </c>
      <c r="AE276" s="22" t="s">
        <v>8132</v>
      </c>
      <c r="AF276" s="25"/>
      <c r="AG276" s="22">
        <v>1.0442795155779E13</v>
      </c>
      <c r="AH276" s="22" t="s">
        <v>90</v>
      </c>
      <c r="AI276" s="22">
        <v>8.590208368963E12</v>
      </c>
      <c r="AJ276" s="25"/>
      <c r="AK276" s="25"/>
      <c r="AL276" s="22" t="s">
        <v>8134</v>
      </c>
      <c r="AQ276" s="32" t="s">
        <v>8150</v>
      </c>
      <c r="AR276" s="32" t="b">
        <v>0</v>
      </c>
      <c r="AS276" s="32" t="b">
        <v>0</v>
      </c>
    </row>
    <row r="277">
      <c r="A277" s="21" t="s">
        <v>9059</v>
      </c>
      <c r="B277" s="24"/>
      <c r="C277" s="24"/>
      <c r="D277" s="22" t="s">
        <v>8278</v>
      </c>
      <c r="E277" s="24"/>
      <c r="F277" s="22" t="s">
        <v>8136</v>
      </c>
      <c r="G277" s="24"/>
      <c r="H277" s="22">
        <v>9.500040134979E12</v>
      </c>
      <c r="I277" s="24"/>
      <c r="J277" s="24"/>
      <c r="K277" s="24"/>
      <c r="L277" s="34"/>
      <c r="M277" s="24"/>
      <c r="N277" s="22" t="s">
        <v>9060</v>
      </c>
      <c r="O277" s="22" t="s">
        <v>9061</v>
      </c>
      <c r="P277" s="22" t="s">
        <v>9060</v>
      </c>
      <c r="Q277" s="22" t="s">
        <v>9061</v>
      </c>
      <c r="R277" s="22" t="s">
        <v>9062</v>
      </c>
      <c r="S277" s="25"/>
      <c r="T277" s="40" t="s">
        <v>9063</v>
      </c>
      <c r="U277" s="22" t="s">
        <v>9064</v>
      </c>
      <c r="V277" s="24"/>
      <c r="W277" s="22" t="s">
        <v>9065</v>
      </c>
      <c r="X277" s="22" t="s">
        <v>8242</v>
      </c>
      <c r="Y277" s="24"/>
      <c r="Z277" s="24"/>
      <c r="AA277" s="22" t="s">
        <v>8129</v>
      </c>
      <c r="AB277" s="22" t="s">
        <v>8130</v>
      </c>
      <c r="AC277" s="25"/>
      <c r="AD277" s="25"/>
      <c r="AE277" s="22" t="s">
        <v>8132</v>
      </c>
      <c r="AF277" s="25"/>
      <c r="AG277" s="22">
        <v>1.0442795155779E13</v>
      </c>
      <c r="AH277" s="22" t="s">
        <v>8137</v>
      </c>
      <c r="AI277" s="22">
        <v>8.590208368963E12</v>
      </c>
      <c r="AJ277" s="25"/>
      <c r="AK277" s="25"/>
      <c r="AL277" s="22" t="s">
        <v>8136</v>
      </c>
      <c r="AR277" s="32" t="b">
        <v>0</v>
      </c>
      <c r="AS277" s="32" t="b">
        <v>0</v>
      </c>
    </row>
    <row r="278">
      <c r="A278" s="21" t="s">
        <v>9066</v>
      </c>
      <c r="B278" s="22" t="s">
        <v>8707</v>
      </c>
      <c r="C278" s="22">
        <v>1.0</v>
      </c>
      <c r="D278" s="22" t="s">
        <v>8305</v>
      </c>
      <c r="E278" s="22" t="s">
        <v>8707</v>
      </c>
      <c r="F278" s="22" t="s">
        <v>8155</v>
      </c>
      <c r="G278" s="24"/>
      <c r="H278" s="22">
        <v>3.2707910893891E13</v>
      </c>
      <c r="I278" s="24"/>
      <c r="J278" s="24"/>
      <c r="K278" s="22">
        <v>4.9521175429443E13</v>
      </c>
      <c r="L278" s="29"/>
      <c r="M278" s="24"/>
      <c r="N278" s="22" t="s">
        <v>9067</v>
      </c>
      <c r="O278" s="22" t="s">
        <v>9068</v>
      </c>
      <c r="P278" s="22" t="s">
        <v>9067</v>
      </c>
      <c r="Q278" s="22" t="s">
        <v>9069</v>
      </c>
      <c r="R278" s="22" t="s">
        <v>9070</v>
      </c>
      <c r="S278" s="25"/>
      <c r="T278" s="40" t="s">
        <v>9071</v>
      </c>
      <c r="U278" s="22" t="s">
        <v>9072</v>
      </c>
      <c r="V278" s="24"/>
      <c r="W278" s="22" t="s">
        <v>9073</v>
      </c>
      <c r="X278" s="22" t="s">
        <v>8566</v>
      </c>
      <c r="Y278" s="24"/>
      <c r="Z278" s="24"/>
      <c r="AA278" s="22" t="s">
        <v>8129</v>
      </c>
      <c r="AB278" s="22" t="s">
        <v>8130</v>
      </c>
      <c r="AC278" s="25"/>
      <c r="AD278" s="22" t="s">
        <v>8161</v>
      </c>
      <c r="AE278" s="22" t="s">
        <v>8132</v>
      </c>
      <c r="AF278" s="25"/>
      <c r="AG278" s="22">
        <v>1.0442819076419E13</v>
      </c>
      <c r="AH278" s="22" t="s">
        <v>90</v>
      </c>
      <c r="AI278" s="22">
        <v>8.643863380291E12</v>
      </c>
      <c r="AJ278" s="25"/>
      <c r="AK278" s="25"/>
      <c r="AL278" s="22" t="s">
        <v>8336</v>
      </c>
      <c r="AQ278" s="32" t="s">
        <v>54</v>
      </c>
      <c r="AR278" s="32" t="b">
        <v>0</v>
      </c>
      <c r="AS278" s="32" t="b">
        <v>1</v>
      </c>
    </row>
    <row r="279">
      <c r="A279" s="21" t="s">
        <v>9066</v>
      </c>
      <c r="B279" s="24"/>
      <c r="C279" s="24"/>
      <c r="D279" s="22" t="s">
        <v>8305</v>
      </c>
      <c r="E279" s="24"/>
      <c r="F279" s="22" t="s">
        <v>8149</v>
      </c>
      <c r="G279" s="24"/>
      <c r="H279" s="22">
        <v>9.500059042115E12</v>
      </c>
      <c r="I279" s="24"/>
      <c r="J279" s="24"/>
      <c r="K279" s="24"/>
      <c r="L279" s="29"/>
      <c r="M279" s="24"/>
      <c r="N279" s="22" t="s">
        <v>9067</v>
      </c>
      <c r="O279" s="22" t="s">
        <v>9068</v>
      </c>
      <c r="P279" s="22" t="s">
        <v>9067</v>
      </c>
      <c r="Q279" s="22" t="s">
        <v>9069</v>
      </c>
      <c r="R279" s="22" t="s">
        <v>9070</v>
      </c>
      <c r="S279" s="25"/>
      <c r="T279" s="40" t="s">
        <v>9071</v>
      </c>
      <c r="U279" s="22" t="s">
        <v>9072</v>
      </c>
      <c r="V279" s="24"/>
      <c r="W279" s="22" t="s">
        <v>9073</v>
      </c>
      <c r="X279" s="22" t="s">
        <v>8566</v>
      </c>
      <c r="Y279" s="24"/>
      <c r="Z279" s="24"/>
      <c r="AA279" s="22" t="s">
        <v>8129</v>
      </c>
      <c r="AB279" s="22" t="s">
        <v>8130</v>
      </c>
      <c r="AC279" s="25"/>
      <c r="AD279" s="25"/>
      <c r="AE279" s="22" t="s">
        <v>8132</v>
      </c>
      <c r="AF279" s="25"/>
      <c r="AG279" s="22">
        <v>1.0442819076419E13</v>
      </c>
      <c r="AH279" s="22" t="s">
        <v>8137</v>
      </c>
      <c r="AI279" s="22">
        <v>8.643863380291E12</v>
      </c>
      <c r="AJ279" s="25"/>
      <c r="AK279" s="25"/>
      <c r="AL279" s="22" t="s">
        <v>8149</v>
      </c>
      <c r="AR279" s="32" t="b">
        <v>0</v>
      </c>
      <c r="AS279" s="32" t="b">
        <v>0</v>
      </c>
    </row>
    <row r="280">
      <c r="A280" s="21" t="s">
        <v>9074</v>
      </c>
      <c r="B280" s="22" t="s">
        <v>8370</v>
      </c>
      <c r="C280" s="22">
        <v>1.0</v>
      </c>
      <c r="D280" s="22" t="s">
        <v>8212</v>
      </c>
      <c r="E280" s="22" t="s">
        <v>8370</v>
      </c>
      <c r="F280" s="22" t="s">
        <v>8155</v>
      </c>
      <c r="G280" s="24"/>
      <c r="H280" s="22">
        <v>3.2708087447875E13</v>
      </c>
      <c r="I280" s="24"/>
      <c r="J280" s="24"/>
      <c r="K280" s="22">
        <v>4.9521175494979E13</v>
      </c>
      <c r="L280" s="34"/>
      <c r="M280" s="24"/>
      <c r="N280" s="22" t="s">
        <v>9075</v>
      </c>
      <c r="O280" s="22" t="s">
        <v>9076</v>
      </c>
      <c r="P280" s="22" t="s">
        <v>9075</v>
      </c>
      <c r="Q280" s="22" t="s">
        <v>9076</v>
      </c>
      <c r="R280" s="22" t="s">
        <v>9077</v>
      </c>
      <c r="S280" s="22" t="s">
        <v>9078</v>
      </c>
      <c r="T280" s="40" t="s">
        <v>9079</v>
      </c>
      <c r="U280" s="22" t="s">
        <v>9080</v>
      </c>
      <c r="V280" s="24"/>
      <c r="W280" s="22" t="s">
        <v>8267</v>
      </c>
      <c r="X280" s="22" t="s">
        <v>8289</v>
      </c>
      <c r="Y280" s="24"/>
      <c r="Z280" s="24"/>
      <c r="AA280" s="22" t="s">
        <v>8129</v>
      </c>
      <c r="AB280" s="22" t="s">
        <v>8130</v>
      </c>
      <c r="AC280" s="25"/>
      <c r="AD280" s="22" t="s">
        <v>8161</v>
      </c>
      <c r="AE280" s="22" t="s">
        <v>8132</v>
      </c>
      <c r="AF280" s="25"/>
      <c r="AG280" s="22">
        <v>1.0442899521859E13</v>
      </c>
      <c r="AH280" s="22" t="s">
        <v>90</v>
      </c>
      <c r="AI280" s="22">
        <v>2.3403781849411E13</v>
      </c>
      <c r="AJ280" s="25"/>
      <c r="AK280" s="25"/>
      <c r="AL280" s="22" t="s">
        <v>8138</v>
      </c>
      <c r="AQ280" s="32" t="s">
        <v>91</v>
      </c>
      <c r="AR280" s="32" t="b">
        <v>0</v>
      </c>
      <c r="AS280" s="32" t="b">
        <v>1</v>
      </c>
    </row>
    <row r="281">
      <c r="A281" s="21" t="s">
        <v>9074</v>
      </c>
      <c r="B281" s="24"/>
      <c r="C281" s="24"/>
      <c r="D281" s="22" t="s">
        <v>8212</v>
      </c>
      <c r="E281" s="24"/>
      <c r="F281" s="22" t="s">
        <v>8149</v>
      </c>
      <c r="G281" s="24"/>
      <c r="H281" s="22">
        <v>9.500123660611E12</v>
      </c>
      <c r="I281" s="24"/>
      <c r="J281" s="24"/>
      <c r="K281" s="24"/>
      <c r="L281" s="29"/>
      <c r="M281" s="24"/>
      <c r="N281" s="22" t="s">
        <v>9075</v>
      </c>
      <c r="O281" s="22" t="s">
        <v>9076</v>
      </c>
      <c r="P281" s="22" t="s">
        <v>9075</v>
      </c>
      <c r="Q281" s="22" t="s">
        <v>9076</v>
      </c>
      <c r="R281" s="22" t="s">
        <v>9077</v>
      </c>
      <c r="S281" s="22" t="s">
        <v>9078</v>
      </c>
      <c r="T281" s="40" t="s">
        <v>9079</v>
      </c>
      <c r="U281" s="22" t="s">
        <v>9080</v>
      </c>
      <c r="V281" s="24"/>
      <c r="W281" s="22" t="s">
        <v>8267</v>
      </c>
      <c r="X281" s="22" t="s">
        <v>8289</v>
      </c>
      <c r="Y281" s="24"/>
      <c r="Z281" s="24"/>
      <c r="AA281" s="22" t="s">
        <v>8129</v>
      </c>
      <c r="AB281" s="22" t="s">
        <v>8130</v>
      </c>
      <c r="AC281" s="25"/>
      <c r="AD281" s="25"/>
      <c r="AE281" s="22" t="s">
        <v>8132</v>
      </c>
      <c r="AF281" s="25"/>
      <c r="AG281" s="22">
        <v>1.0442899521859E13</v>
      </c>
      <c r="AH281" s="22" t="s">
        <v>8137</v>
      </c>
      <c r="AI281" s="22">
        <v>2.3403781849411E13</v>
      </c>
      <c r="AJ281" s="25"/>
      <c r="AK281" s="25"/>
      <c r="AL281" s="22" t="s">
        <v>8149</v>
      </c>
      <c r="AR281" s="32" t="b">
        <v>0</v>
      </c>
      <c r="AS281" s="32" t="b">
        <v>0</v>
      </c>
    </row>
    <row r="282">
      <c r="A282" s="21" t="s">
        <v>9081</v>
      </c>
      <c r="B282" s="22" t="s">
        <v>8707</v>
      </c>
      <c r="C282" s="22">
        <v>1.0</v>
      </c>
      <c r="D282" s="22" t="s">
        <v>8278</v>
      </c>
      <c r="E282" s="22" t="s">
        <v>8707</v>
      </c>
      <c r="F282" s="22" t="s">
        <v>8155</v>
      </c>
      <c r="G282" s="24"/>
      <c r="H282" s="22">
        <v>3.2708695032131E13</v>
      </c>
      <c r="I282" s="24"/>
      <c r="J282" s="24"/>
      <c r="K282" s="22">
        <v>4.9521175429443E13</v>
      </c>
      <c r="L282" s="29"/>
      <c r="M282" s="24"/>
      <c r="N282" s="22" t="s">
        <v>9082</v>
      </c>
      <c r="O282" s="22" t="s">
        <v>9083</v>
      </c>
      <c r="P282" s="22" t="s">
        <v>9082</v>
      </c>
      <c r="Q282" s="22" t="s">
        <v>9083</v>
      </c>
      <c r="R282" s="22" t="s">
        <v>9084</v>
      </c>
      <c r="S282" s="25"/>
      <c r="T282" s="40" t="s">
        <v>9085</v>
      </c>
      <c r="U282" s="22" t="s">
        <v>9086</v>
      </c>
      <c r="V282" s="22" t="s">
        <v>9087</v>
      </c>
      <c r="W282" s="22" t="s">
        <v>9088</v>
      </c>
      <c r="X282" s="22" t="s">
        <v>8289</v>
      </c>
      <c r="Y282" s="24"/>
      <c r="Z282" s="24"/>
      <c r="AA282" s="22" t="s">
        <v>8129</v>
      </c>
      <c r="AB282" s="22" t="s">
        <v>8130</v>
      </c>
      <c r="AC282" s="25"/>
      <c r="AD282" s="22" t="s">
        <v>8161</v>
      </c>
      <c r="AE282" s="22" t="s">
        <v>8132</v>
      </c>
      <c r="AF282" s="25"/>
      <c r="AG282" s="22">
        <v>1.0443181523267E13</v>
      </c>
      <c r="AH282" s="22" t="s">
        <v>90</v>
      </c>
      <c r="AI282" s="22">
        <v>2.3404690178371E13</v>
      </c>
      <c r="AJ282" s="25"/>
      <c r="AK282" s="25"/>
      <c r="AL282" s="22" t="s">
        <v>8336</v>
      </c>
      <c r="AQ282" s="32" t="s">
        <v>54</v>
      </c>
      <c r="AR282" s="32" t="b">
        <v>0</v>
      </c>
      <c r="AS282" s="32" t="b">
        <v>1</v>
      </c>
    </row>
    <row r="283">
      <c r="A283" s="21" t="s">
        <v>9081</v>
      </c>
      <c r="B283" s="24"/>
      <c r="C283" s="24"/>
      <c r="D283" s="22" t="s">
        <v>8278</v>
      </c>
      <c r="E283" s="24"/>
      <c r="F283" s="22" t="s">
        <v>8149</v>
      </c>
      <c r="G283" s="24"/>
      <c r="H283" s="22">
        <v>9.500343632195E12</v>
      </c>
      <c r="I283" s="24"/>
      <c r="J283" s="24"/>
      <c r="K283" s="24"/>
      <c r="L283" s="29"/>
      <c r="M283" s="24"/>
      <c r="N283" s="22" t="s">
        <v>9082</v>
      </c>
      <c r="O283" s="22" t="s">
        <v>9083</v>
      </c>
      <c r="P283" s="22" t="s">
        <v>9082</v>
      </c>
      <c r="Q283" s="22" t="s">
        <v>9083</v>
      </c>
      <c r="R283" s="22" t="s">
        <v>9084</v>
      </c>
      <c r="S283" s="25"/>
      <c r="T283" s="40" t="s">
        <v>9085</v>
      </c>
      <c r="U283" s="22" t="s">
        <v>9086</v>
      </c>
      <c r="V283" s="22" t="s">
        <v>9087</v>
      </c>
      <c r="W283" s="22" t="s">
        <v>9088</v>
      </c>
      <c r="X283" s="22" t="s">
        <v>8289</v>
      </c>
      <c r="Y283" s="24"/>
      <c r="Z283" s="24"/>
      <c r="AA283" s="22" t="s">
        <v>8129</v>
      </c>
      <c r="AB283" s="22" t="s">
        <v>8130</v>
      </c>
      <c r="AC283" s="25"/>
      <c r="AD283" s="25"/>
      <c r="AE283" s="22" t="s">
        <v>8132</v>
      </c>
      <c r="AF283" s="25"/>
      <c r="AG283" s="22">
        <v>1.0443181523267E13</v>
      </c>
      <c r="AH283" s="22" t="s">
        <v>8137</v>
      </c>
      <c r="AI283" s="22">
        <v>2.3404690178371E13</v>
      </c>
      <c r="AJ283" s="25"/>
      <c r="AK283" s="25"/>
      <c r="AL283" s="22" t="s">
        <v>8149</v>
      </c>
      <c r="AR283" s="32" t="b">
        <v>0</v>
      </c>
      <c r="AS283" s="32" t="b">
        <v>0</v>
      </c>
    </row>
    <row r="284">
      <c r="A284" s="21" t="s">
        <v>9089</v>
      </c>
      <c r="B284" s="22" t="s">
        <v>8119</v>
      </c>
      <c r="C284" s="22">
        <v>1.0</v>
      </c>
      <c r="D284" s="22" t="s">
        <v>8175</v>
      </c>
      <c r="E284" s="22" t="s">
        <v>8119</v>
      </c>
      <c r="F284" s="22" t="s">
        <v>8121</v>
      </c>
      <c r="G284" s="22" t="s">
        <v>89</v>
      </c>
      <c r="H284" s="22">
        <v>3.2703529648451E13</v>
      </c>
      <c r="I284" s="22" t="s">
        <v>89</v>
      </c>
      <c r="J284" s="24"/>
      <c r="K284" s="22">
        <v>4.2085703549171E13</v>
      </c>
      <c r="L284" s="29"/>
      <c r="M284" s="24"/>
      <c r="N284" s="22" t="s">
        <v>4093</v>
      </c>
      <c r="O284" s="22" t="s">
        <v>9090</v>
      </c>
      <c r="P284" s="22" t="s">
        <v>4093</v>
      </c>
      <c r="Q284" s="22" t="s">
        <v>9090</v>
      </c>
      <c r="R284" s="22" t="s">
        <v>9091</v>
      </c>
      <c r="S284" s="25"/>
      <c r="T284" s="40" t="s">
        <v>9092</v>
      </c>
      <c r="U284" s="22" t="s">
        <v>9093</v>
      </c>
      <c r="V284" s="24"/>
      <c r="W284" s="22" t="s">
        <v>9094</v>
      </c>
      <c r="X284" s="22" t="s">
        <v>8289</v>
      </c>
      <c r="Y284" s="24"/>
      <c r="Z284" s="24"/>
      <c r="AA284" s="22" t="s">
        <v>8129</v>
      </c>
      <c r="AB284" s="22" t="s">
        <v>8130</v>
      </c>
      <c r="AC284" s="25"/>
      <c r="AD284" s="22" t="s">
        <v>8131</v>
      </c>
      <c r="AE284" s="22" t="s">
        <v>8132</v>
      </c>
      <c r="AF284" s="25"/>
      <c r="AG284" s="22">
        <v>1.0440667070787E13</v>
      </c>
      <c r="AH284" s="22" t="s">
        <v>90</v>
      </c>
      <c r="AI284" s="22">
        <v>2.3400941420867E13</v>
      </c>
      <c r="AJ284" s="25"/>
      <c r="AK284" s="25"/>
      <c r="AL284" s="22" t="s">
        <v>8133</v>
      </c>
      <c r="AQ284" s="32" t="s">
        <v>8135</v>
      </c>
      <c r="AR284" s="32" t="b">
        <v>0</v>
      </c>
      <c r="AS284" s="32" t="b">
        <v>0</v>
      </c>
    </row>
    <row r="285">
      <c r="A285" s="21" t="s">
        <v>9089</v>
      </c>
      <c r="B285" s="24"/>
      <c r="C285" s="24"/>
      <c r="D285" s="22" t="s">
        <v>8175</v>
      </c>
      <c r="E285" s="24"/>
      <c r="F285" s="22" t="s">
        <v>8136</v>
      </c>
      <c r="G285" s="24"/>
      <c r="H285" s="22">
        <v>9.498066780483E12</v>
      </c>
      <c r="I285" s="22" t="s">
        <v>89</v>
      </c>
      <c r="J285" s="24"/>
      <c r="K285" s="24"/>
      <c r="L285" s="29"/>
      <c r="M285" s="24"/>
      <c r="N285" s="22" t="s">
        <v>4093</v>
      </c>
      <c r="O285" s="22" t="s">
        <v>9090</v>
      </c>
      <c r="P285" s="22" t="s">
        <v>4093</v>
      </c>
      <c r="Q285" s="22" t="s">
        <v>9090</v>
      </c>
      <c r="R285" s="22" t="s">
        <v>9091</v>
      </c>
      <c r="S285" s="25"/>
      <c r="T285" s="40" t="s">
        <v>9092</v>
      </c>
      <c r="U285" s="22" t="s">
        <v>9093</v>
      </c>
      <c r="V285" s="24"/>
      <c r="W285" s="22" t="s">
        <v>9094</v>
      </c>
      <c r="X285" s="22" t="s">
        <v>8289</v>
      </c>
      <c r="Y285" s="24"/>
      <c r="Z285" s="24"/>
      <c r="AA285" s="22" t="s">
        <v>8129</v>
      </c>
      <c r="AB285" s="22" t="s">
        <v>8130</v>
      </c>
      <c r="AC285" s="25"/>
      <c r="AD285" s="25"/>
      <c r="AE285" s="22" t="s">
        <v>8132</v>
      </c>
      <c r="AF285" s="25"/>
      <c r="AG285" s="22">
        <v>1.0440667070787E13</v>
      </c>
      <c r="AH285" s="22" t="s">
        <v>8137</v>
      </c>
      <c r="AI285" s="22">
        <v>2.3400941420867E13</v>
      </c>
      <c r="AJ285" s="25"/>
      <c r="AK285" s="25"/>
      <c r="AL285" s="22" t="s">
        <v>8136</v>
      </c>
      <c r="AR285" s="32" t="b">
        <v>0</v>
      </c>
      <c r="AS285" s="32" t="b">
        <v>0</v>
      </c>
    </row>
    <row r="286">
      <c r="A286" s="21" t="s">
        <v>9089</v>
      </c>
      <c r="B286" s="22" t="s">
        <v>8119</v>
      </c>
      <c r="C286" s="22">
        <v>-1.0</v>
      </c>
      <c r="D286" s="22" t="s">
        <v>8175</v>
      </c>
      <c r="E286" s="22" t="s">
        <v>8119</v>
      </c>
      <c r="F286" s="22" t="s">
        <v>8121</v>
      </c>
      <c r="G286" s="22" t="s">
        <v>89</v>
      </c>
      <c r="H286" s="22">
        <v>3.2703529648451E13</v>
      </c>
      <c r="I286" s="22" t="s">
        <v>89</v>
      </c>
      <c r="J286" s="24"/>
      <c r="K286" s="22">
        <v>4.2085703549171E13</v>
      </c>
      <c r="L286" s="22" t="s">
        <v>8182</v>
      </c>
      <c r="M286" s="35" t="s">
        <v>9095</v>
      </c>
      <c r="N286" s="22" t="s">
        <v>4093</v>
      </c>
      <c r="O286" s="22" t="s">
        <v>9090</v>
      </c>
      <c r="P286" s="22" t="s">
        <v>4093</v>
      </c>
      <c r="Q286" s="22" t="s">
        <v>9090</v>
      </c>
      <c r="R286" s="22" t="s">
        <v>9091</v>
      </c>
      <c r="S286" s="25"/>
      <c r="T286" s="40" t="s">
        <v>9092</v>
      </c>
      <c r="U286" s="22" t="s">
        <v>9093</v>
      </c>
      <c r="V286" s="24"/>
      <c r="W286" s="22" t="s">
        <v>9094</v>
      </c>
      <c r="X286" s="22" t="s">
        <v>8289</v>
      </c>
      <c r="Y286" s="24"/>
      <c r="Z286" s="24"/>
      <c r="AA286" s="22" t="s">
        <v>8129</v>
      </c>
      <c r="AB286" s="22" t="s">
        <v>8130</v>
      </c>
      <c r="AC286" s="25"/>
      <c r="AD286" s="22" t="s">
        <v>8131</v>
      </c>
      <c r="AE286" s="22" t="s">
        <v>8132</v>
      </c>
      <c r="AF286" s="25"/>
      <c r="AG286" s="22">
        <v>1.0440667070787E13</v>
      </c>
      <c r="AH286" s="22" t="s">
        <v>8184</v>
      </c>
      <c r="AI286" s="22">
        <v>2.3400941420867E13</v>
      </c>
      <c r="AJ286" s="25"/>
      <c r="AK286" s="22">
        <v>6.714600554819E12</v>
      </c>
      <c r="AL286" s="22" t="s">
        <v>8133</v>
      </c>
      <c r="AQ286" s="32" t="s">
        <v>8135</v>
      </c>
      <c r="AR286" s="32" t="b">
        <v>0</v>
      </c>
      <c r="AS286" s="32" t="b">
        <v>0</v>
      </c>
    </row>
    <row r="287">
      <c r="A287" s="21" t="s">
        <v>9096</v>
      </c>
      <c r="B287" s="22" t="s">
        <v>8140</v>
      </c>
      <c r="C287" s="22">
        <v>1.0</v>
      </c>
      <c r="D287" s="22" t="s">
        <v>8203</v>
      </c>
      <c r="E287" s="22" t="s">
        <v>8140</v>
      </c>
      <c r="F287" s="22" t="s">
        <v>8121</v>
      </c>
      <c r="G287" s="24"/>
      <c r="H287" s="22">
        <v>3.2711100465475E13</v>
      </c>
      <c r="I287" s="24"/>
      <c r="J287" s="24"/>
      <c r="K287" s="22">
        <v>4.2085703581939E13</v>
      </c>
      <c r="L287" s="29"/>
      <c r="M287" s="24"/>
      <c r="N287" s="22" t="s">
        <v>4827</v>
      </c>
      <c r="O287" s="22" t="s">
        <v>9097</v>
      </c>
      <c r="P287" s="22" t="s">
        <v>4827</v>
      </c>
      <c r="Q287" s="22" t="s">
        <v>9097</v>
      </c>
      <c r="R287" s="22" t="s">
        <v>9098</v>
      </c>
      <c r="S287" s="25"/>
      <c r="T287" s="40" t="s">
        <v>9099</v>
      </c>
      <c r="U287" s="22" t="s">
        <v>9100</v>
      </c>
      <c r="V287" s="24"/>
      <c r="W287" s="22" t="s">
        <v>9101</v>
      </c>
      <c r="X287" s="22" t="s">
        <v>8242</v>
      </c>
      <c r="Y287" s="24"/>
      <c r="Z287" s="24"/>
      <c r="AA287" s="22" t="s">
        <v>8129</v>
      </c>
      <c r="AB287" s="22" t="s">
        <v>8130</v>
      </c>
      <c r="AC287" s="25"/>
      <c r="AD287" s="22" t="s">
        <v>8131</v>
      </c>
      <c r="AE287" s="22" t="s">
        <v>8132</v>
      </c>
      <c r="AF287" s="25"/>
      <c r="AG287" s="22">
        <v>1.0444285706563E13</v>
      </c>
      <c r="AH287" s="22" t="s">
        <v>90</v>
      </c>
      <c r="AI287" s="22">
        <v>8.621860454723E12</v>
      </c>
      <c r="AJ287" s="25"/>
      <c r="AK287" s="25"/>
      <c r="AL287" s="22" t="s">
        <v>8134</v>
      </c>
      <c r="AQ287" s="32" t="s">
        <v>8150</v>
      </c>
      <c r="AR287" s="32" t="b">
        <v>0</v>
      </c>
      <c r="AS287" s="32" t="b">
        <v>0</v>
      </c>
    </row>
    <row r="288">
      <c r="A288" s="21" t="s">
        <v>9096</v>
      </c>
      <c r="B288" s="24"/>
      <c r="C288" s="24"/>
      <c r="D288" s="22" t="s">
        <v>8203</v>
      </c>
      <c r="E288" s="24"/>
      <c r="F288" s="22" t="s">
        <v>8136</v>
      </c>
      <c r="G288" s="24"/>
      <c r="H288" s="22">
        <v>9.501326377283E12</v>
      </c>
      <c r="I288" s="24"/>
      <c r="J288" s="24"/>
      <c r="K288" s="24"/>
      <c r="L288" s="29"/>
      <c r="M288" s="24"/>
      <c r="N288" s="22" t="s">
        <v>4827</v>
      </c>
      <c r="O288" s="22" t="s">
        <v>9097</v>
      </c>
      <c r="P288" s="22" t="s">
        <v>4827</v>
      </c>
      <c r="Q288" s="22" t="s">
        <v>9097</v>
      </c>
      <c r="R288" s="22" t="s">
        <v>9098</v>
      </c>
      <c r="S288" s="25"/>
      <c r="T288" s="40" t="s">
        <v>9099</v>
      </c>
      <c r="U288" s="22" t="s">
        <v>9100</v>
      </c>
      <c r="V288" s="24"/>
      <c r="W288" s="22" t="s">
        <v>9101</v>
      </c>
      <c r="X288" s="22" t="s">
        <v>8242</v>
      </c>
      <c r="Y288" s="24"/>
      <c r="Z288" s="24"/>
      <c r="AA288" s="22" t="s">
        <v>8129</v>
      </c>
      <c r="AB288" s="22" t="s">
        <v>8130</v>
      </c>
      <c r="AC288" s="25"/>
      <c r="AD288" s="24"/>
      <c r="AE288" s="22" t="s">
        <v>8132</v>
      </c>
      <c r="AF288" s="25"/>
      <c r="AG288" s="22">
        <v>1.0444285706563E13</v>
      </c>
      <c r="AH288" s="22" t="s">
        <v>8137</v>
      </c>
      <c r="AI288" s="22">
        <v>8.621860454723E12</v>
      </c>
      <c r="AJ288" s="25"/>
      <c r="AK288" s="25"/>
      <c r="AL288" s="22" t="s">
        <v>8136</v>
      </c>
      <c r="AQ288" s="32"/>
      <c r="AR288" s="32" t="b">
        <v>0</v>
      </c>
      <c r="AS288" s="32" t="b">
        <v>0</v>
      </c>
    </row>
    <row r="289">
      <c r="A289" s="21" t="s">
        <v>9102</v>
      </c>
      <c r="B289" s="22" t="s">
        <v>8119</v>
      </c>
      <c r="C289" s="22">
        <v>1.0</v>
      </c>
      <c r="D289" s="22" t="s">
        <v>8581</v>
      </c>
      <c r="E289" s="22" t="s">
        <v>8119</v>
      </c>
      <c r="F289" s="22" t="s">
        <v>8121</v>
      </c>
      <c r="G289" s="24"/>
      <c r="H289" s="22">
        <v>3.2717857816899E13</v>
      </c>
      <c r="I289" s="24"/>
      <c r="J289" s="24"/>
      <c r="K289" s="22">
        <v>4.2085703549171E13</v>
      </c>
      <c r="L289" s="29"/>
      <c r="M289" s="24"/>
      <c r="N289" s="22" t="s">
        <v>4638</v>
      </c>
      <c r="O289" s="22" t="s">
        <v>9103</v>
      </c>
      <c r="P289" s="22" t="s">
        <v>4638</v>
      </c>
      <c r="Q289" s="22" t="s">
        <v>9103</v>
      </c>
      <c r="R289" s="22" t="s">
        <v>9104</v>
      </c>
      <c r="S289" s="25"/>
      <c r="T289" s="40" t="s">
        <v>9105</v>
      </c>
      <c r="U289" s="22" t="s">
        <v>9106</v>
      </c>
      <c r="V289" s="24"/>
      <c r="W289" s="22" t="s">
        <v>9107</v>
      </c>
      <c r="X289" s="22" t="s">
        <v>8380</v>
      </c>
      <c r="Y289" s="24"/>
      <c r="Z289" s="24"/>
      <c r="AA289" s="22" t="s">
        <v>8129</v>
      </c>
      <c r="AB289" s="22" t="s">
        <v>8130</v>
      </c>
      <c r="AC289" s="25"/>
      <c r="AD289" s="22" t="s">
        <v>8131</v>
      </c>
      <c r="AE289" s="22" t="s">
        <v>8132</v>
      </c>
      <c r="AF289" s="25"/>
      <c r="AG289" s="22">
        <v>1.0445500842307E13</v>
      </c>
      <c r="AH289" s="22" t="s">
        <v>90</v>
      </c>
      <c r="AI289" s="22">
        <v>8.563377373507E12</v>
      </c>
      <c r="AJ289" s="25"/>
      <c r="AK289" s="25"/>
      <c r="AL289" s="22" t="s">
        <v>8133</v>
      </c>
      <c r="AQ289" s="32" t="s">
        <v>8135</v>
      </c>
      <c r="AR289" s="32" t="b">
        <v>0</v>
      </c>
      <c r="AS289" s="32" t="b">
        <v>0</v>
      </c>
    </row>
    <row r="290">
      <c r="A290" s="21" t="s">
        <v>9102</v>
      </c>
      <c r="B290" s="24"/>
      <c r="C290" s="24"/>
      <c r="D290" s="22" t="s">
        <v>8581</v>
      </c>
      <c r="E290" s="24"/>
      <c r="F290" s="22" t="s">
        <v>8136</v>
      </c>
      <c r="G290" s="24"/>
      <c r="H290" s="22">
        <v>9.502515265859E12</v>
      </c>
      <c r="I290" s="24"/>
      <c r="J290" s="24"/>
      <c r="K290" s="24"/>
      <c r="L290" s="29"/>
      <c r="M290" s="24"/>
      <c r="N290" s="22" t="s">
        <v>4638</v>
      </c>
      <c r="O290" s="22" t="s">
        <v>9103</v>
      </c>
      <c r="P290" s="22" t="s">
        <v>4638</v>
      </c>
      <c r="Q290" s="22" t="s">
        <v>9103</v>
      </c>
      <c r="R290" s="22" t="s">
        <v>9104</v>
      </c>
      <c r="S290" s="25"/>
      <c r="T290" s="40" t="s">
        <v>9105</v>
      </c>
      <c r="U290" s="22" t="s">
        <v>9106</v>
      </c>
      <c r="V290" s="24"/>
      <c r="W290" s="22" t="s">
        <v>9107</v>
      </c>
      <c r="X290" s="22" t="s">
        <v>8380</v>
      </c>
      <c r="Y290" s="24"/>
      <c r="Z290" s="24"/>
      <c r="AA290" s="22" t="s">
        <v>8129</v>
      </c>
      <c r="AB290" s="22" t="s">
        <v>8130</v>
      </c>
      <c r="AC290" s="25"/>
      <c r="AD290" s="24"/>
      <c r="AE290" s="22" t="s">
        <v>8132</v>
      </c>
      <c r="AF290" s="25"/>
      <c r="AG290" s="22">
        <v>1.0445500842307E13</v>
      </c>
      <c r="AH290" s="22" t="s">
        <v>8137</v>
      </c>
      <c r="AI290" s="22">
        <v>8.563377373507E12</v>
      </c>
      <c r="AJ290" s="25"/>
      <c r="AK290" s="25"/>
      <c r="AL290" s="22" t="s">
        <v>8136</v>
      </c>
      <c r="AQ290" s="32"/>
      <c r="AR290" s="32" t="b">
        <v>0</v>
      </c>
      <c r="AS290" s="32" t="b">
        <v>0</v>
      </c>
    </row>
    <row r="291">
      <c r="A291" s="21" t="s">
        <v>9108</v>
      </c>
      <c r="B291" s="22" t="s">
        <v>8119</v>
      </c>
      <c r="C291" s="22">
        <v>1.0</v>
      </c>
      <c r="D291" s="22" t="s">
        <v>8305</v>
      </c>
      <c r="E291" s="22" t="s">
        <v>8119</v>
      </c>
      <c r="F291" s="22" t="s">
        <v>8121</v>
      </c>
      <c r="G291" s="24"/>
      <c r="H291" s="22">
        <v>3.2717868826947E13</v>
      </c>
      <c r="I291" s="24"/>
      <c r="J291" s="24"/>
      <c r="K291" s="22">
        <v>4.2085703549171E13</v>
      </c>
      <c r="L291" s="29"/>
      <c r="M291" s="24"/>
      <c r="N291" s="22" t="s">
        <v>9109</v>
      </c>
      <c r="O291" s="22" t="s">
        <v>9110</v>
      </c>
      <c r="P291" s="22" t="s">
        <v>9109</v>
      </c>
      <c r="Q291" s="22" t="s">
        <v>9110</v>
      </c>
      <c r="R291" s="22" t="s">
        <v>9111</v>
      </c>
      <c r="S291" s="25"/>
      <c r="T291" s="40" t="s">
        <v>9112</v>
      </c>
      <c r="U291" s="22" t="s">
        <v>9113</v>
      </c>
      <c r="V291" s="24"/>
      <c r="W291" s="22" t="s">
        <v>9114</v>
      </c>
      <c r="X291" s="22" t="s">
        <v>8747</v>
      </c>
      <c r="Y291" s="24"/>
      <c r="Z291" s="24"/>
      <c r="AA291" s="22" t="s">
        <v>8129</v>
      </c>
      <c r="AB291" s="22" t="s">
        <v>8130</v>
      </c>
      <c r="AC291" s="25"/>
      <c r="AD291" s="22" t="s">
        <v>8131</v>
      </c>
      <c r="AE291" s="22" t="s">
        <v>8132</v>
      </c>
      <c r="AF291" s="25"/>
      <c r="AG291" s="22">
        <v>1.0445506216259E13</v>
      </c>
      <c r="AH291" s="22" t="s">
        <v>90</v>
      </c>
      <c r="AI291" s="22">
        <v>8.620335399235E12</v>
      </c>
      <c r="AJ291" s="25"/>
      <c r="AK291" s="25"/>
      <c r="AL291" s="22" t="s">
        <v>8133</v>
      </c>
      <c r="AQ291" s="32" t="s">
        <v>8135</v>
      </c>
      <c r="AR291" s="32" t="b">
        <v>0</v>
      </c>
      <c r="AS291" s="32" t="b">
        <v>0</v>
      </c>
    </row>
    <row r="292">
      <c r="A292" s="21" t="s">
        <v>9108</v>
      </c>
      <c r="B292" s="24"/>
      <c r="C292" s="24"/>
      <c r="D292" s="22" t="s">
        <v>8305</v>
      </c>
      <c r="E292" s="24"/>
      <c r="F292" s="22" t="s">
        <v>8136</v>
      </c>
      <c r="G292" s="24"/>
      <c r="H292" s="22">
        <v>9.502519689539E12</v>
      </c>
      <c r="I292" s="24"/>
      <c r="J292" s="24"/>
      <c r="K292" s="24"/>
      <c r="L292" s="29"/>
      <c r="M292" s="24"/>
      <c r="N292" s="22" t="s">
        <v>9109</v>
      </c>
      <c r="O292" s="22" t="s">
        <v>9110</v>
      </c>
      <c r="P292" s="22" t="s">
        <v>9109</v>
      </c>
      <c r="Q292" s="22" t="s">
        <v>9110</v>
      </c>
      <c r="R292" s="22" t="s">
        <v>9111</v>
      </c>
      <c r="S292" s="25"/>
      <c r="T292" s="40" t="s">
        <v>9112</v>
      </c>
      <c r="U292" s="22" t="s">
        <v>9113</v>
      </c>
      <c r="V292" s="24"/>
      <c r="W292" s="22" t="s">
        <v>9114</v>
      </c>
      <c r="X292" s="22" t="s">
        <v>8747</v>
      </c>
      <c r="Y292" s="24"/>
      <c r="Z292" s="24"/>
      <c r="AA292" s="22" t="s">
        <v>8129</v>
      </c>
      <c r="AB292" s="22" t="s">
        <v>8130</v>
      </c>
      <c r="AC292" s="25"/>
      <c r="AD292" s="25"/>
      <c r="AE292" s="22" t="s">
        <v>8132</v>
      </c>
      <c r="AF292" s="25"/>
      <c r="AG292" s="22">
        <v>1.0445506216259E13</v>
      </c>
      <c r="AH292" s="22" t="s">
        <v>8137</v>
      </c>
      <c r="AI292" s="22">
        <v>8.620335399235E12</v>
      </c>
      <c r="AJ292" s="25"/>
      <c r="AK292" s="25"/>
      <c r="AL292" s="22" t="s">
        <v>8136</v>
      </c>
      <c r="AR292" s="32" t="b">
        <v>0</v>
      </c>
      <c r="AS292" s="32" t="b">
        <v>0</v>
      </c>
    </row>
    <row r="293">
      <c r="A293" s="21" t="s">
        <v>9115</v>
      </c>
      <c r="B293" s="22" t="s">
        <v>8262</v>
      </c>
      <c r="C293" s="22">
        <v>1.0</v>
      </c>
      <c r="D293" s="22" t="s">
        <v>9116</v>
      </c>
      <c r="E293" s="22" t="s">
        <v>8262</v>
      </c>
      <c r="F293" s="22" t="s">
        <v>8155</v>
      </c>
      <c r="G293" s="24"/>
      <c r="H293" s="22">
        <v>3.2718010876227E13</v>
      </c>
      <c r="I293" s="24"/>
      <c r="J293" s="42">
        <v>45996.0</v>
      </c>
      <c r="K293" s="22">
        <v>4.7338059792707E13</v>
      </c>
      <c r="L293" s="29"/>
      <c r="M293" s="24"/>
      <c r="N293" s="22" t="s">
        <v>5805</v>
      </c>
      <c r="O293" s="22" t="s">
        <v>9117</v>
      </c>
      <c r="P293" s="22" t="s">
        <v>5805</v>
      </c>
      <c r="Q293" s="22" t="s">
        <v>9117</v>
      </c>
      <c r="R293" s="22" t="s">
        <v>9118</v>
      </c>
      <c r="S293" s="25"/>
      <c r="T293" s="40" t="s">
        <v>9119</v>
      </c>
      <c r="U293" s="22" t="s">
        <v>9120</v>
      </c>
      <c r="V293" s="24"/>
      <c r="W293" s="22" t="s">
        <v>9121</v>
      </c>
      <c r="X293" s="22" t="s">
        <v>8276</v>
      </c>
      <c r="Y293" s="24"/>
      <c r="Z293" s="24"/>
      <c r="AA293" s="22" t="s">
        <v>8129</v>
      </c>
      <c r="AB293" s="22" t="s">
        <v>8130</v>
      </c>
      <c r="AC293" s="25"/>
      <c r="AD293" s="22" t="s">
        <v>8161</v>
      </c>
      <c r="AE293" s="22" t="s">
        <v>8132</v>
      </c>
      <c r="AF293" s="24"/>
      <c r="AG293" s="22">
        <v>1.0445569884483E13</v>
      </c>
      <c r="AH293" s="22" t="s">
        <v>90</v>
      </c>
      <c r="AI293" s="22">
        <v>2.3407726657859E13</v>
      </c>
      <c r="AJ293" s="24"/>
      <c r="AK293" s="25"/>
      <c r="AL293" s="22" t="s">
        <v>8269</v>
      </c>
      <c r="AQ293" s="32" t="s">
        <v>91</v>
      </c>
      <c r="AR293" s="32" t="b">
        <v>0</v>
      </c>
      <c r="AS293" s="32" t="b">
        <v>0</v>
      </c>
    </row>
    <row r="294">
      <c r="A294" s="21" t="s">
        <v>9115</v>
      </c>
      <c r="B294" s="24"/>
      <c r="C294" s="24"/>
      <c r="D294" s="22" t="s">
        <v>9116</v>
      </c>
      <c r="E294" s="24"/>
      <c r="F294" s="22" t="s">
        <v>8149</v>
      </c>
      <c r="G294" s="24"/>
      <c r="H294" s="22">
        <v>9.502572642627E12</v>
      </c>
      <c r="I294" s="24"/>
      <c r="J294" s="24"/>
      <c r="K294" s="24"/>
      <c r="L294" s="29"/>
      <c r="M294" s="24"/>
      <c r="N294" s="22" t="s">
        <v>5805</v>
      </c>
      <c r="O294" s="22" t="s">
        <v>9117</v>
      </c>
      <c r="P294" s="22" t="s">
        <v>5805</v>
      </c>
      <c r="Q294" s="22" t="s">
        <v>9117</v>
      </c>
      <c r="R294" s="22" t="s">
        <v>9118</v>
      </c>
      <c r="S294" s="25"/>
      <c r="T294" s="40" t="s">
        <v>9119</v>
      </c>
      <c r="U294" s="22" t="s">
        <v>9120</v>
      </c>
      <c r="V294" s="24"/>
      <c r="W294" s="22" t="s">
        <v>9121</v>
      </c>
      <c r="X294" s="22" t="s">
        <v>8276</v>
      </c>
      <c r="Y294" s="24"/>
      <c r="Z294" s="24"/>
      <c r="AA294" s="22" t="s">
        <v>8129</v>
      </c>
      <c r="AB294" s="22" t="s">
        <v>8130</v>
      </c>
      <c r="AC294" s="25"/>
      <c r="AD294" s="25"/>
      <c r="AE294" s="22" t="s">
        <v>8132</v>
      </c>
      <c r="AF294" s="25"/>
      <c r="AG294" s="22">
        <v>1.0445569884483E13</v>
      </c>
      <c r="AH294" s="22" t="s">
        <v>8137</v>
      </c>
      <c r="AI294" s="22">
        <v>2.3407726657859E13</v>
      </c>
      <c r="AJ294" s="25"/>
      <c r="AK294" s="25"/>
      <c r="AL294" s="22" t="s">
        <v>8149</v>
      </c>
      <c r="AR294" s="32" t="b">
        <v>0</v>
      </c>
      <c r="AS294" s="32" t="b">
        <v>0</v>
      </c>
    </row>
    <row r="295">
      <c r="A295" s="21" t="s">
        <v>9122</v>
      </c>
      <c r="B295" s="22" t="s">
        <v>8119</v>
      </c>
      <c r="C295" s="22">
        <v>1.0</v>
      </c>
      <c r="D295" s="22" t="s">
        <v>8581</v>
      </c>
      <c r="E295" s="22" t="s">
        <v>8119</v>
      </c>
      <c r="F295" s="22" t="s">
        <v>8121</v>
      </c>
      <c r="G295" s="24"/>
      <c r="H295" s="22">
        <v>3.2718258143555E13</v>
      </c>
      <c r="I295" s="24"/>
      <c r="J295" s="24"/>
      <c r="K295" s="22">
        <v>4.2085703549171E13</v>
      </c>
      <c r="L295" s="29"/>
      <c r="M295" s="24"/>
      <c r="N295" s="22" t="s">
        <v>4907</v>
      </c>
      <c r="O295" s="22" t="s">
        <v>9123</v>
      </c>
      <c r="P295" s="22" t="s">
        <v>4907</v>
      </c>
      <c r="Q295" s="22" t="s">
        <v>9123</v>
      </c>
      <c r="R295" s="22" t="s">
        <v>9124</v>
      </c>
      <c r="S295" s="24"/>
      <c r="T295" s="40" t="s">
        <v>9125</v>
      </c>
      <c r="U295" s="22" t="s">
        <v>9126</v>
      </c>
      <c r="V295" s="24"/>
      <c r="W295" s="22" t="s">
        <v>9127</v>
      </c>
      <c r="X295" s="22" t="s">
        <v>8251</v>
      </c>
      <c r="Y295" s="24"/>
      <c r="Z295" s="24"/>
      <c r="AA295" s="22" t="s">
        <v>8129</v>
      </c>
      <c r="AB295" s="22" t="s">
        <v>8130</v>
      </c>
      <c r="AC295" s="25"/>
      <c r="AD295" s="22" t="s">
        <v>8131</v>
      </c>
      <c r="AE295" s="22" t="s">
        <v>8132</v>
      </c>
      <c r="AF295" s="25"/>
      <c r="AG295" s="22">
        <v>1.0445682999619E13</v>
      </c>
      <c r="AH295" s="22" t="s">
        <v>90</v>
      </c>
      <c r="AI295" s="22">
        <v>2.3407902589251E13</v>
      </c>
      <c r="AJ295" s="25"/>
      <c r="AK295" s="25"/>
      <c r="AL295" s="22" t="s">
        <v>8133</v>
      </c>
      <c r="AQ295" s="32" t="s">
        <v>8135</v>
      </c>
      <c r="AR295" s="32" t="b">
        <v>0</v>
      </c>
      <c r="AS295" s="32" t="b">
        <v>0</v>
      </c>
    </row>
    <row r="296">
      <c r="A296" s="21" t="s">
        <v>9122</v>
      </c>
      <c r="B296" s="24"/>
      <c r="C296" s="24"/>
      <c r="D296" s="22" t="s">
        <v>8581</v>
      </c>
      <c r="E296" s="24"/>
      <c r="F296" s="22" t="s">
        <v>8136</v>
      </c>
      <c r="G296" s="24"/>
      <c r="H296" s="22">
        <v>9.502665113923E12</v>
      </c>
      <c r="I296" s="24"/>
      <c r="J296" s="24"/>
      <c r="K296" s="24"/>
      <c r="L296" s="29"/>
      <c r="M296" s="24"/>
      <c r="N296" s="22" t="s">
        <v>4907</v>
      </c>
      <c r="O296" s="22" t="s">
        <v>9123</v>
      </c>
      <c r="P296" s="22" t="s">
        <v>4907</v>
      </c>
      <c r="Q296" s="22" t="s">
        <v>9123</v>
      </c>
      <c r="R296" s="22" t="s">
        <v>9124</v>
      </c>
      <c r="S296" s="25"/>
      <c r="T296" s="40" t="s">
        <v>9125</v>
      </c>
      <c r="U296" s="22" t="s">
        <v>9126</v>
      </c>
      <c r="V296" s="24"/>
      <c r="W296" s="22" t="s">
        <v>9127</v>
      </c>
      <c r="X296" s="22" t="s">
        <v>8251</v>
      </c>
      <c r="Y296" s="24"/>
      <c r="Z296" s="24"/>
      <c r="AA296" s="22" t="s">
        <v>8129</v>
      </c>
      <c r="AB296" s="22" t="s">
        <v>8130</v>
      </c>
      <c r="AC296" s="25"/>
      <c r="AD296" s="24"/>
      <c r="AE296" s="22" t="s">
        <v>8132</v>
      </c>
      <c r="AF296" s="25"/>
      <c r="AG296" s="22">
        <v>1.0445682999619E13</v>
      </c>
      <c r="AH296" s="22" t="s">
        <v>8137</v>
      </c>
      <c r="AI296" s="22">
        <v>2.3407902589251E13</v>
      </c>
      <c r="AJ296" s="25"/>
      <c r="AK296" s="25"/>
      <c r="AL296" s="22" t="s">
        <v>8136</v>
      </c>
      <c r="AQ296" s="32"/>
      <c r="AR296" s="32" t="b">
        <v>0</v>
      </c>
      <c r="AS296" s="32" t="b">
        <v>0</v>
      </c>
    </row>
    <row r="297">
      <c r="A297" s="21" t="s">
        <v>9128</v>
      </c>
      <c r="B297" s="22" t="s">
        <v>8119</v>
      </c>
      <c r="C297" s="22">
        <v>1.0</v>
      </c>
      <c r="D297" s="22" t="s">
        <v>8581</v>
      </c>
      <c r="E297" s="22" t="s">
        <v>8119</v>
      </c>
      <c r="F297" s="22" t="s">
        <v>8121</v>
      </c>
      <c r="G297" s="24"/>
      <c r="H297" s="22">
        <v>3.2718330495299E13</v>
      </c>
      <c r="I297" s="24"/>
      <c r="J297" s="24"/>
      <c r="K297" s="22">
        <v>4.2085703549171E13</v>
      </c>
      <c r="L297" s="29"/>
      <c r="M297" s="24"/>
      <c r="N297" s="22" t="s">
        <v>4019</v>
      </c>
      <c r="O297" s="22" t="s">
        <v>9129</v>
      </c>
      <c r="P297" s="22" t="s">
        <v>4019</v>
      </c>
      <c r="Q297" s="22" t="s">
        <v>9129</v>
      </c>
      <c r="R297" s="22" t="s">
        <v>9130</v>
      </c>
      <c r="S297" s="25"/>
      <c r="T297" s="40" t="s">
        <v>9131</v>
      </c>
      <c r="U297" s="22" t="s">
        <v>9132</v>
      </c>
      <c r="V297" s="24"/>
      <c r="W297" s="22" t="s">
        <v>9133</v>
      </c>
      <c r="X297" s="22" t="s">
        <v>8276</v>
      </c>
      <c r="Y297" s="24"/>
      <c r="Z297" s="24"/>
      <c r="AA297" s="22" t="s">
        <v>8129</v>
      </c>
      <c r="AB297" s="22" t="s">
        <v>8130</v>
      </c>
      <c r="AC297" s="25"/>
      <c r="AD297" s="22" t="s">
        <v>8131</v>
      </c>
      <c r="AE297" s="22" t="s">
        <v>8132</v>
      </c>
      <c r="AF297" s="25"/>
      <c r="AG297" s="22">
        <v>1.0445715767619E13</v>
      </c>
      <c r="AH297" s="22" t="s">
        <v>90</v>
      </c>
      <c r="AI297" s="22">
        <v>7.433540632899E12</v>
      </c>
      <c r="AJ297" s="25"/>
      <c r="AK297" s="25"/>
      <c r="AL297" s="22" t="s">
        <v>8133</v>
      </c>
      <c r="AQ297" s="32" t="s">
        <v>8135</v>
      </c>
      <c r="AR297" s="32" t="b">
        <v>0</v>
      </c>
      <c r="AS297" s="32" t="b">
        <v>0</v>
      </c>
    </row>
    <row r="298">
      <c r="A298" s="21" t="s">
        <v>9128</v>
      </c>
      <c r="B298" s="24"/>
      <c r="C298" s="24"/>
      <c r="D298" s="22" t="s">
        <v>8581</v>
      </c>
      <c r="E298" s="24"/>
      <c r="F298" s="22" t="s">
        <v>8136</v>
      </c>
      <c r="G298" s="24"/>
      <c r="H298" s="22">
        <v>9.502691950915E12</v>
      </c>
      <c r="I298" s="24"/>
      <c r="J298" s="24"/>
      <c r="K298" s="24"/>
      <c r="L298" s="29"/>
      <c r="M298" s="24"/>
      <c r="N298" s="22" t="s">
        <v>4019</v>
      </c>
      <c r="O298" s="22" t="s">
        <v>9129</v>
      </c>
      <c r="P298" s="22" t="s">
        <v>4019</v>
      </c>
      <c r="Q298" s="22" t="s">
        <v>9129</v>
      </c>
      <c r="R298" s="22" t="s">
        <v>9130</v>
      </c>
      <c r="S298" s="25"/>
      <c r="T298" s="40" t="s">
        <v>9131</v>
      </c>
      <c r="U298" s="22" t="s">
        <v>9132</v>
      </c>
      <c r="V298" s="24"/>
      <c r="W298" s="22" t="s">
        <v>9133</v>
      </c>
      <c r="X298" s="22" t="s">
        <v>8276</v>
      </c>
      <c r="Y298" s="24"/>
      <c r="Z298" s="24"/>
      <c r="AA298" s="22" t="s">
        <v>8129</v>
      </c>
      <c r="AB298" s="22" t="s">
        <v>8130</v>
      </c>
      <c r="AC298" s="25"/>
      <c r="AD298" s="25"/>
      <c r="AE298" s="22" t="s">
        <v>8132</v>
      </c>
      <c r="AF298" s="25"/>
      <c r="AG298" s="22">
        <v>1.0445715767619E13</v>
      </c>
      <c r="AH298" s="22" t="s">
        <v>8137</v>
      </c>
      <c r="AI298" s="22">
        <v>7.433540632899E12</v>
      </c>
      <c r="AJ298" s="25"/>
      <c r="AK298" s="25"/>
      <c r="AL298" s="22" t="s">
        <v>8136</v>
      </c>
      <c r="AR298" s="32" t="b">
        <v>0</v>
      </c>
      <c r="AS298" s="32" t="b">
        <v>0</v>
      </c>
    </row>
    <row r="299">
      <c r="A299" s="21" t="s">
        <v>9134</v>
      </c>
      <c r="B299" s="22" t="s">
        <v>8119</v>
      </c>
      <c r="C299" s="22">
        <v>1.0</v>
      </c>
      <c r="D299" s="22" t="s">
        <v>8203</v>
      </c>
      <c r="E299" s="22" t="s">
        <v>8119</v>
      </c>
      <c r="F299" s="22" t="s">
        <v>8121</v>
      </c>
      <c r="G299" s="24"/>
      <c r="H299" s="22">
        <v>3.2702207099203E13</v>
      </c>
      <c r="I299" s="24"/>
      <c r="J299" s="24"/>
      <c r="K299" s="22">
        <v>4.2085703549171E13</v>
      </c>
      <c r="L299" s="29"/>
      <c r="M299" s="24"/>
      <c r="N299" s="22" t="s">
        <v>9135</v>
      </c>
      <c r="O299" s="22" t="s">
        <v>9136</v>
      </c>
      <c r="P299" s="22" t="s">
        <v>9135</v>
      </c>
      <c r="Q299" s="22" t="s">
        <v>9136</v>
      </c>
      <c r="R299" s="22" t="s">
        <v>9137</v>
      </c>
      <c r="S299" s="22" t="s">
        <v>9138</v>
      </c>
      <c r="T299" s="40" t="s">
        <v>9139</v>
      </c>
      <c r="U299" s="22" t="s">
        <v>9140</v>
      </c>
      <c r="V299" s="24"/>
      <c r="W299" s="22" t="s">
        <v>9141</v>
      </c>
      <c r="X299" s="22" t="s">
        <v>8380</v>
      </c>
      <c r="Y299" s="24"/>
      <c r="Z299" s="24"/>
      <c r="AA299" s="22" t="s">
        <v>8129</v>
      </c>
      <c r="AB299" s="22" t="s">
        <v>8130</v>
      </c>
      <c r="AC299" s="25"/>
      <c r="AD299" s="22" t="s">
        <v>8131</v>
      </c>
      <c r="AE299" s="22" t="s">
        <v>8132</v>
      </c>
      <c r="AF299" s="25"/>
      <c r="AG299" s="22">
        <v>1.0440058175811E13</v>
      </c>
      <c r="AH299" s="22" t="s">
        <v>90</v>
      </c>
      <c r="AI299" s="22">
        <v>8.631314317635E12</v>
      </c>
      <c r="AJ299" s="25"/>
      <c r="AK299" s="25"/>
      <c r="AL299" s="22" t="s">
        <v>8133</v>
      </c>
      <c r="AQ299" s="32" t="s">
        <v>8135</v>
      </c>
      <c r="AR299" s="32" t="b">
        <v>0</v>
      </c>
      <c r="AS299" s="32" t="b">
        <v>0</v>
      </c>
    </row>
    <row r="300">
      <c r="A300" s="21" t="s">
        <v>9134</v>
      </c>
      <c r="B300" s="22" t="s">
        <v>8140</v>
      </c>
      <c r="C300" s="22">
        <v>1.0</v>
      </c>
      <c r="D300" s="22" t="s">
        <v>8203</v>
      </c>
      <c r="E300" s="22" t="s">
        <v>8140</v>
      </c>
      <c r="F300" s="22" t="s">
        <v>8121</v>
      </c>
      <c r="G300" s="24"/>
      <c r="H300" s="22">
        <v>3.2702207131971E13</v>
      </c>
      <c r="I300" s="24"/>
      <c r="J300" s="24"/>
      <c r="K300" s="22">
        <v>4.2085703581939E13</v>
      </c>
      <c r="L300" s="29"/>
      <c r="M300" s="24"/>
      <c r="N300" s="22" t="s">
        <v>9135</v>
      </c>
      <c r="O300" s="22" t="s">
        <v>9136</v>
      </c>
      <c r="P300" s="22" t="s">
        <v>9135</v>
      </c>
      <c r="Q300" s="22" t="s">
        <v>9136</v>
      </c>
      <c r="R300" s="22" t="s">
        <v>9137</v>
      </c>
      <c r="S300" s="22" t="s">
        <v>9138</v>
      </c>
      <c r="T300" s="40" t="s">
        <v>9139</v>
      </c>
      <c r="U300" s="22" t="s">
        <v>9140</v>
      </c>
      <c r="V300" s="24"/>
      <c r="W300" s="22" t="s">
        <v>9141</v>
      </c>
      <c r="X300" s="22" t="s">
        <v>8380</v>
      </c>
      <c r="Y300" s="24"/>
      <c r="Z300" s="24"/>
      <c r="AA300" s="22" t="s">
        <v>8129</v>
      </c>
      <c r="AB300" s="22" t="s">
        <v>8130</v>
      </c>
      <c r="AC300" s="25"/>
      <c r="AD300" s="22" t="s">
        <v>8131</v>
      </c>
      <c r="AE300" s="22" t="s">
        <v>8132</v>
      </c>
      <c r="AF300" s="25"/>
      <c r="AG300" s="22">
        <v>1.0440058175811E13</v>
      </c>
      <c r="AH300" s="22" t="s">
        <v>90</v>
      </c>
      <c r="AI300" s="22">
        <v>8.631314317635E12</v>
      </c>
      <c r="AJ300" s="25"/>
      <c r="AK300" s="25"/>
      <c r="AL300" s="22" t="s">
        <v>8134</v>
      </c>
      <c r="AQ300" s="32" t="s">
        <v>8150</v>
      </c>
      <c r="AR300" s="32" t="b">
        <v>0</v>
      </c>
      <c r="AS300" s="32" t="b">
        <v>0</v>
      </c>
    </row>
    <row r="301">
      <c r="A301" s="21" t="s">
        <v>9134</v>
      </c>
      <c r="B301" s="24"/>
      <c r="C301" s="24"/>
      <c r="D301" s="22" t="s">
        <v>8203</v>
      </c>
      <c r="E301" s="24"/>
      <c r="F301" s="22" t="s">
        <v>8457</v>
      </c>
      <c r="G301" s="24"/>
      <c r="H301" s="22">
        <v>9.497569722691E12</v>
      </c>
      <c r="I301" s="24"/>
      <c r="J301" s="24"/>
      <c r="K301" s="24"/>
      <c r="L301" s="29"/>
      <c r="M301" s="24"/>
      <c r="N301" s="22" t="s">
        <v>9135</v>
      </c>
      <c r="O301" s="22" t="s">
        <v>9136</v>
      </c>
      <c r="P301" s="22" t="s">
        <v>9135</v>
      </c>
      <c r="Q301" s="22" t="s">
        <v>9136</v>
      </c>
      <c r="R301" s="22" t="s">
        <v>9137</v>
      </c>
      <c r="S301" s="22" t="s">
        <v>9138</v>
      </c>
      <c r="T301" s="40" t="s">
        <v>9139</v>
      </c>
      <c r="U301" s="22" t="s">
        <v>9140</v>
      </c>
      <c r="V301" s="24"/>
      <c r="W301" s="22" t="s">
        <v>9141</v>
      </c>
      <c r="X301" s="22" t="s">
        <v>8380</v>
      </c>
      <c r="Y301" s="24"/>
      <c r="Z301" s="24"/>
      <c r="AA301" s="22" t="s">
        <v>8129</v>
      </c>
      <c r="AB301" s="22" t="s">
        <v>8130</v>
      </c>
      <c r="AC301" s="25"/>
      <c r="AD301" s="24"/>
      <c r="AE301" s="22" t="s">
        <v>8132</v>
      </c>
      <c r="AF301" s="25"/>
      <c r="AG301" s="22">
        <v>1.0440058175811E13</v>
      </c>
      <c r="AH301" s="22" t="s">
        <v>8137</v>
      </c>
      <c r="AI301" s="22">
        <v>8.631314317635E12</v>
      </c>
      <c r="AJ301" s="25"/>
      <c r="AK301" s="25"/>
      <c r="AL301" s="22" t="s">
        <v>8457</v>
      </c>
      <c r="AQ301" s="32"/>
      <c r="AR301" s="32" t="b">
        <v>0</v>
      </c>
      <c r="AS301" s="32" t="b">
        <v>0</v>
      </c>
    </row>
    <row r="302">
      <c r="A302" s="21" t="s">
        <v>9142</v>
      </c>
      <c r="B302" s="22" t="s">
        <v>8140</v>
      </c>
      <c r="C302" s="22">
        <v>1.0</v>
      </c>
      <c r="D302" s="22" t="s">
        <v>8212</v>
      </c>
      <c r="E302" s="22" t="s">
        <v>8140</v>
      </c>
      <c r="F302" s="22" t="s">
        <v>8121</v>
      </c>
      <c r="G302" s="24"/>
      <c r="H302" s="22">
        <v>3.2707143237955E13</v>
      </c>
      <c r="I302" s="24"/>
      <c r="J302" s="24"/>
      <c r="K302" s="22">
        <v>4.2085703581939E13</v>
      </c>
      <c r="L302" s="29"/>
      <c r="M302" s="24"/>
      <c r="N302" s="22" t="s">
        <v>3674</v>
      </c>
      <c r="O302" s="22" t="s">
        <v>9143</v>
      </c>
      <c r="P302" s="22" t="s">
        <v>3674</v>
      </c>
      <c r="Q302" s="22" t="s">
        <v>9143</v>
      </c>
      <c r="R302" s="22" t="s">
        <v>9144</v>
      </c>
      <c r="S302" s="25"/>
      <c r="T302" s="40" t="s">
        <v>9145</v>
      </c>
      <c r="U302" s="22" t="s">
        <v>9146</v>
      </c>
      <c r="V302" s="24"/>
      <c r="W302" s="22" t="s">
        <v>9147</v>
      </c>
      <c r="X302" s="22" t="s">
        <v>8367</v>
      </c>
      <c r="Y302" s="24"/>
      <c r="Z302" s="24"/>
      <c r="AA302" s="22" t="s">
        <v>8129</v>
      </c>
      <c r="AB302" s="22" t="s">
        <v>8130</v>
      </c>
      <c r="AC302" s="25"/>
      <c r="AD302" s="22" t="s">
        <v>8131</v>
      </c>
      <c r="AE302" s="22" t="s">
        <v>8132</v>
      </c>
      <c r="AF302" s="25"/>
      <c r="AG302" s="22">
        <v>1.0442463379779E13</v>
      </c>
      <c r="AH302" s="22" t="s">
        <v>90</v>
      </c>
      <c r="AI302" s="22">
        <v>6.484930691315E12</v>
      </c>
      <c r="AJ302" s="25"/>
      <c r="AK302" s="25"/>
      <c r="AL302" s="22" t="s">
        <v>8134</v>
      </c>
      <c r="AQ302" s="32" t="s">
        <v>8150</v>
      </c>
      <c r="AR302" s="32" t="b">
        <v>0</v>
      </c>
      <c r="AS302" s="32" t="b">
        <v>0</v>
      </c>
    </row>
    <row r="303">
      <c r="A303" s="21" t="s">
        <v>9142</v>
      </c>
      <c r="B303" s="24"/>
      <c r="C303" s="24"/>
      <c r="D303" s="22" t="s">
        <v>8212</v>
      </c>
      <c r="E303" s="24"/>
      <c r="F303" s="22" t="s">
        <v>8136</v>
      </c>
      <c r="G303" s="24"/>
      <c r="H303" s="22">
        <v>9.499753054531E12</v>
      </c>
      <c r="I303" s="24"/>
      <c r="J303" s="24"/>
      <c r="K303" s="24"/>
      <c r="L303" s="29"/>
      <c r="M303" s="24"/>
      <c r="N303" s="22" t="s">
        <v>3674</v>
      </c>
      <c r="O303" s="22" t="s">
        <v>9143</v>
      </c>
      <c r="P303" s="22" t="s">
        <v>3674</v>
      </c>
      <c r="Q303" s="22" t="s">
        <v>9143</v>
      </c>
      <c r="R303" s="22" t="s">
        <v>9144</v>
      </c>
      <c r="S303" s="25"/>
      <c r="T303" s="40" t="s">
        <v>9145</v>
      </c>
      <c r="U303" s="22" t="s">
        <v>9146</v>
      </c>
      <c r="V303" s="24"/>
      <c r="W303" s="22" t="s">
        <v>9147</v>
      </c>
      <c r="X303" s="22" t="s">
        <v>8367</v>
      </c>
      <c r="Y303" s="24"/>
      <c r="Z303" s="24"/>
      <c r="AA303" s="22" t="s">
        <v>8129</v>
      </c>
      <c r="AB303" s="22" t="s">
        <v>8130</v>
      </c>
      <c r="AC303" s="25"/>
      <c r="AD303" s="25"/>
      <c r="AE303" s="22" t="s">
        <v>8132</v>
      </c>
      <c r="AF303" s="25"/>
      <c r="AG303" s="22">
        <v>1.0442463379779E13</v>
      </c>
      <c r="AH303" s="22" t="s">
        <v>8137</v>
      </c>
      <c r="AI303" s="22">
        <v>6.484930691315E12</v>
      </c>
      <c r="AJ303" s="25"/>
      <c r="AK303" s="25"/>
      <c r="AL303" s="22" t="s">
        <v>8136</v>
      </c>
      <c r="AR303" s="32" t="b">
        <v>0</v>
      </c>
      <c r="AS303" s="32" t="b">
        <v>0</v>
      </c>
    </row>
    <row r="304">
      <c r="A304" s="21" t="s">
        <v>9148</v>
      </c>
      <c r="B304" s="22" t="s">
        <v>8119</v>
      </c>
      <c r="C304" s="22">
        <v>1.0</v>
      </c>
      <c r="D304" s="22" t="s">
        <v>9149</v>
      </c>
      <c r="E304" s="22" t="s">
        <v>8119</v>
      </c>
      <c r="F304" s="22" t="s">
        <v>8121</v>
      </c>
      <c r="G304" s="24"/>
      <c r="H304" s="22">
        <v>3.2708888789315E13</v>
      </c>
      <c r="I304" s="24"/>
      <c r="J304" s="24"/>
      <c r="K304" s="22">
        <v>4.2085703549171E13</v>
      </c>
      <c r="L304" s="29"/>
      <c r="M304" s="24"/>
      <c r="N304" s="22" t="s">
        <v>9150</v>
      </c>
      <c r="O304" s="22" t="s">
        <v>9151</v>
      </c>
      <c r="P304" s="22" t="s">
        <v>4848</v>
      </c>
      <c r="Q304" s="22" t="s">
        <v>9152</v>
      </c>
      <c r="R304" s="22" t="s">
        <v>9153</v>
      </c>
      <c r="S304" s="24"/>
      <c r="T304" s="40" t="s">
        <v>9154</v>
      </c>
      <c r="U304" s="22" t="s">
        <v>9155</v>
      </c>
      <c r="V304" s="24"/>
      <c r="W304" s="22" t="s">
        <v>9156</v>
      </c>
      <c r="X304" s="22" t="s">
        <v>8289</v>
      </c>
      <c r="Y304" s="24"/>
      <c r="Z304" s="24"/>
      <c r="AA304" s="22" t="s">
        <v>8129</v>
      </c>
      <c r="AB304" s="22" t="s">
        <v>8130</v>
      </c>
      <c r="AC304" s="25"/>
      <c r="AD304" s="22" t="s">
        <v>8131</v>
      </c>
      <c r="AE304" s="22" t="s">
        <v>8132</v>
      </c>
      <c r="AF304" s="25"/>
      <c r="AG304" s="22">
        <v>1.0443272847683E13</v>
      </c>
      <c r="AH304" s="22" t="s">
        <v>90</v>
      </c>
      <c r="AI304" s="22">
        <v>7.457860223299E12</v>
      </c>
      <c r="AJ304" s="25"/>
      <c r="AK304" s="25"/>
      <c r="AL304" s="22" t="s">
        <v>8133</v>
      </c>
      <c r="AQ304" s="32" t="s">
        <v>8135</v>
      </c>
      <c r="AR304" s="32" t="b">
        <v>0</v>
      </c>
      <c r="AS304" s="32" t="b">
        <v>0</v>
      </c>
    </row>
    <row r="305">
      <c r="A305" s="21" t="s">
        <v>9148</v>
      </c>
      <c r="B305" s="24"/>
      <c r="C305" s="24"/>
      <c r="D305" s="22" t="s">
        <v>9149</v>
      </c>
      <c r="E305" s="24"/>
      <c r="F305" s="22" t="s">
        <v>8136</v>
      </c>
      <c r="G305" s="24"/>
      <c r="H305" s="22">
        <v>9.500414476611E12</v>
      </c>
      <c r="I305" s="24"/>
      <c r="J305" s="24"/>
      <c r="K305" s="24"/>
      <c r="L305" s="29"/>
      <c r="M305" s="24"/>
      <c r="N305" s="22" t="s">
        <v>9150</v>
      </c>
      <c r="O305" s="22" t="s">
        <v>9151</v>
      </c>
      <c r="P305" s="22" t="s">
        <v>4848</v>
      </c>
      <c r="Q305" s="22" t="s">
        <v>9152</v>
      </c>
      <c r="R305" s="22" t="s">
        <v>9153</v>
      </c>
      <c r="S305" s="25"/>
      <c r="T305" s="40" t="s">
        <v>9154</v>
      </c>
      <c r="U305" s="22" t="s">
        <v>9155</v>
      </c>
      <c r="V305" s="24"/>
      <c r="W305" s="22" t="s">
        <v>9156</v>
      </c>
      <c r="X305" s="22" t="s">
        <v>8289</v>
      </c>
      <c r="Y305" s="24"/>
      <c r="Z305" s="24"/>
      <c r="AA305" s="22" t="s">
        <v>8129</v>
      </c>
      <c r="AB305" s="22" t="s">
        <v>8130</v>
      </c>
      <c r="AC305" s="25"/>
      <c r="AD305" s="24"/>
      <c r="AE305" s="22" t="s">
        <v>8132</v>
      </c>
      <c r="AF305" s="25"/>
      <c r="AG305" s="22">
        <v>1.0443272847683E13</v>
      </c>
      <c r="AH305" s="22" t="s">
        <v>8137</v>
      </c>
      <c r="AI305" s="22">
        <v>7.457860223299E12</v>
      </c>
      <c r="AJ305" s="25"/>
      <c r="AK305" s="25"/>
      <c r="AL305" s="22" t="s">
        <v>8136</v>
      </c>
      <c r="AQ305" s="32"/>
      <c r="AR305" s="32" t="b">
        <v>0</v>
      </c>
      <c r="AS305" s="32" t="b">
        <v>0</v>
      </c>
    </row>
    <row r="306">
      <c r="A306" s="21" t="s">
        <v>9157</v>
      </c>
      <c r="B306" s="22" t="s">
        <v>8140</v>
      </c>
      <c r="C306" s="22">
        <v>1.0</v>
      </c>
      <c r="D306" s="22" t="s">
        <v>8501</v>
      </c>
      <c r="E306" s="22" t="s">
        <v>8140</v>
      </c>
      <c r="F306" s="22" t="s">
        <v>8121</v>
      </c>
      <c r="G306" s="24"/>
      <c r="H306" s="22">
        <v>3.2720501473603E13</v>
      </c>
      <c r="I306" s="24"/>
      <c r="J306" s="24"/>
      <c r="K306" s="22">
        <v>4.2085703581939E13</v>
      </c>
      <c r="L306" s="29"/>
      <c r="M306" s="24"/>
      <c r="N306" s="22" t="s">
        <v>9158</v>
      </c>
      <c r="O306" s="22" t="s">
        <v>9159</v>
      </c>
      <c r="P306" s="22" t="s">
        <v>9158</v>
      </c>
      <c r="Q306" s="22" t="s">
        <v>9159</v>
      </c>
      <c r="R306" s="22" t="s">
        <v>9160</v>
      </c>
      <c r="S306" s="25"/>
      <c r="T306" s="40" t="s">
        <v>9161</v>
      </c>
      <c r="U306" s="22" t="s">
        <v>9162</v>
      </c>
      <c r="V306" s="25"/>
      <c r="W306" s="22" t="s">
        <v>9163</v>
      </c>
      <c r="X306" s="22" t="s">
        <v>8289</v>
      </c>
      <c r="Y306" s="24"/>
      <c r="Z306" s="25"/>
      <c r="AA306" s="22" t="s">
        <v>8129</v>
      </c>
      <c r="AB306" s="22" t="s">
        <v>8130</v>
      </c>
      <c r="AC306" s="25"/>
      <c r="AD306" s="22" t="s">
        <v>8131</v>
      </c>
      <c r="AE306" s="22" t="s">
        <v>8132</v>
      </c>
      <c r="AF306" s="25"/>
      <c r="AG306" s="22">
        <v>1.0446780629315E13</v>
      </c>
      <c r="AH306" s="22" t="s">
        <v>90</v>
      </c>
      <c r="AI306" s="22">
        <v>2.3409770561859E13</v>
      </c>
      <c r="AJ306" s="25"/>
      <c r="AK306" s="25"/>
      <c r="AL306" s="22" t="s">
        <v>8134</v>
      </c>
      <c r="AQ306" s="32" t="s">
        <v>8150</v>
      </c>
      <c r="AR306" s="32" t="b">
        <v>0</v>
      </c>
      <c r="AS306" s="32" t="b">
        <v>0</v>
      </c>
    </row>
    <row r="307">
      <c r="A307" s="21" t="s">
        <v>9157</v>
      </c>
      <c r="B307" s="24"/>
      <c r="C307" s="24"/>
      <c r="D307" s="22" t="s">
        <v>8501</v>
      </c>
      <c r="E307" s="24"/>
      <c r="F307" s="22" t="s">
        <v>8136</v>
      </c>
      <c r="G307" s="24"/>
      <c r="H307" s="22">
        <v>9.503627411779E12</v>
      </c>
      <c r="I307" s="24"/>
      <c r="J307" s="24"/>
      <c r="K307" s="24"/>
      <c r="L307" s="29"/>
      <c r="M307" s="24"/>
      <c r="N307" s="22" t="s">
        <v>9158</v>
      </c>
      <c r="O307" s="22" t="s">
        <v>9159</v>
      </c>
      <c r="P307" s="22" t="s">
        <v>9158</v>
      </c>
      <c r="Q307" s="22" t="s">
        <v>9159</v>
      </c>
      <c r="R307" s="22" t="s">
        <v>9160</v>
      </c>
      <c r="S307" s="25"/>
      <c r="T307" s="40" t="s">
        <v>9161</v>
      </c>
      <c r="U307" s="22" t="s">
        <v>9162</v>
      </c>
      <c r="V307" s="24"/>
      <c r="W307" s="22" t="s">
        <v>9163</v>
      </c>
      <c r="X307" s="22" t="s">
        <v>8289</v>
      </c>
      <c r="Y307" s="24"/>
      <c r="Z307" s="24"/>
      <c r="AA307" s="22" t="s">
        <v>8129</v>
      </c>
      <c r="AB307" s="22" t="s">
        <v>8130</v>
      </c>
      <c r="AC307" s="25"/>
      <c r="AD307" s="25"/>
      <c r="AE307" s="22" t="s">
        <v>8132</v>
      </c>
      <c r="AF307" s="25"/>
      <c r="AG307" s="22">
        <v>1.0446780629315E13</v>
      </c>
      <c r="AH307" s="22" t="s">
        <v>8137</v>
      </c>
      <c r="AI307" s="22">
        <v>2.3409770561859E13</v>
      </c>
      <c r="AJ307" s="25"/>
      <c r="AK307" s="25"/>
      <c r="AL307" s="22" t="s">
        <v>8136</v>
      </c>
      <c r="AR307" s="32" t="b">
        <v>0</v>
      </c>
      <c r="AS307" s="32" t="b">
        <v>0</v>
      </c>
    </row>
    <row r="308">
      <c r="A308" s="21" t="s">
        <v>9164</v>
      </c>
      <c r="B308" s="22" t="s">
        <v>8119</v>
      </c>
      <c r="C308" s="22">
        <v>1.0</v>
      </c>
      <c r="D308" s="22" t="s">
        <v>8212</v>
      </c>
      <c r="E308" s="22" t="s">
        <v>8119</v>
      </c>
      <c r="F308" s="22" t="s">
        <v>8121</v>
      </c>
      <c r="G308" s="24"/>
      <c r="H308" s="22">
        <v>3.2720664822083E13</v>
      </c>
      <c r="I308" s="24"/>
      <c r="J308" s="24"/>
      <c r="K308" s="22">
        <v>4.2085703549171E13</v>
      </c>
      <c r="L308" s="29"/>
      <c r="M308" s="24"/>
      <c r="N308" s="22" t="s">
        <v>9165</v>
      </c>
      <c r="O308" s="22" t="s">
        <v>9166</v>
      </c>
      <c r="P308" s="22" t="s">
        <v>9165</v>
      </c>
      <c r="Q308" s="22" t="s">
        <v>9166</v>
      </c>
      <c r="R308" s="22" t="s">
        <v>9167</v>
      </c>
      <c r="S308" s="25"/>
      <c r="T308" s="40" t="s">
        <v>9168</v>
      </c>
      <c r="U308" s="22" t="s">
        <v>9169</v>
      </c>
      <c r="V308" s="24"/>
      <c r="W308" s="22">
        <v>2000.0</v>
      </c>
      <c r="X308" s="22" t="s">
        <v>9170</v>
      </c>
      <c r="Y308" s="24"/>
      <c r="Z308" s="24"/>
      <c r="AA308" s="22" t="s">
        <v>8426</v>
      </c>
      <c r="AB308" s="22" t="s">
        <v>8427</v>
      </c>
      <c r="AC308" s="25"/>
      <c r="AD308" s="22" t="s">
        <v>8131</v>
      </c>
      <c r="AE308" s="22" t="s">
        <v>8132</v>
      </c>
      <c r="AF308" s="25"/>
      <c r="AG308" s="22">
        <v>1.0446850654531E13</v>
      </c>
      <c r="AH308" s="22" t="s">
        <v>90</v>
      </c>
      <c r="AI308" s="22">
        <v>2.3409889739075E13</v>
      </c>
      <c r="AJ308" s="25"/>
      <c r="AK308" s="25"/>
      <c r="AL308" s="22" t="s">
        <v>8133</v>
      </c>
      <c r="AQ308" s="32" t="s">
        <v>8135</v>
      </c>
      <c r="AR308" s="32" t="b">
        <v>0</v>
      </c>
      <c r="AS308" s="32" t="b">
        <v>0</v>
      </c>
    </row>
    <row r="309">
      <c r="A309" s="21" t="s">
        <v>9164</v>
      </c>
      <c r="B309" s="24"/>
      <c r="C309" s="24"/>
      <c r="D309" s="22" t="s">
        <v>8212</v>
      </c>
      <c r="E309" s="24"/>
      <c r="F309" s="22" t="s">
        <v>8252</v>
      </c>
      <c r="G309" s="24"/>
      <c r="H309" s="22">
        <v>9.503691112771E12</v>
      </c>
      <c r="I309" s="24"/>
      <c r="J309" s="24"/>
      <c r="K309" s="24"/>
      <c r="L309" s="29"/>
      <c r="M309" s="24"/>
      <c r="N309" s="22" t="s">
        <v>9165</v>
      </c>
      <c r="O309" s="22" t="s">
        <v>9166</v>
      </c>
      <c r="P309" s="22" t="s">
        <v>9165</v>
      </c>
      <c r="Q309" s="22" t="s">
        <v>9166</v>
      </c>
      <c r="R309" s="22" t="s">
        <v>9167</v>
      </c>
      <c r="S309" s="25"/>
      <c r="T309" s="40" t="s">
        <v>9168</v>
      </c>
      <c r="U309" s="22" t="s">
        <v>9169</v>
      </c>
      <c r="V309" s="24"/>
      <c r="W309" s="22">
        <v>2000.0</v>
      </c>
      <c r="X309" s="22" t="s">
        <v>9170</v>
      </c>
      <c r="Y309" s="24"/>
      <c r="Z309" s="24"/>
      <c r="AA309" s="22" t="s">
        <v>8426</v>
      </c>
      <c r="AB309" s="22" t="s">
        <v>8427</v>
      </c>
      <c r="AC309" s="25"/>
      <c r="AD309" s="25"/>
      <c r="AE309" s="22" t="s">
        <v>8132</v>
      </c>
      <c r="AF309" s="25"/>
      <c r="AG309" s="22">
        <v>1.0446850654531E13</v>
      </c>
      <c r="AH309" s="22" t="s">
        <v>8137</v>
      </c>
      <c r="AI309" s="22">
        <v>2.3409889739075E13</v>
      </c>
      <c r="AJ309" s="25"/>
      <c r="AK309" s="25"/>
      <c r="AL309" s="22" t="s">
        <v>8252</v>
      </c>
      <c r="AR309" s="32" t="b">
        <v>0</v>
      </c>
      <c r="AS309" s="32" t="b">
        <v>0</v>
      </c>
    </row>
    <row r="310">
      <c r="A310" s="21" t="s">
        <v>9171</v>
      </c>
      <c r="B310" s="22" t="s">
        <v>8140</v>
      </c>
      <c r="C310" s="22">
        <v>4.0</v>
      </c>
      <c r="D310" s="22" t="s">
        <v>8175</v>
      </c>
      <c r="E310" s="22" t="s">
        <v>8140</v>
      </c>
      <c r="F310" s="22" t="s">
        <v>8121</v>
      </c>
      <c r="G310" s="22" t="s">
        <v>89</v>
      </c>
      <c r="H310" s="22">
        <v>3.2720677273923E13</v>
      </c>
      <c r="I310" s="22" t="s">
        <v>89</v>
      </c>
      <c r="J310" s="24"/>
      <c r="K310" s="22">
        <v>4.2085703581939E13</v>
      </c>
      <c r="L310" s="34"/>
      <c r="M310" s="24"/>
      <c r="N310" s="22" t="s">
        <v>9172</v>
      </c>
      <c r="O310" s="22" t="s">
        <v>6687</v>
      </c>
      <c r="P310" s="22" t="s">
        <v>9172</v>
      </c>
      <c r="Q310" s="22" t="s">
        <v>6687</v>
      </c>
      <c r="R310" s="22" t="s">
        <v>9173</v>
      </c>
      <c r="S310" s="22" t="s">
        <v>9174</v>
      </c>
      <c r="T310" s="40" t="s">
        <v>9175</v>
      </c>
      <c r="U310" s="22" t="s">
        <v>9176</v>
      </c>
      <c r="V310" s="24"/>
      <c r="W310" s="22" t="s">
        <v>9177</v>
      </c>
      <c r="X310" s="22" t="s">
        <v>8251</v>
      </c>
      <c r="Y310" s="24"/>
      <c r="Z310" s="24"/>
      <c r="AA310" s="22" t="s">
        <v>8129</v>
      </c>
      <c r="AB310" s="22" t="s">
        <v>8130</v>
      </c>
      <c r="AC310" s="25"/>
      <c r="AD310" s="22" t="s">
        <v>8131</v>
      </c>
      <c r="AE310" s="22" t="s">
        <v>8132</v>
      </c>
      <c r="AF310" s="25"/>
      <c r="AG310" s="22">
        <v>1.0446855831875E13</v>
      </c>
      <c r="AH310" s="22" t="s">
        <v>90</v>
      </c>
      <c r="AI310" s="22">
        <v>7.429139988803E12</v>
      </c>
      <c r="AJ310" s="25"/>
      <c r="AK310" s="25"/>
      <c r="AL310" s="22" t="s">
        <v>8134</v>
      </c>
      <c r="AQ310" s="32" t="s">
        <v>8150</v>
      </c>
      <c r="AR310" s="32" t="b">
        <v>0</v>
      </c>
      <c r="AS310" s="32" t="b">
        <v>0</v>
      </c>
    </row>
    <row r="311">
      <c r="A311" s="21" t="s">
        <v>9171</v>
      </c>
      <c r="B311" s="24"/>
      <c r="C311" s="24"/>
      <c r="D311" s="22" t="s">
        <v>8175</v>
      </c>
      <c r="E311" s="24"/>
      <c r="F311" s="22" t="s">
        <v>8311</v>
      </c>
      <c r="G311" s="24"/>
      <c r="H311" s="22">
        <v>9.503696027971E12</v>
      </c>
      <c r="I311" s="22" t="s">
        <v>89</v>
      </c>
      <c r="J311" s="24"/>
      <c r="K311" s="24"/>
      <c r="L311" s="29"/>
      <c r="M311" s="24"/>
      <c r="N311" s="22" t="s">
        <v>9172</v>
      </c>
      <c r="O311" s="22" t="s">
        <v>6687</v>
      </c>
      <c r="P311" s="22" t="s">
        <v>9172</v>
      </c>
      <c r="Q311" s="22" t="s">
        <v>6687</v>
      </c>
      <c r="R311" s="22" t="s">
        <v>9173</v>
      </c>
      <c r="S311" s="22" t="s">
        <v>9174</v>
      </c>
      <c r="T311" s="40" t="s">
        <v>9175</v>
      </c>
      <c r="U311" s="22" t="s">
        <v>9176</v>
      </c>
      <c r="V311" s="24"/>
      <c r="W311" s="22" t="s">
        <v>9177</v>
      </c>
      <c r="X311" s="22" t="s">
        <v>8251</v>
      </c>
      <c r="Y311" s="24"/>
      <c r="Z311" s="24"/>
      <c r="AA311" s="22" t="s">
        <v>8129</v>
      </c>
      <c r="AB311" s="22" t="s">
        <v>8130</v>
      </c>
      <c r="AC311" s="25"/>
      <c r="AD311" s="25"/>
      <c r="AE311" s="22" t="s">
        <v>8132</v>
      </c>
      <c r="AF311" s="25"/>
      <c r="AG311" s="22">
        <v>1.0446855831875E13</v>
      </c>
      <c r="AH311" s="22" t="s">
        <v>8137</v>
      </c>
      <c r="AI311" s="22">
        <v>7.429139988803E12</v>
      </c>
      <c r="AJ311" s="25"/>
      <c r="AK311" s="25"/>
      <c r="AL311" s="22" t="s">
        <v>8311</v>
      </c>
      <c r="AR311" s="32" t="b">
        <v>0</v>
      </c>
      <c r="AS311" s="32" t="b">
        <v>0</v>
      </c>
    </row>
    <row r="312">
      <c r="A312" s="21" t="s">
        <v>9171</v>
      </c>
      <c r="B312" s="22" t="s">
        <v>8140</v>
      </c>
      <c r="C312" s="22">
        <v>-4.0</v>
      </c>
      <c r="D312" s="22" t="s">
        <v>8175</v>
      </c>
      <c r="E312" s="22" t="s">
        <v>8140</v>
      </c>
      <c r="F312" s="22" t="s">
        <v>8121</v>
      </c>
      <c r="G312" s="22" t="s">
        <v>89</v>
      </c>
      <c r="H312" s="22">
        <v>3.2720677273923E13</v>
      </c>
      <c r="I312" s="22" t="s">
        <v>89</v>
      </c>
      <c r="J312" s="24"/>
      <c r="K312" s="22">
        <v>4.2085703581939E13</v>
      </c>
      <c r="L312" s="22" t="s">
        <v>8182</v>
      </c>
      <c r="M312" s="35" t="s">
        <v>9178</v>
      </c>
      <c r="N312" s="22" t="s">
        <v>9172</v>
      </c>
      <c r="O312" s="22" t="s">
        <v>6687</v>
      </c>
      <c r="P312" s="22" t="s">
        <v>9172</v>
      </c>
      <c r="Q312" s="22" t="s">
        <v>6687</v>
      </c>
      <c r="R312" s="22" t="s">
        <v>9173</v>
      </c>
      <c r="S312" s="22" t="s">
        <v>9174</v>
      </c>
      <c r="T312" s="40" t="s">
        <v>9175</v>
      </c>
      <c r="U312" s="22" t="s">
        <v>9176</v>
      </c>
      <c r="V312" s="24"/>
      <c r="W312" s="22" t="s">
        <v>9177</v>
      </c>
      <c r="X312" s="22" t="s">
        <v>8251</v>
      </c>
      <c r="Y312" s="24"/>
      <c r="Z312" s="24"/>
      <c r="AA312" s="22" t="s">
        <v>8129</v>
      </c>
      <c r="AB312" s="22" t="s">
        <v>8130</v>
      </c>
      <c r="AC312" s="25"/>
      <c r="AD312" s="22" t="s">
        <v>8131</v>
      </c>
      <c r="AE312" s="22" t="s">
        <v>8132</v>
      </c>
      <c r="AF312" s="25"/>
      <c r="AG312" s="22">
        <v>1.0446855831875E13</v>
      </c>
      <c r="AH312" s="22" t="s">
        <v>8184</v>
      </c>
      <c r="AI312" s="22">
        <v>7.429139988803E12</v>
      </c>
      <c r="AJ312" s="25"/>
      <c r="AK312" s="22">
        <v>6.714600423747E12</v>
      </c>
      <c r="AL312" s="22" t="s">
        <v>8134</v>
      </c>
      <c r="AQ312" s="32" t="s">
        <v>8150</v>
      </c>
      <c r="AR312" s="32" t="b">
        <v>0</v>
      </c>
      <c r="AS312" s="32" t="b">
        <v>0</v>
      </c>
    </row>
    <row r="313">
      <c r="A313" s="21" t="s">
        <v>9179</v>
      </c>
      <c r="B313" s="22" t="s">
        <v>8119</v>
      </c>
      <c r="C313" s="22">
        <v>1.0</v>
      </c>
      <c r="D313" s="22" t="s">
        <v>8613</v>
      </c>
      <c r="E313" s="22" t="s">
        <v>8119</v>
      </c>
      <c r="F313" s="22" t="s">
        <v>8121</v>
      </c>
      <c r="G313" s="24"/>
      <c r="H313" s="22">
        <v>3.2719810003267E13</v>
      </c>
      <c r="I313" s="24"/>
      <c r="J313" s="24"/>
      <c r="K313" s="22">
        <v>4.2085703549171E13</v>
      </c>
      <c r="L313" s="29"/>
      <c r="M313" s="24"/>
      <c r="N313" s="22" t="s">
        <v>3820</v>
      </c>
      <c r="O313" s="22" t="s">
        <v>9180</v>
      </c>
      <c r="P313" s="22" t="s">
        <v>3820</v>
      </c>
      <c r="Q313" s="22" t="s">
        <v>9180</v>
      </c>
      <c r="R313" s="22" t="s">
        <v>9181</v>
      </c>
      <c r="S313" s="24"/>
      <c r="T313" s="40" t="s">
        <v>9182</v>
      </c>
      <c r="U313" s="22" t="s">
        <v>9183</v>
      </c>
      <c r="V313" s="22">
        <v>16.0</v>
      </c>
      <c r="W313" s="22" t="s">
        <v>9184</v>
      </c>
      <c r="X313" s="22" t="s">
        <v>8128</v>
      </c>
      <c r="Y313" s="24"/>
      <c r="Z313" s="24"/>
      <c r="AA313" s="22" t="s">
        <v>8129</v>
      </c>
      <c r="AB313" s="22" t="s">
        <v>8130</v>
      </c>
      <c r="AC313" s="25"/>
      <c r="AD313" s="22" t="s">
        <v>8131</v>
      </c>
      <c r="AE313" s="22" t="s">
        <v>8132</v>
      </c>
      <c r="AF313" s="25"/>
      <c r="AG313" s="22">
        <v>1.0446480376131E13</v>
      </c>
      <c r="AH313" s="22" t="s">
        <v>90</v>
      </c>
      <c r="AI313" s="22">
        <v>2.3409313677635E13</v>
      </c>
      <c r="AJ313" s="25"/>
      <c r="AK313" s="25"/>
      <c r="AL313" s="22" t="s">
        <v>8133</v>
      </c>
      <c r="AQ313" s="32" t="s">
        <v>8135</v>
      </c>
      <c r="AR313" s="32" t="b">
        <v>0</v>
      </c>
      <c r="AS313" s="32" t="b">
        <v>0</v>
      </c>
    </row>
    <row r="314">
      <c r="A314" s="21" t="s">
        <v>9179</v>
      </c>
      <c r="B314" s="24"/>
      <c r="C314" s="24"/>
      <c r="D314" s="22" t="s">
        <v>8613</v>
      </c>
      <c r="E314" s="24"/>
      <c r="F314" s="22" t="s">
        <v>8136</v>
      </c>
      <c r="G314" s="24"/>
      <c r="H314" s="22">
        <v>9.503348949315E12</v>
      </c>
      <c r="I314" s="24"/>
      <c r="J314" s="24"/>
      <c r="K314" s="24"/>
      <c r="L314" s="34"/>
      <c r="M314" s="24"/>
      <c r="N314" s="22" t="s">
        <v>3820</v>
      </c>
      <c r="O314" s="22" t="s">
        <v>9180</v>
      </c>
      <c r="P314" s="22" t="s">
        <v>3820</v>
      </c>
      <c r="Q314" s="22" t="s">
        <v>9180</v>
      </c>
      <c r="R314" s="22" t="s">
        <v>9181</v>
      </c>
      <c r="S314" s="25"/>
      <c r="T314" s="40" t="s">
        <v>9182</v>
      </c>
      <c r="U314" s="22" t="s">
        <v>9183</v>
      </c>
      <c r="V314" s="22">
        <v>16.0</v>
      </c>
      <c r="W314" s="22" t="s">
        <v>9184</v>
      </c>
      <c r="X314" s="22" t="s">
        <v>8128</v>
      </c>
      <c r="Y314" s="24"/>
      <c r="Z314" s="24"/>
      <c r="AA314" s="22" t="s">
        <v>8129</v>
      </c>
      <c r="AB314" s="22" t="s">
        <v>8130</v>
      </c>
      <c r="AC314" s="25"/>
      <c r="AD314" s="24"/>
      <c r="AE314" s="22" t="s">
        <v>8132</v>
      </c>
      <c r="AF314" s="25"/>
      <c r="AG314" s="22">
        <v>1.0446480376131E13</v>
      </c>
      <c r="AH314" s="22" t="s">
        <v>8137</v>
      </c>
      <c r="AI314" s="22">
        <v>2.3409313677635E13</v>
      </c>
      <c r="AJ314" s="25"/>
      <c r="AK314" s="25"/>
      <c r="AL314" s="22" t="s">
        <v>8136</v>
      </c>
      <c r="AQ314" s="32"/>
      <c r="AR314" s="32" t="b">
        <v>0</v>
      </c>
      <c r="AS314" s="32" t="b">
        <v>0</v>
      </c>
    </row>
    <row r="315">
      <c r="A315" s="21" t="s">
        <v>9185</v>
      </c>
      <c r="B315" s="22" t="s">
        <v>8119</v>
      </c>
      <c r="C315" s="22">
        <v>1.0</v>
      </c>
      <c r="D315" s="22" t="s">
        <v>8212</v>
      </c>
      <c r="E315" s="22" t="s">
        <v>8119</v>
      </c>
      <c r="F315" s="22" t="s">
        <v>8121</v>
      </c>
      <c r="G315" s="24"/>
      <c r="H315" s="22">
        <v>3.2721424810307E13</v>
      </c>
      <c r="I315" s="24"/>
      <c r="J315" s="24"/>
      <c r="K315" s="22">
        <v>4.2085703549171E13</v>
      </c>
      <c r="L315" s="29"/>
      <c r="M315" s="24"/>
      <c r="N315" s="22" t="s">
        <v>9186</v>
      </c>
      <c r="O315" s="22" t="s">
        <v>9187</v>
      </c>
      <c r="P315" s="22" t="s">
        <v>9186</v>
      </c>
      <c r="Q315" s="22" t="s">
        <v>9187</v>
      </c>
      <c r="R315" s="22" t="s">
        <v>9188</v>
      </c>
      <c r="S315" s="25"/>
      <c r="T315" s="40" t="s">
        <v>9189</v>
      </c>
      <c r="U315" s="22" t="s">
        <v>9190</v>
      </c>
      <c r="V315" s="24"/>
      <c r="W315" s="22" t="s">
        <v>9191</v>
      </c>
      <c r="X315" s="22" t="s">
        <v>8289</v>
      </c>
      <c r="Y315" s="24"/>
      <c r="Z315" s="24"/>
      <c r="AA315" s="22" t="s">
        <v>8129</v>
      </c>
      <c r="AB315" s="22" t="s">
        <v>8130</v>
      </c>
      <c r="AC315" s="25"/>
      <c r="AD315" s="22" t="s">
        <v>8131</v>
      </c>
      <c r="AE315" s="22" t="s">
        <v>8132</v>
      </c>
      <c r="AF315" s="25"/>
      <c r="AG315" s="22">
        <v>1.0447207268675E13</v>
      </c>
      <c r="AH315" s="22" t="s">
        <v>90</v>
      </c>
      <c r="AI315" s="22">
        <v>2.3411262062915E13</v>
      </c>
      <c r="AJ315" s="25"/>
      <c r="AK315" s="25"/>
      <c r="AL315" s="22" t="s">
        <v>8133</v>
      </c>
      <c r="AQ315" s="32" t="s">
        <v>8135</v>
      </c>
      <c r="AR315" s="32" t="b">
        <v>0</v>
      </c>
      <c r="AS315" s="32" t="b">
        <v>0</v>
      </c>
    </row>
    <row r="316">
      <c r="A316" s="21" t="s">
        <v>9185</v>
      </c>
      <c r="B316" s="24"/>
      <c r="C316" s="24"/>
      <c r="D316" s="22" t="s">
        <v>8212</v>
      </c>
      <c r="E316" s="24"/>
      <c r="F316" s="22" t="s">
        <v>8136</v>
      </c>
      <c r="G316" s="24"/>
      <c r="H316" s="22">
        <v>9.504014991683E12</v>
      </c>
      <c r="I316" s="24"/>
      <c r="J316" s="24"/>
      <c r="K316" s="24"/>
      <c r="L316" s="29"/>
      <c r="M316" s="24"/>
      <c r="N316" s="22" t="s">
        <v>9186</v>
      </c>
      <c r="O316" s="22" t="s">
        <v>9187</v>
      </c>
      <c r="P316" s="22" t="s">
        <v>9186</v>
      </c>
      <c r="Q316" s="22" t="s">
        <v>9187</v>
      </c>
      <c r="R316" s="22" t="s">
        <v>9188</v>
      </c>
      <c r="S316" s="25"/>
      <c r="T316" s="40" t="s">
        <v>9189</v>
      </c>
      <c r="U316" s="22" t="s">
        <v>9190</v>
      </c>
      <c r="V316" s="24"/>
      <c r="W316" s="22" t="s">
        <v>9191</v>
      </c>
      <c r="X316" s="22" t="s">
        <v>8289</v>
      </c>
      <c r="Y316" s="24"/>
      <c r="Z316" s="24"/>
      <c r="AA316" s="22" t="s">
        <v>8129</v>
      </c>
      <c r="AB316" s="22" t="s">
        <v>8130</v>
      </c>
      <c r="AC316" s="25"/>
      <c r="AD316" s="25"/>
      <c r="AE316" s="22" t="s">
        <v>8132</v>
      </c>
      <c r="AF316" s="25"/>
      <c r="AG316" s="22">
        <v>1.0447207268675E13</v>
      </c>
      <c r="AH316" s="22" t="s">
        <v>8137</v>
      </c>
      <c r="AI316" s="22">
        <v>2.3411262062915E13</v>
      </c>
      <c r="AJ316" s="25"/>
      <c r="AK316" s="25"/>
      <c r="AL316" s="22" t="s">
        <v>8136</v>
      </c>
      <c r="AR316" s="32" t="b">
        <v>0</v>
      </c>
      <c r="AS316" s="32" t="b">
        <v>0</v>
      </c>
    </row>
    <row r="317">
      <c r="A317" s="21" t="s">
        <v>9192</v>
      </c>
      <c r="B317" s="22" t="s">
        <v>8707</v>
      </c>
      <c r="C317" s="22">
        <v>1.0</v>
      </c>
      <c r="D317" s="22" t="s">
        <v>8968</v>
      </c>
      <c r="E317" s="22" t="s">
        <v>8707</v>
      </c>
      <c r="F317" s="22" t="s">
        <v>8155</v>
      </c>
      <c r="G317" s="24"/>
      <c r="H317" s="22">
        <v>3.2721538548035E13</v>
      </c>
      <c r="I317" s="24"/>
      <c r="J317" s="43"/>
      <c r="K317" s="22">
        <v>4.9521175429443E13</v>
      </c>
      <c r="L317" s="29"/>
      <c r="M317" s="24"/>
      <c r="N317" s="22" t="s">
        <v>9193</v>
      </c>
      <c r="O317" s="22" t="s">
        <v>9194</v>
      </c>
      <c r="P317" s="22" t="s">
        <v>9193</v>
      </c>
      <c r="Q317" s="22" t="s">
        <v>9194</v>
      </c>
      <c r="R317" s="22" t="s">
        <v>9195</v>
      </c>
      <c r="S317" s="25"/>
      <c r="T317" s="40" t="s">
        <v>9196</v>
      </c>
      <c r="U317" s="22" t="s">
        <v>9197</v>
      </c>
      <c r="V317" s="22">
        <v>106.0</v>
      </c>
      <c r="W317" s="22" t="s">
        <v>9198</v>
      </c>
      <c r="X317" s="22" t="s">
        <v>9199</v>
      </c>
      <c r="Y317" s="24"/>
      <c r="Z317" s="24"/>
      <c r="AA317" s="22" t="s">
        <v>8129</v>
      </c>
      <c r="AB317" s="22" t="s">
        <v>8130</v>
      </c>
      <c r="AC317" s="25"/>
      <c r="AD317" s="22" t="s">
        <v>8161</v>
      </c>
      <c r="AE317" s="22" t="s">
        <v>8132</v>
      </c>
      <c r="AF317" s="25"/>
      <c r="AG317" s="22">
        <v>1.0447257338179E13</v>
      </c>
      <c r="AH317" s="22" t="s">
        <v>90</v>
      </c>
      <c r="AI317" s="22">
        <v>2.3411361218883E13</v>
      </c>
      <c r="AJ317" s="25"/>
      <c r="AK317" s="25"/>
      <c r="AL317" s="22" t="s">
        <v>8336</v>
      </c>
      <c r="AQ317" s="32" t="s">
        <v>54</v>
      </c>
      <c r="AR317" s="32" t="b">
        <v>0</v>
      </c>
      <c r="AS317" s="32" t="b">
        <v>1</v>
      </c>
    </row>
    <row r="318">
      <c r="A318" s="21" t="s">
        <v>9192</v>
      </c>
      <c r="B318" s="24"/>
      <c r="C318" s="24"/>
      <c r="D318" s="22" t="s">
        <v>8968</v>
      </c>
      <c r="E318" s="24"/>
      <c r="F318" s="22" t="s">
        <v>8149</v>
      </c>
      <c r="G318" s="24"/>
      <c r="H318" s="22">
        <v>9.504061358403E12</v>
      </c>
      <c r="I318" s="24"/>
      <c r="J318" s="24"/>
      <c r="K318" s="24"/>
      <c r="L318" s="29"/>
      <c r="M318" s="24"/>
      <c r="N318" s="22" t="s">
        <v>9193</v>
      </c>
      <c r="O318" s="22" t="s">
        <v>9194</v>
      </c>
      <c r="P318" s="22" t="s">
        <v>9193</v>
      </c>
      <c r="Q318" s="22" t="s">
        <v>9194</v>
      </c>
      <c r="R318" s="22" t="s">
        <v>9195</v>
      </c>
      <c r="S318" s="25"/>
      <c r="T318" s="40" t="s">
        <v>9196</v>
      </c>
      <c r="U318" s="22" t="s">
        <v>9197</v>
      </c>
      <c r="V318" s="22">
        <v>106.0</v>
      </c>
      <c r="W318" s="22" t="s">
        <v>9198</v>
      </c>
      <c r="X318" s="22" t="s">
        <v>9199</v>
      </c>
      <c r="Y318" s="24"/>
      <c r="Z318" s="24"/>
      <c r="AA318" s="22" t="s">
        <v>8129</v>
      </c>
      <c r="AB318" s="22" t="s">
        <v>8130</v>
      </c>
      <c r="AC318" s="25"/>
      <c r="AD318" s="25"/>
      <c r="AE318" s="22" t="s">
        <v>8132</v>
      </c>
      <c r="AF318" s="25"/>
      <c r="AG318" s="22">
        <v>1.0447257338179E13</v>
      </c>
      <c r="AH318" s="22" t="s">
        <v>8137</v>
      </c>
      <c r="AI318" s="22">
        <v>2.3411361218883E13</v>
      </c>
      <c r="AJ318" s="25"/>
      <c r="AK318" s="25"/>
      <c r="AL318" s="22" t="s">
        <v>8149</v>
      </c>
      <c r="AR318" s="32" t="b">
        <v>0</v>
      </c>
      <c r="AS318" s="32" t="b">
        <v>0</v>
      </c>
    </row>
    <row r="319">
      <c r="A319" s="21" t="s">
        <v>9200</v>
      </c>
      <c r="B319" s="22" t="s">
        <v>8140</v>
      </c>
      <c r="C319" s="22">
        <v>1.0</v>
      </c>
      <c r="D319" s="22" t="s">
        <v>8221</v>
      </c>
      <c r="E319" s="22" t="s">
        <v>8140</v>
      </c>
      <c r="F319" s="22" t="s">
        <v>8121</v>
      </c>
      <c r="G319" s="24"/>
      <c r="H319" s="22">
        <v>3.2721816879427E13</v>
      </c>
      <c r="I319" s="24"/>
      <c r="J319" s="24"/>
      <c r="K319" s="22">
        <v>4.2085703581939E13</v>
      </c>
      <c r="L319" s="29"/>
      <c r="M319" s="24"/>
      <c r="N319" s="22" t="s">
        <v>3716</v>
      </c>
      <c r="O319" s="22" t="s">
        <v>7758</v>
      </c>
      <c r="P319" s="22" t="s">
        <v>3716</v>
      </c>
      <c r="Q319" s="22" t="s">
        <v>7758</v>
      </c>
      <c r="R319" s="22" t="s">
        <v>9201</v>
      </c>
      <c r="S319" s="22" t="s">
        <v>9202</v>
      </c>
      <c r="T319" s="40" t="s">
        <v>9203</v>
      </c>
      <c r="U319" s="22" t="s">
        <v>9204</v>
      </c>
      <c r="V319" s="24"/>
      <c r="W319" s="22" t="s">
        <v>9205</v>
      </c>
      <c r="X319" s="22" t="s">
        <v>8289</v>
      </c>
      <c r="Y319" s="24"/>
      <c r="Z319" s="24"/>
      <c r="AA319" s="22" t="s">
        <v>8129</v>
      </c>
      <c r="AB319" s="22" t="s">
        <v>8130</v>
      </c>
      <c r="AC319" s="25"/>
      <c r="AD319" s="22" t="s">
        <v>8131</v>
      </c>
      <c r="AE319" s="22" t="s">
        <v>8132</v>
      </c>
      <c r="AF319" s="25"/>
      <c r="AG319" s="22">
        <v>1.0447382511939E13</v>
      </c>
      <c r="AH319" s="22" t="s">
        <v>90</v>
      </c>
      <c r="AI319" s="22">
        <v>8.596559692099E12</v>
      </c>
      <c r="AJ319" s="25"/>
      <c r="AK319" s="25"/>
      <c r="AL319" s="22" t="s">
        <v>8134</v>
      </c>
      <c r="AQ319" s="32" t="s">
        <v>8150</v>
      </c>
      <c r="AR319" s="32" t="b">
        <v>0</v>
      </c>
      <c r="AS319" s="32" t="b">
        <v>0</v>
      </c>
    </row>
    <row r="320">
      <c r="A320" s="21" t="s">
        <v>9200</v>
      </c>
      <c r="B320" s="24"/>
      <c r="C320" s="24"/>
      <c r="D320" s="22" t="s">
        <v>8221</v>
      </c>
      <c r="E320" s="24"/>
      <c r="F320" s="22" t="s">
        <v>8136</v>
      </c>
      <c r="G320" s="24"/>
      <c r="H320" s="22">
        <v>9.504174899523E12</v>
      </c>
      <c r="I320" s="24"/>
      <c r="J320" s="24"/>
      <c r="K320" s="24"/>
      <c r="L320" s="29"/>
      <c r="M320" s="24"/>
      <c r="N320" s="22" t="s">
        <v>3716</v>
      </c>
      <c r="O320" s="22" t="s">
        <v>7758</v>
      </c>
      <c r="P320" s="22" t="s">
        <v>3716</v>
      </c>
      <c r="Q320" s="22" t="s">
        <v>7758</v>
      </c>
      <c r="R320" s="22" t="s">
        <v>9201</v>
      </c>
      <c r="S320" s="22" t="s">
        <v>9202</v>
      </c>
      <c r="T320" s="40" t="s">
        <v>9203</v>
      </c>
      <c r="U320" s="22" t="s">
        <v>9204</v>
      </c>
      <c r="V320" s="24"/>
      <c r="W320" s="22" t="s">
        <v>9205</v>
      </c>
      <c r="X320" s="22" t="s">
        <v>8289</v>
      </c>
      <c r="Y320" s="24"/>
      <c r="Z320" s="24"/>
      <c r="AA320" s="22" t="s">
        <v>8129</v>
      </c>
      <c r="AB320" s="22" t="s">
        <v>8130</v>
      </c>
      <c r="AC320" s="25"/>
      <c r="AD320" s="25"/>
      <c r="AE320" s="22" t="s">
        <v>8132</v>
      </c>
      <c r="AF320" s="25"/>
      <c r="AG320" s="22">
        <v>1.0447382511939E13</v>
      </c>
      <c r="AH320" s="22" t="s">
        <v>8137</v>
      </c>
      <c r="AI320" s="22">
        <v>8.596559692099E12</v>
      </c>
      <c r="AJ320" s="25"/>
      <c r="AK320" s="25"/>
      <c r="AL320" s="22" t="s">
        <v>8136</v>
      </c>
      <c r="AR320" s="32" t="b">
        <v>0</v>
      </c>
      <c r="AS320" s="32" t="b">
        <v>0</v>
      </c>
    </row>
    <row r="321">
      <c r="A321" s="21" t="s">
        <v>9206</v>
      </c>
      <c r="B321" s="22" t="s">
        <v>8153</v>
      </c>
      <c r="C321" s="22">
        <v>1.0</v>
      </c>
      <c r="D321" s="22" t="s">
        <v>8371</v>
      </c>
      <c r="E321" s="22" t="s">
        <v>8153</v>
      </c>
      <c r="F321" s="22" t="s">
        <v>8155</v>
      </c>
      <c r="G321" s="24"/>
      <c r="H321" s="22">
        <v>3.2722465718595E13</v>
      </c>
      <c r="I321" s="24"/>
      <c r="J321" s="24"/>
      <c r="K321" s="22">
        <v>4.7338059759939E13</v>
      </c>
      <c r="L321" s="29"/>
      <c r="M321" s="24"/>
      <c r="N321" s="22" t="s">
        <v>5699</v>
      </c>
      <c r="O321" s="22" t="s">
        <v>9207</v>
      </c>
      <c r="P321" s="22" t="s">
        <v>5699</v>
      </c>
      <c r="Q321" s="22" t="s">
        <v>9207</v>
      </c>
      <c r="R321" s="22" t="s">
        <v>9208</v>
      </c>
      <c r="S321" s="25"/>
      <c r="T321" s="40" t="s">
        <v>9209</v>
      </c>
      <c r="U321" s="22" t="s">
        <v>9210</v>
      </c>
      <c r="V321" s="24"/>
      <c r="W321" s="22" t="s">
        <v>9211</v>
      </c>
      <c r="X321" s="22" t="s">
        <v>9212</v>
      </c>
      <c r="Y321" s="24"/>
      <c r="Z321" s="24"/>
      <c r="AA321" s="22" t="s">
        <v>8129</v>
      </c>
      <c r="AB321" s="22" t="s">
        <v>8130</v>
      </c>
      <c r="AC321" s="25"/>
      <c r="AD321" s="22" t="s">
        <v>8161</v>
      </c>
      <c r="AE321" s="22" t="s">
        <v>8132</v>
      </c>
      <c r="AF321" s="25"/>
      <c r="AG321" s="22">
        <v>1.0447683682627E13</v>
      </c>
      <c r="AH321" s="22" t="s">
        <v>90</v>
      </c>
      <c r="AI321" s="22">
        <v>2.3412270137667E13</v>
      </c>
      <c r="AJ321" s="25"/>
      <c r="AK321" s="25"/>
      <c r="AL321" s="22" t="s">
        <v>8162</v>
      </c>
      <c r="AQ321" s="32" t="s">
        <v>55</v>
      </c>
      <c r="AR321" s="32" t="b">
        <v>0</v>
      </c>
      <c r="AS321" s="32" t="b">
        <v>0</v>
      </c>
    </row>
    <row r="322">
      <c r="A322" s="21" t="s">
        <v>9206</v>
      </c>
      <c r="B322" s="24"/>
      <c r="C322" s="24"/>
      <c r="D322" s="22" t="s">
        <v>8371</v>
      </c>
      <c r="E322" s="24"/>
      <c r="F322" s="22" t="s">
        <v>8149</v>
      </c>
      <c r="G322" s="24"/>
      <c r="H322" s="22">
        <v>9.504422101315E12</v>
      </c>
      <c r="I322" s="24"/>
      <c r="J322" s="24"/>
      <c r="K322" s="24"/>
      <c r="L322" s="29"/>
      <c r="M322" s="24"/>
      <c r="N322" s="22" t="s">
        <v>5699</v>
      </c>
      <c r="O322" s="22" t="s">
        <v>9207</v>
      </c>
      <c r="P322" s="22" t="s">
        <v>5699</v>
      </c>
      <c r="Q322" s="22" t="s">
        <v>9207</v>
      </c>
      <c r="R322" s="22" t="s">
        <v>9208</v>
      </c>
      <c r="S322" s="25"/>
      <c r="T322" s="40" t="s">
        <v>9209</v>
      </c>
      <c r="U322" s="22" t="s">
        <v>9210</v>
      </c>
      <c r="V322" s="24"/>
      <c r="W322" s="22" t="s">
        <v>9211</v>
      </c>
      <c r="X322" s="22" t="s">
        <v>9212</v>
      </c>
      <c r="Y322" s="24"/>
      <c r="Z322" s="24"/>
      <c r="AA322" s="22" t="s">
        <v>8129</v>
      </c>
      <c r="AB322" s="22" t="s">
        <v>8130</v>
      </c>
      <c r="AC322" s="25"/>
      <c r="AD322" s="25"/>
      <c r="AE322" s="22" t="s">
        <v>8132</v>
      </c>
      <c r="AF322" s="25"/>
      <c r="AG322" s="22">
        <v>1.0447683682627E13</v>
      </c>
      <c r="AH322" s="22" t="s">
        <v>8137</v>
      </c>
      <c r="AI322" s="22">
        <v>2.3412270137667E13</v>
      </c>
      <c r="AJ322" s="25"/>
      <c r="AK322" s="25"/>
      <c r="AL322" s="22" t="s">
        <v>8149</v>
      </c>
      <c r="AR322" s="32" t="b">
        <v>0</v>
      </c>
      <c r="AS322" s="32" t="b">
        <v>0</v>
      </c>
    </row>
    <row r="323">
      <c r="A323" s="21" t="s">
        <v>9213</v>
      </c>
      <c r="B323" s="22" t="s">
        <v>8429</v>
      </c>
      <c r="C323" s="22">
        <v>1.0</v>
      </c>
      <c r="D323" s="22" t="s">
        <v>8581</v>
      </c>
      <c r="E323" s="22" t="s">
        <v>8429</v>
      </c>
      <c r="F323" s="22" t="s">
        <v>8155</v>
      </c>
      <c r="G323" s="24"/>
      <c r="H323" s="22">
        <v>3.2722528567619E13</v>
      </c>
      <c r="I323" s="24"/>
      <c r="J323" s="24"/>
      <c r="K323" s="22">
        <v>4.9521175527747E13</v>
      </c>
      <c r="L323" s="29"/>
      <c r="M323" s="24"/>
      <c r="N323" s="22" t="s">
        <v>9214</v>
      </c>
      <c r="O323" s="22" t="s">
        <v>9215</v>
      </c>
      <c r="P323" s="22" t="s">
        <v>9214</v>
      </c>
      <c r="Q323" s="22" t="s">
        <v>9215</v>
      </c>
      <c r="R323" s="22" t="s">
        <v>9216</v>
      </c>
      <c r="S323" s="22" t="s">
        <v>9217</v>
      </c>
      <c r="T323" s="40" t="s">
        <v>9218</v>
      </c>
      <c r="U323" s="22" t="s">
        <v>9219</v>
      </c>
      <c r="V323" s="24"/>
      <c r="W323" s="22" t="s">
        <v>9220</v>
      </c>
      <c r="X323" s="22" t="s">
        <v>8128</v>
      </c>
      <c r="Y323" s="24"/>
      <c r="Z323" s="24"/>
      <c r="AA323" s="22" t="s">
        <v>8129</v>
      </c>
      <c r="AB323" s="22" t="s">
        <v>8130</v>
      </c>
      <c r="AC323" s="25"/>
      <c r="AD323" s="22" t="s">
        <v>8161</v>
      </c>
      <c r="AE323" s="22" t="s">
        <v>8132</v>
      </c>
      <c r="AF323" s="25"/>
      <c r="AG323" s="22">
        <v>1.0447711502659E13</v>
      </c>
      <c r="AH323" s="22" t="s">
        <v>90</v>
      </c>
      <c r="AI323" s="22">
        <v>2.3412310933827E13</v>
      </c>
      <c r="AJ323" s="25"/>
      <c r="AK323" s="25"/>
      <c r="AL323" s="22" t="s">
        <v>8201</v>
      </c>
      <c r="AQ323" s="32" t="s">
        <v>95</v>
      </c>
      <c r="AR323" s="32" t="b">
        <v>0</v>
      </c>
      <c r="AS323" s="32" t="b">
        <v>1</v>
      </c>
    </row>
    <row r="324">
      <c r="A324" s="21" t="s">
        <v>9213</v>
      </c>
      <c r="B324" s="24"/>
      <c r="C324" s="24"/>
      <c r="D324" s="22" t="s">
        <v>8581</v>
      </c>
      <c r="E324" s="24"/>
      <c r="F324" s="22" t="s">
        <v>8149</v>
      </c>
      <c r="G324" s="24"/>
      <c r="H324" s="22">
        <v>9.504443597123E12</v>
      </c>
      <c r="I324" s="24"/>
      <c r="J324" s="24"/>
      <c r="K324" s="24"/>
      <c r="L324" s="29"/>
      <c r="M324" s="24"/>
      <c r="N324" s="22" t="s">
        <v>9214</v>
      </c>
      <c r="O324" s="22" t="s">
        <v>9215</v>
      </c>
      <c r="P324" s="22" t="s">
        <v>9214</v>
      </c>
      <c r="Q324" s="22" t="s">
        <v>9215</v>
      </c>
      <c r="R324" s="22" t="s">
        <v>9216</v>
      </c>
      <c r="S324" s="22" t="s">
        <v>9217</v>
      </c>
      <c r="T324" s="40" t="s">
        <v>9218</v>
      </c>
      <c r="U324" s="22" t="s">
        <v>9219</v>
      </c>
      <c r="V324" s="24"/>
      <c r="W324" s="22" t="s">
        <v>9220</v>
      </c>
      <c r="X324" s="22" t="s">
        <v>8128</v>
      </c>
      <c r="Y324" s="24"/>
      <c r="Z324" s="24"/>
      <c r="AA324" s="22" t="s">
        <v>8129</v>
      </c>
      <c r="AB324" s="22" t="s">
        <v>8130</v>
      </c>
      <c r="AC324" s="25"/>
      <c r="AD324" s="25"/>
      <c r="AE324" s="22" t="s">
        <v>8132</v>
      </c>
      <c r="AF324" s="25"/>
      <c r="AG324" s="22">
        <v>1.0447711502659E13</v>
      </c>
      <c r="AH324" s="22" t="s">
        <v>8137</v>
      </c>
      <c r="AI324" s="22">
        <v>2.3412310933827E13</v>
      </c>
      <c r="AJ324" s="25"/>
      <c r="AK324" s="25"/>
      <c r="AL324" s="22" t="s">
        <v>8149</v>
      </c>
      <c r="AR324" s="32" t="b">
        <v>0</v>
      </c>
      <c r="AS324" s="32" t="b">
        <v>0</v>
      </c>
    </row>
    <row r="325">
      <c r="A325" s="21" t="s">
        <v>9221</v>
      </c>
      <c r="B325" s="22" t="s">
        <v>8119</v>
      </c>
      <c r="C325" s="22">
        <v>1.0</v>
      </c>
      <c r="D325" s="22" t="s">
        <v>8175</v>
      </c>
      <c r="E325" s="22" t="s">
        <v>8119</v>
      </c>
      <c r="F325" s="22" t="s">
        <v>8121</v>
      </c>
      <c r="G325" s="22" t="s">
        <v>89</v>
      </c>
      <c r="H325" s="22">
        <v>3.2722876760387E13</v>
      </c>
      <c r="I325" s="22" t="s">
        <v>89</v>
      </c>
      <c r="J325" s="24"/>
      <c r="K325" s="22">
        <v>4.2085703549171E13</v>
      </c>
      <c r="L325" s="29"/>
      <c r="M325" s="24"/>
      <c r="N325" s="22" t="s">
        <v>9222</v>
      </c>
      <c r="O325" s="22" t="s">
        <v>9223</v>
      </c>
      <c r="P325" s="22" t="s">
        <v>9222</v>
      </c>
      <c r="Q325" s="22" t="s">
        <v>9223</v>
      </c>
      <c r="R325" s="22" t="s">
        <v>9224</v>
      </c>
      <c r="S325" s="25"/>
      <c r="T325" s="40" t="s">
        <v>9225</v>
      </c>
      <c r="U325" s="22" t="s">
        <v>9226</v>
      </c>
      <c r="V325" s="24"/>
      <c r="W325" s="22" t="s">
        <v>9227</v>
      </c>
      <c r="X325" s="22" t="s">
        <v>8260</v>
      </c>
      <c r="Y325" s="24"/>
      <c r="Z325" s="24"/>
      <c r="AA325" s="22" t="s">
        <v>8129</v>
      </c>
      <c r="AB325" s="22" t="s">
        <v>8130</v>
      </c>
      <c r="AC325" s="25"/>
      <c r="AD325" s="22" t="s">
        <v>8131</v>
      </c>
      <c r="AE325" s="22" t="s">
        <v>8132</v>
      </c>
      <c r="AF325" s="25"/>
      <c r="AG325" s="22">
        <v>1.0447864365379E13</v>
      </c>
      <c r="AH325" s="22" t="s">
        <v>90</v>
      </c>
      <c r="AI325" s="22">
        <v>8.670698209603E12</v>
      </c>
      <c r="AJ325" s="25"/>
      <c r="AK325" s="25"/>
      <c r="AL325" s="22" t="s">
        <v>8133</v>
      </c>
      <c r="AQ325" s="32" t="s">
        <v>8135</v>
      </c>
      <c r="AR325" s="32" t="b">
        <v>0</v>
      </c>
      <c r="AS325" s="32" t="b">
        <v>0</v>
      </c>
    </row>
    <row r="326">
      <c r="A326" s="21" t="s">
        <v>9221</v>
      </c>
      <c r="B326" s="24"/>
      <c r="C326" s="24"/>
      <c r="D326" s="22" t="s">
        <v>8175</v>
      </c>
      <c r="E326" s="24"/>
      <c r="F326" s="22" t="s">
        <v>8136</v>
      </c>
      <c r="G326" s="24"/>
      <c r="H326" s="22">
        <v>9.504568017219E12</v>
      </c>
      <c r="I326" s="22" t="s">
        <v>89</v>
      </c>
      <c r="J326" s="24"/>
      <c r="K326" s="24"/>
      <c r="L326" s="29"/>
      <c r="M326" s="24"/>
      <c r="N326" s="22" t="s">
        <v>9222</v>
      </c>
      <c r="O326" s="22" t="s">
        <v>9223</v>
      </c>
      <c r="P326" s="22" t="s">
        <v>9222</v>
      </c>
      <c r="Q326" s="22" t="s">
        <v>9223</v>
      </c>
      <c r="R326" s="22" t="s">
        <v>9224</v>
      </c>
      <c r="S326" s="25"/>
      <c r="T326" s="40" t="s">
        <v>9225</v>
      </c>
      <c r="U326" s="22" t="s">
        <v>9226</v>
      </c>
      <c r="V326" s="24"/>
      <c r="W326" s="22" t="s">
        <v>9227</v>
      </c>
      <c r="X326" s="22" t="s">
        <v>8260</v>
      </c>
      <c r="Y326" s="24"/>
      <c r="Z326" s="24"/>
      <c r="AA326" s="22" t="s">
        <v>8129</v>
      </c>
      <c r="AB326" s="22" t="s">
        <v>8130</v>
      </c>
      <c r="AC326" s="25"/>
      <c r="AD326" s="25"/>
      <c r="AE326" s="22" t="s">
        <v>8132</v>
      </c>
      <c r="AF326" s="25"/>
      <c r="AG326" s="22">
        <v>1.0447864365379E13</v>
      </c>
      <c r="AH326" s="22" t="s">
        <v>8137</v>
      </c>
      <c r="AI326" s="22">
        <v>8.670698209603E12</v>
      </c>
      <c r="AJ326" s="25"/>
      <c r="AK326" s="25"/>
      <c r="AL326" s="22" t="s">
        <v>8136</v>
      </c>
      <c r="AR326" s="32" t="b">
        <v>0</v>
      </c>
      <c r="AS326" s="32" t="b">
        <v>0</v>
      </c>
    </row>
    <row r="327">
      <c r="A327" s="21" t="s">
        <v>9221</v>
      </c>
      <c r="B327" s="22" t="s">
        <v>8119</v>
      </c>
      <c r="C327" s="22">
        <v>-1.0</v>
      </c>
      <c r="D327" s="22" t="s">
        <v>8175</v>
      </c>
      <c r="E327" s="22" t="s">
        <v>8119</v>
      </c>
      <c r="F327" s="22" t="s">
        <v>8121</v>
      </c>
      <c r="G327" s="22" t="s">
        <v>89</v>
      </c>
      <c r="H327" s="22">
        <v>3.2722876760387E13</v>
      </c>
      <c r="I327" s="22" t="s">
        <v>89</v>
      </c>
      <c r="J327" s="24"/>
      <c r="K327" s="22">
        <v>4.2085703549171E13</v>
      </c>
      <c r="L327" s="22" t="s">
        <v>8182</v>
      </c>
      <c r="M327" s="35" t="s">
        <v>9228</v>
      </c>
      <c r="N327" s="22" t="s">
        <v>9222</v>
      </c>
      <c r="O327" s="22" t="s">
        <v>9223</v>
      </c>
      <c r="P327" s="22" t="s">
        <v>9222</v>
      </c>
      <c r="Q327" s="22" t="s">
        <v>9223</v>
      </c>
      <c r="R327" s="22" t="s">
        <v>9224</v>
      </c>
      <c r="S327" s="25"/>
      <c r="T327" s="40" t="s">
        <v>9225</v>
      </c>
      <c r="U327" s="22" t="s">
        <v>9226</v>
      </c>
      <c r="V327" s="24"/>
      <c r="W327" s="22" t="s">
        <v>9227</v>
      </c>
      <c r="X327" s="22" t="s">
        <v>8260</v>
      </c>
      <c r="Y327" s="24"/>
      <c r="Z327" s="24"/>
      <c r="AA327" s="22" t="s">
        <v>8129</v>
      </c>
      <c r="AB327" s="22" t="s">
        <v>8130</v>
      </c>
      <c r="AC327" s="25"/>
      <c r="AD327" s="22" t="s">
        <v>8131</v>
      </c>
      <c r="AE327" s="22" t="s">
        <v>8132</v>
      </c>
      <c r="AF327" s="25"/>
      <c r="AG327" s="22">
        <v>1.0447864365379E13</v>
      </c>
      <c r="AH327" s="22" t="s">
        <v>8184</v>
      </c>
      <c r="AI327" s="22">
        <v>8.670698209603E12</v>
      </c>
      <c r="AJ327" s="25"/>
      <c r="AK327" s="22">
        <v>6.714600390979E12</v>
      </c>
      <c r="AL327" s="22" t="s">
        <v>8133</v>
      </c>
      <c r="AQ327" s="32" t="s">
        <v>8135</v>
      </c>
      <c r="AR327" s="32" t="b">
        <v>0</v>
      </c>
      <c r="AS327" s="32" t="b">
        <v>0</v>
      </c>
    </row>
    <row r="328">
      <c r="A328" s="21" t="s">
        <v>9229</v>
      </c>
      <c r="B328" s="22" t="s">
        <v>8119</v>
      </c>
      <c r="C328" s="22">
        <v>1.0</v>
      </c>
      <c r="D328" s="22" t="s">
        <v>8371</v>
      </c>
      <c r="E328" s="22" t="s">
        <v>8119</v>
      </c>
      <c r="F328" s="22" t="s">
        <v>8121</v>
      </c>
      <c r="G328" s="24"/>
      <c r="H328" s="22">
        <v>3.2723052331331E13</v>
      </c>
      <c r="I328" s="24"/>
      <c r="J328" s="24"/>
      <c r="K328" s="22">
        <v>4.2085703549171E13</v>
      </c>
      <c r="L328" s="29"/>
      <c r="M328" s="24"/>
      <c r="N328" s="22" t="s">
        <v>6507</v>
      </c>
      <c r="O328" s="22" t="s">
        <v>9230</v>
      </c>
      <c r="P328" s="22" t="s">
        <v>6507</v>
      </c>
      <c r="Q328" s="22" t="s">
        <v>9230</v>
      </c>
      <c r="R328" s="22" t="s">
        <v>9231</v>
      </c>
      <c r="S328" s="25"/>
      <c r="T328" s="40" t="s">
        <v>9232</v>
      </c>
      <c r="U328" s="22" t="s">
        <v>9233</v>
      </c>
      <c r="V328" s="24"/>
      <c r="W328" s="22" t="s">
        <v>9234</v>
      </c>
      <c r="X328" s="22" t="s">
        <v>9235</v>
      </c>
      <c r="Y328" s="24"/>
      <c r="Z328" s="24"/>
      <c r="AA328" s="22" t="s">
        <v>8129</v>
      </c>
      <c r="AB328" s="22" t="s">
        <v>8130</v>
      </c>
      <c r="AC328" s="25"/>
      <c r="AD328" s="22" t="s">
        <v>8131</v>
      </c>
      <c r="AE328" s="22" t="s">
        <v>8132</v>
      </c>
      <c r="AF328" s="25"/>
      <c r="AG328" s="22">
        <v>1.0447943500099E13</v>
      </c>
      <c r="AH328" s="22" t="s">
        <v>90</v>
      </c>
      <c r="AI328" s="22">
        <v>2.3412816380227E13</v>
      </c>
      <c r="AJ328" s="25"/>
      <c r="AK328" s="25"/>
      <c r="AL328" s="22" t="s">
        <v>8133</v>
      </c>
      <c r="AQ328" s="32" t="s">
        <v>8135</v>
      </c>
      <c r="AR328" s="32" t="b">
        <v>0</v>
      </c>
      <c r="AS328" s="32" t="b">
        <v>0</v>
      </c>
    </row>
    <row r="329">
      <c r="A329" s="21" t="s">
        <v>9229</v>
      </c>
      <c r="B329" s="22" t="s">
        <v>8153</v>
      </c>
      <c r="C329" s="22">
        <v>1.0</v>
      </c>
      <c r="D329" s="22" t="s">
        <v>8371</v>
      </c>
      <c r="E329" s="22" t="s">
        <v>8153</v>
      </c>
      <c r="F329" s="22" t="s">
        <v>8155</v>
      </c>
      <c r="G329" s="24"/>
      <c r="H329" s="22">
        <v>3.2741478891843E13</v>
      </c>
      <c r="I329" s="24"/>
      <c r="J329" s="24"/>
      <c r="K329" s="22">
        <v>4.7338059759939E13</v>
      </c>
      <c r="L329" s="29"/>
      <c r="M329" s="24"/>
      <c r="N329" s="22" t="s">
        <v>6507</v>
      </c>
      <c r="O329" s="22" t="s">
        <v>9230</v>
      </c>
      <c r="P329" s="22" t="s">
        <v>6507</v>
      </c>
      <c r="Q329" s="22" t="s">
        <v>9230</v>
      </c>
      <c r="R329" s="22" t="s">
        <v>9231</v>
      </c>
      <c r="S329" s="24"/>
      <c r="T329" s="40" t="s">
        <v>9232</v>
      </c>
      <c r="U329" s="22" t="s">
        <v>9233</v>
      </c>
      <c r="V329" s="24"/>
      <c r="W329" s="22" t="s">
        <v>9234</v>
      </c>
      <c r="X329" s="22" t="s">
        <v>9235</v>
      </c>
      <c r="Y329" s="24"/>
      <c r="Z329" s="24"/>
      <c r="AA329" s="22" t="s">
        <v>8129</v>
      </c>
      <c r="AB329" s="22" t="s">
        <v>8130</v>
      </c>
      <c r="AC329" s="25"/>
      <c r="AD329" s="22" t="s">
        <v>8161</v>
      </c>
      <c r="AE329" s="22" t="s">
        <v>8132</v>
      </c>
      <c r="AF329" s="25"/>
      <c r="AG329" s="22">
        <v>1.0447943500099E13</v>
      </c>
      <c r="AH329" s="22" t="s">
        <v>90</v>
      </c>
      <c r="AI329" s="22">
        <v>2.3412816380227E13</v>
      </c>
      <c r="AJ329" s="25"/>
      <c r="AK329" s="25"/>
      <c r="AL329" s="22" t="s">
        <v>8162</v>
      </c>
      <c r="AQ329" s="32" t="s">
        <v>55</v>
      </c>
      <c r="AR329" s="32" t="b">
        <v>0</v>
      </c>
      <c r="AS329" s="32" t="b">
        <v>0</v>
      </c>
    </row>
    <row r="330">
      <c r="A330" s="21" t="s">
        <v>9229</v>
      </c>
      <c r="B330" s="24"/>
      <c r="C330" s="24"/>
      <c r="D330" s="22" t="s">
        <v>8371</v>
      </c>
      <c r="E330" s="24"/>
      <c r="F330" s="22" t="s">
        <v>8136</v>
      </c>
      <c r="G330" s="24"/>
      <c r="H330" s="22">
        <v>9.504629391683E12</v>
      </c>
      <c r="I330" s="24"/>
      <c r="J330" s="24"/>
      <c r="K330" s="24"/>
      <c r="L330" s="29"/>
      <c r="M330" s="24"/>
      <c r="N330" s="22" t="s">
        <v>6507</v>
      </c>
      <c r="O330" s="22" t="s">
        <v>9230</v>
      </c>
      <c r="P330" s="22" t="s">
        <v>6507</v>
      </c>
      <c r="Q330" s="22" t="s">
        <v>9230</v>
      </c>
      <c r="R330" s="22" t="s">
        <v>9231</v>
      </c>
      <c r="S330" s="24"/>
      <c r="T330" s="40" t="s">
        <v>9232</v>
      </c>
      <c r="U330" s="22" t="s">
        <v>9233</v>
      </c>
      <c r="V330" s="24"/>
      <c r="W330" s="22" t="s">
        <v>9234</v>
      </c>
      <c r="X330" s="22" t="s">
        <v>9235</v>
      </c>
      <c r="Y330" s="24"/>
      <c r="Z330" s="24"/>
      <c r="AA330" s="22" t="s">
        <v>8129</v>
      </c>
      <c r="AB330" s="22" t="s">
        <v>8130</v>
      </c>
      <c r="AC330" s="25"/>
      <c r="AD330" s="25"/>
      <c r="AE330" s="22" t="s">
        <v>8132</v>
      </c>
      <c r="AF330" s="25"/>
      <c r="AG330" s="22">
        <v>1.0447943500099E13</v>
      </c>
      <c r="AH330" s="22" t="s">
        <v>8137</v>
      </c>
      <c r="AI330" s="22">
        <v>2.3412816380227E13</v>
      </c>
      <c r="AJ330" s="25"/>
      <c r="AK330" s="25"/>
      <c r="AL330" s="22" t="s">
        <v>8136</v>
      </c>
      <c r="AR330" s="32" t="b">
        <v>0</v>
      </c>
      <c r="AS330" s="32" t="b">
        <v>0</v>
      </c>
    </row>
    <row r="331">
      <c r="A331" s="21" t="s">
        <v>9229</v>
      </c>
      <c r="B331" s="22" t="s">
        <v>8119</v>
      </c>
      <c r="C331" s="22">
        <v>-1.0</v>
      </c>
      <c r="D331" s="22" t="s">
        <v>8371</v>
      </c>
      <c r="E331" s="22" t="s">
        <v>8119</v>
      </c>
      <c r="F331" s="22" t="s">
        <v>8121</v>
      </c>
      <c r="G331" s="24"/>
      <c r="H331" s="22">
        <v>3.2723052331331E13</v>
      </c>
      <c r="I331" s="24"/>
      <c r="J331" s="24"/>
      <c r="K331" s="22">
        <v>4.2085703549171E13</v>
      </c>
      <c r="L331" s="29"/>
      <c r="M331" s="24"/>
      <c r="N331" s="22" t="s">
        <v>6507</v>
      </c>
      <c r="O331" s="22" t="s">
        <v>9230</v>
      </c>
      <c r="P331" s="22" t="s">
        <v>6507</v>
      </c>
      <c r="Q331" s="22" t="s">
        <v>9230</v>
      </c>
      <c r="R331" s="22" t="s">
        <v>9231</v>
      </c>
      <c r="S331" s="25"/>
      <c r="T331" s="40" t="s">
        <v>9232</v>
      </c>
      <c r="U331" s="22" t="s">
        <v>9233</v>
      </c>
      <c r="V331" s="24"/>
      <c r="W331" s="22" t="s">
        <v>9234</v>
      </c>
      <c r="X331" s="22" t="s">
        <v>9235</v>
      </c>
      <c r="Y331" s="24"/>
      <c r="Z331" s="24"/>
      <c r="AA331" s="22" t="s">
        <v>8129</v>
      </c>
      <c r="AB331" s="22" t="s">
        <v>8130</v>
      </c>
      <c r="AC331" s="25"/>
      <c r="AD331" s="22" t="s">
        <v>8131</v>
      </c>
      <c r="AE331" s="22" t="s">
        <v>8132</v>
      </c>
      <c r="AF331" s="22" t="b">
        <v>1</v>
      </c>
      <c r="AG331" s="22">
        <v>1.0447943500099E13</v>
      </c>
      <c r="AH331" s="22" t="s">
        <v>9236</v>
      </c>
      <c r="AI331" s="22">
        <v>2.3412816380227E13</v>
      </c>
      <c r="AJ331" s="22">
        <v>1.081110757699E12</v>
      </c>
      <c r="AK331" s="25"/>
      <c r="AL331" s="22" t="s">
        <v>8133</v>
      </c>
      <c r="AQ331" s="32" t="s">
        <v>8135</v>
      </c>
      <c r="AR331" s="32" t="b">
        <v>0</v>
      </c>
      <c r="AS331" s="32" t="b">
        <v>0</v>
      </c>
    </row>
    <row r="332">
      <c r="A332" s="21" t="s">
        <v>9237</v>
      </c>
      <c r="B332" s="22" t="s">
        <v>8140</v>
      </c>
      <c r="C332" s="22">
        <v>1.0</v>
      </c>
      <c r="D332" s="22" t="s">
        <v>8175</v>
      </c>
      <c r="E332" s="22" t="s">
        <v>8140</v>
      </c>
      <c r="F332" s="22" t="s">
        <v>8121</v>
      </c>
      <c r="G332" s="22" t="s">
        <v>89</v>
      </c>
      <c r="H332" s="22">
        <v>3.2719440019779E13</v>
      </c>
      <c r="I332" s="22" t="s">
        <v>89</v>
      </c>
      <c r="J332" s="24"/>
      <c r="K332" s="22">
        <v>4.2085703581939E13</v>
      </c>
      <c r="L332" s="29"/>
      <c r="M332" s="24"/>
      <c r="N332" s="22" t="s">
        <v>3674</v>
      </c>
      <c r="O332" s="22" t="s">
        <v>9238</v>
      </c>
      <c r="P332" s="22" t="s">
        <v>3674</v>
      </c>
      <c r="Q332" s="22" t="s">
        <v>9238</v>
      </c>
      <c r="R332" s="22" t="s">
        <v>9239</v>
      </c>
      <c r="S332" s="25"/>
      <c r="T332" s="40" t="s">
        <v>9240</v>
      </c>
      <c r="U332" s="22" t="s">
        <v>9241</v>
      </c>
      <c r="V332" s="24"/>
      <c r="W332" s="22" t="s">
        <v>9242</v>
      </c>
      <c r="X332" s="22" t="s">
        <v>9243</v>
      </c>
      <c r="Y332" s="24"/>
      <c r="Z332" s="24"/>
      <c r="AA332" s="22" t="s">
        <v>8129</v>
      </c>
      <c r="AB332" s="22" t="s">
        <v>8130</v>
      </c>
      <c r="AC332" s="25"/>
      <c r="AD332" s="22" t="s">
        <v>8131</v>
      </c>
      <c r="AE332" s="22" t="s">
        <v>8132</v>
      </c>
      <c r="AF332" s="25"/>
      <c r="AG332" s="22">
        <v>1.0446306902339E13</v>
      </c>
      <c r="AH332" s="22" t="s">
        <v>90</v>
      </c>
      <c r="AI332" s="22">
        <v>6.446403879155E12</v>
      </c>
      <c r="AJ332" s="25"/>
      <c r="AK332" s="25"/>
      <c r="AL332" s="22" t="s">
        <v>8134</v>
      </c>
      <c r="AQ332" s="32" t="s">
        <v>8150</v>
      </c>
      <c r="AR332" s="32" t="b">
        <v>0</v>
      </c>
      <c r="AS332" s="32" t="b">
        <v>0</v>
      </c>
    </row>
    <row r="333">
      <c r="A333" s="21" t="s">
        <v>9237</v>
      </c>
      <c r="B333" s="24"/>
      <c r="C333" s="24"/>
      <c r="D333" s="22" t="s">
        <v>8175</v>
      </c>
      <c r="E333" s="24"/>
      <c r="F333" s="22" t="s">
        <v>8136</v>
      </c>
      <c r="G333" s="24"/>
      <c r="H333" s="22">
        <v>9.503197724995E12</v>
      </c>
      <c r="I333" s="22" t="s">
        <v>89</v>
      </c>
      <c r="J333" s="24"/>
      <c r="K333" s="24"/>
      <c r="L333" s="34"/>
      <c r="M333" s="24"/>
      <c r="N333" s="22" t="s">
        <v>3674</v>
      </c>
      <c r="O333" s="22" t="s">
        <v>9238</v>
      </c>
      <c r="P333" s="22" t="s">
        <v>3674</v>
      </c>
      <c r="Q333" s="22" t="s">
        <v>9238</v>
      </c>
      <c r="R333" s="22" t="s">
        <v>9239</v>
      </c>
      <c r="S333" s="25"/>
      <c r="T333" s="40" t="s">
        <v>9240</v>
      </c>
      <c r="U333" s="22" t="s">
        <v>9241</v>
      </c>
      <c r="V333" s="24"/>
      <c r="W333" s="22" t="s">
        <v>9242</v>
      </c>
      <c r="X333" s="22" t="s">
        <v>9243</v>
      </c>
      <c r="Y333" s="24"/>
      <c r="Z333" s="24"/>
      <c r="AA333" s="22" t="s">
        <v>8129</v>
      </c>
      <c r="AB333" s="22" t="s">
        <v>8130</v>
      </c>
      <c r="AC333" s="25"/>
      <c r="AD333" s="24"/>
      <c r="AE333" s="22" t="s">
        <v>8132</v>
      </c>
      <c r="AF333" s="25"/>
      <c r="AG333" s="22">
        <v>1.0446306902339E13</v>
      </c>
      <c r="AH333" s="22" t="s">
        <v>8137</v>
      </c>
      <c r="AI333" s="22">
        <v>6.446403879155E12</v>
      </c>
      <c r="AJ333" s="25"/>
      <c r="AK333" s="25"/>
      <c r="AL333" s="22" t="s">
        <v>8136</v>
      </c>
      <c r="AQ333" s="32"/>
      <c r="AR333" s="32" t="b">
        <v>0</v>
      </c>
      <c r="AS333" s="32" t="b">
        <v>0</v>
      </c>
    </row>
    <row r="334">
      <c r="A334" s="21" t="s">
        <v>9237</v>
      </c>
      <c r="B334" s="22" t="s">
        <v>8140</v>
      </c>
      <c r="C334" s="22">
        <v>-1.0</v>
      </c>
      <c r="D334" s="22" t="s">
        <v>8175</v>
      </c>
      <c r="E334" s="22" t="s">
        <v>8140</v>
      </c>
      <c r="F334" s="22" t="s">
        <v>8121</v>
      </c>
      <c r="G334" s="22" t="s">
        <v>89</v>
      </c>
      <c r="H334" s="22">
        <v>3.2719440019779E13</v>
      </c>
      <c r="I334" s="22" t="s">
        <v>89</v>
      </c>
      <c r="J334" s="24"/>
      <c r="K334" s="22">
        <v>4.2085703581939E13</v>
      </c>
      <c r="L334" s="22" t="s">
        <v>8182</v>
      </c>
      <c r="M334" s="35" t="s">
        <v>9244</v>
      </c>
      <c r="N334" s="22" t="s">
        <v>3674</v>
      </c>
      <c r="O334" s="22" t="s">
        <v>9238</v>
      </c>
      <c r="P334" s="22" t="s">
        <v>3674</v>
      </c>
      <c r="Q334" s="22" t="s">
        <v>9238</v>
      </c>
      <c r="R334" s="22" t="s">
        <v>9239</v>
      </c>
      <c r="S334" s="25"/>
      <c r="T334" s="40" t="s">
        <v>9240</v>
      </c>
      <c r="U334" s="22" t="s">
        <v>9241</v>
      </c>
      <c r="V334" s="24"/>
      <c r="W334" s="22" t="s">
        <v>9242</v>
      </c>
      <c r="X334" s="22" t="s">
        <v>9243</v>
      </c>
      <c r="Y334" s="24"/>
      <c r="Z334" s="24"/>
      <c r="AA334" s="22" t="s">
        <v>8129</v>
      </c>
      <c r="AB334" s="22" t="s">
        <v>8130</v>
      </c>
      <c r="AC334" s="25"/>
      <c r="AD334" s="22" t="s">
        <v>8131</v>
      </c>
      <c r="AE334" s="22" t="s">
        <v>8132</v>
      </c>
      <c r="AF334" s="25"/>
      <c r="AG334" s="22">
        <v>1.0446306902339E13</v>
      </c>
      <c r="AH334" s="22" t="s">
        <v>8184</v>
      </c>
      <c r="AI334" s="22">
        <v>6.446403879155E12</v>
      </c>
      <c r="AJ334" s="25"/>
      <c r="AK334" s="22">
        <v>6.714600456515E12</v>
      </c>
      <c r="AL334" s="22" t="s">
        <v>8134</v>
      </c>
      <c r="AQ334" s="32" t="s">
        <v>8150</v>
      </c>
      <c r="AR334" s="32" t="b">
        <v>0</v>
      </c>
      <c r="AS334" s="32" t="b">
        <v>0</v>
      </c>
    </row>
    <row r="335">
      <c r="A335" s="21" t="s">
        <v>9245</v>
      </c>
      <c r="B335" s="22" t="s">
        <v>8119</v>
      </c>
      <c r="C335" s="22">
        <v>1.0</v>
      </c>
      <c r="D335" s="22" t="s">
        <v>8968</v>
      </c>
      <c r="E335" s="22" t="s">
        <v>8119</v>
      </c>
      <c r="F335" s="22" t="s">
        <v>8121</v>
      </c>
      <c r="G335" s="24"/>
      <c r="H335" s="22">
        <v>3.2724095664451E13</v>
      </c>
      <c r="I335" s="24"/>
      <c r="J335" s="24"/>
      <c r="K335" s="22">
        <v>4.2085703549171E13</v>
      </c>
      <c r="L335" s="29"/>
      <c r="M335" s="24"/>
      <c r="N335" s="22" t="s">
        <v>3901</v>
      </c>
      <c r="O335" s="22" t="s">
        <v>9246</v>
      </c>
      <c r="P335" s="22" t="s">
        <v>3901</v>
      </c>
      <c r="Q335" s="22" t="s">
        <v>9246</v>
      </c>
      <c r="R335" s="22" t="s">
        <v>9247</v>
      </c>
      <c r="S335" s="25"/>
      <c r="T335" s="40" t="s">
        <v>9248</v>
      </c>
      <c r="U335" s="22" t="s">
        <v>9249</v>
      </c>
      <c r="V335" s="24"/>
      <c r="W335" s="22" t="s">
        <v>9250</v>
      </c>
      <c r="X335" s="22" t="s">
        <v>8747</v>
      </c>
      <c r="Y335" s="24"/>
      <c r="Z335" s="24"/>
      <c r="AA335" s="22" t="s">
        <v>8129</v>
      </c>
      <c r="AB335" s="22" t="s">
        <v>8130</v>
      </c>
      <c r="AC335" s="25"/>
      <c r="AD335" s="22" t="s">
        <v>8131</v>
      </c>
      <c r="AE335" s="22" t="s">
        <v>8132</v>
      </c>
      <c r="AF335" s="25"/>
      <c r="AG335" s="22">
        <v>1.0448418996547E13</v>
      </c>
      <c r="AH335" s="22" t="s">
        <v>90</v>
      </c>
      <c r="AI335" s="22">
        <v>7.447029514563E12</v>
      </c>
      <c r="AJ335" s="25"/>
      <c r="AK335" s="25"/>
      <c r="AL335" s="22" t="s">
        <v>8133</v>
      </c>
      <c r="AQ335" s="32" t="s">
        <v>8135</v>
      </c>
      <c r="AR335" s="32" t="b">
        <v>0</v>
      </c>
      <c r="AS335" s="32" t="b">
        <v>0</v>
      </c>
    </row>
    <row r="336">
      <c r="A336" s="21" t="s">
        <v>9245</v>
      </c>
      <c r="B336" s="24"/>
      <c r="C336" s="24"/>
      <c r="D336" s="22" t="s">
        <v>8968</v>
      </c>
      <c r="E336" s="24"/>
      <c r="F336" s="22" t="s">
        <v>8136</v>
      </c>
      <c r="G336" s="24"/>
      <c r="H336" s="22">
        <v>9.505014612291E12</v>
      </c>
      <c r="I336" s="24"/>
      <c r="J336" s="24"/>
      <c r="K336" s="24"/>
      <c r="L336" s="29"/>
      <c r="M336" s="24"/>
      <c r="N336" s="22" t="s">
        <v>3901</v>
      </c>
      <c r="O336" s="22" t="s">
        <v>9246</v>
      </c>
      <c r="P336" s="22" t="s">
        <v>3901</v>
      </c>
      <c r="Q336" s="22" t="s">
        <v>9246</v>
      </c>
      <c r="R336" s="22" t="s">
        <v>9247</v>
      </c>
      <c r="S336" s="25"/>
      <c r="T336" s="40" t="s">
        <v>9248</v>
      </c>
      <c r="U336" s="22" t="s">
        <v>9249</v>
      </c>
      <c r="V336" s="24"/>
      <c r="W336" s="22" t="s">
        <v>9250</v>
      </c>
      <c r="X336" s="22" t="s">
        <v>8747</v>
      </c>
      <c r="Y336" s="24"/>
      <c r="Z336" s="24"/>
      <c r="AA336" s="22" t="s">
        <v>8129</v>
      </c>
      <c r="AB336" s="22" t="s">
        <v>8130</v>
      </c>
      <c r="AC336" s="25"/>
      <c r="AD336" s="25"/>
      <c r="AE336" s="22" t="s">
        <v>8132</v>
      </c>
      <c r="AF336" s="25"/>
      <c r="AG336" s="22">
        <v>1.0448418996547E13</v>
      </c>
      <c r="AH336" s="22" t="s">
        <v>8137</v>
      </c>
      <c r="AI336" s="22">
        <v>7.447029514563E12</v>
      </c>
      <c r="AJ336" s="25"/>
      <c r="AK336" s="25"/>
      <c r="AL336" s="22" t="s">
        <v>8136</v>
      </c>
      <c r="AR336" s="32" t="b">
        <v>0</v>
      </c>
      <c r="AS336" s="32" t="b">
        <v>0</v>
      </c>
    </row>
    <row r="337">
      <c r="A337" s="21" t="s">
        <v>9251</v>
      </c>
      <c r="B337" s="22" t="s">
        <v>8467</v>
      </c>
      <c r="C337" s="22">
        <v>1.0</v>
      </c>
      <c r="D337" s="22" t="s">
        <v>8371</v>
      </c>
      <c r="E337" s="22" t="s">
        <v>8467</v>
      </c>
      <c r="F337" s="22" t="s">
        <v>8155</v>
      </c>
      <c r="G337" s="24"/>
      <c r="H337" s="22">
        <v>3.2724108509507E13</v>
      </c>
      <c r="I337" s="24"/>
      <c r="J337" s="24"/>
      <c r="K337" s="22">
        <v>4.9521175462211E13</v>
      </c>
      <c r="L337" s="29"/>
      <c r="M337" s="24"/>
      <c r="N337" s="22" t="s">
        <v>9252</v>
      </c>
      <c r="O337" s="22" t="s">
        <v>9253</v>
      </c>
      <c r="P337" s="22" t="s">
        <v>9252</v>
      </c>
      <c r="Q337" s="22" t="s">
        <v>9253</v>
      </c>
      <c r="R337" s="22" t="s">
        <v>9254</v>
      </c>
      <c r="S337" s="25"/>
      <c r="T337" s="40" t="s">
        <v>9255</v>
      </c>
      <c r="U337" s="22" t="s">
        <v>9256</v>
      </c>
      <c r="V337" s="24"/>
      <c r="W337" s="22" t="s">
        <v>9257</v>
      </c>
      <c r="X337" s="22" t="s">
        <v>8289</v>
      </c>
      <c r="Y337" s="24"/>
      <c r="Z337" s="24"/>
      <c r="AA337" s="22" t="s">
        <v>8129</v>
      </c>
      <c r="AB337" s="22" t="s">
        <v>8130</v>
      </c>
      <c r="AC337" s="25"/>
      <c r="AD337" s="22" t="s">
        <v>8161</v>
      </c>
      <c r="AE337" s="22" t="s">
        <v>8132</v>
      </c>
      <c r="AF337" s="25"/>
      <c r="AG337" s="22">
        <v>1.0448425320771E13</v>
      </c>
      <c r="AH337" s="22" t="s">
        <v>90</v>
      </c>
      <c r="AI337" s="22">
        <v>2.3413307146563E13</v>
      </c>
      <c r="AJ337" s="25"/>
      <c r="AK337" s="25"/>
      <c r="AL337" s="22" t="s">
        <v>8173</v>
      </c>
      <c r="AQ337" s="32" t="s">
        <v>55</v>
      </c>
      <c r="AR337" s="32" t="b">
        <v>0</v>
      </c>
      <c r="AS337" s="32" t="b">
        <v>1</v>
      </c>
    </row>
    <row r="338">
      <c r="A338" s="21" t="s">
        <v>9251</v>
      </c>
      <c r="B338" s="24"/>
      <c r="C338" s="24"/>
      <c r="D338" s="22" t="s">
        <v>8371</v>
      </c>
      <c r="E338" s="24"/>
      <c r="F338" s="22" t="s">
        <v>8149</v>
      </c>
      <c r="G338" s="24"/>
      <c r="H338" s="22">
        <v>9.505020150083E12</v>
      </c>
      <c r="I338" s="24"/>
      <c r="J338" s="24"/>
      <c r="K338" s="24"/>
      <c r="L338" s="29"/>
      <c r="M338" s="24"/>
      <c r="N338" s="22" t="s">
        <v>9252</v>
      </c>
      <c r="O338" s="22" t="s">
        <v>9253</v>
      </c>
      <c r="P338" s="22" t="s">
        <v>9252</v>
      </c>
      <c r="Q338" s="22" t="s">
        <v>9253</v>
      </c>
      <c r="R338" s="22" t="s">
        <v>9254</v>
      </c>
      <c r="S338" s="25"/>
      <c r="T338" s="40" t="s">
        <v>9255</v>
      </c>
      <c r="U338" s="22" t="s">
        <v>9256</v>
      </c>
      <c r="V338" s="24"/>
      <c r="W338" s="22" t="s">
        <v>9257</v>
      </c>
      <c r="X338" s="22" t="s">
        <v>8289</v>
      </c>
      <c r="Y338" s="24"/>
      <c r="Z338" s="24"/>
      <c r="AA338" s="22" t="s">
        <v>8129</v>
      </c>
      <c r="AB338" s="22" t="s">
        <v>8130</v>
      </c>
      <c r="AC338" s="25"/>
      <c r="AD338" s="25"/>
      <c r="AE338" s="22" t="s">
        <v>8132</v>
      </c>
      <c r="AF338" s="25"/>
      <c r="AG338" s="22">
        <v>1.0448425320771E13</v>
      </c>
      <c r="AH338" s="22" t="s">
        <v>8137</v>
      </c>
      <c r="AI338" s="22">
        <v>2.3413307146563E13</v>
      </c>
      <c r="AJ338" s="25"/>
      <c r="AK338" s="25"/>
      <c r="AL338" s="22" t="s">
        <v>8149</v>
      </c>
      <c r="AR338" s="32" t="b">
        <v>0</v>
      </c>
      <c r="AS338" s="32" t="b">
        <v>0</v>
      </c>
    </row>
    <row r="339">
      <c r="A339" s="21" t="s">
        <v>9258</v>
      </c>
      <c r="B339" s="22" t="s">
        <v>8429</v>
      </c>
      <c r="C339" s="22">
        <v>1.0</v>
      </c>
      <c r="D339" s="22" t="s">
        <v>8175</v>
      </c>
      <c r="E339" s="22" t="s">
        <v>8429</v>
      </c>
      <c r="F339" s="22" t="s">
        <v>8155</v>
      </c>
      <c r="G339" s="22" t="s">
        <v>89</v>
      </c>
      <c r="H339" s="22">
        <v>3.2724472004931E13</v>
      </c>
      <c r="I339" s="22" t="s">
        <v>89</v>
      </c>
      <c r="J339" s="24"/>
      <c r="K339" s="22">
        <v>4.9521175527747E13</v>
      </c>
      <c r="L339" s="29"/>
      <c r="M339" s="24"/>
      <c r="N339" s="22" t="s">
        <v>9259</v>
      </c>
      <c r="O339" s="22" t="s">
        <v>9260</v>
      </c>
      <c r="P339" s="22" t="s">
        <v>9259</v>
      </c>
      <c r="Q339" s="22" t="s">
        <v>9260</v>
      </c>
      <c r="R339" s="22" t="s">
        <v>9261</v>
      </c>
      <c r="S339" s="25"/>
      <c r="T339" s="40" t="s">
        <v>9262</v>
      </c>
      <c r="U339" s="22" t="s">
        <v>9263</v>
      </c>
      <c r="V339" s="24"/>
      <c r="W339" s="22" t="s">
        <v>9264</v>
      </c>
      <c r="X339" s="22" t="s">
        <v>9265</v>
      </c>
      <c r="Y339" s="24"/>
      <c r="Z339" s="24"/>
      <c r="AA339" s="22" t="s">
        <v>8129</v>
      </c>
      <c r="AB339" s="22" t="s">
        <v>8130</v>
      </c>
      <c r="AC339" s="25"/>
      <c r="AD339" s="22" t="s">
        <v>8161</v>
      </c>
      <c r="AE339" s="22" t="s">
        <v>8132</v>
      </c>
      <c r="AF339" s="25"/>
      <c r="AG339" s="22">
        <v>1.0448585261379E13</v>
      </c>
      <c r="AH339" s="22" t="s">
        <v>90</v>
      </c>
      <c r="AI339" s="22">
        <v>2.3413487796547E13</v>
      </c>
      <c r="AJ339" s="25"/>
      <c r="AK339" s="25"/>
      <c r="AL339" s="22" t="s">
        <v>8201</v>
      </c>
      <c r="AQ339" s="32" t="s">
        <v>95</v>
      </c>
      <c r="AR339" s="32" t="b">
        <v>0</v>
      </c>
      <c r="AS339" s="32" t="b">
        <v>1</v>
      </c>
    </row>
    <row r="340">
      <c r="A340" s="21" t="s">
        <v>9258</v>
      </c>
      <c r="B340" s="24"/>
      <c r="C340" s="24"/>
      <c r="D340" s="22" t="s">
        <v>8175</v>
      </c>
      <c r="E340" s="24"/>
      <c r="F340" s="22" t="s">
        <v>8149</v>
      </c>
      <c r="G340" s="24"/>
      <c r="H340" s="22">
        <v>9.505166426435E12</v>
      </c>
      <c r="I340" s="22" t="s">
        <v>89</v>
      </c>
      <c r="J340" s="24"/>
      <c r="K340" s="24"/>
      <c r="L340" s="29"/>
      <c r="M340" s="24"/>
      <c r="N340" s="22" t="s">
        <v>9259</v>
      </c>
      <c r="O340" s="22" t="s">
        <v>9260</v>
      </c>
      <c r="P340" s="22" t="s">
        <v>9259</v>
      </c>
      <c r="Q340" s="22" t="s">
        <v>9260</v>
      </c>
      <c r="R340" s="22" t="s">
        <v>9261</v>
      </c>
      <c r="S340" s="25"/>
      <c r="T340" s="40" t="s">
        <v>9262</v>
      </c>
      <c r="U340" s="22" t="s">
        <v>9263</v>
      </c>
      <c r="V340" s="24"/>
      <c r="W340" s="22" t="s">
        <v>9264</v>
      </c>
      <c r="X340" s="22" t="s">
        <v>9265</v>
      </c>
      <c r="Y340" s="24"/>
      <c r="Z340" s="24"/>
      <c r="AA340" s="22" t="s">
        <v>8129</v>
      </c>
      <c r="AB340" s="22" t="s">
        <v>8130</v>
      </c>
      <c r="AC340" s="25"/>
      <c r="AD340" s="25"/>
      <c r="AE340" s="22" t="s">
        <v>8132</v>
      </c>
      <c r="AF340" s="25"/>
      <c r="AG340" s="22">
        <v>1.0448585261379E13</v>
      </c>
      <c r="AH340" s="22" t="s">
        <v>8137</v>
      </c>
      <c r="AI340" s="22">
        <v>2.3413487796547E13</v>
      </c>
      <c r="AJ340" s="25"/>
      <c r="AK340" s="25"/>
      <c r="AL340" s="22" t="s">
        <v>8149</v>
      </c>
      <c r="AR340" s="32" t="b">
        <v>0</v>
      </c>
      <c r="AS340" s="32" t="b">
        <v>0</v>
      </c>
    </row>
    <row r="341">
      <c r="A341" s="21" t="s">
        <v>9258</v>
      </c>
      <c r="B341" s="22" t="s">
        <v>8429</v>
      </c>
      <c r="C341" s="22">
        <v>-1.0</v>
      </c>
      <c r="D341" s="22" t="s">
        <v>8175</v>
      </c>
      <c r="E341" s="22" t="s">
        <v>8429</v>
      </c>
      <c r="F341" s="22" t="s">
        <v>8155</v>
      </c>
      <c r="G341" s="22" t="s">
        <v>89</v>
      </c>
      <c r="H341" s="22">
        <v>3.2724472004931E13</v>
      </c>
      <c r="I341" s="22" t="s">
        <v>89</v>
      </c>
      <c r="J341" s="24"/>
      <c r="K341" s="22">
        <v>4.9521175527747E13</v>
      </c>
      <c r="L341" s="22" t="s">
        <v>8182</v>
      </c>
      <c r="M341" s="24"/>
      <c r="N341" s="22" t="s">
        <v>9259</v>
      </c>
      <c r="O341" s="22" t="s">
        <v>9260</v>
      </c>
      <c r="P341" s="22" t="s">
        <v>9259</v>
      </c>
      <c r="Q341" s="22" t="s">
        <v>9260</v>
      </c>
      <c r="R341" s="22" t="s">
        <v>9261</v>
      </c>
      <c r="S341" s="24"/>
      <c r="T341" s="40" t="s">
        <v>9262</v>
      </c>
      <c r="U341" s="22" t="s">
        <v>9263</v>
      </c>
      <c r="V341" s="24"/>
      <c r="W341" s="22" t="s">
        <v>9264</v>
      </c>
      <c r="X341" s="22" t="s">
        <v>9265</v>
      </c>
      <c r="Y341" s="24"/>
      <c r="Z341" s="24"/>
      <c r="AA341" s="22" t="s">
        <v>8129</v>
      </c>
      <c r="AB341" s="22" t="s">
        <v>8130</v>
      </c>
      <c r="AC341" s="25"/>
      <c r="AD341" s="22" t="s">
        <v>8161</v>
      </c>
      <c r="AE341" s="22" t="s">
        <v>8132</v>
      </c>
      <c r="AF341" s="25"/>
      <c r="AG341" s="22">
        <v>1.0448585261379E13</v>
      </c>
      <c r="AH341" s="22" t="s">
        <v>8184</v>
      </c>
      <c r="AI341" s="22">
        <v>2.3413487796547E13</v>
      </c>
      <c r="AJ341" s="25"/>
      <c r="AK341" s="22">
        <v>6.714640826691E12</v>
      </c>
      <c r="AL341" s="22" t="s">
        <v>8201</v>
      </c>
      <c r="AQ341" s="32" t="s">
        <v>95</v>
      </c>
      <c r="AR341" s="32" t="b">
        <v>0</v>
      </c>
      <c r="AS341" s="32" t="b">
        <v>1</v>
      </c>
    </row>
    <row r="342">
      <c r="A342" s="21" t="s">
        <v>9266</v>
      </c>
      <c r="B342" s="22" t="s">
        <v>8707</v>
      </c>
      <c r="C342" s="22">
        <v>1.0</v>
      </c>
      <c r="D342" s="22" t="s">
        <v>8141</v>
      </c>
      <c r="E342" s="22" t="s">
        <v>8707</v>
      </c>
      <c r="F342" s="22" t="s">
        <v>8155</v>
      </c>
      <c r="G342" s="24"/>
      <c r="H342" s="22">
        <v>3.2724678345027E13</v>
      </c>
      <c r="I342" s="24"/>
      <c r="J342" s="24"/>
      <c r="K342" s="22">
        <v>4.9521175429443E13</v>
      </c>
      <c r="L342" s="29"/>
      <c r="M342" s="24"/>
      <c r="N342" s="22" t="s">
        <v>4211</v>
      </c>
      <c r="O342" s="22" t="s">
        <v>9267</v>
      </c>
      <c r="P342" s="22" t="s">
        <v>5275</v>
      </c>
      <c r="Q342" s="22" t="s">
        <v>9267</v>
      </c>
      <c r="R342" s="22" t="s">
        <v>9268</v>
      </c>
      <c r="S342" s="24"/>
      <c r="T342" s="40" t="s">
        <v>9269</v>
      </c>
      <c r="U342" s="22" t="s">
        <v>9270</v>
      </c>
      <c r="V342" s="22">
        <v>40.0</v>
      </c>
      <c r="W342" s="22" t="s">
        <v>9271</v>
      </c>
      <c r="X342" s="22" t="s">
        <v>8128</v>
      </c>
      <c r="Y342" s="24"/>
      <c r="Z342" s="24"/>
      <c r="AA342" s="22" t="s">
        <v>8129</v>
      </c>
      <c r="AB342" s="22" t="s">
        <v>8130</v>
      </c>
      <c r="AC342" s="25"/>
      <c r="AD342" s="22" t="s">
        <v>8161</v>
      </c>
      <c r="AE342" s="22" t="s">
        <v>8132</v>
      </c>
      <c r="AF342" s="25"/>
      <c r="AG342" s="22">
        <v>1.0448672522563E13</v>
      </c>
      <c r="AH342" s="22" t="s">
        <v>90</v>
      </c>
      <c r="AI342" s="22">
        <v>8.499438027075E12</v>
      </c>
      <c r="AJ342" s="25"/>
      <c r="AK342" s="25"/>
      <c r="AL342" s="22" t="s">
        <v>8336</v>
      </c>
      <c r="AQ342" s="32" t="s">
        <v>54</v>
      </c>
      <c r="AR342" s="32" t="b">
        <v>0</v>
      </c>
      <c r="AS342" s="32" t="b">
        <v>1</v>
      </c>
    </row>
    <row r="343">
      <c r="A343" s="21" t="s">
        <v>9266</v>
      </c>
      <c r="B343" s="24"/>
      <c r="C343" s="24"/>
      <c r="D343" s="22" t="s">
        <v>8141</v>
      </c>
      <c r="E343" s="24"/>
      <c r="F343" s="22" t="s">
        <v>8149</v>
      </c>
      <c r="G343" s="24"/>
      <c r="H343" s="22">
        <v>9.505246708035E12</v>
      </c>
      <c r="I343" s="24"/>
      <c r="J343" s="24"/>
      <c r="K343" s="24"/>
      <c r="L343" s="29"/>
      <c r="M343" s="24"/>
      <c r="N343" s="22" t="s">
        <v>4211</v>
      </c>
      <c r="O343" s="22" t="s">
        <v>9267</v>
      </c>
      <c r="P343" s="22" t="s">
        <v>5275</v>
      </c>
      <c r="Q343" s="22" t="s">
        <v>9267</v>
      </c>
      <c r="R343" s="22" t="s">
        <v>9268</v>
      </c>
      <c r="S343" s="25"/>
      <c r="T343" s="40" t="s">
        <v>9269</v>
      </c>
      <c r="U343" s="22" t="s">
        <v>9270</v>
      </c>
      <c r="V343" s="22">
        <v>40.0</v>
      </c>
      <c r="W343" s="22" t="s">
        <v>9271</v>
      </c>
      <c r="X343" s="22" t="s">
        <v>8128</v>
      </c>
      <c r="Y343" s="24"/>
      <c r="Z343" s="24"/>
      <c r="AA343" s="22" t="s">
        <v>8129</v>
      </c>
      <c r="AB343" s="22" t="s">
        <v>8130</v>
      </c>
      <c r="AC343" s="25"/>
      <c r="AD343" s="24"/>
      <c r="AE343" s="22" t="s">
        <v>8132</v>
      </c>
      <c r="AF343" s="25"/>
      <c r="AG343" s="22">
        <v>1.0448672522563E13</v>
      </c>
      <c r="AH343" s="22" t="s">
        <v>8137</v>
      </c>
      <c r="AI343" s="22">
        <v>8.499438027075E12</v>
      </c>
      <c r="AJ343" s="25"/>
      <c r="AK343" s="25"/>
      <c r="AL343" s="22" t="s">
        <v>8149</v>
      </c>
      <c r="AQ343" s="32"/>
      <c r="AR343" s="32" t="b">
        <v>0</v>
      </c>
      <c r="AS343" s="32" t="b">
        <v>0</v>
      </c>
    </row>
    <row r="344">
      <c r="A344" s="21" t="s">
        <v>9272</v>
      </c>
      <c r="B344" s="22" t="s">
        <v>8140</v>
      </c>
      <c r="C344" s="22">
        <v>1.0</v>
      </c>
      <c r="D344" s="22" t="s">
        <v>8175</v>
      </c>
      <c r="E344" s="22" t="s">
        <v>8140</v>
      </c>
      <c r="F344" s="22" t="s">
        <v>8121</v>
      </c>
      <c r="G344" s="22" t="s">
        <v>89</v>
      </c>
      <c r="H344" s="22">
        <v>3.2724984856899E13</v>
      </c>
      <c r="I344" s="22" t="s">
        <v>89</v>
      </c>
      <c r="J344" s="24"/>
      <c r="K344" s="22">
        <v>4.2085703581939E13</v>
      </c>
      <c r="L344" s="29"/>
      <c r="M344" s="24"/>
      <c r="N344" s="22" t="s">
        <v>9273</v>
      </c>
      <c r="O344" s="22" t="s">
        <v>6614</v>
      </c>
      <c r="P344" s="22" t="s">
        <v>9273</v>
      </c>
      <c r="Q344" s="22" t="s">
        <v>6614</v>
      </c>
      <c r="R344" s="22" t="s">
        <v>9274</v>
      </c>
      <c r="S344" s="25"/>
      <c r="T344" s="40" t="s">
        <v>9275</v>
      </c>
      <c r="U344" s="22" t="s">
        <v>9276</v>
      </c>
      <c r="V344" s="24"/>
      <c r="W344" s="22" t="s">
        <v>9277</v>
      </c>
      <c r="X344" s="22" t="s">
        <v>8289</v>
      </c>
      <c r="Y344" s="24"/>
      <c r="Z344" s="24"/>
      <c r="AA344" s="22" t="s">
        <v>8129</v>
      </c>
      <c r="AB344" s="22" t="s">
        <v>8130</v>
      </c>
      <c r="AC344" s="25"/>
      <c r="AD344" s="22" t="s">
        <v>8131</v>
      </c>
      <c r="AE344" s="22" t="s">
        <v>8132</v>
      </c>
      <c r="AF344" s="25"/>
      <c r="AG344" s="22">
        <v>1.0448801399107E13</v>
      </c>
      <c r="AH344" s="22" t="s">
        <v>90</v>
      </c>
      <c r="AI344" s="22">
        <v>6.472472232179E12</v>
      </c>
      <c r="AJ344" s="25"/>
      <c r="AK344" s="25"/>
      <c r="AL344" s="22" t="s">
        <v>8134</v>
      </c>
      <c r="AQ344" s="32" t="s">
        <v>8150</v>
      </c>
      <c r="AR344" s="32" t="b">
        <v>0</v>
      </c>
      <c r="AS344" s="32" t="b">
        <v>0</v>
      </c>
    </row>
    <row r="345">
      <c r="A345" s="21" t="s">
        <v>9272</v>
      </c>
      <c r="B345" s="24"/>
      <c r="C345" s="24"/>
      <c r="D345" s="22" t="s">
        <v>8175</v>
      </c>
      <c r="E345" s="24"/>
      <c r="F345" s="22" t="s">
        <v>8136</v>
      </c>
      <c r="G345" s="24"/>
      <c r="H345" s="22">
        <v>9.505367294275E12</v>
      </c>
      <c r="I345" s="22" t="s">
        <v>89</v>
      </c>
      <c r="J345" s="24"/>
      <c r="K345" s="24"/>
      <c r="L345" s="34"/>
      <c r="M345" s="24"/>
      <c r="N345" s="22" t="s">
        <v>9273</v>
      </c>
      <c r="O345" s="22" t="s">
        <v>6614</v>
      </c>
      <c r="P345" s="22" t="s">
        <v>9273</v>
      </c>
      <c r="Q345" s="22" t="s">
        <v>6614</v>
      </c>
      <c r="R345" s="22" t="s">
        <v>9274</v>
      </c>
      <c r="S345" s="25"/>
      <c r="T345" s="40" t="s">
        <v>9275</v>
      </c>
      <c r="U345" s="22" t="s">
        <v>9276</v>
      </c>
      <c r="V345" s="24"/>
      <c r="W345" s="22" t="s">
        <v>9277</v>
      </c>
      <c r="X345" s="22" t="s">
        <v>8289</v>
      </c>
      <c r="Y345" s="24"/>
      <c r="Z345" s="24"/>
      <c r="AA345" s="22" t="s">
        <v>8129</v>
      </c>
      <c r="AB345" s="22" t="s">
        <v>8130</v>
      </c>
      <c r="AC345" s="25"/>
      <c r="AD345" s="24"/>
      <c r="AE345" s="22" t="s">
        <v>8132</v>
      </c>
      <c r="AF345" s="25"/>
      <c r="AG345" s="22">
        <v>1.0448801399107E13</v>
      </c>
      <c r="AH345" s="22" t="s">
        <v>8137</v>
      </c>
      <c r="AI345" s="22">
        <v>6.472472232179E12</v>
      </c>
      <c r="AJ345" s="25"/>
      <c r="AK345" s="25"/>
      <c r="AL345" s="22" t="s">
        <v>8136</v>
      </c>
      <c r="AQ345" s="32"/>
      <c r="AR345" s="32" t="b">
        <v>0</v>
      </c>
      <c r="AS345" s="32" t="b">
        <v>0</v>
      </c>
    </row>
    <row r="346">
      <c r="A346" s="21" t="s">
        <v>9272</v>
      </c>
      <c r="B346" s="22" t="s">
        <v>8140</v>
      </c>
      <c r="C346" s="22">
        <v>-1.0</v>
      </c>
      <c r="D346" s="22" t="s">
        <v>8175</v>
      </c>
      <c r="E346" s="22" t="s">
        <v>8140</v>
      </c>
      <c r="F346" s="22" t="s">
        <v>8121</v>
      </c>
      <c r="G346" s="22" t="s">
        <v>89</v>
      </c>
      <c r="H346" s="22">
        <v>3.2724984856899E13</v>
      </c>
      <c r="I346" s="22" t="s">
        <v>89</v>
      </c>
      <c r="J346" s="24"/>
      <c r="K346" s="22">
        <v>4.2085703581939E13</v>
      </c>
      <c r="L346" s="22" t="s">
        <v>8182</v>
      </c>
      <c r="M346" s="35" t="s">
        <v>9278</v>
      </c>
      <c r="N346" s="22" t="s">
        <v>9273</v>
      </c>
      <c r="O346" s="22" t="s">
        <v>6614</v>
      </c>
      <c r="P346" s="22" t="s">
        <v>9273</v>
      </c>
      <c r="Q346" s="22" t="s">
        <v>6614</v>
      </c>
      <c r="R346" s="22" t="s">
        <v>9274</v>
      </c>
      <c r="S346" s="25"/>
      <c r="T346" s="40" t="s">
        <v>9275</v>
      </c>
      <c r="U346" s="22" t="s">
        <v>9276</v>
      </c>
      <c r="V346" s="24"/>
      <c r="W346" s="22" t="s">
        <v>9277</v>
      </c>
      <c r="X346" s="22" t="s">
        <v>8289</v>
      </c>
      <c r="Y346" s="24"/>
      <c r="Z346" s="24"/>
      <c r="AA346" s="22" t="s">
        <v>8129</v>
      </c>
      <c r="AB346" s="22" t="s">
        <v>8130</v>
      </c>
      <c r="AC346" s="25"/>
      <c r="AD346" s="22" t="s">
        <v>8131</v>
      </c>
      <c r="AE346" s="22" t="s">
        <v>8132</v>
      </c>
      <c r="AF346" s="25"/>
      <c r="AG346" s="22">
        <v>1.0448801399107E13</v>
      </c>
      <c r="AH346" s="22" t="s">
        <v>8184</v>
      </c>
      <c r="AI346" s="22">
        <v>6.472472232179E12</v>
      </c>
      <c r="AJ346" s="25"/>
      <c r="AK346" s="22">
        <v>6.714600358211E12</v>
      </c>
      <c r="AL346" s="22" t="s">
        <v>8134</v>
      </c>
      <c r="AQ346" s="32" t="s">
        <v>8150</v>
      </c>
      <c r="AR346" s="32" t="b">
        <v>0</v>
      </c>
      <c r="AS346" s="32" t="b">
        <v>0</v>
      </c>
    </row>
    <row r="347">
      <c r="A347" s="21" t="s">
        <v>9279</v>
      </c>
      <c r="B347" s="22" t="s">
        <v>8403</v>
      </c>
      <c r="C347" s="22">
        <v>1.0</v>
      </c>
      <c r="D347" s="22" t="s">
        <v>8175</v>
      </c>
      <c r="E347" s="22" t="s">
        <v>8403</v>
      </c>
      <c r="F347" s="22" t="s">
        <v>8155</v>
      </c>
      <c r="G347" s="22" t="s">
        <v>89</v>
      </c>
      <c r="H347" s="22">
        <v>3.2723443712323E13</v>
      </c>
      <c r="I347" s="22" t="s">
        <v>89</v>
      </c>
      <c r="J347" s="24"/>
      <c r="K347" s="22">
        <v>4.7338059825475E13</v>
      </c>
      <c r="L347" s="29"/>
      <c r="M347" s="24"/>
      <c r="N347" s="22" t="s">
        <v>9280</v>
      </c>
      <c r="O347" s="22" t="s">
        <v>9281</v>
      </c>
      <c r="P347" s="22" t="s">
        <v>9280</v>
      </c>
      <c r="Q347" s="22" t="s">
        <v>9281</v>
      </c>
      <c r="R347" s="22" t="s">
        <v>9282</v>
      </c>
      <c r="S347" s="25"/>
      <c r="T347" s="40" t="s">
        <v>9283</v>
      </c>
      <c r="U347" s="22" t="s">
        <v>9284</v>
      </c>
      <c r="V347" s="24"/>
      <c r="W347" s="22" t="s">
        <v>9285</v>
      </c>
      <c r="X347" s="22" t="s">
        <v>9286</v>
      </c>
      <c r="Y347" s="24"/>
      <c r="Z347" s="24"/>
      <c r="AA347" s="22" t="s">
        <v>8129</v>
      </c>
      <c r="AB347" s="22" t="s">
        <v>8130</v>
      </c>
      <c r="AC347" s="25"/>
      <c r="AD347" s="22" t="s">
        <v>8161</v>
      </c>
      <c r="AE347" s="22" t="s">
        <v>8132</v>
      </c>
      <c r="AF347" s="25"/>
      <c r="AG347" s="22">
        <v>1.0448120250691E13</v>
      </c>
      <c r="AH347" s="22" t="s">
        <v>90</v>
      </c>
      <c r="AI347" s="22">
        <v>2.3412988444995E13</v>
      </c>
      <c r="AJ347" s="25"/>
      <c r="AK347" s="25"/>
      <c r="AL347" s="22" t="s">
        <v>8243</v>
      </c>
      <c r="AQ347" s="32" t="s">
        <v>95</v>
      </c>
      <c r="AR347" s="32" t="b">
        <v>0</v>
      </c>
      <c r="AS347" s="32" t="b">
        <v>0</v>
      </c>
    </row>
    <row r="348">
      <c r="A348" s="21" t="s">
        <v>9279</v>
      </c>
      <c r="B348" s="24"/>
      <c r="C348" s="24"/>
      <c r="D348" s="22" t="s">
        <v>8175</v>
      </c>
      <c r="E348" s="24"/>
      <c r="F348" s="22" t="s">
        <v>8149</v>
      </c>
      <c r="G348" s="24"/>
      <c r="H348" s="22">
        <v>9.504764756291E12</v>
      </c>
      <c r="I348" s="22" t="s">
        <v>89</v>
      </c>
      <c r="J348" s="24"/>
      <c r="K348" s="24"/>
      <c r="L348" s="34"/>
      <c r="M348" s="24"/>
      <c r="N348" s="22" t="s">
        <v>9280</v>
      </c>
      <c r="O348" s="22" t="s">
        <v>9281</v>
      </c>
      <c r="P348" s="22" t="s">
        <v>9280</v>
      </c>
      <c r="Q348" s="22" t="s">
        <v>9281</v>
      </c>
      <c r="R348" s="22" t="s">
        <v>9282</v>
      </c>
      <c r="S348" s="25"/>
      <c r="T348" s="40" t="s">
        <v>9283</v>
      </c>
      <c r="U348" s="22" t="s">
        <v>9284</v>
      </c>
      <c r="V348" s="24"/>
      <c r="W348" s="22" t="s">
        <v>9285</v>
      </c>
      <c r="X348" s="22" t="s">
        <v>9286</v>
      </c>
      <c r="Y348" s="24"/>
      <c r="Z348" s="24"/>
      <c r="AA348" s="22" t="s">
        <v>8129</v>
      </c>
      <c r="AB348" s="22" t="s">
        <v>8130</v>
      </c>
      <c r="AC348" s="25"/>
      <c r="AD348" s="25"/>
      <c r="AE348" s="22" t="s">
        <v>8132</v>
      </c>
      <c r="AF348" s="25"/>
      <c r="AG348" s="22">
        <v>1.0448120250691E13</v>
      </c>
      <c r="AH348" s="22" t="s">
        <v>8137</v>
      </c>
      <c r="AI348" s="22">
        <v>2.3412988444995E13</v>
      </c>
      <c r="AJ348" s="25"/>
      <c r="AK348" s="25"/>
      <c r="AL348" s="22" t="s">
        <v>8149</v>
      </c>
      <c r="AR348" s="32" t="b">
        <v>0</v>
      </c>
      <c r="AS348" s="32" t="b">
        <v>0</v>
      </c>
    </row>
    <row r="349">
      <c r="A349" s="21" t="s">
        <v>9279</v>
      </c>
      <c r="B349" s="22" t="s">
        <v>8403</v>
      </c>
      <c r="C349" s="22">
        <v>-1.0</v>
      </c>
      <c r="D349" s="22" t="s">
        <v>8175</v>
      </c>
      <c r="E349" s="22" t="s">
        <v>8403</v>
      </c>
      <c r="F349" s="22" t="s">
        <v>8155</v>
      </c>
      <c r="G349" s="22" t="s">
        <v>89</v>
      </c>
      <c r="H349" s="22">
        <v>3.2723443712323E13</v>
      </c>
      <c r="I349" s="22" t="s">
        <v>89</v>
      </c>
      <c r="J349" s="24"/>
      <c r="K349" s="22">
        <v>4.7338059825475E13</v>
      </c>
      <c r="L349" s="22" t="s">
        <v>8182</v>
      </c>
      <c r="M349" s="24"/>
      <c r="N349" s="22" t="s">
        <v>9280</v>
      </c>
      <c r="O349" s="22" t="s">
        <v>9281</v>
      </c>
      <c r="P349" s="22" t="s">
        <v>9280</v>
      </c>
      <c r="Q349" s="22" t="s">
        <v>9281</v>
      </c>
      <c r="R349" s="22" t="s">
        <v>9282</v>
      </c>
      <c r="S349" s="25"/>
      <c r="T349" s="40" t="s">
        <v>9283</v>
      </c>
      <c r="U349" s="22" t="s">
        <v>9284</v>
      </c>
      <c r="V349" s="24"/>
      <c r="W349" s="22" t="s">
        <v>9285</v>
      </c>
      <c r="X349" s="22" t="s">
        <v>9286</v>
      </c>
      <c r="Y349" s="24"/>
      <c r="Z349" s="24"/>
      <c r="AA349" s="22" t="s">
        <v>8129</v>
      </c>
      <c r="AB349" s="22" t="s">
        <v>8130</v>
      </c>
      <c r="AC349" s="25"/>
      <c r="AD349" s="22" t="s">
        <v>8161</v>
      </c>
      <c r="AE349" s="22" t="s">
        <v>8132</v>
      </c>
      <c r="AF349" s="25"/>
      <c r="AG349" s="22">
        <v>1.0448120250691E13</v>
      </c>
      <c r="AH349" s="22" t="s">
        <v>8184</v>
      </c>
      <c r="AI349" s="22">
        <v>2.3412988444995E13</v>
      </c>
      <c r="AJ349" s="25"/>
      <c r="AK349" s="22">
        <v>6.714641088835E12</v>
      </c>
      <c r="AL349" s="22" t="s">
        <v>8243</v>
      </c>
      <c r="AQ349" s="32" t="s">
        <v>95</v>
      </c>
      <c r="AR349" s="32" t="b">
        <v>0</v>
      </c>
      <c r="AS349" s="32" t="b">
        <v>0</v>
      </c>
    </row>
    <row r="350">
      <c r="A350" s="21" t="s">
        <v>9287</v>
      </c>
      <c r="B350" s="22" t="s">
        <v>8403</v>
      </c>
      <c r="C350" s="22">
        <v>1.0</v>
      </c>
      <c r="D350" s="22" t="s">
        <v>8305</v>
      </c>
      <c r="E350" s="22" t="s">
        <v>8403</v>
      </c>
      <c r="F350" s="22" t="s">
        <v>8155</v>
      </c>
      <c r="G350" s="24"/>
      <c r="H350" s="22">
        <v>3.2725429158211E13</v>
      </c>
      <c r="I350" s="24"/>
      <c r="J350" s="24"/>
      <c r="K350" s="22">
        <v>4.7338059825475E13</v>
      </c>
      <c r="L350" s="29"/>
      <c r="M350" s="24"/>
      <c r="N350" s="22" t="s">
        <v>6745</v>
      </c>
      <c r="O350" s="22" t="s">
        <v>9288</v>
      </c>
      <c r="P350" s="22" t="s">
        <v>6745</v>
      </c>
      <c r="Q350" s="22" t="s">
        <v>9288</v>
      </c>
      <c r="R350" s="22" t="s">
        <v>9289</v>
      </c>
      <c r="S350" s="25"/>
      <c r="T350" s="40" t="s">
        <v>9290</v>
      </c>
      <c r="U350" s="22" t="s">
        <v>9291</v>
      </c>
      <c r="V350" s="24"/>
      <c r="W350" s="22" t="s">
        <v>9292</v>
      </c>
      <c r="X350" s="22" t="s">
        <v>9293</v>
      </c>
      <c r="Y350" s="24"/>
      <c r="Z350" s="24"/>
      <c r="AA350" s="22" t="s">
        <v>8129</v>
      </c>
      <c r="AB350" s="22" t="s">
        <v>8130</v>
      </c>
      <c r="AC350" s="25"/>
      <c r="AD350" s="22" t="s">
        <v>8161</v>
      </c>
      <c r="AE350" s="22" t="s">
        <v>8132</v>
      </c>
      <c r="AF350" s="25"/>
      <c r="AG350" s="22">
        <v>1.0449013440835E13</v>
      </c>
      <c r="AH350" s="22" t="s">
        <v>90</v>
      </c>
      <c r="AI350" s="22">
        <v>7.462690226499E12</v>
      </c>
      <c r="AJ350" s="25"/>
      <c r="AK350" s="25"/>
      <c r="AL350" s="22" t="s">
        <v>8243</v>
      </c>
      <c r="AQ350" s="32" t="s">
        <v>95</v>
      </c>
      <c r="AR350" s="32" t="b">
        <v>0</v>
      </c>
      <c r="AS350" s="32" t="b">
        <v>0</v>
      </c>
    </row>
    <row r="351">
      <c r="A351" s="21" t="s">
        <v>9287</v>
      </c>
      <c r="B351" s="24"/>
      <c r="C351" s="24"/>
      <c r="D351" s="22" t="s">
        <v>8305</v>
      </c>
      <c r="E351" s="24"/>
      <c r="F351" s="22" t="s">
        <v>8149</v>
      </c>
      <c r="G351" s="24"/>
      <c r="H351" s="22">
        <v>9.505561542979E12</v>
      </c>
      <c r="I351" s="24"/>
      <c r="J351" s="24"/>
      <c r="K351" s="24"/>
      <c r="L351" s="29"/>
      <c r="M351" s="24"/>
      <c r="N351" s="22" t="s">
        <v>6745</v>
      </c>
      <c r="O351" s="22" t="s">
        <v>9288</v>
      </c>
      <c r="P351" s="22" t="s">
        <v>6745</v>
      </c>
      <c r="Q351" s="22" t="s">
        <v>9288</v>
      </c>
      <c r="R351" s="22" t="s">
        <v>9289</v>
      </c>
      <c r="S351" s="25"/>
      <c r="T351" s="40" t="s">
        <v>9290</v>
      </c>
      <c r="U351" s="22" t="s">
        <v>9291</v>
      </c>
      <c r="V351" s="24"/>
      <c r="W351" s="22" t="s">
        <v>9292</v>
      </c>
      <c r="X351" s="22" t="s">
        <v>9293</v>
      </c>
      <c r="Y351" s="24"/>
      <c r="Z351" s="24"/>
      <c r="AA351" s="22" t="s">
        <v>8129</v>
      </c>
      <c r="AB351" s="22" t="s">
        <v>8130</v>
      </c>
      <c r="AC351" s="25"/>
      <c r="AD351" s="24"/>
      <c r="AE351" s="22" t="s">
        <v>8132</v>
      </c>
      <c r="AF351" s="25"/>
      <c r="AG351" s="22">
        <v>1.0449013440835E13</v>
      </c>
      <c r="AH351" s="22" t="s">
        <v>8137</v>
      </c>
      <c r="AI351" s="22">
        <v>7.462690226499E12</v>
      </c>
      <c r="AJ351" s="25"/>
      <c r="AK351" s="25"/>
      <c r="AL351" s="22" t="s">
        <v>8149</v>
      </c>
      <c r="AQ351" s="32"/>
      <c r="AR351" s="32" t="b">
        <v>0</v>
      </c>
      <c r="AS351" s="32" t="b">
        <v>0</v>
      </c>
    </row>
    <row r="352">
      <c r="A352" s="21" t="s">
        <v>9294</v>
      </c>
      <c r="B352" s="22" t="s">
        <v>8140</v>
      </c>
      <c r="C352" s="22">
        <v>1.0</v>
      </c>
      <c r="D352" s="22" t="s">
        <v>8212</v>
      </c>
      <c r="E352" s="22" t="s">
        <v>8140</v>
      </c>
      <c r="F352" s="22" t="s">
        <v>8121</v>
      </c>
      <c r="G352" s="24"/>
      <c r="H352" s="22">
        <v>3.2725665677635E13</v>
      </c>
      <c r="I352" s="24"/>
      <c r="J352" s="24"/>
      <c r="K352" s="22">
        <v>4.2085703581939E13</v>
      </c>
      <c r="L352" s="29"/>
      <c r="M352" s="24"/>
      <c r="N352" s="22" t="s">
        <v>4424</v>
      </c>
      <c r="O352" s="22" t="s">
        <v>9295</v>
      </c>
      <c r="P352" s="22" t="s">
        <v>9296</v>
      </c>
      <c r="Q352" s="22" t="s">
        <v>9297</v>
      </c>
      <c r="R352" s="22" t="s">
        <v>9298</v>
      </c>
      <c r="S352" s="25"/>
      <c r="T352" s="40" t="s">
        <v>9299</v>
      </c>
      <c r="U352" s="22" t="s">
        <v>9300</v>
      </c>
      <c r="V352" s="24"/>
      <c r="W352" s="22" t="s">
        <v>9301</v>
      </c>
      <c r="X352" s="22" t="s">
        <v>9302</v>
      </c>
      <c r="Y352" s="24"/>
      <c r="Z352" s="24"/>
      <c r="AA352" s="22" t="s">
        <v>8129</v>
      </c>
      <c r="AB352" s="22" t="s">
        <v>8130</v>
      </c>
      <c r="AC352" s="25"/>
      <c r="AD352" s="22" t="s">
        <v>8131</v>
      </c>
      <c r="AE352" s="22" t="s">
        <v>8132</v>
      </c>
      <c r="AF352" s="25"/>
      <c r="AG352" s="22">
        <v>1.0449119510851E13</v>
      </c>
      <c r="AH352" s="22" t="s">
        <v>90</v>
      </c>
      <c r="AI352" s="22">
        <v>5.972614447347E12</v>
      </c>
      <c r="AJ352" s="25"/>
      <c r="AK352" s="25"/>
      <c r="AL352" s="22" t="s">
        <v>8134</v>
      </c>
      <c r="AQ352" s="32" t="s">
        <v>8150</v>
      </c>
      <c r="AR352" s="32" t="b">
        <v>0</v>
      </c>
      <c r="AS352" s="32" t="b">
        <v>0</v>
      </c>
    </row>
    <row r="353">
      <c r="A353" s="21" t="s">
        <v>9294</v>
      </c>
      <c r="B353" s="24"/>
      <c r="C353" s="24"/>
      <c r="D353" s="22" t="s">
        <v>8212</v>
      </c>
      <c r="E353" s="24"/>
      <c r="F353" s="22" t="s">
        <v>8136</v>
      </c>
      <c r="G353" s="24"/>
      <c r="H353" s="22">
        <v>9.505663418691E12</v>
      </c>
      <c r="I353" s="24"/>
      <c r="J353" s="24"/>
      <c r="K353" s="24"/>
      <c r="L353" s="29"/>
      <c r="M353" s="24"/>
      <c r="N353" s="22" t="s">
        <v>4424</v>
      </c>
      <c r="O353" s="22" t="s">
        <v>9295</v>
      </c>
      <c r="P353" s="22" t="s">
        <v>9296</v>
      </c>
      <c r="Q353" s="22" t="s">
        <v>9297</v>
      </c>
      <c r="R353" s="22" t="s">
        <v>9298</v>
      </c>
      <c r="S353" s="24"/>
      <c r="T353" s="40" t="s">
        <v>9299</v>
      </c>
      <c r="U353" s="22" t="s">
        <v>9300</v>
      </c>
      <c r="V353" s="24"/>
      <c r="W353" s="22" t="s">
        <v>9301</v>
      </c>
      <c r="X353" s="22" t="s">
        <v>9302</v>
      </c>
      <c r="Y353" s="24"/>
      <c r="Z353" s="24"/>
      <c r="AA353" s="22" t="s">
        <v>8129</v>
      </c>
      <c r="AB353" s="22" t="s">
        <v>8130</v>
      </c>
      <c r="AC353" s="25"/>
      <c r="AD353" s="24"/>
      <c r="AE353" s="22" t="s">
        <v>8132</v>
      </c>
      <c r="AF353" s="25"/>
      <c r="AG353" s="22">
        <v>1.0449119510851E13</v>
      </c>
      <c r="AH353" s="22" t="s">
        <v>8137</v>
      </c>
      <c r="AI353" s="22">
        <v>5.972614447347E12</v>
      </c>
      <c r="AJ353" s="25"/>
      <c r="AK353" s="25"/>
      <c r="AL353" s="22" t="s">
        <v>8136</v>
      </c>
      <c r="AQ353" s="32"/>
      <c r="AR353" s="32" t="b">
        <v>0</v>
      </c>
      <c r="AS353" s="32" t="b">
        <v>0</v>
      </c>
    </row>
    <row r="354">
      <c r="A354" s="21" t="s">
        <v>9303</v>
      </c>
      <c r="B354" s="22" t="s">
        <v>8370</v>
      </c>
      <c r="C354" s="22">
        <v>1.0</v>
      </c>
      <c r="D354" s="22" t="s">
        <v>8186</v>
      </c>
      <c r="E354" s="22" t="s">
        <v>8370</v>
      </c>
      <c r="F354" s="22" t="s">
        <v>8155</v>
      </c>
      <c r="G354" s="24"/>
      <c r="H354" s="22">
        <v>3.2726020456771E13</v>
      </c>
      <c r="I354" s="24"/>
      <c r="J354" s="22" t="s">
        <v>9304</v>
      </c>
      <c r="K354" s="22">
        <v>4.9521175494979E13</v>
      </c>
      <c r="L354" s="29"/>
      <c r="M354" s="24"/>
      <c r="N354" s="22" t="s">
        <v>9305</v>
      </c>
      <c r="O354" s="22" t="s">
        <v>9306</v>
      </c>
      <c r="P354" s="22" t="s">
        <v>9305</v>
      </c>
      <c r="Q354" s="22" t="s">
        <v>9306</v>
      </c>
      <c r="R354" s="22" t="s">
        <v>9307</v>
      </c>
      <c r="S354" s="24"/>
      <c r="T354" s="40" t="s">
        <v>9308</v>
      </c>
      <c r="U354" s="22" t="s">
        <v>9309</v>
      </c>
      <c r="V354" s="24"/>
      <c r="W354" s="22" t="s">
        <v>9310</v>
      </c>
      <c r="X354" s="22" t="s">
        <v>9311</v>
      </c>
      <c r="Y354" s="24"/>
      <c r="Z354" s="24"/>
      <c r="AA354" s="22" t="s">
        <v>8129</v>
      </c>
      <c r="AB354" s="22" t="s">
        <v>8130</v>
      </c>
      <c r="AC354" s="25"/>
      <c r="AD354" s="22" t="s">
        <v>8161</v>
      </c>
      <c r="AE354" s="22" t="s">
        <v>8132</v>
      </c>
      <c r="AF354" s="25"/>
      <c r="AG354" s="22">
        <v>1.0449280237891E13</v>
      </c>
      <c r="AH354" s="22" t="s">
        <v>90</v>
      </c>
      <c r="AI354" s="22">
        <v>2.3414360703299E13</v>
      </c>
      <c r="AJ354" s="25"/>
      <c r="AK354" s="25"/>
      <c r="AL354" s="22" t="s">
        <v>8138</v>
      </c>
      <c r="AQ354" s="32" t="s">
        <v>91</v>
      </c>
      <c r="AR354" s="32" t="b">
        <v>0</v>
      </c>
      <c r="AS354" s="32" t="b">
        <v>1</v>
      </c>
    </row>
    <row r="355">
      <c r="A355" s="21" t="s">
        <v>9303</v>
      </c>
      <c r="B355" s="24"/>
      <c r="C355" s="24"/>
      <c r="D355" s="22" t="s">
        <v>8186</v>
      </c>
      <c r="E355" s="24"/>
      <c r="F355" s="22" t="s">
        <v>8149</v>
      </c>
      <c r="G355" s="24"/>
      <c r="H355" s="22">
        <v>9.505801699651E12</v>
      </c>
      <c r="I355" s="24"/>
      <c r="J355" s="24"/>
      <c r="K355" s="24"/>
      <c r="L355" s="29"/>
      <c r="M355" s="24"/>
      <c r="N355" s="22" t="s">
        <v>9305</v>
      </c>
      <c r="O355" s="22" t="s">
        <v>9306</v>
      </c>
      <c r="P355" s="22" t="s">
        <v>9305</v>
      </c>
      <c r="Q355" s="22" t="s">
        <v>9306</v>
      </c>
      <c r="R355" s="22" t="s">
        <v>9307</v>
      </c>
      <c r="S355" s="25"/>
      <c r="T355" s="40" t="s">
        <v>9308</v>
      </c>
      <c r="U355" s="22" t="s">
        <v>9309</v>
      </c>
      <c r="V355" s="24"/>
      <c r="W355" s="22" t="s">
        <v>9310</v>
      </c>
      <c r="X355" s="22" t="s">
        <v>9311</v>
      </c>
      <c r="Y355" s="24"/>
      <c r="Z355" s="24"/>
      <c r="AA355" s="22" t="s">
        <v>8129</v>
      </c>
      <c r="AB355" s="22" t="s">
        <v>8130</v>
      </c>
      <c r="AC355" s="25"/>
      <c r="AD355" s="24"/>
      <c r="AE355" s="22" t="s">
        <v>8132</v>
      </c>
      <c r="AF355" s="25"/>
      <c r="AG355" s="22">
        <v>1.0449280237891E13</v>
      </c>
      <c r="AH355" s="22" t="s">
        <v>8137</v>
      </c>
      <c r="AI355" s="22">
        <v>2.3414360703299E13</v>
      </c>
      <c r="AJ355" s="25"/>
      <c r="AK355" s="25"/>
      <c r="AL355" s="22" t="s">
        <v>8149</v>
      </c>
      <c r="AQ355" s="32"/>
      <c r="AR355" s="32" t="b">
        <v>0</v>
      </c>
      <c r="AS355" s="32" t="b">
        <v>0</v>
      </c>
    </row>
    <row r="356">
      <c r="A356" s="21" t="s">
        <v>9312</v>
      </c>
      <c r="B356" s="22" t="s">
        <v>8211</v>
      </c>
      <c r="C356" s="22">
        <v>1.0</v>
      </c>
      <c r="D356" s="22" t="s">
        <v>8212</v>
      </c>
      <c r="E356" s="22" t="s">
        <v>8211</v>
      </c>
      <c r="F356" s="22" t="s">
        <v>8155</v>
      </c>
      <c r="G356" s="24"/>
      <c r="H356" s="22">
        <v>3.2726102180163E13</v>
      </c>
      <c r="I356" s="24"/>
      <c r="J356" s="24"/>
      <c r="K356" s="22">
        <v>4.7338059727171E13</v>
      </c>
      <c r="L356" s="29"/>
      <c r="M356" s="24"/>
      <c r="N356" s="22" t="s">
        <v>4147</v>
      </c>
      <c r="O356" s="22" t="s">
        <v>9313</v>
      </c>
      <c r="P356" s="22" t="s">
        <v>4147</v>
      </c>
      <c r="Q356" s="22" t="s">
        <v>9313</v>
      </c>
      <c r="R356" s="22" t="s">
        <v>9314</v>
      </c>
      <c r="S356" s="25"/>
      <c r="T356" s="40" t="s">
        <v>9315</v>
      </c>
      <c r="U356" s="22" t="s">
        <v>9316</v>
      </c>
      <c r="V356" s="24"/>
      <c r="W356" s="22" t="s">
        <v>9317</v>
      </c>
      <c r="X356" s="22" t="s">
        <v>9318</v>
      </c>
      <c r="Y356" s="24"/>
      <c r="Z356" s="24"/>
      <c r="AA356" s="22" t="s">
        <v>8129</v>
      </c>
      <c r="AB356" s="22" t="s">
        <v>8130</v>
      </c>
      <c r="AC356" s="25"/>
      <c r="AD356" s="22" t="s">
        <v>8161</v>
      </c>
      <c r="AE356" s="22" t="s">
        <v>8132</v>
      </c>
      <c r="AF356" s="25"/>
      <c r="AG356" s="22">
        <v>1.0449318347075E13</v>
      </c>
      <c r="AH356" s="22" t="s">
        <v>90</v>
      </c>
      <c r="AI356" s="22">
        <v>2.3414395765059E13</v>
      </c>
      <c r="AJ356" s="25"/>
      <c r="AK356" s="25"/>
      <c r="AL356" s="22" t="s">
        <v>8151</v>
      </c>
      <c r="AQ356" s="32" t="s">
        <v>54</v>
      </c>
      <c r="AR356" s="32" t="b">
        <v>0</v>
      </c>
      <c r="AS356" s="32" t="b">
        <v>0</v>
      </c>
    </row>
    <row r="357">
      <c r="A357" s="21" t="s">
        <v>9312</v>
      </c>
      <c r="B357" s="24"/>
      <c r="C357" s="24"/>
      <c r="D357" s="22" t="s">
        <v>8212</v>
      </c>
      <c r="E357" s="24"/>
      <c r="F357" s="22" t="s">
        <v>8149</v>
      </c>
      <c r="G357" s="24"/>
      <c r="H357" s="22">
        <v>9.505831485763E12</v>
      </c>
      <c r="I357" s="24"/>
      <c r="J357" s="24"/>
      <c r="K357" s="24"/>
      <c r="L357" s="29"/>
      <c r="M357" s="24"/>
      <c r="N357" s="22" t="s">
        <v>4147</v>
      </c>
      <c r="O357" s="22" t="s">
        <v>9313</v>
      </c>
      <c r="P357" s="22" t="s">
        <v>4147</v>
      </c>
      <c r="Q357" s="22" t="s">
        <v>9313</v>
      </c>
      <c r="R357" s="22" t="s">
        <v>9314</v>
      </c>
      <c r="S357" s="24"/>
      <c r="T357" s="40" t="s">
        <v>9315</v>
      </c>
      <c r="U357" s="22" t="s">
        <v>9316</v>
      </c>
      <c r="V357" s="24"/>
      <c r="W357" s="22" t="s">
        <v>9317</v>
      </c>
      <c r="X357" s="22" t="s">
        <v>9318</v>
      </c>
      <c r="Y357" s="24"/>
      <c r="Z357" s="24"/>
      <c r="AA357" s="22" t="s">
        <v>8129</v>
      </c>
      <c r="AB357" s="22" t="s">
        <v>8130</v>
      </c>
      <c r="AC357" s="25"/>
      <c r="AD357" s="25"/>
      <c r="AE357" s="22" t="s">
        <v>8132</v>
      </c>
      <c r="AF357" s="25"/>
      <c r="AG357" s="22">
        <v>1.0449318347075E13</v>
      </c>
      <c r="AH357" s="22" t="s">
        <v>8137</v>
      </c>
      <c r="AI357" s="22">
        <v>2.3414395765059E13</v>
      </c>
      <c r="AJ357" s="25"/>
      <c r="AK357" s="25"/>
      <c r="AL357" s="22" t="s">
        <v>8149</v>
      </c>
      <c r="AR357" s="32" t="b">
        <v>0</v>
      </c>
      <c r="AS357" s="32" t="b">
        <v>0</v>
      </c>
    </row>
    <row r="358">
      <c r="A358" s="21" t="s">
        <v>9319</v>
      </c>
      <c r="B358" s="22" t="s">
        <v>8140</v>
      </c>
      <c r="C358" s="22">
        <v>1.0</v>
      </c>
      <c r="D358" s="22" t="s">
        <v>8141</v>
      </c>
      <c r="E358" s="22" t="s">
        <v>8140</v>
      </c>
      <c r="F358" s="22" t="s">
        <v>8121</v>
      </c>
      <c r="G358" s="24"/>
      <c r="H358" s="22">
        <v>3.2726441984323E13</v>
      </c>
      <c r="I358" s="24"/>
      <c r="J358" s="24"/>
      <c r="K358" s="22">
        <v>4.2085703581939E13</v>
      </c>
      <c r="L358" s="29"/>
      <c r="M358" s="24"/>
      <c r="N358" s="22" t="s">
        <v>9320</v>
      </c>
      <c r="O358" s="22" t="s">
        <v>9321</v>
      </c>
      <c r="P358" s="22" t="s">
        <v>9320</v>
      </c>
      <c r="Q358" s="22" t="s">
        <v>9321</v>
      </c>
      <c r="R358" s="22" t="s">
        <v>9322</v>
      </c>
      <c r="S358" s="25"/>
      <c r="T358" s="40" t="s">
        <v>9323</v>
      </c>
      <c r="U358" s="22" t="s">
        <v>9324</v>
      </c>
      <c r="V358" s="24"/>
      <c r="W358" s="22" t="s">
        <v>9325</v>
      </c>
      <c r="X358" s="22" t="s">
        <v>8289</v>
      </c>
      <c r="Y358" s="24"/>
      <c r="Z358" s="24"/>
      <c r="AA358" s="22" t="s">
        <v>8129</v>
      </c>
      <c r="AB358" s="22" t="s">
        <v>8130</v>
      </c>
      <c r="AC358" s="25"/>
      <c r="AD358" s="22" t="s">
        <v>8131</v>
      </c>
      <c r="AE358" s="22" t="s">
        <v>8132</v>
      </c>
      <c r="AF358" s="25"/>
      <c r="AG358" s="22">
        <v>1.0449460363587E13</v>
      </c>
      <c r="AH358" s="22" t="s">
        <v>90</v>
      </c>
      <c r="AI358" s="22">
        <v>2.3414516318531E13</v>
      </c>
      <c r="AJ358" s="25"/>
      <c r="AK358" s="25"/>
      <c r="AL358" s="22" t="s">
        <v>8134</v>
      </c>
      <c r="AQ358" s="32" t="s">
        <v>8150</v>
      </c>
      <c r="AR358" s="32" t="b">
        <v>0</v>
      </c>
      <c r="AS358" s="32" t="b">
        <v>0</v>
      </c>
    </row>
    <row r="359">
      <c r="A359" s="21" t="s">
        <v>9319</v>
      </c>
      <c r="B359" s="24"/>
      <c r="C359" s="24"/>
      <c r="D359" s="22" t="s">
        <v>8141</v>
      </c>
      <c r="E359" s="24"/>
      <c r="F359" s="22" t="s">
        <v>8136</v>
      </c>
      <c r="G359" s="24"/>
      <c r="H359" s="22">
        <v>9.505937555779E12</v>
      </c>
      <c r="I359" s="24"/>
      <c r="J359" s="24"/>
      <c r="K359" s="24"/>
      <c r="L359" s="29"/>
      <c r="M359" s="24"/>
      <c r="N359" s="22" t="s">
        <v>9320</v>
      </c>
      <c r="O359" s="22" t="s">
        <v>9321</v>
      </c>
      <c r="P359" s="22" t="s">
        <v>9320</v>
      </c>
      <c r="Q359" s="22" t="s">
        <v>9321</v>
      </c>
      <c r="R359" s="22" t="s">
        <v>9322</v>
      </c>
      <c r="S359" s="25"/>
      <c r="T359" s="40" t="s">
        <v>9323</v>
      </c>
      <c r="U359" s="22" t="s">
        <v>9324</v>
      </c>
      <c r="V359" s="24"/>
      <c r="W359" s="22" t="s">
        <v>9325</v>
      </c>
      <c r="X359" s="22" t="s">
        <v>8289</v>
      </c>
      <c r="Y359" s="24"/>
      <c r="Z359" s="24"/>
      <c r="AA359" s="22" t="s">
        <v>8129</v>
      </c>
      <c r="AB359" s="22" t="s">
        <v>8130</v>
      </c>
      <c r="AC359" s="25"/>
      <c r="AD359" s="24"/>
      <c r="AE359" s="22" t="s">
        <v>8132</v>
      </c>
      <c r="AF359" s="25"/>
      <c r="AG359" s="22">
        <v>1.0449460363587E13</v>
      </c>
      <c r="AH359" s="22" t="s">
        <v>8137</v>
      </c>
      <c r="AI359" s="22">
        <v>2.3414516318531E13</v>
      </c>
      <c r="AJ359" s="25"/>
      <c r="AK359" s="25"/>
      <c r="AL359" s="22" t="s">
        <v>8136</v>
      </c>
      <c r="AQ359" s="32"/>
      <c r="AR359" s="32" t="b">
        <v>0</v>
      </c>
      <c r="AS359" s="32" t="b">
        <v>0</v>
      </c>
    </row>
    <row r="360">
      <c r="A360" s="21" t="s">
        <v>9326</v>
      </c>
      <c r="B360" s="22" t="s">
        <v>8140</v>
      </c>
      <c r="C360" s="22">
        <v>1.0</v>
      </c>
      <c r="D360" s="22" t="s">
        <v>8371</v>
      </c>
      <c r="E360" s="22" t="s">
        <v>8140</v>
      </c>
      <c r="F360" s="22" t="s">
        <v>8121</v>
      </c>
      <c r="G360" s="24"/>
      <c r="H360" s="22">
        <v>3.2725362016579E13</v>
      </c>
      <c r="I360" s="24"/>
      <c r="J360" s="24"/>
      <c r="K360" s="22">
        <v>4.2085703581939E13</v>
      </c>
      <c r="L360" s="29"/>
      <c r="M360" s="24"/>
      <c r="N360" s="22" t="s">
        <v>4619</v>
      </c>
      <c r="O360" s="22" t="s">
        <v>7839</v>
      </c>
      <c r="P360" s="22" t="s">
        <v>4619</v>
      </c>
      <c r="Q360" s="22" t="s">
        <v>7839</v>
      </c>
      <c r="R360" s="22" t="s">
        <v>9327</v>
      </c>
      <c r="S360" s="25"/>
      <c r="T360" s="40" t="s">
        <v>9328</v>
      </c>
      <c r="U360" s="22" t="s">
        <v>9329</v>
      </c>
      <c r="V360" s="24"/>
      <c r="W360" s="22" t="s">
        <v>9330</v>
      </c>
      <c r="X360" s="22" t="s">
        <v>8367</v>
      </c>
      <c r="Y360" s="24"/>
      <c r="Z360" s="24"/>
      <c r="AA360" s="22" t="s">
        <v>8129</v>
      </c>
      <c r="AB360" s="22" t="s">
        <v>8130</v>
      </c>
      <c r="AC360" s="25"/>
      <c r="AD360" s="22" t="s">
        <v>8131</v>
      </c>
      <c r="AE360" s="22" t="s">
        <v>8132</v>
      </c>
      <c r="AF360" s="25"/>
      <c r="AG360" s="22">
        <v>1.0448982704451E13</v>
      </c>
      <c r="AH360" s="22" t="s">
        <v>90</v>
      </c>
      <c r="AI360" s="22">
        <v>2.3414031843651E13</v>
      </c>
      <c r="AJ360" s="25"/>
      <c r="AK360" s="25"/>
      <c r="AL360" s="22" t="s">
        <v>8134</v>
      </c>
      <c r="AQ360" s="32" t="s">
        <v>8150</v>
      </c>
      <c r="AR360" s="32" t="b">
        <v>0</v>
      </c>
      <c r="AS360" s="32" t="b">
        <v>0</v>
      </c>
    </row>
    <row r="361">
      <c r="A361" s="21" t="s">
        <v>9326</v>
      </c>
      <c r="B361" s="25"/>
      <c r="C361" s="25"/>
      <c r="D361" s="22" t="s">
        <v>8371</v>
      </c>
      <c r="E361" s="25"/>
      <c r="F361" s="22" t="s">
        <v>8136</v>
      </c>
      <c r="G361" s="25"/>
      <c r="H361" s="22">
        <v>9.505532313923E12</v>
      </c>
      <c r="I361" s="25"/>
      <c r="J361" s="25"/>
      <c r="K361" s="25"/>
      <c r="L361" s="25"/>
      <c r="M361" s="25"/>
      <c r="N361" s="22" t="s">
        <v>4619</v>
      </c>
      <c r="O361" s="22" t="s">
        <v>7839</v>
      </c>
      <c r="P361" s="22" t="s">
        <v>4619</v>
      </c>
      <c r="Q361" s="22" t="s">
        <v>7839</v>
      </c>
      <c r="R361" s="22" t="s">
        <v>9327</v>
      </c>
      <c r="S361" s="25"/>
      <c r="T361" s="40" t="s">
        <v>9328</v>
      </c>
      <c r="U361" s="22" t="s">
        <v>9329</v>
      </c>
      <c r="V361" s="25"/>
      <c r="W361" s="22" t="s">
        <v>9330</v>
      </c>
      <c r="X361" s="22" t="s">
        <v>8367</v>
      </c>
      <c r="Y361" s="25"/>
      <c r="Z361" s="25"/>
      <c r="AA361" s="22" t="s">
        <v>8129</v>
      </c>
      <c r="AB361" s="22" t="s">
        <v>8130</v>
      </c>
      <c r="AC361" s="25"/>
      <c r="AD361" s="25"/>
      <c r="AE361" s="22" t="s">
        <v>8132</v>
      </c>
      <c r="AF361" s="25"/>
      <c r="AG361" s="22">
        <v>1.0448982704451E13</v>
      </c>
      <c r="AH361" s="22" t="s">
        <v>8137</v>
      </c>
      <c r="AI361" s="22">
        <v>2.3414031843651E13</v>
      </c>
      <c r="AJ361" s="25"/>
      <c r="AK361" s="25"/>
      <c r="AL361" s="22" t="s">
        <v>8136</v>
      </c>
      <c r="AR361" s="32" t="b">
        <v>0</v>
      </c>
      <c r="AS361" s="32" t="b">
        <v>0</v>
      </c>
    </row>
    <row r="362">
      <c r="A362" s="21" t="s">
        <v>9331</v>
      </c>
      <c r="B362" s="22" t="s">
        <v>8467</v>
      </c>
      <c r="C362" s="22">
        <v>1.0</v>
      </c>
      <c r="D362" s="22" t="s">
        <v>8221</v>
      </c>
      <c r="E362" s="22" t="s">
        <v>8467</v>
      </c>
      <c r="F362" s="22" t="s">
        <v>8155</v>
      </c>
      <c r="G362" s="25"/>
      <c r="H362" s="22">
        <v>3.2726931767619E13</v>
      </c>
      <c r="I362" s="25"/>
      <c r="J362" s="25"/>
      <c r="K362" s="22">
        <v>4.9521175462211E13</v>
      </c>
      <c r="L362" s="25"/>
      <c r="M362" s="25"/>
      <c r="N362" s="22" t="s">
        <v>3814</v>
      </c>
      <c r="O362" s="22" t="s">
        <v>9332</v>
      </c>
      <c r="P362" s="22" t="s">
        <v>3814</v>
      </c>
      <c r="Q362" s="22" t="s">
        <v>9332</v>
      </c>
      <c r="R362" s="22" t="s">
        <v>9333</v>
      </c>
      <c r="S362" s="25"/>
      <c r="T362" s="40" t="s">
        <v>9334</v>
      </c>
      <c r="U362" s="22" t="s">
        <v>9335</v>
      </c>
      <c r="V362" s="25"/>
      <c r="W362" s="22" t="s">
        <v>9336</v>
      </c>
      <c r="X362" s="22" t="s">
        <v>8747</v>
      </c>
      <c r="Y362" s="25"/>
      <c r="Z362" s="25"/>
      <c r="AA362" s="22" t="s">
        <v>8129</v>
      </c>
      <c r="AB362" s="22" t="s">
        <v>8130</v>
      </c>
      <c r="AC362" s="25"/>
      <c r="AD362" s="22" t="s">
        <v>8161</v>
      </c>
      <c r="AE362" s="22" t="s">
        <v>8132</v>
      </c>
      <c r="AF362" s="25"/>
      <c r="AG362" s="22">
        <v>1.0449656676675E13</v>
      </c>
      <c r="AH362" s="22" t="s">
        <v>90</v>
      </c>
      <c r="AI362" s="22">
        <v>8.620199870787E12</v>
      </c>
      <c r="AJ362" s="25"/>
      <c r="AK362" s="25"/>
      <c r="AL362" s="22" t="s">
        <v>8173</v>
      </c>
      <c r="AQ362" s="32" t="s">
        <v>55</v>
      </c>
      <c r="AR362" s="32" t="b">
        <v>0</v>
      </c>
      <c r="AS362" s="32" t="b">
        <v>1</v>
      </c>
    </row>
    <row r="363">
      <c r="A363" s="21" t="s">
        <v>9331</v>
      </c>
      <c r="B363" s="25"/>
      <c r="C363" s="25"/>
      <c r="D363" s="22" t="s">
        <v>8221</v>
      </c>
      <c r="E363" s="25"/>
      <c r="F363" s="22" t="s">
        <v>8149</v>
      </c>
      <c r="G363" s="25"/>
      <c r="H363" s="22">
        <v>9.506078196035E12</v>
      </c>
      <c r="I363" s="25"/>
      <c r="J363" s="25"/>
      <c r="K363" s="25"/>
      <c r="L363" s="25"/>
      <c r="M363" s="25"/>
      <c r="N363" s="22" t="s">
        <v>3814</v>
      </c>
      <c r="O363" s="22" t="s">
        <v>9332</v>
      </c>
      <c r="P363" s="22" t="s">
        <v>3814</v>
      </c>
      <c r="Q363" s="22" t="s">
        <v>9332</v>
      </c>
      <c r="R363" s="22" t="s">
        <v>9333</v>
      </c>
      <c r="S363" s="25"/>
      <c r="T363" s="40" t="s">
        <v>9334</v>
      </c>
      <c r="U363" s="22" t="s">
        <v>9335</v>
      </c>
      <c r="V363" s="25"/>
      <c r="W363" s="22" t="s">
        <v>9336</v>
      </c>
      <c r="X363" s="22" t="s">
        <v>8747</v>
      </c>
      <c r="Y363" s="25"/>
      <c r="Z363" s="25"/>
      <c r="AA363" s="22" t="s">
        <v>8129</v>
      </c>
      <c r="AB363" s="22" t="s">
        <v>8130</v>
      </c>
      <c r="AC363" s="25"/>
      <c r="AD363" s="25"/>
      <c r="AE363" s="22" t="s">
        <v>8132</v>
      </c>
      <c r="AF363" s="25"/>
      <c r="AG363" s="22">
        <v>1.0449656676675E13</v>
      </c>
      <c r="AH363" s="22" t="s">
        <v>8137</v>
      </c>
      <c r="AI363" s="22">
        <v>8.620199870787E12</v>
      </c>
      <c r="AJ363" s="25"/>
      <c r="AK363" s="25"/>
      <c r="AL363" s="22" t="s">
        <v>8149</v>
      </c>
      <c r="AR363" s="32" t="b">
        <v>0</v>
      </c>
      <c r="AS363" s="32" t="b">
        <v>0</v>
      </c>
    </row>
    <row r="364">
      <c r="A364" s="21" t="s">
        <v>9337</v>
      </c>
      <c r="B364" s="22" t="s">
        <v>8262</v>
      </c>
      <c r="C364" s="22">
        <v>1.0</v>
      </c>
      <c r="D364" s="22" t="s">
        <v>8212</v>
      </c>
      <c r="E364" s="22" t="s">
        <v>8262</v>
      </c>
      <c r="F364" s="22" t="s">
        <v>8155</v>
      </c>
      <c r="G364" s="25"/>
      <c r="H364" s="22">
        <v>3.2727222288707E13</v>
      </c>
      <c r="I364" s="25"/>
      <c r="J364" s="25"/>
      <c r="K364" s="22">
        <v>4.7338059792707E13</v>
      </c>
      <c r="L364" s="25"/>
      <c r="M364" s="25"/>
      <c r="N364" s="22" t="s">
        <v>7401</v>
      </c>
      <c r="O364" s="22" t="s">
        <v>9338</v>
      </c>
      <c r="P364" s="22" t="s">
        <v>7401</v>
      </c>
      <c r="Q364" s="22" t="s">
        <v>9338</v>
      </c>
      <c r="R364" s="22" t="s">
        <v>9339</v>
      </c>
      <c r="S364" s="25"/>
      <c r="T364" s="40" t="s">
        <v>9340</v>
      </c>
      <c r="U364" s="22" t="s">
        <v>9341</v>
      </c>
      <c r="V364" s="25"/>
      <c r="W364" s="22" t="s">
        <v>9342</v>
      </c>
      <c r="X364" s="22" t="s">
        <v>9343</v>
      </c>
      <c r="Y364" s="25"/>
      <c r="Z364" s="25"/>
      <c r="AA364" s="22" t="s">
        <v>8129</v>
      </c>
      <c r="AB364" s="22" t="s">
        <v>8130</v>
      </c>
      <c r="AC364" s="25"/>
      <c r="AD364" s="22" t="s">
        <v>8161</v>
      </c>
      <c r="AE364" s="22" t="s">
        <v>8132</v>
      </c>
      <c r="AF364" s="25"/>
      <c r="AG364" s="22">
        <v>1.0449780670787E13</v>
      </c>
      <c r="AH364" s="22" t="s">
        <v>90</v>
      </c>
      <c r="AI364" s="22">
        <v>2.3414790193475E13</v>
      </c>
      <c r="AJ364" s="25"/>
      <c r="AK364" s="25"/>
      <c r="AL364" s="22" t="s">
        <v>8269</v>
      </c>
      <c r="AQ364" s="32" t="s">
        <v>91</v>
      </c>
      <c r="AR364" s="32" t="b">
        <v>0</v>
      </c>
      <c r="AS364" s="32" t="b">
        <v>0</v>
      </c>
    </row>
    <row r="365">
      <c r="A365" s="21" t="s">
        <v>9337</v>
      </c>
      <c r="B365" s="25"/>
      <c r="C365" s="25"/>
      <c r="D365" s="22" t="s">
        <v>8212</v>
      </c>
      <c r="E365" s="25"/>
      <c r="F365" s="22" t="s">
        <v>8149</v>
      </c>
      <c r="G365" s="25"/>
      <c r="H365" s="22">
        <v>9.506163523907E12</v>
      </c>
      <c r="I365" s="25"/>
      <c r="J365" s="25"/>
      <c r="K365" s="25"/>
      <c r="L365" s="25"/>
      <c r="M365" s="25"/>
      <c r="N365" s="22" t="s">
        <v>7401</v>
      </c>
      <c r="O365" s="22" t="s">
        <v>9338</v>
      </c>
      <c r="P365" s="22" t="s">
        <v>7401</v>
      </c>
      <c r="Q365" s="22" t="s">
        <v>9338</v>
      </c>
      <c r="R365" s="22" t="s">
        <v>9339</v>
      </c>
      <c r="S365" s="25"/>
      <c r="T365" s="40" t="s">
        <v>9340</v>
      </c>
      <c r="U365" s="22" t="s">
        <v>9341</v>
      </c>
      <c r="V365" s="25"/>
      <c r="W365" s="22" t="s">
        <v>9342</v>
      </c>
      <c r="X365" s="22" t="s">
        <v>9343</v>
      </c>
      <c r="Y365" s="25"/>
      <c r="Z365" s="25"/>
      <c r="AA365" s="22" t="s">
        <v>8129</v>
      </c>
      <c r="AB365" s="22" t="s">
        <v>8130</v>
      </c>
      <c r="AC365" s="25"/>
      <c r="AD365" s="25"/>
      <c r="AE365" s="22" t="s">
        <v>8132</v>
      </c>
      <c r="AF365" s="25"/>
      <c r="AG365" s="22">
        <v>1.0449780670787E13</v>
      </c>
      <c r="AH365" s="22" t="s">
        <v>8137</v>
      </c>
      <c r="AI365" s="22">
        <v>2.3414790193475E13</v>
      </c>
      <c r="AJ365" s="25"/>
      <c r="AK365" s="25"/>
      <c r="AL365" s="22" t="s">
        <v>8149</v>
      </c>
      <c r="AR365" s="32" t="b">
        <v>0</v>
      </c>
      <c r="AS365" s="32" t="b">
        <v>0</v>
      </c>
    </row>
    <row r="366">
      <c r="A366" s="21" t="s">
        <v>9344</v>
      </c>
      <c r="B366" s="22" t="s">
        <v>8140</v>
      </c>
      <c r="C366" s="22">
        <v>1.0</v>
      </c>
      <c r="D366" s="22" t="s">
        <v>8278</v>
      </c>
      <c r="E366" s="22" t="s">
        <v>8140</v>
      </c>
      <c r="F366" s="22" t="s">
        <v>8121</v>
      </c>
      <c r="G366" s="25"/>
      <c r="H366" s="22">
        <v>3.2727533093187E13</v>
      </c>
      <c r="I366" s="25"/>
      <c r="J366" s="25"/>
      <c r="K366" s="22">
        <v>4.2085703581939E13</v>
      </c>
      <c r="L366" s="25"/>
      <c r="M366" s="25"/>
      <c r="N366" s="22" t="s">
        <v>8020</v>
      </c>
      <c r="O366" s="22" t="s">
        <v>9345</v>
      </c>
      <c r="P366" s="22" t="s">
        <v>8020</v>
      </c>
      <c r="Q366" s="22" t="s">
        <v>9345</v>
      </c>
      <c r="R366" s="22" t="s">
        <v>9346</v>
      </c>
      <c r="S366" s="25"/>
      <c r="T366" s="40" t="s">
        <v>9347</v>
      </c>
      <c r="U366" s="22" t="s">
        <v>9348</v>
      </c>
      <c r="V366" s="25"/>
      <c r="W366" s="22" t="s">
        <v>9349</v>
      </c>
      <c r="X366" s="22" t="s">
        <v>8242</v>
      </c>
      <c r="Y366" s="25"/>
      <c r="Z366" s="25"/>
      <c r="AA366" s="22" t="s">
        <v>8129</v>
      </c>
      <c r="AB366" s="22" t="s">
        <v>8130</v>
      </c>
      <c r="AC366" s="25"/>
      <c r="AD366" s="22" t="s">
        <v>8131</v>
      </c>
      <c r="AE366" s="22" t="s">
        <v>8132</v>
      </c>
      <c r="AF366" s="25"/>
      <c r="AG366" s="22">
        <v>1.0449915609411E13</v>
      </c>
      <c r="AH366" s="22" t="s">
        <v>90</v>
      </c>
      <c r="AI366" s="22">
        <v>7.453842637123E12</v>
      </c>
      <c r="AJ366" s="25"/>
      <c r="AK366" s="25"/>
      <c r="AL366" s="22" t="s">
        <v>8134</v>
      </c>
      <c r="AQ366" s="32" t="s">
        <v>8150</v>
      </c>
      <c r="AR366" s="32" t="b">
        <v>0</v>
      </c>
      <c r="AS366" s="32" t="b">
        <v>0</v>
      </c>
    </row>
    <row r="367">
      <c r="A367" s="21" t="s">
        <v>9344</v>
      </c>
      <c r="B367" s="25"/>
      <c r="C367" s="25"/>
      <c r="D367" s="22" t="s">
        <v>8278</v>
      </c>
      <c r="E367" s="25"/>
      <c r="F367" s="22" t="s">
        <v>8136</v>
      </c>
      <c r="G367" s="25"/>
      <c r="H367" s="22">
        <v>9.506256650563E12</v>
      </c>
      <c r="I367" s="25"/>
      <c r="J367" s="25"/>
      <c r="K367" s="25"/>
      <c r="L367" s="25"/>
      <c r="M367" s="25"/>
      <c r="N367" s="22" t="s">
        <v>8020</v>
      </c>
      <c r="O367" s="22" t="s">
        <v>9345</v>
      </c>
      <c r="P367" s="22" t="s">
        <v>8020</v>
      </c>
      <c r="Q367" s="22" t="s">
        <v>9345</v>
      </c>
      <c r="R367" s="22" t="s">
        <v>9346</v>
      </c>
      <c r="S367" s="25"/>
      <c r="T367" s="40" t="s">
        <v>9347</v>
      </c>
      <c r="U367" s="22" t="s">
        <v>9348</v>
      </c>
      <c r="V367" s="25"/>
      <c r="W367" s="22" t="s">
        <v>9349</v>
      </c>
      <c r="X367" s="22" t="s">
        <v>8242</v>
      </c>
      <c r="Y367" s="25"/>
      <c r="Z367" s="25"/>
      <c r="AA367" s="22" t="s">
        <v>8129</v>
      </c>
      <c r="AB367" s="22" t="s">
        <v>8130</v>
      </c>
      <c r="AC367" s="25"/>
      <c r="AD367" s="25"/>
      <c r="AE367" s="22" t="s">
        <v>8132</v>
      </c>
      <c r="AF367" s="25"/>
      <c r="AG367" s="22">
        <v>1.0449915609411E13</v>
      </c>
      <c r="AH367" s="22" t="s">
        <v>8137</v>
      </c>
      <c r="AI367" s="22">
        <v>7.453842637123E12</v>
      </c>
      <c r="AJ367" s="25"/>
      <c r="AK367" s="25"/>
      <c r="AL367" s="22" t="s">
        <v>8136</v>
      </c>
      <c r="AR367" s="32" t="b">
        <v>0</v>
      </c>
      <c r="AS367" s="32" t="b">
        <v>0</v>
      </c>
    </row>
    <row r="368">
      <c r="A368" s="21" t="s">
        <v>9350</v>
      </c>
      <c r="B368" s="22" t="s">
        <v>8140</v>
      </c>
      <c r="C368" s="22">
        <v>1.0</v>
      </c>
      <c r="D368" s="22" t="s">
        <v>8212</v>
      </c>
      <c r="E368" s="22" t="s">
        <v>8140</v>
      </c>
      <c r="F368" s="22" t="s">
        <v>8121</v>
      </c>
      <c r="G368" s="25"/>
      <c r="H368" s="22">
        <v>3.2727722557763E13</v>
      </c>
      <c r="I368" s="25"/>
      <c r="J368" s="25"/>
      <c r="K368" s="22">
        <v>4.2085703581939E13</v>
      </c>
      <c r="L368" s="25"/>
      <c r="M368" s="25"/>
      <c r="N368" s="22" t="s">
        <v>9351</v>
      </c>
      <c r="O368" s="22" t="s">
        <v>9352</v>
      </c>
      <c r="P368" s="22" t="s">
        <v>9351</v>
      </c>
      <c r="Q368" s="22" t="s">
        <v>9352</v>
      </c>
      <c r="R368" s="22" t="s">
        <v>9353</v>
      </c>
      <c r="S368" s="25"/>
      <c r="T368" s="40" t="s">
        <v>9354</v>
      </c>
      <c r="U368" s="22" t="s">
        <v>9355</v>
      </c>
      <c r="V368" s="25"/>
      <c r="W368" s="22" t="s">
        <v>9356</v>
      </c>
      <c r="X368" s="22" t="s">
        <v>8289</v>
      </c>
      <c r="Y368" s="25"/>
      <c r="Z368" s="25"/>
      <c r="AA368" s="22" t="s">
        <v>8129</v>
      </c>
      <c r="AB368" s="22" t="s">
        <v>8130</v>
      </c>
      <c r="AC368" s="25"/>
      <c r="AD368" s="22" t="s">
        <v>8131</v>
      </c>
      <c r="AE368" s="22" t="s">
        <v>8132</v>
      </c>
      <c r="AF368" s="25"/>
      <c r="AG368" s="22">
        <v>1.0450000609603E13</v>
      </c>
      <c r="AH368" s="22" t="s">
        <v>90</v>
      </c>
      <c r="AI368" s="22">
        <v>2.3415050699075E13</v>
      </c>
      <c r="AJ368" s="25"/>
      <c r="AK368" s="25"/>
      <c r="AL368" s="22" t="s">
        <v>8134</v>
      </c>
      <c r="AQ368" s="32" t="s">
        <v>8150</v>
      </c>
      <c r="AR368" s="32" t="b">
        <v>0</v>
      </c>
      <c r="AS368" s="32" t="b">
        <v>0</v>
      </c>
    </row>
    <row r="369">
      <c r="A369" s="21" t="s">
        <v>9350</v>
      </c>
      <c r="B369" s="25"/>
      <c r="C369" s="25"/>
      <c r="D369" s="22" t="s">
        <v>8212</v>
      </c>
      <c r="E369" s="25"/>
      <c r="F369" s="22" t="s">
        <v>8136</v>
      </c>
      <c r="G369" s="25"/>
      <c r="H369" s="22">
        <v>9.506313142595E12</v>
      </c>
      <c r="I369" s="25"/>
      <c r="J369" s="25"/>
      <c r="K369" s="25"/>
      <c r="L369" s="25"/>
      <c r="M369" s="25"/>
      <c r="N369" s="22" t="s">
        <v>9351</v>
      </c>
      <c r="O369" s="22" t="s">
        <v>9352</v>
      </c>
      <c r="P369" s="22" t="s">
        <v>9351</v>
      </c>
      <c r="Q369" s="22" t="s">
        <v>9352</v>
      </c>
      <c r="R369" s="22" t="s">
        <v>9353</v>
      </c>
      <c r="S369" s="25"/>
      <c r="T369" s="40" t="s">
        <v>9354</v>
      </c>
      <c r="U369" s="22" t="s">
        <v>9355</v>
      </c>
      <c r="V369" s="25"/>
      <c r="W369" s="22" t="s">
        <v>9356</v>
      </c>
      <c r="X369" s="22" t="s">
        <v>8289</v>
      </c>
      <c r="Y369" s="25"/>
      <c r="Z369" s="25"/>
      <c r="AA369" s="22" t="s">
        <v>8129</v>
      </c>
      <c r="AB369" s="22" t="s">
        <v>8130</v>
      </c>
      <c r="AC369" s="25"/>
      <c r="AD369" s="25"/>
      <c r="AE369" s="22" t="s">
        <v>8132</v>
      </c>
      <c r="AF369" s="25"/>
      <c r="AG369" s="22">
        <v>1.0450000609603E13</v>
      </c>
      <c r="AH369" s="22" t="s">
        <v>8137</v>
      </c>
      <c r="AI369" s="22">
        <v>2.3415050699075E13</v>
      </c>
      <c r="AJ369" s="25"/>
      <c r="AK369" s="25"/>
      <c r="AL369" s="22" t="s">
        <v>8136</v>
      </c>
      <c r="AR369" s="32" t="b">
        <v>0</v>
      </c>
      <c r="AS369" s="32" t="b">
        <v>0</v>
      </c>
    </row>
    <row r="370">
      <c r="A370" s="21" t="s">
        <v>9357</v>
      </c>
      <c r="B370" s="22" t="s">
        <v>8707</v>
      </c>
      <c r="C370" s="22">
        <v>1.0</v>
      </c>
      <c r="D370" s="22" t="s">
        <v>8581</v>
      </c>
      <c r="E370" s="22" t="s">
        <v>8707</v>
      </c>
      <c r="F370" s="22" t="s">
        <v>8155</v>
      </c>
      <c r="G370" s="25"/>
      <c r="H370" s="22">
        <v>3.2727728914755E13</v>
      </c>
      <c r="I370" s="25"/>
      <c r="J370" s="25"/>
      <c r="K370" s="22">
        <v>4.9521175429443E13</v>
      </c>
      <c r="L370" s="25"/>
      <c r="M370" s="25"/>
      <c r="N370" s="22" t="s">
        <v>9358</v>
      </c>
      <c r="O370" s="22" t="s">
        <v>9359</v>
      </c>
      <c r="P370" s="22" t="s">
        <v>9358</v>
      </c>
      <c r="Q370" s="22" t="s">
        <v>9359</v>
      </c>
      <c r="R370" s="22" t="s">
        <v>9360</v>
      </c>
      <c r="S370" s="25"/>
      <c r="T370" s="40" t="s">
        <v>9361</v>
      </c>
      <c r="U370" s="22" t="s">
        <v>9362</v>
      </c>
      <c r="V370" s="25"/>
      <c r="W370" s="22" t="s">
        <v>9363</v>
      </c>
      <c r="X370" s="22" t="s">
        <v>8289</v>
      </c>
      <c r="Y370" s="25"/>
      <c r="Z370" s="25"/>
      <c r="AA370" s="22" t="s">
        <v>8129</v>
      </c>
      <c r="AB370" s="22" t="s">
        <v>8130</v>
      </c>
      <c r="AC370" s="25"/>
      <c r="AD370" s="22" t="s">
        <v>8161</v>
      </c>
      <c r="AE370" s="22" t="s">
        <v>8132</v>
      </c>
      <c r="AF370" s="25"/>
      <c r="AG370" s="22">
        <v>1.0450002903363E13</v>
      </c>
      <c r="AH370" s="22" t="s">
        <v>90</v>
      </c>
      <c r="AI370" s="22">
        <v>2.3415053254979E13</v>
      </c>
      <c r="AJ370" s="25"/>
      <c r="AK370" s="25"/>
      <c r="AL370" s="22" t="s">
        <v>8336</v>
      </c>
      <c r="AQ370" s="32" t="s">
        <v>54</v>
      </c>
      <c r="AR370" s="32" t="b">
        <v>0</v>
      </c>
      <c r="AS370" s="32" t="b">
        <v>1</v>
      </c>
    </row>
    <row r="371">
      <c r="A371" s="21" t="s">
        <v>9357</v>
      </c>
      <c r="B371" s="25"/>
      <c r="C371" s="25"/>
      <c r="D371" s="22" t="s">
        <v>8581</v>
      </c>
      <c r="E371" s="25"/>
      <c r="F371" s="22" t="s">
        <v>8149</v>
      </c>
      <c r="G371" s="25"/>
      <c r="H371" s="22">
        <v>9.506314682691E12</v>
      </c>
      <c r="I371" s="25"/>
      <c r="J371" s="25"/>
      <c r="K371" s="25"/>
      <c r="L371" s="25"/>
      <c r="M371" s="25"/>
      <c r="N371" s="22" t="s">
        <v>9358</v>
      </c>
      <c r="O371" s="22" t="s">
        <v>9359</v>
      </c>
      <c r="P371" s="22" t="s">
        <v>9358</v>
      </c>
      <c r="Q371" s="22" t="s">
        <v>9359</v>
      </c>
      <c r="R371" s="22" t="s">
        <v>9360</v>
      </c>
      <c r="S371" s="25"/>
      <c r="T371" s="40" t="s">
        <v>9361</v>
      </c>
      <c r="U371" s="22" t="s">
        <v>9362</v>
      </c>
      <c r="V371" s="25"/>
      <c r="W371" s="22" t="s">
        <v>9363</v>
      </c>
      <c r="X371" s="22" t="s">
        <v>8289</v>
      </c>
      <c r="Y371" s="25"/>
      <c r="Z371" s="25"/>
      <c r="AA371" s="22" t="s">
        <v>8129</v>
      </c>
      <c r="AB371" s="22" t="s">
        <v>8130</v>
      </c>
      <c r="AC371" s="25"/>
      <c r="AD371" s="25"/>
      <c r="AE371" s="22" t="s">
        <v>8132</v>
      </c>
      <c r="AF371" s="25"/>
      <c r="AG371" s="22">
        <v>1.0450002903363E13</v>
      </c>
      <c r="AH371" s="22" t="s">
        <v>8137</v>
      </c>
      <c r="AI371" s="22">
        <v>2.3415053254979E13</v>
      </c>
      <c r="AJ371" s="25"/>
      <c r="AK371" s="25"/>
      <c r="AL371" s="22" t="s">
        <v>8149</v>
      </c>
      <c r="AR371" s="32" t="b">
        <v>0</v>
      </c>
      <c r="AS371" s="32" t="b">
        <v>0</v>
      </c>
    </row>
    <row r="372">
      <c r="A372" s="21" t="s">
        <v>9364</v>
      </c>
      <c r="B372" s="22" t="s">
        <v>8467</v>
      </c>
      <c r="C372" s="22">
        <v>1.0</v>
      </c>
      <c r="D372" s="22" t="s">
        <v>8221</v>
      </c>
      <c r="E372" s="22" t="s">
        <v>8467</v>
      </c>
      <c r="F372" s="22" t="s">
        <v>8155</v>
      </c>
      <c r="G372" s="25"/>
      <c r="H372" s="22">
        <v>3.2726731030851E13</v>
      </c>
      <c r="I372" s="25"/>
      <c r="J372" s="25"/>
      <c r="K372" s="22">
        <v>4.9521175462211E13</v>
      </c>
      <c r="L372" s="25"/>
      <c r="M372" s="25"/>
      <c r="N372" s="22" t="s">
        <v>5516</v>
      </c>
      <c r="O372" s="22" t="s">
        <v>9365</v>
      </c>
      <c r="P372" s="22" t="s">
        <v>5516</v>
      </c>
      <c r="Q372" s="22" t="s">
        <v>9365</v>
      </c>
      <c r="R372" s="22" t="s">
        <v>9366</v>
      </c>
      <c r="S372" s="25"/>
      <c r="T372" s="40" t="s">
        <v>9367</v>
      </c>
      <c r="U372" s="22" t="s">
        <v>9368</v>
      </c>
      <c r="V372" s="22" t="s">
        <v>9369</v>
      </c>
      <c r="W372" s="22" t="s">
        <v>9370</v>
      </c>
      <c r="X372" s="22" t="s">
        <v>8289</v>
      </c>
      <c r="Y372" s="25"/>
      <c r="Z372" s="25"/>
      <c r="AA372" s="22" t="s">
        <v>8129</v>
      </c>
      <c r="AB372" s="22" t="s">
        <v>8130</v>
      </c>
      <c r="AC372" s="25"/>
      <c r="AD372" s="22" t="s">
        <v>8161</v>
      </c>
      <c r="AE372" s="22" t="s">
        <v>8132</v>
      </c>
      <c r="AF372" s="25"/>
      <c r="AG372" s="22">
        <v>1.0449574166851E13</v>
      </c>
      <c r="AH372" s="22" t="s">
        <v>90</v>
      </c>
      <c r="AI372" s="22">
        <v>2.3414611607875E13</v>
      </c>
      <c r="AJ372" s="25"/>
      <c r="AK372" s="25"/>
      <c r="AL372" s="22" t="s">
        <v>8173</v>
      </c>
      <c r="AQ372" s="32" t="s">
        <v>55</v>
      </c>
      <c r="AR372" s="32" t="b">
        <v>0</v>
      </c>
      <c r="AS372" s="32" t="b">
        <v>1</v>
      </c>
    </row>
    <row r="373">
      <c r="A373" s="21" t="s">
        <v>9364</v>
      </c>
      <c r="B373" s="25"/>
      <c r="C373" s="25"/>
      <c r="D373" s="22" t="s">
        <v>8221</v>
      </c>
      <c r="E373" s="25"/>
      <c r="F373" s="22" t="s">
        <v>8149</v>
      </c>
      <c r="G373" s="25"/>
      <c r="H373" s="22">
        <v>9.506020524355E12</v>
      </c>
      <c r="I373" s="25"/>
      <c r="J373" s="25"/>
      <c r="K373" s="25"/>
      <c r="L373" s="25"/>
      <c r="M373" s="25"/>
      <c r="N373" s="22" t="s">
        <v>5516</v>
      </c>
      <c r="O373" s="22" t="s">
        <v>9365</v>
      </c>
      <c r="P373" s="22" t="s">
        <v>5516</v>
      </c>
      <c r="Q373" s="22" t="s">
        <v>9365</v>
      </c>
      <c r="R373" s="22" t="s">
        <v>9366</v>
      </c>
      <c r="S373" s="25"/>
      <c r="T373" s="40" t="s">
        <v>9367</v>
      </c>
      <c r="U373" s="22" t="s">
        <v>9368</v>
      </c>
      <c r="V373" s="22" t="s">
        <v>9369</v>
      </c>
      <c r="W373" s="22" t="s">
        <v>9370</v>
      </c>
      <c r="X373" s="22" t="s">
        <v>8289</v>
      </c>
      <c r="Y373" s="25"/>
      <c r="Z373" s="25"/>
      <c r="AA373" s="22" t="s">
        <v>8129</v>
      </c>
      <c r="AB373" s="22" t="s">
        <v>8130</v>
      </c>
      <c r="AC373" s="25"/>
      <c r="AD373" s="25"/>
      <c r="AE373" s="22" t="s">
        <v>8132</v>
      </c>
      <c r="AF373" s="25"/>
      <c r="AG373" s="22">
        <v>1.0449574166851E13</v>
      </c>
      <c r="AH373" s="22" t="s">
        <v>8137</v>
      </c>
      <c r="AI373" s="22">
        <v>2.3414611607875E13</v>
      </c>
      <c r="AJ373" s="25"/>
      <c r="AK373" s="25"/>
      <c r="AL373" s="22" t="s">
        <v>8149</v>
      </c>
      <c r="AR373" s="32" t="b">
        <v>0</v>
      </c>
      <c r="AS373" s="32" t="b">
        <v>0</v>
      </c>
    </row>
    <row r="374">
      <c r="A374" s="21" t="s">
        <v>9371</v>
      </c>
      <c r="B374" s="22" t="s">
        <v>8119</v>
      </c>
      <c r="C374" s="22">
        <v>1.0</v>
      </c>
      <c r="D374" s="22" t="s">
        <v>8221</v>
      </c>
      <c r="E374" s="22" t="s">
        <v>8119</v>
      </c>
      <c r="F374" s="22" t="s">
        <v>8121</v>
      </c>
      <c r="G374" s="25"/>
      <c r="H374" s="22">
        <v>3.2721327489347E13</v>
      </c>
      <c r="I374" s="25"/>
      <c r="J374" s="25"/>
      <c r="K374" s="22">
        <v>4.2085703549171E13</v>
      </c>
      <c r="L374" s="25"/>
      <c r="M374" s="25"/>
      <c r="N374" s="22" t="s">
        <v>6862</v>
      </c>
      <c r="O374" s="22" t="s">
        <v>9372</v>
      </c>
      <c r="P374" s="22" t="s">
        <v>6862</v>
      </c>
      <c r="Q374" s="22" t="s">
        <v>9372</v>
      </c>
      <c r="R374" s="22" t="s">
        <v>9373</v>
      </c>
      <c r="S374" s="25"/>
      <c r="T374" s="40" t="s">
        <v>9374</v>
      </c>
      <c r="U374" s="22" t="s">
        <v>9375</v>
      </c>
      <c r="V374" s="24"/>
      <c r="W374" s="22" t="s">
        <v>9376</v>
      </c>
      <c r="X374" s="22" t="s">
        <v>9377</v>
      </c>
      <c r="Y374" s="25"/>
      <c r="Z374" s="25"/>
      <c r="AA374" s="22" t="s">
        <v>8129</v>
      </c>
      <c r="AB374" s="22" t="s">
        <v>8130</v>
      </c>
      <c r="AC374" s="25"/>
      <c r="AD374" s="22" t="s">
        <v>8131</v>
      </c>
      <c r="AE374" s="22" t="s">
        <v>8132</v>
      </c>
      <c r="AF374" s="25"/>
      <c r="AG374" s="22">
        <v>1.0447161590083E13</v>
      </c>
      <c r="AH374" s="22" t="s">
        <v>90</v>
      </c>
      <c r="AI374" s="22">
        <v>2.3411141378371E13</v>
      </c>
      <c r="AJ374" s="25"/>
      <c r="AK374" s="25"/>
      <c r="AL374" s="22" t="s">
        <v>8133</v>
      </c>
      <c r="AQ374" s="32" t="s">
        <v>8135</v>
      </c>
      <c r="AR374" s="32" t="b">
        <v>0</v>
      </c>
      <c r="AS374" s="32" t="b">
        <v>0</v>
      </c>
    </row>
    <row r="375">
      <c r="A375" s="21" t="s">
        <v>9371</v>
      </c>
      <c r="B375" s="25"/>
      <c r="C375" s="25"/>
      <c r="D375" s="22" t="s">
        <v>8221</v>
      </c>
      <c r="E375" s="25"/>
      <c r="F375" s="22" t="s">
        <v>8136</v>
      </c>
      <c r="G375" s="25"/>
      <c r="H375" s="22">
        <v>9.503971868995E12</v>
      </c>
      <c r="I375" s="25"/>
      <c r="J375" s="25"/>
      <c r="K375" s="25"/>
      <c r="L375" s="25"/>
      <c r="M375" s="25"/>
      <c r="N375" s="22" t="s">
        <v>6862</v>
      </c>
      <c r="O375" s="22" t="s">
        <v>9372</v>
      </c>
      <c r="P375" s="22" t="s">
        <v>6862</v>
      </c>
      <c r="Q375" s="22" t="s">
        <v>9372</v>
      </c>
      <c r="R375" s="22" t="s">
        <v>9373</v>
      </c>
      <c r="S375" s="25"/>
      <c r="T375" s="40" t="s">
        <v>9374</v>
      </c>
      <c r="U375" s="22" t="s">
        <v>9375</v>
      </c>
      <c r="V375" s="24"/>
      <c r="W375" s="22" t="s">
        <v>9376</v>
      </c>
      <c r="X375" s="22" t="s">
        <v>9377</v>
      </c>
      <c r="Y375" s="25"/>
      <c r="Z375" s="25"/>
      <c r="AA375" s="22" t="s">
        <v>8129</v>
      </c>
      <c r="AB375" s="22" t="s">
        <v>8130</v>
      </c>
      <c r="AC375" s="25"/>
      <c r="AD375" s="25"/>
      <c r="AE375" s="22" t="s">
        <v>8132</v>
      </c>
      <c r="AF375" s="25"/>
      <c r="AG375" s="22">
        <v>1.0447161590083E13</v>
      </c>
      <c r="AH375" s="22" t="s">
        <v>8137</v>
      </c>
      <c r="AI375" s="22">
        <v>2.3411141378371E13</v>
      </c>
      <c r="AJ375" s="25"/>
      <c r="AK375" s="25"/>
      <c r="AL375" s="22" t="s">
        <v>8136</v>
      </c>
      <c r="AR375" s="32" t="b">
        <v>0</v>
      </c>
      <c r="AS375" s="32" t="b">
        <v>0</v>
      </c>
    </row>
    <row r="376">
      <c r="A376" s="21" t="s">
        <v>9378</v>
      </c>
      <c r="B376" s="22" t="s">
        <v>8119</v>
      </c>
      <c r="C376" s="22">
        <v>1.0</v>
      </c>
      <c r="D376" s="22" t="s">
        <v>8175</v>
      </c>
      <c r="E376" s="22" t="s">
        <v>8119</v>
      </c>
      <c r="F376" s="22" t="s">
        <v>8121</v>
      </c>
      <c r="G376" s="22" t="s">
        <v>89</v>
      </c>
      <c r="H376" s="22">
        <v>3.2719026159939E13</v>
      </c>
      <c r="I376" s="22" t="s">
        <v>89</v>
      </c>
      <c r="J376" s="25"/>
      <c r="K376" s="22">
        <v>4.2085703549171E13</v>
      </c>
      <c r="L376" s="25"/>
      <c r="M376" s="25"/>
      <c r="N376" s="22" t="s">
        <v>5508</v>
      </c>
      <c r="O376" s="22" t="s">
        <v>9379</v>
      </c>
      <c r="P376" s="22" t="s">
        <v>9380</v>
      </c>
      <c r="Q376" s="22" t="s">
        <v>9381</v>
      </c>
      <c r="R376" s="22" t="s">
        <v>9382</v>
      </c>
      <c r="S376" s="22" t="s">
        <v>9383</v>
      </c>
      <c r="T376" s="40" t="s">
        <v>9384</v>
      </c>
      <c r="U376" s="22" t="s">
        <v>9385</v>
      </c>
      <c r="V376" s="25"/>
      <c r="W376" s="22" t="s">
        <v>9386</v>
      </c>
      <c r="X376" s="22" t="s">
        <v>8663</v>
      </c>
      <c r="Y376" s="25"/>
      <c r="Z376" s="25"/>
      <c r="AA376" s="22" t="s">
        <v>8129</v>
      </c>
      <c r="AB376" s="22" t="s">
        <v>8130</v>
      </c>
      <c r="AC376" s="25"/>
      <c r="AD376" s="22" t="s">
        <v>8131</v>
      </c>
      <c r="AE376" s="22" t="s">
        <v>8132</v>
      </c>
      <c r="AF376" s="25"/>
      <c r="AG376" s="22">
        <v>1.0446108197187E13</v>
      </c>
      <c r="AH376" s="22" t="s">
        <v>90</v>
      </c>
      <c r="AI376" s="22">
        <v>6.478896333043E12</v>
      </c>
      <c r="AJ376" s="25"/>
      <c r="AK376" s="25"/>
      <c r="AL376" s="22" t="s">
        <v>8133</v>
      </c>
      <c r="AQ376" s="32" t="s">
        <v>8135</v>
      </c>
      <c r="AR376" s="32" t="b">
        <v>0</v>
      </c>
      <c r="AS376" s="32" t="b">
        <v>0</v>
      </c>
    </row>
    <row r="377">
      <c r="A377" s="21" t="s">
        <v>9378</v>
      </c>
      <c r="B377" s="25"/>
      <c r="C377" s="25"/>
      <c r="D377" s="22" t="s">
        <v>8175</v>
      </c>
      <c r="E377" s="25"/>
      <c r="F377" s="22" t="s">
        <v>8136</v>
      </c>
      <c r="G377" s="25"/>
      <c r="H377" s="22">
        <v>9.503038538051E12</v>
      </c>
      <c r="I377" s="22" t="s">
        <v>89</v>
      </c>
      <c r="J377" s="25"/>
      <c r="K377" s="25"/>
      <c r="L377" s="25"/>
      <c r="M377" s="25"/>
      <c r="N377" s="22" t="s">
        <v>5508</v>
      </c>
      <c r="O377" s="22" t="s">
        <v>9379</v>
      </c>
      <c r="P377" s="22" t="s">
        <v>9380</v>
      </c>
      <c r="Q377" s="22" t="s">
        <v>9381</v>
      </c>
      <c r="R377" s="22" t="s">
        <v>9382</v>
      </c>
      <c r="S377" s="22" t="s">
        <v>9383</v>
      </c>
      <c r="T377" s="40" t="s">
        <v>9384</v>
      </c>
      <c r="U377" s="22" t="s">
        <v>9385</v>
      </c>
      <c r="V377" s="25"/>
      <c r="W377" s="22" t="s">
        <v>9386</v>
      </c>
      <c r="X377" s="22" t="s">
        <v>8663</v>
      </c>
      <c r="Y377" s="25"/>
      <c r="Z377" s="25"/>
      <c r="AA377" s="22" t="s">
        <v>8129</v>
      </c>
      <c r="AB377" s="22" t="s">
        <v>8130</v>
      </c>
      <c r="AC377" s="25"/>
      <c r="AD377" s="25"/>
      <c r="AE377" s="22" t="s">
        <v>8132</v>
      </c>
      <c r="AF377" s="25"/>
      <c r="AG377" s="22">
        <v>1.0446108197187E13</v>
      </c>
      <c r="AH377" s="22" t="s">
        <v>8137</v>
      </c>
      <c r="AI377" s="22">
        <v>6.478896333043E12</v>
      </c>
      <c r="AJ377" s="25"/>
      <c r="AK377" s="25"/>
      <c r="AL377" s="22" t="s">
        <v>8136</v>
      </c>
      <c r="AR377" s="32" t="b">
        <v>0</v>
      </c>
      <c r="AS377" s="32" t="b">
        <v>0</v>
      </c>
    </row>
    <row r="378">
      <c r="A378" s="21" t="s">
        <v>9378</v>
      </c>
      <c r="B378" s="22" t="s">
        <v>8119</v>
      </c>
      <c r="C378" s="22">
        <v>-1.0</v>
      </c>
      <c r="D378" s="22" t="s">
        <v>8175</v>
      </c>
      <c r="E378" s="22" t="s">
        <v>8119</v>
      </c>
      <c r="F378" s="22" t="s">
        <v>8121</v>
      </c>
      <c r="G378" s="22" t="s">
        <v>89</v>
      </c>
      <c r="H378" s="22">
        <v>3.2719026159939E13</v>
      </c>
      <c r="I378" s="22" t="s">
        <v>89</v>
      </c>
      <c r="J378" s="25"/>
      <c r="K378" s="22">
        <v>4.2085703549171E13</v>
      </c>
      <c r="L378" s="22" t="s">
        <v>8182</v>
      </c>
      <c r="M378" s="35" t="s">
        <v>9387</v>
      </c>
      <c r="N378" s="22" t="s">
        <v>5508</v>
      </c>
      <c r="O378" s="22" t="s">
        <v>9379</v>
      </c>
      <c r="P378" s="22" t="s">
        <v>9380</v>
      </c>
      <c r="Q378" s="22" t="s">
        <v>9381</v>
      </c>
      <c r="R378" s="22" t="s">
        <v>9382</v>
      </c>
      <c r="S378" s="22" t="s">
        <v>9383</v>
      </c>
      <c r="T378" s="40" t="s">
        <v>9384</v>
      </c>
      <c r="U378" s="22" t="s">
        <v>9385</v>
      </c>
      <c r="V378" s="25"/>
      <c r="W378" s="22" t="s">
        <v>9386</v>
      </c>
      <c r="X378" s="22" t="s">
        <v>8663</v>
      </c>
      <c r="Y378" s="25"/>
      <c r="Z378" s="25"/>
      <c r="AA378" s="22" t="s">
        <v>8129</v>
      </c>
      <c r="AB378" s="22" t="s">
        <v>8130</v>
      </c>
      <c r="AC378" s="25"/>
      <c r="AD378" s="22" t="s">
        <v>8131</v>
      </c>
      <c r="AE378" s="22" t="s">
        <v>8132</v>
      </c>
      <c r="AF378" s="25"/>
      <c r="AG378" s="22">
        <v>1.0446108197187E13</v>
      </c>
      <c r="AH378" s="22" t="s">
        <v>8184</v>
      </c>
      <c r="AI378" s="22">
        <v>6.478896333043E12</v>
      </c>
      <c r="AJ378" s="25"/>
      <c r="AK378" s="22">
        <v>6.714600489283E12</v>
      </c>
      <c r="AL378" s="22" t="s">
        <v>8133</v>
      </c>
      <c r="AQ378" s="32" t="s">
        <v>8135</v>
      </c>
      <c r="AR378" s="32" t="b">
        <v>0</v>
      </c>
      <c r="AS378" s="32" t="b">
        <v>0</v>
      </c>
    </row>
    <row r="379">
      <c r="A379" s="21" t="s">
        <v>9388</v>
      </c>
      <c r="B379" s="22" t="s">
        <v>8153</v>
      </c>
      <c r="C379" s="22">
        <v>1.0</v>
      </c>
      <c r="D379" s="22" t="s">
        <v>8212</v>
      </c>
      <c r="E379" s="22" t="s">
        <v>8153</v>
      </c>
      <c r="F379" s="22" t="s">
        <v>8155</v>
      </c>
      <c r="G379" s="25"/>
      <c r="H379" s="22">
        <v>3.2729283854659E13</v>
      </c>
      <c r="I379" s="25"/>
      <c r="J379" s="25"/>
      <c r="K379" s="22">
        <v>4.7338059759939E13</v>
      </c>
      <c r="L379" s="25"/>
      <c r="M379" s="25"/>
      <c r="N379" s="22" t="s">
        <v>3734</v>
      </c>
      <c r="O379" s="22" t="s">
        <v>9389</v>
      </c>
      <c r="P379" s="22" t="s">
        <v>3734</v>
      </c>
      <c r="Q379" s="22" t="s">
        <v>9389</v>
      </c>
      <c r="R379" s="22" t="s">
        <v>9390</v>
      </c>
      <c r="S379" s="25"/>
      <c r="T379" s="40" t="s">
        <v>9391</v>
      </c>
      <c r="U379" s="22" t="s">
        <v>9392</v>
      </c>
      <c r="V379" s="25"/>
      <c r="W379" s="22" t="s">
        <v>9393</v>
      </c>
      <c r="X379" s="22" t="s">
        <v>4664</v>
      </c>
      <c r="Y379" s="25"/>
      <c r="Z379" s="25"/>
      <c r="AA379" s="22" t="s">
        <v>8129</v>
      </c>
      <c r="AB379" s="22" t="s">
        <v>8130</v>
      </c>
      <c r="AC379" s="25"/>
      <c r="AD379" s="22" t="s">
        <v>8161</v>
      </c>
      <c r="AE379" s="22" t="s">
        <v>8132</v>
      </c>
      <c r="AF379" s="25"/>
      <c r="AG379" s="22">
        <v>1.0450680054083E13</v>
      </c>
      <c r="AH379" s="22" t="s">
        <v>90</v>
      </c>
      <c r="AI379" s="22">
        <v>2.3415777329475E13</v>
      </c>
      <c r="AJ379" s="25"/>
      <c r="AK379" s="25"/>
      <c r="AL379" s="22" t="s">
        <v>8162</v>
      </c>
      <c r="AQ379" s="32" t="s">
        <v>55</v>
      </c>
      <c r="AR379" s="32" t="b">
        <v>0</v>
      </c>
      <c r="AS379" s="32" t="b">
        <v>0</v>
      </c>
    </row>
    <row r="380">
      <c r="A380" s="21" t="s">
        <v>9388</v>
      </c>
      <c r="B380" s="24"/>
      <c r="C380" s="24"/>
      <c r="D380" s="22" t="s">
        <v>8212</v>
      </c>
      <c r="E380" s="24"/>
      <c r="F380" s="22" t="s">
        <v>8149</v>
      </c>
      <c r="G380" s="25"/>
      <c r="H380" s="22">
        <v>9.506878619971E12</v>
      </c>
      <c r="I380" s="25"/>
      <c r="J380" s="25"/>
      <c r="K380" s="24"/>
      <c r="L380" s="25"/>
      <c r="M380" s="25"/>
      <c r="N380" s="22" t="s">
        <v>3734</v>
      </c>
      <c r="O380" s="22" t="s">
        <v>9389</v>
      </c>
      <c r="P380" s="22" t="s">
        <v>3734</v>
      </c>
      <c r="Q380" s="22" t="s">
        <v>9389</v>
      </c>
      <c r="R380" s="22" t="s">
        <v>9390</v>
      </c>
      <c r="S380" s="25"/>
      <c r="T380" s="40" t="s">
        <v>9391</v>
      </c>
      <c r="U380" s="22" t="s">
        <v>9392</v>
      </c>
      <c r="V380" s="25"/>
      <c r="W380" s="22" t="s">
        <v>9393</v>
      </c>
      <c r="X380" s="22" t="s">
        <v>4664</v>
      </c>
      <c r="Y380" s="25"/>
      <c r="Z380" s="25"/>
      <c r="AA380" s="22" t="s">
        <v>8129</v>
      </c>
      <c r="AB380" s="22" t="s">
        <v>8130</v>
      </c>
      <c r="AC380" s="25"/>
      <c r="AD380" s="24"/>
      <c r="AE380" s="22" t="s">
        <v>8132</v>
      </c>
      <c r="AF380" s="25"/>
      <c r="AG380" s="22">
        <v>1.0450680054083E13</v>
      </c>
      <c r="AH380" s="22" t="s">
        <v>8137</v>
      </c>
      <c r="AI380" s="22">
        <v>2.3415777329475E13</v>
      </c>
      <c r="AJ380" s="25"/>
      <c r="AK380" s="25"/>
      <c r="AL380" s="22" t="s">
        <v>8149</v>
      </c>
      <c r="AQ380" s="32"/>
      <c r="AR380" s="32" t="b">
        <v>0</v>
      </c>
      <c r="AS380" s="32" t="b">
        <v>0</v>
      </c>
    </row>
    <row r="381">
      <c r="A381" s="21" t="s">
        <v>9394</v>
      </c>
      <c r="B381" s="22" t="s">
        <v>8262</v>
      </c>
      <c r="C381" s="22">
        <v>1.0</v>
      </c>
      <c r="D381" s="22" t="s">
        <v>9395</v>
      </c>
      <c r="E381" s="22" t="s">
        <v>8262</v>
      </c>
      <c r="F381" s="22" t="s">
        <v>8155</v>
      </c>
      <c r="G381" s="22" t="s">
        <v>89</v>
      </c>
      <c r="H381" s="22">
        <v>3.2729359941955E13</v>
      </c>
      <c r="I381" s="22" t="s">
        <v>89</v>
      </c>
      <c r="J381" s="25"/>
      <c r="K381" s="22">
        <v>4.7338059792707E13</v>
      </c>
      <c r="L381" s="25"/>
      <c r="M381" s="25"/>
      <c r="N381" s="22" t="s">
        <v>9396</v>
      </c>
      <c r="O381" s="22" t="s">
        <v>9397</v>
      </c>
      <c r="P381" s="22" t="s">
        <v>9396</v>
      </c>
      <c r="Q381" s="22" t="s">
        <v>9397</v>
      </c>
      <c r="R381" s="22" t="s">
        <v>9398</v>
      </c>
      <c r="S381" s="22" t="s">
        <v>9399</v>
      </c>
      <c r="T381" s="40" t="s">
        <v>9400</v>
      </c>
      <c r="U381" s="22" t="s">
        <v>9401</v>
      </c>
      <c r="V381" s="25"/>
      <c r="W381" s="22" t="s">
        <v>9402</v>
      </c>
      <c r="X381" s="22" t="s">
        <v>8242</v>
      </c>
      <c r="Y381" s="25"/>
      <c r="Z381" s="25"/>
      <c r="AA381" s="22" t="s">
        <v>8129</v>
      </c>
      <c r="AB381" s="22" t="s">
        <v>8130</v>
      </c>
      <c r="AC381" s="25"/>
      <c r="AD381" s="22" t="s">
        <v>8161</v>
      </c>
      <c r="AE381" s="22" t="s">
        <v>8132</v>
      </c>
      <c r="AF381" s="25"/>
      <c r="AG381" s="22">
        <v>1.0450709348675E13</v>
      </c>
      <c r="AH381" s="22" t="s">
        <v>90</v>
      </c>
      <c r="AI381" s="22">
        <v>2.3415817535811E13</v>
      </c>
      <c r="AJ381" s="25"/>
      <c r="AK381" s="25"/>
      <c r="AL381" s="22" t="s">
        <v>8269</v>
      </c>
      <c r="AQ381" s="32" t="s">
        <v>91</v>
      </c>
      <c r="AR381" s="32" t="b">
        <v>0</v>
      </c>
      <c r="AS381" s="32" t="b">
        <v>0</v>
      </c>
    </row>
    <row r="382">
      <c r="A382" s="21" t="s">
        <v>9394</v>
      </c>
      <c r="B382" s="24"/>
      <c r="C382" s="24"/>
      <c r="D382" s="22" t="s">
        <v>9395</v>
      </c>
      <c r="E382" s="24"/>
      <c r="F382" s="22" t="s">
        <v>8149</v>
      </c>
      <c r="G382" s="25"/>
      <c r="H382" s="22">
        <v>9.506906308931E12</v>
      </c>
      <c r="I382" s="22" t="s">
        <v>89</v>
      </c>
      <c r="J382" s="25"/>
      <c r="K382" s="24"/>
      <c r="L382" s="25"/>
      <c r="M382" s="25"/>
      <c r="N382" s="22" t="s">
        <v>9396</v>
      </c>
      <c r="O382" s="22" t="s">
        <v>9397</v>
      </c>
      <c r="P382" s="22" t="s">
        <v>9396</v>
      </c>
      <c r="Q382" s="22" t="s">
        <v>9397</v>
      </c>
      <c r="R382" s="22" t="s">
        <v>9398</v>
      </c>
      <c r="S382" s="22" t="s">
        <v>9399</v>
      </c>
      <c r="T382" s="40" t="s">
        <v>9400</v>
      </c>
      <c r="U382" s="22" t="s">
        <v>9401</v>
      </c>
      <c r="V382" s="25"/>
      <c r="W382" s="22" t="s">
        <v>9402</v>
      </c>
      <c r="X382" s="22" t="s">
        <v>8242</v>
      </c>
      <c r="Y382" s="25"/>
      <c r="Z382" s="25"/>
      <c r="AA382" s="22" t="s">
        <v>8129</v>
      </c>
      <c r="AB382" s="22" t="s">
        <v>8130</v>
      </c>
      <c r="AC382" s="25"/>
      <c r="AD382" s="24"/>
      <c r="AE382" s="22" t="s">
        <v>8132</v>
      </c>
      <c r="AF382" s="25"/>
      <c r="AG382" s="22">
        <v>1.0450709348675E13</v>
      </c>
      <c r="AH382" s="22" t="s">
        <v>8137</v>
      </c>
      <c r="AI382" s="22">
        <v>2.3415817535811E13</v>
      </c>
      <c r="AJ382" s="25"/>
      <c r="AK382" s="25"/>
      <c r="AL382" s="22" t="s">
        <v>8149</v>
      </c>
      <c r="AQ382" s="32"/>
      <c r="AR382" s="32" t="b">
        <v>0</v>
      </c>
      <c r="AS382" s="32" t="b">
        <v>0</v>
      </c>
    </row>
    <row r="383">
      <c r="A383" s="21" t="s">
        <v>9394</v>
      </c>
      <c r="B383" s="22" t="s">
        <v>8262</v>
      </c>
      <c r="C383" s="22">
        <v>-1.0</v>
      </c>
      <c r="D383" s="22" t="s">
        <v>9395</v>
      </c>
      <c r="E383" s="22" t="s">
        <v>8262</v>
      </c>
      <c r="F383" s="22" t="s">
        <v>8155</v>
      </c>
      <c r="G383" s="22" t="s">
        <v>89</v>
      </c>
      <c r="H383" s="22">
        <v>3.2729359941955E13</v>
      </c>
      <c r="I383" s="22" t="s">
        <v>89</v>
      </c>
      <c r="J383" s="25"/>
      <c r="K383" s="22">
        <v>4.7338059792707E13</v>
      </c>
      <c r="L383" s="22" t="s">
        <v>8182</v>
      </c>
      <c r="M383" s="35" t="s">
        <v>9403</v>
      </c>
      <c r="N383" s="22" t="s">
        <v>9396</v>
      </c>
      <c r="O383" s="22" t="s">
        <v>9397</v>
      </c>
      <c r="P383" s="22" t="s">
        <v>9396</v>
      </c>
      <c r="Q383" s="22" t="s">
        <v>9397</v>
      </c>
      <c r="R383" s="22" t="s">
        <v>9398</v>
      </c>
      <c r="S383" s="22" t="s">
        <v>9399</v>
      </c>
      <c r="T383" s="40" t="s">
        <v>9400</v>
      </c>
      <c r="U383" s="22" t="s">
        <v>9401</v>
      </c>
      <c r="V383" s="25"/>
      <c r="W383" s="22" t="s">
        <v>9402</v>
      </c>
      <c r="X383" s="22" t="s">
        <v>8242</v>
      </c>
      <c r="Y383" s="25"/>
      <c r="Z383" s="25"/>
      <c r="AA383" s="22" t="s">
        <v>8129</v>
      </c>
      <c r="AB383" s="22" t="s">
        <v>8130</v>
      </c>
      <c r="AC383" s="25"/>
      <c r="AD383" s="22" t="s">
        <v>8161</v>
      </c>
      <c r="AE383" s="22" t="s">
        <v>8132</v>
      </c>
      <c r="AF383" s="25"/>
      <c r="AG383" s="22">
        <v>1.0450709348675E13</v>
      </c>
      <c r="AH383" s="22" t="s">
        <v>8184</v>
      </c>
      <c r="AI383" s="22">
        <v>2.3415817535811E13</v>
      </c>
      <c r="AJ383" s="25"/>
      <c r="AK383" s="22">
        <v>6.714600325443E12</v>
      </c>
      <c r="AL383" s="22" t="s">
        <v>8269</v>
      </c>
      <c r="AQ383" s="32" t="s">
        <v>91</v>
      </c>
      <c r="AR383" s="32" t="b">
        <v>0</v>
      </c>
      <c r="AS383" s="32" t="b">
        <v>0</v>
      </c>
    </row>
    <row r="384">
      <c r="A384" s="21" t="s">
        <v>9404</v>
      </c>
      <c r="B384" s="22" t="s">
        <v>8140</v>
      </c>
      <c r="C384" s="22">
        <v>1.0</v>
      </c>
      <c r="D384" s="22" t="s">
        <v>8721</v>
      </c>
      <c r="E384" s="22" t="s">
        <v>8140</v>
      </c>
      <c r="F384" s="22" t="s">
        <v>8121</v>
      </c>
      <c r="G384" s="25"/>
      <c r="H384" s="22">
        <v>3.2730235535683E13</v>
      </c>
      <c r="I384" s="25"/>
      <c r="J384" s="25"/>
      <c r="K384" s="22">
        <v>4.2085703581939E13</v>
      </c>
      <c r="L384" s="25"/>
      <c r="M384" s="25"/>
      <c r="N384" s="22" t="s">
        <v>9405</v>
      </c>
      <c r="O384" s="22" t="s">
        <v>9406</v>
      </c>
      <c r="P384" s="22" t="s">
        <v>9405</v>
      </c>
      <c r="Q384" s="22" t="s">
        <v>9406</v>
      </c>
      <c r="R384" s="22" t="s">
        <v>9407</v>
      </c>
      <c r="S384" s="25"/>
      <c r="T384" s="40" t="s">
        <v>9408</v>
      </c>
      <c r="U384" s="22" t="s">
        <v>9409</v>
      </c>
      <c r="V384" s="25"/>
      <c r="W384" s="22" t="s">
        <v>9410</v>
      </c>
      <c r="X384" s="22" t="s">
        <v>8663</v>
      </c>
      <c r="Y384" s="25"/>
      <c r="Z384" s="25"/>
      <c r="AA384" s="22" t="s">
        <v>8129</v>
      </c>
      <c r="AB384" s="22" t="s">
        <v>8130</v>
      </c>
      <c r="AC384" s="25"/>
      <c r="AD384" s="22" t="s">
        <v>8131</v>
      </c>
      <c r="AE384" s="22" t="s">
        <v>8132</v>
      </c>
      <c r="AF384" s="25"/>
      <c r="AG384" s="22">
        <v>1.0451111772483E13</v>
      </c>
      <c r="AH384" s="22" t="s">
        <v>90</v>
      </c>
      <c r="AI384" s="22">
        <v>6.445548470515E12</v>
      </c>
      <c r="AJ384" s="25"/>
      <c r="AK384" s="25"/>
      <c r="AL384" s="22" t="s">
        <v>8134</v>
      </c>
      <c r="AQ384" s="32" t="s">
        <v>8150</v>
      </c>
      <c r="AR384" s="32" t="b">
        <v>0</v>
      </c>
      <c r="AS384" s="32" t="b">
        <v>0</v>
      </c>
    </row>
    <row r="385">
      <c r="A385" s="21" t="s">
        <v>9404</v>
      </c>
      <c r="B385" s="24"/>
      <c r="C385" s="24"/>
      <c r="D385" s="22" t="s">
        <v>8721</v>
      </c>
      <c r="E385" s="24"/>
      <c r="F385" s="22" t="s">
        <v>8136</v>
      </c>
      <c r="G385" s="25"/>
      <c r="H385" s="22">
        <v>9.507278160195E12</v>
      </c>
      <c r="I385" s="25"/>
      <c r="J385" s="25"/>
      <c r="K385" s="24"/>
      <c r="L385" s="25"/>
      <c r="M385" s="25"/>
      <c r="N385" s="22" t="s">
        <v>9405</v>
      </c>
      <c r="O385" s="22" t="s">
        <v>9406</v>
      </c>
      <c r="P385" s="22" t="s">
        <v>9405</v>
      </c>
      <c r="Q385" s="22" t="s">
        <v>9406</v>
      </c>
      <c r="R385" s="22" t="s">
        <v>9407</v>
      </c>
      <c r="S385" s="25"/>
      <c r="T385" s="40" t="s">
        <v>9408</v>
      </c>
      <c r="U385" s="22" t="s">
        <v>9409</v>
      </c>
      <c r="V385" s="25"/>
      <c r="W385" s="22" t="s">
        <v>9410</v>
      </c>
      <c r="X385" s="22" t="s">
        <v>8663</v>
      </c>
      <c r="Y385" s="25"/>
      <c r="Z385" s="25"/>
      <c r="AA385" s="22" t="s">
        <v>8129</v>
      </c>
      <c r="AB385" s="22" t="s">
        <v>8130</v>
      </c>
      <c r="AC385" s="25"/>
      <c r="AD385" s="24"/>
      <c r="AE385" s="22" t="s">
        <v>8132</v>
      </c>
      <c r="AF385" s="25"/>
      <c r="AG385" s="22">
        <v>1.0451111772483E13</v>
      </c>
      <c r="AH385" s="22" t="s">
        <v>8137</v>
      </c>
      <c r="AI385" s="22">
        <v>6.445548470515E12</v>
      </c>
      <c r="AJ385" s="25"/>
      <c r="AK385" s="25"/>
      <c r="AL385" s="22" t="s">
        <v>8136</v>
      </c>
      <c r="AQ385" s="32"/>
      <c r="AR385" s="32" t="b">
        <v>0</v>
      </c>
      <c r="AS385" s="32" t="b">
        <v>0</v>
      </c>
    </row>
    <row r="386">
      <c r="A386" s="21" t="s">
        <v>9411</v>
      </c>
      <c r="B386" s="22" t="s">
        <v>8140</v>
      </c>
      <c r="C386" s="22">
        <v>1.0</v>
      </c>
      <c r="D386" s="22" t="s">
        <v>8968</v>
      </c>
      <c r="E386" s="22" t="s">
        <v>8140</v>
      </c>
      <c r="F386" s="22" t="s">
        <v>8121</v>
      </c>
      <c r="G386" s="25"/>
      <c r="H386" s="22">
        <v>3.2730283344195E13</v>
      </c>
      <c r="I386" s="25"/>
      <c r="J386" s="25"/>
      <c r="K386" s="22">
        <v>4.2085703581939E13</v>
      </c>
      <c r="L386" s="25"/>
      <c r="M386" s="25"/>
      <c r="N386" s="22" t="s">
        <v>4183</v>
      </c>
      <c r="O386" s="22" t="s">
        <v>5915</v>
      </c>
      <c r="P386" s="22" t="s">
        <v>4183</v>
      </c>
      <c r="Q386" s="22" t="s">
        <v>5915</v>
      </c>
      <c r="R386" s="22" t="s">
        <v>9412</v>
      </c>
      <c r="S386" s="25"/>
      <c r="T386" s="40" t="s">
        <v>9413</v>
      </c>
      <c r="U386" s="22">
        <v>233.0</v>
      </c>
      <c r="V386" s="25"/>
      <c r="W386" s="22" t="s">
        <v>9414</v>
      </c>
      <c r="X386" s="22" t="s">
        <v>9415</v>
      </c>
      <c r="Y386" s="25"/>
      <c r="Z386" s="25"/>
      <c r="AA386" s="22" t="s">
        <v>8129</v>
      </c>
      <c r="AB386" s="22" t="s">
        <v>8130</v>
      </c>
      <c r="AC386" s="25"/>
      <c r="AD386" s="22" t="s">
        <v>8131</v>
      </c>
      <c r="AE386" s="22" t="s">
        <v>8132</v>
      </c>
      <c r="AF386" s="25"/>
      <c r="AG386" s="22">
        <v>1.0451133202755E13</v>
      </c>
      <c r="AH386" s="22" t="s">
        <v>90</v>
      </c>
      <c r="AI386" s="22">
        <v>8.683210768707E12</v>
      </c>
      <c r="AJ386" s="25"/>
      <c r="AK386" s="25"/>
      <c r="AL386" s="22" t="s">
        <v>8134</v>
      </c>
      <c r="AQ386" s="32" t="s">
        <v>8150</v>
      </c>
      <c r="AR386" s="32" t="b">
        <v>0</v>
      </c>
      <c r="AS386" s="32" t="b">
        <v>0</v>
      </c>
    </row>
    <row r="387">
      <c r="A387" s="21" t="s">
        <v>9411</v>
      </c>
      <c r="B387" s="25"/>
      <c r="C387" s="25"/>
      <c r="D387" s="22" t="s">
        <v>8968</v>
      </c>
      <c r="E387" s="25"/>
      <c r="F387" s="22" t="s">
        <v>8136</v>
      </c>
      <c r="G387" s="25"/>
      <c r="H387" s="22">
        <v>9.507298640195E12</v>
      </c>
      <c r="I387" s="25"/>
      <c r="J387" s="25"/>
      <c r="K387" s="25"/>
      <c r="L387" s="25"/>
      <c r="M387" s="25"/>
      <c r="N387" s="22" t="s">
        <v>4183</v>
      </c>
      <c r="O387" s="22" t="s">
        <v>5915</v>
      </c>
      <c r="P387" s="22" t="s">
        <v>4183</v>
      </c>
      <c r="Q387" s="22" t="s">
        <v>5915</v>
      </c>
      <c r="R387" s="22" t="s">
        <v>9412</v>
      </c>
      <c r="S387" s="25"/>
      <c r="T387" s="40" t="s">
        <v>9413</v>
      </c>
      <c r="U387" s="22">
        <v>233.0</v>
      </c>
      <c r="V387" s="24"/>
      <c r="W387" s="22" t="s">
        <v>9414</v>
      </c>
      <c r="X387" s="22" t="s">
        <v>9415</v>
      </c>
      <c r="Y387" s="25"/>
      <c r="Z387" s="25"/>
      <c r="AA387" s="22" t="s">
        <v>8129</v>
      </c>
      <c r="AB387" s="22" t="s">
        <v>8130</v>
      </c>
      <c r="AC387" s="25"/>
      <c r="AD387" s="25"/>
      <c r="AE387" s="22" t="s">
        <v>8132</v>
      </c>
      <c r="AF387" s="25"/>
      <c r="AG387" s="22">
        <v>1.0451133202755E13</v>
      </c>
      <c r="AH387" s="22" t="s">
        <v>8137</v>
      </c>
      <c r="AI387" s="22">
        <v>8.683210768707E12</v>
      </c>
      <c r="AJ387" s="25"/>
      <c r="AK387" s="25"/>
      <c r="AL387" s="22" t="s">
        <v>8136</v>
      </c>
      <c r="AR387" s="32" t="b">
        <v>0</v>
      </c>
      <c r="AS387" s="32" t="b">
        <v>0</v>
      </c>
    </row>
    <row r="388">
      <c r="A388" s="21" t="s">
        <v>9416</v>
      </c>
      <c r="B388" s="22" t="s">
        <v>8119</v>
      </c>
      <c r="C388" s="22">
        <v>1.0</v>
      </c>
      <c r="D388" s="22" t="s">
        <v>8419</v>
      </c>
      <c r="E388" s="22" t="s">
        <v>8119</v>
      </c>
      <c r="F388" s="22" t="s">
        <v>8121</v>
      </c>
      <c r="G388" s="25"/>
      <c r="H388" s="22">
        <v>3.2730295009603E13</v>
      </c>
      <c r="I388" s="25"/>
      <c r="J388" s="25"/>
      <c r="K388" s="22">
        <v>4.2085703549171E13</v>
      </c>
      <c r="L388" s="25"/>
      <c r="M388" s="25"/>
      <c r="N388" s="22" t="s">
        <v>7327</v>
      </c>
      <c r="O388" s="22" t="s">
        <v>9417</v>
      </c>
      <c r="P388" s="22" t="s">
        <v>9418</v>
      </c>
      <c r="Q388" s="22" t="s">
        <v>9419</v>
      </c>
      <c r="R388" s="22" t="s">
        <v>9420</v>
      </c>
      <c r="S388" s="25"/>
      <c r="T388" s="40" t="s">
        <v>9421</v>
      </c>
      <c r="U388" s="22" t="s">
        <v>9422</v>
      </c>
      <c r="V388" s="25"/>
      <c r="W388" s="22" t="s">
        <v>9423</v>
      </c>
      <c r="X388" s="22" t="s">
        <v>8380</v>
      </c>
      <c r="Y388" s="25"/>
      <c r="Z388" s="25"/>
      <c r="AA388" s="22" t="s">
        <v>8129</v>
      </c>
      <c r="AB388" s="22" t="s">
        <v>8130</v>
      </c>
      <c r="AC388" s="25"/>
      <c r="AD388" s="22" t="s">
        <v>8131</v>
      </c>
      <c r="AE388" s="22" t="s">
        <v>8132</v>
      </c>
      <c r="AF388" s="25"/>
      <c r="AG388" s="22">
        <v>1.0451138740547E13</v>
      </c>
      <c r="AH388" s="22" t="s">
        <v>90</v>
      </c>
      <c r="AI388" s="22">
        <v>6.478631043315E12</v>
      </c>
      <c r="AJ388" s="25"/>
      <c r="AK388" s="25"/>
      <c r="AL388" s="22" t="s">
        <v>8133</v>
      </c>
      <c r="AQ388" s="32" t="s">
        <v>8135</v>
      </c>
      <c r="AR388" s="32" t="b">
        <v>0</v>
      </c>
      <c r="AS388" s="32" t="b">
        <v>0</v>
      </c>
    </row>
    <row r="389">
      <c r="A389" s="21" t="s">
        <v>9416</v>
      </c>
      <c r="B389" s="24"/>
      <c r="C389" s="24"/>
      <c r="D389" s="22" t="s">
        <v>8419</v>
      </c>
      <c r="E389" s="24"/>
      <c r="F389" s="22" t="s">
        <v>8136</v>
      </c>
      <c r="G389" s="25"/>
      <c r="H389" s="22">
        <v>9.507303817539E12</v>
      </c>
      <c r="I389" s="25"/>
      <c r="J389" s="25"/>
      <c r="K389" s="24"/>
      <c r="L389" s="25"/>
      <c r="M389" s="25"/>
      <c r="N389" s="22" t="s">
        <v>7327</v>
      </c>
      <c r="O389" s="22" t="s">
        <v>9417</v>
      </c>
      <c r="P389" s="22" t="s">
        <v>9418</v>
      </c>
      <c r="Q389" s="22" t="s">
        <v>9419</v>
      </c>
      <c r="R389" s="22" t="s">
        <v>9420</v>
      </c>
      <c r="S389" s="25"/>
      <c r="T389" s="40" t="s">
        <v>9421</v>
      </c>
      <c r="U389" s="22" t="s">
        <v>9422</v>
      </c>
      <c r="V389" s="25"/>
      <c r="W389" s="22" t="s">
        <v>9423</v>
      </c>
      <c r="X389" s="22" t="s">
        <v>8380</v>
      </c>
      <c r="Y389" s="25"/>
      <c r="Z389" s="25"/>
      <c r="AA389" s="22" t="s">
        <v>8129</v>
      </c>
      <c r="AB389" s="22" t="s">
        <v>8130</v>
      </c>
      <c r="AC389" s="25"/>
      <c r="AD389" s="24"/>
      <c r="AE389" s="22" t="s">
        <v>8132</v>
      </c>
      <c r="AF389" s="25"/>
      <c r="AG389" s="22">
        <v>1.0451138740547E13</v>
      </c>
      <c r="AH389" s="22" t="s">
        <v>8137</v>
      </c>
      <c r="AI389" s="22">
        <v>6.478631043315E12</v>
      </c>
      <c r="AJ389" s="25"/>
      <c r="AK389" s="25"/>
      <c r="AL389" s="22" t="s">
        <v>8136</v>
      </c>
      <c r="AQ389" s="32"/>
      <c r="AR389" s="32" t="b">
        <v>0</v>
      </c>
      <c r="AS389" s="32" t="b">
        <v>0</v>
      </c>
    </row>
    <row r="390">
      <c r="A390" s="21" t="s">
        <v>9424</v>
      </c>
      <c r="B390" s="22" t="s">
        <v>8140</v>
      </c>
      <c r="C390" s="22">
        <v>1.0</v>
      </c>
      <c r="D390" s="22" t="s">
        <v>8212</v>
      </c>
      <c r="E390" s="22" t="s">
        <v>8140</v>
      </c>
      <c r="F390" s="22" t="s">
        <v>8121</v>
      </c>
      <c r="G390" s="25"/>
      <c r="H390" s="22">
        <v>3.2728669028675E13</v>
      </c>
      <c r="I390" s="25"/>
      <c r="J390" s="25"/>
      <c r="K390" s="22">
        <v>4.2085703581939E13</v>
      </c>
      <c r="L390" s="25"/>
      <c r="M390" s="25"/>
      <c r="N390" s="22" t="s">
        <v>3719</v>
      </c>
      <c r="O390" s="22" t="s">
        <v>9425</v>
      </c>
      <c r="P390" s="22" t="s">
        <v>3719</v>
      </c>
      <c r="Q390" s="22" t="s">
        <v>9425</v>
      </c>
      <c r="R390" s="22" t="s">
        <v>9426</v>
      </c>
      <c r="S390" s="25"/>
      <c r="T390" s="40" t="s">
        <v>9427</v>
      </c>
      <c r="U390" s="22" t="s">
        <v>9428</v>
      </c>
      <c r="V390" s="25"/>
      <c r="W390" s="22" t="s">
        <v>9429</v>
      </c>
      <c r="X390" s="22" t="s">
        <v>8289</v>
      </c>
      <c r="Y390" s="25"/>
      <c r="Z390" s="25"/>
      <c r="AA390" s="22" t="s">
        <v>8129</v>
      </c>
      <c r="AB390" s="22" t="s">
        <v>8130</v>
      </c>
      <c r="AC390" s="25"/>
      <c r="AD390" s="22" t="s">
        <v>8131</v>
      </c>
      <c r="AE390" s="22" t="s">
        <v>8132</v>
      </c>
      <c r="AF390" s="25"/>
      <c r="AG390" s="22">
        <v>1.0450422235459E13</v>
      </c>
      <c r="AH390" s="22" t="s">
        <v>90</v>
      </c>
      <c r="AI390" s="22">
        <v>2.3415400038723E13</v>
      </c>
      <c r="AJ390" s="25"/>
      <c r="AK390" s="25"/>
      <c r="AL390" s="22" t="s">
        <v>8134</v>
      </c>
      <c r="AQ390" s="32" t="s">
        <v>8150</v>
      </c>
      <c r="AR390" s="32" t="b">
        <v>0</v>
      </c>
      <c r="AS390" s="32" t="b">
        <v>0</v>
      </c>
    </row>
    <row r="391">
      <c r="A391" s="21" t="s">
        <v>9424</v>
      </c>
      <c r="B391" s="24"/>
      <c r="C391" s="24"/>
      <c r="D391" s="22" t="s">
        <v>8212</v>
      </c>
      <c r="E391" s="24"/>
      <c r="F391" s="22" t="s">
        <v>8136</v>
      </c>
      <c r="G391" s="25"/>
      <c r="H391" s="22">
        <v>9.506637906243E12</v>
      </c>
      <c r="I391" s="25"/>
      <c r="J391" s="25"/>
      <c r="K391" s="24"/>
      <c r="L391" s="25"/>
      <c r="M391" s="25"/>
      <c r="N391" s="22" t="s">
        <v>3719</v>
      </c>
      <c r="O391" s="22" t="s">
        <v>9425</v>
      </c>
      <c r="P391" s="22" t="s">
        <v>3719</v>
      </c>
      <c r="Q391" s="22" t="s">
        <v>9425</v>
      </c>
      <c r="R391" s="22" t="s">
        <v>9426</v>
      </c>
      <c r="S391" s="25"/>
      <c r="T391" s="40" t="s">
        <v>9427</v>
      </c>
      <c r="U391" s="22" t="s">
        <v>9428</v>
      </c>
      <c r="V391" s="25"/>
      <c r="W391" s="22" t="s">
        <v>9429</v>
      </c>
      <c r="X391" s="22" t="s">
        <v>8289</v>
      </c>
      <c r="Y391" s="25"/>
      <c r="Z391" s="25"/>
      <c r="AA391" s="22" t="s">
        <v>8129</v>
      </c>
      <c r="AB391" s="22" t="s">
        <v>8130</v>
      </c>
      <c r="AC391" s="25"/>
      <c r="AD391" s="24"/>
      <c r="AE391" s="22" t="s">
        <v>8132</v>
      </c>
      <c r="AF391" s="25"/>
      <c r="AG391" s="22">
        <v>1.0450422235459E13</v>
      </c>
      <c r="AH391" s="22" t="s">
        <v>8137</v>
      </c>
      <c r="AI391" s="22">
        <v>2.3415400038723E13</v>
      </c>
      <c r="AJ391" s="25"/>
      <c r="AK391" s="25"/>
      <c r="AL391" s="22" t="s">
        <v>8136</v>
      </c>
      <c r="AQ391" s="32"/>
      <c r="AR391" s="32" t="b">
        <v>0</v>
      </c>
      <c r="AS391" s="32" t="b">
        <v>0</v>
      </c>
    </row>
    <row r="392">
      <c r="A392" s="21" t="s">
        <v>9430</v>
      </c>
      <c r="B392" s="22" t="s">
        <v>8140</v>
      </c>
      <c r="C392" s="22">
        <v>1.0</v>
      </c>
      <c r="D392" s="22" t="s">
        <v>8278</v>
      </c>
      <c r="E392" s="22" t="s">
        <v>8140</v>
      </c>
      <c r="F392" s="22" t="s">
        <v>8121</v>
      </c>
      <c r="G392" s="25"/>
      <c r="H392" s="22">
        <v>3.2730307330371E13</v>
      </c>
      <c r="I392" s="25"/>
      <c r="J392" s="25"/>
      <c r="K392" s="22">
        <v>4.2085703581939E13</v>
      </c>
      <c r="L392" s="25"/>
      <c r="M392" s="25"/>
      <c r="N392" s="22" t="s">
        <v>5025</v>
      </c>
      <c r="O392" s="22" t="s">
        <v>9431</v>
      </c>
      <c r="P392" s="22" t="s">
        <v>5025</v>
      </c>
      <c r="Q392" s="22" t="s">
        <v>9431</v>
      </c>
      <c r="R392" s="22" t="s">
        <v>9432</v>
      </c>
      <c r="S392" s="25"/>
      <c r="T392" s="40" t="s">
        <v>9433</v>
      </c>
      <c r="U392" s="22" t="s">
        <v>9434</v>
      </c>
      <c r="V392" s="25"/>
      <c r="W392" s="22" t="s">
        <v>9435</v>
      </c>
      <c r="X392" s="22" t="s">
        <v>4148</v>
      </c>
      <c r="Y392" s="25"/>
      <c r="Z392" s="25"/>
      <c r="AA392" s="22" t="s">
        <v>8129</v>
      </c>
      <c r="AB392" s="22" t="s">
        <v>8130</v>
      </c>
      <c r="AC392" s="25"/>
      <c r="AD392" s="22" t="s">
        <v>8131</v>
      </c>
      <c r="AE392" s="22" t="s">
        <v>8132</v>
      </c>
      <c r="AF392" s="25"/>
      <c r="AG392" s="22">
        <v>1.0451143721283E13</v>
      </c>
      <c r="AH392" s="22" t="s">
        <v>90</v>
      </c>
      <c r="AI392" s="22">
        <v>8.638270308675E12</v>
      </c>
      <c r="AJ392" s="25"/>
      <c r="AK392" s="25"/>
      <c r="AL392" s="22" t="s">
        <v>8134</v>
      </c>
      <c r="AQ392" s="32" t="s">
        <v>8150</v>
      </c>
      <c r="AR392" s="32" t="b">
        <v>0</v>
      </c>
      <c r="AS392" s="32" t="b">
        <v>0</v>
      </c>
    </row>
    <row r="393">
      <c r="A393" s="21" t="s">
        <v>9430</v>
      </c>
      <c r="B393" s="25"/>
      <c r="C393" s="25"/>
      <c r="D393" s="22" t="s">
        <v>8278</v>
      </c>
      <c r="E393" s="25"/>
      <c r="F393" s="22" t="s">
        <v>8136</v>
      </c>
      <c r="G393" s="25"/>
      <c r="H393" s="22">
        <v>9.507308536131E12</v>
      </c>
      <c r="I393" s="25"/>
      <c r="J393" s="25"/>
      <c r="K393" s="25"/>
      <c r="L393" s="25"/>
      <c r="M393" s="25"/>
      <c r="N393" s="22" t="s">
        <v>5025</v>
      </c>
      <c r="O393" s="22" t="s">
        <v>9431</v>
      </c>
      <c r="P393" s="22" t="s">
        <v>5025</v>
      </c>
      <c r="Q393" s="22" t="s">
        <v>9431</v>
      </c>
      <c r="R393" s="22" t="s">
        <v>9432</v>
      </c>
      <c r="S393" s="25"/>
      <c r="T393" s="40" t="s">
        <v>9433</v>
      </c>
      <c r="U393" s="22" t="s">
        <v>9434</v>
      </c>
      <c r="V393" s="25"/>
      <c r="W393" s="22" t="s">
        <v>9435</v>
      </c>
      <c r="X393" s="22" t="s">
        <v>4148</v>
      </c>
      <c r="Y393" s="25"/>
      <c r="Z393" s="25"/>
      <c r="AA393" s="22" t="s">
        <v>8129</v>
      </c>
      <c r="AB393" s="22" t="s">
        <v>8130</v>
      </c>
      <c r="AC393" s="25"/>
      <c r="AD393" s="25"/>
      <c r="AE393" s="22" t="s">
        <v>8132</v>
      </c>
      <c r="AF393" s="25"/>
      <c r="AG393" s="22">
        <v>1.0451143721283E13</v>
      </c>
      <c r="AH393" s="22" t="s">
        <v>8137</v>
      </c>
      <c r="AI393" s="22">
        <v>8.638270308675E12</v>
      </c>
      <c r="AJ393" s="25"/>
      <c r="AK393" s="25"/>
      <c r="AL393" s="22" t="s">
        <v>8136</v>
      </c>
      <c r="AR393" s="32" t="b">
        <v>0</v>
      </c>
      <c r="AS393" s="32" t="b">
        <v>0</v>
      </c>
    </row>
    <row r="394">
      <c r="A394" s="21" t="s">
        <v>9436</v>
      </c>
      <c r="B394" s="22" t="s">
        <v>8370</v>
      </c>
      <c r="C394" s="22">
        <v>1.0</v>
      </c>
      <c r="D394" s="22" t="s">
        <v>9437</v>
      </c>
      <c r="E394" s="22" t="s">
        <v>8370</v>
      </c>
      <c r="F394" s="22" t="s">
        <v>8155</v>
      </c>
      <c r="G394" s="25"/>
      <c r="H394" s="22">
        <v>3.2730349142339E13</v>
      </c>
      <c r="I394" s="25"/>
      <c r="J394" s="22" t="s">
        <v>9438</v>
      </c>
      <c r="K394" s="22">
        <v>4.9521175494979E13</v>
      </c>
      <c r="L394" s="25"/>
      <c r="M394" s="25"/>
      <c r="N394" s="22" t="s">
        <v>9439</v>
      </c>
      <c r="O394" s="22" t="s">
        <v>9440</v>
      </c>
      <c r="P394" s="22" t="s">
        <v>9439</v>
      </c>
      <c r="Q394" s="22" t="s">
        <v>9441</v>
      </c>
      <c r="R394" s="22" t="s">
        <v>9442</v>
      </c>
      <c r="S394" s="25"/>
      <c r="T394" s="40" t="s">
        <v>9443</v>
      </c>
      <c r="U394" s="22" t="s">
        <v>9444</v>
      </c>
      <c r="V394" s="25"/>
      <c r="W394" s="22" t="s">
        <v>9445</v>
      </c>
      <c r="X394" s="22" t="s">
        <v>8671</v>
      </c>
      <c r="Y394" s="25"/>
      <c r="Z394" s="25"/>
      <c r="AA394" s="22" t="s">
        <v>8129</v>
      </c>
      <c r="AB394" s="22" t="s">
        <v>8130</v>
      </c>
      <c r="AC394" s="25"/>
      <c r="AD394" s="22" t="s">
        <v>8161</v>
      </c>
      <c r="AE394" s="22" t="s">
        <v>8132</v>
      </c>
      <c r="AF394" s="25"/>
      <c r="AG394" s="22">
        <v>1.0451162104131E13</v>
      </c>
      <c r="AH394" s="22" t="s">
        <v>90</v>
      </c>
      <c r="AI394" s="22">
        <v>7.482672611651E12</v>
      </c>
      <c r="AJ394" s="25"/>
      <c r="AK394" s="25"/>
      <c r="AL394" s="22" t="s">
        <v>8138</v>
      </c>
      <c r="AQ394" s="32" t="s">
        <v>91</v>
      </c>
      <c r="AR394" s="32" t="b">
        <v>0</v>
      </c>
      <c r="AS394" s="32" t="b">
        <v>1</v>
      </c>
    </row>
    <row r="395">
      <c r="A395" s="21" t="s">
        <v>9436</v>
      </c>
      <c r="B395" s="25"/>
      <c r="C395" s="25"/>
      <c r="D395" s="22" t="s">
        <v>9437</v>
      </c>
      <c r="E395" s="25"/>
      <c r="F395" s="22" t="s">
        <v>8149</v>
      </c>
      <c r="G395" s="25"/>
      <c r="H395" s="22">
        <v>9.507325444419E12</v>
      </c>
      <c r="I395" s="25"/>
      <c r="J395" s="25"/>
      <c r="K395" s="25"/>
      <c r="L395" s="25"/>
      <c r="M395" s="25"/>
      <c r="N395" s="22" t="s">
        <v>9439</v>
      </c>
      <c r="O395" s="22" t="s">
        <v>9440</v>
      </c>
      <c r="P395" s="22" t="s">
        <v>9439</v>
      </c>
      <c r="Q395" s="22" t="s">
        <v>9441</v>
      </c>
      <c r="R395" s="22" t="s">
        <v>9442</v>
      </c>
      <c r="S395" s="25"/>
      <c r="T395" s="40" t="s">
        <v>9443</v>
      </c>
      <c r="U395" s="22" t="s">
        <v>9444</v>
      </c>
      <c r="V395" s="25"/>
      <c r="W395" s="22" t="s">
        <v>9445</v>
      </c>
      <c r="X395" s="22" t="s">
        <v>8671</v>
      </c>
      <c r="Y395" s="25"/>
      <c r="Z395" s="25"/>
      <c r="AA395" s="22" t="s">
        <v>8129</v>
      </c>
      <c r="AB395" s="22" t="s">
        <v>8130</v>
      </c>
      <c r="AC395" s="25"/>
      <c r="AD395" s="25"/>
      <c r="AE395" s="22" t="s">
        <v>8132</v>
      </c>
      <c r="AF395" s="25"/>
      <c r="AG395" s="22">
        <v>1.0451162104131E13</v>
      </c>
      <c r="AH395" s="22" t="s">
        <v>8137</v>
      </c>
      <c r="AI395" s="22">
        <v>7.482672611651E12</v>
      </c>
      <c r="AJ395" s="25"/>
      <c r="AK395" s="25"/>
      <c r="AL395" s="22" t="s">
        <v>8149</v>
      </c>
      <c r="AR395" s="32" t="b">
        <v>0</v>
      </c>
      <c r="AS395" s="32" t="b">
        <v>0</v>
      </c>
    </row>
    <row r="396">
      <c r="A396" s="21" t="s">
        <v>9446</v>
      </c>
      <c r="B396" s="22" t="s">
        <v>8153</v>
      </c>
      <c r="C396" s="22">
        <v>1.0</v>
      </c>
      <c r="D396" s="22" t="s">
        <v>8175</v>
      </c>
      <c r="E396" s="22" t="s">
        <v>8153</v>
      </c>
      <c r="F396" s="22" t="s">
        <v>8155</v>
      </c>
      <c r="G396" s="22" t="s">
        <v>89</v>
      </c>
      <c r="H396" s="22">
        <v>3.2730415202627E13</v>
      </c>
      <c r="I396" s="22" t="s">
        <v>89</v>
      </c>
      <c r="J396" s="25"/>
      <c r="K396" s="22">
        <v>4.7338059759939E13</v>
      </c>
      <c r="L396" s="25"/>
      <c r="M396" s="25"/>
      <c r="N396" s="22" t="s">
        <v>9447</v>
      </c>
      <c r="O396" s="22" t="s">
        <v>9448</v>
      </c>
      <c r="P396" s="22" t="s">
        <v>9447</v>
      </c>
      <c r="Q396" s="22" t="s">
        <v>9448</v>
      </c>
      <c r="R396" s="22" t="s">
        <v>9449</v>
      </c>
      <c r="S396" s="24"/>
      <c r="T396" s="40" t="s">
        <v>9450</v>
      </c>
      <c r="U396" s="22" t="s">
        <v>9451</v>
      </c>
      <c r="V396" s="24"/>
      <c r="W396" s="22" t="s">
        <v>9452</v>
      </c>
      <c r="X396" s="22" t="s">
        <v>9453</v>
      </c>
      <c r="Y396" s="25"/>
      <c r="Z396" s="25"/>
      <c r="AA396" s="22" t="s">
        <v>8129</v>
      </c>
      <c r="AB396" s="22" t="s">
        <v>8130</v>
      </c>
      <c r="AC396" s="25"/>
      <c r="AD396" s="22" t="s">
        <v>8161</v>
      </c>
      <c r="AE396" s="22" t="s">
        <v>8132</v>
      </c>
      <c r="AF396" s="25"/>
      <c r="AG396" s="22">
        <v>1.0451190907203E13</v>
      </c>
      <c r="AH396" s="22" t="s">
        <v>90</v>
      </c>
      <c r="AI396" s="22">
        <v>2.3416559239491E13</v>
      </c>
      <c r="AJ396" s="25"/>
      <c r="AK396" s="25"/>
      <c r="AL396" s="22" t="s">
        <v>8162</v>
      </c>
      <c r="AQ396" s="32" t="s">
        <v>55</v>
      </c>
      <c r="AR396" s="32" t="b">
        <v>0</v>
      </c>
      <c r="AS396" s="32" t="b">
        <v>0</v>
      </c>
    </row>
    <row r="397">
      <c r="A397" s="21" t="s">
        <v>9446</v>
      </c>
      <c r="B397" s="25"/>
      <c r="C397" s="25"/>
      <c r="D397" s="22" t="s">
        <v>8175</v>
      </c>
      <c r="E397" s="25"/>
      <c r="F397" s="22" t="s">
        <v>8149</v>
      </c>
      <c r="G397" s="25"/>
      <c r="H397" s="22">
        <v>9.507352740163E12</v>
      </c>
      <c r="I397" s="22" t="s">
        <v>89</v>
      </c>
      <c r="J397" s="25"/>
      <c r="K397" s="25"/>
      <c r="L397" s="25"/>
      <c r="M397" s="25"/>
      <c r="N397" s="22" t="s">
        <v>9447</v>
      </c>
      <c r="O397" s="22" t="s">
        <v>9448</v>
      </c>
      <c r="P397" s="22" t="s">
        <v>9447</v>
      </c>
      <c r="Q397" s="22" t="s">
        <v>9448</v>
      </c>
      <c r="R397" s="22" t="s">
        <v>9449</v>
      </c>
      <c r="S397" s="24"/>
      <c r="T397" s="40" t="s">
        <v>9450</v>
      </c>
      <c r="U397" s="22" t="s">
        <v>9451</v>
      </c>
      <c r="V397" s="24"/>
      <c r="W397" s="22" t="s">
        <v>9452</v>
      </c>
      <c r="X397" s="22" t="s">
        <v>9453</v>
      </c>
      <c r="Y397" s="25"/>
      <c r="Z397" s="25"/>
      <c r="AA397" s="22" t="s">
        <v>8129</v>
      </c>
      <c r="AB397" s="22" t="s">
        <v>8130</v>
      </c>
      <c r="AC397" s="25"/>
      <c r="AD397" s="25"/>
      <c r="AE397" s="22" t="s">
        <v>8132</v>
      </c>
      <c r="AF397" s="25"/>
      <c r="AG397" s="22">
        <v>1.0451190907203E13</v>
      </c>
      <c r="AH397" s="22" t="s">
        <v>8137</v>
      </c>
      <c r="AI397" s="22">
        <v>2.3416559239491E13</v>
      </c>
      <c r="AJ397" s="25"/>
      <c r="AK397" s="25"/>
      <c r="AL397" s="22" t="s">
        <v>8149</v>
      </c>
      <c r="AR397" s="32" t="b">
        <v>0</v>
      </c>
      <c r="AS397" s="32" t="b">
        <v>0</v>
      </c>
    </row>
    <row r="398">
      <c r="A398" s="21" t="s">
        <v>9446</v>
      </c>
      <c r="B398" s="22" t="s">
        <v>8153</v>
      </c>
      <c r="C398" s="22">
        <v>-1.0</v>
      </c>
      <c r="D398" s="22" t="s">
        <v>8175</v>
      </c>
      <c r="E398" s="22" t="s">
        <v>8153</v>
      </c>
      <c r="F398" s="22" t="s">
        <v>8155</v>
      </c>
      <c r="G398" s="22" t="s">
        <v>89</v>
      </c>
      <c r="H398" s="22">
        <v>3.2730415202627E13</v>
      </c>
      <c r="I398" s="22" t="s">
        <v>89</v>
      </c>
      <c r="J398" s="25"/>
      <c r="K398" s="22">
        <v>4.7338059759939E13</v>
      </c>
      <c r="L398" s="22" t="s">
        <v>8182</v>
      </c>
      <c r="M398" s="35" t="s">
        <v>9454</v>
      </c>
      <c r="N398" s="22" t="s">
        <v>9447</v>
      </c>
      <c r="O398" s="22" t="s">
        <v>9448</v>
      </c>
      <c r="P398" s="22" t="s">
        <v>9447</v>
      </c>
      <c r="Q398" s="22" t="s">
        <v>9448</v>
      </c>
      <c r="R398" s="22" t="s">
        <v>9449</v>
      </c>
      <c r="S398" s="25"/>
      <c r="T398" s="40" t="s">
        <v>9450</v>
      </c>
      <c r="U398" s="22" t="s">
        <v>9451</v>
      </c>
      <c r="V398" s="25"/>
      <c r="W398" s="22" t="s">
        <v>9452</v>
      </c>
      <c r="X398" s="22" t="s">
        <v>9453</v>
      </c>
      <c r="Y398" s="25"/>
      <c r="Z398" s="25"/>
      <c r="AA398" s="22" t="s">
        <v>8129</v>
      </c>
      <c r="AB398" s="22" t="s">
        <v>8130</v>
      </c>
      <c r="AC398" s="25"/>
      <c r="AD398" s="22" t="s">
        <v>8161</v>
      </c>
      <c r="AE398" s="22" t="s">
        <v>8132</v>
      </c>
      <c r="AF398" s="25"/>
      <c r="AG398" s="22">
        <v>1.0451190907203E13</v>
      </c>
      <c r="AH398" s="22" t="s">
        <v>8184</v>
      </c>
      <c r="AI398" s="22">
        <v>2.3416559239491E13</v>
      </c>
      <c r="AJ398" s="25"/>
      <c r="AK398" s="22">
        <v>6.714600292675E12</v>
      </c>
      <c r="AL398" s="22" t="s">
        <v>8162</v>
      </c>
      <c r="AQ398" s="32" t="s">
        <v>55</v>
      </c>
      <c r="AR398" s="32" t="b">
        <v>0</v>
      </c>
      <c r="AS398" s="32" t="b">
        <v>0</v>
      </c>
    </row>
    <row r="399">
      <c r="A399" s="21" t="s">
        <v>9455</v>
      </c>
      <c r="B399" s="22" t="s">
        <v>8119</v>
      </c>
      <c r="C399" s="22">
        <v>1.0</v>
      </c>
      <c r="D399" s="22" t="s">
        <v>8254</v>
      </c>
      <c r="E399" s="22" t="s">
        <v>8119</v>
      </c>
      <c r="F399" s="22" t="s">
        <v>8121</v>
      </c>
      <c r="G399" s="25"/>
      <c r="H399" s="22">
        <v>3.2730435289411E13</v>
      </c>
      <c r="I399" s="25"/>
      <c r="J399" s="25"/>
      <c r="K399" s="22">
        <v>4.2085703549171E13</v>
      </c>
      <c r="L399" s="25"/>
      <c r="M399" s="25"/>
      <c r="N399" s="22" t="s">
        <v>9447</v>
      </c>
      <c r="O399" s="22" t="s">
        <v>9456</v>
      </c>
      <c r="P399" s="22" t="s">
        <v>9447</v>
      </c>
      <c r="Q399" s="22" t="s">
        <v>9456</v>
      </c>
      <c r="R399" s="22" t="s">
        <v>9457</v>
      </c>
      <c r="S399" s="25"/>
      <c r="T399" s="40" t="s">
        <v>9458</v>
      </c>
      <c r="U399" s="22" t="s">
        <v>9459</v>
      </c>
      <c r="V399" s="25"/>
      <c r="W399" s="22" t="s">
        <v>9460</v>
      </c>
      <c r="X399" s="22" t="s">
        <v>8128</v>
      </c>
      <c r="Y399" s="25"/>
      <c r="Z399" s="25"/>
      <c r="AA399" s="22" t="s">
        <v>8129</v>
      </c>
      <c r="AB399" s="22" t="s">
        <v>8130</v>
      </c>
      <c r="AC399" s="25"/>
      <c r="AD399" s="22" t="s">
        <v>8131</v>
      </c>
      <c r="AE399" s="22" t="s">
        <v>8132</v>
      </c>
      <c r="AF399" s="25"/>
      <c r="AG399" s="22">
        <v>1.0451200049475E13</v>
      </c>
      <c r="AH399" s="22" t="s">
        <v>90</v>
      </c>
      <c r="AI399" s="22">
        <v>7.430675562819E12</v>
      </c>
      <c r="AJ399" s="25"/>
      <c r="AK399" s="25"/>
      <c r="AL399" s="22" t="s">
        <v>8133</v>
      </c>
      <c r="AQ399" s="32" t="s">
        <v>8135</v>
      </c>
      <c r="AR399" s="32" t="b">
        <v>0</v>
      </c>
      <c r="AS399" s="32" t="b">
        <v>0</v>
      </c>
    </row>
    <row r="400">
      <c r="A400" s="21" t="s">
        <v>9455</v>
      </c>
      <c r="B400" s="25"/>
      <c r="C400" s="25"/>
      <c r="D400" s="22" t="s">
        <v>8254</v>
      </c>
      <c r="E400" s="25"/>
      <c r="F400" s="22" t="s">
        <v>8136</v>
      </c>
      <c r="G400" s="25"/>
      <c r="H400" s="22">
        <v>9.507361194307E12</v>
      </c>
      <c r="I400" s="25"/>
      <c r="J400" s="25"/>
      <c r="K400" s="25"/>
      <c r="L400" s="25"/>
      <c r="M400" s="25"/>
      <c r="N400" s="22" t="s">
        <v>9447</v>
      </c>
      <c r="O400" s="22" t="s">
        <v>9456</v>
      </c>
      <c r="P400" s="22" t="s">
        <v>9447</v>
      </c>
      <c r="Q400" s="22" t="s">
        <v>9456</v>
      </c>
      <c r="R400" s="22" t="s">
        <v>9457</v>
      </c>
      <c r="S400" s="24"/>
      <c r="T400" s="40" t="s">
        <v>9458</v>
      </c>
      <c r="U400" s="22" t="s">
        <v>9459</v>
      </c>
      <c r="V400" s="25"/>
      <c r="W400" s="22" t="s">
        <v>9460</v>
      </c>
      <c r="X400" s="22" t="s">
        <v>8128</v>
      </c>
      <c r="Y400" s="25"/>
      <c r="Z400" s="25"/>
      <c r="AA400" s="22" t="s">
        <v>8129</v>
      </c>
      <c r="AB400" s="22" t="s">
        <v>8130</v>
      </c>
      <c r="AC400" s="25"/>
      <c r="AD400" s="25"/>
      <c r="AE400" s="22" t="s">
        <v>8132</v>
      </c>
      <c r="AF400" s="25"/>
      <c r="AG400" s="22">
        <v>1.0451200049475E13</v>
      </c>
      <c r="AH400" s="22" t="s">
        <v>8137</v>
      </c>
      <c r="AI400" s="22">
        <v>7.430675562819E12</v>
      </c>
      <c r="AJ400" s="25"/>
      <c r="AK400" s="25"/>
      <c r="AL400" s="22" t="s">
        <v>8136</v>
      </c>
      <c r="AR400" s="32" t="b">
        <v>0</v>
      </c>
      <c r="AS400" s="32" t="b">
        <v>0</v>
      </c>
    </row>
    <row r="401">
      <c r="A401" s="21" t="s">
        <v>9461</v>
      </c>
      <c r="B401" s="22" t="s">
        <v>8140</v>
      </c>
      <c r="C401" s="22">
        <v>1.0</v>
      </c>
      <c r="D401" s="22" t="s">
        <v>8141</v>
      </c>
      <c r="E401" s="22" t="s">
        <v>8140</v>
      </c>
      <c r="F401" s="22" t="s">
        <v>8121</v>
      </c>
      <c r="G401" s="25"/>
      <c r="H401" s="22">
        <v>3.2730436796739E13</v>
      </c>
      <c r="I401" s="25"/>
      <c r="J401" s="25"/>
      <c r="K401" s="22">
        <v>4.2085703581939E13</v>
      </c>
      <c r="L401" s="25"/>
      <c r="M401" s="25"/>
      <c r="N401" s="22" t="s">
        <v>5936</v>
      </c>
      <c r="O401" s="22" t="s">
        <v>9462</v>
      </c>
      <c r="P401" s="22" t="s">
        <v>5936</v>
      </c>
      <c r="Q401" s="22" t="s">
        <v>9462</v>
      </c>
      <c r="R401" s="22" t="s">
        <v>9463</v>
      </c>
      <c r="S401" s="24"/>
      <c r="T401" s="40" t="s">
        <v>9464</v>
      </c>
      <c r="U401" s="22" t="s">
        <v>9465</v>
      </c>
      <c r="V401" s="25"/>
      <c r="W401" s="22" t="s">
        <v>9466</v>
      </c>
      <c r="X401" s="22" t="s">
        <v>6658</v>
      </c>
      <c r="Y401" s="25"/>
      <c r="Z401" s="25"/>
      <c r="AA401" s="22" t="s">
        <v>8129</v>
      </c>
      <c r="AB401" s="22" t="s">
        <v>8130</v>
      </c>
      <c r="AC401" s="25"/>
      <c r="AD401" s="22" t="s">
        <v>8131</v>
      </c>
      <c r="AE401" s="22" t="s">
        <v>8132</v>
      </c>
      <c r="AF401" s="25"/>
      <c r="AG401" s="22">
        <v>1.0451200835907E13</v>
      </c>
      <c r="AH401" s="22" t="s">
        <v>90</v>
      </c>
      <c r="AI401" s="22">
        <v>8.631006953795E12</v>
      </c>
      <c r="AJ401" s="25"/>
      <c r="AK401" s="25"/>
      <c r="AL401" s="22" t="s">
        <v>8134</v>
      </c>
      <c r="AQ401" s="32" t="s">
        <v>8150</v>
      </c>
      <c r="AR401" s="32" t="b">
        <v>0</v>
      </c>
      <c r="AS401" s="32" t="b">
        <v>0</v>
      </c>
    </row>
    <row r="402">
      <c r="A402" s="21" t="s">
        <v>9461</v>
      </c>
      <c r="B402" s="25"/>
      <c r="C402" s="25"/>
      <c r="D402" s="22" t="s">
        <v>8141</v>
      </c>
      <c r="E402" s="25"/>
      <c r="F402" s="22" t="s">
        <v>8136</v>
      </c>
      <c r="G402" s="25"/>
      <c r="H402" s="22">
        <v>9.507361882435E12</v>
      </c>
      <c r="I402" s="25"/>
      <c r="J402" s="25"/>
      <c r="K402" s="25"/>
      <c r="L402" s="25"/>
      <c r="M402" s="25"/>
      <c r="N402" s="22" t="s">
        <v>5936</v>
      </c>
      <c r="O402" s="22" t="s">
        <v>9462</v>
      </c>
      <c r="P402" s="22" t="s">
        <v>5936</v>
      </c>
      <c r="Q402" s="22" t="s">
        <v>9462</v>
      </c>
      <c r="R402" s="22" t="s">
        <v>9463</v>
      </c>
      <c r="S402" s="24"/>
      <c r="T402" s="40" t="s">
        <v>9464</v>
      </c>
      <c r="U402" s="22" t="s">
        <v>9465</v>
      </c>
      <c r="V402" s="25"/>
      <c r="W402" s="22" t="s">
        <v>9466</v>
      </c>
      <c r="X402" s="22" t="s">
        <v>6658</v>
      </c>
      <c r="Y402" s="25"/>
      <c r="Z402" s="25"/>
      <c r="AA402" s="22" t="s">
        <v>8129</v>
      </c>
      <c r="AB402" s="22" t="s">
        <v>8130</v>
      </c>
      <c r="AC402" s="25"/>
      <c r="AD402" s="25"/>
      <c r="AE402" s="22" t="s">
        <v>8132</v>
      </c>
      <c r="AF402" s="25"/>
      <c r="AG402" s="22">
        <v>1.0451200835907E13</v>
      </c>
      <c r="AH402" s="22" t="s">
        <v>8137</v>
      </c>
      <c r="AI402" s="22">
        <v>8.631006953795E12</v>
      </c>
      <c r="AJ402" s="25"/>
      <c r="AK402" s="25"/>
      <c r="AL402" s="22" t="s">
        <v>8136</v>
      </c>
      <c r="AR402" s="32" t="b">
        <v>0</v>
      </c>
      <c r="AS402" s="32" t="b">
        <v>0</v>
      </c>
    </row>
    <row r="403">
      <c r="A403" s="21" t="s">
        <v>9467</v>
      </c>
      <c r="B403" s="22" t="s">
        <v>8119</v>
      </c>
      <c r="C403" s="22">
        <v>1.0</v>
      </c>
      <c r="D403" s="22" t="s">
        <v>8910</v>
      </c>
      <c r="E403" s="22" t="s">
        <v>8119</v>
      </c>
      <c r="F403" s="22" t="s">
        <v>8121</v>
      </c>
      <c r="G403" s="25"/>
      <c r="H403" s="22">
        <v>3.2730443088195E13</v>
      </c>
      <c r="I403" s="25"/>
      <c r="J403" s="25"/>
      <c r="K403" s="22">
        <v>4.2085703549171E13</v>
      </c>
      <c r="L403" s="25"/>
      <c r="M403" s="25"/>
      <c r="N403" s="22" t="s">
        <v>3695</v>
      </c>
      <c r="O403" s="22" t="s">
        <v>9468</v>
      </c>
      <c r="P403" s="22" t="s">
        <v>3695</v>
      </c>
      <c r="Q403" s="22" t="s">
        <v>9469</v>
      </c>
      <c r="R403" s="22" t="s">
        <v>9470</v>
      </c>
      <c r="S403" s="25"/>
      <c r="T403" s="40" t="s">
        <v>9471</v>
      </c>
      <c r="U403" s="22" t="s">
        <v>9472</v>
      </c>
      <c r="V403" s="22">
        <v>62.0</v>
      </c>
      <c r="W403" s="22" t="s">
        <v>9473</v>
      </c>
      <c r="X403" s="22" t="s">
        <v>8380</v>
      </c>
      <c r="Y403" s="25"/>
      <c r="Z403" s="25"/>
      <c r="AA403" s="22" t="s">
        <v>8129</v>
      </c>
      <c r="AB403" s="22" t="s">
        <v>8130</v>
      </c>
      <c r="AC403" s="25"/>
      <c r="AD403" s="22" t="s">
        <v>8131</v>
      </c>
      <c r="AE403" s="22" t="s">
        <v>8132</v>
      </c>
      <c r="AF403" s="25"/>
      <c r="AG403" s="22">
        <v>1.0451203326275E13</v>
      </c>
      <c r="AH403" s="22" t="s">
        <v>90</v>
      </c>
      <c r="AI403" s="22">
        <v>7.449606390083E12</v>
      </c>
      <c r="AJ403" s="25"/>
      <c r="AK403" s="25"/>
      <c r="AL403" s="22" t="s">
        <v>8133</v>
      </c>
      <c r="AQ403" s="32" t="s">
        <v>8135</v>
      </c>
      <c r="AR403" s="32" t="b">
        <v>0</v>
      </c>
      <c r="AS403" s="32" t="b">
        <v>0</v>
      </c>
    </row>
    <row r="404">
      <c r="A404" s="21" t="s">
        <v>9467</v>
      </c>
      <c r="B404" s="24"/>
      <c r="C404" s="24"/>
      <c r="D404" s="22" t="s">
        <v>8910</v>
      </c>
      <c r="E404" s="24"/>
      <c r="F404" s="22" t="s">
        <v>8136</v>
      </c>
      <c r="G404" s="25"/>
      <c r="H404" s="22">
        <v>9.507364340035E12</v>
      </c>
      <c r="I404" s="25"/>
      <c r="J404" s="25"/>
      <c r="K404" s="24"/>
      <c r="L404" s="25"/>
      <c r="M404" s="25"/>
      <c r="N404" s="22" t="s">
        <v>3695</v>
      </c>
      <c r="O404" s="22" t="s">
        <v>9468</v>
      </c>
      <c r="P404" s="22" t="s">
        <v>3695</v>
      </c>
      <c r="Q404" s="22" t="s">
        <v>9469</v>
      </c>
      <c r="R404" s="22" t="s">
        <v>9470</v>
      </c>
      <c r="S404" s="24"/>
      <c r="T404" s="40" t="s">
        <v>9471</v>
      </c>
      <c r="U404" s="22" t="s">
        <v>9472</v>
      </c>
      <c r="V404" s="22">
        <v>62.0</v>
      </c>
      <c r="W404" s="22" t="s">
        <v>9473</v>
      </c>
      <c r="X404" s="22" t="s">
        <v>8380</v>
      </c>
      <c r="Y404" s="25"/>
      <c r="Z404" s="25"/>
      <c r="AA404" s="22" t="s">
        <v>8129</v>
      </c>
      <c r="AB404" s="22" t="s">
        <v>8130</v>
      </c>
      <c r="AC404" s="25"/>
      <c r="AD404" s="24"/>
      <c r="AE404" s="22" t="s">
        <v>8132</v>
      </c>
      <c r="AF404" s="25"/>
      <c r="AG404" s="22">
        <v>1.0451203326275E13</v>
      </c>
      <c r="AH404" s="22" t="s">
        <v>8137</v>
      </c>
      <c r="AI404" s="22">
        <v>7.449606390083E12</v>
      </c>
      <c r="AJ404" s="25"/>
      <c r="AK404" s="25"/>
      <c r="AL404" s="22" t="s">
        <v>8136</v>
      </c>
      <c r="AQ404" s="32"/>
      <c r="AR404" s="32" t="b">
        <v>0</v>
      </c>
      <c r="AS404" s="32" t="b">
        <v>0</v>
      </c>
    </row>
    <row r="405">
      <c r="A405" s="21" t="s">
        <v>9474</v>
      </c>
      <c r="B405" s="22" t="s">
        <v>8707</v>
      </c>
      <c r="C405" s="22">
        <v>1.0</v>
      </c>
      <c r="D405" s="22" t="s">
        <v>8221</v>
      </c>
      <c r="E405" s="22" t="s">
        <v>8707</v>
      </c>
      <c r="F405" s="22" t="s">
        <v>8155</v>
      </c>
      <c r="G405" s="25"/>
      <c r="H405" s="22">
        <v>3.2730312868163E13</v>
      </c>
      <c r="I405" s="25"/>
      <c r="J405" s="25"/>
      <c r="K405" s="22">
        <v>4.9521175429443E13</v>
      </c>
      <c r="L405" s="25"/>
      <c r="M405" s="25"/>
      <c r="N405" s="22" t="s">
        <v>5516</v>
      </c>
      <c r="O405" s="22" t="s">
        <v>9475</v>
      </c>
      <c r="P405" s="22" t="s">
        <v>5516</v>
      </c>
      <c r="Q405" s="22" t="s">
        <v>9475</v>
      </c>
      <c r="R405" s="22" t="s">
        <v>9476</v>
      </c>
      <c r="S405" s="24"/>
      <c r="T405" s="40" t="s">
        <v>9477</v>
      </c>
      <c r="U405" s="22" t="s">
        <v>9478</v>
      </c>
      <c r="V405" s="22" t="s">
        <v>9479</v>
      </c>
      <c r="W405" s="22" t="s">
        <v>9480</v>
      </c>
      <c r="X405" s="22" t="s">
        <v>8289</v>
      </c>
      <c r="Y405" s="25"/>
      <c r="Z405" s="25"/>
      <c r="AA405" s="22" t="s">
        <v>8129</v>
      </c>
      <c r="AB405" s="22" t="s">
        <v>8130</v>
      </c>
      <c r="AC405" s="25"/>
      <c r="AD405" s="22" t="s">
        <v>8161</v>
      </c>
      <c r="AE405" s="22" t="s">
        <v>8132</v>
      </c>
      <c r="AF405" s="25"/>
      <c r="AG405" s="22">
        <v>1.0451146113347E13</v>
      </c>
      <c r="AH405" s="22" t="s">
        <v>90</v>
      </c>
      <c r="AI405" s="22">
        <v>8.653872791875E12</v>
      </c>
      <c r="AJ405" s="25"/>
      <c r="AK405" s="25"/>
      <c r="AL405" s="22" t="s">
        <v>8336</v>
      </c>
      <c r="AQ405" s="32" t="s">
        <v>54</v>
      </c>
      <c r="AR405" s="32" t="b">
        <v>0</v>
      </c>
      <c r="AS405" s="32" t="b">
        <v>1</v>
      </c>
    </row>
    <row r="406">
      <c r="A406" s="21" t="s">
        <v>9474</v>
      </c>
      <c r="B406" s="24"/>
      <c r="C406" s="24"/>
      <c r="D406" s="22" t="s">
        <v>8221</v>
      </c>
      <c r="E406" s="24"/>
      <c r="F406" s="22" t="s">
        <v>8149</v>
      </c>
      <c r="G406" s="25"/>
      <c r="H406" s="22">
        <v>9.507310731587E12</v>
      </c>
      <c r="I406" s="25"/>
      <c r="J406" s="24"/>
      <c r="K406" s="24"/>
      <c r="L406" s="25"/>
      <c r="M406" s="25"/>
      <c r="N406" s="22" t="s">
        <v>5516</v>
      </c>
      <c r="O406" s="22" t="s">
        <v>9475</v>
      </c>
      <c r="P406" s="22" t="s">
        <v>5516</v>
      </c>
      <c r="Q406" s="22" t="s">
        <v>9475</v>
      </c>
      <c r="R406" s="22" t="s">
        <v>9476</v>
      </c>
      <c r="S406" s="25"/>
      <c r="T406" s="40" t="s">
        <v>9477</v>
      </c>
      <c r="U406" s="22" t="s">
        <v>9478</v>
      </c>
      <c r="V406" s="22" t="s">
        <v>9479</v>
      </c>
      <c r="W406" s="22" t="s">
        <v>9480</v>
      </c>
      <c r="X406" s="22" t="s">
        <v>8289</v>
      </c>
      <c r="Y406" s="25"/>
      <c r="Z406" s="25"/>
      <c r="AA406" s="22" t="s">
        <v>8129</v>
      </c>
      <c r="AB406" s="22" t="s">
        <v>8130</v>
      </c>
      <c r="AC406" s="25"/>
      <c r="AD406" s="24"/>
      <c r="AE406" s="22" t="s">
        <v>8132</v>
      </c>
      <c r="AF406" s="25"/>
      <c r="AG406" s="22">
        <v>1.0451146113347E13</v>
      </c>
      <c r="AH406" s="22" t="s">
        <v>8137</v>
      </c>
      <c r="AI406" s="22">
        <v>8.653872791875E12</v>
      </c>
      <c r="AJ406" s="25"/>
      <c r="AK406" s="25"/>
      <c r="AL406" s="22" t="s">
        <v>8149</v>
      </c>
      <c r="AQ406" s="32"/>
      <c r="AR406" s="32" t="b">
        <v>0</v>
      </c>
      <c r="AS406" s="32" t="b">
        <v>0</v>
      </c>
    </row>
    <row r="407">
      <c r="A407" s="21" t="s">
        <v>9481</v>
      </c>
      <c r="B407" s="22" t="s">
        <v>8467</v>
      </c>
      <c r="C407" s="22">
        <v>1.0</v>
      </c>
      <c r="D407" s="22" t="s">
        <v>8910</v>
      </c>
      <c r="E407" s="22" t="s">
        <v>8467</v>
      </c>
      <c r="F407" s="22" t="s">
        <v>8155</v>
      </c>
      <c r="G407" s="25"/>
      <c r="H407" s="22">
        <v>3.2730450297155E13</v>
      </c>
      <c r="I407" s="25"/>
      <c r="J407" s="25"/>
      <c r="K407" s="22">
        <v>4.9521175462211E13</v>
      </c>
      <c r="L407" s="25"/>
      <c r="M407" s="25"/>
      <c r="N407" s="22" t="s">
        <v>9482</v>
      </c>
      <c r="O407" s="22" t="s">
        <v>9483</v>
      </c>
      <c r="P407" s="22" t="s">
        <v>9482</v>
      </c>
      <c r="Q407" s="22" t="s">
        <v>9483</v>
      </c>
      <c r="R407" s="22" t="s">
        <v>9484</v>
      </c>
      <c r="S407" s="25"/>
      <c r="T407" s="40" t="s">
        <v>9485</v>
      </c>
      <c r="U407" s="22" t="s">
        <v>9486</v>
      </c>
      <c r="V407" s="25"/>
      <c r="W407" s="22" t="s">
        <v>9487</v>
      </c>
      <c r="X407" s="22" t="s">
        <v>8289</v>
      </c>
      <c r="Y407" s="25"/>
      <c r="Z407" s="25"/>
      <c r="AA407" s="22" t="s">
        <v>8129</v>
      </c>
      <c r="AB407" s="22" t="s">
        <v>8130</v>
      </c>
      <c r="AC407" s="25"/>
      <c r="AD407" s="22" t="s">
        <v>8161</v>
      </c>
      <c r="AE407" s="22" t="s">
        <v>8132</v>
      </c>
      <c r="AF407" s="25"/>
      <c r="AG407" s="22">
        <v>1.0451207487811E13</v>
      </c>
      <c r="AH407" s="22" t="s">
        <v>90</v>
      </c>
      <c r="AI407" s="22">
        <v>2.3416578048323E13</v>
      </c>
      <c r="AJ407" s="25"/>
      <c r="AK407" s="25"/>
      <c r="AL407" s="22" t="s">
        <v>8173</v>
      </c>
      <c r="AQ407" s="32" t="s">
        <v>55</v>
      </c>
      <c r="AR407" s="32" t="b">
        <v>0</v>
      </c>
      <c r="AS407" s="32" t="b">
        <v>1</v>
      </c>
    </row>
    <row r="408">
      <c r="A408" s="21" t="s">
        <v>9481</v>
      </c>
      <c r="B408" s="25"/>
      <c r="C408" s="25"/>
      <c r="D408" s="22" t="s">
        <v>8910</v>
      </c>
      <c r="E408" s="25"/>
      <c r="F408" s="22" t="s">
        <v>8149</v>
      </c>
      <c r="G408" s="25"/>
      <c r="H408" s="22">
        <v>9.507368075587E12</v>
      </c>
      <c r="I408" s="25"/>
      <c r="J408" s="25"/>
      <c r="K408" s="25"/>
      <c r="L408" s="25"/>
      <c r="M408" s="25"/>
      <c r="N408" s="22" t="s">
        <v>9482</v>
      </c>
      <c r="O408" s="22" t="s">
        <v>9483</v>
      </c>
      <c r="P408" s="22" t="s">
        <v>9482</v>
      </c>
      <c r="Q408" s="22" t="s">
        <v>9483</v>
      </c>
      <c r="R408" s="22" t="s">
        <v>9484</v>
      </c>
      <c r="S408" s="25"/>
      <c r="T408" s="40" t="s">
        <v>9485</v>
      </c>
      <c r="U408" s="22" t="s">
        <v>9486</v>
      </c>
      <c r="V408" s="25"/>
      <c r="W408" s="22" t="s">
        <v>9487</v>
      </c>
      <c r="X408" s="22" t="s">
        <v>8289</v>
      </c>
      <c r="Y408" s="25"/>
      <c r="Z408" s="25"/>
      <c r="AA408" s="22" t="s">
        <v>8129</v>
      </c>
      <c r="AB408" s="22" t="s">
        <v>8130</v>
      </c>
      <c r="AC408" s="25"/>
      <c r="AD408" s="25"/>
      <c r="AE408" s="22" t="s">
        <v>8132</v>
      </c>
      <c r="AF408" s="25"/>
      <c r="AG408" s="22">
        <v>1.0451207487811E13</v>
      </c>
      <c r="AH408" s="22" t="s">
        <v>8137</v>
      </c>
      <c r="AI408" s="22">
        <v>2.3416578048323E13</v>
      </c>
      <c r="AJ408" s="25"/>
      <c r="AK408" s="25"/>
      <c r="AL408" s="22" t="s">
        <v>8149</v>
      </c>
      <c r="AR408" s="32" t="b">
        <v>0</v>
      </c>
      <c r="AS408" s="32" t="b">
        <v>0</v>
      </c>
    </row>
    <row r="409">
      <c r="A409" s="21" t="s">
        <v>9488</v>
      </c>
      <c r="B409" s="22" t="s">
        <v>8140</v>
      </c>
      <c r="C409" s="22">
        <v>1.0</v>
      </c>
      <c r="D409" s="22" t="s">
        <v>8141</v>
      </c>
      <c r="E409" s="22" t="s">
        <v>8140</v>
      </c>
      <c r="F409" s="22" t="s">
        <v>8121</v>
      </c>
      <c r="G409" s="25"/>
      <c r="H409" s="22">
        <v>3.2730522878275E13</v>
      </c>
      <c r="I409" s="25"/>
      <c r="J409" s="25"/>
      <c r="K409" s="22">
        <v>4.2085703581939E13</v>
      </c>
      <c r="L409" s="25"/>
      <c r="M409" s="25"/>
      <c r="N409" s="22" t="s">
        <v>9489</v>
      </c>
      <c r="O409" s="22" t="s">
        <v>9490</v>
      </c>
      <c r="P409" s="22" t="s">
        <v>9489</v>
      </c>
      <c r="Q409" s="22" t="s">
        <v>9490</v>
      </c>
      <c r="R409" s="22" t="s">
        <v>9491</v>
      </c>
      <c r="S409" s="25"/>
      <c r="T409" s="40" t="s">
        <v>9492</v>
      </c>
      <c r="U409" s="22" t="s">
        <v>9493</v>
      </c>
      <c r="V409" s="25"/>
      <c r="W409" s="22" t="s">
        <v>9494</v>
      </c>
      <c r="X409" s="22" t="s">
        <v>8251</v>
      </c>
      <c r="Y409" s="25"/>
      <c r="Z409" s="25"/>
      <c r="AA409" s="22" t="s">
        <v>8129</v>
      </c>
      <c r="AB409" s="22" t="s">
        <v>8130</v>
      </c>
      <c r="AC409" s="25"/>
      <c r="AD409" s="22" t="s">
        <v>8131</v>
      </c>
      <c r="AE409" s="22" t="s">
        <v>8132</v>
      </c>
      <c r="AF409" s="25"/>
      <c r="AG409" s="22">
        <v>1.0451238289731E13</v>
      </c>
      <c r="AH409" s="22" t="s">
        <v>90</v>
      </c>
      <c r="AI409" s="22">
        <v>8.582654329155E12</v>
      </c>
      <c r="AJ409" s="25"/>
      <c r="AK409" s="25"/>
      <c r="AL409" s="22" t="s">
        <v>8134</v>
      </c>
      <c r="AQ409" s="32" t="s">
        <v>8150</v>
      </c>
      <c r="AR409" s="32" t="b">
        <v>0</v>
      </c>
      <c r="AS409" s="32" t="b">
        <v>0</v>
      </c>
    </row>
    <row r="410">
      <c r="A410" s="21" t="s">
        <v>9488</v>
      </c>
      <c r="B410" s="24"/>
      <c r="C410" s="24"/>
      <c r="D410" s="22" t="s">
        <v>8141</v>
      </c>
      <c r="E410" s="24"/>
      <c r="F410" s="22" t="s">
        <v>8136</v>
      </c>
      <c r="G410" s="25"/>
      <c r="H410" s="22">
        <v>9.507396813123E12</v>
      </c>
      <c r="I410" s="25"/>
      <c r="J410" s="24"/>
      <c r="K410" s="24"/>
      <c r="L410" s="25"/>
      <c r="M410" s="25"/>
      <c r="N410" s="22" t="s">
        <v>9489</v>
      </c>
      <c r="O410" s="22" t="s">
        <v>9490</v>
      </c>
      <c r="P410" s="22" t="s">
        <v>9489</v>
      </c>
      <c r="Q410" s="22" t="s">
        <v>9490</v>
      </c>
      <c r="R410" s="22" t="s">
        <v>9491</v>
      </c>
      <c r="S410" s="25"/>
      <c r="T410" s="40" t="s">
        <v>9492</v>
      </c>
      <c r="U410" s="22" t="s">
        <v>9493</v>
      </c>
      <c r="V410" s="25"/>
      <c r="W410" s="22" t="s">
        <v>9494</v>
      </c>
      <c r="X410" s="22" t="s">
        <v>8251</v>
      </c>
      <c r="Y410" s="25"/>
      <c r="Z410" s="25"/>
      <c r="AA410" s="22" t="s">
        <v>8129</v>
      </c>
      <c r="AB410" s="22" t="s">
        <v>8130</v>
      </c>
      <c r="AC410" s="25"/>
      <c r="AD410" s="24"/>
      <c r="AE410" s="22" t="s">
        <v>8132</v>
      </c>
      <c r="AF410" s="25"/>
      <c r="AG410" s="22">
        <v>1.0451238289731E13</v>
      </c>
      <c r="AH410" s="22" t="s">
        <v>8137</v>
      </c>
      <c r="AI410" s="22">
        <v>8.582654329155E12</v>
      </c>
      <c r="AJ410" s="25"/>
      <c r="AK410" s="25"/>
      <c r="AL410" s="22" t="s">
        <v>8136</v>
      </c>
      <c r="AQ410" s="32"/>
      <c r="AR410" s="32" t="b">
        <v>0</v>
      </c>
      <c r="AS410" s="32" t="b">
        <v>0</v>
      </c>
    </row>
    <row r="411">
      <c r="A411" s="21" t="s">
        <v>9495</v>
      </c>
      <c r="B411" s="22" t="s">
        <v>8140</v>
      </c>
      <c r="C411" s="22">
        <v>1.0</v>
      </c>
      <c r="D411" s="22" t="s">
        <v>8141</v>
      </c>
      <c r="E411" s="22" t="s">
        <v>8140</v>
      </c>
      <c r="F411" s="22" t="s">
        <v>8121</v>
      </c>
      <c r="G411" s="25"/>
      <c r="H411" s="22">
        <v>3.2730559676739E13</v>
      </c>
      <c r="I411" s="25"/>
      <c r="J411" s="25"/>
      <c r="K411" s="22">
        <v>4.2085703581939E13</v>
      </c>
      <c r="L411" s="25"/>
      <c r="M411" s="25"/>
      <c r="N411" s="22" t="s">
        <v>5261</v>
      </c>
      <c r="O411" s="22" t="s">
        <v>9496</v>
      </c>
      <c r="P411" s="22" t="s">
        <v>5261</v>
      </c>
      <c r="Q411" s="22" t="s">
        <v>9496</v>
      </c>
      <c r="R411" s="22" t="s">
        <v>9497</v>
      </c>
      <c r="S411" s="25"/>
      <c r="T411" s="40" t="s">
        <v>9498</v>
      </c>
      <c r="U411" s="22" t="s">
        <v>9499</v>
      </c>
      <c r="V411" s="25"/>
      <c r="W411" s="22" t="s">
        <v>9500</v>
      </c>
      <c r="X411" s="22" t="s">
        <v>9501</v>
      </c>
      <c r="Y411" s="25"/>
      <c r="Z411" s="25"/>
      <c r="AA411" s="22" t="s">
        <v>8129</v>
      </c>
      <c r="AB411" s="22" t="s">
        <v>8130</v>
      </c>
      <c r="AC411" s="25"/>
      <c r="AD411" s="22" t="s">
        <v>8131</v>
      </c>
      <c r="AE411" s="22" t="s">
        <v>8132</v>
      </c>
      <c r="AF411" s="25"/>
      <c r="AG411" s="22">
        <v>1.0451253821763E13</v>
      </c>
      <c r="AH411" s="22" t="s">
        <v>90</v>
      </c>
      <c r="AI411" s="22">
        <v>2.3416623104323E13</v>
      </c>
      <c r="AJ411" s="25"/>
      <c r="AK411" s="25"/>
      <c r="AL411" s="22" t="s">
        <v>8134</v>
      </c>
      <c r="AQ411" s="32" t="s">
        <v>8150</v>
      </c>
      <c r="AR411" s="32" t="b">
        <v>0</v>
      </c>
      <c r="AS411" s="32" t="b">
        <v>0</v>
      </c>
    </row>
    <row r="412">
      <c r="A412" s="21" t="s">
        <v>9495</v>
      </c>
      <c r="B412" s="24"/>
      <c r="C412" s="24"/>
      <c r="D412" s="22" t="s">
        <v>8141</v>
      </c>
      <c r="E412" s="24"/>
      <c r="F412" s="22" t="s">
        <v>8136</v>
      </c>
      <c r="G412" s="25"/>
      <c r="H412" s="22">
        <v>9.507411001667E12</v>
      </c>
      <c r="I412" s="25"/>
      <c r="J412" s="25"/>
      <c r="K412" s="24"/>
      <c r="L412" s="25"/>
      <c r="M412" s="25"/>
      <c r="N412" s="22" t="s">
        <v>5261</v>
      </c>
      <c r="O412" s="22" t="s">
        <v>9496</v>
      </c>
      <c r="P412" s="22" t="s">
        <v>5261</v>
      </c>
      <c r="Q412" s="22" t="s">
        <v>9496</v>
      </c>
      <c r="R412" s="22" t="s">
        <v>9497</v>
      </c>
      <c r="S412" s="25"/>
      <c r="T412" s="40" t="s">
        <v>9498</v>
      </c>
      <c r="U412" s="22" t="s">
        <v>9499</v>
      </c>
      <c r="V412" s="25"/>
      <c r="W412" s="22" t="s">
        <v>9500</v>
      </c>
      <c r="X412" s="22" t="s">
        <v>9501</v>
      </c>
      <c r="Y412" s="25"/>
      <c r="Z412" s="25"/>
      <c r="AA412" s="22" t="s">
        <v>8129</v>
      </c>
      <c r="AB412" s="22" t="s">
        <v>8130</v>
      </c>
      <c r="AC412" s="25"/>
      <c r="AD412" s="24"/>
      <c r="AE412" s="22" t="s">
        <v>8132</v>
      </c>
      <c r="AF412" s="25"/>
      <c r="AG412" s="22">
        <v>1.0451253821763E13</v>
      </c>
      <c r="AH412" s="22" t="s">
        <v>8137</v>
      </c>
      <c r="AI412" s="22">
        <v>2.3416623104323E13</v>
      </c>
      <c r="AJ412" s="25"/>
      <c r="AK412" s="25"/>
      <c r="AL412" s="22" t="s">
        <v>8136</v>
      </c>
      <c r="AQ412" s="32"/>
      <c r="AR412" s="32" t="b">
        <v>0</v>
      </c>
      <c r="AS412" s="32" t="b">
        <v>0</v>
      </c>
    </row>
    <row r="413">
      <c r="A413" s="21" t="s">
        <v>9502</v>
      </c>
      <c r="B413" s="22" t="s">
        <v>8140</v>
      </c>
      <c r="C413" s="22">
        <v>1.0</v>
      </c>
      <c r="D413" s="22" t="s">
        <v>8278</v>
      </c>
      <c r="E413" s="22" t="s">
        <v>8140</v>
      </c>
      <c r="F413" s="22" t="s">
        <v>8121</v>
      </c>
      <c r="G413" s="25"/>
      <c r="H413" s="22">
        <v>3.2730602963267E13</v>
      </c>
      <c r="I413" s="25"/>
      <c r="J413" s="25"/>
      <c r="K413" s="22">
        <v>4.2085703581939E13</v>
      </c>
      <c r="L413" s="25"/>
      <c r="M413" s="25"/>
      <c r="N413" s="22" t="s">
        <v>3849</v>
      </c>
      <c r="O413" s="22" t="s">
        <v>9503</v>
      </c>
      <c r="P413" s="22" t="s">
        <v>3849</v>
      </c>
      <c r="Q413" s="22" t="s">
        <v>9503</v>
      </c>
      <c r="R413" s="22" t="s">
        <v>9504</v>
      </c>
      <c r="S413" s="25"/>
      <c r="T413" s="40" t="s">
        <v>9505</v>
      </c>
      <c r="U413" s="22" t="s">
        <v>9506</v>
      </c>
      <c r="V413" s="25"/>
      <c r="W413" s="22" t="s">
        <v>9507</v>
      </c>
      <c r="X413" s="22" t="s">
        <v>9508</v>
      </c>
      <c r="Y413" s="25"/>
      <c r="Z413" s="25"/>
      <c r="AA413" s="22" t="s">
        <v>8129</v>
      </c>
      <c r="AB413" s="22" t="s">
        <v>8130</v>
      </c>
      <c r="AC413" s="25"/>
      <c r="AD413" s="22" t="s">
        <v>8131</v>
      </c>
      <c r="AE413" s="22" t="s">
        <v>8132</v>
      </c>
      <c r="AF413" s="25"/>
      <c r="AG413" s="22">
        <v>1.0451270533443E13</v>
      </c>
      <c r="AH413" s="22" t="s">
        <v>90</v>
      </c>
      <c r="AI413" s="22">
        <v>8.626721521987E12</v>
      </c>
      <c r="AJ413" s="25"/>
      <c r="AK413" s="25"/>
      <c r="AL413" s="22" t="s">
        <v>8134</v>
      </c>
      <c r="AQ413" s="32" t="s">
        <v>8150</v>
      </c>
      <c r="AR413" s="32" t="b">
        <v>0</v>
      </c>
      <c r="AS413" s="32" t="b">
        <v>0</v>
      </c>
    </row>
    <row r="414">
      <c r="A414" s="21" t="s">
        <v>9502</v>
      </c>
      <c r="B414" s="24"/>
      <c r="C414" s="24"/>
      <c r="D414" s="22" t="s">
        <v>8278</v>
      </c>
      <c r="E414" s="24"/>
      <c r="F414" s="22" t="s">
        <v>8136</v>
      </c>
      <c r="G414" s="25"/>
      <c r="H414" s="22">
        <v>9.507425845571E12</v>
      </c>
      <c r="I414" s="25"/>
      <c r="J414" s="25"/>
      <c r="K414" s="24"/>
      <c r="L414" s="25"/>
      <c r="M414" s="25"/>
      <c r="N414" s="22" t="s">
        <v>3849</v>
      </c>
      <c r="O414" s="22" t="s">
        <v>9503</v>
      </c>
      <c r="P414" s="22" t="s">
        <v>3849</v>
      </c>
      <c r="Q414" s="22" t="s">
        <v>9503</v>
      </c>
      <c r="R414" s="22" t="s">
        <v>9504</v>
      </c>
      <c r="S414" s="25"/>
      <c r="T414" s="40" t="s">
        <v>9505</v>
      </c>
      <c r="U414" s="22" t="s">
        <v>9506</v>
      </c>
      <c r="V414" s="25"/>
      <c r="W414" s="22" t="s">
        <v>9507</v>
      </c>
      <c r="X414" s="22" t="s">
        <v>9508</v>
      </c>
      <c r="Y414" s="25"/>
      <c r="Z414" s="25"/>
      <c r="AA414" s="22" t="s">
        <v>8129</v>
      </c>
      <c r="AB414" s="22" t="s">
        <v>8130</v>
      </c>
      <c r="AC414" s="25"/>
      <c r="AD414" s="24"/>
      <c r="AE414" s="22" t="s">
        <v>8132</v>
      </c>
      <c r="AF414" s="25"/>
      <c r="AG414" s="22">
        <v>1.0451270533443E13</v>
      </c>
      <c r="AH414" s="22" t="s">
        <v>8137</v>
      </c>
      <c r="AI414" s="22">
        <v>8.626721521987E12</v>
      </c>
      <c r="AJ414" s="25"/>
      <c r="AK414" s="25"/>
      <c r="AL414" s="22" t="s">
        <v>8136</v>
      </c>
      <c r="AQ414" s="32"/>
      <c r="AR414" s="32" t="b">
        <v>0</v>
      </c>
      <c r="AS414" s="32" t="b">
        <v>0</v>
      </c>
    </row>
    <row r="415">
      <c r="A415" s="21" t="s">
        <v>9509</v>
      </c>
      <c r="B415" s="22" t="s">
        <v>8211</v>
      </c>
      <c r="C415" s="22">
        <v>1.0</v>
      </c>
      <c r="D415" s="22" t="s">
        <v>8221</v>
      </c>
      <c r="E415" s="22" t="s">
        <v>8211</v>
      </c>
      <c r="F415" s="22" t="s">
        <v>8155</v>
      </c>
      <c r="G415" s="25"/>
      <c r="H415" s="22">
        <v>3.2730633535811E13</v>
      </c>
      <c r="I415" s="25"/>
      <c r="J415" s="25"/>
      <c r="K415" s="22">
        <v>4.7338059727171E13</v>
      </c>
      <c r="L415" s="25"/>
      <c r="M415" s="25"/>
      <c r="N415" s="22" t="s">
        <v>4504</v>
      </c>
      <c r="O415" s="22" t="s">
        <v>4760</v>
      </c>
      <c r="P415" s="22" t="s">
        <v>4504</v>
      </c>
      <c r="Q415" s="22" t="s">
        <v>4760</v>
      </c>
      <c r="R415" s="22" t="s">
        <v>9510</v>
      </c>
      <c r="S415" s="25"/>
      <c r="T415" s="40" t="s">
        <v>9511</v>
      </c>
      <c r="U415" s="22" t="s">
        <v>9512</v>
      </c>
      <c r="V415" s="25"/>
      <c r="W415" s="22" t="s">
        <v>9513</v>
      </c>
      <c r="X415" s="22" t="s">
        <v>8251</v>
      </c>
      <c r="Y415" s="25"/>
      <c r="Z415" s="25"/>
      <c r="AA415" s="22" t="s">
        <v>8129</v>
      </c>
      <c r="AB415" s="22" t="s">
        <v>8130</v>
      </c>
      <c r="AC415" s="25"/>
      <c r="AD415" s="22" t="s">
        <v>8161</v>
      </c>
      <c r="AE415" s="22" t="s">
        <v>8132</v>
      </c>
      <c r="AF415" s="25"/>
      <c r="AG415" s="22">
        <v>1.0451284066627E13</v>
      </c>
      <c r="AH415" s="22" t="s">
        <v>90</v>
      </c>
      <c r="AI415" s="22">
        <v>8.631987437891E12</v>
      </c>
      <c r="AJ415" s="25"/>
      <c r="AK415" s="25"/>
      <c r="AL415" s="22" t="s">
        <v>8151</v>
      </c>
      <c r="AQ415" s="32" t="s">
        <v>54</v>
      </c>
      <c r="AR415" s="32" t="b">
        <v>0</v>
      </c>
      <c r="AS415" s="32" t="b">
        <v>0</v>
      </c>
    </row>
    <row r="416">
      <c r="A416" s="21" t="s">
        <v>9509</v>
      </c>
      <c r="B416" s="24"/>
      <c r="C416" s="24"/>
      <c r="D416" s="22" t="s">
        <v>8221</v>
      </c>
      <c r="E416" s="24"/>
      <c r="F416" s="22" t="s">
        <v>8149</v>
      </c>
      <c r="G416" s="25"/>
      <c r="H416" s="22">
        <v>9.507437871427E12</v>
      </c>
      <c r="I416" s="25"/>
      <c r="J416" s="25"/>
      <c r="K416" s="24"/>
      <c r="L416" s="25"/>
      <c r="M416" s="25"/>
      <c r="N416" s="22" t="s">
        <v>4504</v>
      </c>
      <c r="O416" s="22" t="s">
        <v>4760</v>
      </c>
      <c r="P416" s="22" t="s">
        <v>4504</v>
      </c>
      <c r="Q416" s="22" t="s">
        <v>4760</v>
      </c>
      <c r="R416" s="22" t="s">
        <v>9510</v>
      </c>
      <c r="S416" s="25"/>
      <c r="T416" s="40" t="s">
        <v>9511</v>
      </c>
      <c r="U416" s="22" t="s">
        <v>9512</v>
      </c>
      <c r="V416" s="25"/>
      <c r="W416" s="22" t="s">
        <v>9513</v>
      </c>
      <c r="X416" s="22" t="s">
        <v>8251</v>
      </c>
      <c r="Y416" s="25"/>
      <c r="Z416" s="25"/>
      <c r="AA416" s="22" t="s">
        <v>8129</v>
      </c>
      <c r="AB416" s="22" t="s">
        <v>8130</v>
      </c>
      <c r="AC416" s="25"/>
      <c r="AD416" s="24"/>
      <c r="AE416" s="22" t="s">
        <v>8132</v>
      </c>
      <c r="AF416" s="25"/>
      <c r="AG416" s="22">
        <v>1.0451284066627E13</v>
      </c>
      <c r="AH416" s="22" t="s">
        <v>8137</v>
      </c>
      <c r="AI416" s="22">
        <v>8.631987437891E12</v>
      </c>
      <c r="AJ416" s="25"/>
      <c r="AK416" s="25"/>
      <c r="AL416" s="22" t="s">
        <v>8149</v>
      </c>
      <c r="AQ416" s="32"/>
      <c r="AR416" s="32" t="b">
        <v>0</v>
      </c>
      <c r="AS416" s="32" t="b">
        <v>0</v>
      </c>
    </row>
    <row r="417">
      <c r="A417" s="21" t="s">
        <v>9514</v>
      </c>
      <c r="B417" s="22" t="s">
        <v>8140</v>
      </c>
      <c r="C417" s="22">
        <v>1.0</v>
      </c>
      <c r="D417" s="22" t="s">
        <v>8141</v>
      </c>
      <c r="E417" s="22" t="s">
        <v>8140</v>
      </c>
      <c r="F417" s="22" t="s">
        <v>8121</v>
      </c>
      <c r="G417" s="25"/>
      <c r="H417" s="22">
        <v>3.2730639204675E13</v>
      </c>
      <c r="I417" s="25"/>
      <c r="J417" s="25"/>
      <c r="K417" s="22">
        <v>4.2085703581939E13</v>
      </c>
      <c r="L417" s="25"/>
      <c r="M417" s="25"/>
      <c r="N417" s="22" t="s">
        <v>3674</v>
      </c>
      <c r="O417" s="22" t="s">
        <v>9515</v>
      </c>
      <c r="P417" s="22" t="s">
        <v>3674</v>
      </c>
      <c r="Q417" s="22" t="s">
        <v>9515</v>
      </c>
      <c r="R417" s="22" t="s">
        <v>9516</v>
      </c>
      <c r="S417" s="25"/>
      <c r="T417" s="40" t="s">
        <v>9517</v>
      </c>
      <c r="U417" s="22" t="s">
        <v>9518</v>
      </c>
      <c r="V417" s="25"/>
      <c r="W417" s="22" t="s">
        <v>9519</v>
      </c>
      <c r="X417" s="22" t="s">
        <v>8200</v>
      </c>
      <c r="Y417" s="25"/>
      <c r="Z417" s="25"/>
      <c r="AA417" s="22" t="s">
        <v>8129</v>
      </c>
      <c r="AB417" s="22" t="s">
        <v>8130</v>
      </c>
      <c r="AC417" s="25"/>
      <c r="AD417" s="22" t="s">
        <v>8131</v>
      </c>
      <c r="AE417" s="22" t="s">
        <v>8132</v>
      </c>
      <c r="AF417" s="25"/>
      <c r="AG417" s="22">
        <v>1.0451287048515E13</v>
      </c>
      <c r="AH417" s="22" t="s">
        <v>90</v>
      </c>
      <c r="AI417" s="22">
        <v>5.975156621555E12</v>
      </c>
      <c r="AJ417" s="25"/>
      <c r="AK417" s="25"/>
      <c r="AL417" s="22" t="s">
        <v>8134</v>
      </c>
      <c r="AQ417" s="32" t="s">
        <v>8150</v>
      </c>
      <c r="AR417" s="32" t="b">
        <v>0</v>
      </c>
      <c r="AS417" s="32" t="b">
        <v>0</v>
      </c>
    </row>
    <row r="418">
      <c r="A418" s="21" t="s">
        <v>9514</v>
      </c>
      <c r="B418" s="24"/>
      <c r="C418" s="24"/>
      <c r="D418" s="22" t="s">
        <v>8141</v>
      </c>
      <c r="E418" s="24"/>
      <c r="F418" s="22" t="s">
        <v>8136</v>
      </c>
      <c r="G418" s="25"/>
      <c r="H418" s="22">
        <v>9.507440427331E12</v>
      </c>
      <c r="I418" s="25"/>
      <c r="J418" s="25"/>
      <c r="K418" s="24"/>
      <c r="L418" s="25"/>
      <c r="M418" s="25"/>
      <c r="N418" s="22" t="s">
        <v>3674</v>
      </c>
      <c r="O418" s="22" t="s">
        <v>9515</v>
      </c>
      <c r="P418" s="22" t="s">
        <v>3674</v>
      </c>
      <c r="Q418" s="22" t="s">
        <v>9515</v>
      </c>
      <c r="R418" s="22" t="s">
        <v>9516</v>
      </c>
      <c r="S418" s="25"/>
      <c r="T418" s="40" t="s">
        <v>9517</v>
      </c>
      <c r="U418" s="22" t="s">
        <v>9518</v>
      </c>
      <c r="V418" s="24"/>
      <c r="W418" s="22" t="s">
        <v>9519</v>
      </c>
      <c r="X418" s="22" t="s">
        <v>8200</v>
      </c>
      <c r="Y418" s="25"/>
      <c r="Z418" s="25"/>
      <c r="AA418" s="22" t="s">
        <v>8129</v>
      </c>
      <c r="AB418" s="22" t="s">
        <v>8130</v>
      </c>
      <c r="AC418" s="25"/>
      <c r="AD418" s="24"/>
      <c r="AE418" s="22" t="s">
        <v>8132</v>
      </c>
      <c r="AF418" s="25"/>
      <c r="AG418" s="22">
        <v>1.0451287048515E13</v>
      </c>
      <c r="AH418" s="22" t="s">
        <v>8137</v>
      </c>
      <c r="AI418" s="22">
        <v>5.975156621555E12</v>
      </c>
      <c r="AJ418" s="25"/>
      <c r="AK418" s="25"/>
      <c r="AL418" s="22" t="s">
        <v>8136</v>
      </c>
      <c r="AQ418" s="32"/>
      <c r="AR418" s="32" t="b">
        <v>0</v>
      </c>
      <c r="AS418" s="32" t="b">
        <v>0</v>
      </c>
    </row>
    <row r="419">
      <c r="A419" s="21" t="s">
        <v>9520</v>
      </c>
      <c r="B419" s="22" t="s">
        <v>8467</v>
      </c>
      <c r="C419" s="22">
        <v>1.0</v>
      </c>
      <c r="D419" s="22" t="s">
        <v>8305</v>
      </c>
      <c r="E419" s="22" t="s">
        <v>8467</v>
      </c>
      <c r="F419" s="22" t="s">
        <v>8155</v>
      </c>
      <c r="G419" s="25"/>
      <c r="H419" s="22">
        <v>3.2730671808835E13</v>
      </c>
      <c r="I419" s="25"/>
      <c r="J419" s="25"/>
      <c r="K419" s="22">
        <v>4.9521175462211E13</v>
      </c>
      <c r="L419" s="25"/>
      <c r="M419" s="25"/>
      <c r="N419" s="22" t="s">
        <v>6655</v>
      </c>
      <c r="O419" s="22" t="s">
        <v>9521</v>
      </c>
      <c r="P419" s="22" t="s">
        <v>6655</v>
      </c>
      <c r="Q419" s="22" t="s">
        <v>9521</v>
      </c>
      <c r="R419" s="22" t="s">
        <v>9522</v>
      </c>
      <c r="S419" s="25"/>
      <c r="T419" s="40" t="s">
        <v>9523</v>
      </c>
      <c r="U419" s="22" t="s">
        <v>9524</v>
      </c>
      <c r="V419" s="24"/>
      <c r="W419" s="22" t="s">
        <v>9525</v>
      </c>
      <c r="X419" s="22" t="s">
        <v>9526</v>
      </c>
      <c r="Y419" s="25"/>
      <c r="Z419" s="25"/>
      <c r="AA419" s="22" t="s">
        <v>8129</v>
      </c>
      <c r="AB419" s="22" t="s">
        <v>8130</v>
      </c>
      <c r="AC419" s="25"/>
      <c r="AD419" s="22" t="s">
        <v>8161</v>
      </c>
      <c r="AE419" s="22" t="s">
        <v>8132</v>
      </c>
      <c r="AF419" s="25"/>
      <c r="AG419" s="22">
        <v>1.0451300680003E13</v>
      </c>
      <c r="AH419" s="22" t="s">
        <v>90</v>
      </c>
      <c r="AI419" s="22">
        <v>8.621572653379E12</v>
      </c>
      <c r="AJ419" s="25"/>
      <c r="AK419" s="25"/>
      <c r="AL419" s="22" t="s">
        <v>8173</v>
      </c>
      <c r="AQ419" s="32" t="s">
        <v>55</v>
      </c>
      <c r="AR419" s="32" t="b">
        <v>0</v>
      </c>
      <c r="AS419" s="32" t="b">
        <v>1</v>
      </c>
    </row>
    <row r="420">
      <c r="A420" s="21" t="s">
        <v>9520</v>
      </c>
      <c r="B420" s="24"/>
      <c r="C420" s="24"/>
      <c r="D420" s="22" t="s">
        <v>8305</v>
      </c>
      <c r="E420" s="24"/>
      <c r="F420" s="22" t="s">
        <v>8149</v>
      </c>
      <c r="G420" s="25"/>
      <c r="H420" s="22">
        <v>9.507452420419E12</v>
      </c>
      <c r="I420" s="25"/>
      <c r="J420" s="25"/>
      <c r="K420" s="24"/>
      <c r="L420" s="25"/>
      <c r="M420" s="25"/>
      <c r="N420" s="22" t="s">
        <v>6655</v>
      </c>
      <c r="O420" s="22" t="s">
        <v>9521</v>
      </c>
      <c r="P420" s="22" t="s">
        <v>6655</v>
      </c>
      <c r="Q420" s="22" t="s">
        <v>9521</v>
      </c>
      <c r="R420" s="22" t="s">
        <v>9522</v>
      </c>
      <c r="S420" s="25"/>
      <c r="T420" s="40" t="s">
        <v>9523</v>
      </c>
      <c r="U420" s="22" t="s">
        <v>9524</v>
      </c>
      <c r="V420" s="25"/>
      <c r="W420" s="22" t="s">
        <v>9525</v>
      </c>
      <c r="X420" s="22" t="s">
        <v>9526</v>
      </c>
      <c r="Y420" s="25"/>
      <c r="Z420" s="25"/>
      <c r="AA420" s="22" t="s">
        <v>8129</v>
      </c>
      <c r="AB420" s="22" t="s">
        <v>8130</v>
      </c>
      <c r="AC420" s="25"/>
      <c r="AD420" s="24"/>
      <c r="AE420" s="22" t="s">
        <v>8132</v>
      </c>
      <c r="AF420" s="25"/>
      <c r="AG420" s="22">
        <v>1.0451300680003E13</v>
      </c>
      <c r="AH420" s="22" t="s">
        <v>8137</v>
      </c>
      <c r="AI420" s="22">
        <v>8.621572653379E12</v>
      </c>
      <c r="AJ420" s="25"/>
      <c r="AK420" s="25"/>
      <c r="AL420" s="22" t="s">
        <v>8149</v>
      </c>
      <c r="AQ420" s="32"/>
      <c r="AR420" s="32" t="b">
        <v>0</v>
      </c>
      <c r="AS420" s="32" t="b">
        <v>0</v>
      </c>
    </row>
    <row r="421">
      <c r="A421" s="21" t="s">
        <v>9527</v>
      </c>
      <c r="B421" s="22" t="s">
        <v>8140</v>
      </c>
      <c r="C421" s="22">
        <v>1.0</v>
      </c>
      <c r="D421" s="22" t="s">
        <v>8236</v>
      </c>
      <c r="E421" s="22" t="s">
        <v>8140</v>
      </c>
      <c r="F421" s="22" t="s">
        <v>8121</v>
      </c>
      <c r="G421" s="25"/>
      <c r="H421" s="22">
        <v>3.2729255084355E13</v>
      </c>
      <c r="I421" s="25"/>
      <c r="J421" s="25"/>
      <c r="K421" s="22">
        <v>4.2085703581939E13</v>
      </c>
      <c r="L421" s="25"/>
      <c r="M421" s="25"/>
      <c r="N421" s="22" t="s">
        <v>7056</v>
      </c>
      <c r="O421" s="22" t="s">
        <v>7560</v>
      </c>
      <c r="P421" s="22" t="s">
        <v>7056</v>
      </c>
      <c r="Q421" s="22" t="s">
        <v>7560</v>
      </c>
      <c r="R421" s="22" t="s">
        <v>9528</v>
      </c>
      <c r="S421" s="25"/>
      <c r="T421" s="40" t="s">
        <v>9529</v>
      </c>
      <c r="U421" s="22" t="s">
        <v>9530</v>
      </c>
      <c r="V421" s="25"/>
      <c r="W421" s="22" t="s">
        <v>9531</v>
      </c>
      <c r="X421" s="22" t="s">
        <v>9235</v>
      </c>
      <c r="Y421" s="25"/>
      <c r="Z421" s="25"/>
      <c r="AA421" s="22" t="s">
        <v>8129</v>
      </c>
      <c r="AB421" s="22" t="s">
        <v>8130</v>
      </c>
      <c r="AC421" s="25"/>
      <c r="AD421" s="22" t="s">
        <v>8131</v>
      </c>
      <c r="AE421" s="22" t="s">
        <v>8132</v>
      </c>
      <c r="AF421" s="25"/>
      <c r="AG421" s="22">
        <v>1.0450668847427E13</v>
      </c>
      <c r="AH421" s="22" t="s">
        <v>90</v>
      </c>
      <c r="AI421" s="22">
        <v>6.434157986035E12</v>
      </c>
      <c r="AJ421" s="25"/>
      <c r="AK421" s="25"/>
      <c r="AL421" s="22" t="s">
        <v>8134</v>
      </c>
      <c r="AQ421" s="32" t="s">
        <v>8150</v>
      </c>
      <c r="AR421" s="32" t="b">
        <v>0</v>
      </c>
      <c r="AS421" s="32" t="b">
        <v>0</v>
      </c>
    </row>
    <row r="422">
      <c r="A422" s="21" t="s">
        <v>9527</v>
      </c>
      <c r="B422" s="24"/>
      <c r="C422" s="24"/>
      <c r="D422" s="22" t="s">
        <v>8236</v>
      </c>
      <c r="E422" s="24"/>
      <c r="F422" s="22" t="s">
        <v>8136</v>
      </c>
      <c r="G422" s="25"/>
      <c r="H422" s="22">
        <v>9.506868068675E12</v>
      </c>
      <c r="I422" s="25"/>
      <c r="J422" s="25"/>
      <c r="K422" s="24"/>
      <c r="L422" s="25"/>
      <c r="M422" s="25"/>
      <c r="N422" s="22" t="s">
        <v>7056</v>
      </c>
      <c r="O422" s="22" t="s">
        <v>7560</v>
      </c>
      <c r="P422" s="22" t="s">
        <v>7056</v>
      </c>
      <c r="Q422" s="22" t="s">
        <v>7560</v>
      </c>
      <c r="R422" s="22" t="s">
        <v>9528</v>
      </c>
      <c r="S422" s="25"/>
      <c r="T422" s="40" t="s">
        <v>9529</v>
      </c>
      <c r="U422" s="22" t="s">
        <v>9530</v>
      </c>
      <c r="V422" s="25"/>
      <c r="W422" s="22" t="s">
        <v>9531</v>
      </c>
      <c r="X422" s="22" t="s">
        <v>9235</v>
      </c>
      <c r="Y422" s="25"/>
      <c r="Z422" s="25"/>
      <c r="AA422" s="22" t="s">
        <v>8129</v>
      </c>
      <c r="AB422" s="22" t="s">
        <v>8130</v>
      </c>
      <c r="AC422" s="25"/>
      <c r="AD422" s="24"/>
      <c r="AE422" s="22" t="s">
        <v>8132</v>
      </c>
      <c r="AF422" s="25"/>
      <c r="AG422" s="22">
        <v>1.0450668847427E13</v>
      </c>
      <c r="AH422" s="22" t="s">
        <v>8137</v>
      </c>
      <c r="AI422" s="22">
        <v>6.434157986035E12</v>
      </c>
      <c r="AJ422" s="25"/>
      <c r="AK422" s="25"/>
      <c r="AL422" s="22" t="s">
        <v>8136</v>
      </c>
      <c r="AQ422" s="32"/>
      <c r="AR422" s="32" t="b">
        <v>0</v>
      </c>
      <c r="AS422" s="32" t="b">
        <v>0</v>
      </c>
    </row>
    <row r="423">
      <c r="A423" s="21" t="s">
        <v>9532</v>
      </c>
      <c r="B423" s="22" t="s">
        <v>8140</v>
      </c>
      <c r="C423" s="22">
        <v>1.0</v>
      </c>
      <c r="D423" s="22" t="s">
        <v>8278</v>
      </c>
      <c r="E423" s="22" t="s">
        <v>8140</v>
      </c>
      <c r="F423" s="22" t="s">
        <v>8121</v>
      </c>
      <c r="G423" s="25"/>
      <c r="H423" s="22">
        <v>3.2730676986179E13</v>
      </c>
      <c r="I423" s="25"/>
      <c r="J423" s="25"/>
      <c r="K423" s="22">
        <v>4.2085703581939E13</v>
      </c>
      <c r="L423" s="25"/>
      <c r="M423" s="25"/>
      <c r="N423" s="22" t="s">
        <v>9533</v>
      </c>
      <c r="O423" s="22" t="s">
        <v>9534</v>
      </c>
      <c r="P423" s="22" t="s">
        <v>9533</v>
      </c>
      <c r="Q423" s="22" t="s">
        <v>9534</v>
      </c>
      <c r="R423" s="22" t="s">
        <v>9535</v>
      </c>
      <c r="S423" s="25"/>
      <c r="T423" s="40" t="s">
        <v>9536</v>
      </c>
      <c r="U423" s="22" t="s">
        <v>9537</v>
      </c>
      <c r="V423" s="25"/>
      <c r="W423" s="22" t="s">
        <v>9538</v>
      </c>
      <c r="X423" s="22" t="s">
        <v>9539</v>
      </c>
      <c r="Y423" s="25"/>
      <c r="Z423" s="25"/>
      <c r="AA423" s="22" t="s">
        <v>8129</v>
      </c>
      <c r="AB423" s="22" t="s">
        <v>8130</v>
      </c>
      <c r="AC423" s="25"/>
      <c r="AD423" s="22" t="s">
        <v>8131</v>
      </c>
      <c r="AE423" s="22" t="s">
        <v>8132</v>
      </c>
      <c r="AF423" s="25"/>
      <c r="AG423" s="22">
        <v>1.0451302416707E13</v>
      </c>
      <c r="AH423" s="22" t="s">
        <v>90</v>
      </c>
      <c r="AI423" s="22">
        <v>8.591005876547E12</v>
      </c>
      <c r="AJ423" s="25"/>
      <c r="AK423" s="25"/>
      <c r="AL423" s="22" t="s">
        <v>8134</v>
      </c>
      <c r="AQ423" s="32" t="s">
        <v>8150</v>
      </c>
      <c r="AR423" s="32" t="b">
        <v>0</v>
      </c>
      <c r="AS423" s="32" t="b">
        <v>0</v>
      </c>
    </row>
    <row r="424">
      <c r="A424" s="21" t="s">
        <v>9532</v>
      </c>
      <c r="B424" s="24"/>
      <c r="C424" s="24"/>
      <c r="D424" s="22" t="s">
        <v>8278</v>
      </c>
      <c r="E424" s="24"/>
      <c r="F424" s="22" t="s">
        <v>8136</v>
      </c>
      <c r="G424" s="25"/>
      <c r="H424" s="22">
        <v>9.507454091587E12</v>
      </c>
      <c r="I424" s="25"/>
      <c r="J424" s="25"/>
      <c r="K424" s="24"/>
      <c r="L424" s="25"/>
      <c r="M424" s="25"/>
      <c r="N424" s="22" t="s">
        <v>9533</v>
      </c>
      <c r="O424" s="22" t="s">
        <v>9534</v>
      </c>
      <c r="P424" s="22" t="s">
        <v>9533</v>
      </c>
      <c r="Q424" s="22" t="s">
        <v>9534</v>
      </c>
      <c r="R424" s="22" t="s">
        <v>9535</v>
      </c>
      <c r="S424" s="25"/>
      <c r="T424" s="40" t="s">
        <v>9536</v>
      </c>
      <c r="U424" s="22" t="s">
        <v>9537</v>
      </c>
      <c r="V424" s="25"/>
      <c r="W424" s="22" t="s">
        <v>9538</v>
      </c>
      <c r="X424" s="22" t="s">
        <v>9539</v>
      </c>
      <c r="Y424" s="25"/>
      <c r="Z424" s="25"/>
      <c r="AA424" s="22" t="s">
        <v>8129</v>
      </c>
      <c r="AB424" s="22" t="s">
        <v>8130</v>
      </c>
      <c r="AC424" s="25"/>
      <c r="AD424" s="24"/>
      <c r="AE424" s="22" t="s">
        <v>8132</v>
      </c>
      <c r="AF424" s="25"/>
      <c r="AG424" s="22">
        <v>1.0451302416707E13</v>
      </c>
      <c r="AH424" s="22" t="s">
        <v>8137</v>
      </c>
      <c r="AI424" s="22">
        <v>8.591005876547E12</v>
      </c>
      <c r="AJ424" s="25"/>
      <c r="AK424" s="25"/>
      <c r="AL424" s="22" t="s">
        <v>8136</v>
      </c>
      <c r="AQ424" s="32"/>
      <c r="AR424" s="32" t="b">
        <v>0</v>
      </c>
      <c r="AS424" s="32" t="b">
        <v>0</v>
      </c>
    </row>
    <row r="425">
      <c r="A425" s="21" t="s">
        <v>9540</v>
      </c>
      <c r="B425" s="22" t="s">
        <v>8467</v>
      </c>
      <c r="C425" s="22">
        <v>1.0</v>
      </c>
      <c r="D425" s="22" t="s">
        <v>8221</v>
      </c>
      <c r="E425" s="22" t="s">
        <v>8467</v>
      </c>
      <c r="F425" s="22" t="s">
        <v>8155</v>
      </c>
      <c r="G425" s="25"/>
      <c r="H425" s="22">
        <v>3.2730699202883E13</v>
      </c>
      <c r="I425" s="25"/>
      <c r="J425" s="25"/>
      <c r="K425" s="22">
        <v>4.9521175462211E13</v>
      </c>
      <c r="L425" s="25"/>
      <c r="M425" s="25"/>
      <c r="N425" s="22" t="s">
        <v>3858</v>
      </c>
      <c r="O425" s="22" t="s">
        <v>9541</v>
      </c>
      <c r="P425" s="22" t="s">
        <v>3858</v>
      </c>
      <c r="Q425" s="22" t="s">
        <v>9541</v>
      </c>
      <c r="R425" s="22" t="s">
        <v>9542</v>
      </c>
      <c r="S425" s="25"/>
      <c r="T425" s="40" t="s">
        <v>9543</v>
      </c>
      <c r="U425" s="22" t="s">
        <v>9544</v>
      </c>
      <c r="V425" s="25"/>
      <c r="W425" s="22" t="s">
        <v>9545</v>
      </c>
      <c r="X425" s="22" t="s">
        <v>9546</v>
      </c>
      <c r="Y425" s="25"/>
      <c r="Z425" s="25"/>
      <c r="AA425" s="22" t="s">
        <v>8129</v>
      </c>
      <c r="AB425" s="22" t="s">
        <v>8130</v>
      </c>
      <c r="AC425" s="25"/>
      <c r="AD425" s="22" t="s">
        <v>8161</v>
      </c>
      <c r="AE425" s="22" t="s">
        <v>8132</v>
      </c>
      <c r="AF425" s="25"/>
      <c r="AG425" s="22">
        <v>1.0451312378179E13</v>
      </c>
      <c r="AH425" s="22" t="s">
        <v>90</v>
      </c>
      <c r="AI425" s="22">
        <v>7.482503987523E12</v>
      </c>
      <c r="AJ425" s="25"/>
      <c r="AK425" s="25"/>
      <c r="AL425" s="22" t="s">
        <v>8173</v>
      </c>
      <c r="AQ425" s="32" t="s">
        <v>55</v>
      </c>
      <c r="AR425" s="32" t="b">
        <v>0</v>
      </c>
      <c r="AS425" s="32" t="b">
        <v>1</v>
      </c>
    </row>
    <row r="426">
      <c r="A426" s="21" t="s">
        <v>9540</v>
      </c>
      <c r="B426" s="24"/>
      <c r="C426" s="24"/>
      <c r="D426" s="22" t="s">
        <v>8221</v>
      </c>
      <c r="E426" s="24"/>
      <c r="F426" s="22" t="s">
        <v>8149</v>
      </c>
      <c r="G426" s="25"/>
      <c r="H426" s="22">
        <v>9.507462480195E12</v>
      </c>
      <c r="I426" s="25"/>
      <c r="J426" s="25"/>
      <c r="K426" s="24"/>
      <c r="L426" s="25"/>
      <c r="M426" s="25"/>
      <c r="N426" s="22" t="s">
        <v>3858</v>
      </c>
      <c r="O426" s="22" t="s">
        <v>9541</v>
      </c>
      <c r="P426" s="22" t="s">
        <v>3858</v>
      </c>
      <c r="Q426" s="22" t="s">
        <v>9541</v>
      </c>
      <c r="R426" s="22" t="s">
        <v>9542</v>
      </c>
      <c r="S426" s="25"/>
      <c r="T426" s="40" t="s">
        <v>9543</v>
      </c>
      <c r="U426" s="22" t="s">
        <v>9544</v>
      </c>
      <c r="V426" s="25"/>
      <c r="W426" s="22" t="s">
        <v>9545</v>
      </c>
      <c r="X426" s="22" t="s">
        <v>9546</v>
      </c>
      <c r="Y426" s="25"/>
      <c r="Z426" s="25"/>
      <c r="AA426" s="22" t="s">
        <v>8129</v>
      </c>
      <c r="AB426" s="22" t="s">
        <v>8130</v>
      </c>
      <c r="AC426" s="25"/>
      <c r="AD426" s="24"/>
      <c r="AE426" s="22" t="s">
        <v>8132</v>
      </c>
      <c r="AF426" s="25"/>
      <c r="AG426" s="22">
        <v>1.0451312378179E13</v>
      </c>
      <c r="AH426" s="22" t="s">
        <v>8137</v>
      </c>
      <c r="AI426" s="22">
        <v>7.482503987523E12</v>
      </c>
      <c r="AJ426" s="25"/>
      <c r="AK426" s="25"/>
      <c r="AL426" s="22" t="s">
        <v>8149</v>
      </c>
      <c r="AQ426" s="32"/>
      <c r="AR426" s="32" t="b">
        <v>0</v>
      </c>
      <c r="AS426" s="32" t="b">
        <v>0</v>
      </c>
    </row>
    <row r="427">
      <c r="A427" s="21" t="s">
        <v>9547</v>
      </c>
      <c r="B427" s="22" t="s">
        <v>8140</v>
      </c>
      <c r="C427" s="22">
        <v>1.0</v>
      </c>
      <c r="D427" s="22" t="s">
        <v>8203</v>
      </c>
      <c r="E427" s="22" t="s">
        <v>8140</v>
      </c>
      <c r="F427" s="22" t="s">
        <v>8121</v>
      </c>
      <c r="G427" s="25"/>
      <c r="H427" s="22">
        <v>3.2730711818563E13</v>
      </c>
      <c r="I427" s="25"/>
      <c r="J427" s="25"/>
      <c r="K427" s="22">
        <v>4.2085703581939E13</v>
      </c>
      <c r="L427" s="25"/>
      <c r="M427" s="25"/>
      <c r="N427" s="22" t="s">
        <v>3883</v>
      </c>
      <c r="O427" s="22" t="s">
        <v>6364</v>
      </c>
      <c r="P427" s="22" t="s">
        <v>3883</v>
      </c>
      <c r="Q427" s="22" t="s">
        <v>6364</v>
      </c>
      <c r="R427" s="22" t="s">
        <v>9548</v>
      </c>
      <c r="S427" s="25"/>
      <c r="T427" s="40" t="s">
        <v>9549</v>
      </c>
      <c r="U427" s="22" t="s">
        <v>9550</v>
      </c>
      <c r="V427" s="25"/>
      <c r="W427" s="22" t="s">
        <v>9551</v>
      </c>
      <c r="X427" s="22" t="s">
        <v>9552</v>
      </c>
      <c r="Y427" s="25"/>
      <c r="Z427" s="25"/>
      <c r="AA427" s="22" t="s">
        <v>8129</v>
      </c>
      <c r="AB427" s="22" t="s">
        <v>8130</v>
      </c>
      <c r="AC427" s="25"/>
      <c r="AD427" s="22" t="s">
        <v>8131</v>
      </c>
      <c r="AE427" s="22" t="s">
        <v>8132</v>
      </c>
      <c r="AF427" s="25"/>
      <c r="AG427" s="22">
        <v>1.0451317686595E13</v>
      </c>
      <c r="AH427" s="22" t="s">
        <v>90</v>
      </c>
      <c r="AI427" s="22">
        <v>7.444094157123E12</v>
      </c>
      <c r="AJ427" s="25"/>
      <c r="AK427" s="25"/>
      <c r="AL427" s="22" t="s">
        <v>8134</v>
      </c>
      <c r="AQ427" s="32" t="s">
        <v>8150</v>
      </c>
      <c r="AR427" s="32" t="b">
        <v>0</v>
      </c>
      <c r="AS427" s="32" t="b">
        <v>0</v>
      </c>
    </row>
    <row r="428">
      <c r="A428" s="21" t="s">
        <v>9547</v>
      </c>
      <c r="B428" s="24"/>
      <c r="C428" s="24"/>
      <c r="D428" s="22" t="s">
        <v>8203</v>
      </c>
      <c r="E428" s="24"/>
      <c r="F428" s="22" t="s">
        <v>8136</v>
      </c>
      <c r="G428" s="25"/>
      <c r="H428" s="22">
        <v>9.507467166019E12</v>
      </c>
      <c r="I428" s="25"/>
      <c r="J428" s="25"/>
      <c r="K428" s="24"/>
      <c r="L428" s="25"/>
      <c r="M428" s="25"/>
      <c r="N428" s="22" t="s">
        <v>3883</v>
      </c>
      <c r="O428" s="22" t="s">
        <v>6364</v>
      </c>
      <c r="P428" s="22" t="s">
        <v>3883</v>
      </c>
      <c r="Q428" s="22" t="s">
        <v>6364</v>
      </c>
      <c r="R428" s="22" t="s">
        <v>9548</v>
      </c>
      <c r="S428" s="25"/>
      <c r="T428" s="40" t="s">
        <v>9549</v>
      </c>
      <c r="U428" s="22" t="s">
        <v>9550</v>
      </c>
      <c r="V428" s="25"/>
      <c r="W428" s="22" t="s">
        <v>9551</v>
      </c>
      <c r="X428" s="22" t="s">
        <v>9552</v>
      </c>
      <c r="Y428" s="25"/>
      <c r="Z428" s="25"/>
      <c r="AA428" s="22" t="s">
        <v>8129</v>
      </c>
      <c r="AB428" s="22" t="s">
        <v>8130</v>
      </c>
      <c r="AC428" s="25"/>
      <c r="AD428" s="24"/>
      <c r="AE428" s="22" t="s">
        <v>8132</v>
      </c>
      <c r="AF428" s="25"/>
      <c r="AG428" s="22">
        <v>1.0451317686595E13</v>
      </c>
      <c r="AH428" s="22" t="s">
        <v>8137</v>
      </c>
      <c r="AI428" s="22">
        <v>7.444094157123E12</v>
      </c>
      <c r="AJ428" s="25"/>
      <c r="AK428" s="25"/>
      <c r="AL428" s="22" t="s">
        <v>8136</v>
      </c>
      <c r="AQ428" s="32"/>
      <c r="AR428" s="32" t="b">
        <v>0</v>
      </c>
      <c r="AS428" s="32" t="b">
        <v>0</v>
      </c>
    </row>
    <row r="429">
      <c r="A429" s="21" t="s">
        <v>9553</v>
      </c>
      <c r="B429" s="22" t="s">
        <v>8467</v>
      </c>
      <c r="C429" s="22">
        <v>1.0</v>
      </c>
      <c r="D429" s="22" t="s">
        <v>8141</v>
      </c>
      <c r="E429" s="22" t="s">
        <v>8467</v>
      </c>
      <c r="F429" s="22" t="s">
        <v>8155</v>
      </c>
      <c r="G429" s="25"/>
      <c r="H429" s="22">
        <v>3.2730746585411E13</v>
      </c>
      <c r="I429" s="25"/>
      <c r="J429" s="25"/>
      <c r="K429" s="22">
        <v>4.9521175462211E13</v>
      </c>
      <c r="L429" s="25"/>
      <c r="M429" s="25"/>
      <c r="N429" s="22" t="s">
        <v>9554</v>
      </c>
      <c r="O429" s="22" t="s">
        <v>9555</v>
      </c>
      <c r="P429" s="22" t="s">
        <v>9554</v>
      </c>
      <c r="Q429" s="22" t="s">
        <v>9555</v>
      </c>
      <c r="R429" s="22" t="s">
        <v>9556</v>
      </c>
      <c r="S429" s="25"/>
      <c r="T429" s="40" t="s">
        <v>9557</v>
      </c>
      <c r="U429" s="22" t="s">
        <v>9558</v>
      </c>
      <c r="V429" s="25"/>
      <c r="W429" s="22" t="s">
        <v>9559</v>
      </c>
      <c r="X429" s="22" t="s">
        <v>8251</v>
      </c>
      <c r="Y429" s="25"/>
      <c r="Z429" s="25"/>
      <c r="AA429" s="22" t="s">
        <v>8129</v>
      </c>
      <c r="AB429" s="22" t="s">
        <v>8130</v>
      </c>
      <c r="AC429" s="25"/>
      <c r="AD429" s="22" t="s">
        <v>8161</v>
      </c>
      <c r="AE429" s="22" t="s">
        <v>8132</v>
      </c>
      <c r="AF429" s="25"/>
      <c r="AG429" s="22">
        <v>1.0451332563267E13</v>
      </c>
      <c r="AH429" s="22" t="s">
        <v>90</v>
      </c>
      <c r="AI429" s="22">
        <v>2.3416709644611E13</v>
      </c>
      <c r="AJ429" s="25"/>
      <c r="AK429" s="25"/>
      <c r="AL429" s="22" t="s">
        <v>8173</v>
      </c>
      <c r="AQ429" s="32" t="s">
        <v>55</v>
      </c>
      <c r="AR429" s="32" t="b">
        <v>0</v>
      </c>
      <c r="AS429" s="32" t="b">
        <v>1</v>
      </c>
    </row>
    <row r="430">
      <c r="A430" s="21" t="s">
        <v>9553</v>
      </c>
      <c r="B430" s="24"/>
      <c r="C430" s="24"/>
      <c r="D430" s="22" t="s">
        <v>8141</v>
      </c>
      <c r="E430" s="24"/>
      <c r="F430" s="22" t="s">
        <v>8149</v>
      </c>
      <c r="G430" s="25"/>
      <c r="H430" s="22">
        <v>9.507480764739E12</v>
      </c>
      <c r="I430" s="25"/>
      <c r="J430" s="25"/>
      <c r="K430" s="24"/>
      <c r="L430" s="25"/>
      <c r="M430" s="25"/>
      <c r="N430" s="22" t="s">
        <v>9554</v>
      </c>
      <c r="O430" s="22" t="s">
        <v>9555</v>
      </c>
      <c r="P430" s="22" t="s">
        <v>9554</v>
      </c>
      <c r="Q430" s="22" t="s">
        <v>9555</v>
      </c>
      <c r="R430" s="22" t="s">
        <v>9556</v>
      </c>
      <c r="S430" s="25"/>
      <c r="T430" s="40" t="s">
        <v>9557</v>
      </c>
      <c r="U430" s="22" t="s">
        <v>9558</v>
      </c>
      <c r="V430" s="25"/>
      <c r="W430" s="22" t="s">
        <v>9559</v>
      </c>
      <c r="X430" s="22" t="s">
        <v>8251</v>
      </c>
      <c r="Y430" s="25"/>
      <c r="Z430" s="25"/>
      <c r="AA430" s="22" t="s">
        <v>8129</v>
      </c>
      <c r="AB430" s="22" t="s">
        <v>8130</v>
      </c>
      <c r="AC430" s="25"/>
      <c r="AD430" s="24"/>
      <c r="AE430" s="22" t="s">
        <v>8132</v>
      </c>
      <c r="AF430" s="25"/>
      <c r="AG430" s="22">
        <v>1.0451332563267E13</v>
      </c>
      <c r="AH430" s="22" t="s">
        <v>8137</v>
      </c>
      <c r="AI430" s="22">
        <v>2.3416709644611E13</v>
      </c>
      <c r="AJ430" s="25"/>
      <c r="AK430" s="25"/>
      <c r="AL430" s="22" t="s">
        <v>8149</v>
      </c>
      <c r="AQ430" s="32"/>
      <c r="AR430" s="32" t="b">
        <v>0</v>
      </c>
      <c r="AS430" s="32" t="b">
        <v>0</v>
      </c>
    </row>
    <row r="431">
      <c r="A431" s="21" t="s">
        <v>9560</v>
      </c>
      <c r="B431" s="22" t="s">
        <v>8140</v>
      </c>
      <c r="C431" s="22">
        <v>1.0</v>
      </c>
      <c r="D431" s="22" t="s">
        <v>8305</v>
      </c>
      <c r="E431" s="22" t="s">
        <v>8140</v>
      </c>
      <c r="F431" s="22" t="s">
        <v>8121</v>
      </c>
      <c r="G431" s="25"/>
      <c r="H431" s="22">
        <v>3.2730774831427E13</v>
      </c>
      <c r="I431" s="25"/>
      <c r="J431" s="25"/>
      <c r="K431" s="22">
        <v>4.2085703581939E13</v>
      </c>
      <c r="L431" s="25"/>
      <c r="M431" s="25"/>
      <c r="N431" s="22" t="s">
        <v>7090</v>
      </c>
      <c r="O431" s="22" t="s">
        <v>9561</v>
      </c>
      <c r="P431" s="22" t="s">
        <v>7090</v>
      </c>
      <c r="Q431" s="22" t="s">
        <v>9561</v>
      </c>
      <c r="R431" s="22" t="s">
        <v>9562</v>
      </c>
      <c r="S431" s="25"/>
      <c r="T431" s="40" t="s">
        <v>9563</v>
      </c>
      <c r="U431" s="22" t="s">
        <v>9564</v>
      </c>
      <c r="V431" s="25"/>
      <c r="W431" s="22" t="s">
        <v>9565</v>
      </c>
      <c r="X431" s="22" t="s">
        <v>8289</v>
      </c>
      <c r="Y431" s="25"/>
      <c r="Z431" s="25"/>
      <c r="AA431" s="22" t="s">
        <v>8129</v>
      </c>
      <c r="AB431" s="22" t="s">
        <v>8130</v>
      </c>
      <c r="AC431" s="25"/>
      <c r="AD431" s="22" t="s">
        <v>8131</v>
      </c>
      <c r="AE431" s="22" t="s">
        <v>8132</v>
      </c>
      <c r="AF431" s="25"/>
      <c r="AG431" s="22">
        <v>1.0451344032067E13</v>
      </c>
      <c r="AH431" s="22" t="s">
        <v>90</v>
      </c>
      <c r="AI431" s="22">
        <v>7.467314905411E12</v>
      </c>
      <c r="AJ431" s="25"/>
      <c r="AK431" s="25"/>
      <c r="AL431" s="22" t="s">
        <v>8134</v>
      </c>
      <c r="AQ431" s="32" t="s">
        <v>8150</v>
      </c>
      <c r="AR431" s="32" t="b">
        <v>0</v>
      </c>
      <c r="AS431" s="32" t="b">
        <v>0</v>
      </c>
    </row>
    <row r="432">
      <c r="A432" s="21" t="s">
        <v>9560</v>
      </c>
      <c r="B432" s="24"/>
      <c r="C432" s="24"/>
      <c r="D432" s="22" t="s">
        <v>8305</v>
      </c>
      <c r="E432" s="24"/>
      <c r="F432" s="22" t="s">
        <v>8136</v>
      </c>
      <c r="G432" s="25"/>
      <c r="H432" s="22">
        <v>9.507490758979E12</v>
      </c>
      <c r="I432" s="25"/>
      <c r="J432" s="25"/>
      <c r="K432" s="24"/>
      <c r="L432" s="25"/>
      <c r="M432" s="25"/>
      <c r="N432" s="22" t="s">
        <v>7090</v>
      </c>
      <c r="O432" s="22" t="s">
        <v>9561</v>
      </c>
      <c r="P432" s="22" t="s">
        <v>7090</v>
      </c>
      <c r="Q432" s="22" t="s">
        <v>9561</v>
      </c>
      <c r="R432" s="22" t="s">
        <v>9562</v>
      </c>
      <c r="S432" s="25"/>
      <c r="T432" s="40" t="s">
        <v>9563</v>
      </c>
      <c r="U432" s="22" t="s">
        <v>9564</v>
      </c>
      <c r="V432" s="25"/>
      <c r="W432" s="22" t="s">
        <v>9565</v>
      </c>
      <c r="X432" s="22" t="s">
        <v>8289</v>
      </c>
      <c r="Y432" s="25"/>
      <c r="Z432" s="25"/>
      <c r="AA432" s="22" t="s">
        <v>8129</v>
      </c>
      <c r="AB432" s="22" t="s">
        <v>8130</v>
      </c>
      <c r="AC432" s="25"/>
      <c r="AD432" s="24"/>
      <c r="AE432" s="22" t="s">
        <v>8132</v>
      </c>
      <c r="AF432" s="25"/>
      <c r="AG432" s="22">
        <v>1.0451344032067E13</v>
      </c>
      <c r="AH432" s="22" t="s">
        <v>8137</v>
      </c>
      <c r="AI432" s="22">
        <v>7.467314905411E12</v>
      </c>
      <c r="AJ432" s="25"/>
      <c r="AK432" s="25"/>
      <c r="AL432" s="22" t="s">
        <v>8136</v>
      </c>
      <c r="AQ432" s="32"/>
      <c r="AR432" s="32" t="b">
        <v>0</v>
      </c>
      <c r="AS432" s="32" t="b">
        <v>0</v>
      </c>
    </row>
    <row r="433">
      <c r="A433" s="21" t="s">
        <v>9566</v>
      </c>
      <c r="B433" s="22" t="s">
        <v>8119</v>
      </c>
      <c r="C433" s="22">
        <v>1.0</v>
      </c>
      <c r="D433" s="22" t="s">
        <v>9567</v>
      </c>
      <c r="E433" s="22" t="s">
        <v>8119</v>
      </c>
      <c r="F433" s="22" t="s">
        <v>8121</v>
      </c>
      <c r="G433" s="25"/>
      <c r="H433" s="22">
        <v>3.2730775060803E13</v>
      </c>
      <c r="I433" s="25"/>
      <c r="J433" s="25"/>
      <c r="K433" s="22">
        <v>4.2085703549171E13</v>
      </c>
      <c r="L433" s="25"/>
      <c r="M433" s="25"/>
      <c r="N433" s="22" t="s">
        <v>9447</v>
      </c>
      <c r="O433" s="22" t="s">
        <v>9568</v>
      </c>
      <c r="P433" s="22" t="s">
        <v>9447</v>
      </c>
      <c r="Q433" s="22" t="s">
        <v>9568</v>
      </c>
      <c r="R433" s="22" t="s">
        <v>9569</v>
      </c>
      <c r="S433" s="25"/>
      <c r="T433" s="40" t="s">
        <v>9570</v>
      </c>
      <c r="U433" s="22" t="s">
        <v>9571</v>
      </c>
      <c r="V433" s="25"/>
      <c r="W433" s="22" t="s">
        <v>9572</v>
      </c>
      <c r="X433" s="22" t="s">
        <v>9573</v>
      </c>
      <c r="Y433" s="25"/>
      <c r="Z433" s="25"/>
      <c r="AA433" s="22" t="s">
        <v>8129</v>
      </c>
      <c r="AB433" s="22" t="s">
        <v>8130</v>
      </c>
      <c r="AC433" s="25"/>
      <c r="AD433" s="22" t="s">
        <v>8131</v>
      </c>
      <c r="AE433" s="22" t="s">
        <v>8132</v>
      </c>
      <c r="AF433" s="25"/>
      <c r="AG433" s="22">
        <v>1.0451344064835E13</v>
      </c>
      <c r="AH433" s="22" t="s">
        <v>90</v>
      </c>
      <c r="AI433" s="22">
        <v>8.633304711491E12</v>
      </c>
      <c r="AJ433" s="25"/>
      <c r="AK433" s="25"/>
      <c r="AL433" s="22" t="s">
        <v>8133</v>
      </c>
      <c r="AQ433" s="32" t="s">
        <v>8135</v>
      </c>
      <c r="AR433" s="32" t="b">
        <v>0</v>
      </c>
      <c r="AS433" s="32" t="b">
        <v>0</v>
      </c>
    </row>
    <row r="434">
      <c r="A434" s="21" t="s">
        <v>9566</v>
      </c>
      <c r="B434" s="24"/>
      <c r="C434" s="24"/>
      <c r="D434" s="22" t="s">
        <v>9567</v>
      </c>
      <c r="E434" s="24"/>
      <c r="F434" s="22" t="s">
        <v>8136</v>
      </c>
      <c r="G434" s="25"/>
      <c r="H434" s="22">
        <v>9.507490824515E12</v>
      </c>
      <c r="I434" s="25"/>
      <c r="J434" s="25"/>
      <c r="K434" s="24"/>
      <c r="L434" s="25"/>
      <c r="M434" s="25"/>
      <c r="N434" s="22" t="s">
        <v>9447</v>
      </c>
      <c r="O434" s="22" t="s">
        <v>9568</v>
      </c>
      <c r="P434" s="22" t="s">
        <v>9447</v>
      </c>
      <c r="Q434" s="22" t="s">
        <v>9568</v>
      </c>
      <c r="R434" s="22" t="s">
        <v>9569</v>
      </c>
      <c r="S434" s="25"/>
      <c r="T434" s="40" t="s">
        <v>9570</v>
      </c>
      <c r="U434" s="22" t="s">
        <v>9571</v>
      </c>
      <c r="V434" s="25"/>
      <c r="W434" s="22" t="s">
        <v>9572</v>
      </c>
      <c r="X434" s="22" t="s">
        <v>9573</v>
      </c>
      <c r="Y434" s="25"/>
      <c r="Z434" s="25"/>
      <c r="AA434" s="22" t="s">
        <v>8129</v>
      </c>
      <c r="AB434" s="22" t="s">
        <v>8130</v>
      </c>
      <c r="AC434" s="25"/>
      <c r="AD434" s="24"/>
      <c r="AE434" s="22" t="s">
        <v>8132</v>
      </c>
      <c r="AF434" s="25"/>
      <c r="AG434" s="22">
        <v>1.0451344064835E13</v>
      </c>
      <c r="AH434" s="22" t="s">
        <v>8137</v>
      </c>
      <c r="AI434" s="22">
        <v>8.633304711491E12</v>
      </c>
      <c r="AJ434" s="25"/>
      <c r="AK434" s="25"/>
      <c r="AL434" s="22" t="s">
        <v>8136</v>
      </c>
      <c r="AQ434" s="32"/>
      <c r="AR434" s="32" t="b">
        <v>0</v>
      </c>
      <c r="AS434" s="32" t="b">
        <v>0</v>
      </c>
    </row>
    <row r="435">
      <c r="A435" s="21" t="s">
        <v>9574</v>
      </c>
      <c r="B435" s="22" t="s">
        <v>8429</v>
      </c>
      <c r="C435" s="22">
        <v>1.0</v>
      </c>
      <c r="D435" s="22" t="s">
        <v>8721</v>
      </c>
      <c r="E435" s="22" t="s">
        <v>8429</v>
      </c>
      <c r="F435" s="22" t="s">
        <v>8155</v>
      </c>
      <c r="G435" s="25"/>
      <c r="H435" s="22">
        <v>3.2730836369731E13</v>
      </c>
      <c r="I435" s="25"/>
      <c r="J435" s="25"/>
      <c r="K435" s="22">
        <v>4.9521175527747E13</v>
      </c>
      <c r="L435" s="25"/>
      <c r="M435" s="25"/>
      <c r="N435" s="22" t="s">
        <v>4392</v>
      </c>
      <c r="O435" s="22" t="s">
        <v>9575</v>
      </c>
      <c r="P435" s="22" t="s">
        <v>4392</v>
      </c>
      <c r="Q435" s="22" t="s">
        <v>9575</v>
      </c>
      <c r="R435" s="22" t="s">
        <v>9576</v>
      </c>
      <c r="S435" s="25"/>
      <c r="T435" s="40" t="s">
        <v>9577</v>
      </c>
      <c r="U435" s="22" t="s">
        <v>9578</v>
      </c>
      <c r="V435" s="25"/>
      <c r="W435" s="22" t="s">
        <v>9579</v>
      </c>
      <c r="X435" s="22" t="s">
        <v>8289</v>
      </c>
      <c r="Y435" s="25"/>
      <c r="Z435" s="25"/>
      <c r="AA435" s="22" t="s">
        <v>8129</v>
      </c>
      <c r="AB435" s="22" t="s">
        <v>8130</v>
      </c>
      <c r="AC435" s="25"/>
      <c r="AD435" s="22" t="s">
        <v>8161</v>
      </c>
      <c r="AE435" s="22" t="s">
        <v>8132</v>
      </c>
      <c r="AF435" s="25"/>
      <c r="AG435" s="22">
        <v>1.0451372212547E13</v>
      </c>
      <c r="AH435" s="22" t="s">
        <v>90</v>
      </c>
      <c r="AI435" s="22">
        <v>8.529568334147E12</v>
      </c>
      <c r="AJ435" s="25"/>
      <c r="AK435" s="25"/>
      <c r="AL435" s="22" t="s">
        <v>8201</v>
      </c>
      <c r="AQ435" s="32" t="s">
        <v>95</v>
      </c>
      <c r="AR435" s="32" t="b">
        <v>0</v>
      </c>
      <c r="AS435" s="32" t="b">
        <v>1</v>
      </c>
    </row>
    <row r="436">
      <c r="A436" s="21" t="s">
        <v>9574</v>
      </c>
      <c r="B436" s="24"/>
      <c r="C436" s="24"/>
      <c r="D436" s="22" t="s">
        <v>8721</v>
      </c>
      <c r="E436" s="24"/>
      <c r="F436" s="22" t="s">
        <v>8149</v>
      </c>
      <c r="G436" s="25"/>
      <c r="H436" s="22">
        <v>9.507514974531E12</v>
      </c>
      <c r="I436" s="25"/>
      <c r="J436" s="25"/>
      <c r="K436" s="24"/>
      <c r="L436" s="25"/>
      <c r="M436" s="25"/>
      <c r="N436" s="22" t="s">
        <v>4392</v>
      </c>
      <c r="O436" s="22" t="s">
        <v>9575</v>
      </c>
      <c r="P436" s="22" t="s">
        <v>4392</v>
      </c>
      <c r="Q436" s="22" t="s">
        <v>9575</v>
      </c>
      <c r="R436" s="22" t="s">
        <v>9576</v>
      </c>
      <c r="S436" s="25"/>
      <c r="T436" s="40" t="s">
        <v>9577</v>
      </c>
      <c r="U436" s="22" t="s">
        <v>9578</v>
      </c>
      <c r="V436" s="25"/>
      <c r="W436" s="22" t="s">
        <v>9579</v>
      </c>
      <c r="X436" s="22" t="s">
        <v>8289</v>
      </c>
      <c r="Y436" s="25"/>
      <c r="Z436" s="25"/>
      <c r="AA436" s="22" t="s">
        <v>8129</v>
      </c>
      <c r="AB436" s="22" t="s">
        <v>8130</v>
      </c>
      <c r="AC436" s="25"/>
      <c r="AD436" s="24"/>
      <c r="AE436" s="22" t="s">
        <v>8132</v>
      </c>
      <c r="AF436" s="25"/>
      <c r="AG436" s="22">
        <v>1.0451372212547E13</v>
      </c>
      <c r="AH436" s="22" t="s">
        <v>8137</v>
      </c>
      <c r="AI436" s="22">
        <v>8.529568334147E12</v>
      </c>
      <c r="AJ436" s="25"/>
      <c r="AK436" s="25"/>
      <c r="AL436" s="22" t="s">
        <v>8149</v>
      </c>
      <c r="AQ436" s="32"/>
      <c r="AR436" s="32" t="b">
        <v>0</v>
      </c>
      <c r="AS436" s="32" t="b">
        <v>0</v>
      </c>
    </row>
    <row r="437">
      <c r="A437" s="21" t="s">
        <v>9580</v>
      </c>
      <c r="B437" s="22" t="s">
        <v>8119</v>
      </c>
      <c r="C437" s="22">
        <v>1.0</v>
      </c>
      <c r="D437" s="22" t="s">
        <v>8212</v>
      </c>
      <c r="E437" s="22" t="s">
        <v>8119</v>
      </c>
      <c r="F437" s="22" t="s">
        <v>8121</v>
      </c>
      <c r="G437" s="25"/>
      <c r="H437" s="22">
        <v>3.2730883948867E13</v>
      </c>
      <c r="I437" s="25"/>
      <c r="J437" s="25"/>
      <c r="K437" s="22">
        <v>4.2085703549171E13</v>
      </c>
      <c r="L437" s="25"/>
      <c r="M437" s="25"/>
      <c r="N437" s="22" t="s">
        <v>4935</v>
      </c>
      <c r="O437" s="22" t="s">
        <v>9581</v>
      </c>
      <c r="P437" s="22" t="s">
        <v>4935</v>
      </c>
      <c r="Q437" s="22" t="s">
        <v>9581</v>
      </c>
      <c r="R437" s="22" t="s">
        <v>9582</v>
      </c>
      <c r="S437" s="25"/>
      <c r="T437" s="40" t="s">
        <v>9583</v>
      </c>
      <c r="U437" s="22" t="s">
        <v>9584</v>
      </c>
      <c r="V437" s="22" t="s">
        <v>9585</v>
      </c>
      <c r="W437" s="22" t="s">
        <v>9586</v>
      </c>
      <c r="X437" s="22" t="s">
        <v>8251</v>
      </c>
      <c r="Y437" s="25"/>
      <c r="Z437" s="25"/>
      <c r="AA437" s="22" t="s">
        <v>8129</v>
      </c>
      <c r="AB437" s="22" t="s">
        <v>8130</v>
      </c>
      <c r="AC437" s="25"/>
      <c r="AD437" s="22" t="s">
        <v>8131</v>
      </c>
      <c r="AE437" s="22" t="s">
        <v>8132</v>
      </c>
      <c r="AF437" s="25"/>
      <c r="AG437" s="22">
        <v>1.0451392332099E13</v>
      </c>
      <c r="AH437" s="22" t="s">
        <v>90</v>
      </c>
      <c r="AI437" s="22">
        <v>8.614962037059E12</v>
      </c>
      <c r="AJ437" s="25"/>
      <c r="AK437" s="25"/>
      <c r="AL437" s="22" t="s">
        <v>8133</v>
      </c>
      <c r="AQ437" s="32" t="s">
        <v>8135</v>
      </c>
      <c r="AR437" s="32" t="b">
        <v>0</v>
      </c>
      <c r="AS437" s="32" t="b">
        <v>0</v>
      </c>
    </row>
    <row r="438">
      <c r="A438" s="21" t="s">
        <v>9580</v>
      </c>
      <c r="B438" s="24"/>
      <c r="C438" s="24"/>
      <c r="D438" s="22" t="s">
        <v>8212</v>
      </c>
      <c r="E438" s="24"/>
      <c r="F438" s="22" t="s">
        <v>8136</v>
      </c>
      <c r="G438" s="25"/>
      <c r="H438" s="22">
        <v>9.507532374339E12</v>
      </c>
      <c r="I438" s="25"/>
      <c r="J438" s="25"/>
      <c r="K438" s="24"/>
      <c r="L438" s="25"/>
      <c r="M438" s="25"/>
      <c r="N438" s="22" t="s">
        <v>4935</v>
      </c>
      <c r="O438" s="22" t="s">
        <v>9581</v>
      </c>
      <c r="P438" s="22" t="s">
        <v>4935</v>
      </c>
      <c r="Q438" s="22" t="s">
        <v>9581</v>
      </c>
      <c r="R438" s="22" t="s">
        <v>9582</v>
      </c>
      <c r="S438" s="25"/>
      <c r="T438" s="40" t="s">
        <v>9583</v>
      </c>
      <c r="U438" s="22" t="s">
        <v>9584</v>
      </c>
      <c r="V438" s="22" t="s">
        <v>9585</v>
      </c>
      <c r="W438" s="22" t="s">
        <v>9586</v>
      </c>
      <c r="X438" s="22" t="s">
        <v>8251</v>
      </c>
      <c r="Y438" s="25"/>
      <c r="Z438" s="25"/>
      <c r="AA438" s="22" t="s">
        <v>8129</v>
      </c>
      <c r="AB438" s="22" t="s">
        <v>8130</v>
      </c>
      <c r="AC438" s="25"/>
      <c r="AD438" s="24"/>
      <c r="AE438" s="22" t="s">
        <v>8132</v>
      </c>
      <c r="AF438" s="25"/>
      <c r="AG438" s="22">
        <v>1.0451392332099E13</v>
      </c>
      <c r="AH438" s="22" t="s">
        <v>8137</v>
      </c>
      <c r="AI438" s="22">
        <v>8.614962037059E12</v>
      </c>
      <c r="AJ438" s="25"/>
      <c r="AK438" s="25"/>
      <c r="AL438" s="22" t="s">
        <v>8136</v>
      </c>
      <c r="AQ438" s="32"/>
      <c r="AR438" s="32" t="b">
        <v>0</v>
      </c>
      <c r="AS438" s="32" t="b">
        <v>0</v>
      </c>
    </row>
    <row r="439">
      <c r="A439" s="21" t="s">
        <v>9587</v>
      </c>
      <c r="B439" s="22" t="s">
        <v>8119</v>
      </c>
      <c r="C439" s="22">
        <v>1.0</v>
      </c>
      <c r="D439" s="22" t="s">
        <v>8212</v>
      </c>
      <c r="E439" s="22" t="s">
        <v>8119</v>
      </c>
      <c r="F439" s="22" t="s">
        <v>8121</v>
      </c>
      <c r="G439" s="25"/>
      <c r="H439" s="22">
        <v>3.2730675806531E13</v>
      </c>
      <c r="I439" s="25"/>
      <c r="J439" s="25"/>
      <c r="K439" s="22">
        <v>4.2085703549171E13</v>
      </c>
      <c r="L439" s="25"/>
      <c r="M439" s="25"/>
      <c r="N439" s="22" t="s">
        <v>9588</v>
      </c>
      <c r="O439" s="22" t="s">
        <v>9589</v>
      </c>
      <c r="P439" s="22" t="s">
        <v>9588</v>
      </c>
      <c r="Q439" s="22" t="s">
        <v>9589</v>
      </c>
      <c r="R439" s="22" t="s">
        <v>9590</v>
      </c>
      <c r="S439" s="25"/>
      <c r="T439" s="40" t="s">
        <v>9591</v>
      </c>
      <c r="U439" s="22" t="s">
        <v>9592</v>
      </c>
      <c r="V439" s="25"/>
      <c r="W439" s="22" t="s">
        <v>9593</v>
      </c>
      <c r="X439" s="22" t="s">
        <v>9043</v>
      </c>
      <c r="Y439" s="25"/>
      <c r="Z439" s="25"/>
      <c r="AA439" s="22" t="s">
        <v>8129</v>
      </c>
      <c r="AB439" s="22" t="s">
        <v>8130</v>
      </c>
      <c r="AC439" s="25"/>
      <c r="AD439" s="22" t="s">
        <v>8131</v>
      </c>
      <c r="AE439" s="22" t="s">
        <v>8132</v>
      </c>
      <c r="AF439" s="25"/>
      <c r="AG439" s="22">
        <v>1.0451302252867E13</v>
      </c>
      <c r="AH439" s="22" t="s">
        <v>90</v>
      </c>
      <c r="AI439" s="22">
        <v>8.542168056131E12</v>
      </c>
      <c r="AJ439" s="25"/>
      <c r="AK439" s="25"/>
      <c r="AL439" s="22" t="s">
        <v>8133</v>
      </c>
      <c r="AQ439" s="32" t="s">
        <v>8135</v>
      </c>
      <c r="AR439" s="32" t="b">
        <v>0</v>
      </c>
      <c r="AS439" s="32" t="b">
        <v>0</v>
      </c>
    </row>
    <row r="440">
      <c r="A440" s="21" t="s">
        <v>9587</v>
      </c>
      <c r="B440" s="24"/>
      <c r="C440" s="24"/>
      <c r="D440" s="22" t="s">
        <v>8212</v>
      </c>
      <c r="E440" s="24"/>
      <c r="F440" s="22" t="s">
        <v>8136</v>
      </c>
      <c r="G440" s="25"/>
      <c r="H440" s="22">
        <v>9.507453829443E12</v>
      </c>
      <c r="I440" s="25"/>
      <c r="J440" s="25"/>
      <c r="K440" s="24"/>
      <c r="L440" s="25"/>
      <c r="M440" s="25"/>
      <c r="N440" s="22" t="s">
        <v>9588</v>
      </c>
      <c r="O440" s="22" t="s">
        <v>9589</v>
      </c>
      <c r="P440" s="22" t="s">
        <v>9588</v>
      </c>
      <c r="Q440" s="22" t="s">
        <v>9589</v>
      </c>
      <c r="R440" s="22" t="s">
        <v>9590</v>
      </c>
      <c r="S440" s="25"/>
      <c r="T440" s="40" t="s">
        <v>9591</v>
      </c>
      <c r="U440" s="22" t="s">
        <v>9592</v>
      </c>
      <c r="V440" s="25"/>
      <c r="W440" s="22" t="s">
        <v>9593</v>
      </c>
      <c r="X440" s="22" t="s">
        <v>9043</v>
      </c>
      <c r="Y440" s="25"/>
      <c r="Z440" s="25"/>
      <c r="AA440" s="22" t="s">
        <v>8129</v>
      </c>
      <c r="AB440" s="22" t="s">
        <v>8130</v>
      </c>
      <c r="AC440" s="25"/>
      <c r="AD440" s="24"/>
      <c r="AE440" s="22" t="s">
        <v>8132</v>
      </c>
      <c r="AF440" s="25"/>
      <c r="AG440" s="22">
        <v>1.0451302252867E13</v>
      </c>
      <c r="AH440" s="22" t="s">
        <v>8137</v>
      </c>
      <c r="AI440" s="22">
        <v>8.542168056131E12</v>
      </c>
      <c r="AJ440" s="25"/>
      <c r="AK440" s="25"/>
      <c r="AL440" s="22" t="s">
        <v>8136</v>
      </c>
      <c r="AQ440" s="32"/>
      <c r="AR440" s="32" t="b">
        <v>0</v>
      </c>
      <c r="AS440" s="32" t="b">
        <v>0</v>
      </c>
    </row>
    <row r="441">
      <c r="A441" s="21" t="s">
        <v>9594</v>
      </c>
      <c r="B441" s="22" t="s">
        <v>8140</v>
      </c>
      <c r="C441" s="22">
        <v>1.0</v>
      </c>
      <c r="D441" s="22" t="s">
        <v>8203</v>
      </c>
      <c r="E441" s="22" t="s">
        <v>8140</v>
      </c>
      <c r="F441" s="22" t="s">
        <v>8121</v>
      </c>
      <c r="G441" s="25"/>
      <c r="H441" s="22">
        <v>3.2730920681795E13</v>
      </c>
      <c r="I441" s="25"/>
      <c r="J441" s="25"/>
      <c r="K441" s="22">
        <v>4.2085703581939E13</v>
      </c>
      <c r="L441" s="25"/>
      <c r="M441" s="25"/>
      <c r="N441" s="22" t="s">
        <v>7079</v>
      </c>
      <c r="O441" s="22" t="s">
        <v>9595</v>
      </c>
      <c r="P441" s="22" t="s">
        <v>7079</v>
      </c>
      <c r="Q441" s="22" t="s">
        <v>9596</v>
      </c>
      <c r="R441" s="22" t="s">
        <v>9597</v>
      </c>
      <c r="S441" s="22" t="s">
        <v>9598</v>
      </c>
      <c r="T441" s="40" t="s">
        <v>9599</v>
      </c>
      <c r="U441" s="22" t="s">
        <v>9600</v>
      </c>
      <c r="V441" s="22">
        <v>35.0</v>
      </c>
      <c r="W441" s="22" t="s">
        <v>9601</v>
      </c>
      <c r="X441" s="22" t="s">
        <v>8276</v>
      </c>
      <c r="Y441" s="25"/>
      <c r="Z441" s="25"/>
      <c r="AA441" s="22" t="s">
        <v>8129</v>
      </c>
      <c r="AB441" s="22" t="s">
        <v>8130</v>
      </c>
      <c r="AC441" s="25"/>
      <c r="AD441" s="22" t="s">
        <v>8131</v>
      </c>
      <c r="AE441" s="22" t="s">
        <v>8132</v>
      </c>
      <c r="AF441" s="25"/>
      <c r="AG441" s="22">
        <v>1.0451409895747E13</v>
      </c>
      <c r="AH441" s="22" t="s">
        <v>90</v>
      </c>
      <c r="AI441" s="22">
        <v>6.447485223155E12</v>
      </c>
      <c r="AJ441" s="25"/>
      <c r="AK441" s="25"/>
      <c r="AL441" s="22" t="s">
        <v>8134</v>
      </c>
      <c r="AQ441" s="32" t="s">
        <v>8150</v>
      </c>
      <c r="AR441" s="32" t="b">
        <v>0</v>
      </c>
      <c r="AS441" s="32" t="b">
        <v>0</v>
      </c>
    </row>
    <row r="442">
      <c r="A442" s="21" t="s">
        <v>9594</v>
      </c>
      <c r="B442" s="25"/>
      <c r="C442" s="25"/>
      <c r="D442" s="22" t="s">
        <v>8203</v>
      </c>
      <c r="E442" s="25"/>
      <c r="F442" s="22" t="s">
        <v>8136</v>
      </c>
      <c r="G442" s="25"/>
      <c r="H442" s="22">
        <v>9.507547283779E12</v>
      </c>
      <c r="I442" s="25"/>
      <c r="J442" s="25"/>
      <c r="K442" s="25"/>
      <c r="L442" s="25"/>
      <c r="M442" s="25"/>
      <c r="N442" s="22" t="s">
        <v>7079</v>
      </c>
      <c r="O442" s="22" t="s">
        <v>9595</v>
      </c>
      <c r="P442" s="22" t="s">
        <v>7079</v>
      </c>
      <c r="Q442" s="22" t="s">
        <v>9596</v>
      </c>
      <c r="R442" s="22" t="s">
        <v>9597</v>
      </c>
      <c r="S442" s="22" t="s">
        <v>9598</v>
      </c>
      <c r="T442" s="40" t="s">
        <v>9599</v>
      </c>
      <c r="U442" s="22" t="s">
        <v>9600</v>
      </c>
      <c r="V442" s="22">
        <v>35.0</v>
      </c>
      <c r="W442" s="22" t="s">
        <v>9601</v>
      </c>
      <c r="X442" s="22" t="s">
        <v>8276</v>
      </c>
      <c r="Y442" s="25"/>
      <c r="Z442" s="25"/>
      <c r="AA442" s="22" t="s">
        <v>8129</v>
      </c>
      <c r="AB442" s="22" t="s">
        <v>8130</v>
      </c>
      <c r="AC442" s="25"/>
      <c r="AD442" s="25"/>
      <c r="AE442" s="22" t="s">
        <v>8132</v>
      </c>
      <c r="AF442" s="25"/>
      <c r="AG442" s="22">
        <v>1.0451409895747E13</v>
      </c>
      <c r="AH442" s="22" t="s">
        <v>8137</v>
      </c>
      <c r="AI442" s="22">
        <v>6.447485223155E12</v>
      </c>
      <c r="AJ442" s="25"/>
      <c r="AK442" s="25"/>
      <c r="AL442" s="22" t="s">
        <v>8136</v>
      </c>
      <c r="AR442" s="32" t="b">
        <v>0</v>
      </c>
      <c r="AS442" s="32" t="b">
        <v>0</v>
      </c>
    </row>
    <row r="443">
      <c r="A443" s="21" t="s">
        <v>9602</v>
      </c>
      <c r="B443" s="22" t="s">
        <v>8370</v>
      </c>
      <c r="C443" s="22">
        <v>1.0</v>
      </c>
      <c r="D443" s="22" t="s">
        <v>8419</v>
      </c>
      <c r="E443" s="22" t="s">
        <v>8370</v>
      </c>
      <c r="F443" s="22" t="s">
        <v>8155</v>
      </c>
      <c r="G443" s="25"/>
      <c r="H443" s="22">
        <v>3.2728510431555E13</v>
      </c>
      <c r="I443" s="25"/>
      <c r="J443" s="25"/>
      <c r="K443" s="22">
        <v>4.9521175494979E13</v>
      </c>
      <c r="L443" s="25"/>
      <c r="M443" s="25"/>
      <c r="N443" s="22" t="s">
        <v>5354</v>
      </c>
      <c r="O443" s="22" t="s">
        <v>9603</v>
      </c>
      <c r="P443" s="22" t="s">
        <v>5354</v>
      </c>
      <c r="Q443" s="22" t="s">
        <v>9603</v>
      </c>
      <c r="R443" s="22" t="s">
        <v>9604</v>
      </c>
      <c r="S443" s="24"/>
      <c r="T443" s="40" t="s">
        <v>9605</v>
      </c>
      <c r="U443" s="22" t="s">
        <v>9606</v>
      </c>
      <c r="V443" s="25"/>
      <c r="W443" s="22" t="s">
        <v>9607</v>
      </c>
      <c r="X443" s="22" t="s">
        <v>8128</v>
      </c>
      <c r="Y443" s="25"/>
      <c r="Z443" s="25"/>
      <c r="AA443" s="22" t="s">
        <v>8129</v>
      </c>
      <c r="AB443" s="22" t="s">
        <v>8130</v>
      </c>
      <c r="AC443" s="25"/>
      <c r="AD443" s="22" t="s">
        <v>8161</v>
      </c>
      <c r="AE443" s="22" t="s">
        <v>8132</v>
      </c>
      <c r="AF443" s="25"/>
      <c r="AG443" s="22">
        <v>1.0450351194435E13</v>
      </c>
      <c r="AH443" s="22" t="s">
        <v>90</v>
      </c>
      <c r="AI443" s="22">
        <v>8.547630678339E12</v>
      </c>
      <c r="AJ443" s="25"/>
      <c r="AK443" s="25"/>
      <c r="AL443" s="22" t="s">
        <v>8138</v>
      </c>
      <c r="AQ443" s="32" t="s">
        <v>91</v>
      </c>
      <c r="AR443" s="32" t="b">
        <v>0</v>
      </c>
      <c r="AS443" s="32" t="b">
        <v>1</v>
      </c>
    </row>
    <row r="444">
      <c r="A444" s="21" t="s">
        <v>9602</v>
      </c>
      <c r="B444" s="25"/>
      <c r="C444" s="25"/>
      <c r="D444" s="22" t="s">
        <v>8419</v>
      </c>
      <c r="E444" s="25"/>
      <c r="F444" s="22" t="s">
        <v>8149</v>
      </c>
      <c r="G444" s="25"/>
      <c r="H444" s="22">
        <v>9.506575876419E12</v>
      </c>
      <c r="I444" s="25"/>
      <c r="J444" s="25"/>
      <c r="K444" s="25"/>
      <c r="L444" s="25"/>
      <c r="M444" s="25"/>
      <c r="N444" s="22" t="s">
        <v>5354</v>
      </c>
      <c r="O444" s="22" t="s">
        <v>9603</v>
      </c>
      <c r="P444" s="22" t="s">
        <v>5354</v>
      </c>
      <c r="Q444" s="22" t="s">
        <v>9603</v>
      </c>
      <c r="R444" s="22" t="s">
        <v>9604</v>
      </c>
      <c r="S444" s="24"/>
      <c r="T444" s="40" t="s">
        <v>9605</v>
      </c>
      <c r="U444" s="22" t="s">
        <v>9606</v>
      </c>
      <c r="V444" s="25"/>
      <c r="W444" s="22" t="s">
        <v>9607</v>
      </c>
      <c r="X444" s="22" t="s">
        <v>8128</v>
      </c>
      <c r="Y444" s="25"/>
      <c r="Z444" s="25"/>
      <c r="AA444" s="22" t="s">
        <v>8129</v>
      </c>
      <c r="AB444" s="22" t="s">
        <v>8130</v>
      </c>
      <c r="AC444" s="25"/>
      <c r="AD444" s="25"/>
      <c r="AE444" s="22" t="s">
        <v>8132</v>
      </c>
      <c r="AF444" s="25"/>
      <c r="AG444" s="22">
        <v>1.0450351194435E13</v>
      </c>
      <c r="AH444" s="22" t="s">
        <v>8137</v>
      </c>
      <c r="AI444" s="22">
        <v>8.547630678339E12</v>
      </c>
      <c r="AJ444" s="25"/>
      <c r="AK444" s="25"/>
      <c r="AL444" s="22" t="s">
        <v>8149</v>
      </c>
      <c r="AR444" s="32" t="b">
        <v>0</v>
      </c>
      <c r="AS444" s="32" t="b">
        <v>0</v>
      </c>
    </row>
    <row r="445">
      <c r="A445" s="21" t="s">
        <v>9608</v>
      </c>
      <c r="B445" s="22" t="s">
        <v>8707</v>
      </c>
      <c r="C445" s="22">
        <v>1.0</v>
      </c>
      <c r="D445" s="22" t="s">
        <v>8175</v>
      </c>
      <c r="E445" s="22" t="s">
        <v>8707</v>
      </c>
      <c r="F445" s="22" t="s">
        <v>8155</v>
      </c>
      <c r="G445" s="22" t="s">
        <v>89</v>
      </c>
      <c r="H445" s="22">
        <v>3.2730889978179E13</v>
      </c>
      <c r="I445" s="22" t="s">
        <v>89</v>
      </c>
      <c r="J445" s="25"/>
      <c r="K445" s="22">
        <v>4.9521175429443E13</v>
      </c>
      <c r="L445" s="25"/>
      <c r="M445" s="25"/>
      <c r="N445" s="22" t="s">
        <v>9609</v>
      </c>
      <c r="O445" s="22" t="s">
        <v>9610</v>
      </c>
      <c r="P445" s="22" t="s">
        <v>9609</v>
      </c>
      <c r="Q445" s="22" t="s">
        <v>9610</v>
      </c>
      <c r="R445" s="22" t="s">
        <v>9611</v>
      </c>
      <c r="S445" s="25"/>
      <c r="T445" s="40" t="s">
        <v>9612</v>
      </c>
      <c r="U445" s="22" t="s">
        <v>9613</v>
      </c>
      <c r="V445" s="24"/>
      <c r="W445" s="22" t="s">
        <v>9614</v>
      </c>
      <c r="X445" s="22" t="s">
        <v>8200</v>
      </c>
      <c r="Y445" s="25"/>
      <c r="Z445" s="25"/>
      <c r="AA445" s="22" t="s">
        <v>8129</v>
      </c>
      <c r="AB445" s="22" t="s">
        <v>8130</v>
      </c>
      <c r="AC445" s="25"/>
      <c r="AD445" s="22" t="s">
        <v>8161</v>
      </c>
      <c r="AE445" s="22" t="s">
        <v>8132</v>
      </c>
      <c r="AF445" s="25"/>
      <c r="AG445" s="22">
        <v>1.0451395445059E13</v>
      </c>
      <c r="AH445" s="22" t="s">
        <v>90</v>
      </c>
      <c r="AI445" s="22">
        <v>8.605528785219E12</v>
      </c>
      <c r="AJ445" s="25"/>
      <c r="AK445" s="25"/>
      <c r="AL445" s="22" t="s">
        <v>8336</v>
      </c>
      <c r="AQ445" s="32" t="s">
        <v>54</v>
      </c>
      <c r="AR445" s="32" t="b">
        <v>0</v>
      </c>
      <c r="AS445" s="32" t="b">
        <v>1</v>
      </c>
    </row>
    <row r="446">
      <c r="A446" s="21" t="s">
        <v>9608</v>
      </c>
      <c r="B446" s="24"/>
      <c r="C446" s="24"/>
      <c r="D446" s="22" t="s">
        <v>8175</v>
      </c>
      <c r="E446" s="24"/>
      <c r="F446" s="22" t="s">
        <v>8149</v>
      </c>
      <c r="G446" s="25"/>
      <c r="H446" s="22">
        <v>9.507534963011E12</v>
      </c>
      <c r="I446" s="22" t="s">
        <v>89</v>
      </c>
      <c r="J446" s="25"/>
      <c r="K446" s="24"/>
      <c r="L446" s="25"/>
      <c r="M446" s="25"/>
      <c r="N446" s="22" t="s">
        <v>9609</v>
      </c>
      <c r="O446" s="22" t="s">
        <v>9610</v>
      </c>
      <c r="P446" s="22" t="s">
        <v>9609</v>
      </c>
      <c r="Q446" s="22" t="s">
        <v>9610</v>
      </c>
      <c r="R446" s="22" t="s">
        <v>9611</v>
      </c>
      <c r="S446" s="25"/>
      <c r="T446" s="40" t="s">
        <v>9612</v>
      </c>
      <c r="U446" s="22" t="s">
        <v>9613</v>
      </c>
      <c r="V446" s="25"/>
      <c r="W446" s="22" t="s">
        <v>9614</v>
      </c>
      <c r="X446" s="22" t="s">
        <v>8200</v>
      </c>
      <c r="Y446" s="25"/>
      <c r="Z446" s="25"/>
      <c r="AA446" s="22" t="s">
        <v>8129</v>
      </c>
      <c r="AB446" s="22" t="s">
        <v>8130</v>
      </c>
      <c r="AC446" s="25"/>
      <c r="AD446" s="24"/>
      <c r="AE446" s="22" t="s">
        <v>8132</v>
      </c>
      <c r="AF446" s="25"/>
      <c r="AG446" s="22">
        <v>1.0451395445059E13</v>
      </c>
      <c r="AH446" s="22" t="s">
        <v>8137</v>
      </c>
      <c r="AI446" s="22">
        <v>8.605528785219E12</v>
      </c>
      <c r="AJ446" s="25"/>
      <c r="AK446" s="25"/>
      <c r="AL446" s="22" t="s">
        <v>8149</v>
      </c>
      <c r="AQ446" s="32"/>
      <c r="AR446" s="32" t="b">
        <v>0</v>
      </c>
      <c r="AS446" s="32" t="b">
        <v>0</v>
      </c>
    </row>
    <row r="447">
      <c r="A447" s="21" t="s">
        <v>9608</v>
      </c>
      <c r="B447" s="22" t="s">
        <v>8707</v>
      </c>
      <c r="C447" s="22">
        <v>-1.0</v>
      </c>
      <c r="D447" s="22" t="s">
        <v>8175</v>
      </c>
      <c r="E447" s="22" t="s">
        <v>8707</v>
      </c>
      <c r="F447" s="22" t="s">
        <v>8155</v>
      </c>
      <c r="G447" s="22" t="s">
        <v>89</v>
      </c>
      <c r="H447" s="22">
        <v>3.2730889978179E13</v>
      </c>
      <c r="I447" s="22" t="s">
        <v>89</v>
      </c>
      <c r="J447" s="25"/>
      <c r="K447" s="22">
        <v>4.9521175429443E13</v>
      </c>
      <c r="L447" s="22" t="s">
        <v>8182</v>
      </c>
      <c r="M447" s="35" t="s">
        <v>9615</v>
      </c>
      <c r="N447" s="22" t="s">
        <v>9609</v>
      </c>
      <c r="O447" s="22" t="s">
        <v>9610</v>
      </c>
      <c r="P447" s="22" t="s">
        <v>9609</v>
      </c>
      <c r="Q447" s="22" t="s">
        <v>9610</v>
      </c>
      <c r="R447" s="22" t="s">
        <v>9611</v>
      </c>
      <c r="S447" s="25"/>
      <c r="T447" s="40" t="s">
        <v>9612</v>
      </c>
      <c r="U447" s="22" t="s">
        <v>9613</v>
      </c>
      <c r="V447" s="25"/>
      <c r="W447" s="22" t="s">
        <v>9614</v>
      </c>
      <c r="X447" s="22" t="s">
        <v>8200</v>
      </c>
      <c r="Y447" s="25"/>
      <c r="Z447" s="25"/>
      <c r="AA447" s="22" t="s">
        <v>8129</v>
      </c>
      <c r="AB447" s="22" t="s">
        <v>8130</v>
      </c>
      <c r="AC447" s="25"/>
      <c r="AD447" s="22" t="s">
        <v>8161</v>
      </c>
      <c r="AE447" s="22" t="s">
        <v>8132</v>
      </c>
      <c r="AF447" s="25"/>
      <c r="AG447" s="22">
        <v>1.0451395445059E13</v>
      </c>
      <c r="AH447" s="22" t="s">
        <v>8184</v>
      </c>
      <c r="AI447" s="22">
        <v>8.605528785219E12</v>
      </c>
      <c r="AJ447" s="25"/>
      <c r="AK447" s="22">
        <v>6.714625884483E12</v>
      </c>
      <c r="AL447" s="22" t="s">
        <v>8336</v>
      </c>
      <c r="AQ447" s="32" t="s">
        <v>54</v>
      </c>
      <c r="AR447" s="32" t="b">
        <v>0</v>
      </c>
      <c r="AS447" s="32" t="b">
        <v>1</v>
      </c>
    </row>
    <row r="448">
      <c r="A448" s="21" t="s">
        <v>9616</v>
      </c>
      <c r="B448" s="22" t="s">
        <v>8119</v>
      </c>
      <c r="C448" s="22">
        <v>1.0</v>
      </c>
      <c r="D448" s="22" t="s">
        <v>8203</v>
      </c>
      <c r="E448" s="22" t="s">
        <v>8119</v>
      </c>
      <c r="F448" s="22" t="s">
        <v>8121</v>
      </c>
      <c r="G448" s="25"/>
      <c r="H448" s="22">
        <v>3.2730444693827E13</v>
      </c>
      <c r="I448" s="25"/>
      <c r="J448" s="25"/>
      <c r="K448" s="22">
        <v>4.2085703549171E13</v>
      </c>
      <c r="L448" s="25"/>
      <c r="M448" s="25"/>
      <c r="N448" s="22" t="s">
        <v>4412</v>
      </c>
      <c r="O448" s="22" t="s">
        <v>9617</v>
      </c>
      <c r="P448" s="22" t="s">
        <v>4412</v>
      </c>
      <c r="Q448" s="22" t="s">
        <v>9617</v>
      </c>
      <c r="R448" s="22" t="s">
        <v>9618</v>
      </c>
      <c r="S448" s="25"/>
      <c r="T448" s="40" t="s">
        <v>9619</v>
      </c>
      <c r="U448" s="22" t="s">
        <v>9620</v>
      </c>
      <c r="V448" s="25"/>
      <c r="W448" s="22" t="s">
        <v>9621</v>
      </c>
      <c r="X448" s="22" t="s">
        <v>8728</v>
      </c>
      <c r="Y448" s="25"/>
      <c r="Z448" s="25"/>
      <c r="AA448" s="22" t="s">
        <v>8129</v>
      </c>
      <c r="AB448" s="22" t="s">
        <v>8130</v>
      </c>
      <c r="AC448" s="25"/>
      <c r="AD448" s="22" t="s">
        <v>8131</v>
      </c>
      <c r="AE448" s="22" t="s">
        <v>8132</v>
      </c>
      <c r="AF448" s="25"/>
      <c r="AG448" s="22">
        <v>1.0451204211011E13</v>
      </c>
      <c r="AH448" s="22" t="s">
        <v>90</v>
      </c>
      <c r="AI448" s="22">
        <v>8.617429041475E12</v>
      </c>
      <c r="AJ448" s="25"/>
      <c r="AK448" s="25"/>
      <c r="AL448" s="22" t="s">
        <v>8133</v>
      </c>
      <c r="AQ448" s="32" t="s">
        <v>8135</v>
      </c>
      <c r="AR448" s="32" t="b">
        <v>0</v>
      </c>
      <c r="AS448" s="32" t="b">
        <v>0</v>
      </c>
    </row>
    <row r="449">
      <c r="A449" s="21" t="s">
        <v>9616</v>
      </c>
      <c r="B449" s="25"/>
      <c r="C449" s="25"/>
      <c r="D449" s="22" t="s">
        <v>8203</v>
      </c>
      <c r="E449" s="25"/>
      <c r="F449" s="22" t="s">
        <v>8136</v>
      </c>
      <c r="G449" s="25"/>
      <c r="H449" s="22">
        <v>9.507365126467E12</v>
      </c>
      <c r="I449" s="25"/>
      <c r="J449" s="25"/>
      <c r="K449" s="25"/>
      <c r="L449" s="25"/>
      <c r="M449" s="25"/>
      <c r="N449" s="22" t="s">
        <v>4412</v>
      </c>
      <c r="O449" s="22" t="s">
        <v>9617</v>
      </c>
      <c r="P449" s="22" t="s">
        <v>4412</v>
      </c>
      <c r="Q449" s="22" t="s">
        <v>9617</v>
      </c>
      <c r="R449" s="22" t="s">
        <v>9618</v>
      </c>
      <c r="S449" s="25"/>
      <c r="T449" s="40" t="s">
        <v>9619</v>
      </c>
      <c r="U449" s="22" t="s">
        <v>9620</v>
      </c>
      <c r="V449" s="25"/>
      <c r="W449" s="22" t="s">
        <v>9621</v>
      </c>
      <c r="X449" s="22" t="s">
        <v>8728</v>
      </c>
      <c r="Y449" s="25"/>
      <c r="Z449" s="25"/>
      <c r="AA449" s="22" t="s">
        <v>8129</v>
      </c>
      <c r="AB449" s="22" t="s">
        <v>8130</v>
      </c>
      <c r="AC449" s="25"/>
      <c r="AD449" s="25"/>
      <c r="AE449" s="22" t="s">
        <v>8132</v>
      </c>
      <c r="AF449" s="25"/>
      <c r="AG449" s="22">
        <v>1.0451204211011E13</v>
      </c>
      <c r="AH449" s="22" t="s">
        <v>8137</v>
      </c>
      <c r="AI449" s="22">
        <v>8.617429041475E12</v>
      </c>
      <c r="AJ449" s="25"/>
      <c r="AK449" s="25"/>
      <c r="AL449" s="22" t="s">
        <v>8136</v>
      </c>
      <c r="AR449" s="32" t="b">
        <v>0</v>
      </c>
      <c r="AS449" s="32" t="b">
        <v>0</v>
      </c>
    </row>
    <row r="450">
      <c r="A450" s="21" t="s">
        <v>9622</v>
      </c>
      <c r="B450" s="22" t="s">
        <v>8140</v>
      </c>
      <c r="C450" s="22">
        <v>1.0</v>
      </c>
      <c r="D450" s="22" t="s">
        <v>8501</v>
      </c>
      <c r="E450" s="22" t="s">
        <v>8140</v>
      </c>
      <c r="F450" s="22" t="s">
        <v>8121</v>
      </c>
      <c r="G450" s="25"/>
      <c r="H450" s="22">
        <v>3.2730971930947E13</v>
      </c>
      <c r="I450" s="25"/>
      <c r="J450" s="25"/>
      <c r="K450" s="22">
        <v>4.2085703581939E13</v>
      </c>
      <c r="L450" s="25"/>
      <c r="M450" s="25"/>
      <c r="N450" s="22" t="s">
        <v>3808</v>
      </c>
      <c r="O450" s="22" t="s">
        <v>4121</v>
      </c>
      <c r="P450" s="22" t="s">
        <v>3808</v>
      </c>
      <c r="Q450" s="22" t="s">
        <v>9623</v>
      </c>
      <c r="R450" s="22" t="s">
        <v>9624</v>
      </c>
      <c r="S450" s="25"/>
      <c r="T450" s="40" t="s">
        <v>9625</v>
      </c>
      <c r="U450" s="22" t="s">
        <v>9626</v>
      </c>
      <c r="V450" s="25"/>
      <c r="W450" s="22">
        <v>2950.0</v>
      </c>
      <c r="X450" s="22" t="s">
        <v>9627</v>
      </c>
      <c r="Y450" s="25"/>
      <c r="Z450" s="25"/>
      <c r="AA450" s="22" t="s">
        <v>8426</v>
      </c>
      <c r="AB450" s="22" t="s">
        <v>8427</v>
      </c>
      <c r="AC450" s="25"/>
      <c r="AD450" s="22" t="s">
        <v>8131</v>
      </c>
      <c r="AE450" s="22" t="s">
        <v>8132</v>
      </c>
      <c r="AF450" s="25"/>
      <c r="AG450" s="22">
        <v>1.0451431883075E13</v>
      </c>
      <c r="AH450" s="22" t="s">
        <v>90</v>
      </c>
      <c r="AI450" s="22">
        <v>7.445632811331E12</v>
      </c>
      <c r="AJ450" s="25"/>
      <c r="AK450" s="25"/>
      <c r="AL450" s="22" t="s">
        <v>8134</v>
      </c>
      <c r="AQ450" s="32" t="s">
        <v>8150</v>
      </c>
      <c r="AR450" s="32" t="b">
        <v>0</v>
      </c>
      <c r="AS450" s="32" t="b">
        <v>0</v>
      </c>
    </row>
    <row r="451">
      <c r="A451" s="21" t="s">
        <v>9622</v>
      </c>
      <c r="B451" s="24"/>
      <c r="C451" s="24"/>
      <c r="D451" s="22" t="s">
        <v>8501</v>
      </c>
      <c r="E451" s="24"/>
      <c r="F451" s="22" t="s">
        <v>8252</v>
      </c>
      <c r="G451" s="25"/>
      <c r="H451" s="22">
        <v>9.507566158147E12</v>
      </c>
      <c r="I451" s="25"/>
      <c r="J451" s="25"/>
      <c r="K451" s="24"/>
      <c r="L451" s="25"/>
      <c r="M451" s="25"/>
      <c r="N451" s="22" t="s">
        <v>3808</v>
      </c>
      <c r="O451" s="22" t="s">
        <v>4121</v>
      </c>
      <c r="P451" s="22" t="s">
        <v>3808</v>
      </c>
      <c r="Q451" s="22" t="s">
        <v>9623</v>
      </c>
      <c r="R451" s="22" t="s">
        <v>9624</v>
      </c>
      <c r="S451" s="25"/>
      <c r="T451" s="40" t="s">
        <v>9625</v>
      </c>
      <c r="U451" s="22" t="s">
        <v>9626</v>
      </c>
      <c r="V451" s="25"/>
      <c r="W451" s="22">
        <v>2950.0</v>
      </c>
      <c r="X451" s="22" t="s">
        <v>9627</v>
      </c>
      <c r="Y451" s="25"/>
      <c r="Z451" s="25"/>
      <c r="AA451" s="22" t="s">
        <v>8426</v>
      </c>
      <c r="AB451" s="22" t="s">
        <v>8427</v>
      </c>
      <c r="AC451" s="25"/>
      <c r="AD451" s="24"/>
      <c r="AE451" s="22" t="s">
        <v>8132</v>
      </c>
      <c r="AF451" s="25"/>
      <c r="AG451" s="22">
        <v>1.0451431883075E13</v>
      </c>
      <c r="AH451" s="22" t="s">
        <v>8137</v>
      </c>
      <c r="AI451" s="22">
        <v>7.445632811331E12</v>
      </c>
      <c r="AJ451" s="25"/>
      <c r="AK451" s="25"/>
      <c r="AL451" s="22" t="s">
        <v>8252</v>
      </c>
      <c r="AQ451" s="32"/>
      <c r="AR451" s="32" t="b">
        <v>0</v>
      </c>
      <c r="AS451" s="32" t="b">
        <v>0</v>
      </c>
    </row>
    <row r="452">
      <c r="A452" s="21" t="s">
        <v>9628</v>
      </c>
      <c r="B452" s="22" t="s">
        <v>8119</v>
      </c>
      <c r="C452" s="22">
        <v>1.0</v>
      </c>
      <c r="D452" s="22" t="s">
        <v>8175</v>
      </c>
      <c r="E452" s="22" t="s">
        <v>8119</v>
      </c>
      <c r="F452" s="22" t="s">
        <v>8121</v>
      </c>
      <c r="G452" s="22" t="s">
        <v>89</v>
      </c>
      <c r="H452" s="22">
        <v>3.2730993754435E13</v>
      </c>
      <c r="I452" s="22" t="s">
        <v>89</v>
      </c>
      <c r="J452" s="25"/>
      <c r="K452" s="22">
        <v>4.2085703549171E13</v>
      </c>
      <c r="L452" s="25"/>
      <c r="M452" s="25"/>
      <c r="N452" s="22" t="s">
        <v>4371</v>
      </c>
      <c r="O452" s="22" t="s">
        <v>9629</v>
      </c>
      <c r="P452" s="22" t="s">
        <v>4371</v>
      </c>
      <c r="Q452" s="22" t="s">
        <v>9629</v>
      </c>
      <c r="R452" s="22" t="s">
        <v>9630</v>
      </c>
      <c r="S452" s="25"/>
      <c r="T452" s="40" t="s">
        <v>9631</v>
      </c>
      <c r="U452" s="22" t="s">
        <v>9632</v>
      </c>
      <c r="V452" s="25"/>
      <c r="W452" s="22" t="s">
        <v>9633</v>
      </c>
      <c r="X452" s="22" t="s">
        <v>8289</v>
      </c>
      <c r="Y452" s="25"/>
      <c r="Z452" s="25"/>
      <c r="AA452" s="22" t="s">
        <v>8129</v>
      </c>
      <c r="AB452" s="22" t="s">
        <v>8130</v>
      </c>
      <c r="AC452" s="25"/>
      <c r="AD452" s="22" t="s">
        <v>8131</v>
      </c>
      <c r="AE452" s="22" t="s">
        <v>8132</v>
      </c>
      <c r="AF452" s="25"/>
      <c r="AG452" s="22">
        <v>1.0451441844547E13</v>
      </c>
      <c r="AH452" s="22" t="s">
        <v>90</v>
      </c>
      <c r="AI452" s="22">
        <v>8.606878138691E12</v>
      </c>
      <c r="AJ452" s="25"/>
      <c r="AK452" s="25"/>
      <c r="AL452" s="22" t="s">
        <v>8133</v>
      </c>
      <c r="AQ452" s="32" t="s">
        <v>8135</v>
      </c>
      <c r="AR452" s="32" t="b">
        <v>0</v>
      </c>
      <c r="AS452" s="32" t="b">
        <v>0</v>
      </c>
    </row>
    <row r="453">
      <c r="A453" s="21" t="s">
        <v>9628</v>
      </c>
      <c r="B453" s="25"/>
      <c r="C453" s="25"/>
      <c r="D453" s="22" t="s">
        <v>8175</v>
      </c>
      <c r="E453" s="25"/>
      <c r="F453" s="22" t="s">
        <v>8136</v>
      </c>
      <c r="G453" s="25"/>
      <c r="H453" s="22">
        <v>9.507574481219E12</v>
      </c>
      <c r="I453" s="22" t="s">
        <v>89</v>
      </c>
      <c r="J453" s="25"/>
      <c r="K453" s="25"/>
      <c r="L453" s="25"/>
      <c r="M453" s="25"/>
      <c r="N453" s="22" t="s">
        <v>4371</v>
      </c>
      <c r="O453" s="22" t="s">
        <v>9629</v>
      </c>
      <c r="P453" s="22" t="s">
        <v>4371</v>
      </c>
      <c r="Q453" s="22" t="s">
        <v>9629</v>
      </c>
      <c r="R453" s="22" t="s">
        <v>9630</v>
      </c>
      <c r="S453" s="25"/>
      <c r="T453" s="40" t="s">
        <v>9631</v>
      </c>
      <c r="U453" s="22" t="s">
        <v>9632</v>
      </c>
      <c r="V453" s="25"/>
      <c r="W453" s="22" t="s">
        <v>9633</v>
      </c>
      <c r="X453" s="22" t="s">
        <v>8289</v>
      </c>
      <c r="Y453" s="25"/>
      <c r="Z453" s="25"/>
      <c r="AA453" s="22" t="s">
        <v>8129</v>
      </c>
      <c r="AB453" s="22" t="s">
        <v>8130</v>
      </c>
      <c r="AC453" s="25"/>
      <c r="AD453" s="25"/>
      <c r="AE453" s="22" t="s">
        <v>8132</v>
      </c>
      <c r="AF453" s="25"/>
      <c r="AG453" s="22">
        <v>1.0451441844547E13</v>
      </c>
      <c r="AH453" s="22" t="s">
        <v>8137</v>
      </c>
      <c r="AI453" s="22">
        <v>8.606878138691E12</v>
      </c>
      <c r="AJ453" s="25"/>
      <c r="AK453" s="25"/>
      <c r="AL453" s="22" t="s">
        <v>8136</v>
      </c>
      <c r="AR453" s="32" t="b">
        <v>0</v>
      </c>
      <c r="AS453" s="32" t="b">
        <v>0</v>
      </c>
    </row>
    <row r="454">
      <c r="A454" s="21" t="s">
        <v>9628</v>
      </c>
      <c r="B454" s="22" t="s">
        <v>8119</v>
      </c>
      <c r="C454" s="22">
        <v>-1.0</v>
      </c>
      <c r="D454" s="22" t="s">
        <v>8175</v>
      </c>
      <c r="E454" s="22" t="s">
        <v>8119</v>
      </c>
      <c r="F454" s="22" t="s">
        <v>8121</v>
      </c>
      <c r="G454" s="22" t="s">
        <v>89</v>
      </c>
      <c r="H454" s="22">
        <v>3.2730993754435E13</v>
      </c>
      <c r="I454" s="22" t="s">
        <v>89</v>
      </c>
      <c r="J454" s="25"/>
      <c r="K454" s="22">
        <v>4.2085703549171E13</v>
      </c>
      <c r="L454" s="22" t="s">
        <v>8182</v>
      </c>
      <c r="M454" s="35" t="s">
        <v>9634</v>
      </c>
      <c r="N454" s="22" t="s">
        <v>4371</v>
      </c>
      <c r="O454" s="22" t="s">
        <v>9629</v>
      </c>
      <c r="P454" s="22" t="s">
        <v>4371</v>
      </c>
      <c r="Q454" s="22" t="s">
        <v>9629</v>
      </c>
      <c r="R454" s="22" t="s">
        <v>9630</v>
      </c>
      <c r="S454" s="25"/>
      <c r="T454" s="40" t="s">
        <v>9631</v>
      </c>
      <c r="U454" s="22" t="s">
        <v>9632</v>
      </c>
      <c r="V454" s="25"/>
      <c r="W454" s="22" t="s">
        <v>9633</v>
      </c>
      <c r="X454" s="22" t="s">
        <v>8289</v>
      </c>
      <c r="Y454" s="25"/>
      <c r="Z454" s="25"/>
      <c r="AA454" s="22" t="s">
        <v>8129</v>
      </c>
      <c r="AB454" s="22" t="s">
        <v>8130</v>
      </c>
      <c r="AC454" s="25"/>
      <c r="AD454" s="22" t="s">
        <v>8131</v>
      </c>
      <c r="AE454" s="22" t="s">
        <v>8132</v>
      </c>
      <c r="AF454" s="25"/>
      <c r="AG454" s="22">
        <v>1.0451441844547E13</v>
      </c>
      <c r="AH454" s="22" t="s">
        <v>8184</v>
      </c>
      <c r="AI454" s="22">
        <v>8.606878138691E12</v>
      </c>
      <c r="AJ454" s="25"/>
      <c r="AK454" s="22">
        <v>6.714599539011E12</v>
      </c>
      <c r="AL454" s="22" t="s">
        <v>8133</v>
      </c>
      <c r="AQ454" s="32" t="s">
        <v>8135</v>
      </c>
      <c r="AR454" s="32" t="b">
        <v>0</v>
      </c>
      <c r="AS454" s="32" t="b">
        <v>0</v>
      </c>
    </row>
    <row r="455">
      <c r="A455" s="21" t="s">
        <v>9635</v>
      </c>
      <c r="B455" s="22" t="s">
        <v>8140</v>
      </c>
      <c r="C455" s="22">
        <v>1.0</v>
      </c>
      <c r="D455" s="22" t="s">
        <v>8501</v>
      </c>
      <c r="E455" s="22" t="s">
        <v>8140</v>
      </c>
      <c r="F455" s="22" t="s">
        <v>8121</v>
      </c>
      <c r="G455" s="25"/>
      <c r="H455" s="22">
        <v>3.2730951319875E13</v>
      </c>
      <c r="I455" s="25"/>
      <c r="J455" s="25"/>
      <c r="K455" s="22">
        <v>4.2085703581939E13</v>
      </c>
      <c r="L455" s="25"/>
      <c r="M455" s="25"/>
      <c r="N455" s="22" t="s">
        <v>5738</v>
      </c>
      <c r="O455" s="22" t="s">
        <v>9636</v>
      </c>
      <c r="P455" s="22" t="s">
        <v>5738</v>
      </c>
      <c r="Q455" s="22" t="s">
        <v>9636</v>
      </c>
      <c r="R455" s="22" t="s">
        <v>9637</v>
      </c>
      <c r="S455" s="25"/>
      <c r="T455" s="40" t="s">
        <v>9638</v>
      </c>
      <c r="U455" s="22" t="s">
        <v>9639</v>
      </c>
      <c r="V455" s="25"/>
      <c r="W455" s="22" t="s">
        <v>9640</v>
      </c>
      <c r="X455" s="22" t="s">
        <v>8251</v>
      </c>
      <c r="Y455" s="25"/>
      <c r="Z455" s="25"/>
      <c r="AA455" s="22" t="s">
        <v>8129</v>
      </c>
      <c r="AB455" s="22" t="s">
        <v>8130</v>
      </c>
      <c r="AC455" s="25"/>
      <c r="AD455" s="22" t="s">
        <v>8131</v>
      </c>
      <c r="AE455" s="22" t="s">
        <v>8132</v>
      </c>
      <c r="AF455" s="25"/>
      <c r="AG455" s="22">
        <v>1.0451422806339E13</v>
      </c>
      <c r="AH455" s="22" t="s">
        <v>90</v>
      </c>
      <c r="AI455" s="22">
        <v>8.632832819523E12</v>
      </c>
      <c r="AJ455" s="25"/>
      <c r="AK455" s="25"/>
      <c r="AL455" s="22" t="s">
        <v>8134</v>
      </c>
      <c r="AQ455" s="32" t="s">
        <v>8150</v>
      </c>
      <c r="AR455" s="32" t="b">
        <v>0</v>
      </c>
      <c r="AS455" s="32" t="b">
        <v>0</v>
      </c>
    </row>
    <row r="456">
      <c r="A456" s="21" t="s">
        <v>9635</v>
      </c>
      <c r="B456" s="24"/>
      <c r="C456" s="24"/>
      <c r="D456" s="22" t="s">
        <v>8501</v>
      </c>
      <c r="E456" s="24"/>
      <c r="F456" s="22" t="s">
        <v>8136</v>
      </c>
      <c r="G456" s="25"/>
      <c r="H456" s="22">
        <v>9.507558392131E12</v>
      </c>
      <c r="I456" s="25"/>
      <c r="J456" s="25"/>
      <c r="K456" s="24"/>
      <c r="L456" s="25"/>
      <c r="M456" s="25"/>
      <c r="N456" s="22" t="s">
        <v>5738</v>
      </c>
      <c r="O456" s="22" t="s">
        <v>9636</v>
      </c>
      <c r="P456" s="22" t="s">
        <v>5738</v>
      </c>
      <c r="Q456" s="22" t="s">
        <v>9636</v>
      </c>
      <c r="R456" s="22" t="s">
        <v>9637</v>
      </c>
      <c r="S456" s="25"/>
      <c r="T456" s="40" t="s">
        <v>9638</v>
      </c>
      <c r="U456" s="22" t="s">
        <v>9639</v>
      </c>
      <c r="V456" s="25"/>
      <c r="W456" s="22" t="s">
        <v>9640</v>
      </c>
      <c r="X456" s="22" t="s">
        <v>8251</v>
      </c>
      <c r="Y456" s="25"/>
      <c r="Z456" s="25"/>
      <c r="AA456" s="22" t="s">
        <v>8129</v>
      </c>
      <c r="AB456" s="22" t="s">
        <v>8130</v>
      </c>
      <c r="AC456" s="25"/>
      <c r="AD456" s="24"/>
      <c r="AE456" s="22" t="s">
        <v>8132</v>
      </c>
      <c r="AF456" s="25"/>
      <c r="AG456" s="22">
        <v>1.0451422806339E13</v>
      </c>
      <c r="AH456" s="22" t="s">
        <v>8137</v>
      </c>
      <c r="AI456" s="22">
        <v>8.632832819523E12</v>
      </c>
      <c r="AJ456" s="25"/>
      <c r="AK456" s="25"/>
      <c r="AL456" s="22" t="s">
        <v>8136</v>
      </c>
      <c r="AQ456" s="32"/>
      <c r="AR456" s="32" t="b">
        <v>0</v>
      </c>
      <c r="AS456" s="32" t="b">
        <v>0</v>
      </c>
    </row>
    <row r="457">
      <c r="A457" s="21" t="s">
        <v>9641</v>
      </c>
      <c r="B457" s="22" t="s">
        <v>8153</v>
      </c>
      <c r="C457" s="22">
        <v>1.0</v>
      </c>
      <c r="D457" s="22" t="s">
        <v>8968</v>
      </c>
      <c r="E457" s="22" t="s">
        <v>8153</v>
      </c>
      <c r="F457" s="22" t="s">
        <v>8155</v>
      </c>
      <c r="G457" s="25"/>
      <c r="H457" s="22">
        <v>3.2731097334083E13</v>
      </c>
      <c r="I457" s="25"/>
      <c r="J457" s="25"/>
      <c r="K457" s="22">
        <v>4.7338059759939E13</v>
      </c>
      <c r="L457" s="25"/>
      <c r="M457" s="25"/>
      <c r="N457" s="22" t="s">
        <v>9642</v>
      </c>
      <c r="O457" s="22" t="s">
        <v>9643</v>
      </c>
      <c r="P457" s="22" t="s">
        <v>9642</v>
      </c>
      <c r="Q457" s="22" t="s">
        <v>9643</v>
      </c>
      <c r="R457" s="22" t="s">
        <v>9644</v>
      </c>
      <c r="S457" s="25"/>
      <c r="T457" s="40" t="s">
        <v>9645</v>
      </c>
      <c r="U457" s="22" t="s">
        <v>9646</v>
      </c>
      <c r="V457" s="25"/>
      <c r="W457" s="22" t="s">
        <v>9647</v>
      </c>
      <c r="X457" s="22" t="s">
        <v>8128</v>
      </c>
      <c r="Y457" s="25"/>
      <c r="Z457" s="25"/>
      <c r="AA457" s="22" t="s">
        <v>8129</v>
      </c>
      <c r="AB457" s="22" t="s">
        <v>8130</v>
      </c>
      <c r="AC457" s="25"/>
      <c r="AD457" s="22" t="s">
        <v>8161</v>
      </c>
      <c r="AE457" s="22" t="s">
        <v>8132</v>
      </c>
      <c r="AF457" s="25"/>
      <c r="AG457" s="22">
        <v>1.0451488801091E13</v>
      </c>
      <c r="AH457" s="22" t="s">
        <v>90</v>
      </c>
      <c r="AI457" s="22">
        <v>8.559100133699E12</v>
      </c>
      <c r="AJ457" s="25"/>
      <c r="AK457" s="25"/>
      <c r="AL457" s="22" t="s">
        <v>8162</v>
      </c>
      <c r="AQ457" s="32" t="s">
        <v>55</v>
      </c>
      <c r="AR457" s="32" t="b">
        <v>0</v>
      </c>
      <c r="AS457" s="32" t="b">
        <v>0</v>
      </c>
    </row>
    <row r="458">
      <c r="A458" s="21" t="s">
        <v>9641</v>
      </c>
      <c r="B458" s="24"/>
      <c r="C458" s="24"/>
      <c r="D458" s="22" t="s">
        <v>8968</v>
      </c>
      <c r="E458" s="24"/>
      <c r="F458" s="22" t="s">
        <v>8149</v>
      </c>
      <c r="G458" s="25"/>
      <c r="H458" s="22">
        <v>9.507615179075E12</v>
      </c>
      <c r="I458" s="25"/>
      <c r="J458" s="25"/>
      <c r="K458" s="24"/>
      <c r="L458" s="25"/>
      <c r="M458" s="25"/>
      <c r="N458" s="22" t="s">
        <v>9642</v>
      </c>
      <c r="O458" s="22" t="s">
        <v>9643</v>
      </c>
      <c r="P458" s="22" t="s">
        <v>9642</v>
      </c>
      <c r="Q458" s="22" t="s">
        <v>9643</v>
      </c>
      <c r="R458" s="22" t="s">
        <v>9644</v>
      </c>
      <c r="S458" s="25"/>
      <c r="T458" s="40" t="s">
        <v>9645</v>
      </c>
      <c r="U458" s="22" t="s">
        <v>9646</v>
      </c>
      <c r="V458" s="24"/>
      <c r="W458" s="22" t="s">
        <v>9647</v>
      </c>
      <c r="X458" s="22" t="s">
        <v>8128</v>
      </c>
      <c r="Y458" s="25"/>
      <c r="Z458" s="25"/>
      <c r="AA458" s="22" t="s">
        <v>8129</v>
      </c>
      <c r="AB458" s="22" t="s">
        <v>8130</v>
      </c>
      <c r="AC458" s="25"/>
      <c r="AD458" s="24"/>
      <c r="AE458" s="22" t="s">
        <v>8132</v>
      </c>
      <c r="AF458" s="25"/>
      <c r="AG458" s="22">
        <v>1.0451488801091E13</v>
      </c>
      <c r="AH458" s="22" t="s">
        <v>8137</v>
      </c>
      <c r="AI458" s="22">
        <v>8.559100133699E12</v>
      </c>
      <c r="AJ458" s="25"/>
      <c r="AK458" s="25"/>
      <c r="AL458" s="22" t="s">
        <v>8149</v>
      </c>
      <c r="AQ458" s="32"/>
      <c r="AR458" s="32" t="b">
        <v>0</v>
      </c>
      <c r="AS458" s="32" t="b">
        <v>0</v>
      </c>
    </row>
    <row r="459">
      <c r="A459" s="21" t="s">
        <v>9648</v>
      </c>
      <c r="B459" s="22" t="s">
        <v>8370</v>
      </c>
      <c r="C459" s="22">
        <v>1.0</v>
      </c>
      <c r="D459" s="22" t="s">
        <v>8175</v>
      </c>
      <c r="E459" s="22" t="s">
        <v>8370</v>
      </c>
      <c r="F459" s="22" t="s">
        <v>8155</v>
      </c>
      <c r="G459" s="22" t="s">
        <v>89</v>
      </c>
      <c r="H459" s="22">
        <v>3.2731112866115E13</v>
      </c>
      <c r="I459" s="22" t="s">
        <v>89</v>
      </c>
      <c r="J459" s="25"/>
      <c r="K459" s="22">
        <v>4.9521175494979E13</v>
      </c>
      <c r="L459" s="25"/>
      <c r="M459" s="25"/>
      <c r="N459" s="22" t="s">
        <v>9649</v>
      </c>
      <c r="O459" s="22" t="s">
        <v>9650</v>
      </c>
      <c r="P459" s="22" t="s">
        <v>9649</v>
      </c>
      <c r="Q459" s="22" t="s">
        <v>9650</v>
      </c>
      <c r="R459" s="22" t="s">
        <v>9651</v>
      </c>
      <c r="S459" s="25"/>
      <c r="T459" s="40" t="s">
        <v>9652</v>
      </c>
      <c r="U459" s="22" t="s">
        <v>9653</v>
      </c>
      <c r="V459" s="24"/>
      <c r="W459" s="22" t="s">
        <v>9654</v>
      </c>
      <c r="X459" s="22" t="s">
        <v>8289</v>
      </c>
      <c r="Y459" s="25"/>
      <c r="Z459" s="25"/>
      <c r="AA459" s="22" t="s">
        <v>8129</v>
      </c>
      <c r="AB459" s="22" t="s">
        <v>8130</v>
      </c>
      <c r="AC459" s="25"/>
      <c r="AD459" s="22" t="s">
        <v>8161</v>
      </c>
      <c r="AE459" s="22" t="s">
        <v>8132</v>
      </c>
      <c r="AF459" s="25"/>
      <c r="AG459" s="22">
        <v>1.0451494797635E13</v>
      </c>
      <c r="AH459" s="22" t="s">
        <v>90</v>
      </c>
      <c r="AI459" s="22">
        <v>8.534060237123E12</v>
      </c>
      <c r="AJ459" s="25"/>
      <c r="AK459" s="25"/>
      <c r="AL459" s="22" t="s">
        <v>8138</v>
      </c>
      <c r="AQ459" s="32" t="s">
        <v>91</v>
      </c>
      <c r="AR459" s="32" t="b">
        <v>0</v>
      </c>
      <c r="AS459" s="32" t="b">
        <v>1</v>
      </c>
    </row>
    <row r="460">
      <c r="A460" s="21" t="s">
        <v>9648</v>
      </c>
      <c r="B460" s="24"/>
      <c r="C460" s="24"/>
      <c r="D460" s="22" t="s">
        <v>8175</v>
      </c>
      <c r="E460" s="24"/>
      <c r="F460" s="22" t="s">
        <v>8149</v>
      </c>
      <c r="G460" s="25"/>
      <c r="H460" s="22">
        <v>9.507620553027E12</v>
      </c>
      <c r="I460" s="22" t="s">
        <v>89</v>
      </c>
      <c r="J460" s="25"/>
      <c r="K460" s="24"/>
      <c r="L460" s="25"/>
      <c r="M460" s="25"/>
      <c r="N460" s="22" t="s">
        <v>9649</v>
      </c>
      <c r="O460" s="22" t="s">
        <v>9650</v>
      </c>
      <c r="P460" s="22" t="s">
        <v>9649</v>
      </c>
      <c r="Q460" s="22" t="s">
        <v>9650</v>
      </c>
      <c r="R460" s="22" t="s">
        <v>9651</v>
      </c>
      <c r="S460" s="25"/>
      <c r="T460" s="40" t="s">
        <v>9652</v>
      </c>
      <c r="U460" s="22" t="s">
        <v>9653</v>
      </c>
      <c r="V460" s="25"/>
      <c r="W460" s="22" t="s">
        <v>9654</v>
      </c>
      <c r="X460" s="22" t="s">
        <v>8289</v>
      </c>
      <c r="Y460" s="25"/>
      <c r="Z460" s="25"/>
      <c r="AA460" s="22" t="s">
        <v>8129</v>
      </c>
      <c r="AB460" s="22" t="s">
        <v>8130</v>
      </c>
      <c r="AC460" s="25"/>
      <c r="AD460" s="24"/>
      <c r="AE460" s="22" t="s">
        <v>8132</v>
      </c>
      <c r="AF460" s="25"/>
      <c r="AG460" s="22">
        <v>1.0451494797635E13</v>
      </c>
      <c r="AH460" s="22" t="s">
        <v>8137</v>
      </c>
      <c r="AI460" s="22">
        <v>8.534060237123E12</v>
      </c>
      <c r="AJ460" s="25"/>
      <c r="AK460" s="25"/>
      <c r="AL460" s="22" t="s">
        <v>8149</v>
      </c>
      <c r="AQ460" s="32"/>
      <c r="AR460" s="32" t="b">
        <v>0</v>
      </c>
      <c r="AS460" s="32" t="b">
        <v>0</v>
      </c>
    </row>
    <row r="461">
      <c r="A461" s="21" t="s">
        <v>9648</v>
      </c>
      <c r="B461" s="22" t="s">
        <v>8370</v>
      </c>
      <c r="C461" s="22">
        <v>-1.0</v>
      </c>
      <c r="D461" s="22" t="s">
        <v>8175</v>
      </c>
      <c r="E461" s="22" t="s">
        <v>8370</v>
      </c>
      <c r="F461" s="22" t="s">
        <v>8155</v>
      </c>
      <c r="G461" s="22" t="s">
        <v>89</v>
      </c>
      <c r="H461" s="22">
        <v>3.2731112866115E13</v>
      </c>
      <c r="I461" s="22" t="s">
        <v>89</v>
      </c>
      <c r="J461" s="25"/>
      <c r="K461" s="22">
        <v>4.9521175494979E13</v>
      </c>
      <c r="L461" s="22" t="s">
        <v>8182</v>
      </c>
      <c r="M461" s="35" t="s">
        <v>9655</v>
      </c>
      <c r="N461" s="22" t="s">
        <v>9649</v>
      </c>
      <c r="O461" s="22" t="s">
        <v>9650</v>
      </c>
      <c r="P461" s="22" t="s">
        <v>9649</v>
      </c>
      <c r="Q461" s="22" t="s">
        <v>9650</v>
      </c>
      <c r="R461" s="22" t="s">
        <v>9651</v>
      </c>
      <c r="S461" s="25"/>
      <c r="T461" s="40" t="s">
        <v>9652</v>
      </c>
      <c r="U461" s="22" t="s">
        <v>9653</v>
      </c>
      <c r="V461" s="25"/>
      <c r="W461" s="22" t="s">
        <v>9654</v>
      </c>
      <c r="X461" s="22" t="s">
        <v>8289</v>
      </c>
      <c r="Y461" s="25"/>
      <c r="Z461" s="25"/>
      <c r="AA461" s="22" t="s">
        <v>8129</v>
      </c>
      <c r="AB461" s="22" t="s">
        <v>8130</v>
      </c>
      <c r="AC461" s="25"/>
      <c r="AD461" s="22" t="s">
        <v>8161</v>
      </c>
      <c r="AE461" s="22" t="s">
        <v>8132</v>
      </c>
      <c r="AF461" s="25"/>
      <c r="AG461" s="22">
        <v>1.0451494797635E13</v>
      </c>
      <c r="AH461" s="22" t="s">
        <v>8184</v>
      </c>
      <c r="AI461" s="22">
        <v>8.534060237123E12</v>
      </c>
      <c r="AJ461" s="25"/>
      <c r="AK461" s="22">
        <v>6.714599637315E12</v>
      </c>
      <c r="AL461" s="22" t="s">
        <v>8138</v>
      </c>
      <c r="AQ461" s="32" t="s">
        <v>91</v>
      </c>
      <c r="AR461" s="32" t="b">
        <v>0</v>
      </c>
      <c r="AS461" s="32" t="b">
        <v>1</v>
      </c>
    </row>
    <row r="462">
      <c r="A462" s="21" t="s">
        <v>9656</v>
      </c>
      <c r="B462" s="22" t="s">
        <v>8211</v>
      </c>
      <c r="C462" s="22">
        <v>1.0</v>
      </c>
      <c r="D462" s="22" t="s">
        <v>8221</v>
      </c>
      <c r="E462" s="22" t="s">
        <v>8211</v>
      </c>
      <c r="F462" s="22" t="s">
        <v>8155</v>
      </c>
      <c r="G462" s="25"/>
      <c r="H462" s="22">
        <v>3.2731124367683E13</v>
      </c>
      <c r="I462" s="25"/>
      <c r="J462" s="25"/>
      <c r="K462" s="22">
        <v>4.7338059727171E13</v>
      </c>
      <c r="L462" s="25"/>
      <c r="M462" s="25"/>
      <c r="N462" s="22" t="s">
        <v>3695</v>
      </c>
      <c r="O462" s="22" t="s">
        <v>9657</v>
      </c>
      <c r="P462" s="22" t="s">
        <v>3695</v>
      </c>
      <c r="Q462" s="22" t="s">
        <v>9657</v>
      </c>
      <c r="R462" s="22" t="s">
        <v>9658</v>
      </c>
      <c r="S462" s="25"/>
      <c r="T462" s="40" t="s">
        <v>9659</v>
      </c>
      <c r="U462" s="22" t="s">
        <v>9660</v>
      </c>
      <c r="V462" s="25"/>
      <c r="W462" s="22" t="s">
        <v>9661</v>
      </c>
      <c r="X462" s="22" t="s">
        <v>9662</v>
      </c>
      <c r="Y462" s="25"/>
      <c r="Z462" s="25"/>
      <c r="AA462" s="22" t="s">
        <v>8129</v>
      </c>
      <c r="AB462" s="22" t="s">
        <v>8130</v>
      </c>
      <c r="AC462" s="25"/>
      <c r="AD462" s="22" t="s">
        <v>8161</v>
      </c>
      <c r="AE462" s="22" t="s">
        <v>8132</v>
      </c>
      <c r="AF462" s="25"/>
      <c r="AG462" s="22">
        <v>1.0451500138819E13</v>
      </c>
      <c r="AH462" s="22" t="s">
        <v>90</v>
      </c>
      <c r="AI462" s="22">
        <v>7.428795203907E12</v>
      </c>
      <c r="AJ462" s="25"/>
      <c r="AK462" s="25"/>
      <c r="AL462" s="22" t="s">
        <v>8151</v>
      </c>
      <c r="AQ462" s="32" t="s">
        <v>54</v>
      </c>
      <c r="AR462" s="32" t="b">
        <v>0</v>
      </c>
      <c r="AS462" s="32" t="b">
        <v>0</v>
      </c>
    </row>
    <row r="463">
      <c r="A463" s="21" t="s">
        <v>9656</v>
      </c>
      <c r="B463" s="25"/>
      <c r="C463" s="25"/>
      <c r="D463" s="22" t="s">
        <v>8221</v>
      </c>
      <c r="E463" s="25"/>
      <c r="F463" s="22" t="s">
        <v>8149</v>
      </c>
      <c r="G463" s="25"/>
      <c r="H463" s="22">
        <v>9.507625337155E12</v>
      </c>
      <c r="I463" s="25"/>
      <c r="J463" s="25"/>
      <c r="K463" s="25"/>
      <c r="L463" s="25"/>
      <c r="M463" s="25"/>
      <c r="N463" s="22" t="s">
        <v>3695</v>
      </c>
      <c r="O463" s="22" t="s">
        <v>9657</v>
      </c>
      <c r="P463" s="22" t="s">
        <v>3695</v>
      </c>
      <c r="Q463" s="22" t="s">
        <v>9657</v>
      </c>
      <c r="R463" s="22" t="s">
        <v>9658</v>
      </c>
      <c r="S463" s="25"/>
      <c r="T463" s="40" t="s">
        <v>9659</v>
      </c>
      <c r="U463" s="22" t="s">
        <v>9660</v>
      </c>
      <c r="V463" s="25"/>
      <c r="W463" s="22" t="s">
        <v>9661</v>
      </c>
      <c r="X463" s="22" t="s">
        <v>9662</v>
      </c>
      <c r="Y463" s="25"/>
      <c r="Z463" s="25"/>
      <c r="AA463" s="22" t="s">
        <v>8129</v>
      </c>
      <c r="AB463" s="22" t="s">
        <v>8130</v>
      </c>
      <c r="AC463" s="25"/>
      <c r="AD463" s="25"/>
      <c r="AE463" s="22" t="s">
        <v>8132</v>
      </c>
      <c r="AF463" s="25"/>
      <c r="AG463" s="22">
        <v>1.0451500138819E13</v>
      </c>
      <c r="AH463" s="22" t="s">
        <v>8137</v>
      </c>
      <c r="AI463" s="22">
        <v>7.428795203907E12</v>
      </c>
      <c r="AJ463" s="25"/>
      <c r="AK463" s="25"/>
      <c r="AL463" s="22" t="s">
        <v>8149</v>
      </c>
      <c r="AR463" s="32" t="b">
        <v>0</v>
      </c>
      <c r="AS463" s="32" t="b">
        <v>0</v>
      </c>
    </row>
    <row r="464">
      <c r="A464" s="21" t="s">
        <v>9663</v>
      </c>
      <c r="B464" s="22" t="s">
        <v>8119</v>
      </c>
      <c r="C464" s="22">
        <v>1.0</v>
      </c>
      <c r="D464" s="22" t="s">
        <v>8221</v>
      </c>
      <c r="E464" s="22" t="s">
        <v>8119</v>
      </c>
      <c r="F464" s="22" t="s">
        <v>8121</v>
      </c>
      <c r="G464" s="25"/>
      <c r="H464" s="22">
        <v>3.2731251802435E13</v>
      </c>
      <c r="I464" s="25"/>
      <c r="J464" s="25"/>
      <c r="K464" s="22">
        <v>4.2085703549171E13</v>
      </c>
      <c r="L464" s="25"/>
      <c r="M464" s="25"/>
      <c r="N464" s="22" t="s">
        <v>6557</v>
      </c>
      <c r="O464" s="22" t="s">
        <v>9664</v>
      </c>
      <c r="P464" s="22" t="s">
        <v>6557</v>
      </c>
      <c r="Q464" s="22" t="s">
        <v>9664</v>
      </c>
      <c r="R464" s="22" t="s">
        <v>9665</v>
      </c>
      <c r="S464" s="25"/>
      <c r="T464" s="40" t="s">
        <v>9666</v>
      </c>
      <c r="U464" s="22" t="s">
        <v>9667</v>
      </c>
      <c r="V464" s="22">
        <v>45.0</v>
      </c>
      <c r="W464" s="22" t="s">
        <v>9668</v>
      </c>
      <c r="X464" s="22" t="s">
        <v>9669</v>
      </c>
      <c r="Y464" s="25"/>
      <c r="Z464" s="25"/>
      <c r="AA464" s="22" t="s">
        <v>8129</v>
      </c>
      <c r="AB464" s="22" t="s">
        <v>8130</v>
      </c>
      <c r="AC464" s="25"/>
      <c r="AD464" s="22" t="s">
        <v>8131</v>
      </c>
      <c r="AE464" s="22" t="s">
        <v>8132</v>
      </c>
      <c r="AF464" s="25"/>
      <c r="AG464" s="22">
        <v>1.0451556204867E13</v>
      </c>
      <c r="AH464" s="22" t="s">
        <v>90</v>
      </c>
      <c r="AI464" s="22">
        <v>8.546707603779E12</v>
      </c>
      <c r="AJ464" s="25"/>
      <c r="AK464" s="25"/>
      <c r="AL464" s="22" t="s">
        <v>8133</v>
      </c>
      <c r="AQ464" s="32" t="s">
        <v>8135</v>
      </c>
      <c r="AR464" s="32" t="b">
        <v>0</v>
      </c>
      <c r="AS464" s="32" t="b">
        <v>0</v>
      </c>
    </row>
    <row r="465">
      <c r="A465" s="21" t="s">
        <v>9663</v>
      </c>
      <c r="B465" s="25"/>
      <c r="C465" s="25"/>
      <c r="D465" s="22" t="s">
        <v>8221</v>
      </c>
      <c r="E465" s="25"/>
      <c r="F465" s="22" t="s">
        <v>8136</v>
      </c>
      <c r="G465" s="25"/>
      <c r="H465" s="22">
        <v>9.507673145667E12</v>
      </c>
      <c r="I465" s="25"/>
      <c r="J465" s="25"/>
      <c r="K465" s="25"/>
      <c r="L465" s="25"/>
      <c r="M465" s="25"/>
      <c r="N465" s="22" t="s">
        <v>6557</v>
      </c>
      <c r="O465" s="22" t="s">
        <v>9664</v>
      </c>
      <c r="P465" s="22" t="s">
        <v>6557</v>
      </c>
      <c r="Q465" s="22" t="s">
        <v>9664</v>
      </c>
      <c r="R465" s="22" t="s">
        <v>9665</v>
      </c>
      <c r="S465" s="25"/>
      <c r="T465" s="40" t="s">
        <v>9666</v>
      </c>
      <c r="U465" s="22" t="s">
        <v>9667</v>
      </c>
      <c r="V465" s="22">
        <v>45.0</v>
      </c>
      <c r="W465" s="22" t="s">
        <v>9668</v>
      </c>
      <c r="X465" s="22" t="s">
        <v>9669</v>
      </c>
      <c r="Y465" s="25"/>
      <c r="Z465" s="25"/>
      <c r="AA465" s="22" t="s">
        <v>8129</v>
      </c>
      <c r="AB465" s="22" t="s">
        <v>8130</v>
      </c>
      <c r="AC465" s="25"/>
      <c r="AD465" s="25"/>
      <c r="AE465" s="22" t="s">
        <v>8132</v>
      </c>
      <c r="AF465" s="25"/>
      <c r="AG465" s="22">
        <v>1.0451556204867E13</v>
      </c>
      <c r="AH465" s="22" t="s">
        <v>8137</v>
      </c>
      <c r="AI465" s="22">
        <v>8.546707603779E12</v>
      </c>
      <c r="AJ465" s="25"/>
      <c r="AK465" s="25"/>
      <c r="AL465" s="22" t="s">
        <v>8136</v>
      </c>
      <c r="AR465" s="32" t="b">
        <v>0</v>
      </c>
      <c r="AS465" s="32" t="b">
        <v>0</v>
      </c>
    </row>
    <row r="466">
      <c r="A466" s="21" t="s">
        <v>9670</v>
      </c>
      <c r="B466" s="22" t="s">
        <v>8119</v>
      </c>
      <c r="C466" s="22">
        <v>1.0</v>
      </c>
      <c r="D466" s="22" t="s">
        <v>8278</v>
      </c>
      <c r="E466" s="22" t="s">
        <v>8119</v>
      </c>
      <c r="F466" s="22" t="s">
        <v>8121</v>
      </c>
      <c r="G466" s="25"/>
      <c r="H466" s="22">
        <v>3.2731292041539E13</v>
      </c>
      <c r="I466" s="25"/>
      <c r="J466" s="25"/>
      <c r="K466" s="22">
        <v>4.2085703549171E13</v>
      </c>
      <c r="L466" s="25"/>
      <c r="M466" s="25"/>
      <c r="N466" s="22" t="s">
        <v>9671</v>
      </c>
      <c r="O466" s="22" t="s">
        <v>6445</v>
      </c>
      <c r="P466" s="22" t="s">
        <v>9671</v>
      </c>
      <c r="Q466" s="22" t="s">
        <v>6445</v>
      </c>
      <c r="R466" s="22" t="s">
        <v>9672</v>
      </c>
      <c r="S466" s="25"/>
      <c r="T466" s="40" t="s">
        <v>9673</v>
      </c>
      <c r="U466" s="22" t="s">
        <v>9674</v>
      </c>
      <c r="V466" s="25"/>
      <c r="W466" s="22" t="s">
        <v>9675</v>
      </c>
      <c r="X466" s="22" t="s">
        <v>9676</v>
      </c>
      <c r="Y466" s="25"/>
      <c r="Z466" s="25"/>
      <c r="AA466" s="22" t="s">
        <v>8129</v>
      </c>
      <c r="AB466" s="22" t="s">
        <v>8130</v>
      </c>
      <c r="AC466" s="25"/>
      <c r="AD466" s="22" t="s">
        <v>8131</v>
      </c>
      <c r="AE466" s="22" t="s">
        <v>8132</v>
      </c>
      <c r="AF466" s="25"/>
      <c r="AG466" s="22">
        <v>1.0451574653251E13</v>
      </c>
      <c r="AH466" s="22" t="s">
        <v>90</v>
      </c>
      <c r="AI466" s="22">
        <v>6.450477793523E12</v>
      </c>
      <c r="AJ466" s="25"/>
      <c r="AK466" s="25"/>
      <c r="AL466" s="22" t="s">
        <v>8133</v>
      </c>
      <c r="AQ466" s="32" t="s">
        <v>8135</v>
      </c>
      <c r="AR466" s="32" t="b">
        <v>0</v>
      </c>
      <c r="AS466" s="32" t="b">
        <v>0</v>
      </c>
    </row>
    <row r="467">
      <c r="A467" s="21" t="s">
        <v>9670</v>
      </c>
      <c r="B467" s="25"/>
      <c r="C467" s="25"/>
      <c r="D467" s="22" t="s">
        <v>8278</v>
      </c>
      <c r="E467" s="25"/>
      <c r="F467" s="22" t="s">
        <v>8136</v>
      </c>
      <c r="G467" s="25"/>
      <c r="H467" s="22">
        <v>9.507688939843E12</v>
      </c>
      <c r="I467" s="25"/>
      <c r="J467" s="25"/>
      <c r="K467" s="25"/>
      <c r="L467" s="25"/>
      <c r="M467" s="25"/>
      <c r="N467" s="22" t="s">
        <v>9671</v>
      </c>
      <c r="O467" s="22" t="s">
        <v>6445</v>
      </c>
      <c r="P467" s="22" t="s">
        <v>9671</v>
      </c>
      <c r="Q467" s="22" t="s">
        <v>6445</v>
      </c>
      <c r="R467" s="22" t="s">
        <v>9672</v>
      </c>
      <c r="S467" s="25"/>
      <c r="T467" s="40" t="s">
        <v>9673</v>
      </c>
      <c r="U467" s="22" t="s">
        <v>9674</v>
      </c>
      <c r="V467" s="25"/>
      <c r="W467" s="22" t="s">
        <v>9675</v>
      </c>
      <c r="X467" s="22" t="s">
        <v>9676</v>
      </c>
      <c r="Y467" s="25"/>
      <c r="Z467" s="25"/>
      <c r="AA467" s="22" t="s">
        <v>8129</v>
      </c>
      <c r="AB467" s="22" t="s">
        <v>8130</v>
      </c>
      <c r="AC467" s="25"/>
      <c r="AD467" s="25"/>
      <c r="AE467" s="22" t="s">
        <v>8132</v>
      </c>
      <c r="AF467" s="25"/>
      <c r="AG467" s="22">
        <v>1.0451574653251E13</v>
      </c>
      <c r="AH467" s="22" t="s">
        <v>8137</v>
      </c>
      <c r="AI467" s="22">
        <v>6.450477793523E12</v>
      </c>
      <c r="AJ467" s="25"/>
      <c r="AK467" s="25"/>
      <c r="AL467" s="22" t="s">
        <v>8136</v>
      </c>
      <c r="AR467" s="32" t="b">
        <v>0</v>
      </c>
      <c r="AS467" s="32" t="b">
        <v>0</v>
      </c>
    </row>
    <row r="468">
      <c r="A468" s="21" t="s">
        <v>9677</v>
      </c>
      <c r="B468" s="22" t="s">
        <v>8119</v>
      </c>
      <c r="C468" s="22">
        <v>1.0</v>
      </c>
      <c r="D468" s="22" t="s">
        <v>8278</v>
      </c>
      <c r="E468" s="22" t="s">
        <v>8119</v>
      </c>
      <c r="F468" s="22" t="s">
        <v>8121</v>
      </c>
      <c r="G468" s="25"/>
      <c r="H468" s="22">
        <v>3.2731340472643E13</v>
      </c>
      <c r="I468" s="25"/>
      <c r="J468" s="25"/>
      <c r="K468" s="22">
        <v>4.2085703549171E13</v>
      </c>
      <c r="L468" s="25"/>
      <c r="M468" s="25"/>
      <c r="N468" s="22" t="s">
        <v>9678</v>
      </c>
      <c r="O468" s="22" t="s">
        <v>9679</v>
      </c>
      <c r="P468" s="22" t="s">
        <v>9678</v>
      </c>
      <c r="Q468" s="22" t="s">
        <v>9679</v>
      </c>
      <c r="R468" s="22" t="s">
        <v>9680</v>
      </c>
      <c r="S468" s="25"/>
      <c r="T468" s="40" t="s">
        <v>9681</v>
      </c>
      <c r="U468" s="22" t="s">
        <v>9682</v>
      </c>
      <c r="V468" s="25"/>
      <c r="W468" s="22" t="s">
        <v>9683</v>
      </c>
      <c r="X468" s="22" t="s">
        <v>9684</v>
      </c>
      <c r="Y468" s="25"/>
      <c r="Z468" s="25"/>
      <c r="AA468" s="22" t="s">
        <v>8129</v>
      </c>
      <c r="AB468" s="22" t="s">
        <v>8130</v>
      </c>
      <c r="AC468" s="25"/>
      <c r="AD468" s="22" t="s">
        <v>8131</v>
      </c>
      <c r="AE468" s="22" t="s">
        <v>8132</v>
      </c>
      <c r="AF468" s="25"/>
      <c r="AG468" s="22">
        <v>1.0451595362627E13</v>
      </c>
      <c r="AH468" s="22" t="s">
        <v>90</v>
      </c>
      <c r="AI468" s="22">
        <v>8.611393569091E12</v>
      </c>
      <c r="AJ468" s="25"/>
      <c r="AK468" s="25"/>
      <c r="AL468" s="22" t="s">
        <v>8133</v>
      </c>
      <c r="AQ468" s="32" t="s">
        <v>8135</v>
      </c>
      <c r="AR468" s="32" t="b">
        <v>0</v>
      </c>
      <c r="AS468" s="32" t="b">
        <v>0</v>
      </c>
    </row>
    <row r="469">
      <c r="A469" s="21" t="s">
        <v>9677</v>
      </c>
      <c r="B469" s="25"/>
      <c r="C469" s="25"/>
      <c r="D469" s="22" t="s">
        <v>8278</v>
      </c>
      <c r="E469" s="25"/>
      <c r="F469" s="22" t="s">
        <v>8136</v>
      </c>
      <c r="G469" s="25"/>
      <c r="H469" s="22">
        <v>9.507706601795E12</v>
      </c>
      <c r="I469" s="25"/>
      <c r="J469" s="25"/>
      <c r="K469" s="25"/>
      <c r="L469" s="25"/>
      <c r="M469" s="25"/>
      <c r="N469" s="22" t="s">
        <v>9678</v>
      </c>
      <c r="O469" s="22" t="s">
        <v>9679</v>
      </c>
      <c r="P469" s="22" t="s">
        <v>9678</v>
      </c>
      <c r="Q469" s="22" t="s">
        <v>9679</v>
      </c>
      <c r="R469" s="22" t="s">
        <v>9680</v>
      </c>
      <c r="S469" s="25"/>
      <c r="T469" s="40" t="s">
        <v>9681</v>
      </c>
      <c r="U469" s="22" t="s">
        <v>9682</v>
      </c>
      <c r="V469" s="25"/>
      <c r="W469" s="22" t="s">
        <v>9683</v>
      </c>
      <c r="X469" s="22" t="s">
        <v>9684</v>
      </c>
      <c r="Y469" s="25"/>
      <c r="Z469" s="25"/>
      <c r="AA469" s="22" t="s">
        <v>8129</v>
      </c>
      <c r="AB469" s="22" t="s">
        <v>8130</v>
      </c>
      <c r="AC469" s="25"/>
      <c r="AD469" s="25"/>
      <c r="AE469" s="22" t="s">
        <v>8132</v>
      </c>
      <c r="AF469" s="25"/>
      <c r="AG469" s="22">
        <v>1.0451595362627E13</v>
      </c>
      <c r="AH469" s="22" t="s">
        <v>8137</v>
      </c>
      <c r="AI469" s="22">
        <v>8.611393569091E12</v>
      </c>
      <c r="AJ469" s="25"/>
      <c r="AK469" s="25"/>
      <c r="AL469" s="22" t="s">
        <v>8136</v>
      </c>
      <c r="AR469" s="32" t="b">
        <v>0</v>
      </c>
      <c r="AS469" s="32" t="b">
        <v>0</v>
      </c>
    </row>
    <row r="470">
      <c r="A470" s="21" t="s">
        <v>9685</v>
      </c>
      <c r="B470" s="22" t="s">
        <v>8119</v>
      </c>
      <c r="C470" s="22">
        <v>1.0</v>
      </c>
      <c r="D470" s="22" t="s">
        <v>8278</v>
      </c>
      <c r="E470" s="22" t="s">
        <v>8119</v>
      </c>
      <c r="F470" s="22" t="s">
        <v>8121</v>
      </c>
      <c r="G470" s="25"/>
      <c r="H470" s="22">
        <v>3.2730953318723E13</v>
      </c>
      <c r="I470" s="25"/>
      <c r="J470" s="25"/>
      <c r="K470" s="22">
        <v>4.2085703549171E13</v>
      </c>
      <c r="L470" s="25"/>
      <c r="M470" s="25"/>
      <c r="N470" s="22" t="s">
        <v>7079</v>
      </c>
      <c r="O470" s="22" t="s">
        <v>9596</v>
      </c>
      <c r="P470" s="22" t="s">
        <v>5028</v>
      </c>
      <c r="Q470" s="22" t="s">
        <v>9686</v>
      </c>
      <c r="R470" s="22" t="s">
        <v>9687</v>
      </c>
      <c r="S470" s="25"/>
      <c r="T470" s="40" t="s">
        <v>9688</v>
      </c>
      <c r="U470" s="22" t="s">
        <v>9689</v>
      </c>
      <c r="V470" s="25"/>
      <c r="W470" s="22" t="s">
        <v>9690</v>
      </c>
      <c r="X470" s="22" t="s">
        <v>8319</v>
      </c>
      <c r="Y470" s="25"/>
      <c r="Z470" s="25"/>
      <c r="AA470" s="22" t="s">
        <v>8129</v>
      </c>
      <c r="AB470" s="22" t="s">
        <v>8130</v>
      </c>
      <c r="AC470" s="25"/>
      <c r="AD470" s="22" t="s">
        <v>8131</v>
      </c>
      <c r="AE470" s="22" t="s">
        <v>8132</v>
      </c>
      <c r="AF470" s="25"/>
      <c r="AG470" s="22">
        <v>1.0451423789379E13</v>
      </c>
      <c r="AH470" s="22" t="s">
        <v>90</v>
      </c>
      <c r="AI470" s="22">
        <v>2.3416802345283E13</v>
      </c>
      <c r="AJ470" s="25"/>
      <c r="AK470" s="25"/>
      <c r="AL470" s="22" t="s">
        <v>8133</v>
      </c>
      <c r="AQ470" s="32" t="s">
        <v>8135</v>
      </c>
      <c r="AR470" s="32" t="b">
        <v>0</v>
      </c>
      <c r="AS470" s="32" t="b">
        <v>0</v>
      </c>
    </row>
    <row r="471">
      <c r="A471" s="21" t="s">
        <v>9685</v>
      </c>
      <c r="B471" s="24"/>
      <c r="C471" s="24"/>
      <c r="D471" s="22" t="s">
        <v>8278</v>
      </c>
      <c r="E471" s="24"/>
      <c r="F471" s="22" t="s">
        <v>8136</v>
      </c>
      <c r="G471" s="25"/>
      <c r="H471" s="22">
        <v>9.507559276867E12</v>
      </c>
      <c r="I471" s="25"/>
      <c r="J471" s="25"/>
      <c r="K471" s="24"/>
      <c r="L471" s="25"/>
      <c r="M471" s="25"/>
      <c r="N471" s="22" t="s">
        <v>7079</v>
      </c>
      <c r="O471" s="22" t="s">
        <v>9596</v>
      </c>
      <c r="P471" s="22" t="s">
        <v>5028</v>
      </c>
      <c r="Q471" s="22" t="s">
        <v>9686</v>
      </c>
      <c r="R471" s="22" t="s">
        <v>9687</v>
      </c>
      <c r="S471" s="25"/>
      <c r="T471" s="40" t="s">
        <v>9688</v>
      </c>
      <c r="U471" s="22" t="s">
        <v>9689</v>
      </c>
      <c r="V471" s="25"/>
      <c r="W471" s="22" t="s">
        <v>9690</v>
      </c>
      <c r="X471" s="22" t="s">
        <v>8319</v>
      </c>
      <c r="Y471" s="25"/>
      <c r="Z471" s="25"/>
      <c r="AA471" s="22" t="s">
        <v>8129</v>
      </c>
      <c r="AB471" s="22" t="s">
        <v>8130</v>
      </c>
      <c r="AC471" s="25"/>
      <c r="AD471" s="24"/>
      <c r="AE471" s="22" t="s">
        <v>8132</v>
      </c>
      <c r="AF471" s="25"/>
      <c r="AG471" s="22">
        <v>1.0451423789379E13</v>
      </c>
      <c r="AH471" s="22" t="s">
        <v>8137</v>
      </c>
      <c r="AI471" s="22">
        <v>2.3416802345283E13</v>
      </c>
      <c r="AJ471" s="25"/>
      <c r="AK471" s="25"/>
      <c r="AL471" s="22" t="s">
        <v>8136</v>
      </c>
      <c r="AQ471" s="32"/>
      <c r="AR471" s="32" t="b">
        <v>0</v>
      </c>
      <c r="AS471" s="32" t="b">
        <v>0</v>
      </c>
    </row>
    <row r="472">
      <c r="A472" s="21" t="s">
        <v>9691</v>
      </c>
      <c r="B472" s="22" t="s">
        <v>8140</v>
      </c>
      <c r="C472" s="22">
        <v>1.0</v>
      </c>
      <c r="D472" s="22" t="s">
        <v>8501</v>
      </c>
      <c r="E472" s="22" t="s">
        <v>8140</v>
      </c>
      <c r="F472" s="22" t="s">
        <v>8121</v>
      </c>
      <c r="G472" s="25"/>
      <c r="H472" s="22">
        <v>3.2731476164931E13</v>
      </c>
      <c r="I472" s="25"/>
      <c r="J472" s="25"/>
      <c r="K472" s="22">
        <v>4.2085703581939E13</v>
      </c>
      <c r="L472" s="25"/>
      <c r="M472" s="25"/>
      <c r="N472" s="22" t="s">
        <v>9692</v>
      </c>
      <c r="O472" s="22" t="s">
        <v>9693</v>
      </c>
      <c r="P472" s="22" t="s">
        <v>9692</v>
      </c>
      <c r="Q472" s="22" t="s">
        <v>9693</v>
      </c>
      <c r="R472" s="22" t="s">
        <v>9694</v>
      </c>
      <c r="S472" s="25"/>
      <c r="T472" s="40" t="s">
        <v>9695</v>
      </c>
      <c r="U472" s="22" t="s">
        <v>9696</v>
      </c>
      <c r="V472" s="25"/>
      <c r="W472" s="22" t="s">
        <v>9697</v>
      </c>
      <c r="X472" s="22" t="s">
        <v>8251</v>
      </c>
      <c r="Y472" s="25"/>
      <c r="Z472" s="25"/>
      <c r="AA472" s="22" t="s">
        <v>8129</v>
      </c>
      <c r="AB472" s="22" t="s">
        <v>8130</v>
      </c>
      <c r="AC472" s="25"/>
      <c r="AD472" s="22" t="s">
        <v>8131</v>
      </c>
      <c r="AE472" s="22" t="s">
        <v>8132</v>
      </c>
      <c r="AF472" s="25"/>
      <c r="AG472" s="22">
        <v>1.0451658539331E13</v>
      </c>
      <c r="AH472" s="22" t="s">
        <v>90</v>
      </c>
      <c r="AI472" s="22">
        <v>7.453824778563E12</v>
      </c>
      <c r="AJ472" s="25"/>
      <c r="AK472" s="25"/>
      <c r="AL472" s="22" t="s">
        <v>8134</v>
      </c>
      <c r="AQ472" s="32" t="s">
        <v>8150</v>
      </c>
      <c r="AR472" s="32" t="b">
        <v>0</v>
      </c>
      <c r="AS472" s="32" t="b">
        <v>0</v>
      </c>
    </row>
    <row r="473">
      <c r="A473" s="21" t="s">
        <v>9691</v>
      </c>
      <c r="B473" s="24"/>
      <c r="C473" s="24"/>
      <c r="D473" s="22" t="s">
        <v>8501</v>
      </c>
      <c r="E473" s="24"/>
      <c r="F473" s="22" t="s">
        <v>8136</v>
      </c>
      <c r="G473" s="25"/>
      <c r="H473" s="22">
        <v>9.507759653187E12</v>
      </c>
      <c r="I473" s="25"/>
      <c r="J473" s="25"/>
      <c r="K473" s="24"/>
      <c r="L473" s="25"/>
      <c r="M473" s="25"/>
      <c r="N473" s="22" t="s">
        <v>9692</v>
      </c>
      <c r="O473" s="22" t="s">
        <v>9693</v>
      </c>
      <c r="P473" s="22" t="s">
        <v>9692</v>
      </c>
      <c r="Q473" s="22" t="s">
        <v>9693</v>
      </c>
      <c r="R473" s="22" t="s">
        <v>9694</v>
      </c>
      <c r="S473" s="24"/>
      <c r="T473" s="40" t="s">
        <v>9695</v>
      </c>
      <c r="U473" s="22" t="s">
        <v>9696</v>
      </c>
      <c r="V473" s="25"/>
      <c r="W473" s="22" t="s">
        <v>9697</v>
      </c>
      <c r="X473" s="22" t="s">
        <v>8251</v>
      </c>
      <c r="Y473" s="25"/>
      <c r="Z473" s="25"/>
      <c r="AA473" s="22" t="s">
        <v>8129</v>
      </c>
      <c r="AB473" s="22" t="s">
        <v>8130</v>
      </c>
      <c r="AC473" s="25"/>
      <c r="AD473" s="24"/>
      <c r="AE473" s="22" t="s">
        <v>8132</v>
      </c>
      <c r="AF473" s="25"/>
      <c r="AG473" s="22">
        <v>1.0451658539331E13</v>
      </c>
      <c r="AH473" s="22" t="s">
        <v>8137</v>
      </c>
      <c r="AI473" s="22">
        <v>7.453824778563E12</v>
      </c>
      <c r="AJ473" s="25"/>
      <c r="AK473" s="25"/>
      <c r="AL473" s="22" t="s">
        <v>8136</v>
      </c>
      <c r="AQ473" s="32"/>
      <c r="AR473" s="32" t="b">
        <v>0</v>
      </c>
      <c r="AS473" s="32" t="b">
        <v>0</v>
      </c>
    </row>
    <row r="474">
      <c r="A474" s="21" t="s">
        <v>9698</v>
      </c>
      <c r="B474" s="22" t="s">
        <v>8707</v>
      </c>
      <c r="C474" s="22">
        <v>1.0</v>
      </c>
      <c r="D474" s="22" t="s">
        <v>8212</v>
      </c>
      <c r="E474" s="22" t="s">
        <v>8707</v>
      </c>
      <c r="F474" s="22" t="s">
        <v>8155</v>
      </c>
      <c r="G474" s="25"/>
      <c r="H474" s="22">
        <v>3.2731556020547E13</v>
      </c>
      <c r="I474" s="25"/>
      <c r="J474" s="25"/>
      <c r="K474" s="22">
        <v>4.9521175429443E13</v>
      </c>
      <c r="L474" s="25"/>
      <c r="M474" s="25"/>
      <c r="N474" s="22" t="s">
        <v>9699</v>
      </c>
      <c r="O474" s="22" t="s">
        <v>9700</v>
      </c>
      <c r="P474" s="22" t="s">
        <v>9699</v>
      </c>
      <c r="Q474" s="22" t="s">
        <v>9700</v>
      </c>
      <c r="R474" s="22" t="s">
        <v>9701</v>
      </c>
      <c r="S474" s="24"/>
      <c r="T474" s="40" t="s">
        <v>9702</v>
      </c>
      <c r="U474" s="22" t="s">
        <v>9703</v>
      </c>
      <c r="V474" s="25"/>
      <c r="W474" s="22" t="s">
        <v>9704</v>
      </c>
      <c r="X474" s="22" t="s">
        <v>9705</v>
      </c>
      <c r="Y474" s="25"/>
      <c r="Z474" s="25"/>
      <c r="AA474" s="22" t="s">
        <v>8129</v>
      </c>
      <c r="AB474" s="22" t="s">
        <v>8130</v>
      </c>
      <c r="AC474" s="22" t="s">
        <v>9706</v>
      </c>
      <c r="AD474" s="22" t="s">
        <v>8161</v>
      </c>
      <c r="AE474" s="22" t="s">
        <v>8132</v>
      </c>
      <c r="AF474" s="25"/>
      <c r="AG474" s="22">
        <v>1.0451694879043E13</v>
      </c>
      <c r="AH474" s="22" t="s">
        <v>90</v>
      </c>
      <c r="AI474" s="22">
        <v>2.3417090638147E13</v>
      </c>
      <c r="AJ474" s="25"/>
      <c r="AK474" s="25"/>
      <c r="AL474" s="22" t="s">
        <v>8336</v>
      </c>
      <c r="AQ474" s="32" t="s">
        <v>54</v>
      </c>
      <c r="AR474" s="32" t="b">
        <v>0</v>
      </c>
      <c r="AS474" s="32" t="b">
        <v>1</v>
      </c>
    </row>
    <row r="475">
      <c r="A475" s="21" t="s">
        <v>9698</v>
      </c>
      <c r="B475" s="24"/>
      <c r="C475" s="24"/>
      <c r="D475" s="22" t="s">
        <v>8212</v>
      </c>
      <c r="E475" s="24"/>
      <c r="F475" s="22" t="s">
        <v>8149</v>
      </c>
      <c r="G475" s="25"/>
      <c r="H475" s="22">
        <v>9.507789930819E12</v>
      </c>
      <c r="I475" s="25"/>
      <c r="J475" s="25"/>
      <c r="K475" s="24"/>
      <c r="L475" s="25"/>
      <c r="M475" s="25"/>
      <c r="N475" s="22" t="s">
        <v>9699</v>
      </c>
      <c r="O475" s="22" t="s">
        <v>9700</v>
      </c>
      <c r="P475" s="22" t="s">
        <v>9699</v>
      </c>
      <c r="Q475" s="22" t="s">
        <v>9700</v>
      </c>
      <c r="R475" s="22" t="s">
        <v>9701</v>
      </c>
      <c r="S475" s="24"/>
      <c r="T475" s="40" t="s">
        <v>9702</v>
      </c>
      <c r="U475" s="22" t="s">
        <v>9703</v>
      </c>
      <c r="V475" s="25"/>
      <c r="W475" s="22" t="s">
        <v>9704</v>
      </c>
      <c r="X475" s="22" t="s">
        <v>9705</v>
      </c>
      <c r="Y475" s="25"/>
      <c r="Z475" s="25"/>
      <c r="AA475" s="22" t="s">
        <v>8129</v>
      </c>
      <c r="AB475" s="22" t="s">
        <v>8130</v>
      </c>
      <c r="AC475" s="22" t="s">
        <v>9706</v>
      </c>
      <c r="AD475" s="24"/>
      <c r="AE475" s="22" t="s">
        <v>8132</v>
      </c>
      <c r="AF475" s="25"/>
      <c r="AG475" s="22">
        <v>1.0451694879043E13</v>
      </c>
      <c r="AH475" s="22" t="s">
        <v>8137</v>
      </c>
      <c r="AI475" s="22">
        <v>2.3417090638147E13</v>
      </c>
      <c r="AJ475" s="25"/>
      <c r="AK475" s="25"/>
      <c r="AL475" s="22" t="s">
        <v>8149</v>
      </c>
      <c r="AQ475" s="32"/>
      <c r="AR475" s="32" t="b">
        <v>0</v>
      </c>
      <c r="AS475" s="32" t="b">
        <v>0</v>
      </c>
    </row>
    <row r="476">
      <c r="A476" s="21" t="s">
        <v>9698</v>
      </c>
      <c r="B476" s="22" t="s">
        <v>8707</v>
      </c>
      <c r="C476" s="22">
        <v>-1.0</v>
      </c>
      <c r="D476" s="22" t="s">
        <v>8212</v>
      </c>
      <c r="E476" s="22" t="s">
        <v>8707</v>
      </c>
      <c r="F476" s="22" t="s">
        <v>8155</v>
      </c>
      <c r="G476" s="25"/>
      <c r="H476" s="22">
        <v>3.2731556020547E13</v>
      </c>
      <c r="I476" s="25"/>
      <c r="J476" s="25"/>
      <c r="K476" s="22">
        <v>4.9521175429443E13</v>
      </c>
      <c r="L476" s="25"/>
      <c r="M476" s="25"/>
      <c r="N476" s="22" t="s">
        <v>9699</v>
      </c>
      <c r="O476" s="22" t="s">
        <v>9700</v>
      </c>
      <c r="P476" s="22" t="s">
        <v>9699</v>
      </c>
      <c r="Q476" s="22" t="s">
        <v>9700</v>
      </c>
      <c r="R476" s="22" t="s">
        <v>9701</v>
      </c>
      <c r="S476" s="24"/>
      <c r="T476" s="40" t="s">
        <v>9702</v>
      </c>
      <c r="U476" s="22" t="s">
        <v>9703</v>
      </c>
      <c r="V476" s="25"/>
      <c r="W476" s="22" t="s">
        <v>9704</v>
      </c>
      <c r="X476" s="22" t="s">
        <v>9705</v>
      </c>
      <c r="Y476" s="25"/>
      <c r="Z476" s="25"/>
      <c r="AA476" s="22" t="s">
        <v>8129</v>
      </c>
      <c r="AB476" s="22" t="s">
        <v>8130</v>
      </c>
      <c r="AC476" s="22" t="s">
        <v>9706</v>
      </c>
      <c r="AD476" s="22" t="s">
        <v>8161</v>
      </c>
      <c r="AE476" s="22" t="s">
        <v>8132</v>
      </c>
      <c r="AF476" s="22" t="b">
        <v>1</v>
      </c>
      <c r="AG476" s="22">
        <v>1.0451694879043E13</v>
      </c>
      <c r="AH476" s="22" t="s">
        <v>9236</v>
      </c>
      <c r="AI476" s="22">
        <v>2.3417090638147E13</v>
      </c>
      <c r="AJ476" s="22">
        <v>1.080876597571E12</v>
      </c>
      <c r="AK476" s="25"/>
      <c r="AL476" s="22" t="s">
        <v>8336</v>
      </c>
      <c r="AQ476" s="32" t="s">
        <v>54</v>
      </c>
      <c r="AR476" s="32" t="b">
        <v>0</v>
      </c>
      <c r="AS476" s="32" t="b">
        <v>1</v>
      </c>
    </row>
    <row r="477">
      <c r="A477" s="21" t="s">
        <v>9698</v>
      </c>
      <c r="B477" s="25"/>
      <c r="C477" s="25"/>
      <c r="D477" s="22" t="s">
        <v>8212</v>
      </c>
      <c r="E477" s="25"/>
      <c r="F477" s="24"/>
      <c r="G477" s="25"/>
      <c r="H477" s="22">
        <v>4.44392374595E11</v>
      </c>
      <c r="I477" s="25"/>
      <c r="J477" s="25"/>
      <c r="K477" s="25"/>
      <c r="L477" s="25"/>
      <c r="M477" s="25"/>
      <c r="N477" s="22" t="s">
        <v>9699</v>
      </c>
      <c r="O477" s="22" t="s">
        <v>9700</v>
      </c>
      <c r="P477" s="22" t="s">
        <v>9699</v>
      </c>
      <c r="Q477" s="22" t="s">
        <v>9700</v>
      </c>
      <c r="R477" s="22" t="s">
        <v>9701</v>
      </c>
      <c r="S477" s="25"/>
      <c r="T477" s="40" t="s">
        <v>9702</v>
      </c>
      <c r="U477" s="22" t="s">
        <v>9703</v>
      </c>
      <c r="V477" s="25"/>
      <c r="W477" s="22" t="s">
        <v>9704</v>
      </c>
      <c r="X477" s="22" t="s">
        <v>9705</v>
      </c>
      <c r="Y477" s="25"/>
      <c r="Z477" s="25"/>
      <c r="AA477" s="22" t="s">
        <v>8129</v>
      </c>
      <c r="AB477" s="22" t="s">
        <v>8130</v>
      </c>
      <c r="AC477" s="22" t="s">
        <v>9706</v>
      </c>
      <c r="AD477" s="25"/>
      <c r="AE477" s="22" t="s">
        <v>8132</v>
      </c>
      <c r="AF477" s="22" t="b">
        <v>1</v>
      </c>
      <c r="AG477" s="22">
        <v>1.0451694879043E13</v>
      </c>
      <c r="AH477" s="22" t="s">
        <v>9707</v>
      </c>
      <c r="AI477" s="22">
        <v>2.3417090638147E13</v>
      </c>
      <c r="AJ477" s="22">
        <v>1.080876597571E12</v>
      </c>
      <c r="AK477" s="25"/>
      <c r="AL477" s="24"/>
      <c r="AR477" s="32" t="b">
        <v>0</v>
      </c>
      <c r="AS477" s="32" t="b">
        <v>0</v>
      </c>
    </row>
    <row r="478">
      <c r="A478" s="21" t="s">
        <v>9708</v>
      </c>
      <c r="B478" s="22" t="s">
        <v>8140</v>
      </c>
      <c r="C478" s="22">
        <v>1.0</v>
      </c>
      <c r="D478" s="22" t="s">
        <v>8221</v>
      </c>
      <c r="E478" s="22" t="s">
        <v>8140</v>
      </c>
      <c r="F478" s="22" t="s">
        <v>8121</v>
      </c>
      <c r="G478" s="25"/>
      <c r="H478" s="22">
        <v>3.2731598782787E13</v>
      </c>
      <c r="I478" s="25"/>
      <c r="J478" s="25"/>
      <c r="K478" s="22">
        <v>4.2085703581939E13</v>
      </c>
      <c r="L478" s="25"/>
      <c r="M478" s="25"/>
      <c r="N478" s="22" t="s">
        <v>4504</v>
      </c>
      <c r="O478" s="22" t="s">
        <v>9709</v>
      </c>
      <c r="P478" s="22" t="s">
        <v>4504</v>
      </c>
      <c r="Q478" s="22" t="s">
        <v>9709</v>
      </c>
      <c r="R478" s="22" t="s">
        <v>9710</v>
      </c>
      <c r="S478" s="24"/>
      <c r="T478" s="40" t="s">
        <v>9711</v>
      </c>
      <c r="U478" s="22" t="s">
        <v>9712</v>
      </c>
      <c r="V478" s="22" t="s">
        <v>9585</v>
      </c>
      <c r="W478" s="22" t="s">
        <v>9713</v>
      </c>
      <c r="X478" s="22" t="s">
        <v>8251</v>
      </c>
      <c r="Y478" s="25"/>
      <c r="Z478" s="25"/>
      <c r="AA478" s="22" t="s">
        <v>8129</v>
      </c>
      <c r="AB478" s="22" t="s">
        <v>8130</v>
      </c>
      <c r="AC478" s="25"/>
      <c r="AD478" s="22" t="s">
        <v>8131</v>
      </c>
      <c r="AE478" s="22" t="s">
        <v>8132</v>
      </c>
      <c r="AF478" s="25"/>
      <c r="AG478" s="22">
        <v>1.0451712966979E13</v>
      </c>
      <c r="AH478" s="22" t="s">
        <v>90</v>
      </c>
      <c r="AI478" s="22">
        <v>8.608092094787E12</v>
      </c>
      <c r="AJ478" s="25"/>
      <c r="AK478" s="25"/>
      <c r="AL478" s="22" t="s">
        <v>8134</v>
      </c>
      <c r="AQ478" s="32" t="s">
        <v>8150</v>
      </c>
      <c r="AR478" s="32" t="b">
        <v>0</v>
      </c>
      <c r="AS478" s="32" t="b">
        <v>0</v>
      </c>
    </row>
    <row r="479">
      <c r="A479" s="21" t="s">
        <v>9708</v>
      </c>
      <c r="B479" s="25"/>
      <c r="C479" s="25"/>
      <c r="D479" s="22" t="s">
        <v>8221</v>
      </c>
      <c r="E479" s="25"/>
      <c r="F479" s="22" t="s">
        <v>8136</v>
      </c>
      <c r="G479" s="25"/>
      <c r="H479" s="22">
        <v>9.507805331779E12</v>
      </c>
      <c r="I479" s="25"/>
      <c r="J479" s="25"/>
      <c r="K479" s="25"/>
      <c r="L479" s="25"/>
      <c r="M479" s="25"/>
      <c r="N479" s="22" t="s">
        <v>4504</v>
      </c>
      <c r="O479" s="22" t="s">
        <v>9709</v>
      </c>
      <c r="P479" s="22" t="s">
        <v>4504</v>
      </c>
      <c r="Q479" s="22" t="s">
        <v>9709</v>
      </c>
      <c r="R479" s="22" t="s">
        <v>9710</v>
      </c>
      <c r="S479" s="24"/>
      <c r="T479" s="40" t="s">
        <v>9711</v>
      </c>
      <c r="U479" s="22" t="s">
        <v>9712</v>
      </c>
      <c r="V479" s="22" t="s">
        <v>9585</v>
      </c>
      <c r="W479" s="22" t="s">
        <v>9713</v>
      </c>
      <c r="X479" s="22" t="s">
        <v>8251</v>
      </c>
      <c r="Y479" s="25"/>
      <c r="Z479" s="25"/>
      <c r="AA479" s="22" t="s">
        <v>8129</v>
      </c>
      <c r="AB479" s="22" t="s">
        <v>8130</v>
      </c>
      <c r="AC479" s="25"/>
      <c r="AD479" s="25"/>
      <c r="AE479" s="22" t="s">
        <v>8132</v>
      </c>
      <c r="AF479" s="25"/>
      <c r="AG479" s="22">
        <v>1.0451712966979E13</v>
      </c>
      <c r="AH479" s="22" t="s">
        <v>8137</v>
      </c>
      <c r="AI479" s="22">
        <v>8.608092094787E12</v>
      </c>
      <c r="AJ479" s="25"/>
      <c r="AK479" s="25"/>
      <c r="AL479" s="22" t="s">
        <v>8136</v>
      </c>
      <c r="AR479" s="32" t="b">
        <v>0</v>
      </c>
      <c r="AS479" s="32" t="b">
        <v>0</v>
      </c>
    </row>
    <row r="480">
      <c r="A480" s="21" t="s">
        <v>9714</v>
      </c>
      <c r="B480" s="22" t="s">
        <v>8119</v>
      </c>
      <c r="C480" s="22">
        <v>1.0</v>
      </c>
      <c r="D480" s="22" t="s">
        <v>8581</v>
      </c>
      <c r="E480" s="22" t="s">
        <v>8119</v>
      </c>
      <c r="F480" s="22" t="s">
        <v>8121</v>
      </c>
      <c r="G480" s="25"/>
      <c r="H480" s="22">
        <v>3.2731648590147E13</v>
      </c>
      <c r="I480" s="25"/>
      <c r="J480" s="25"/>
      <c r="K480" s="22">
        <v>4.2085703549171E13</v>
      </c>
      <c r="L480" s="25"/>
      <c r="M480" s="25"/>
      <c r="N480" s="22" t="s">
        <v>3921</v>
      </c>
      <c r="O480" s="22" t="s">
        <v>9715</v>
      </c>
      <c r="P480" s="22" t="s">
        <v>3921</v>
      </c>
      <c r="Q480" s="22" t="s">
        <v>9715</v>
      </c>
      <c r="R480" s="22" t="s">
        <v>9716</v>
      </c>
      <c r="S480" s="25"/>
      <c r="T480" s="40" t="s">
        <v>9717</v>
      </c>
      <c r="U480" s="22" t="s">
        <v>9718</v>
      </c>
      <c r="V480" s="25"/>
      <c r="W480" s="22" t="s">
        <v>9719</v>
      </c>
      <c r="X480" s="22" t="s">
        <v>9720</v>
      </c>
      <c r="Y480" s="25"/>
      <c r="Z480" s="25"/>
      <c r="AA480" s="22" t="s">
        <v>8129</v>
      </c>
      <c r="AB480" s="22" t="s">
        <v>8130</v>
      </c>
      <c r="AC480" s="25"/>
      <c r="AD480" s="22" t="s">
        <v>8131</v>
      </c>
      <c r="AE480" s="22" t="s">
        <v>8132</v>
      </c>
      <c r="AF480" s="25"/>
      <c r="AG480" s="22">
        <v>1.0451734593859E13</v>
      </c>
      <c r="AH480" s="22" t="s">
        <v>90</v>
      </c>
      <c r="AI480" s="22">
        <v>7.472008134979E12</v>
      </c>
      <c r="AJ480" s="25"/>
      <c r="AK480" s="25"/>
      <c r="AL480" s="22" t="s">
        <v>8133</v>
      </c>
      <c r="AQ480" s="32" t="s">
        <v>8135</v>
      </c>
      <c r="AR480" s="32" t="b">
        <v>0</v>
      </c>
      <c r="AS480" s="32" t="b">
        <v>0</v>
      </c>
    </row>
    <row r="481">
      <c r="A481" s="21" t="s">
        <v>9714</v>
      </c>
      <c r="B481" s="25"/>
      <c r="C481" s="25"/>
      <c r="D481" s="22" t="s">
        <v>8581</v>
      </c>
      <c r="E481" s="25"/>
      <c r="F481" s="22" t="s">
        <v>8136</v>
      </c>
      <c r="G481" s="25"/>
      <c r="H481" s="22">
        <v>9.507823157571E12</v>
      </c>
      <c r="I481" s="25"/>
      <c r="J481" s="25"/>
      <c r="K481" s="25"/>
      <c r="L481" s="25"/>
      <c r="M481" s="25"/>
      <c r="N481" s="22" t="s">
        <v>3921</v>
      </c>
      <c r="O481" s="22" t="s">
        <v>9715</v>
      </c>
      <c r="P481" s="22" t="s">
        <v>3921</v>
      </c>
      <c r="Q481" s="22" t="s">
        <v>9715</v>
      </c>
      <c r="R481" s="22" t="s">
        <v>9716</v>
      </c>
      <c r="S481" s="25"/>
      <c r="T481" s="40" t="s">
        <v>9717</v>
      </c>
      <c r="U481" s="22" t="s">
        <v>9718</v>
      </c>
      <c r="V481" s="25"/>
      <c r="W481" s="22" t="s">
        <v>9719</v>
      </c>
      <c r="X481" s="22" t="s">
        <v>9720</v>
      </c>
      <c r="Y481" s="25"/>
      <c r="Z481" s="25"/>
      <c r="AA481" s="22" t="s">
        <v>8129</v>
      </c>
      <c r="AB481" s="22" t="s">
        <v>8130</v>
      </c>
      <c r="AC481" s="25"/>
      <c r="AD481" s="25"/>
      <c r="AE481" s="22" t="s">
        <v>8132</v>
      </c>
      <c r="AF481" s="25"/>
      <c r="AG481" s="22">
        <v>1.0451734593859E13</v>
      </c>
      <c r="AH481" s="22" t="s">
        <v>8137</v>
      </c>
      <c r="AI481" s="22">
        <v>7.472008134979E12</v>
      </c>
      <c r="AJ481" s="25"/>
      <c r="AK481" s="25"/>
      <c r="AL481" s="22" t="s">
        <v>8136</v>
      </c>
      <c r="AR481" s="32" t="b">
        <v>0</v>
      </c>
      <c r="AS481" s="32" t="b">
        <v>0</v>
      </c>
    </row>
    <row r="482">
      <c r="A482" s="21" t="s">
        <v>9721</v>
      </c>
      <c r="B482" s="22" t="s">
        <v>8211</v>
      </c>
      <c r="C482" s="22">
        <v>1.0</v>
      </c>
      <c r="D482" s="22" t="s">
        <v>8221</v>
      </c>
      <c r="E482" s="22" t="s">
        <v>8211</v>
      </c>
      <c r="F482" s="22" t="s">
        <v>8155</v>
      </c>
      <c r="G482" s="25"/>
      <c r="H482" s="22">
        <v>3.2731713175875E13</v>
      </c>
      <c r="I482" s="25"/>
      <c r="J482" s="25"/>
      <c r="K482" s="22">
        <v>4.7338059727171E13</v>
      </c>
      <c r="L482" s="25"/>
      <c r="M482" s="25"/>
      <c r="N482" s="22" t="s">
        <v>3921</v>
      </c>
      <c r="O482" s="22" t="s">
        <v>9722</v>
      </c>
      <c r="P482" s="22" t="s">
        <v>9723</v>
      </c>
      <c r="Q482" s="22" t="s">
        <v>9722</v>
      </c>
      <c r="R482" s="22" t="s">
        <v>9724</v>
      </c>
      <c r="S482" s="25"/>
      <c r="T482" s="40" t="s">
        <v>9725</v>
      </c>
      <c r="U482" s="22" t="s">
        <v>9726</v>
      </c>
      <c r="V482" s="25"/>
      <c r="W482" s="22" t="s">
        <v>9727</v>
      </c>
      <c r="X482" s="22" t="s">
        <v>8289</v>
      </c>
      <c r="Y482" s="25"/>
      <c r="Z482" s="25"/>
      <c r="AA482" s="22" t="s">
        <v>8129</v>
      </c>
      <c r="AB482" s="22" t="s">
        <v>8130</v>
      </c>
      <c r="AC482" s="25"/>
      <c r="AD482" s="22" t="s">
        <v>8161</v>
      </c>
      <c r="AE482" s="22" t="s">
        <v>8132</v>
      </c>
      <c r="AF482" s="25"/>
      <c r="AG482" s="22">
        <v>1.0451763724611E13</v>
      </c>
      <c r="AH482" s="22" t="s">
        <v>90</v>
      </c>
      <c r="AI482" s="22">
        <v>7.493429494083E12</v>
      </c>
      <c r="AJ482" s="25"/>
      <c r="AK482" s="25"/>
      <c r="AL482" s="22" t="s">
        <v>8151</v>
      </c>
      <c r="AQ482" s="32" t="s">
        <v>54</v>
      </c>
      <c r="AR482" s="32" t="b">
        <v>0</v>
      </c>
      <c r="AS482" s="32" t="b">
        <v>0</v>
      </c>
    </row>
    <row r="483">
      <c r="A483" s="21" t="s">
        <v>9721</v>
      </c>
      <c r="B483" s="25"/>
      <c r="C483" s="25"/>
      <c r="D483" s="22" t="s">
        <v>8221</v>
      </c>
      <c r="E483" s="25"/>
      <c r="F483" s="22" t="s">
        <v>8149</v>
      </c>
      <c r="G483" s="25"/>
      <c r="H483" s="22">
        <v>9.507847799107E12</v>
      </c>
      <c r="I483" s="25"/>
      <c r="J483" s="25"/>
      <c r="K483" s="25"/>
      <c r="L483" s="25"/>
      <c r="M483" s="25"/>
      <c r="N483" s="22" t="s">
        <v>3921</v>
      </c>
      <c r="O483" s="22" t="s">
        <v>9722</v>
      </c>
      <c r="P483" s="22" t="s">
        <v>9723</v>
      </c>
      <c r="Q483" s="22" t="s">
        <v>9722</v>
      </c>
      <c r="R483" s="22" t="s">
        <v>9724</v>
      </c>
      <c r="S483" s="25"/>
      <c r="T483" s="40" t="s">
        <v>9725</v>
      </c>
      <c r="U483" s="22" t="s">
        <v>9726</v>
      </c>
      <c r="V483" s="25"/>
      <c r="W483" s="22" t="s">
        <v>9727</v>
      </c>
      <c r="X483" s="22" t="s">
        <v>8289</v>
      </c>
      <c r="Y483" s="25"/>
      <c r="Z483" s="25"/>
      <c r="AA483" s="22" t="s">
        <v>8129</v>
      </c>
      <c r="AB483" s="22" t="s">
        <v>8130</v>
      </c>
      <c r="AC483" s="25"/>
      <c r="AD483" s="25"/>
      <c r="AE483" s="22" t="s">
        <v>8132</v>
      </c>
      <c r="AF483" s="25"/>
      <c r="AG483" s="22">
        <v>1.0451763724611E13</v>
      </c>
      <c r="AH483" s="22" t="s">
        <v>8137</v>
      </c>
      <c r="AI483" s="22">
        <v>7.493429494083E12</v>
      </c>
      <c r="AJ483" s="25"/>
      <c r="AK483" s="25"/>
      <c r="AL483" s="22" t="s">
        <v>8149</v>
      </c>
      <c r="AR483" s="32" t="b">
        <v>0</v>
      </c>
      <c r="AS483" s="32" t="b">
        <v>0</v>
      </c>
    </row>
    <row r="484">
      <c r="A484" s="21" t="s">
        <v>9728</v>
      </c>
      <c r="B484" s="22" t="s">
        <v>8429</v>
      </c>
      <c r="C484" s="22">
        <v>1.0</v>
      </c>
      <c r="D484" s="22" t="s">
        <v>8141</v>
      </c>
      <c r="E484" s="22" t="s">
        <v>8429</v>
      </c>
      <c r="F484" s="22" t="s">
        <v>8155</v>
      </c>
      <c r="G484" s="25"/>
      <c r="H484" s="22">
        <v>3.2731888353603E13</v>
      </c>
      <c r="I484" s="25"/>
      <c r="J484" s="25"/>
      <c r="K484" s="22">
        <v>4.9521175527747E13</v>
      </c>
      <c r="L484" s="25"/>
      <c r="M484" s="25"/>
      <c r="N484" s="22" t="s">
        <v>3840</v>
      </c>
      <c r="O484" s="22" t="s">
        <v>9729</v>
      </c>
      <c r="P484" s="22" t="s">
        <v>3840</v>
      </c>
      <c r="Q484" s="22" t="s">
        <v>9729</v>
      </c>
      <c r="R484" s="22" t="s">
        <v>9730</v>
      </c>
      <c r="S484" s="25"/>
      <c r="T484" s="40" t="s">
        <v>9731</v>
      </c>
      <c r="U484" s="22" t="s">
        <v>9732</v>
      </c>
      <c r="V484" s="25"/>
      <c r="W484" s="22" t="s">
        <v>9733</v>
      </c>
      <c r="X484" s="22" t="s">
        <v>8663</v>
      </c>
      <c r="Y484" s="25"/>
      <c r="Z484" s="25"/>
      <c r="AA484" s="22" t="s">
        <v>8129</v>
      </c>
      <c r="AB484" s="22" t="s">
        <v>8130</v>
      </c>
      <c r="AC484" s="25"/>
      <c r="AD484" s="22" t="s">
        <v>8161</v>
      </c>
      <c r="AE484" s="22" t="s">
        <v>8132</v>
      </c>
      <c r="AF484" s="25"/>
      <c r="AG484" s="22">
        <v>1.0451842531651E13</v>
      </c>
      <c r="AH484" s="22" t="s">
        <v>90</v>
      </c>
      <c r="AI484" s="22">
        <v>8.627167396163E12</v>
      </c>
      <c r="AJ484" s="25"/>
      <c r="AK484" s="25"/>
      <c r="AL484" s="22" t="s">
        <v>8201</v>
      </c>
      <c r="AQ484" s="32" t="s">
        <v>95</v>
      </c>
      <c r="AR484" s="32" t="b">
        <v>0</v>
      </c>
      <c r="AS484" s="32" t="b">
        <v>1</v>
      </c>
    </row>
    <row r="485">
      <c r="A485" s="21" t="s">
        <v>9728</v>
      </c>
      <c r="B485" s="25"/>
      <c r="C485" s="25"/>
      <c r="D485" s="22" t="s">
        <v>8141</v>
      </c>
      <c r="E485" s="25"/>
      <c r="F485" s="22" t="s">
        <v>8149</v>
      </c>
      <c r="G485" s="25"/>
      <c r="H485" s="22">
        <v>9.507914219843E12</v>
      </c>
      <c r="I485" s="25"/>
      <c r="J485" s="25"/>
      <c r="K485" s="25"/>
      <c r="L485" s="25"/>
      <c r="M485" s="25"/>
      <c r="N485" s="22" t="s">
        <v>3840</v>
      </c>
      <c r="O485" s="22" t="s">
        <v>9729</v>
      </c>
      <c r="P485" s="22" t="s">
        <v>3840</v>
      </c>
      <c r="Q485" s="22" t="s">
        <v>9729</v>
      </c>
      <c r="R485" s="22" t="s">
        <v>9730</v>
      </c>
      <c r="S485" s="25"/>
      <c r="T485" s="40" t="s">
        <v>9731</v>
      </c>
      <c r="U485" s="22" t="s">
        <v>9732</v>
      </c>
      <c r="V485" s="25"/>
      <c r="W485" s="22" t="s">
        <v>9733</v>
      </c>
      <c r="X485" s="22" t="s">
        <v>8663</v>
      </c>
      <c r="Y485" s="25"/>
      <c r="Z485" s="25"/>
      <c r="AA485" s="22" t="s">
        <v>8129</v>
      </c>
      <c r="AB485" s="22" t="s">
        <v>8130</v>
      </c>
      <c r="AC485" s="25"/>
      <c r="AD485" s="25"/>
      <c r="AE485" s="22" t="s">
        <v>8132</v>
      </c>
      <c r="AF485" s="25"/>
      <c r="AG485" s="22">
        <v>1.0451842531651E13</v>
      </c>
      <c r="AH485" s="22" t="s">
        <v>8137</v>
      </c>
      <c r="AI485" s="22">
        <v>8.627167396163E12</v>
      </c>
      <c r="AJ485" s="25"/>
      <c r="AK485" s="25"/>
      <c r="AL485" s="22" t="s">
        <v>8149</v>
      </c>
      <c r="AR485" s="32" t="b">
        <v>0</v>
      </c>
      <c r="AS485" s="32" t="b">
        <v>0</v>
      </c>
    </row>
    <row r="486">
      <c r="A486" s="21" t="s">
        <v>9734</v>
      </c>
      <c r="B486" s="22" t="s">
        <v>8370</v>
      </c>
      <c r="C486" s="22">
        <v>1.0</v>
      </c>
      <c r="D486" s="22" t="s">
        <v>8254</v>
      </c>
      <c r="E486" s="22" t="s">
        <v>8370</v>
      </c>
      <c r="F486" s="22" t="s">
        <v>8155</v>
      </c>
      <c r="G486" s="25"/>
      <c r="H486" s="22">
        <v>3.2730950697283E13</v>
      </c>
      <c r="I486" s="25"/>
      <c r="J486" s="25"/>
      <c r="K486" s="22">
        <v>4.9521175494979E13</v>
      </c>
      <c r="L486" s="25"/>
      <c r="M486" s="25"/>
      <c r="N486" s="22" t="s">
        <v>4722</v>
      </c>
      <c r="O486" s="22" t="s">
        <v>9735</v>
      </c>
      <c r="P486" s="22" t="s">
        <v>4722</v>
      </c>
      <c r="Q486" s="22" t="s">
        <v>9735</v>
      </c>
      <c r="R486" s="22" t="s">
        <v>9736</v>
      </c>
      <c r="S486" s="25"/>
      <c r="T486" s="40" t="s">
        <v>9737</v>
      </c>
      <c r="U486" s="22" t="s">
        <v>9738</v>
      </c>
      <c r="V486" s="25"/>
      <c r="W486" s="22" t="s">
        <v>9739</v>
      </c>
      <c r="X486" s="22" t="s">
        <v>8566</v>
      </c>
      <c r="Y486" s="25"/>
      <c r="Z486" s="25"/>
      <c r="AA486" s="22" t="s">
        <v>8129</v>
      </c>
      <c r="AB486" s="22" t="s">
        <v>8130</v>
      </c>
      <c r="AC486" s="25"/>
      <c r="AD486" s="22" t="s">
        <v>8161</v>
      </c>
      <c r="AE486" s="22" t="s">
        <v>8132</v>
      </c>
      <c r="AF486" s="25"/>
      <c r="AG486" s="22">
        <v>1.0451422445891E13</v>
      </c>
      <c r="AH486" s="22" t="s">
        <v>90</v>
      </c>
      <c r="AI486" s="22">
        <v>7.427498148163E12</v>
      </c>
      <c r="AJ486" s="25"/>
      <c r="AK486" s="25"/>
      <c r="AL486" s="22" t="s">
        <v>8138</v>
      </c>
      <c r="AQ486" s="32" t="s">
        <v>91</v>
      </c>
      <c r="AR486" s="32" t="b">
        <v>0</v>
      </c>
      <c r="AS486" s="32" t="b">
        <v>1</v>
      </c>
    </row>
    <row r="487">
      <c r="A487" s="21" t="s">
        <v>9734</v>
      </c>
      <c r="B487" s="25"/>
      <c r="C487" s="25"/>
      <c r="D487" s="22" t="s">
        <v>8254</v>
      </c>
      <c r="E487" s="25"/>
      <c r="F487" s="22" t="s">
        <v>8149</v>
      </c>
      <c r="G487" s="25"/>
      <c r="H487" s="22">
        <v>9.507558097219E12</v>
      </c>
      <c r="I487" s="25"/>
      <c r="J487" s="25"/>
      <c r="K487" s="25"/>
      <c r="L487" s="25"/>
      <c r="M487" s="25"/>
      <c r="N487" s="22" t="s">
        <v>4722</v>
      </c>
      <c r="O487" s="22" t="s">
        <v>9735</v>
      </c>
      <c r="P487" s="22" t="s">
        <v>4722</v>
      </c>
      <c r="Q487" s="22" t="s">
        <v>9735</v>
      </c>
      <c r="R487" s="22" t="s">
        <v>9736</v>
      </c>
      <c r="S487" s="25"/>
      <c r="T487" s="40" t="s">
        <v>9737</v>
      </c>
      <c r="U487" s="22" t="s">
        <v>9738</v>
      </c>
      <c r="V487" s="25"/>
      <c r="W487" s="22" t="s">
        <v>9739</v>
      </c>
      <c r="X487" s="22" t="s">
        <v>8566</v>
      </c>
      <c r="Y487" s="25"/>
      <c r="Z487" s="25"/>
      <c r="AA487" s="22" t="s">
        <v>8129</v>
      </c>
      <c r="AB487" s="22" t="s">
        <v>8130</v>
      </c>
      <c r="AC487" s="25"/>
      <c r="AD487" s="25"/>
      <c r="AE487" s="22" t="s">
        <v>8132</v>
      </c>
      <c r="AF487" s="25"/>
      <c r="AG487" s="22">
        <v>1.0451422445891E13</v>
      </c>
      <c r="AH487" s="22" t="s">
        <v>8137</v>
      </c>
      <c r="AI487" s="22">
        <v>7.427498148163E12</v>
      </c>
      <c r="AJ487" s="25"/>
      <c r="AK487" s="25"/>
      <c r="AL487" s="22" t="s">
        <v>8149</v>
      </c>
      <c r="AR487" s="32" t="b">
        <v>0</v>
      </c>
      <c r="AS487" s="32" t="b">
        <v>0</v>
      </c>
    </row>
    <row r="488">
      <c r="A488" s="21" t="s">
        <v>9740</v>
      </c>
      <c r="B488" s="22" t="s">
        <v>8370</v>
      </c>
      <c r="C488" s="22">
        <v>1.0</v>
      </c>
      <c r="D488" s="22" t="s">
        <v>8141</v>
      </c>
      <c r="E488" s="22" t="s">
        <v>8370</v>
      </c>
      <c r="F488" s="22" t="s">
        <v>8155</v>
      </c>
      <c r="G488" s="25"/>
      <c r="H488" s="22">
        <v>3.2732059500867E13</v>
      </c>
      <c r="I488" s="25"/>
      <c r="J488" s="25"/>
      <c r="K488" s="22">
        <v>4.9521175494979E13</v>
      </c>
      <c r="L488" s="25"/>
      <c r="M488" s="25"/>
      <c r="N488" s="22" t="s">
        <v>6440</v>
      </c>
      <c r="O488" s="22" t="s">
        <v>9741</v>
      </c>
      <c r="P488" s="22" t="s">
        <v>6440</v>
      </c>
      <c r="Q488" s="22" t="s">
        <v>9741</v>
      </c>
      <c r="R488" s="22" t="s">
        <v>9742</v>
      </c>
      <c r="S488" s="25"/>
      <c r="T488" s="40" t="s">
        <v>9743</v>
      </c>
      <c r="U488" s="22" t="s">
        <v>9744</v>
      </c>
      <c r="V488" s="25"/>
      <c r="W488" s="22" t="s">
        <v>9745</v>
      </c>
      <c r="X488" s="22" t="s">
        <v>8242</v>
      </c>
      <c r="Y488" s="25"/>
      <c r="Z488" s="25"/>
      <c r="AA488" s="22" t="s">
        <v>8129</v>
      </c>
      <c r="AB488" s="22" t="s">
        <v>8130</v>
      </c>
      <c r="AC488" s="25"/>
      <c r="AD488" s="22" t="s">
        <v>8161</v>
      </c>
      <c r="AE488" s="22" t="s">
        <v>8132</v>
      </c>
      <c r="AF488" s="25"/>
      <c r="AG488" s="22">
        <v>1.0451916554563E13</v>
      </c>
      <c r="AH488" s="22" t="s">
        <v>90</v>
      </c>
      <c r="AI488" s="22">
        <v>2.3417312379203E13</v>
      </c>
      <c r="AJ488" s="25"/>
      <c r="AK488" s="25"/>
      <c r="AL488" s="22" t="s">
        <v>8138</v>
      </c>
      <c r="AQ488" s="32" t="s">
        <v>91</v>
      </c>
      <c r="AR488" s="32" t="b">
        <v>0</v>
      </c>
      <c r="AS488" s="32" t="b">
        <v>1</v>
      </c>
    </row>
    <row r="489">
      <c r="A489" s="21" t="s">
        <v>9740</v>
      </c>
      <c r="B489" s="25"/>
      <c r="C489" s="25"/>
      <c r="D489" s="22" t="s">
        <v>8141</v>
      </c>
      <c r="E489" s="25"/>
      <c r="F489" s="22" t="s">
        <v>8149</v>
      </c>
      <c r="G489" s="25"/>
      <c r="H489" s="22">
        <v>9.507976118595E12</v>
      </c>
      <c r="I489" s="25"/>
      <c r="J489" s="25"/>
      <c r="K489" s="25"/>
      <c r="L489" s="25"/>
      <c r="M489" s="25"/>
      <c r="N489" s="22" t="s">
        <v>6440</v>
      </c>
      <c r="O489" s="22" t="s">
        <v>9741</v>
      </c>
      <c r="P489" s="22" t="s">
        <v>6440</v>
      </c>
      <c r="Q489" s="22" t="s">
        <v>9741</v>
      </c>
      <c r="R489" s="22" t="s">
        <v>9742</v>
      </c>
      <c r="S489" s="25"/>
      <c r="T489" s="40" t="s">
        <v>9743</v>
      </c>
      <c r="U489" s="22" t="s">
        <v>9744</v>
      </c>
      <c r="V489" s="25"/>
      <c r="W489" s="22" t="s">
        <v>9745</v>
      </c>
      <c r="X489" s="22" t="s">
        <v>8242</v>
      </c>
      <c r="Y489" s="25"/>
      <c r="Z489" s="25"/>
      <c r="AA489" s="22" t="s">
        <v>8129</v>
      </c>
      <c r="AB489" s="22" t="s">
        <v>8130</v>
      </c>
      <c r="AC489" s="25"/>
      <c r="AD489" s="25"/>
      <c r="AE489" s="22" t="s">
        <v>8132</v>
      </c>
      <c r="AF489" s="25"/>
      <c r="AG489" s="22">
        <v>1.0451916554563E13</v>
      </c>
      <c r="AH489" s="22" t="s">
        <v>8137</v>
      </c>
      <c r="AI489" s="22">
        <v>2.3417312379203E13</v>
      </c>
      <c r="AJ489" s="25"/>
      <c r="AK489" s="25"/>
      <c r="AL489" s="22" t="s">
        <v>8149</v>
      </c>
      <c r="AR489" s="32" t="b">
        <v>0</v>
      </c>
      <c r="AS489" s="32" t="b">
        <v>0</v>
      </c>
    </row>
    <row r="490">
      <c r="A490" s="21" t="s">
        <v>9746</v>
      </c>
      <c r="B490" s="22" t="s">
        <v>8119</v>
      </c>
      <c r="C490" s="22">
        <v>1.0</v>
      </c>
      <c r="D490" s="22" t="s">
        <v>8212</v>
      </c>
      <c r="E490" s="22" t="s">
        <v>8119</v>
      </c>
      <c r="F490" s="22" t="s">
        <v>8121</v>
      </c>
      <c r="G490" s="25"/>
      <c r="H490" s="22">
        <v>3.2732088860995E13</v>
      </c>
      <c r="I490" s="25"/>
      <c r="J490" s="25"/>
      <c r="K490" s="22">
        <v>4.2085703549171E13</v>
      </c>
      <c r="L490" s="25"/>
      <c r="M490" s="25"/>
      <c r="N490" s="22" t="s">
        <v>7182</v>
      </c>
      <c r="O490" s="22" t="s">
        <v>9747</v>
      </c>
      <c r="P490" s="22" t="s">
        <v>7182</v>
      </c>
      <c r="Q490" s="22" t="s">
        <v>9747</v>
      </c>
      <c r="R490" s="22" t="s">
        <v>9748</v>
      </c>
      <c r="S490" s="25"/>
      <c r="T490" s="40" t="s">
        <v>9749</v>
      </c>
      <c r="U490" s="22" t="s">
        <v>9750</v>
      </c>
      <c r="V490" s="25"/>
      <c r="W490" s="22" t="s">
        <v>9751</v>
      </c>
      <c r="X490" s="22" t="s">
        <v>8268</v>
      </c>
      <c r="Y490" s="25"/>
      <c r="Z490" s="25"/>
      <c r="AA490" s="22" t="s">
        <v>8129</v>
      </c>
      <c r="AB490" s="22" t="s">
        <v>8130</v>
      </c>
      <c r="AC490" s="25"/>
      <c r="AD490" s="22" t="s">
        <v>8131</v>
      </c>
      <c r="AE490" s="22" t="s">
        <v>8132</v>
      </c>
      <c r="AF490" s="25"/>
      <c r="AG490" s="22">
        <v>1.0451929661763E13</v>
      </c>
      <c r="AH490" s="22" t="s">
        <v>90</v>
      </c>
      <c r="AI490" s="22">
        <v>2.3417325388099E13</v>
      </c>
      <c r="AJ490" s="25"/>
      <c r="AK490" s="25"/>
      <c r="AL490" s="22" t="s">
        <v>8133</v>
      </c>
      <c r="AQ490" s="32" t="s">
        <v>8135</v>
      </c>
      <c r="AR490" s="32" t="b">
        <v>0</v>
      </c>
      <c r="AS490" s="32" t="b">
        <v>0</v>
      </c>
    </row>
    <row r="491">
      <c r="A491" s="21" t="s">
        <v>9746</v>
      </c>
      <c r="B491" s="25"/>
      <c r="C491" s="25"/>
      <c r="D491" s="22" t="s">
        <v>8212</v>
      </c>
      <c r="E491" s="25"/>
      <c r="F491" s="22" t="s">
        <v>8136</v>
      </c>
      <c r="G491" s="25"/>
      <c r="H491" s="22">
        <v>9.507987652931E12</v>
      </c>
      <c r="I491" s="25"/>
      <c r="J491" s="25"/>
      <c r="K491" s="25"/>
      <c r="L491" s="25"/>
      <c r="M491" s="25"/>
      <c r="N491" s="22" t="s">
        <v>7182</v>
      </c>
      <c r="O491" s="22" t="s">
        <v>9747</v>
      </c>
      <c r="P491" s="22" t="s">
        <v>7182</v>
      </c>
      <c r="Q491" s="22" t="s">
        <v>9747</v>
      </c>
      <c r="R491" s="22" t="s">
        <v>9748</v>
      </c>
      <c r="S491" s="25"/>
      <c r="T491" s="40" t="s">
        <v>9749</v>
      </c>
      <c r="U491" s="22" t="s">
        <v>9750</v>
      </c>
      <c r="V491" s="25"/>
      <c r="W491" s="22" t="s">
        <v>9751</v>
      </c>
      <c r="X491" s="22" t="s">
        <v>8268</v>
      </c>
      <c r="Y491" s="25"/>
      <c r="Z491" s="25"/>
      <c r="AA491" s="22" t="s">
        <v>8129</v>
      </c>
      <c r="AB491" s="22" t="s">
        <v>8130</v>
      </c>
      <c r="AC491" s="25"/>
      <c r="AD491" s="25"/>
      <c r="AE491" s="22" t="s">
        <v>8132</v>
      </c>
      <c r="AF491" s="25"/>
      <c r="AG491" s="22">
        <v>1.0451929661763E13</v>
      </c>
      <c r="AH491" s="22" t="s">
        <v>8137</v>
      </c>
      <c r="AI491" s="22">
        <v>2.3417325388099E13</v>
      </c>
      <c r="AJ491" s="25"/>
      <c r="AK491" s="25"/>
      <c r="AL491" s="22" t="s">
        <v>8136</v>
      </c>
      <c r="AR491" s="32" t="b">
        <v>0</v>
      </c>
      <c r="AS491" s="32" t="b">
        <v>0</v>
      </c>
    </row>
    <row r="492">
      <c r="A492" s="21" t="s">
        <v>9752</v>
      </c>
      <c r="B492" s="22" t="s">
        <v>8140</v>
      </c>
      <c r="C492" s="22">
        <v>1.0</v>
      </c>
      <c r="D492" s="22" t="s">
        <v>8221</v>
      </c>
      <c r="E492" s="22" t="s">
        <v>8140</v>
      </c>
      <c r="F492" s="22" t="s">
        <v>8121</v>
      </c>
      <c r="G492" s="25"/>
      <c r="H492" s="22">
        <v>3.2732140667203E13</v>
      </c>
      <c r="I492" s="25"/>
      <c r="J492" s="25"/>
      <c r="K492" s="22">
        <v>4.2085703581939E13</v>
      </c>
      <c r="L492" s="25"/>
      <c r="M492" s="25"/>
      <c r="N492" s="22" t="s">
        <v>9753</v>
      </c>
      <c r="O492" s="22" t="s">
        <v>9754</v>
      </c>
      <c r="P492" s="22" t="s">
        <v>9753</v>
      </c>
      <c r="Q492" s="22" t="s">
        <v>9754</v>
      </c>
      <c r="R492" s="22" t="s">
        <v>9755</v>
      </c>
      <c r="S492" s="25"/>
      <c r="T492" s="40" t="s">
        <v>9756</v>
      </c>
      <c r="U492" s="22" t="s">
        <v>9757</v>
      </c>
      <c r="V492" s="25"/>
      <c r="W492" s="22" t="s">
        <v>9758</v>
      </c>
      <c r="X492" s="22" t="s">
        <v>8380</v>
      </c>
      <c r="Y492" s="25"/>
      <c r="Z492" s="25"/>
      <c r="AA492" s="22" t="s">
        <v>8129</v>
      </c>
      <c r="AB492" s="22" t="s">
        <v>8130</v>
      </c>
      <c r="AC492" s="25"/>
      <c r="AD492" s="22" t="s">
        <v>8131</v>
      </c>
      <c r="AE492" s="22" t="s">
        <v>8132</v>
      </c>
      <c r="AF492" s="25"/>
      <c r="AG492" s="22">
        <v>1.0451951518019E13</v>
      </c>
      <c r="AH492" s="22" t="s">
        <v>90</v>
      </c>
      <c r="AI492" s="22">
        <v>2.3417346785603E13</v>
      </c>
      <c r="AJ492" s="25"/>
      <c r="AK492" s="25"/>
      <c r="AL492" s="22" t="s">
        <v>8134</v>
      </c>
      <c r="AQ492" s="32" t="s">
        <v>8150</v>
      </c>
      <c r="AR492" s="32" t="b">
        <v>0</v>
      </c>
      <c r="AS492" s="32" t="b">
        <v>0</v>
      </c>
    </row>
    <row r="493">
      <c r="A493" s="21" t="s">
        <v>9752</v>
      </c>
      <c r="B493" s="25"/>
      <c r="C493" s="25"/>
      <c r="D493" s="22" t="s">
        <v>8221</v>
      </c>
      <c r="E493" s="25"/>
      <c r="F493" s="22" t="s">
        <v>8136</v>
      </c>
      <c r="G493" s="25"/>
      <c r="H493" s="22">
        <v>9.508006461763E12</v>
      </c>
      <c r="I493" s="25"/>
      <c r="J493" s="25"/>
      <c r="K493" s="25"/>
      <c r="L493" s="25"/>
      <c r="M493" s="25"/>
      <c r="N493" s="22" t="s">
        <v>9753</v>
      </c>
      <c r="O493" s="22" t="s">
        <v>9754</v>
      </c>
      <c r="P493" s="22" t="s">
        <v>9753</v>
      </c>
      <c r="Q493" s="22" t="s">
        <v>9754</v>
      </c>
      <c r="R493" s="22" t="s">
        <v>9755</v>
      </c>
      <c r="S493" s="25"/>
      <c r="T493" s="40" t="s">
        <v>9756</v>
      </c>
      <c r="U493" s="22" t="s">
        <v>9757</v>
      </c>
      <c r="V493" s="25"/>
      <c r="W493" s="22" t="s">
        <v>9758</v>
      </c>
      <c r="X493" s="22" t="s">
        <v>8380</v>
      </c>
      <c r="Y493" s="25"/>
      <c r="Z493" s="25"/>
      <c r="AA493" s="22" t="s">
        <v>8129</v>
      </c>
      <c r="AB493" s="22" t="s">
        <v>8130</v>
      </c>
      <c r="AC493" s="25"/>
      <c r="AD493" s="25"/>
      <c r="AE493" s="22" t="s">
        <v>8132</v>
      </c>
      <c r="AF493" s="25"/>
      <c r="AG493" s="22">
        <v>1.0451951518019E13</v>
      </c>
      <c r="AH493" s="22" t="s">
        <v>8137</v>
      </c>
      <c r="AI493" s="22">
        <v>2.3417346785603E13</v>
      </c>
      <c r="AJ493" s="25"/>
      <c r="AK493" s="25"/>
      <c r="AL493" s="22" t="s">
        <v>8136</v>
      </c>
      <c r="AR493" s="32" t="b">
        <v>0</v>
      </c>
      <c r="AS493" s="32" t="b">
        <v>0</v>
      </c>
    </row>
    <row r="494">
      <c r="A494" s="21" t="s">
        <v>9759</v>
      </c>
      <c r="B494" s="22" t="s">
        <v>8707</v>
      </c>
      <c r="C494" s="22">
        <v>1.0</v>
      </c>
      <c r="D494" s="22" t="s">
        <v>8501</v>
      </c>
      <c r="E494" s="22" t="s">
        <v>8707</v>
      </c>
      <c r="F494" s="22" t="s">
        <v>8155</v>
      </c>
      <c r="G494" s="25"/>
      <c r="H494" s="22">
        <v>3.2732166488387E13</v>
      </c>
      <c r="I494" s="25"/>
      <c r="J494" s="25"/>
      <c r="K494" s="22">
        <v>4.9521175429443E13</v>
      </c>
      <c r="L494" s="25"/>
      <c r="M494" s="25"/>
      <c r="N494" s="22" t="s">
        <v>5763</v>
      </c>
      <c r="O494" s="22" t="s">
        <v>5890</v>
      </c>
      <c r="P494" s="22" t="s">
        <v>5763</v>
      </c>
      <c r="Q494" s="22" t="s">
        <v>5890</v>
      </c>
      <c r="R494" s="22" t="s">
        <v>9760</v>
      </c>
      <c r="S494" s="25"/>
      <c r="T494" s="40" t="s">
        <v>9761</v>
      </c>
      <c r="U494" s="22">
        <v>126.0</v>
      </c>
      <c r="V494" s="22">
        <v>126.0</v>
      </c>
      <c r="W494" s="22" t="s">
        <v>9762</v>
      </c>
      <c r="X494" s="40" t="s">
        <v>9763</v>
      </c>
      <c r="Y494" s="25"/>
      <c r="Z494" s="25"/>
      <c r="AA494" s="22" t="s">
        <v>8129</v>
      </c>
      <c r="AB494" s="22" t="s">
        <v>8130</v>
      </c>
      <c r="AC494" s="25"/>
      <c r="AD494" s="22" t="s">
        <v>8161</v>
      </c>
      <c r="AE494" s="22" t="s">
        <v>8132</v>
      </c>
      <c r="AF494" s="25"/>
      <c r="AG494" s="22">
        <v>1.0451963150659E13</v>
      </c>
      <c r="AH494" s="22" t="s">
        <v>90</v>
      </c>
      <c r="AI494" s="22">
        <v>2.3417357238595E13</v>
      </c>
      <c r="AJ494" s="25"/>
      <c r="AK494" s="25"/>
      <c r="AL494" s="22" t="s">
        <v>8336</v>
      </c>
      <c r="AQ494" s="32" t="s">
        <v>54</v>
      </c>
      <c r="AR494" s="32" t="b">
        <v>0</v>
      </c>
      <c r="AS494" s="32" t="b">
        <v>1</v>
      </c>
    </row>
    <row r="495">
      <c r="A495" s="21" t="s">
        <v>9759</v>
      </c>
      <c r="B495" s="24"/>
      <c r="C495" s="24"/>
      <c r="D495" s="22" t="s">
        <v>8501</v>
      </c>
      <c r="E495" s="24"/>
      <c r="F495" s="22" t="s">
        <v>8149</v>
      </c>
      <c r="G495" s="25"/>
      <c r="H495" s="22">
        <v>9.508016456003E12</v>
      </c>
      <c r="I495" s="25"/>
      <c r="J495" s="25"/>
      <c r="K495" s="24"/>
      <c r="L495" s="25"/>
      <c r="M495" s="25"/>
      <c r="N495" s="22" t="s">
        <v>5763</v>
      </c>
      <c r="O495" s="22" t="s">
        <v>5890</v>
      </c>
      <c r="P495" s="22" t="s">
        <v>5763</v>
      </c>
      <c r="Q495" s="22" t="s">
        <v>5890</v>
      </c>
      <c r="R495" s="22" t="s">
        <v>9760</v>
      </c>
      <c r="S495" s="25"/>
      <c r="T495" s="40" t="s">
        <v>9761</v>
      </c>
      <c r="U495" s="22">
        <v>126.0</v>
      </c>
      <c r="V495" s="22">
        <v>126.0</v>
      </c>
      <c r="W495" s="22" t="s">
        <v>9762</v>
      </c>
      <c r="X495" s="40" t="s">
        <v>9763</v>
      </c>
      <c r="Y495" s="25"/>
      <c r="Z495" s="25"/>
      <c r="AA495" s="22" t="s">
        <v>8129</v>
      </c>
      <c r="AB495" s="22" t="s">
        <v>8130</v>
      </c>
      <c r="AC495" s="25"/>
      <c r="AD495" s="24"/>
      <c r="AE495" s="22" t="s">
        <v>8132</v>
      </c>
      <c r="AF495" s="25"/>
      <c r="AG495" s="22">
        <v>1.0451963150659E13</v>
      </c>
      <c r="AH495" s="22" t="s">
        <v>8137</v>
      </c>
      <c r="AI495" s="22">
        <v>2.3417357238595E13</v>
      </c>
      <c r="AJ495" s="25"/>
      <c r="AK495" s="25"/>
      <c r="AL495" s="22" t="s">
        <v>8149</v>
      </c>
      <c r="AQ495" s="32"/>
      <c r="AR495" s="32" t="b">
        <v>0</v>
      </c>
      <c r="AS495" s="32" t="b">
        <v>0</v>
      </c>
    </row>
    <row r="496">
      <c r="A496" s="21" t="s">
        <v>9764</v>
      </c>
      <c r="B496" s="22" t="s">
        <v>8467</v>
      </c>
      <c r="C496" s="22">
        <v>1.0</v>
      </c>
      <c r="D496" s="22" t="s">
        <v>8501</v>
      </c>
      <c r="E496" s="22" t="s">
        <v>8467</v>
      </c>
      <c r="F496" s="22" t="s">
        <v>8155</v>
      </c>
      <c r="G496" s="25"/>
      <c r="H496" s="22">
        <v>3.2732206530883E13</v>
      </c>
      <c r="I496" s="25"/>
      <c r="J496" s="25"/>
      <c r="K496" s="22">
        <v>4.9521175462211E13</v>
      </c>
      <c r="L496" s="25"/>
      <c r="M496" s="25"/>
      <c r="N496" s="22" t="s">
        <v>4096</v>
      </c>
      <c r="O496" s="22" t="s">
        <v>3783</v>
      </c>
      <c r="P496" s="22" t="s">
        <v>4096</v>
      </c>
      <c r="Q496" s="22" t="s">
        <v>3783</v>
      </c>
      <c r="R496" s="22" t="s">
        <v>9765</v>
      </c>
      <c r="S496" s="25"/>
      <c r="T496" s="40" t="s">
        <v>9766</v>
      </c>
      <c r="U496" s="22" t="s">
        <v>9767</v>
      </c>
      <c r="V496" s="25"/>
      <c r="W496" s="22" t="s">
        <v>9768</v>
      </c>
      <c r="X496" s="22" t="s">
        <v>8251</v>
      </c>
      <c r="Y496" s="25"/>
      <c r="Z496" s="25"/>
      <c r="AA496" s="22" t="s">
        <v>8129</v>
      </c>
      <c r="AB496" s="22" t="s">
        <v>8130</v>
      </c>
      <c r="AC496" s="25"/>
      <c r="AD496" s="22" t="s">
        <v>8161</v>
      </c>
      <c r="AE496" s="22" t="s">
        <v>8132</v>
      </c>
      <c r="AF496" s="25"/>
      <c r="AG496" s="22">
        <v>1.0451980157251E13</v>
      </c>
      <c r="AH496" s="22" t="s">
        <v>90</v>
      </c>
      <c r="AI496" s="22">
        <v>7.420695314755E12</v>
      </c>
      <c r="AJ496" s="25"/>
      <c r="AK496" s="25"/>
      <c r="AL496" s="22" t="s">
        <v>8173</v>
      </c>
      <c r="AQ496" s="32" t="s">
        <v>55</v>
      </c>
      <c r="AR496" s="32" t="b">
        <v>0</v>
      </c>
      <c r="AS496" s="32" t="b">
        <v>1</v>
      </c>
    </row>
    <row r="497">
      <c r="A497" s="21" t="s">
        <v>9764</v>
      </c>
      <c r="B497" s="25"/>
      <c r="C497" s="25"/>
      <c r="D497" s="22" t="s">
        <v>8501</v>
      </c>
      <c r="E497" s="25"/>
      <c r="F497" s="22" t="s">
        <v>8149</v>
      </c>
      <c r="G497" s="25"/>
      <c r="H497" s="22">
        <v>9.508031168835E12</v>
      </c>
      <c r="I497" s="25"/>
      <c r="J497" s="25"/>
      <c r="K497" s="25"/>
      <c r="L497" s="25"/>
      <c r="M497" s="25"/>
      <c r="N497" s="22" t="s">
        <v>4096</v>
      </c>
      <c r="O497" s="22" t="s">
        <v>3783</v>
      </c>
      <c r="P497" s="22" t="s">
        <v>4096</v>
      </c>
      <c r="Q497" s="22" t="s">
        <v>3783</v>
      </c>
      <c r="R497" s="22" t="s">
        <v>9765</v>
      </c>
      <c r="S497" s="25"/>
      <c r="T497" s="40" t="s">
        <v>9766</v>
      </c>
      <c r="U497" s="22" t="s">
        <v>9767</v>
      </c>
      <c r="V497" s="25"/>
      <c r="W497" s="22" t="s">
        <v>9768</v>
      </c>
      <c r="X497" s="22" t="s">
        <v>8251</v>
      </c>
      <c r="Y497" s="25"/>
      <c r="Z497" s="25"/>
      <c r="AA497" s="22" t="s">
        <v>8129</v>
      </c>
      <c r="AB497" s="22" t="s">
        <v>8130</v>
      </c>
      <c r="AC497" s="25"/>
      <c r="AD497" s="25"/>
      <c r="AE497" s="22" t="s">
        <v>8132</v>
      </c>
      <c r="AF497" s="25"/>
      <c r="AG497" s="22">
        <v>1.0451980157251E13</v>
      </c>
      <c r="AH497" s="22" t="s">
        <v>8137</v>
      </c>
      <c r="AI497" s="22">
        <v>7.420695314755E12</v>
      </c>
      <c r="AJ497" s="25"/>
      <c r="AK497" s="25"/>
      <c r="AL497" s="22" t="s">
        <v>8149</v>
      </c>
      <c r="AR497" s="32" t="b">
        <v>0</v>
      </c>
      <c r="AS497" s="32" t="b">
        <v>0</v>
      </c>
    </row>
    <row r="498">
      <c r="A498" s="21" t="s">
        <v>9769</v>
      </c>
      <c r="B498" s="22" t="s">
        <v>8140</v>
      </c>
      <c r="C498" s="22">
        <v>1.0</v>
      </c>
      <c r="D498" s="22" t="s">
        <v>8203</v>
      </c>
      <c r="E498" s="22" t="s">
        <v>8140</v>
      </c>
      <c r="F498" s="22" t="s">
        <v>8121</v>
      </c>
      <c r="G498" s="25"/>
      <c r="H498" s="22">
        <v>3.2732207022403E13</v>
      </c>
      <c r="I498" s="25"/>
      <c r="J498" s="25"/>
      <c r="K498" s="22">
        <v>4.2085703581939E13</v>
      </c>
      <c r="L498" s="25"/>
      <c r="M498" s="25"/>
      <c r="N498" s="22" t="s">
        <v>6933</v>
      </c>
      <c r="O498" s="22" t="s">
        <v>9770</v>
      </c>
      <c r="P498" s="22" t="s">
        <v>6933</v>
      </c>
      <c r="Q498" s="22" t="s">
        <v>9770</v>
      </c>
      <c r="R498" s="22" t="s">
        <v>9771</v>
      </c>
      <c r="S498" s="25"/>
      <c r="T498" s="40" t="s">
        <v>9772</v>
      </c>
      <c r="U498" s="22" t="s">
        <v>9773</v>
      </c>
      <c r="V498" s="25"/>
      <c r="W498" s="22" t="s">
        <v>9774</v>
      </c>
      <c r="X498" s="22" t="s">
        <v>8289</v>
      </c>
      <c r="Y498" s="25"/>
      <c r="Z498" s="25"/>
      <c r="AA498" s="22" t="s">
        <v>8129</v>
      </c>
      <c r="AB498" s="22" t="s">
        <v>8130</v>
      </c>
      <c r="AC498" s="25"/>
      <c r="AD498" s="22" t="s">
        <v>8131</v>
      </c>
      <c r="AE498" s="22" t="s">
        <v>8132</v>
      </c>
      <c r="AF498" s="25"/>
      <c r="AG498" s="22">
        <v>1.0451980419395E13</v>
      </c>
      <c r="AH498" s="22" t="s">
        <v>90</v>
      </c>
      <c r="AI498" s="22">
        <v>7.468313018691E12</v>
      </c>
      <c r="AJ498" s="25"/>
      <c r="AK498" s="25"/>
      <c r="AL498" s="22" t="s">
        <v>8134</v>
      </c>
      <c r="AQ498" s="32" t="s">
        <v>8150</v>
      </c>
      <c r="AR498" s="32" t="b">
        <v>0</v>
      </c>
      <c r="AS498" s="32" t="b">
        <v>0</v>
      </c>
    </row>
    <row r="499">
      <c r="A499" s="21" t="s">
        <v>9769</v>
      </c>
      <c r="B499" s="24"/>
      <c r="C499" s="24"/>
      <c r="D499" s="22" t="s">
        <v>8203</v>
      </c>
      <c r="E499" s="24"/>
      <c r="F499" s="22" t="s">
        <v>8136</v>
      </c>
      <c r="G499" s="25"/>
      <c r="H499" s="22">
        <v>9.508031463747E12</v>
      </c>
      <c r="I499" s="25"/>
      <c r="J499" s="25"/>
      <c r="K499" s="24"/>
      <c r="L499" s="25"/>
      <c r="M499" s="25"/>
      <c r="N499" s="22" t="s">
        <v>6933</v>
      </c>
      <c r="O499" s="22" t="s">
        <v>9770</v>
      </c>
      <c r="P499" s="22" t="s">
        <v>6933</v>
      </c>
      <c r="Q499" s="22" t="s">
        <v>9770</v>
      </c>
      <c r="R499" s="22" t="s">
        <v>9771</v>
      </c>
      <c r="S499" s="25"/>
      <c r="T499" s="40" t="s">
        <v>9772</v>
      </c>
      <c r="U499" s="22" t="s">
        <v>9773</v>
      </c>
      <c r="V499" s="25"/>
      <c r="W499" s="22" t="s">
        <v>9774</v>
      </c>
      <c r="X499" s="22" t="s">
        <v>8289</v>
      </c>
      <c r="Y499" s="25"/>
      <c r="Z499" s="25"/>
      <c r="AA499" s="22" t="s">
        <v>8129</v>
      </c>
      <c r="AB499" s="22" t="s">
        <v>8130</v>
      </c>
      <c r="AC499" s="25"/>
      <c r="AD499" s="24"/>
      <c r="AE499" s="22" t="s">
        <v>8132</v>
      </c>
      <c r="AF499" s="25"/>
      <c r="AG499" s="22">
        <v>1.0451980419395E13</v>
      </c>
      <c r="AH499" s="22" t="s">
        <v>8137</v>
      </c>
      <c r="AI499" s="22">
        <v>7.468313018691E12</v>
      </c>
      <c r="AJ499" s="25"/>
      <c r="AK499" s="25"/>
      <c r="AL499" s="22" t="s">
        <v>8136</v>
      </c>
      <c r="AQ499" s="32"/>
      <c r="AR499" s="32" t="b">
        <v>0</v>
      </c>
      <c r="AS499" s="32" t="b">
        <v>0</v>
      </c>
    </row>
    <row r="500">
      <c r="A500" s="21" t="s">
        <v>9775</v>
      </c>
      <c r="B500" s="22" t="s">
        <v>8140</v>
      </c>
      <c r="C500" s="22">
        <v>1.0</v>
      </c>
      <c r="D500" s="22" t="s">
        <v>8305</v>
      </c>
      <c r="E500" s="22" t="s">
        <v>8140</v>
      </c>
      <c r="F500" s="22" t="s">
        <v>8121</v>
      </c>
      <c r="G500" s="25"/>
      <c r="H500" s="22">
        <v>3.2732216688963E13</v>
      </c>
      <c r="I500" s="25"/>
      <c r="J500" s="25"/>
      <c r="K500" s="22">
        <v>4.2085703581939E13</v>
      </c>
      <c r="L500" s="25"/>
      <c r="M500" s="25"/>
      <c r="N500" s="22" t="s">
        <v>5130</v>
      </c>
      <c r="O500" s="22" t="s">
        <v>5890</v>
      </c>
      <c r="P500" s="22" t="s">
        <v>5130</v>
      </c>
      <c r="Q500" s="22" t="s">
        <v>5890</v>
      </c>
      <c r="R500" s="22" t="s">
        <v>9776</v>
      </c>
      <c r="S500" s="25"/>
      <c r="T500" s="40" t="s">
        <v>9777</v>
      </c>
      <c r="U500" s="22" t="s">
        <v>9778</v>
      </c>
      <c r="V500" s="25"/>
      <c r="W500" s="22" t="s">
        <v>9779</v>
      </c>
      <c r="X500" s="22" t="s">
        <v>8251</v>
      </c>
      <c r="Y500" s="25"/>
      <c r="Z500" s="25"/>
      <c r="AA500" s="22" t="s">
        <v>8129</v>
      </c>
      <c r="AB500" s="22" t="s">
        <v>8130</v>
      </c>
      <c r="AC500" s="25"/>
      <c r="AD500" s="22" t="s">
        <v>8131</v>
      </c>
      <c r="AE500" s="22" t="s">
        <v>8132</v>
      </c>
      <c r="AF500" s="25"/>
      <c r="AG500" s="22">
        <v>1.0451984187715E13</v>
      </c>
      <c r="AH500" s="22" t="s">
        <v>90</v>
      </c>
      <c r="AI500" s="22">
        <v>2.3417378439491E13</v>
      </c>
      <c r="AJ500" s="25"/>
      <c r="AK500" s="25"/>
      <c r="AL500" s="22" t="s">
        <v>8134</v>
      </c>
      <c r="AQ500" s="32" t="s">
        <v>8150</v>
      </c>
      <c r="AR500" s="32" t="b">
        <v>0</v>
      </c>
      <c r="AS500" s="32" t="b">
        <v>0</v>
      </c>
    </row>
    <row r="501">
      <c r="A501" s="21" t="s">
        <v>9775</v>
      </c>
      <c r="B501" s="25"/>
      <c r="C501" s="25"/>
      <c r="D501" s="22" t="s">
        <v>8305</v>
      </c>
      <c r="E501" s="25"/>
      <c r="F501" s="22" t="s">
        <v>8136</v>
      </c>
      <c r="G501" s="25"/>
      <c r="H501" s="22">
        <v>9.508034511171E12</v>
      </c>
      <c r="I501" s="25"/>
      <c r="J501" s="25"/>
      <c r="K501" s="25"/>
      <c r="L501" s="25"/>
      <c r="M501" s="25"/>
      <c r="N501" s="22" t="s">
        <v>5130</v>
      </c>
      <c r="O501" s="22" t="s">
        <v>5890</v>
      </c>
      <c r="P501" s="22" t="s">
        <v>5130</v>
      </c>
      <c r="Q501" s="22" t="s">
        <v>5890</v>
      </c>
      <c r="R501" s="22" t="s">
        <v>9776</v>
      </c>
      <c r="S501" s="24"/>
      <c r="T501" s="40" t="s">
        <v>9777</v>
      </c>
      <c r="U501" s="22" t="s">
        <v>9778</v>
      </c>
      <c r="V501" s="25"/>
      <c r="W501" s="22" t="s">
        <v>9779</v>
      </c>
      <c r="X501" s="22" t="s">
        <v>8251</v>
      </c>
      <c r="Y501" s="25"/>
      <c r="Z501" s="25"/>
      <c r="AA501" s="22" t="s">
        <v>8129</v>
      </c>
      <c r="AB501" s="22" t="s">
        <v>8130</v>
      </c>
      <c r="AC501" s="25"/>
      <c r="AD501" s="25"/>
      <c r="AE501" s="22" t="s">
        <v>8132</v>
      </c>
      <c r="AF501" s="25"/>
      <c r="AG501" s="22">
        <v>1.0451984187715E13</v>
      </c>
      <c r="AH501" s="22" t="s">
        <v>8137</v>
      </c>
      <c r="AI501" s="22">
        <v>2.3417378439491E13</v>
      </c>
      <c r="AJ501" s="25"/>
      <c r="AK501" s="25"/>
      <c r="AL501" s="22" t="s">
        <v>8136</v>
      </c>
      <c r="AR501" s="32" t="b">
        <v>0</v>
      </c>
      <c r="AS501" s="32" t="b">
        <v>0</v>
      </c>
    </row>
    <row r="502">
      <c r="A502" s="21" t="s">
        <v>9780</v>
      </c>
      <c r="B502" s="22" t="s">
        <v>8467</v>
      </c>
      <c r="C502" s="22">
        <v>1.0</v>
      </c>
      <c r="D502" s="22" t="s">
        <v>8175</v>
      </c>
      <c r="E502" s="22" t="s">
        <v>8467</v>
      </c>
      <c r="F502" s="22" t="s">
        <v>8155</v>
      </c>
      <c r="G502" s="22" t="s">
        <v>89</v>
      </c>
      <c r="H502" s="22">
        <v>3.2731967586627E13</v>
      </c>
      <c r="I502" s="22" t="s">
        <v>89</v>
      </c>
      <c r="J502" s="25"/>
      <c r="K502" s="22">
        <v>4.9521175462211E13</v>
      </c>
      <c r="L502" s="25"/>
      <c r="M502" s="25"/>
      <c r="N502" s="22" t="s">
        <v>4427</v>
      </c>
      <c r="O502" s="22" t="s">
        <v>9781</v>
      </c>
      <c r="P502" s="22" t="s">
        <v>4427</v>
      </c>
      <c r="Q502" s="22" t="s">
        <v>9781</v>
      </c>
      <c r="R502" s="22" t="s">
        <v>9782</v>
      </c>
      <c r="S502" s="24"/>
      <c r="T502" s="40" t="s">
        <v>9783</v>
      </c>
      <c r="U502" s="22" t="s">
        <v>9784</v>
      </c>
      <c r="V502" s="24"/>
      <c r="W502" s="22" t="s">
        <v>9785</v>
      </c>
      <c r="X502" s="22" t="s">
        <v>8380</v>
      </c>
      <c r="Y502" s="25"/>
      <c r="Z502" s="25"/>
      <c r="AA502" s="22" t="s">
        <v>8129</v>
      </c>
      <c r="AB502" s="22" t="s">
        <v>8130</v>
      </c>
      <c r="AC502" s="25"/>
      <c r="AD502" s="22" t="s">
        <v>8161</v>
      </c>
      <c r="AE502" s="22" t="s">
        <v>8132</v>
      </c>
      <c r="AF502" s="25"/>
      <c r="AG502" s="22">
        <v>1.0451876217155E13</v>
      </c>
      <c r="AH502" s="22" t="s">
        <v>90</v>
      </c>
      <c r="AI502" s="22">
        <v>7.451755675971E12</v>
      </c>
      <c r="AJ502" s="25"/>
      <c r="AK502" s="25"/>
      <c r="AL502" s="22" t="s">
        <v>8173</v>
      </c>
      <c r="AQ502" s="32" t="s">
        <v>55</v>
      </c>
      <c r="AR502" s="32" t="b">
        <v>0</v>
      </c>
      <c r="AS502" s="32" t="b">
        <v>1</v>
      </c>
    </row>
    <row r="503">
      <c r="A503" s="21" t="s">
        <v>9780</v>
      </c>
      <c r="B503" s="24"/>
      <c r="C503" s="24"/>
      <c r="D503" s="22" t="s">
        <v>8175</v>
      </c>
      <c r="E503" s="24"/>
      <c r="F503" s="22" t="s">
        <v>8149</v>
      </c>
      <c r="G503" s="25"/>
      <c r="H503" s="22">
        <v>9.507942302019E12</v>
      </c>
      <c r="I503" s="22" t="s">
        <v>89</v>
      </c>
      <c r="J503" s="25"/>
      <c r="K503" s="24"/>
      <c r="L503" s="25"/>
      <c r="M503" s="25"/>
      <c r="N503" s="22" t="s">
        <v>4427</v>
      </c>
      <c r="O503" s="22" t="s">
        <v>9781</v>
      </c>
      <c r="P503" s="22" t="s">
        <v>4427</v>
      </c>
      <c r="Q503" s="22" t="s">
        <v>9781</v>
      </c>
      <c r="R503" s="22" t="s">
        <v>9782</v>
      </c>
      <c r="S503" s="24"/>
      <c r="T503" s="40" t="s">
        <v>9783</v>
      </c>
      <c r="U503" s="22" t="s">
        <v>9784</v>
      </c>
      <c r="V503" s="24"/>
      <c r="W503" s="22" t="s">
        <v>9785</v>
      </c>
      <c r="X503" s="22" t="s">
        <v>8380</v>
      </c>
      <c r="Y503" s="25"/>
      <c r="Z503" s="25"/>
      <c r="AA503" s="22" t="s">
        <v>8129</v>
      </c>
      <c r="AB503" s="22" t="s">
        <v>8130</v>
      </c>
      <c r="AC503" s="25"/>
      <c r="AD503" s="24"/>
      <c r="AE503" s="22" t="s">
        <v>8132</v>
      </c>
      <c r="AF503" s="25"/>
      <c r="AG503" s="22">
        <v>1.0451876217155E13</v>
      </c>
      <c r="AH503" s="22" t="s">
        <v>8137</v>
      </c>
      <c r="AI503" s="22">
        <v>7.451755675971E12</v>
      </c>
      <c r="AJ503" s="25"/>
      <c r="AK503" s="25"/>
      <c r="AL503" s="22" t="s">
        <v>8149</v>
      </c>
      <c r="AQ503" s="32"/>
      <c r="AR503" s="32" t="b">
        <v>0</v>
      </c>
      <c r="AS503" s="32" t="b">
        <v>0</v>
      </c>
    </row>
    <row r="504">
      <c r="A504" s="21" t="s">
        <v>9780</v>
      </c>
      <c r="B504" s="22" t="s">
        <v>8467</v>
      </c>
      <c r="C504" s="22">
        <v>-1.0</v>
      </c>
      <c r="D504" s="22" t="s">
        <v>8175</v>
      </c>
      <c r="E504" s="22" t="s">
        <v>8467</v>
      </c>
      <c r="F504" s="22" t="s">
        <v>8155</v>
      </c>
      <c r="G504" s="22" t="s">
        <v>89</v>
      </c>
      <c r="H504" s="22">
        <v>3.2731967586627E13</v>
      </c>
      <c r="I504" s="22" t="s">
        <v>89</v>
      </c>
      <c r="J504" s="25"/>
      <c r="K504" s="22">
        <v>4.9521175462211E13</v>
      </c>
      <c r="L504" s="22" t="s">
        <v>8182</v>
      </c>
      <c r="M504" s="35" t="s">
        <v>9786</v>
      </c>
      <c r="N504" s="22" t="s">
        <v>4427</v>
      </c>
      <c r="O504" s="22" t="s">
        <v>9781</v>
      </c>
      <c r="P504" s="22" t="s">
        <v>4427</v>
      </c>
      <c r="Q504" s="22" t="s">
        <v>9781</v>
      </c>
      <c r="R504" s="22" t="s">
        <v>9782</v>
      </c>
      <c r="S504" s="24"/>
      <c r="T504" s="40" t="s">
        <v>9783</v>
      </c>
      <c r="U504" s="22" t="s">
        <v>9784</v>
      </c>
      <c r="V504" s="24"/>
      <c r="W504" s="22" t="s">
        <v>9785</v>
      </c>
      <c r="X504" s="22" t="s">
        <v>8380</v>
      </c>
      <c r="Y504" s="25"/>
      <c r="Z504" s="25"/>
      <c r="AA504" s="22" t="s">
        <v>8129</v>
      </c>
      <c r="AB504" s="22" t="s">
        <v>8130</v>
      </c>
      <c r="AC504" s="25"/>
      <c r="AD504" s="22" t="s">
        <v>8161</v>
      </c>
      <c r="AE504" s="22" t="s">
        <v>8132</v>
      </c>
      <c r="AF504" s="25"/>
      <c r="AG504" s="22">
        <v>1.0451876217155E13</v>
      </c>
      <c r="AH504" s="22" t="s">
        <v>8184</v>
      </c>
      <c r="AI504" s="22">
        <v>7.451755675971E12</v>
      </c>
      <c r="AJ504" s="25"/>
      <c r="AK504" s="22">
        <v>6.714599702851E12</v>
      </c>
      <c r="AL504" s="22" t="s">
        <v>8173</v>
      </c>
      <c r="AQ504" s="32" t="s">
        <v>55</v>
      </c>
      <c r="AR504" s="32" t="b">
        <v>0</v>
      </c>
      <c r="AS504" s="32" t="b">
        <v>1</v>
      </c>
    </row>
    <row r="505">
      <c r="A505" s="21" t="s">
        <v>9787</v>
      </c>
      <c r="B505" s="22" t="s">
        <v>8140</v>
      </c>
      <c r="C505" s="22">
        <v>1.0</v>
      </c>
      <c r="D505" s="22" t="s">
        <v>8221</v>
      </c>
      <c r="E505" s="22" t="s">
        <v>8140</v>
      </c>
      <c r="F505" s="22" t="s">
        <v>8121</v>
      </c>
      <c r="G505" s="25"/>
      <c r="H505" s="22">
        <v>3.2731410530627E13</v>
      </c>
      <c r="I505" s="25"/>
      <c r="J505" s="25"/>
      <c r="K505" s="22">
        <v>4.2085703581939E13</v>
      </c>
      <c r="L505" s="25"/>
      <c r="M505" s="25"/>
      <c r="N505" s="22" t="s">
        <v>3892</v>
      </c>
      <c r="O505" s="22" t="s">
        <v>9788</v>
      </c>
      <c r="P505" s="22" t="s">
        <v>3892</v>
      </c>
      <c r="Q505" s="22" t="s">
        <v>9788</v>
      </c>
      <c r="R505" s="22" t="s">
        <v>9789</v>
      </c>
      <c r="S505" s="25"/>
      <c r="T505" s="40" t="s">
        <v>9790</v>
      </c>
      <c r="U505" s="22" t="s">
        <v>9791</v>
      </c>
      <c r="V505" s="25"/>
      <c r="W505" s="22" t="s">
        <v>9792</v>
      </c>
      <c r="X505" s="22" t="s">
        <v>8691</v>
      </c>
      <c r="Y505" s="25"/>
      <c r="Z505" s="25"/>
      <c r="AA505" s="22" t="s">
        <v>8129</v>
      </c>
      <c r="AB505" s="22" t="s">
        <v>8130</v>
      </c>
      <c r="AC505" s="25"/>
      <c r="AD505" s="22" t="s">
        <v>8131</v>
      </c>
      <c r="AE505" s="22" t="s">
        <v>8132</v>
      </c>
      <c r="AF505" s="25"/>
      <c r="AG505" s="22">
        <v>1.0451627311427E13</v>
      </c>
      <c r="AH505" s="22" t="s">
        <v>90</v>
      </c>
      <c r="AI505" s="22">
        <v>8.622547501379E12</v>
      </c>
      <c r="AJ505" s="25"/>
      <c r="AK505" s="25"/>
      <c r="AL505" s="22" t="s">
        <v>8134</v>
      </c>
      <c r="AQ505" s="32" t="s">
        <v>8150</v>
      </c>
      <c r="AR505" s="32" t="b">
        <v>0</v>
      </c>
      <c r="AS505" s="32" t="b">
        <v>0</v>
      </c>
    </row>
    <row r="506">
      <c r="A506" s="21" t="s">
        <v>9787</v>
      </c>
      <c r="B506" s="25"/>
      <c r="C506" s="25"/>
      <c r="D506" s="22" t="s">
        <v>8221</v>
      </c>
      <c r="E506" s="25"/>
      <c r="F506" s="22" t="s">
        <v>8136</v>
      </c>
      <c r="G506" s="25"/>
      <c r="H506" s="22">
        <v>9.507733700931E12</v>
      </c>
      <c r="I506" s="25"/>
      <c r="J506" s="25"/>
      <c r="K506" s="25"/>
      <c r="L506" s="25"/>
      <c r="M506" s="25"/>
      <c r="N506" s="22" t="s">
        <v>3892</v>
      </c>
      <c r="O506" s="22" t="s">
        <v>9788</v>
      </c>
      <c r="P506" s="22" t="s">
        <v>3892</v>
      </c>
      <c r="Q506" s="22" t="s">
        <v>9788</v>
      </c>
      <c r="R506" s="22" t="s">
        <v>9789</v>
      </c>
      <c r="S506" s="25"/>
      <c r="T506" s="40" t="s">
        <v>9790</v>
      </c>
      <c r="U506" s="22" t="s">
        <v>9791</v>
      </c>
      <c r="V506" s="25"/>
      <c r="W506" s="22" t="s">
        <v>9792</v>
      </c>
      <c r="X506" s="22" t="s">
        <v>8691</v>
      </c>
      <c r="Y506" s="25"/>
      <c r="Z506" s="25"/>
      <c r="AA506" s="22" t="s">
        <v>8129</v>
      </c>
      <c r="AB506" s="22" t="s">
        <v>8130</v>
      </c>
      <c r="AC506" s="25"/>
      <c r="AD506" s="25"/>
      <c r="AE506" s="22" t="s">
        <v>8132</v>
      </c>
      <c r="AF506" s="25"/>
      <c r="AG506" s="22">
        <v>1.0451627311427E13</v>
      </c>
      <c r="AH506" s="22" t="s">
        <v>8137</v>
      </c>
      <c r="AI506" s="22">
        <v>8.622547501379E12</v>
      </c>
      <c r="AJ506" s="25"/>
      <c r="AK506" s="25"/>
      <c r="AL506" s="22" t="s">
        <v>8136</v>
      </c>
      <c r="AR506" s="32" t="b">
        <v>0</v>
      </c>
      <c r="AS506" s="32" t="b">
        <v>0</v>
      </c>
    </row>
    <row r="507">
      <c r="A507" s="21" t="s">
        <v>9793</v>
      </c>
      <c r="B507" s="22" t="s">
        <v>8140</v>
      </c>
      <c r="C507" s="22">
        <v>1.0</v>
      </c>
      <c r="D507" s="22" t="s">
        <v>8141</v>
      </c>
      <c r="E507" s="22" t="s">
        <v>8140</v>
      </c>
      <c r="F507" s="22" t="s">
        <v>8121</v>
      </c>
      <c r="G507" s="25"/>
      <c r="H507" s="22">
        <v>3.2732315386179E13</v>
      </c>
      <c r="I507" s="25"/>
      <c r="J507" s="25"/>
      <c r="K507" s="22">
        <v>4.2085703581939E13</v>
      </c>
      <c r="L507" s="25"/>
      <c r="M507" s="25"/>
      <c r="N507" s="22" t="s">
        <v>9794</v>
      </c>
      <c r="O507" s="22" t="s">
        <v>9795</v>
      </c>
      <c r="P507" s="22" t="s">
        <v>9794</v>
      </c>
      <c r="Q507" s="22" t="s">
        <v>9795</v>
      </c>
      <c r="R507" s="22" t="s">
        <v>9796</v>
      </c>
      <c r="S507" s="24"/>
      <c r="T507" s="40" t="s">
        <v>9797</v>
      </c>
      <c r="U507" s="22" t="s">
        <v>9798</v>
      </c>
      <c r="V507" s="25"/>
      <c r="W507" s="22" t="s">
        <v>9799</v>
      </c>
      <c r="X507" s="22" t="s">
        <v>8289</v>
      </c>
      <c r="Y507" s="25"/>
      <c r="Z507" s="25"/>
      <c r="AA507" s="22" t="s">
        <v>8129</v>
      </c>
      <c r="AB507" s="22" t="s">
        <v>8130</v>
      </c>
      <c r="AC507" s="25"/>
      <c r="AD507" s="22" t="s">
        <v>8131</v>
      </c>
      <c r="AE507" s="22" t="s">
        <v>8132</v>
      </c>
      <c r="AF507" s="25"/>
      <c r="AG507" s="22">
        <v>1.0452027310403E13</v>
      </c>
      <c r="AH507" s="22" t="s">
        <v>90</v>
      </c>
      <c r="AI507" s="22">
        <v>8.602319847747E12</v>
      </c>
      <c r="AJ507" s="25"/>
      <c r="AK507" s="25"/>
      <c r="AL507" s="22" t="s">
        <v>8134</v>
      </c>
      <c r="AQ507" s="32" t="s">
        <v>8150</v>
      </c>
      <c r="AR507" s="32" t="b">
        <v>0</v>
      </c>
      <c r="AS507" s="32" t="b">
        <v>0</v>
      </c>
    </row>
    <row r="508">
      <c r="A508" s="21" t="s">
        <v>9793</v>
      </c>
      <c r="B508" s="25"/>
      <c r="C508" s="25"/>
      <c r="D508" s="22" t="s">
        <v>8141</v>
      </c>
      <c r="E508" s="25"/>
      <c r="F508" s="22" t="s">
        <v>8136</v>
      </c>
      <c r="G508" s="25"/>
      <c r="H508" s="22">
        <v>9.508072554819E12</v>
      </c>
      <c r="I508" s="25"/>
      <c r="J508" s="25"/>
      <c r="K508" s="25"/>
      <c r="L508" s="25"/>
      <c r="M508" s="25"/>
      <c r="N508" s="22" t="s">
        <v>9794</v>
      </c>
      <c r="O508" s="22" t="s">
        <v>9795</v>
      </c>
      <c r="P508" s="22" t="s">
        <v>9794</v>
      </c>
      <c r="Q508" s="22" t="s">
        <v>9795</v>
      </c>
      <c r="R508" s="22" t="s">
        <v>9796</v>
      </c>
      <c r="S508" s="24"/>
      <c r="T508" s="40" t="s">
        <v>9797</v>
      </c>
      <c r="U508" s="22" t="s">
        <v>9798</v>
      </c>
      <c r="V508" s="25"/>
      <c r="W508" s="22" t="s">
        <v>9799</v>
      </c>
      <c r="X508" s="22" t="s">
        <v>8289</v>
      </c>
      <c r="Y508" s="25"/>
      <c r="Z508" s="25"/>
      <c r="AA508" s="22" t="s">
        <v>8129</v>
      </c>
      <c r="AB508" s="22" t="s">
        <v>8130</v>
      </c>
      <c r="AC508" s="25"/>
      <c r="AD508" s="25"/>
      <c r="AE508" s="22" t="s">
        <v>8132</v>
      </c>
      <c r="AF508" s="25"/>
      <c r="AG508" s="22">
        <v>1.0452027310403E13</v>
      </c>
      <c r="AH508" s="22" t="s">
        <v>8137</v>
      </c>
      <c r="AI508" s="22">
        <v>8.602319847747E12</v>
      </c>
      <c r="AJ508" s="25"/>
      <c r="AK508" s="25"/>
      <c r="AL508" s="22" t="s">
        <v>8136</v>
      </c>
      <c r="AR508" s="32" t="b">
        <v>0</v>
      </c>
      <c r="AS508" s="32" t="b">
        <v>0</v>
      </c>
    </row>
    <row r="509">
      <c r="A509" s="21" t="s">
        <v>9800</v>
      </c>
      <c r="B509" s="22" t="s">
        <v>8153</v>
      </c>
      <c r="C509" s="22">
        <v>1.0</v>
      </c>
      <c r="D509" s="22" t="s">
        <v>8221</v>
      </c>
      <c r="E509" s="22" t="s">
        <v>8153</v>
      </c>
      <c r="F509" s="22" t="s">
        <v>8155</v>
      </c>
      <c r="G509" s="25"/>
      <c r="H509" s="22">
        <v>3.2732480569667E13</v>
      </c>
      <c r="I509" s="25"/>
      <c r="J509" s="24"/>
      <c r="K509" s="22">
        <v>4.7338059759939E13</v>
      </c>
      <c r="L509" s="25"/>
      <c r="M509" s="25"/>
      <c r="N509" s="22" t="s">
        <v>6684</v>
      </c>
      <c r="O509" s="22" t="s">
        <v>9801</v>
      </c>
      <c r="P509" s="22" t="s">
        <v>6684</v>
      </c>
      <c r="Q509" s="22" t="s">
        <v>9801</v>
      </c>
      <c r="R509" s="22" t="s">
        <v>9802</v>
      </c>
      <c r="S509" s="24"/>
      <c r="T509" s="40" t="s">
        <v>9803</v>
      </c>
      <c r="U509" s="22" t="s">
        <v>9804</v>
      </c>
      <c r="V509" s="25"/>
      <c r="W509" s="22" t="s">
        <v>9805</v>
      </c>
      <c r="X509" s="22" t="s">
        <v>8242</v>
      </c>
      <c r="Y509" s="25"/>
      <c r="Z509" s="25"/>
      <c r="AA509" s="22" t="s">
        <v>8129</v>
      </c>
      <c r="AB509" s="22" t="s">
        <v>8130</v>
      </c>
      <c r="AC509" s="25"/>
      <c r="AD509" s="22" t="s">
        <v>8161</v>
      </c>
      <c r="AE509" s="22" t="s">
        <v>8132</v>
      </c>
      <c r="AF509" s="25"/>
      <c r="AG509" s="22">
        <v>1.0452100546883E13</v>
      </c>
      <c r="AH509" s="22" t="s">
        <v>90</v>
      </c>
      <c r="AI509" s="22">
        <v>8.555693244739E12</v>
      </c>
      <c r="AJ509" s="25"/>
      <c r="AK509" s="25"/>
      <c r="AL509" s="22" t="s">
        <v>8162</v>
      </c>
      <c r="AQ509" s="32" t="s">
        <v>55</v>
      </c>
      <c r="AR509" s="32" t="b">
        <v>0</v>
      </c>
      <c r="AS509" s="32" t="b">
        <v>0</v>
      </c>
    </row>
    <row r="510">
      <c r="A510" s="21" t="s">
        <v>9800</v>
      </c>
      <c r="B510" s="24"/>
      <c r="C510" s="24"/>
      <c r="D510" s="22" t="s">
        <v>8221</v>
      </c>
      <c r="E510" s="24"/>
      <c r="F510" s="22" t="s">
        <v>8149</v>
      </c>
      <c r="G510" s="25"/>
      <c r="H510" s="22">
        <v>9.508137075011E12</v>
      </c>
      <c r="I510" s="25"/>
      <c r="J510" s="25"/>
      <c r="K510" s="24"/>
      <c r="L510" s="25"/>
      <c r="M510" s="25"/>
      <c r="N510" s="22" t="s">
        <v>6684</v>
      </c>
      <c r="O510" s="22" t="s">
        <v>9801</v>
      </c>
      <c r="P510" s="22" t="s">
        <v>6684</v>
      </c>
      <c r="Q510" s="22" t="s">
        <v>9801</v>
      </c>
      <c r="R510" s="22" t="s">
        <v>9802</v>
      </c>
      <c r="S510" s="25"/>
      <c r="T510" s="40" t="s">
        <v>9803</v>
      </c>
      <c r="U510" s="22" t="s">
        <v>9804</v>
      </c>
      <c r="V510" s="25"/>
      <c r="W510" s="22" t="s">
        <v>9805</v>
      </c>
      <c r="X510" s="22" t="s">
        <v>8242</v>
      </c>
      <c r="Y510" s="25"/>
      <c r="Z510" s="25"/>
      <c r="AA510" s="22" t="s">
        <v>8129</v>
      </c>
      <c r="AB510" s="22" t="s">
        <v>8130</v>
      </c>
      <c r="AC510" s="25"/>
      <c r="AD510" s="24"/>
      <c r="AE510" s="22" t="s">
        <v>8132</v>
      </c>
      <c r="AF510" s="25"/>
      <c r="AG510" s="22">
        <v>1.0452100546883E13</v>
      </c>
      <c r="AH510" s="22" t="s">
        <v>8137</v>
      </c>
      <c r="AI510" s="22">
        <v>8.555693244739E12</v>
      </c>
      <c r="AJ510" s="25"/>
      <c r="AK510" s="25"/>
      <c r="AL510" s="22" t="s">
        <v>8149</v>
      </c>
      <c r="AQ510" s="32"/>
      <c r="AR510" s="32" t="b">
        <v>0</v>
      </c>
      <c r="AS510" s="32" t="b">
        <v>0</v>
      </c>
    </row>
    <row r="511">
      <c r="A511" s="21" t="s">
        <v>9806</v>
      </c>
      <c r="B511" s="22" t="s">
        <v>8140</v>
      </c>
      <c r="C511" s="22">
        <v>1.0</v>
      </c>
      <c r="D511" s="22" t="s">
        <v>8581</v>
      </c>
      <c r="E511" s="22" t="s">
        <v>8140</v>
      </c>
      <c r="F511" s="22" t="s">
        <v>8121</v>
      </c>
      <c r="G511" s="25"/>
      <c r="H511" s="22">
        <v>3.2732741599555E13</v>
      </c>
      <c r="I511" s="25"/>
      <c r="J511" s="25"/>
      <c r="K511" s="22">
        <v>4.2085703581939E13</v>
      </c>
      <c r="L511" s="25"/>
      <c r="M511" s="25"/>
      <c r="N511" s="22" t="s">
        <v>9807</v>
      </c>
      <c r="O511" s="22" t="s">
        <v>9808</v>
      </c>
      <c r="P511" s="22" t="s">
        <v>9807</v>
      </c>
      <c r="Q511" s="22" t="s">
        <v>9808</v>
      </c>
      <c r="R511" s="22" t="s">
        <v>9809</v>
      </c>
      <c r="S511" s="25"/>
      <c r="T511" s="40" t="s">
        <v>9810</v>
      </c>
      <c r="U511" s="22" t="s">
        <v>9811</v>
      </c>
      <c r="V511" s="25"/>
      <c r="W511" s="22" t="s">
        <v>9812</v>
      </c>
      <c r="X511" s="22" t="s">
        <v>8242</v>
      </c>
      <c r="Y511" s="25"/>
      <c r="Z511" s="25"/>
      <c r="AA511" s="22" t="s">
        <v>8129</v>
      </c>
      <c r="AB511" s="22" t="s">
        <v>8130</v>
      </c>
      <c r="AC511" s="25"/>
      <c r="AD511" s="22" t="s">
        <v>8131</v>
      </c>
      <c r="AE511" s="22" t="s">
        <v>8132</v>
      </c>
      <c r="AF511" s="25"/>
      <c r="AG511" s="22">
        <v>1.0452213793091E13</v>
      </c>
      <c r="AH511" s="22" t="s">
        <v>90</v>
      </c>
      <c r="AI511" s="22">
        <v>8.528078209347E12</v>
      </c>
      <c r="AJ511" s="25"/>
      <c r="AK511" s="25"/>
      <c r="AL511" s="22" t="s">
        <v>8134</v>
      </c>
      <c r="AQ511" s="32" t="s">
        <v>8150</v>
      </c>
      <c r="AR511" s="32" t="b">
        <v>0</v>
      </c>
      <c r="AS511" s="32" t="b">
        <v>0</v>
      </c>
    </row>
    <row r="512">
      <c r="A512" s="21" t="s">
        <v>9806</v>
      </c>
      <c r="B512" s="24"/>
      <c r="C512" s="24"/>
      <c r="D512" s="22" t="s">
        <v>8581</v>
      </c>
      <c r="E512" s="24"/>
      <c r="F512" s="22" t="s">
        <v>8136</v>
      </c>
      <c r="G512" s="25"/>
      <c r="H512" s="22">
        <v>9.508242391363E12</v>
      </c>
      <c r="I512" s="25"/>
      <c r="J512" s="25"/>
      <c r="K512" s="24"/>
      <c r="L512" s="25"/>
      <c r="M512" s="25"/>
      <c r="N512" s="22" t="s">
        <v>9807</v>
      </c>
      <c r="O512" s="22" t="s">
        <v>9808</v>
      </c>
      <c r="P512" s="22" t="s">
        <v>9807</v>
      </c>
      <c r="Q512" s="22" t="s">
        <v>9808</v>
      </c>
      <c r="R512" s="22" t="s">
        <v>9809</v>
      </c>
      <c r="S512" s="25"/>
      <c r="T512" s="40" t="s">
        <v>9810</v>
      </c>
      <c r="U512" s="22" t="s">
        <v>9811</v>
      </c>
      <c r="V512" s="25"/>
      <c r="W512" s="22" t="s">
        <v>9812</v>
      </c>
      <c r="X512" s="22" t="s">
        <v>8242</v>
      </c>
      <c r="Y512" s="25"/>
      <c r="Z512" s="25"/>
      <c r="AA512" s="22" t="s">
        <v>8129</v>
      </c>
      <c r="AB512" s="22" t="s">
        <v>8130</v>
      </c>
      <c r="AC512" s="25"/>
      <c r="AD512" s="24"/>
      <c r="AE512" s="22" t="s">
        <v>8132</v>
      </c>
      <c r="AF512" s="25"/>
      <c r="AG512" s="22">
        <v>1.0452213793091E13</v>
      </c>
      <c r="AH512" s="22" t="s">
        <v>8137</v>
      </c>
      <c r="AI512" s="22">
        <v>8.528078209347E12</v>
      </c>
      <c r="AJ512" s="25"/>
      <c r="AK512" s="25"/>
      <c r="AL512" s="22" t="s">
        <v>8136</v>
      </c>
      <c r="AQ512" s="32"/>
      <c r="AR512" s="32" t="b">
        <v>0</v>
      </c>
      <c r="AS512" s="32" t="b">
        <v>0</v>
      </c>
    </row>
    <row r="513">
      <c r="A513" s="21" t="s">
        <v>9813</v>
      </c>
      <c r="B513" s="22" t="s">
        <v>8707</v>
      </c>
      <c r="C513" s="22">
        <v>1.0</v>
      </c>
      <c r="D513" s="22" t="s">
        <v>8278</v>
      </c>
      <c r="E513" s="22" t="s">
        <v>8707</v>
      </c>
      <c r="F513" s="22" t="s">
        <v>8155</v>
      </c>
      <c r="G513" s="25"/>
      <c r="H513" s="22">
        <v>3.2732754379075E13</v>
      </c>
      <c r="I513" s="25"/>
      <c r="J513" s="25"/>
      <c r="K513" s="22">
        <v>4.9521175429443E13</v>
      </c>
      <c r="L513" s="25"/>
      <c r="M513" s="25"/>
      <c r="N513" s="22" t="s">
        <v>9814</v>
      </c>
      <c r="O513" s="22" t="s">
        <v>9815</v>
      </c>
      <c r="P513" s="22" t="s">
        <v>9814</v>
      </c>
      <c r="Q513" s="22" t="s">
        <v>9815</v>
      </c>
      <c r="R513" s="22" t="s">
        <v>9816</v>
      </c>
      <c r="S513" s="25"/>
      <c r="T513" s="40" t="s">
        <v>9817</v>
      </c>
      <c r="U513" s="22" t="s">
        <v>9818</v>
      </c>
      <c r="V513" s="25"/>
      <c r="W513" s="22" t="s">
        <v>9819</v>
      </c>
      <c r="X513" s="22" t="s">
        <v>8276</v>
      </c>
      <c r="Y513" s="25"/>
      <c r="Z513" s="25"/>
      <c r="AA513" s="22" t="s">
        <v>8129</v>
      </c>
      <c r="AB513" s="22" t="s">
        <v>8130</v>
      </c>
      <c r="AC513" s="25"/>
      <c r="AD513" s="22" t="s">
        <v>8161</v>
      </c>
      <c r="AE513" s="22" t="s">
        <v>8132</v>
      </c>
      <c r="AF513" s="25"/>
      <c r="AG513" s="22">
        <v>1.0452219756867E13</v>
      </c>
      <c r="AH513" s="22" t="s">
        <v>90</v>
      </c>
      <c r="AI513" s="22">
        <v>8.610578170179E12</v>
      </c>
      <c r="AJ513" s="25"/>
      <c r="AK513" s="25"/>
      <c r="AL513" s="22" t="s">
        <v>8336</v>
      </c>
      <c r="AQ513" s="32" t="s">
        <v>54</v>
      </c>
      <c r="AR513" s="32" t="b">
        <v>0</v>
      </c>
      <c r="AS513" s="32" t="b">
        <v>1</v>
      </c>
    </row>
    <row r="514">
      <c r="A514" s="21" t="s">
        <v>9813</v>
      </c>
      <c r="B514" s="25"/>
      <c r="C514" s="25"/>
      <c r="D514" s="22" t="s">
        <v>8278</v>
      </c>
      <c r="E514" s="25"/>
      <c r="F514" s="22" t="s">
        <v>8149</v>
      </c>
      <c r="G514" s="25"/>
      <c r="H514" s="22">
        <v>9.508248158531E12</v>
      </c>
      <c r="I514" s="25"/>
      <c r="J514" s="25"/>
      <c r="K514" s="25"/>
      <c r="L514" s="25"/>
      <c r="M514" s="25"/>
      <c r="N514" s="22" t="s">
        <v>9814</v>
      </c>
      <c r="O514" s="22" t="s">
        <v>9815</v>
      </c>
      <c r="P514" s="22" t="s">
        <v>9814</v>
      </c>
      <c r="Q514" s="22" t="s">
        <v>9815</v>
      </c>
      <c r="R514" s="22" t="s">
        <v>9816</v>
      </c>
      <c r="S514" s="25"/>
      <c r="T514" s="40" t="s">
        <v>9817</v>
      </c>
      <c r="U514" s="22" t="s">
        <v>9818</v>
      </c>
      <c r="V514" s="25"/>
      <c r="W514" s="22" t="s">
        <v>9819</v>
      </c>
      <c r="X514" s="22" t="s">
        <v>8276</v>
      </c>
      <c r="Y514" s="25"/>
      <c r="Z514" s="25"/>
      <c r="AA514" s="22" t="s">
        <v>8129</v>
      </c>
      <c r="AB514" s="22" t="s">
        <v>8130</v>
      </c>
      <c r="AC514" s="25"/>
      <c r="AD514" s="25"/>
      <c r="AE514" s="22" t="s">
        <v>8132</v>
      </c>
      <c r="AF514" s="25"/>
      <c r="AG514" s="22">
        <v>1.0452219756867E13</v>
      </c>
      <c r="AH514" s="22" t="s">
        <v>8137</v>
      </c>
      <c r="AI514" s="22">
        <v>8.610578170179E12</v>
      </c>
      <c r="AJ514" s="25"/>
      <c r="AK514" s="25"/>
      <c r="AL514" s="22" t="s">
        <v>8149</v>
      </c>
      <c r="AR514" s="32" t="b">
        <v>0</v>
      </c>
      <c r="AS514" s="32" t="b">
        <v>0</v>
      </c>
    </row>
    <row r="515">
      <c r="A515" s="21" t="s">
        <v>9820</v>
      </c>
      <c r="B515" s="22" t="s">
        <v>8140</v>
      </c>
      <c r="C515" s="22">
        <v>1.0</v>
      </c>
      <c r="D515" s="22" t="s">
        <v>8968</v>
      </c>
      <c r="E515" s="22" t="s">
        <v>8140</v>
      </c>
      <c r="F515" s="22" t="s">
        <v>8121</v>
      </c>
      <c r="G515" s="25"/>
      <c r="H515" s="22">
        <v>3.2732223570243E13</v>
      </c>
      <c r="I515" s="25"/>
      <c r="J515" s="25"/>
      <c r="K515" s="22">
        <v>4.2085703581939E13</v>
      </c>
      <c r="L515" s="25"/>
      <c r="M515" s="25"/>
      <c r="N515" s="22" t="s">
        <v>3840</v>
      </c>
      <c r="O515" s="22" t="s">
        <v>9821</v>
      </c>
      <c r="P515" s="22" t="s">
        <v>3840</v>
      </c>
      <c r="Q515" s="22" t="s">
        <v>9821</v>
      </c>
      <c r="R515" s="22" t="s">
        <v>9822</v>
      </c>
      <c r="S515" s="25"/>
      <c r="T515" s="40" t="s">
        <v>9823</v>
      </c>
      <c r="U515" s="22" t="s">
        <v>9824</v>
      </c>
      <c r="V515" s="24"/>
      <c r="W515" s="22" t="s">
        <v>9825</v>
      </c>
      <c r="X515" s="22" t="s">
        <v>4140</v>
      </c>
      <c r="Y515" s="25"/>
      <c r="Z515" s="25"/>
      <c r="AA515" s="22" t="s">
        <v>8129</v>
      </c>
      <c r="AB515" s="22" t="s">
        <v>8130</v>
      </c>
      <c r="AC515" s="25"/>
      <c r="AD515" s="22" t="s">
        <v>8131</v>
      </c>
      <c r="AE515" s="22" t="s">
        <v>8132</v>
      </c>
      <c r="AF515" s="25"/>
      <c r="AG515" s="22">
        <v>1.0451986940227E13</v>
      </c>
      <c r="AH515" s="22" t="s">
        <v>90</v>
      </c>
      <c r="AI515" s="22">
        <v>2.3417380241731E13</v>
      </c>
      <c r="AJ515" s="25"/>
      <c r="AK515" s="25"/>
      <c r="AL515" s="22" t="s">
        <v>8134</v>
      </c>
      <c r="AQ515" s="32" t="s">
        <v>8150</v>
      </c>
      <c r="AR515" s="32" t="b">
        <v>0</v>
      </c>
      <c r="AS515" s="32" t="b">
        <v>0</v>
      </c>
    </row>
    <row r="516">
      <c r="A516" s="21" t="s">
        <v>9820</v>
      </c>
      <c r="B516" s="25"/>
      <c r="C516" s="25"/>
      <c r="D516" s="22" t="s">
        <v>8968</v>
      </c>
      <c r="E516" s="25"/>
      <c r="F516" s="22" t="s">
        <v>8136</v>
      </c>
      <c r="G516" s="25"/>
      <c r="H516" s="22">
        <v>9.508036968771E12</v>
      </c>
      <c r="I516" s="25"/>
      <c r="J516" s="25"/>
      <c r="K516" s="25"/>
      <c r="L516" s="25"/>
      <c r="M516" s="25"/>
      <c r="N516" s="22" t="s">
        <v>3840</v>
      </c>
      <c r="O516" s="22" t="s">
        <v>9821</v>
      </c>
      <c r="P516" s="22" t="s">
        <v>3840</v>
      </c>
      <c r="Q516" s="22" t="s">
        <v>9821</v>
      </c>
      <c r="R516" s="22" t="s">
        <v>9822</v>
      </c>
      <c r="S516" s="25"/>
      <c r="T516" s="40" t="s">
        <v>9823</v>
      </c>
      <c r="U516" s="22" t="s">
        <v>9824</v>
      </c>
      <c r="V516" s="24"/>
      <c r="W516" s="22" t="s">
        <v>9825</v>
      </c>
      <c r="X516" s="22" t="s">
        <v>4140</v>
      </c>
      <c r="Y516" s="25"/>
      <c r="Z516" s="25"/>
      <c r="AA516" s="22" t="s">
        <v>8129</v>
      </c>
      <c r="AB516" s="22" t="s">
        <v>8130</v>
      </c>
      <c r="AC516" s="25"/>
      <c r="AD516" s="25"/>
      <c r="AE516" s="22" t="s">
        <v>8132</v>
      </c>
      <c r="AF516" s="25"/>
      <c r="AG516" s="22">
        <v>1.0451986940227E13</v>
      </c>
      <c r="AH516" s="22" t="s">
        <v>8137</v>
      </c>
      <c r="AI516" s="22">
        <v>2.3417380241731E13</v>
      </c>
      <c r="AJ516" s="25"/>
      <c r="AK516" s="25"/>
      <c r="AL516" s="22" t="s">
        <v>8136</v>
      </c>
      <c r="AR516" s="32" t="b">
        <v>0</v>
      </c>
      <c r="AS516" s="32" t="b">
        <v>0</v>
      </c>
    </row>
    <row r="517">
      <c r="A517" s="21" t="s">
        <v>9826</v>
      </c>
      <c r="B517" s="22" t="s">
        <v>8140</v>
      </c>
      <c r="C517" s="22">
        <v>1.0</v>
      </c>
      <c r="D517" s="22" t="s">
        <v>8221</v>
      </c>
      <c r="E517" s="22" t="s">
        <v>8140</v>
      </c>
      <c r="F517" s="22" t="s">
        <v>8121</v>
      </c>
      <c r="G517" s="25"/>
      <c r="H517" s="22">
        <v>3.2732971958595E13</v>
      </c>
      <c r="I517" s="25"/>
      <c r="J517" s="25"/>
      <c r="K517" s="22">
        <v>4.2085703581939E13</v>
      </c>
      <c r="L517" s="25"/>
      <c r="M517" s="25"/>
      <c r="N517" s="22" t="s">
        <v>6682</v>
      </c>
      <c r="O517" s="22" t="s">
        <v>9827</v>
      </c>
      <c r="P517" s="22" t="s">
        <v>6682</v>
      </c>
      <c r="Q517" s="22" t="s">
        <v>9827</v>
      </c>
      <c r="R517" s="22" t="s">
        <v>9828</v>
      </c>
      <c r="S517" s="25"/>
      <c r="T517" s="40" t="s">
        <v>9829</v>
      </c>
      <c r="U517" s="22" t="s">
        <v>9830</v>
      </c>
      <c r="V517" s="24"/>
      <c r="W517" s="22" t="s">
        <v>9831</v>
      </c>
      <c r="X517" s="22" t="s">
        <v>8289</v>
      </c>
      <c r="Y517" s="25"/>
      <c r="Z517" s="25"/>
      <c r="AA517" s="22" t="s">
        <v>8129</v>
      </c>
      <c r="AB517" s="22" t="s">
        <v>8130</v>
      </c>
      <c r="AC517" s="25"/>
      <c r="AD517" s="22" t="s">
        <v>8131</v>
      </c>
      <c r="AE517" s="22" t="s">
        <v>8132</v>
      </c>
      <c r="AF517" s="25"/>
      <c r="AG517" s="22">
        <v>1.0452315570499E13</v>
      </c>
      <c r="AH517" s="22" t="s">
        <v>90</v>
      </c>
      <c r="AI517" s="22">
        <v>6.482234671347E12</v>
      </c>
      <c r="AJ517" s="25"/>
      <c r="AK517" s="25"/>
      <c r="AL517" s="22" t="s">
        <v>8134</v>
      </c>
      <c r="AQ517" s="32" t="s">
        <v>8150</v>
      </c>
      <c r="AR517" s="32" t="b">
        <v>0</v>
      </c>
      <c r="AS517" s="32" t="b">
        <v>0</v>
      </c>
    </row>
    <row r="518">
      <c r="A518" s="21" t="s">
        <v>9826</v>
      </c>
      <c r="B518" s="24"/>
      <c r="C518" s="24"/>
      <c r="D518" s="22" t="s">
        <v>8221</v>
      </c>
      <c r="E518" s="24"/>
      <c r="F518" s="22" t="s">
        <v>8136</v>
      </c>
      <c r="G518" s="25"/>
      <c r="H518" s="22">
        <v>9.508338893123E12</v>
      </c>
      <c r="I518" s="25"/>
      <c r="J518" s="25"/>
      <c r="K518" s="24"/>
      <c r="L518" s="25"/>
      <c r="M518" s="25"/>
      <c r="N518" s="22" t="s">
        <v>6682</v>
      </c>
      <c r="O518" s="22" t="s">
        <v>9827</v>
      </c>
      <c r="P518" s="22" t="s">
        <v>6682</v>
      </c>
      <c r="Q518" s="22" t="s">
        <v>9827</v>
      </c>
      <c r="R518" s="22" t="s">
        <v>9828</v>
      </c>
      <c r="S518" s="25"/>
      <c r="T518" s="40" t="s">
        <v>9829</v>
      </c>
      <c r="U518" s="22" t="s">
        <v>9830</v>
      </c>
      <c r="V518" s="25"/>
      <c r="W518" s="22" t="s">
        <v>9831</v>
      </c>
      <c r="X518" s="22" t="s">
        <v>8289</v>
      </c>
      <c r="Y518" s="25"/>
      <c r="Z518" s="25"/>
      <c r="AA518" s="22" t="s">
        <v>8129</v>
      </c>
      <c r="AB518" s="22" t="s">
        <v>8130</v>
      </c>
      <c r="AC518" s="25"/>
      <c r="AD518" s="24"/>
      <c r="AE518" s="22" t="s">
        <v>8132</v>
      </c>
      <c r="AF518" s="25"/>
      <c r="AG518" s="22">
        <v>1.0452315570499E13</v>
      </c>
      <c r="AH518" s="22" t="s">
        <v>8137</v>
      </c>
      <c r="AI518" s="22">
        <v>6.482234671347E12</v>
      </c>
      <c r="AJ518" s="25"/>
      <c r="AK518" s="25"/>
      <c r="AL518" s="22" t="s">
        <v>8136</v>
      </c>
      <c r="AQ518" s="32"/>
      <c r="AR518" s="32" t="b">
        <v>0</v>
      </c>
      <c r="AS518" s="32" t="b">
        <v>0</v>
      </c>
    </row>
    <row r="519">
      <c r="A519" s="21" t="s">
        <v>9832</v>
      </c>
      <c r="B519" s="22" t="s">
        <v>8140</v>
      </c>
      <c r="C519" s="22">
        <v>1.0</v>
      </c>
      <c r="D519" s="22" t="s">
        <v>8221</v>
      </c>
      <c r="E519" s="22" t="s">
        <v>8140</v>
      </c>
      <c r="F519" s="22" t="s">
        <v>8121</v>
      </c>
      <c r="G519" s="25"/>
      <c r="H519" s="22">
        <v>3.2733088121155E13</v>
      </c>
      <c r="I519" s="25"/>
      <c r="J519" s="25"/>
      <c r="K519" s="22">
        <v>4.2085703581939E13</v>
      </c>
      <c r="L519" s="25"/>
      <c r="M519" s="25"/>
      <c r="N519" s="22" t="s">
        <v>4063</v>
      </c>
      <c r="O519" s="22" t="s">
        <v>3815</v>
      </c>
      <c r="P519" s="22" t="s">
        <v>4063</v>
      </c>
      <c r="Q519" s="22" t="s">
        <v>3815</v>
      </c>
      <c r="R519" s="22" t="s">
        <v>9833</v>
      </c>
      <c r="S519" s="25"/>
      <c r="T519" s="40" t="s">
        <v>9834</v>
      </c>
      <c r="U519" s="22" t="s">
        <v>9835</v>
      </c>
      <c r="V519" s="25"/>
      <c r="W519" s="22" t="s">
        <v>9836</v>
      </c>
      <c r="X519" s="22" t="s">
        <v>8289</v>
      </c>
      <c r="Y519" s="25"/>
      <c r="Z519" s="25"/>
      <c r="AA519" s="22" t="s">
        <v>8129</v>
      </c>
      <c r="AB519" s="22" t="s">
        <v>8130</v>
      </c>
      <c r="AC519" s="25"/>
      <c r="AD519" s="22" t="s">
        <v>8131</v>
      </c>
      <c r="AE519" s="22" t="s">
        <v>8132</v>
      </c>
      <c r="AF519" s="25"/>
      <c r="AG519" s="22">
        <v>1.0452363116867E13</v>
      </c>
      <c r="AH519" s="22" t="s">
        <v>90</v>
      </c>
      <c r="AI519" s="22">
        <v>6.463063621875E12</v>
      </c>
      <c r="AJ519" s="25"/>
      <c r="AK519" s="25"/>
      <c r="AL519" s="22" t="s">
        <v>8134</v>
      </c>
      <c r="AQ519" s="32" t="s">
        <v>8150</v>
      </c>
      <c r="AR519" s="32" t="b">
        <v>0</v>
      </c>
      <c r="AS519" s="32" t="b">
        <v>0</v>
      </c>
    </row>
    <row r="520">
      <c r="A520" s="21" t="s">
        <v>9832</v>
      </c>
      <c r="B520" s="25"/>
      <c r="C520" s="25"/>
      <c r="D520" s="22" t="s">
        <v>8221</v>
      </c>
      <c r="E520" s="25"/>
      <c r="F520" s="22" t="s">
        <v>8136</v>
      </c>
      <c r="G520" s="25"/>
      <c r="H520" s="22">
        <v>9.508383981891E12</v>
      </c>
      <c r="I520" s="25"/>
      <c r="J520" s="25"/>
      <c r="K520" s="25"/>
      <c r="L520" s="25"/>
      <c r="M520" s="25"/>
      <c r="N520" s="22" t="s">
        <v>4063</v>
      </c>
      <c r="O520" s="22" t="s">
        <v>3815</v>
      </c>
      <c r="P520" s="22" t="s">
        <v>4063</v>
      </c>
      <c r="Q520" s="22" t="s">
        <v>3815</v>
      </c>
      <c r="R520" s="22" t="s">
        <v>9833</v>
      </c>
      <c r="S520" s="25"/>
      <c r="T520" s="40" t="s">
        <v>9834</v>
      </c>
      <c r="U520" s="22" t="s">
        <v>9835</v>
      </c>
      <c r="V520" s="24"/>
      <c r="W520" s="22" t="s">
        <v>9836</v>
      </c>
      <c r="X520" s="22" t="s">
        <v>8289</v>
      </c>
      <c r="Y520" s="25"/>
      <c r="Z520" s="25"/>
      <c r="AA520" s="22" t="s">
        <v>8129</v>
      </c>
      <c r="AB520" s="22" t="s">
        <v>8130</v>
      </c>
      <c r="AC520" s="25"/>
      <c r="AD520" s="25"/>
      <c r="AE520" s="22" t="s">
        <v>8132</v>
      </c>
      <c r="AF520" s="25"/>
      <c r="AG520" s="22">
        <v>1.0452363116867E13</v>
      </c>
      <c r="AH520" s="22" t="s">
        <v>8137</v>
      </c>
      <c r="AI520" s="22">
        <v>6.463063621875E12</v>
      </c>
      <c r="AJ520" s="25"/>
      <c r="AK520" s="25"/>
      <c r="AL520" s="22" t="s">
        <v>8136</v>
      </c>
      <c r="AR520" s="32" t="b">
        <v>0</v>
      </c>
      <c r="AS520" s="32" t="b">
        <v>0</v>
      </c>
    </row>
    <row r="521">
      <c r="A521" s="21" t="s">
        <v>9837</v>
      </c>
      <c r="B521" s="22" t="s">
        <v>8467</v>
      </c>
      <c r="C521" s="22">
        <v>1.0</v>
      </c>
      <c r="D521" s="22" t="s">
        <v>8221</v>
      </c>
      <c r="E521" s="22" t="s">
        <v>8467</v>
      </c>
      <c r="F521" s="22" t="s">
        <v>8155</v>
      </c>
      <c r="G521" s="25"/>
      <c r="H521" s="22">
        <v>3.2733104406851E13</v>
      </c>
      <c r="I521" s="25"/>
      <c r="J521" s="25"/>
      <c r="K521" s="22">
        <v>4.9521175462211E13</v>
      </c>
      <c r="L521" s="25"/>
      <c r="M521" s="25"/>
      <c r="N521" s="22" t="s">
        <v>3918</v>
      </c>
      <c r="O521" s="22" t="s">
        <v>9838</v>
      </c>
      <c r="P521" s="22" t="s">
        <v>3918</v>
      </c>
      <c r="Q521" s="22" t="s">
        <v>9838</v>
      </c>
      <c r="R521" s="22" t="s">
        <v>9839</v>
      </c>
      <c r="S521" s="25"/>
      <c r="T521" s="40" t="s">
        <v>9840</v>
      </c>
      <c r="U521" s="22" t="s">
        <v>9841</v>
      </c>
      <c r="V521" s="25"/>
      <c r="W521" s="22" t="s">
        <v>9842</v>
      </c>
      <c r="X521" s="22" t="s">
        <v>8289</v>
      </c>
      <c r="Y521" s="25"/>
      <c r="Z521" s="25"/>
      <c r="AA521" s="22" t="s">
        <v>8129</v>
      </c>
      <c r="AB521" s="22" t="s">
        <v>8130</v>
      </c>
      <c r="AC521" s="25"/>
      <c r="AD521" s="22" t="s">
        <v>8161</v>
      </c>
      <c r="AE521" s="22" t="s">
        <v>8132</v>
      </c>
      <c r="AF521" s="25"/>
      <c r="AG521" s="22">
        <v>1.0452369113411E13</v>
      </c>
      <c r="AH521" s="22" t="s">
        <v>90</v>
      </c>
      <c r="AI521" s="22">
        <v>7.440586015043E12</v>
      </c>
      <c r="AJ521" s="25"/>
      <c r="AK521" s="25"/>
      <c r="AL521" s="22" t="s">
        <v>8173</v>
      </c>
      <c r="AQ521" s="32" t="s">
        <v>55</v>
      </c>
      <c r="AR521" s="32" t="b">
        <v>0</v>
      </c>
      <c r="AS521" s="32" t="b">
        <v>1</v>
      </c>
    </row>
    <row r="522">
      <c r="A522" s="21" t="s">
        <v>9837</v>
      </c>
      <c r="B522" s="24"/>
      <c r="C522" s="24"/>
      <c r="D522" s="22" t="s">
        <v>8221</v>
      </c>
      <c r="E522" s="24"/>
      <c r="F522" s="22" t="s">
        <v>8149</v>
      </c>
      <c r="G522" s="25"/>
      <c r="H522" s="22">
        <v>9.508389781827E12</v>
      </c>
      <c r="I522" s="25"/>
      <c r="J522" s="25"/>
      <c r="K522" s="24"/>
      <c r="L522" s="25"/>
      <c r="M522" s="25"/>
      <c r="N522" s="22" t="s">
        <v>3918</v>
      </c>
      <c r="O522" s="22" t="s">
        <v>9838</v>
      </c>
      <c r="P522" s="22" t="s">
        <v>3918</v>
      </c>
      <c r="Q522" s="22" t="s">
        <v>9838</v>
      </c>
      <c r="R522" s="22" t="s">
        <v>9839</v>
      </c>
      <c r="S522" s="25"/>
      <c r="T522" s="40" t="s">
        <v>9840</v>
      </c>
      <c r="U522" s="22" t="s">
        <v>9841</v>
      </c>
      <c r="V522" s="25"/>
      <c r="W522" s="22" t="s">
        <v>9842</v>
      </c>
      <c r="X522" s="22" t="s">
        <v>8289</v>
      </c>
      <c r="Y522" s="25"/>
      <c r="Z522" s="25"/>
      <c r="AA522" s="22" t="s">
        <v>8129</v>
      </c>
      <c r="AB522" s="22" t="s">
        <v>8130</v>
      </c>
      <c r="AC522" s="25"/>
      <c r="AD522" s="24"/>
      <c r="AE522" s="22" t="s">
        <v>8132</v>
      </c>
      <c r="AF522" s="25"/>
      <c r="AG522" s="22">
        <v>1.0452369113411E13</v>
      </c>
      <c r="AH522" s="22" t="s">
        <v>8137</v>
      </c>
      <c r="AI522" s="22">
        <v>7.440586015043E12</v>
      </c>
      <c r="AJ522" s="25"/>
      <c r="AK522" s="25"/>
      <c r="AL522" s="22" t="s">
        <v>8149</v>
      </c>
      <c r="AQ522" s="32"/>
      <c r="AR522" s="32" t="b">
        <v>0</v>
      </c>
      <c r="AS522" s="32" t="b">
        <v>0</v>
      </c>
    </row>
    <row r="523">
      <c r="A523" s="21" t="s">
        <v>9843</v>
      </c>
      <c r="B523" s="22" t="s">
        <v>8140</v>
      </c>
      <c r="C523" s="22">
        <v>1.0</v>
      </c>
      <c r="D523" s="22" t="s">
        <v>8221</v>
      </c>
      <c r="E523" s="22" t="s">
        <v>8140</v>
      </c>
      <c r="F523" s="22" t="s">
        <v>8121</v>
      </c>
      <c r="G523" s="25"/>
      <c r="H523" s="22">
        <v>3.2733157523779E13</v>
      </c>
      <c r="I523" s="25"/>
      <c r="J523" s="25"/>
      <c r="K523" s="22">
        <v>4.2085703581939E13</v>
      </c>
      <c r="L523" s="25"/>
      <c r="M523" s="25"/>
      <c r="N523" s="22" t="s">
        <v>5860</v>
      </c>
      <c r="O523" s="22" t="s">
        <v>9844</v>
      </c>
      <c r="P523" s="22" t="s">
        <v>5860</v>
      </c>
      <c r="Q523" s="22" t="s">
        <v>9844</v>
      </c>
      <c r="R523" s="22" t="s">
        <v>9845</v>
      </c>
      <c r="S523" s="25"/>
      <c r="T523" s="40" t="s">
        <v>9846</v>
      </c>
      <c r="U523" s="22" t="s">
        <v>9847</v>
      </c>
      <c r="V523" s="25"/>
      <c r="W523" s="22" t="s">
        <v>9848</v>
      </c>
      <c r="X523" s="22" t="s">
        <v>8251</v>
      </c>
      <c r="Y523" s="25"/>
      <c r="Z523" s="25"/>
      <c r="AA523" s="22" t="s">
        <v>8129</v>
      </c>
      <c r="AB523" s="22" t="s">
        <v>8130</v>
      </c>
      <c r="AC523" s="25"/>
      <c r="AD523" s="22" t="s">
        <v>8131</v>
      </c>
      <c r="AE523" s="22" t="s">
        <v>8132</v>
      </c>
      <c r="AF523" s="25"/>
      <c r="AG523" s="22">
        <v>1.0452390248771E13</v>
      </c>
      <c r="AH523" s="22" t="s">
        <v>90</v>
      </c>
      <c r="AI523" s="22">
        <v>7.432307867971E12</v>
      </c>
      <c r="AJ523" s="25"/>
      <c r="AK523" s="25"/>
      <c r="AL523" s="22" t="s">
        <v>8134</v>
      </c>
      <c r="AQ523" s="32" t="s">
        <v>8150</v>
      </c>
      <c r="AR523" s="32" t="b">
        <v>0</v>
      </c>
      <c r="AS523" s="32" t="b">
        <v>0</v>
      </c>
    </row>
    <row r="524">
      <c r="A524" s="21" t="s">
        <v>9843</v>
      </c>
      <c r="B524" s="24"/>
      <c r="C524" s="24"/>
      <c r="D524" s="22" t="s">
        <v>8221</v>
      </c>
      <c r="E524" s="24"/>
      <c r="F524" s="22" t="s">
        <v>8136</v>
      </c>
      <c r="G524" s="25"/>
      <c r="H524" s="22">
        <v>9.508409475395E12</v>
      </c>
      <c r="I524" s="25"/>
      <c r="J524" s="25"/>
      <c r="K524" s="24"/>
      <c r="L524" s="25"/>
      <c r="M524" s="25"/>
      <c r="N524" s="22" t="s">
        <v>5860</v>
      </c>
      <c r="O524" s="22" t="s">
        <v>9844</v>
      </c>
      <c r="P524" s="22" t="s">
        <v>5860</v>
      </c>
      <c r="Q524" s="22" t="s">
        <v>9844</v>
      </c>
      <c r="R524" s="22" t="s">
        <v>9845</v>
      </c>
      <c r="S524" s="25"/>
      <c r="T524" s="40" t="s">
        <v>9846</v>
      </c>
      <c r="U524" s="22" t="s">
        <v>9847</v>
      </c>
      <c r="V524" s="25"/>
      <c r="W524" s="22" t="s">
        <v>9848</v>
      </c>
      <c r="X524" s="22" t="s">
        <v>8251</v>
      </c>
      <c r="Y524" s="25"/>
      <c r="Z524" s="25"/>
      <c r="AA524" s="22" t="s">
        <v>8129</v>
      </c>
      <c r="AB524" s="22" t="s">
        <v>8130</v>
      </c>
      <c r="AC524" s="25"/>
      <c r="AD524" s="24"/>
      <c r="AE524" s="22" t="s">
        <v>8132</v>
      </c>
      <c r="AF524" s="25"/>
      <c r="AG524" s="22">
        <v>1.0452390248771E13</v>
      </c>
      <c r="AH524" s="22" t="s">
        <v>8137</v>
      </c>
      <c r="AI524" s="22">
        <v>7.432307867971E12</v>
      </c>
      <c r="AJ524" s="25"/>
      <c r="AK524" s="25"/>
      <c r="AL524" s="22" t="s">
        <v>8136</v>
      </c>
      <c r="AQ524" s="32"/>
      <c r="AR524" s="32" t="b">
        <v>0</v>
      </c>
      <c r="AS524" s="32" t="b">
        <v>0</v>
      </c>
    </row>
    <row r="525">
      <c r="A525" s="21" t="s">
        <v>9849</v>
      </c>
      <c r="B525" s="22" t="s">
        <v>8119</v>
      </c>
      <c r="C525" s="22">
        <v>1.0</v>
      </c>
      <c r="D525" s="22" t="s">
        <v>8254</v>
      </c>
      <c r="E525" s="22" t="s">
        <v>8119</v>
      </c>
      <c r="F525" s="22" t="s">
        <v>8121</v>
      </c>
      <c r="G525" s="25"/>
      <c r="H525" s="22">
        <v>3.2733191012675E13</v>
      </c>
      <c r="I525" s="25"/>
      <c r="J525" s="25"/>
      <c r="K525" s="22">
        <v>4.2085703549171E13</v>
      </c>
      <c r="L525" s="25"/>
      <c r="M525" s="25"/>
      <c r="N525" s="22" t="s">
        <v>9850</v>
      </c>
      <c r="O525" s="22" t="s">
        <v>4298</v>
      </c>
      <c r="P525" s="22" t="s">
        <v>9850</v>
      </c>
      <c r="Q525" s="22" t="s">
        <v>4298</v>
      </c>
      <c r="R525" s="22" t="s">
        <v>9851</v>
      </c>
      <c r="S525" s="25"/>
      <c r="T525" s="40" t="s">
        <v>9852</v>
      </c>
      <c r="U525" s="22" t="s">
        <v>9853</v>
      </c>
      <c r="V525" s="25"/>
      <c r="W525" s="22" t="s">
        <v>9854</v>
      </c>
      <c r="X525" s="22" t="s">
        <v>8128</v>
      </c>
      <c r="Y525" s="25"/>
      <c r="Z525" s="25"/>
      <c r="AA525" s="22" t="s">
        <v>8129</v>
      </c>
      <c r="AB525" s="22" t="s">
        <v>8130</v>
      </c>
      <c r="AC525" s="25"/>
      <c r="AD525" s="22" t="s">
        <v>8131</v>
      </c>
      <c r="AE525" s="22" t="s">
        <v>8132</v>
      </c>
      <c r="AF525" s="25"/>
      <c r="AG525" s="22">
        <v>1.0452403519811E13</v>
      </c>
      <c r="AH525" s="22" t="s">
        <v>90</v>
      </c>
      <c r="AI525" s="22">
        <v>7.480025121091E12</v>
      </c>
      <c r="AJ525" s="25"/>
      <c r="AK525" s="25"/>
      <c r="AL525" s="22" t="s">
        <v>8133</v>
      </c>
      <c r="AQ525" s="32" t="s">
        <v>8135</v>
      </c>
      <c r="AR525" s="32" t="b">
        <v>0</v>
      </c>
      <c r="AS525" s="32" t="b">
        <v>0</v>
      </c>
    </row>
    <row r="526">
      <c r="A526" s="21" t="s">
        <v>9849</v>
      </c>
      <c r="B526" s="25"/>
      <c r="C526" s="25"/>
      <c r="D526" s="22" t="s">
        <v>8254</v>
      </c>
      <c r="E526" s="25"/>
      <c r="F526" s="22" t="s">
        <v>8136</v>
      </c>
      <c r="G526" s="25"/>
      <c r="H526" s="22">
        <v>9.508421894467E12</v>
      </c>
      <c r="I526" s="25"/>
      <c r="J526" s="25"/>
      <c r="K526" s="25"/>
      <c r="L526" s="25"/>
      <c r="M526" s="25"/>
      <c r="N526" s="22" t="s">
        <v>9850</v>
      </c>
      <c r="O526" s="22" t="s">
        <v>4298</v>
      </c>
      <c r="P526" s="22" t="s">
        <v>9850</v>
      </c>
      <c r="Q526" s="22" t="s">
        <v>4298</v>
      </c>
      <c r="R526" s="22" t="s">
        <v>9851</v>
      </c>
      <c r="S526" s="25"/>
      <c r="T526" s="40" t="s">
        <v>9852</v>
      </c>
      <c r="U526" s="22" t="s">
        <v>9853</v>
      </c>
      <c r="V526" s="25"/>
      <c r="W526" s="22" t="s">
        <v>9854</v>
      </c>
      <c r="X526" s="22" t="s">
        <v>8128</v>
      </c>
      <c r="Y526" s="25"/>
      <c r="Z526" s="25"/>
      <c r="AA526" s="22" t="s">
        <v>8129</v>
      </c>
      <c r="AB526" s="22" t="s">
        <v>8130</v>
      </c>
      <c r="AC526" s="25"/>
      <c r="AD526" s="25"/>
      <c r="AE526" s="22" t="s">
        <v>8132</v>
      </c>
      <c r="AF526" s="25"/>
      <c r="AG526" s="22">
        <v>1.0452403519811E13</v>
      </c>
      <c r="AH526" s="22" t="s">
        <v>8137</v>
      </c>
      <c r="AI526" s="22">
        <v>7.480025121091E12</v>
      </c>
      <c r="AJ526" s="25"/>
      <c r="AK526" s="25"/>
      <c r="AL526" s="22" t="s">
        <v>8136</v>
      </c>
      <c r="AR526" s="32" t="b">
        <v>0</v>
      </c>
      <c r="AS526" s="32" t="b">
        <v>0</v>
      </c>
    </row>
    <row r="527">
      <c r="A527" s="21" t="s">
        <v>9855</v>
      </c>
      <c r="B527" s="22" t="s">
        <v>8370</v>
      </c>
      <c r="C527" s="22">
        <v>1.0</v>
      </c>
      <c r="D527" s="22" t="s">
        <v>8203</v>
      </c>
      <c r="E527" s="22" t="s">
        <v>8370</v>
      </c>
      <c r="F527" s="22" t="s">
        <v>8155</v>
      </c>
      <c r="G527" s="25"/>
      <c r="H527" s="22">
        <v>3.2733193306435E13</v>
      </c>
      <c r="I527" s="25"/>
      <c r="J527" s="25"/>
      <c r="K527" s="22">
        <v>4.9521175494979E13</v>
      </c>
      <c r="L527" s="25"/>
      <c r="M527" s="25"/>
      <c r="N527" s="22" t="s">
        <v>4597</v>
      </c>
      <c r="O527" s="22" t="s">
        <v>9856</v>
      </c>
      <c r="P527" s="22" t="s">
        <v>4597</v>
      </c>
      <c r="Q527" s="22" t="s">
        <v>9856</v>
      </c>
      <c r="R527" s="22" t="s">
        <v>9857</v>
      </c>
      <c r="S527" s="25"/>
      <c r="T527" s="40" t="s">
        <v>9858</v>
      </c>
      <c r="U527" s="22" t="s">
        <v>9859</v>
      </c>
      <c r="V527" s="25"/>
      <c r="W527" s="22" t="s">
        <v>9860</v>
      </c>
      <c r="X527" s="22" t="s">
        <v>9343</v>
      </c>
      <c r="Y527" s="25"/>
      <c r="Z527" s="25"/>
      <c r="AA527" s="22" t="s">
        <v>8129</v>
      </c>
      <c r="AB527" s="22" t="s">
        <v>8130</v>
      </c>
      <c r="AC527" s="25"/>
      <c r="AD527" s="22" t="s">
        <v>8161</v>
      </c>
      <c r="AE527" s="22" t="s">
        <v>8132</v>
      </c>
      <c r="AF527" s="25"/>
      <c r="AG527" s="22">
        <v>1.0452404470083E13</v>
      </c>
      <c r="AH527" s="22" t="s">
        <v>90</v>
      </c>
      <c r="AI527" s="22">
        <v>8.569049710915E12</v>
      </c>
      <c r="AJ527" s="25"/>
      <c r="AK527" s="25"/>
      <c r="AL527" s="22" t="s">
        <v>8138</v>
      </c>
      <c r="AQ527" s="32" t="s">
        <v>91</v>
      </c>
      <c r="AR527" s="32" t="b">
        <v>0</v>
      </c>
      <c r="AS527" s="32" t="b">
        <v>1</v>
      </c>
    </row>
    <row r="528">
      <c r="A528" s="21" t="s">
        <v>9855</v>
      </c>
      <c r="B528" s="25"/>
      <c r="C528" s="25"/>
      <c r="D528" s="22" t="s">
        <v>8203</v>
      </c>
      <c r="E528" s="25"/>
      <c r="F528" s="22" t="s">
        <v>8149</v>
      </c>
      <c r="G528" s="25"/>
      <c r="H528" s="22">
        <v>9.508422844739E12</v>
      </c>
      <c r="I528" s="25"/>
      <c r="J528" s="25"/>
      <c r="K528" s="25"/>
      <c r="L528" s="25"/>
      <c r="M528" s="25"/>
      <c r="N528" s="22" t="s">
        <v>4597</v>
      </c>
      <c r="O528" s="22" t="s">
        <v>9856</v>
      </c>
      <c r="P528" s="22" t="s">
        <v>4597</v>
      </c>
      <c r="Q528" s="22" t="s">
        <v>9856</v>
      </c>
      <c r="R528" s="22" t="s">
        <v>9857</v>
      </c>
      <c r="S528" s="25"/>
      <c r="T528" s="40" t="s">
        <v>9858</v>
      </c>
      <c r="U528" s="22" t="s">
        <v>9859</v>
      </c>
      <c r="V528" s="25"/>
      <c r="W528" s="22" t="s">
        <v>9860</v>
      </c>
      <c r="X528" s="22" t="s">
        <v>9343</v>
      </c>
      <c r="Y528" s="25"/>
      <c r="Z528" s="25"/>
      <c r="AA528" s="22" t="s">
        <v>8129</v>
      </c>
      <c r="AB528" s="22" t="s">
        <v>8130</v>
      </c>
      <c r="AC528" s="25"/>
      <c r="AD528" s="25"/>
      <c r="AE528" s="22" t="s">
        <v>8132</v>
      </c>
      <c r="AF528" s="25"/>
      <c r="AG528" s="22">
        <v>1.0452404470083E13</v>
      </c>
      <c r="AH528" s="22" t="s">
        <v>8137</v>
      </c>
      <c r="AI528" s="22">
        <v>8.569049710915E12</v>
      </c>
      <c r="AJ528" s="25"/>
      <c r="AK528" s="25"/>
      <c r="AL528" s="22" t="s">
        <v>8149</v>
      </c>
      <c r="AR528" s="32" t="b">
        <v>0</v>
      </c>
      <c r="AS528" s="32" t="b">
        <v>0</v>
      </c>
    </row>
    <row r="529">
      <c r="A529" s="21" t="s">
        <v>9861</v>
      </c>
      <c r="B529" s="22" t="s">
        <v>8140</v>
      </c>
      <c r="C529" s="22">
        <v>1.0</v>
      </c>
      <c r="D529" s="22" t="s">
        <v>8141</v>
      </c>
      <c r="E529" s="22" t="s">
        <v>8140</v>
      </c>
      <c r="F529" s="22" t="s">
        <v>8121</v>
      </c>
      <c r="G529" s="25"/>
      <c r="H529" s="22">
        <v>3.2732350579011E13</v>
      </c>
      <c r="I529" s="25"/>
      <c r="J529" s="25"/>
      <c r="K529" s="22">
        <v>4.2085703581939E13</v>
      </c>
      <c r="L529" s="25"/>
      <c r="M529" s="25"/>
      <c r="N529" s="22" t="s">
        <v>9862</v>
      </c>
      <c r="O529" s="22" t="s">
        <v>9863</v>
      </c>
      <c r="P529" s="22" t="s">
        <v>9862</v>
      </c>
      <c r="Q529" s="22" t="s">
        <v>9863</v>
      </c>
      <c r="R529" s="22" t="s">
        <v>9864</v>
      </c>
      <c r="S529" s="25"/>
      <c r="T529" s="40" t="s">
        <v>9865</v>
      </c>
      <c r="U529" s="22" t="s">
        <v>9866</v>
      </c>
      <c r="V529" s="24"/>
      <c r="W529" s="22" t="s">
        <v>9867</v>
      </c>
      <c r="X529" s="22" t="s">
        <v>8251</v>
      </c>
      <c r="Y529" s="25"/>
      <c r="Z529" s="25"/>
      <c r="AA529" s="22" t="s">
        <v>8129</v>
      </c>
      <c r="AB529" s="22" t="s">
        <v>8130</v>
      </c>
      <c r="AC529" s="25"/>
      <c r="AD529" s="22" t="s">
        <v>8131</v>
      </c>
      <c r="AE529" s="22" t="s">
        <v>8132</v>
      </c>
      <c r="AF529" s="25"/>
      <c r="AG529" s="22">
        <v>1.0452043399491E13</v>
      </c>
      <c r="AH529" s="22" t="s">
        <v>90</v>
      </c>
      <c r="AI529" s="22">
        <v>7.475351716163E12</v>
      </c>
      <c r="AJ529" s="25"/>
      <c r="AK529" s="25"/>
      <c r="AL529" s="22" t="s">
        <v>8134</v>
      </c>
      <c r="AQ529" s="32" t="s">
        <v>8150</v>
      </c>
      <c r="AR529" s="32" t="b">
        <v>0</v>
      </c>
      <c r="AS529" s="32" t="b">
        <v>0</v>
      </c>
    </row>
    <row r="530">
      <c r="A530" s="21" t="s">
        <v>9861</v>
      </c>
      <c r="B530" s="25"/>
      <c r="C530" s="25"/>
      <c r="D530" s="22" t="s">
        <v>8141</v>
      </c>
      <c r="E530" s="25"/>
      <c r="F530" s="22" t="s">
        <v>8136</v>
      </c>
      <c r="G530" s="25"/>
      <c r="H530" s="22">
        <v>9.508087267651E12</v>
      </c>
      <c r="I530" s="25"/>
      <c r="J530" s="25"/>
      <c r="K530" s="25"/>
      <c r="L530" s="25"/>
      <c r="M530" s="25"/>
      <c r="N530" s="22" t="s">
        <v>9862</v>
      </c>
      <c r="O530" s="22" t="s">
        <v>9863</v>
      </c>
      <c r="P530" s="22" t="s">
        <v>9862</v>
      </c>
      <c r="Q530" s="22" t="s">
        <v>9863</v>
      </c>
      <c r="R530" s="22" t="s">
        <v>9864</v>
      </c>
      <c r="S530" s="25"/>
      <c r="T530" s="40" t="s">
        <v>9865</v>
      </c>
      <c r="U530" s="22" t="s">
        <v>9866</v>
      </c>
      <c r="V530" s="24"/>
      <c r="W530" s="22" t="s">
        <v>9867</v>
      </c>
      <c r="X530" s="22" t="s">
        <v>8251</v>
      </c>
      <c r="Y530" s="25"/>
      <c r="Z530" s="25"/>
      <c r="AA530" s="22" t="s">
        <v>8129</v>
      </c>
      <c r="AB530" s="22" t="s">
        <v>8130</v>
      </c>
      <c r="AC530" s="25"/>
      <c r="AD530" s="25"/>
      <c r="AE530" s="22" t="s">
        <v>8132</v>
      </c>
      <c r="AF530" s="25"/>
      <c r="AG530" s="22">
        <v>1.0452043399491E13</v>
      </c>
      <c r="AH530" s="22" t="s">
        <v>8137</v>
      </c>
      <c r="AI530" s="22">
        <v>7.475351716163E12</v>
      </c>
      <c r="AJ530" s="25"/>
      <c r="AK530" s="25"/>
      <c r="AL530" s="22" t="s">
        <v>8136</v>
      </c>
      <c r="AR530" s="32" t="b">
        <v>0</v>
      </c>
      <c r="AS530" s="32" t="b">
        <v>0</v>
      </c>
    </row>
    <row r="531">
      <c r="A531" s="21" t="s">
        <v>9868</v>
      </c>
      <c r="B531" s="22" t="s">
        <v>8140</v>
      </c>
      <c r="C531" s="22">
        <v>1.0</v>
      </c>
      <c r="D531" s="22" t="s">
        <v>8221</v>
      </c>
      <c r="E531" s="22" t="s">
        <v>8140</v>
      </c>
      <c r="F531" s="22" t="s">
        <v>8121</v>
      </c>
      <c r="G531" s="25"/>
      <c r="H531" s="22">
        <v>3.2731086782787E13</v>
      </c>
      <c r="I531" s="25"/>
      <c r="J531" s="25"/>
      <c r="K531" s="22">
        <v>4.2085703581939E13</v>
      </c>
      <c r="L531" s="25"/>
      <c r="M531" s="25"/>
      <c r="N531" s="22" t="s">
        <v>4441</v>
      </c>
      <c r="O531" s="22" t="s">
        <v>3815</v>
      </c>
      <c r="P531" s="22" t="s">
        <v>4441</v>
      </c>
      <c r="Q531" s="22" t="s">
        <v>3815</v>
      </c>
      <c r="R531" s="22" t="s">
        <v>9869</v>
      </c>
      <c r="S531" s="24"/>
      <c r="T531" s="40" t="s">
        <v>9870</v>
      </c>
      <c r="U531" s="22" t="s">
        <v>9871</v>
      </c>
      <c r="V531" s="22">
        <v>19.0</v>
      </c>
      <c r="W531" s="22" t="s">
        <v>9872</v>
      </c>
      <c r="X531" s="22" t="s">
        <v>9873</v>
      </c>
      <c r="Y531" s="25"/>
      <c r="Z531" s="25"/>
      <c r="AA531" s="22" t="s">
        <v>8129</v>
      </c>
      <c r="AB531" s="22" t="s">
        <v>8130</v>
      </c>
      <c r="AC531" s="25"/>
      <c r="AD531" s="22" t="s">
        <v>8131</v>
      </c>
      <c r="AE531" s="22" t="s">
        <v>8132</v>
      </c>
      <c r="AF531" s="25"/>
      <c r="AG531" s="22">
        <v>1.0451484082499E13</v>
      </c>
      <c r="AH531" s="22" t="s">
        <v>90</v>
      </c>
      <c r="AI531" s="22">
        <v>8.621936181571E12</v>
      </c>
      <c r="AJ531" s="25"/>
      <c r="AK531" s="25"/>
      <c r="AL531" s="22" t="s">
        <v>8134</v>
      </c>
      <c r="AQ531" s="32" t="s">
        <v>8150</v>
      </c>
      <c r="AR531" s="32" t="b">
        <v>0</v>
      </c>
      <c r="AS531" s="32" t="b">
        <v>0</v>
      </c>
    </row>
    <row r="532">
      <c r="A532" s="21" t="s">
        <v>9868</v>
      </c>
      <c r="B532" s="25"/>
      <c r="C532" s="25"/>
      <c r="D532" s="22" t="s">
        <v>8221</v>
      </c>
      <c r="E532" s="25"/>
      <c r="F532" s="22" t="s">
        <v>8136</v>
      </c>
      <c r="G532" s="25"/>
      <c r="H532" s="22">
        <v>9.507611017539E12</v>
      </c>
      <c r="I532" s="25"/>
      <c r="J532" s="25"/>
      <c r="K532" s="25"/>
      <c r="L532" s="25"/>
      <c r="M532" s="25"/>
      <c r="N532" s="22" t="s">
        <v>4441</v>
      </c>
      <c r="O532" s="22" t="s">
        <v>3815</v>
      </c>
      <c r="P532" s="22" t="s">
        <v>4441</v>
      </c>
      <c r="Q532" s="22" t="s">
        <v>3815</v>
      </c>
      <c r="R532" s="22" t="s">
        <v>9869</v>
      </c>
      <c r="S532" s="24"/>
      <c r="T532" s="40" t="s">
        <v>9870</v>
      </c>
      <c r="U532" s="22" t="s">
        <v>9871</v>
      </c>
      <c r="V532" s="22">
        <v>19.0</v>
      </c>
      <c r="W532" s="22" t="s">
        <v>9872</v>
      </c>
      <c r="X532" s="22" t="s">
        <v>9873</v>
      </c>
      <c r="Y532" s="25"/>
      <c r="Z532" s="25"/>
      <c r="AA532" s="22" t="s">
        <v>8129</v>
      </c>
      <c r="AB532" s="22" t="s">
        <v>8130</v>
      </c>
      <c r="AC532" s="25"/>
      <c r="AD532" s="25"/>
      <c r="AE532" s="22" t="s">
        <v>8132</v>
      </c>
      <c r="AF532" s="25"/>
      <c r="AG532" s="22">
        <v>1.0451484082499E13</v>
      </c>
      <c r="AH532" s="22" t="s">
        <v>8137</v>
      </c>
      <c r="AI532" s="22">
        <v>8.621936181571E12</v>
      </c>
      <c r="AJ532" s="25"/>
      <c r="AK532" s="25"/>
      <c r="AL532" s="22" t="s">
        <v>8136</v>
      </c>
      <c r="AR532" s="32" t="b">
        <v>0</v>
      </c>
      <c r="AS532" s="32" t="b">
        <v>0</v>
      </c>
    </row>
    <row r="533">
      <c r="A533" s="21" t="s">
        <v>9874</v>
      </c>
      <c r="B533" s="22" t="s">
        <v>8140</v>
      </c>
      <c r="C533" s="22">
        <v>1.0</v>
      </c>
      <c r="D533" s="22" t="s">
        <v>8141</v>
      </c>
      <c r="E533" s="22" t="s">
        <v>8140</v>
      </c>
      <c r="F533" s="22" t="s">
        <v>8121</v>
      </c>
      <c r="G533" s="25"/>
      <c r="H533" s="22">
        <v>3.2732815032643E13</v>
      </c>
      <c r="I533" s="25"/>
      <c r="J533" s="25"/>
      <c r="K533" s="22">
        <v>4.2085703581939E13</v>
      </c>
      <c r="L533" s="25"/>
      <c r="M533" s="25"/>
      <c r="N533" s="22" t="s">
        <v>5181</v>
      </c>
      <c r="O533" s="22" t="s">
        <v>6026</v>
      </c>
      <c r="P533" s="22" t="s">
        <v>5181</v>
      </c>
      <c r="Q533" s="22" t="s">
        <v>6026</v>
      </c>
      <c r="R533" s="22" t="s">
        <v>9875</v>
      </c>
      <c r="S533" s="25"/>
      <c r="T533" s="40" t="s">
        <v>9876</v>
      </c>
      <c r="U533" s="22" t="s">
        <v>9877</v>
      </c>
      <c r="V533" s="25"/>
      <c r="W533" s="22" t="s">
        <v>9878</v>
      </c>
      <c r="X533" s="22" t="s">
        <v>8663</v>
      </c>
      <c r="Y533" s="25"/>
      <c r="Z533" s="25"/>
      <c r="AA533" s="22" t="s">
        <v>8129</v>
      </c>
      <c r="AB533" s="22" t="s">
        <v>8130</v>
      </c>
      <c r="AC533" s="25"/>
      <c r="AD533" s="22" t="s">
        <v>8131</v>
      </c>
      <c r="AE533" s="22" t="s">
        <v>8132</v>
      </c>
      <c r="AF533" s="25"/>
      <c r="AG533" s="22">
        <v>1.0452245512515E13</v>
      </c>
      <c r="AH533" s="22" t="s">
        <v>90</v>
      </c>
      <c r="AI533" s="22">
        <v>7.456056082755E12</v>
      </c>
      <c r="AJ533" s="25"/>
      <c r="AK533" s="25"/>
      <c r="AL533" s="22" t="s">
        <v>8134</v>
      </c>
      <c r="AQ533" s="32" t="s">
        <v>8150</v>
      </c>
      <c r="AR533" s="32" t="b">
        <v>0</v>
      </c>
      <c r="AS533" s="32" t="b">
        <v>0</v>
      </c>
    </row>
    <row r="534">
      <c r="A534" s="21" t="s">
        <v>9874</v>
      </c>
      <c r="B534" s="25"/>
      <c r="C534" s="25"/>
      <c r="D534" s="22" t="s">
        <v>8141</v>
      </c>
      <c r="E534" s="25"/>
      <c r="F534" s="22" t="s">
        <v>8136</v>
      </c>
      <c r="G534" s="25"/>
      <c r="H534" s="22">
        <v>9.508272734531E12</v>
      </c>
      <c r="I534" s="25"/>
      <c r="J534" s="25"/>
      <c r="K534" s="25"/>
      <c r="L534" s="25"/>
      <c r="M534" s="25"/>
      <c r="N534" s="22" t="s">
        <v>5181</v>
      </c>
      <c r="O534" s="22" t="s">
        <v>6026</v>
      </c>
      <c r="P534" s="22" t="s">
        <v>5181</v>
      </c>
      <c r="Q534" s="22" t="s">
        <v>6026</v>
      </c>
      <c r="R534" s="22" t="s">
        <v>9875</v>
      </c>
      <c r="S534" s="25"/>
      <c r="T534" s="40" t="s">
        <v>9876</v>
      </c>
      <c r="U534" s="22" t="s">
        <v>9877</v>
      </c>
      <c r="V534" s="25"/>
      <c r="W534" s="22" t="s">
        <v>9878</v>
      </c>
      <c r="X534" s="22" t="s">
        <v>8663</v>
      </c>
      <c r="Y534" s="25"/>
      <c r="Z534" s="25"/>
      <c r="AA534" s="22" t="s">
        <v>8129</v>
      </c>
      <c r="AB534" s="22" t="s">
        <v>8130</v>
      </c>
      <c r="AC534" s="25"/>
      <c r="AD534" s="25"/>
      <c r="AE534" s="22" t="s">
        <v>8132</v>
      </c>
      <c r="AF534" s="25"/>
      <c r="AG534" s="22">
        <v>1.0452245512515E13</v>
      </c>
      <c r="AH534" s="22" t="s">
        <v>8137</v>
      </c>
      <c r="AI534" s="22">
        <v>7.456056082755E12</v>
      </c>
      <c r="AJ534" s="25"/>
      <c r="AK534" s="25"/>
      <c r="AL534" s="22" t="s">
        <v>8136</v>
      </c>
      <c r="AR534" s="32" t="b">
        <v>0</v>
      </c>
      <c r="AS534" s="32" t="b">
        <v>0</v>
      </c>
    </row>
    <row r="535">
      <c r="A535" s="21" t="s">
        <v>9879</v>
      </c>
      <c r="B535" s="22" t="s">
        <v>8429</v>
      </c>
      <c r="C535" s="22">
        <v>1.0</v>
      </c>
      <c r="D535" s="22" t="s">
        <v>8278</v>
      </c>
      <c r="E535" s="22" t="s">
        <v>8429</v>
      </c>
      <c r="F535" s="22" t="s">
        <v>8155</v>
      </c>
      <c r="G535" s="25"/>
      <c r="H535" s="22">
        <v>3.2733356032323E13</v>
      </c>
      <c r="I535" s="25"/>
      <c r="J535" s="25"/>
      <c r="K535" s="22">
        <v>4.9521175527747E13</v>
      </c>
      <c r="L535" s="25"/>
      <c r="M535" s="25"/>
      <c r="N535" s="22" t="s">
        <v>9880</v>
      </c>
      <c r="O535" s="22" t="s">
        <v>9881</v>
      </c>
      <c r="P535" s="22" t="s">
        <v>9880</v>
      </c>
      <c r="Q535" s="22" t="s">
        <v>9881</v>
      </c>
      <c r="R535" s="22" t="s">
        <v>9882</v>
      </c>
      <c r="S535" s="25"/>
      <c r="T535" s="40" t="s">
        <v>9883</v>
      </c>
      <c r="U535" s="22" t="s">
        <v>9884</v>
      </c>
      <c r="V535" s="25"/>
      <c r="W535" s="22" t="s">
        <v>9885</v>
      </c>
      <c r="X535" s="22" t="s">
        <v>8276</v>
      </c>
      <c r="Y535" s="25"/>
      <c r="Z535" s="25"/>
      <c r="AA535" s="22" t="s">
        <v>8129</v>
      </c>
      <c r="AB535" s="22" t="s">
        <v>8130</v>
      </c>
      <c r="AC535" s="25"/>
      <c r="AD535" s="22" t="s">
        <v>8161</v>
      </c>
      <c r="AE535" s="22" t="s">
        <v>8132</v>
      </c>
      <c r="AF535" s="25"/>
      <c r="AG535" s="22">
        <v>1.0452469121347E13</v>
      </c>
      <c r="AH535" s="22" t="s">
        <v>90</v>
      </c>
      <c r="AI535" s="22">
        <v>7.472436478275E12</v>
      </c>
      <c r="AJ535" s="25"/>
      <c r="AK535" s="25"/>
      <c r="AL535" s="22" t="s">
        <v>8201</v>
      </c>
      <c r="AQ535" s="32" t="s">
        <v>95</v>
      </c>
      <c r="AR535" s="32" t="b">
        <v>0</v>
      </c>
      <c r="AS535" s="32" t="b">
        <v>1</v>
      </c>
    </row>
    <row r="536">
      <c r="A536" s="21" t="s">
        <v>9879</v>
      </c>
      <c r="B536" s="25"/>
      <c r="C536" s="25"/>
      <c r="D536" s="22" t="s">
        <v>8278</v>
      </c>
      <c r="E536" s="25"/>
      <c r="F536" s="22" t="s">
        <v>8149</v>
      </c>
      <c r="G536" s="25"/>
      <c r="H536" s="22">
        <v>9.508484317507E12</v>
      </c>
      <c r="I536" s="25"/>
      <c r="J536" s="25"/>
      <c r="K536" s="25"/>
      <c r="L536" s="25"/>
      <c r="M536" s="25"/>
      <c r="N536" s="22" t="s">
        <v>9880</v>
      </c>
      <c r="O536" s="22" t="s">
        <v>9881</v>
      </c>
      <c r="P536" s="22" t="s">
        <v>9880</v>
      </c>
      <c r="Q536" s="22" t="s">
        <v>9881</v>
      </c>
      <c r="R536" s="22" t="s">
        <v>9882</v>
      </c>
      <c r="S536" s="25"/>
      <c r="T536" s="40" t="s">
        <v>9883</v>
      </c>
      <c r="U536" s="22" t="s">
        <v>9884</v>
      </c>
      <c r="V536" s="25"/>
      <c r="W536" s="22" t="s">
        <v>9885</v>
      </c>
      <c r="X536" s="22" t="s">
        <v>8276</v>
      </c>
      <c r="Y536" s="25"/>
      <c r="Z536" s="25"/>
      <c r="AA536" s="22" t="s">
        <v>8129</v>
      </c>
      <c r="AB536" s="22" t="s">
        <v>8130</v>
      </c>
      <c r="AC536" s="25"/>
      <c r="AD536" s="25"/>
      <c r="AE536" s="22" t="s">
        <v>8132</v>
      </c>
      <c r="AF536" s="25"/>
      <c r="AG536" s="22">
        <v>1.0452469121347E13</v>
      </c>
      <c r="AH536" s="22" t="s">
        <v>8137</v>
      </c>
      <c r="AI536" s="22">
        <v>7.472436478275E12</v>
      </c>
      <c r="AJ536" s="25"/>
      <c r="AK536" s="25"/>
      <c r="AL536" s="22" t="s">
        <v>8149</v>
      </c>
      <c r="AR536" s="32" t="b">
        <v>0</v>
      </c>
      <c r="AS536" s="32" t="b">
        <v>0</v>
      </c>
    </row>
    <row r="537">
      <c r="A537" s="21" t="s">
        <v>9886</v>
      </c>
      <c r="B537" s="22" t="s">
        <v>8119</v>
      </c>
      <c r="C537" s="22">
        <v>1.0</v>
      </c>
      <c r="D537" s="22" t="s">
        <v>8175</v>
      </c>
      <c r="E537" s="22" t="s">
        <v>8119</v>
      </c>
      <c r="F537" s="22" t="s">
        <v>8121</v>
      </c>
      <c r="G537" s="22" t="s">
        <v>89</v>
      </c>
      <c r="H537" s="22">
        <v>3.2733674340675E13</v>
      </c>
      <c r="I537" s="22" t="s">
        <v>89</v>
      </c>
      <c r="J537" s="25"/>
      <c r="K537" s="22">
        <v>4.2085703549171E13</v>
      </c>
      <c r="L537" s="25"/>
      <c r="M537" s="25"/>
      <c r="N537" s="22" t="s">
        <v>3984</v>
      </c>
      <c r="O537" s="22" t="s">
        <v>9887</v>
      </c>
      <c r="P537" s="22" t="s">
        <v>3984</v>
      </c>
      <c r="Q537" s="22" t="s">
        <v>9887</v>
      </c>
      <c r="R537" s="22" t="s">
        <v>9888</v>
      </c>
      <c r="S537" s="25"/>
      <c r="T537" s="40" t="s">
        <v>9889</v>
      </c>
      <c r="U537" s="22" t="s">
        <v>9890</v>
      </c>
      <c r="V537" s="22" t="s">
        <v>9891</v>
      </c>
      <c r="W537" s="22" t="s">
        <v>9892</v>
      </c>
      <c r="X537" s="22" t="s">
        <v>8251</v>
      </c>
      <c r="Y537" s="25"/>
      <c r="Z537" s="25"/>
      <c r="AA537" s="22" t="s">
        <v>8129</v>
      </c>
      <c r="AB537" s="22" t="s">
        <v>8130</v>
      </c>
      <c r="AC537" s="25"/>
      <c r="AD537" s="22" t="s">
        <v>8131</v>
      </c>
      <c r="AE537" s="22" t="s">
        <v>8132</v>
      </c>
      <c r="AF537" s="25"/>
      <c r="AG537" s="22">
        <v>1.0452599800131E13</v>
      </c>
      <c r="AH537" s="22" t="s">
        <v>90</v>
      </c>
      <c r="AI537" s="22">
        <v>8.530752307523E12</v>
      </c>
      <c r="AJ537" s="25"/>
      <c r="AK537" s="25"/>
      <c r="AL537" s="22" t="s">
        <v>8133</v>
      </c>
      <c r="AQ537" s="32" t="s">
        <v>8135</v>
      </c>
      <c r="AR537" s="32" t="b">
        <v>0</v>
      </c>
      <c r="AS537" s="32" t="b">
        <v>0</v>
      </c>
    </row>
    <row r="538">
      <c r="A538" s="21" t="s">
        <v>9886</v>
      </c>
      <c r="B538" s="24"/>
      <c r="C538" s="24"/>
      <c r="D538" s="22" t="s">
        <v>8175</v>
      </c>
      <c r="E538" s="24"/>
      <c r="F538" s="22" t="s">
        <v>8136</v>
      </c>
      <c r="G538" s="25"/>
      <c r="H538" s="22">
        <v>9.508607525187E12</v>
      </c>
      <c r="I538" s="22" t="s">
        <v>89</v>
      </c>
      <c r="J538" s="25"/>
      <c r="K538" s="24"/>
      <c r="L538" s="25"/>
      <c r="M538" s="25"/>
      <c r="N538" s="22" t="s">
        <v>3984</v>
      </c>
      <c r="O538" s="22" t="s">
        <v>9887</v>
      </c>
      <c r="P538" s="22" t="s">
        <v>3984</v>
      </c>
      <c r="Q538" s="22" t="s">
        <v>9887</v>
      </c>
      <c r="R538" s="22" t="s">
        <v>9888</v>
      </c>
      <c r="S538" s="25"/>
      <c r="T538" s="40" t="s">
        <v>9889</v>
      </c>
      <c r="U538" s="22" t="s">
        <v>9890</v>
      </c>
      <c r="V538" s="22" t="s">
        <v>9891</v>
      </c>
      <c r="W538" s="22" t="s">
        <v>9892</v>
      </c>
      <c r="X538" s="22" t="s">
        <v>8251</v>
      </c>
      <c r="Y538" s="25"/>
      <c r="Z538" s="25"/>
      <c r="AA538" s="22" t="s">
        <v>8129</v>
      </c>
      <c r="AB538" s="22" t="s">
        <v>8130</v>
      </c>
      <c r="AC538" s="25"/>
      <c r="AD538" s="24"/>
      <c r="AE538" s="22" t="s">
        <v>8132</v>
      </c>
      <c r="AF538" s="25"/>
      <c r="AG538" s="22">
        <v>1.0452599800131E13</v>
      </c>
      <c r="AH538" s="22" t="s">
        <v>8137</v>
      </c>
      <c r="AI538" s="22">
        <v>8.530752307523E12</v>
      </c>
      <c r="AJ538" s="25"/>
      <c r="AK538" s="25"/>
      <c r="AL538" s="22" t="s">
        <v>8136</v>
      </c>
      <c r="AQ538" s="32"/>
      <c r="AR538" s="32" t="b">
        <v>0</v>
      </c>
      <c r="AS538" s="32" t="b">
        <v>0</v>
      </c>
    </row>
    <row r="539">
      <c r="A539" s="21" t="s">
        <v>9886</v>
      </c>
      <c r="B539" s="22" t="s">
        <v>8119</v>
      </c>
      <c r="C539" s="22">
        <v>-1.0</v>
      </c>
      <c r="D539" s="22" t="s">
        <v>8175</v>
      </c>
      <c r="E539" s="22" t="s">
        <v>8119</v>
      </c>
      <c r="F539" s="22" t="s">
        <v>8121</v>
      </c>
      <c r="G539" s="22" t="s">
        <v>89</v>
      </c>
      <c r="H539" s="22">
        <v>3.2733674340675E13</v>
      </c>
      <c r="I539" s="22" t="s">
        <v>89</v>
      </c>
      <c r="J539" s="25"/>
      <c r="K539" s="22">
        <v>4.2085703549171E13</v>
      </c>
      <c r="L539" s="22" t="s">
        <v>9893</v>
      </c>
      <c r="M539" s="35" t="s">
        <v>9894</v>
      </c>
      <c r="N539" s="22" t="s">
        <v>3984</v>
      </c>
      <c r="O539" s="22" t="s">
        <v>9887</v>
      </c>
      <c r="P539" s="22" t="s">
        <v>3984</v>
      </c>
      <c r="Q539" s="22" t="s">
        <v>9887</v>
      </c>
      <c r="R539" s="22" t="s">
        <v>9888</v>
      </c>
      <c r="S539" s="25"/>
      <c r="T539" s="40" t="s">
        <v>9889</v>
      </c>
      <c r="U539" s="22" t="s">
        <v>9890</v>
      </c>
      <c r="V539" s="22" t="s">
        <v>9891</v>
      </c>
      <c r="W539" s="22" t="s">
        <v>9892</v>
      </c>
      <c r="X539" s="22" t="s">
        <v>8251</v>
      </c>
      <c r="Y539" s="25"/>
      <c r="Z539" s="25"/>
      <c r="AA539" s="22" t="s">
        <v>8129</v>
      </c>
      <c r="AB539" s="22" t="s">
        <v>8130</v>
      </c>
      <c r="AC539" s="25"/>
      <c r="AD539" s="22" t="s">
        <v>8131</v>
      </c>
      <c r="AE539" s="22" t="s">
        <v>8132</v>
      </c>
      <c r="AF539" s="25"/>
      <c r="AG539" s="22">
        <v>1.0452599800131E13</v>
      </c>
      <c r="AH539" s="22" t="s">
        <v>8184</v>
      </c>
      <c r="AI539" s="22">
        <v>8.530752307523E12</v>
      </c>
      <c r="AJ539" s="25"/>
      <c r="AK539" s="22">
        <v>6.712562647363E12</v>
      </c>
      <c r="AL539" s="22" t="s">
        <v>8133</v>
      </c>
      <c r="AQ539" s="32" t="s">
        <v>8135</v>
      </c>
      <c r="AR539" s="32" t="b">
        <v>0</v>
      </c>
      <c r="AS539" s="32" t="b">
        <v>0</v>
      </c>
    </row>
    <row r="540">
      <c r="A540" s="21" t="s">
        <v>9886</v>
      </c>
      <c r="B540" s="22" t="s">
        <v>8119</v>
      </c>
      <c r="C540" s="22">
        <v>-1.0</v>
      </c>
      <c r="D540" s="22" t="s">
        <v>8175</v>
      </c>
      <c r="E540" s="22" t="s">
        <v>8119</v>
      </c>
      <c r="F540" s="22" t="s">
        <v>8121</v>
      </c>
      <c r="G540" s="22" t="s">
        <v>89</v>
      </c>
      <c r="H540" s="22">
        <v>3.2733674340675E13</v>
      </c>
      <c r="I540" s="22" t="s">
        <v>89</v>
      </c>
      <c r="J540" s="25"/>
      <c r="K540" s="22">
        <v>4.2085703549171E13</v>
      </c>
      <c r="L540" s="22" t="s">
        <v>8182</v>
      </c>
      <c r="M540" s="35" t="s">
        <v>9895</v>
      </c>
      <c r="N540" s="22" t="s">
        <v>3984</v>
      </c>
      <c r="O540" s="22" t="s">
        <v>9887</v>
      </c>
      <c r="P540" s="22" t="s">
        <v>3984</v>
      </c>
      <c r="Q540" s="22" t="s">
        <v>9887</v>
      </c>
      <c r="R540" s="22" t="s">
        <v>9888</v>
      </c>
      <c r="S540" s="25"/>
      <c r="T540" s="40" t="s">
        <v>9889</v>
      </c>
      <c r="U540" s="22" t="s">
        <v>9890</v>
      </c>
      <c r="V540" s="22" t="s">
        <v>9891</v>
      </c>
      <c r="W540" s="22" t="s">
        <v>9892</v>
      </c>
      <c r="X540" s="22" t="s">
        <v>8251</v>
      </c>
      <c r="Y540" s="25"/>
      <c r="Z540" s="25"/>
      <c r="AA540" s="22" t="s">
        <v>8129</v>
      </c>
      <c r="AB540" s="22" t="s">
        <v>8130</v>
      </c>
      <c r="AC540" s="25"/>
      <c r="AD540" s="22" t="s">
        <v>8131</v>
      </c>
      <c r="AE540" s="22" t="s">
        <v>8132</v>
      </c>
      <c r="AF540" s="25"/>
      <c r="AG540" s="22">
        <v>1.0452599800131E13</v>
      </c>
      <c r="AH540" s="22" t="s">
        <v>8184</v>
      </c>
      <c r="AI540" s="22">
        <v>8.530752307523E12</v>
      </c>
      <c r="AJ540" s="25"/>
      <c r="AK540" s="22">
        <v>6.714599342403E12</v>
      </c>
      <c r="AL540" s="22" t="s">
        <v>8133</v>
      </c>
      <c r="AQ540" s="32" t="s">
        <v>8135</v>
      </c>
      <c r="AR540" s="32" t="b">
        <v>0</v>
      </c>
      <c r="AS540" s="32" t="b">
        <v>0</v>
      </c>
    </row>
    <row r="541">
      <c r="A541" s="21" t="s">
        <v>9896</v>
      </c>
      <c r="B541" s="22" t="s">
        <v>8119</v>
      </c>
      <c r="C541" s="22">
        <v>1.0</v>
      </c>
      <c r="D541" s="22" t="s">
        <v>8212</v>
      </c>
      <c r="E541" s="22" t="s">
        <v>8119</v>
      </c>
      <c r="F541" s="22" t="s">
        <v>8121</v>
      </c>
      <c r="G541" s="25"/>
      <c r="H541" s="22">
        <v>3.2733876552003E13</v>
      </c>
      <c r="I541" s="25"/>
      <c r="J541" s="25"/>
      <c r="K541" s="22">
        <v>4.2085703549171E13</v>
      </c>
      <c r="L541" s="25"/>
      <c r="M541" s="25"/>
      <c r="N541" s="22" t="s">
        <v>5197</v>
      </c>
      <c r="O541" s="22" t="s">
        <v>9897</v>
      </c>
      <c r="P541" s="22" t="s">
        <v>5197</v>
      </c>
      <c r="Q541" s="22" t="s">
        <v>9897</v>
      </c>
      <c r="R541" s="22" t="s">
        <v>9898</v>
      </c>
      <c r="S541" s="25"/>
      <c r="T541" s="40" t="s">
        <v>9899</v>
      </c>
      <c r="U541" s="22" t="s">
        <v>9900</v>
      </c>
      <c r="V541" s="25"/>
      <c r="W541" s="22" t="s">
        <v>9901</v>
      </c>
      <c r="X541" s="22" t="s">
        <v>8289</v>
      </c>
      <c r="Y541" s="25"/>
      <c r="Z541" s="25"/>
      <c r="AA541" s="22" t="s">
        <v>8129</v>
      </c>
      <c r="AB541" s="22" t="s">
        <v>8130</v>
      </c>
      <c r="AC541" s="25"/>
      <c r="AD541" s="22" t="s">
        <v>8131</v>
      </c>
      <c r="AE541" s="22" t="s">
        <v>8132</v>
      </c>
      <c r="AF541" s="25"/>
      <c r="AG541" s="22">
        <v>1.0452679721283E13</v>
      </c>
      <c r="AH541" s="22" t="s">
        <v>90</v>
      </c>
      <c r="AI541" s="22">
        <v>5.975967006963E12</v>
      </c>
      <c r="AJ541" s="25"/>
      <c r="AK541" s="25"/>
      <c r="AL541" s="22" t="s">
        <v>8133</v>
      </c>
      <c r="AQ541" s="32" t="s">
        <v>8135</v>
      </c>
      <c r="AR541" s="32" t="b">
        <v>0</v>
      </c>
      <c r="AS541" s="32" t="b">
        <v>0</v>
      </c>
    </row>
    <row r="542">
      <c r="A542" s="21" t="s">
        <v>9896</v>
      </c>
      <c r="B542" s="24"/>
      <c r="C542" s="24"/>
      <c r="D542" s="22" t="s">
        <v>8212</v>
      </c>
      <c r="E542" s="24"/>
      <c r="F542" s="22" t="s">
        <v>8136</v>
      </c>
      <c r="G542" s="25"/>
      <c r="H542" s="22">
        <v>9.508683776323E12</v>
      </c>
      <c r="I542" s="25"/>
      <c r="J542" s="25"/>
      <c r="K542" s="24"/>
      <c r="L542" s="25"/>
      <c r="M542" s="25"/>
      <c r="N542" s="22" t="s">
        <v>5197</v>
      </c>
      <c r="O542" s="22" t="s">
        <v>9897</v>
      </c>
      <c r="P542" s="22" t="s">
        <v>5197</v>
      </c>
      <c r="Q542" s="22" t="s">
        <v>9897</v>
      </c>
      <c r="R542" s="22" t="s">
        <v>9898</v>
      </c>
      <c r="S542" s="25"/>
      <c r="T542" s="40" t="s">
        <v>9899</v>
      </c>
      <c r="U542" s="22" t="s">
        <v>9900</v>
      </c>
      <c r="V542" s="25"/>
      <c r="W542" s="22" t="s">
        <v>9901</v>
      </c>
      <c r="X542" s="22" t="s">
        <v>8289</v>
      </c>
      <c r="Y542" s="25"/>
      <c r="Z542" s="25"/>
      <c r="AA542" s="22" t="s">
        <v>8129</v>
      </c>
      <c r="AB542" s="22" t="s">
        <v>8130</v>
      </c>
      <c r="AC542" s="25"/>
      <c r="AD542" s="24"/>
      <c r="AE542" s="22" t="s">
        <v>8132</v>
      </c>
      <c r="AF542" s="25"/>
      <c r="AG542" s="22">
        <v>1.0452679721283E13</v>
      </c>
      <c r="AH542" s="22" t="s">
        <v>8137</v>
      </c>
      <c r="AI542" s="22">
        <v>5.975967006963E12</v>
      </c>
      <c r="AJ542" s="25"/>
      <c r="AK542" s="25"/>
      <c r="AL542" s="22" t="s">
        <v>8136</v>
      </c>
      <c r="AQ542" s="32"/>
      <c r="AR542" s="32" t="b">
        <v>0</v>
      </c>
      <c r="AS542" s="32" t="b">
        <v>0</v>
      </c>
    </row>
    <row r="543">
      <c r="A543" s="21" t="s">
        <v>9902</v>
      </c>
      <c r="B543" s="22" t="s">
        <v>8370</v>
      </c>
      <c r="C543" s="22">
        <v>1.0</v>
      </c>
      <c r="D543" s="22" t="s">
        <v>8968</v>
      </c>
      <c r="E543" s="22" t="s">
        <v>8370</v>
      </c>
      <c r="F543" s="22" t="s">
        <v>8155</v>
      </c>
      <c r="G543" s="25"/>
      <c r="H543" s="22">
        <v>3.2733893329219E13</v>
      </c>
      <c r="I543" s="25"/>
      <c r="J543" s="25"/>
      <c r="K543" s="22">
        <v>4.9521175494979E13</v>
      </c>
      <c r="L543" s="25"/>
      <c r="M543" s="25"/>
      <c r="N543" s="22" t="s">
        <v>9903</v>
      </c>
      <c r="O543" s="22" t="s">
        <v>6759</v>
      </c>
      <c r="P543" s="22" t="s">
        <v>9903</v>
      </c>
      <c r="Q543" s="22" t="s">
        <v>6759</v>
      </c>
      <c r="R543" s="22" t="s">
        <v>9904</v>
      </c>
      <c r="S543" s="25"/>
      <c r="T543" s="40" t="s">
        <v>9905</v>
      </c>
      <c r="U543" s="22" t="s">
        <v>9906</v>
      </c>
      <c r="V543" s="25"/>
      <c r="W543" s="22" t="s">
        <v>9907</v>
      </c>
      <c r="X543" s="22" t="s">
        <v>9908</v>
      </c>
      <c r="Y543" s="25"/>
      <c r="Z543" s="25"/>
      <c r="AA543" s="22" t="s">
        <v>8129</v>
      </c>
      <c r="AB543" s="22" t="s">
        <v>8130</v>
      </c>
      <c r="AC543" s="25"/>
      <c r="AD543" s="22" t="s">
        <v>8161</v>
      </c>
      <c r="AE543" s="22" t="s">
        <v>8132</v>
      </c>
      <c r="AF543" s="25"/>
      <c r="AG543" s="22">
        <v>1.0452686569795E13</v>
      </c>
      <c r="AH543" s="22" t="s">
        <v>90</v>
      </c>
      <c r="AI543" s="22">
        <v>2.3418403848515E13</v>
      </c>
      <c r="AJ543" s="25"/>
      <c r="AK543" s="25"/>
      <c r="AL543" s="22" t="s">
        <v>8138</v>
      </c>
      <c r="AQ543" s="32" t="s">
        <v>91</v>
      </c>
      <c r="AR543" s="32" t="b">
        <v>0</v>
      </c>
      <c r="AS543" s="32" t="b">
        <v>1</v>
      </c>
    </row>
    <row r="544">
      <c r="A544" s="21" t="s">
        <v>9902</v>
      </c>
      <c r="B544" s="24"/>
      <c r="C544" s="24"/>
      <c r="D544" s="22" t="s">
        <v>8968</v>
      </c>
      <c r="E544" s="24"/>
      <c r="F544" s="22" t="s">
        <v>8149</v>
      </c>
      <c r="G544" s="25"/>
      <c r="H544" s="22">
        <v>9.508690231619E12</v>
      </c>
      <c r="I544" s="25"/>
      <c r="J544" s="25"/>
      <c r="K544" s="24"/>
      <c r="L544" s="25"/>
      <c r="M544" s="25"/>
      <c r="N544" s="22" t="s">
        <v>9903</v>
      </c>
      <c r="O544" s="22" t="s">
        <v>6759</v>
      </c>
      <c r="P544" s="22" t="s">
        <v>9903</v>
      </c>
      <c r="Q544" s="22" t="s">
        <v>6759</v>
      </c>
      <c r="R544" s="22" t="s">
        <v>9904</v>
      </c>
      <c r="S544" s="25"/>
      <c r="T544" s="40" t="s">
        <v>9905</v>
      </c>
      <c r="U544" s="22" t="s">
        <v>9906</v>
      </c>
      <c r="V544" s="25"/>
      <c r="W544" s="22" t="s">
        <v>9907</v>
      </c>
      <c r="X544" s="22" t="s">
        <v>9908</v>
      </c>
      <c r="Y544" s="25"/>
      <c r="Z544" s="25"/>
      <c r="AA544" s="22" t="s">
        <v>8129</v>
      </c>
      <c r="AB544" s="22" t="s">
        <v>8130</v>
      </c>
      <c r="AC544" s="25"/>
      <c r="AD544" s="24"/>
      <c r="AE544" s="22" t="s">
        <v>8132</v>
      </c>
      <c r="AF544" s="25"/>
      <c r="AG544" s="22">
        <v>1.0452686569795E13</v>
      </c>
      <c r="AH544" s="22" t="s">
        <v>8137</v>
      </c>
      <c r="AI544" s="22">
        <v>2.3418403848515E13</v>
      </c>
      <c r="AJ544" s="25"/>
      <c r="AK544" s="25"/>
      <c r="AL544" s="22" t="s">
        <v>8149</v>
      </c>
      <c r="AQ544" s="32"/>
      <c r="AR544" s="32" t="b">
        <v>0</v>
      </c>
      <c r="AS544" s="32" t="b">
        <v>0</v>
      </c>
    </row>
    <row r="545">
      <c r="A545" s="21" t="s">
        <v>9909</v>
      </c>
      <c r="B545" s="22" t="s">
        <v>8119</v>
      </c>
      <c r="C545" s="22">
        <v>1.0</v>
      </c>
      <c r="D545" s="22" t="s">
        <v>8203</v>
      </c>
      <c r="E545" s="22" t="s">
        <v>8119</v>
      </c>
      <c r="F545" s="22" t="s">
        <v>8121</v>
      </c>
      <c r="G545" s="25"/>
      <c r="H545" s="22">
        <v>3.2733950673219E13</v>
      </c>
      <c r="I545" s="25"/>
      <c r="J545" s="25"/>
      <c r="K545" s="22">
        <v>4.2085703549171E13</v>
      </c>
      <c r="L545" s="25"/>
      <c r="M545" s="25"/>
      <c r="N545" s="22" t="s">
        <v>4830</v>
      </c>
      <c r="O545" s="22" t="s">
        <v>9910</v>
      </c>
      <c r="P545" s="22" t="s">
        <v>4830</v>
      </c>
      <c r="Q545" s="22" t="s">
        <v>9910</v>
      </c>
      <c r="R545" s="22" t="s">
        <v>9911</v>
      </c>
      <c r="S545" s="25"/>
      <c r="T545" s="40" t="s">
        <v>9912</v>
      </c>
      <c r="U545" s="22" t="s">
        <v>9913</v>
      </c>
      <c r="V545" s="25"/>
      <c r="W545" s="22" t="s">
        <v>9914</v>
      </c>
      <c r="X545" s="22" t="s">
        <v>8289</v>
      </c>
      <c r="Y545" s="25"/>
      <c r="Z545" s="25"/>
      <c r="AA545" s="22" t="s">
        <v>8129</v>
      </c>
      <c r="AB545" s="22" t="s">
        <v>8130</v>
      </c>
      <c r="AC545" s="25"/>
      <c r="AD545" s="22" t="s">
        <v>8131</v>
      </c>
      <c r="AE545" s="22" t="s">
        <v>8132</v>
      </c>
      <c r="AF545" s="25"/>
      <c r="AG545" s="22">
        <v>1.0452707934531E13</v>
      </c>
      <c r="AH545" s="22" t="s">
        <v>90</v>
      </c>
      <c r="AI545" s="22">
        <v>8.585305588035E12</v>
      </c>
      <c r="AJ545" s="25"/>
      <c r="AK545" s="25"/>
      <c r="AL545" s="22" t="s">
        <v>8133</v>
      </c>
      <c r="AQ545" s="32" t="s">
        <v>8135</v>
      </c>
      <c r="AR545" s="32" t="b">
        <v>0</v>
      </c>
      <c r="AS545" s="32" t="b">
        <v>0</v>
      </c>
    </row>
    <row r="546">
      <c r="A546" s="21" t="s">
        <v>9909</v>
      </c>
      <c r="B546" s="25"/>
      <c r="C546" s="25"/>
      <c r="D546" s="22" t="s">
        <v>8203</v>
      </c>
      <c r="E546" s="25"/>
      <c r="F546" s="22" t="s">
        <v>8136</v>
      </c>
      <c r="G546" s="25"/>
      <c r="H546" s="22">
        <v>9.508710809923E12</v>
      </c>
      <c r="I546" s="25"/>
      <c r="J546" s="25"/>
      <c r="K546" s="25"/>
      <c r="L546" s="25"/>
      <c r="M546" s="25"/>
      <c r="N546" s="22" t="s">
        <v>4830</v>
      </c>
      <c r="O546" s="22" t="s">
        <v>9910</v>
      </c>
      <c r="P546" s="22" t="s">
        <v>4830</v>
      </c>
      <c r="Q546" s="22" t="s">
        <v>9910</v>
      </c>
      <c r="R546" s="22" t="s">
        <v>9911</v>
      </c>
      <c r="S546" s="25"/>
      <c r="T546" s="40" t="s">
        <v>9912</v>
      </c>
      <c r="U546" s="22" t="s">
        <v>9913</v>
      </c>
      <c r="V546" s="25"/>
      <c r="W546" s="22" t="s">
        <v>9914</v>
      </c>
      <c r="X546" s="22" t="s">
        <v>8289</v>
      </c>
      <c r="Y546" s="25"/>
      <c r="Z546" s="25"/>
      <c r="AA546" s="22" t="s">
        <v>8129</v>
      </c>
      <c r="AB546" s="22" t="s">
        <v>8130</v>
      </c>
      <c r="AC546" s="25"/>
      <c r="AD546" s="25"/>
      <c r="AE546" s="22" t="s">
        <v>8132</v>
      </c>
      <c r="AF546" s="25"/>
      <c r="AG546" s="22">
        <v>1.0452707934531E13</v>
      </c>
      <c r="AH546" s="22" t="s">
        <v>8137</v>
      </c>
      <c r="AI546" s="22">
        <v>8.585305588035E12</v>
      </c>
      <c r="AJ546" s="25"/>
      <c r="AK546" s="25"/>
      <c r="AL546" s="22" t="s">
        <v>8136</v>
      </c>
      <c r="AR546" s="32" t="b">
        <v>0</v>
      </c>
      <c r="AS546" s="32" t="b">
        <v>0</v>
      </c>
    </row>
    <row r="547">
      <c r="A547" s="21" t="s">
        <v>9915</v>
      </c>
      <c r="B547" s="22" t="s">
        <v>8140</v>
      </c>
      <c r="C547" s="22">
        <v>1.0</v>
      </c>
      <c r="D547" s="22" t="s">
        <v>8221</v>
      </c>
      <c r="E547" s="22" t="s">
        <v>8140</v>
      </c>
      <c r="F547" s="22" t="s">
        <v>8121</v>
      </c>
      <c r="G547" s="25"/>
      <c r="H547" s="22">
        <v>3.2734084268355E13</v>
      </c>
      <c r="I547" s="25"/>
      <c r="J547" s="25"/>
      <c r="K547" s="22">
        <v>4.2085703581939E13</v>
      </c>
      <c r="L547" s="25"/>
      <c r="M547" s="25"/>
      <c r="N547" s="22" t="s">
        <v>4334</v>
      </c>
      <c r="O547" s="22" t="s">
        <v>9916</v>
      </c>
      <c r="P547" s="22" t="s">
        <v>4334</v>
      </c>
      <c r="Q547" s="22" t="s">
        <v>9916</v>
      </c>
      <c r="R547" s="22" t="s">
        <v>9917</v>
      </c>
      <c r="S547" s="25"/>
      <c r="T547" s="40" t="s">
        <v>9918</v>
      </c>
      <c r="U547" s="22" t="s">
        <v>9919</v>
      </c>
      <c r="V547" s="25"/>
      <c r="W547" s="22" t="s">
        <v>9920</v>
      </c>
      <c r="X547" s="22" t="s">
        <v>8193</v>
      </c>
      <c r="Y547" s="25"/>
      <c r="Z547" s="25"/>
      <c r="AA547" s="22" t="s">
        <v>8129</v>
      </c>
      <c r="AB547" s="22" t="s">
        <v>8130</v>
      </c>
      <c r="AC547" s="25"/>
      <c r="AD547" s="22" t="s">
        <v>8131</v>
      </c>
      <c r="AE547" s="22" t="s">
        <v>8132</v>
      </c>
      <c r="AF547" s="25"/>
      <c r="AG547" s="22">
        <v>1.0452759904579E13</v>
      </c>
      <c r="AH547" s="22" t="s">
        <v>90</v>
      </c>
      <c r="AI547" s="22">
        <v>8.625096917315E12</v>
      </c>
      <c r="AJ547" s="25"/>
      <c r="AK547" s="25"/>
      <c r="AL547" s="22" t="s">
        <v>8134</v>
      </c>
      <c r="AQ547" s="32" t="s">
        <v>8150</v>
      </c>
      <c r="AR547" s="32" t="b">
        <v>0</v>
      </c>
      <c r="AS547" s="32" t="b">
        <v>0</v>
      </c>
    </row>
    <row r="548">
      <c r="A548" s="21" t="s">
        <v>9915</v>
      </c>
      <c r="B548" s="25"/>
      <c r="C548" s="25"/>
      <c r="D548" s="22" t="s">
        <v>8221</v>
      </c>
      <c r="E548" s="25"/>
      <c r="F548" s="22" t="s">
        <v>8136</v>
      </c>
      <c r="G548" s="25"/>
      <c r="H548" s="22">
        <v>9.508759798083E12</v>
      </c>
      <c r="I548" s="25"/>
      <c r="J548" s="25"/>
      <c r="K548" s="25"/>
      <c r="L548" s="25"/>
      <c r="M548" s="25"/>
      <c r="N548" s="22" t="s">
        <v>4334</v>
      </c>
      <c r="O548" s="22" t="s">
        <v>9916</v>
      </c>
      <c r="P548" s="22" t="s">
        <v>4334</v>
      </c>
      <c r="Q548" s="22" t="s">
        <v>9916</v>
      </c>
      <c r="R548" s="22" t="s">
        <v>9917</v>
      </c>
      <c r="S548" s="25"/>
      <c r="T548" s="40" t="s">
        <v>9918</v>
      </c>
      <c r="U548" s="22" t="s">
        <v>9919</v>
      </c>
      <c r="V548" s="25"/>
      <c r="W548" s="22" t="s">
        <v>9920</v>
      </c>
      <c r="X548" s="22" t="s">
        <v>8193</v>
      </c>
      <c r="Y548" s="25"/>
      <c r="Z548" s="25"/>
      <c r="AA548" s="22" t="s">
        <v>8129</v>
      </c>
      <c r="AB548" s="22" t="s">
        <v>8130</v>
      </c>
      <c r="AC548" s="25"/>
      <c r="AD548" s="25"/>
      <c r="AE548" s="22" t="s">
        <v>8132</v>
      </c>
      <c r="AF548" s="25"/>
      <c r="AG548" s="22">
        <v>1.0452759904579E13</v>
      </c>
      <c r="AH548" s="22" t="s">
        <v>8137</v>
      </c>
      <c r="AI548" s="22">
        <v>8.625096917315E12</v>
      </c>
      <c r="AJ548" s="25"/>
      <c r="AK548" s="25"/>
      <c r="AL548" s="22" t="s">
        <v>8136</v>
      </c>
      <c r="AR548" s="32" t="b">
        <v>0</v>
      </c>
      <c r="AS548" s="32" t="b">
        <v>0</v>
      </c>
    </row>
    <row r="549">
      <c r="A549" s="21" t="s">
        <v>9921</v>
      </c>
      <c r="B549" s="22" t="s">
        <v>8262</v>
      </c>
      <c r="C549" s="22">
        <v>1.0</v>
      </c>
      <c r="D549" s="22" t="s">
        <v>8203</v>
      </c>
      <c r="E549" s="22" t="s">
        <v>8262</v>
      </c>
      <c r="F549" s="22" t="s">
        <v>8155</v>
      </c>
      <c r="G549" s="25"/>
      <c r="H549" s="22">
        <v>3.2734177329475E13</v>
      </c>
      <c r="I549" s="25"/>
      <c r="J549" s="25"/>
      <c r="K549" s="22">
        <v>4.7338059792707E13</v>
      </c>
      <c r="L549" s="25"/>
      <c r="M549" s="25"/>
      <c r="N549" s="22" t="s">
        <v>3671</v>
      </c>
      <c r="O549" s="22" t="s">
        <v>9922</v>
      </c>
      <c r="P549" s="22" t="s">
        <v>3671</v>
      </c>
      <c r="Q549" s="22" t="s">
        <v>9923</v>
      </c>
      <c r="R549" s="22" t="s">
        <v>9924</v>
      </c>
      <c r="S549" s="25"/>
      <c r="T549" s="40" t="s">
        <v>9925</v>
      </c>
      <c r="U549" s="22" t="s">
        <v>9926</v>
      </c>
      <c r="V549" s="25"/>
      <c r="W549" s="22" t="s">
        <v>9927</v>
      </c>
      <c r="X549" s="22" t="s">
        <v>9928</v>
      </c>
      <c r="Y549" s="25"/>
      <c r="Z549" s="25"/>
      <c r="AA549" s="22" t="s">
        <v>8129</v>
      </c>
      <c r="AB549" s="22" t="s">
        <v>8130</v>
      </c>
      <c r="AC549" s="25"/>
      <c r="AD549" s="22" t="s">
        <v>8161</v>
      </c>
      <c r="AE549" s="22" t="s">
        <v>8132</v>
      </c>
      <c r="AF549" s="25"/>
      <c r="AG549" s="22">
        <v>1.0452795818307E13</v>
      </c>
      <c r="AH549" s="22" t="s">
        <v>90</v>
      </c>
      <c r="AI549" s="22">
        <v>7.499416011075E12</v>
      </c>
      <c r="AJ549" s="25"/>
      <c r="AK549" s="25"/>
      <c r="AL549" s="22" t="s">
        <v>8269</v>
      </c>
      <c r="AQ549" s="32" t="s">
        <v>91</v>
      </c>
      <c r="AR549" s="32" t="b">
        <v>0</v>
      </c>
      <c r="AS549" s="32" t="b">
        <v>0</v>
      </c>
    </row>
    <row r="550">
      <c r="A550" s="21" t="s">
        <v>9921</v>
      </c>
      <c r="B550" s="24"/>
      <c r="C550" s="24"/>
      <c r="D550" s="22" t="s">
        <v>8203</v>
      </c>
      <c r="E550" s="24"/>
      <c r="F550" s="22" t="s">
        <v>8149</v>
      </c>
      <c r="G550" s="25"/>
      <c r="H550" s="22">
        <v>9.508794302787E12</v>
      </c>
      <c r="I550" s="25"/>
      <c r="J550" s="25"/>
      <c r="K550" s="24"/>
      <c r="L550" s="25"/>
      <c r="M550" s="25"/>
      <c r="N550" s="22" t="s">
        <v>3671</v>
      </c>
      <c r="O550" s="22" t="s">
        <v>9922</v>
      </c>
      <c r="P550" s="22" t="s">
        <v>3671</v>
      </c>
      <c r="Q550" s="22" t="s">
        <v>9923</v>
      </c>
      <c r="R550" s="22" t="s">
        <v>9924</v>
      </c>
      <c r="S550" s="25"/>
      <c r="T550" s="40" t="s">
        <v>9925</v>
      </c>
      <c r="U550" s="22" t="s">
        <v>9926</v>
      </c>
      <c r="V550" s="25"/>
      <c r="W550" s="22" t="s">
        <v>9927</v>
      </c>
      <c r="X550" s="22" t="s">
        <v>9928</v>
      </c>
      <c r="Y550" s="25"/>
      <c r="Z550" s="25"/>
      <c r="AA550" s="22" t="s">
        <v>8129</v>
      </c>
      <c r="AB550" s="22" t="s">
        <v>8130</v>
      </c>
      <c r="AC550" s="25"/>
      <c r="AD550" s="24"/>
      <c r="AE550" s="22" t="s">
        <v>8132</v>
      </c>
      <c r="AF550" s="25"/>
      <c r="AG550" s="22">
        <v>1.0452795818307E13</v>
      </c>
      <c r="AH550" s="22" t="s">
        <v>8137</v>
      </c>
      <c r="AI550" s="22">
        <v>7.499416011075E12</v>
      </c>
      <c r="AJ550" s="25"/>
      <c r="AK550" s="25"/>
      <c r="AL550" s="22" t="s">
        <v>8149</v>
      </c>
      <c r="AQ550" s="32"/>
      <c r="AR550" s="32" t="b">
        <v>0</v>
      </c>
      <c r="AS550" s="32" t="b">
        <v>0</v>
      </c>
    </row>
    <row r="551">
      <c r="A551" s="21" t="s">
        <v>9929</v>
      </c>
      <c r="B551" s="22" t="s">
        <v>8140</v>
      </c>
      <c r="C551" s="22">
        <v>1.0</v>
      </c>
      <c r="D551" s="22" t="s">
        <v>8203</v>
      </c>
      <c r="E551" s="22" t="s">
        <v>8140</v>
      </c>
      <c r="F551" s="22" t="s">
        <v>8121</v>
      </c>
      <c r="G551" s="25"/>
      <c r="H551" s="22">
        <v>3.2734207607107E13</v>
      </c>
      <c r="I551" s="25"/>
      <c r="J551" s="25"/>
      <c r="K551" s="22">
        <v>4.2085703581939E13</v>
      </c>
      <c r="L551" s="25"/>
      <c r="M551" s="25"/>
      <c r="N551" s="22" t="s">
        <v>4245</v>
      </c>
      <c r="O551" s="22" t="s">
        <v>9930</v>
      </c>
      <c r="P551" s="22" t="s">
        <v>4245</v>
      </c>
      <c r="Q551" s="22" t="s">
        <v>9930</v>
      </c>
      <c r="R551" s="22" t="s">
        <v>9931</v>
      </c>
      <c r="S551" s="25"/>
      <c r="T551" s="40" t="s">
        <v>9932</v>
      </c>
      <c r="U551" s="22" t="s">
        <v>9933</v>
      </c>
      <c r="V551" s="22">
        <v>11.0</v>
      </c>
      <c r="W551" s="22" t="s">
        <v>9934</v>
      </c>
      <c r="X551" s="22" t="s">
        <v>8200</v>
      </c>
      <c r="Y551" s="25"/>
      <c r="Z551" s="25"/>
      <c r="AA551" s="22" t="s">
        <v>8129</v>
      </c>
      <c r="AB551" s="22" t="s">
        <v>8130</v>
      </c>
      <c r="AC551" s="25"/>
      <c r="AD551" s="22" t="s">
        <v>8131</v>
      </c>
      <c r="AE551" s="22" t="s">
        <v>8132</v>
      </c>
      <c r="AF551" s="25"/>
      <c r="AG551" s="22">
        <v>1.0452808270147E13</v>
      </c>
      <c r="AH551" s="22" t="s">
        <v>90</v>
      </c>
      <c r="AI551" s="22">
        <v>6.461791109363E12</v>
      </c>
      <c r="AJ551" s="25"/>
      <c r="AK551" s="25"/>
      <c r="AL551" s="22" t="s">
        <v>8134</v>
      </c>
      <c r="AQ551" s="32" t="s">
        <v>8150</v>
      </c>
      <c r="AR551" s="32" t="b">
        <v>0</v>
      </c>
      <c r="AS551" s="32" t="b">
        <v>0</v>
      </c>
    </row>
    <row r="552">
      <c r="A552" s="21" t="s">
        <v>9929</v>
      </c>
      <c r="B552" s="25"/>
      <c r="C552" s="25"/>
      <c r="D552" s="22" t="s">
        <v>8203</v>
      </c>
      <c r="E552" s="25"/>
      <c r="F552" s="22" t="s">
        <v>8136</v>
      </c>
      <c r="G552" s="25"/>
      <c r="H552" s="22">
        <v>9.508806394179E12</v>
      </c>
      <c r="I552" s="25"/>
      <c r="J552" s="25"/>
      <c r="K552" s="25"/>
      <c r="L552" s="25"/>
      <c r="M552" s="25"/>
      <c r="N552" s="22" t="s">
        <v>4245</v>
      </c>
      <c r="O552" s="22" t="s">
        <v>9930</v>
      </c>
      <c r="P552" s="22" t="s">
        <v>4245</v>
      </c>
      <c r="Q552" s="22" t="s">
        <v>9930</v>
      </c>
      <c r="R552" s="22" t="s">
        <v>9931</v>
      </c>
      <c r="S552" s="25"/>
      <c r="T552" s="40" t="s">
        <v>9932</v>
      </c>
      <c r="U552" s="22" t="s">
        <v>9933</v>
      </c>
      <c r="V552" s="22">
        <v>11.0</v>
      </c>
      <c r="W552" s="22" t="s">
        <v>9934</v>
      </c>
      <c r="X552" s="22" t="s">
        <v>8200</v>
      </c>
      <c r="Y552" s="25"/>
      <c r="Z552" s="25"/>
      <c r="AA552" s="22" t="s">
        <v>8129</v>
      </c>
      <c r="AB552" s="22" t="s">
        <v>8130</v>
      </c>
      <c r="AC552" s="25"/>
      <c r="AD552" s="25"/>
      <c r="AE552" s="22" t="s">
        <v>8132</v>
      </c>
      <c r="AF552" s="25"/>
      <c r="AG552" s="22">
        <v>1.0452808270147E13</v>
      </c>
      <c r="AH552" s="22" t="s">
        <v>8137</v>
      </c>
      <c r="AI552" s="22">
        <v>6.461791109363E12</v>
      </c>
      <c r="AJ552" s="25"/>
      <c r="AK552" s="25"/>
      <c r="AL552" s="22" t="s">
        <v>8136</v>
      </c>
      <c r="AR552" s="32" t="b">
        <v>0</v>
      </c>
      <c r="AS552" s="32" t="b">
        <v>0</v>
      </c>
    </row>
    <row r="553">
      <c r="A553" s="21" t="s">
        <v>9935</v>
      </c>
      <c r="B553" s="22" t="s">
        <v>8140</v>
      </c>
      <c r="C553" s="22">
        <v>1.0</v>
      </c>
      <c r="D553" s="22" t="s">
        <v>8221</v>
      </c>
      <c r="E553" s="22" t="s">
        <v>8140</v>
      </c>
      <c r="F553" s="22" t="s">
        <v>8121</v>
      </c>
      <c r="G553" s="25"/>
      <c r="H553" s="22">
        <v>3.2735010128195E13</v>
      </c>
      <c r="I553" s="25"/>
      <c r="J553" s="25"/>
      <c r="K553" s="22">
        <v>4.2085703581939E13</v>
      </c>
      <c r="L553" s="25"/>
      <c r="M553" s="25"/>
      <c r="N553" s="22" t="s">
        <v>5732</v>
      </c>
      <c r="O553" s="22" t="s">
        <v>9936</v>
      </c>
      <c r="P553" s="22" t="s">
        <v>5732</v>
      </c>
      <c r="Q553" s="22" t="s">
        <v>9936</v>
      </c>
      <c r="R553" s="22" t="s">
        <v>9937</v>
      </c>
      <c r="S553" s="25"/>
      <c r="T553" s="40" t="s">
        <v>9938</v>
      </c>
      <c r="U553" s="22" t="s">
        <v>9939</v>
      </c>
      <c r="V553" s="22" t="s">
        <v>4435</v>
      </c>
      <c r="W553" s="22" t="s">
        <v>9940</v>
      </c>
      <c r="X553" s="22" t="s">
        <v>8251</v>
      </c>
      <c r="Y553" s="25"/>
      <c r="Z553" s="25"/>
      <c r="AA553" s="22" t="s">
        <v>8129</v>
      </c>
      <c r="AB553" s="22" t="s">
        <v>8130</v>
      </c>
      <c r="AC553" s="25"/>
      <c r="AD553" s="22" t="s">
        <v>8131</v>
      </c>
      <c r="AE553" s="22" t="s">
        <v>8132</v>
      </c>
      <c r="AF553" s="25"/>
      <c r="AG553" s="22">
        <v>1.0453175828803E13</v>
      </c>
      <c r="AH553" s="22" t="s">
        <v>90</v>
      </c>
      <c r="AI553" s="22">
        <v>2.3419022049603E13</v>
      </c>
      <c r="AJ553" s="25"/>
      <c r="AK553" s="25"/>
      <c r="AL553" s="22" t="s">
        <v>8134</v>
      </c>
      <c r="AQ553" s="32" t="s">
        <v>8150</v>
      </c>
      <c r="AR553" s="32" t="b">
        <v>0</v>
      </c>
      <c r="AS553" s="32" t="b">
        <v>0</v>
      </c>
    </row>
    <row r="554">
      <c r="A554" s="21" t="s">
        <v>9935</v>
      </c>
      <c r="B554" s="25"/>
      <c r="C554" s="25"/>
      <c r="D554" s="22" t="s">
        <v>8221</v>
      </c>
      <c r="E554" s="25"/>
      <c r="F554" s="22" t="s">
        <v>8136</v>
      </c>
      <c r="G554" s="25"/>
      <c r="H554" s="22">
        <v>9.509131354435E12</v>
      </c>
      <c r="I554" s="25"/>
      <c r="J554" s="25"/>
      <c r="K554" s="25"/>
      <c r="L554" s="25"/>
      <c r="M554" s="25"/>
      <c r="N554" s="22" t="s">
        <v>5732</v>
      </c>
      <c r="O554" s="22" t="s">
        <v>9936</v>
      </c>
      <c r="P554" s="22" t="s">
        <v>5732</v>
      </c>
      <c r="Q554" s="22" t="s">
        <v>9936</v>
      </c>
      <c r="R554" s="22" t="s">
        <v>9937</v>
      </c>
      <c r="S554" s="25"/>
      <c r="T554" s="40" t="s">
        <v>9938</v>
      </c>
      <c r="U554" s="22" t="s">
        <v>9939</v>
      </c>
      <c r="V554" s="22" t="s">
        <v>4435</v>
      </c>
      <c r="W554" s="22" t="s">
        <v>9940</v>
      </c>
      <c r="X554" s="22" t="s">
        <v>8251</v>
      </c>
      <c r="Y554" s="25"/>
      <c r="Z554" s="25"/>
      <c r="AA554" s="22" t="s">
        <v>8129</v>
      </c>
      <c r="AB554" s="22" t="s">
        <v>8130</v>
      </c>
      <c r="AC554" s="25"/>
      <c r="AD554" s="25"/>
      <c r="AE554" s="22" t="s">
        <v>8132</v>
      </c>
      <c r="AF554" s="25"/>
      <c r="AG554" s="22">
        <v>1.0453175828803E13</v>
      </c>
      <c r="AH554" s="22" t="s">
        <v>8137</v>
      </c>
      <c r="AI554" s="22">
        <v>2.3419022049603E13</v>
      </c>
      <c r="AJ554" s="25"/>
      <c r="AK554" s="25"/>
      <c r="AL554" s="22" t="s">
        <v>8136</v>
      </c>
      <c r="AR554" s="32" t="b">
        <v>0</v>
      </c>
      <c r="AS554" s="32" t="b">
        <v>0</v>
      </c>
    </row>
    <row r="555">
      <c r="A555" s="21" t="s">
        <v>9941</v>
      </c>
      <c r="B555" s="22" t="s">
        <v>8262</v>
      </c>
      <c r="C555" s="22">
        <v>1.0</v>
      </c>
      <c r="D555" s="22" t="s">
        <v>8501</v>
      </c>
      <c r="E555" s="22" t="s">
        <v>8262</v>
      </c>
      <c r="F555" s="22" t="s">
        <v>8155</v>
      </c>
      <c r="G555" s="25"/>
      <c r="H555" s="22">
        <v>3.2735121277251E13</v>
      </c>
      <c r="I555" s="25"/>
      <c r="J555" s="24"/>
      <c r="K555" s="22">
        <v>4.7338059792707E13</v>
      </c>
      <c r="L555" s="25"/>
      <c r="M555" s="25"/>
      <c r="N555" s="22" t="s">
        <v>7545</v>
      </c>
      <c r="O555" s="22" t="s">
        <v>9942</v>
      </c>
      <c r="P555" s="22" t="s">
        <v>7545</v>
      </c>
      <c r="Q555" s="22" t="s">
        <v>9942</v>
      </c>
      <c r="R555" s="22" t="s">
        <v>9943</v>
      </c>
      <c r="S555" s="22" t="s">
        <v>9944</v>
      </c>
      <c r="T555" s="40" t="s">
        <v>9945</v>
      </c>
      <c r="U555" s="22" t="s">
        <v>9946</v>
      </c>
      <c r="V555" s="25"/>
      <c r="W555" s="22" t="s">
        <v>9141</v>
      </c>
      <c r="X555" s="40" t="s">
        <v>9763</v>
      </c>
      <c r="Y555" s="25"/>
      <c r="Z555" s="25"/>
      <c r="AA555" s="22" t="s">
        <v>8129</v>
      </c>
      <c r="AB555" s="22" t="s">
        <v>8130</v>
      </c>
      <c r="AC555" s="25"/>
      <c r="AD555" s="22" t="s">
        <v>8161</v>
      </c>
      <c r="AE555" s="22" t="s">
        <v>8132</v>
      </c>
      <c r="AF555" s="25"/>
      <c r="AG555" s="22">
        <v>1.0453225472323E13</v>
      </c>
      <c r="AH555" s="22" t="s">
        <v>90</v>
      </c>
      <c r="AI555" s="22">
        <v>2.3419074871619E13</v>
      </c>
      <c r="AJ555" s="25"/>
      <c r="AK555" s="25"/>
      <c r="AL555" s="22" t="s">
        <v>8269</v>
      </c>
      <c r="AQ555" s="32" t="s">
        <v>91</v>
      </c>
      <c r="AR555" s="32" t="b">
        <v>0</v>
      </c>
      <c r="AS555" s="32" t="b">
        <v>0</v>
      </c>
    </row>
    <row r="556">
      <c r="A556" s="21" t="s">
        <v>9941</v>
      </c>
      <c r="B556" s="25"/>
      <c r="C556" s="25"/>
      <c r="D556" s="22" t="s">
        <v>8501</v>
      </c>
      <c r="E556" s="25"/>
      <c r="F556" s="22" t="s">
        <v>8149</v>
      </c>
      <c r="G556" s="25"/>
      <c r="H556" s="22">
        <v>9.509177393475E12</v>
      </c>
      <c r="I556" s="25"/>
      <c r="J556" s="25"/>
      <c r="K556" s="25"/>
      <c r="L556" s="25"/>
      <c r="M556" s="25"/>
      <c r="N556" s="22" t="s">
        <v>7545</v>
      </c>
      <c r="O556" s="22" t="s">
        <v>9942</v>
      </c>
      <c r="P556" s="22" t="s">
        <v>7545</v>
      </c>
      <c r="Q556" s="22" t="s">
        <v>9942</v>
      </c>
      <c r="R556" s="22" t="s">
        <v>9943</v>
      </c>
      <c r="S556" s="22" t="s">
        <v>9944</v>
      </c>
      <c r="T556" s="40" t="s">
        <v>9945</v>
      </c>
      <c r="U556" s="22" t="s">
        <v>9946</v>
      </c>
      <c r="V556" s="25"/>
      <c r="W556" s="22" t="s">
        <v>9141</v>
      </c>
      <c r="X556" s="40" t="s">
        <v>9763</v>
      </c>
      <c r="Y556" s="25"/>
      <c r="Z556" s="25"/>
      <c r="AA556" s="22" t="s">
        <v>8129</v>
      </c>
      <c r="AB556" s="22" t="s">
        <v>8130</v>
      </c>
      <c r="AC556" s="25"/>
      <c r="AD556" s="25"/>
      <c r="AE556" s="22" t="s">
        <v>8132</v>
      </c>
      <c r="AF556" s="25"/>
      <c r="AG556" s="22">
        <v>1.0453225472323E13</v>
      </c>
      <c r="AH556" s="22" t="s">
        <v>8137</v>
      </c>
      <c r="AI556" s="22">
        <v>2.3419074871619E13</v>
      </c>
      <c r="AJ556" s="25"/>
      <c r="AK556" s="25"/>
      <c r="AL556" s="22" t="s">
        <v>8149</v>
      </c>
      <c r="AR556" s="32" t="b">
        <v>0</v>
      </c>
      <c r="AS556" s="32" t="b">
        <v>0</v>
      </c>
    </row>
    <row r="557">
      <c r="A557" s="21" t="s">
        <v>9947</v>
      </c>
      <c r="B557" s="22" t="s">
        <v>8119</v>
      </c>
      <c r="C557" s="22">
        <v>1.0</v>
      </c>
      <c r="D557" s="22" t="s">
        <v>8419</v>
      </c>
      <c r="E557" s="22" t="s">
        <v>8119</v>
      </c>
      <c r="F557" s="22" t="s">
        <v>8121</v>
      </c>
      <c r="G557" s="25"/>
      <c r="H557" s="22">
        <v>3.2735143985475E13</v>
      </c>
      <c r="I557" s="25"/>
      <c r="J557" s="24"/>
      <c r="K557" s="22">
        <v>4.2085703549171E13</v>
      </c>
      <c r="L557" s="25"/>
      <c r="M557" s="25"/>
      <c r="N557" s="22" t="s">
        <v>9948</v>
      </c>
      <c r="O557" s="22" t="s">
        <v>9949</v>
      </c>
      <c r="P557" s="22" t="s">
        <v>9948</v>
      </c>
      <c r="Q557" s="22" t="s">
        <v>9949</v>
      </c>
      <c r="R557" s="22" t="s">
        <v>9950</v>
      </c>
      <c r="S557" s="25"/>
      <c r="T557" s="40" t="s">
        <v>9951</v>
      </c>
      <c r="U557" s="22" t="s">
        <v>9952</v>
      </c>
      <c r="V557" s="25"/>
      <c r="W557" s="22" t="s">
        <v>9953</v>
      </c>
      <c r="X557" s="22" t="s">
        <v>8367</v>
      </c>
      <c r="Y557" s="25"/>
      <c r="Z557" s="25"/>
      <c r="AA557" s="22" t="s">
        <v>8129</v>
      </c>
      <c r="AB557" s="22" t="s">
        <v>8130</v>
      </c>
      <c r="AC557" s="25"/>
      <c r="AD557" s="22" t="s">
        <v>8131</v>
      </c>
      <c r="AE557" s="22" t="s">
        <v>8132</v>
      </c>
      <c r="AF557" s="25"/>
      <c r="AG557" s="22">
        <v>1.0453235302723E13</v>
      </c>
      <c r="AH557" s="22" t="s">
        <v>90</v>
      </c>
      <c r="AI557" s="22">
        <v>6.446266646771E12</v>
      </c>
      <c r="AJ557" s="25"/>
      <c r="AK557" s="25"/>
      <c r="AL557" s="22" t="s">
        <v>8133</v>
      </c>
      <c r="AQ557" s="32" t="s">
        <v>8135</v>
      </c>
      <c r="AR557" s="32" t="b">
        <v>0</v>
      </c>
      <c r="AS557" s="32" t="b">
        <v>0</v>
      </c>
    </row>
    <row r="558">
      <c r="A558" s="21" t="s">
        <v>9947</v>
      </c>
      <c r="B558" s="24"/>
      <c r="C558" s="24"/>
      <c r="D558" s="22" t="s">
        <v>8419</v>
      </c>
      <c r="E558" s="24"/>
      <c r="F558" s="22" t="s">
        <v>8136</v>
      </c>
      <c r="G558" s="25"/>
      <c r="H558" s="22">
        <v>9.509186371907E12</v>
      </c>
      <c r="I558" s="25"/>
      <c r="J558" s="44"/>
      <c r="K558" s="24"/>
      <c r="L558" s="25"/>
      <c r="M558" s="25"/>
      <c r="N558" s="22" t="s">
        <v>9948</v>
      </c>
      <c r="O558" s="22" t="s">
        <v>9949</v>
      </c>
      <c r="P558" s="22" t="s">
        <v>9948</v>
      </c>
      <c r="Q558" s="22" t="s">
        <v>9949</v>
      </c>
      <c r="R558" s="22" t="s">
        <v>9950</v>
      </c>
      <c r="S558" s="25"/>
      <c r="T558" s="40" t="s">
        <v>9951</v>
      </c>
      <c r="U558" s="22" t="s">
        <v>9952</v>
      </c>
      <c r="V558" s="25"/>
      <c r="W558" s="22" t="s">
        <v>9953</v>
      </c>
      <c r="X558" s="22" t="s">
        <v>8367</v>
      </c>
      <c r="Y558" s="25"/>
      <c r="Z558" s="25"/>
      <c r="AA558" s="22" t="s">
        <v>8129</v>
      </c>
      <c r="AB558" s="22" t="s">
        <v>8130</v>
      </c>
      <c r="AC558" s="25"/>
      <c r="AD558" s="24"/>
      <c r="AE558" s="22" t="s">
        <v>8132</v>
      </c>
      <c r="AF558" s="25"/>
      <c r="AG558" s="22">
        <v>1.0453235302723E13</v>
      </c>
      <c r="AH558" s="22" t="s">
        <v>8137</v>
      </c>
      <c r="AI558" s="22">
        <v>6.446266646771E12</v>
      </c>
      <c r="AJ558" s="25"/>
      <c r="AK558" s="25"/>
      <c r="AL558" s="22" t="s">
        <v>8136</v>
      </c>
      <c r="AQ558" s="32"/>
      <c r="AR558" s="32" t="b">
        <v>0</v>
      </c>
      <c r="AS558" s="32" t="b">
        <v>0</v>
      </c>
    </row>
    <row r="559">
      <c r="A559" s="21" t="s">
        <v>9954</v>
      </c>
      <c r="B559" s="22" t="s">
        <v>8370</v>
      </c>
      <c r="C559" s="22">
        <v>1.0</v>
      </c>
      <c r="D559" s="22" t="s">
        <v>8175</v>
      </c>
      <c r="E559" s="22" t="s">
        <v>8370</v>
      </c>
      <c r="F559" s="22" t="s">
        <v>8155</v>
      </c>
      <c r="G559" s="22" t="s">
        <v>89</v>
      </c>
      <c r="H559" s="22">
        <v>3.2735203721539E13</v>
      </c>
      <c r="I559" s="22" t="s">
        <v>89</v>
      </c>
      <c r="J559" s="25"/>
      <c r="K559" s="22">
        <v>4.9521175494979E13</v>
      </c>
      <c r="L559" s="25"/>
      <c r="M559" s="25"/>
      <c r="N559" s="22" t="s">
        <v>4114</v>
      </c>
      <c r="O559" s="22" t="s">
        <v>6008</v>
      </c>
      <c r="P559" s="22" t="s">
        <v>4114</v>
      </c>
      <c r="Q559" s="22" t="s">
        <v>6008</v>
      </c>
      <c r="R559" s="22" t="s">
        <v>9955</v>
      </c>
      <c r="S559" s="25"/>
      <c r="T559" s="40" t="s">
        <v>9956</v>
      </c>
      <c r="U559" s="22" t="s">
        <v>9957</v>
      </c>
      <c r="V559" s="25"/>
      <c r="W559" s="22" t="s">
        <v>9958</v>
      </c>
      <c r="X559" s="22" t="s">
        <v>8128</v>
      </c>
      <c r="Y559" s="25"/>
      <c r="Z559" s="25"/>
      <c r="AA559" s="22" t="s">
        <v>8129</v>
      </c>
      <c r="AB559" s="22" t="s">
        <v>8130</v>
      </c>
      <c r="AC559" s="25"/>
      <c r="AD559" s="22" t="s">
        <v>8161</v>
      </c>
      <c r="AE559" s="22" t="s">
        <v>8132</v>
      </c>
      <c r="AF559" s="25"/>
      <c r="AG559" s="22">
        <v>1.0453261156675E13</v>
      </c>
      <c r="AH559" s="22" t="s">
        <v>90</v>
      </c>
      <c r="AI559" s="22">
        <v>8.639943704899E12</v>
      </c>
      <c r="AJ559" s="25"/>
      <c r="AK559" s="25"/>
      <c r="AL559" s="22" t="s">
        <v>8138</v>
      </c>
      <c r="AQ559" s="32" t="s">
        <v>91</v>
      </c>
      <c r="AR559" s="32" t="b">
        <v>0</v>
      </c>
      <c r="AS559" s="32" t="b">
        <v>1</v>
      </c>
    </row>
    <row r="560">
      <c r="A560" s="21" t="s">
        <v>9954</v>
      </c>
      <c r="B560" s="24"/>
      <c r="C560" s="24"/>
      <c r="D560" s="22" t="s">
        <v>8175</v>
      </c>
      <c r="E560" s="24"/>
      <c r="F560" s="22" t="s">
        <v>8149</v>
      </c>
      <c r="G560" s="25"/>
      <c r="H560" s="22">
        <v>9.509210227011E12</v>
      </c>
      <c r="I560" s="22" t="s">
        <v>89</v>
      </c>
      <c r="J560" s="25"/>
      <c r="K560" s="24"/>
      <c r="L560" s="25"/>
      <c r="M560" s="25"/>
      <c r="N560" s="22" t="s">
        <v>4114</v>
      </c>
      <c r="O560" s="22" t="s">
        <v>6008</v>
      </c>
      <c r="P560" s="22" t="s">
        <v>4114</v>
      </c>
      <c r="Q560" s="22" t="s">
        <v>6008</v>
      </c>
      <c r="R560" s="22" t="s">
        <v>9955</v>
      </c>
      <c r="S560" s="25"/>
      <c r="T560" s="40" t="s">
        <v>9956</v>
      </c>
      <c r="U560" s="22" t="s">
        <v>9957</v>
      </c>
      <c r="V560" s="25"/>
      <c r="W560" s="22" t="s">
        <v>9958</v>
      </c>
      <c r="X560" s="22" t="s">
        <v>8128</v>
      </c>
      <c r="Y560" s="25"/>
      <c r="Z560" s="25"/>
      <c r="AA560" s="22" t="s">
        <v>8129</v>
      </c>
      <c r="AB560" s="22" t="s">
        <v>8130</v>
      </c>
      <c r="AC560" s="25"/>
      <c r="AD560" s="24"/>
      <c r="AE560" s="22" t="s">
        <v>8132</v>
      </c>
      <c r="AF560" s="25"/>
      <c r="AG560" s="22">
        <v>1.0453261156675E13</v>
      </c>
      <c r="AH560" s="22" t="s">
        <v>8137</v>
      </c>
      <c r="AI560" s="22">
        <v>8.639943704899E12</v>
      </c>
      <c r="AJ560" s="25"/>
      <c r="AK560" s="25"/>
      <c r="AL560" s="22" t="s">
        <v>8149</v>
      </c>
      <c r="AQ560" s="32"/>
      <c r="AR560" s="32" t="b">
        <v>0</v>
      </c>
      <c r="AS560" s="32" t="b">
        <v>0</v>
      </c>
    </row>
    <row r="561">
      <c r="A561" s="21" t="s">
        <v>9954</v>
      </c>
      <c r="B561" s="22" t="s">
        <v>8370</v>
      </c>
      <c r="C561" s="22">
        <v>-1.0</v>
      </c>
      <c r="D561" s="22" t="s">
        <v>8175</v>
      </c>
      <c r="E561" s="22" t="s">
        <v>8370</v>
      </c>
      <c r="F561" s="22" t="s">
        <v>8155</v>
      </c>
      <c r="G561" s="22" t="s">
        <v>89</v>
      </c>
      <c r="H561" s="22">
        <v>3.2735203721539E13</v>
      </c>
      <c r="I561" s="22" t="s">
        <v>89</v>
      </c>
      <c r="J561" s="25"/>
      <c r="K561" s="22">
        <v>4.9521175494979E13</v>
      </c>
      <c r="L561" s="22" t="s">
        <v>8182</v>
      </c>
      <c r="M561" s="35" t="s">
        <v>9959</v>
      </c>
      <c r="N561" s="22" t="s">
        <v>4114</v>
      </c>
      <c r="O561" s="22" t="s">
        <v>6008</v>
      </c>
      <c r="P561" s="22" t="s">
        <v>4114</v>
      </c>
      <c r="Q561" s="22" t="s">
        <v>6008</v>
      </c>
      <c r="R561" s="22" t="s">
        <v>9955</v>
      </c>
      <c r="S561" s="25"/>
      <c r="T561" s="40" t="s">
        <v>9956</v>
      </c>
      <c r="U561" s="22" t="s">
        <v>9957</v>
      </c>
      <c r="V561" s="25"/>
      <c r="W561" s="22" t="s">
        <v>9958</v>
      </c>
      <c r="X561" s="22" t="s">
        <v>8128</v>
      </c>
      <c r="Y561" s="25"/>
      <c r="Z561" s="25"/>
      <c r="AA561" s="22" t="s">
        <v>8129</v>
      </c>
      <c r="AB561" s="22" t="s">
        <v>8130</v>
      </c>
      <c r="AC561" s="25"/>
      <c r="AD561" s="22" t="s">
        <v>8161</v>
      </c>
      <c r="AE561" s="22" t="s">
        <v>8132</v>
      </c>
      <c r="AF561" s="25"/>
      <c r="AG561" s="22">
        <v>1.0453261156675E13</v>
      </c>
      <c r="AH561" s="22" t="s">
        <v>8184</v>
      </c>
      <c r="AI561" s="22">
        <v>8.639943704899E12</v>
      </c>
      <c r="AJ561" s="25"/>
      <c r="AK561" s="22">
        <v>6.714599276867E12</v>
      </c>
      <c r="AL561" s="22" t="s">
        <v>8138</v>
      </c>
      <c r="AQ561" s="32" t="s">
        <v>91</v>
      </c>
      <c r="AR561" s="32" t="b">
        <v>0</v>
      </c>
      <c r="AS561" s="32" t="b">
        <v>1</v>
      </c>
    </row>
    <row r="562">
      <c r="A562" s="21" t="s">
        <v>9960</v>
      </c>
      <c r="B562" s="22" t="s">
        <v>8140</v>
      </c>
      <c r="C562" s="22">
        <v>1.0</v>
      </c>
      <c r="D562" s="22" t="s">
        <v>8141</v>
      </c>
      <c r="E562" s="22" t="s">
        <v>8140</v>
      </c>
      <c r="F562" s="22" t="s">
        <v>8121</v>
      </c>
      <c r="G562" s="25"/>
      <c r="H562" s="22">
        <v>3.2735331418435E13</v>
      </c>
      <c r="I562" s="25"/>
      <c r="J562" s="25"/>
      <c r="K562" s="22">
        <v>4.2085703581939E13</v>
      </c>
      <c r="L562" s="25"/>
      <c r="M562" s="25"/>
      <c r="N562" s="22" t="s">
        <v>4114</v>
      </c>
      <c r="O562" s="22" t="s">
        <v>6617</v>
      </c>
      <c r="P562" s="22" t="s">
        <v>4114</v>
      </c>
      <c r="Q562" s="22" t="s">
        <v>6617</v>
      </c>
      <c r="R562" s="22" t="s">
        <v>9961</v>
      </c>
      <c r="S562" s="25"/>
      <c r="T562" s="40" t="s">
        <v>9962</v>
      </c>
      <c r="U562" s="22" t="s">
        <v>9963</v>
      </c>
      <c r="V562" s="25"/>
      <c r="W562" s="22" t="s">
        <v>9964</v>
      </c>
      <c r="X562" s="22" t="s">
        <v>9720</v>
      </c>
      <c r="Y562" s="25"/>
      <c r="Z562" s="25"/>
      <c r="AA562" s="22" t="s">
        <v>8129</v>
      </c>
      <c r="AB562" s="22" t="s">
        <v>8130</v>
      </c>
      <c r="AC562" s="25"/>
      <c r="AD562" s="22" t="s">
        <v>8131</v>
      </c>
      <c r="AE562" s="22" t="s">
        <v>8132</v>
      </c>
      <c r="AF562" s="25"/>
      <c r="AG562" s="22">
        <v>1.0453317157187E13</v>
      </c>
      <c r="AH562" s="22" t="s">
        <v>90</v>
      </c>
      <c r="AI562" s="22">
        <v>2.3419167146307E13</v>
      </c>
      <c r="AJ562" s="25"/>
      <c r="AK562" s="25"/>
      <c r="AL562" s="22" t="s">
        <v>8134</v>
      </c>
      <c r="AQ562" s="32" t="s">
        <v>8150</v>
      </c>
      <c r="AR562" s="32" t="b">
        <v>0</v>
      </c>
      <c r="AS562" s="32" t="b">
        <v>0</v>
      </c>
    </row>
    <row r="563">
      <c r="A563" s="21" t="s">
        <v>9960</v>
      </c>
      <c r="B563" s="25"/>
      <c r="C563" s="25"/>
      <c r="D563" s="22" t="s">
        <v>8141</v>
      </c>
      <c r="E563" s="25"/>
      <c r="F563" s="22" t="s">
        <v>8136</v>
      </c>
      <c r="G563" s="25"/>
      <c r="H563" s="22">
        <v>9.509261312323E12</v>
      </c>
      <c r="I563" s="25"/>
      <c r="J563" s="25"/>
      <c r="K563" s="25"/>
      <c r="L563" s="25"/>
      <c r="M563" s="25"/>
      <c r="N563" s="22" t="s">
        <v>4114</v>
      </c>
      <c r="O563" s="22" t="s">
        <v>6617</v>
      </c>
      <c r="P563" s="22" t="s">
        <v>4114</v>
      </c>
      <c r="Q563" s="22" t="s">
        <v>6617</v>
      </c>
      <c r="R563" s="22" t="s">
        <v>9961</v>
      </c>
      <c r="S563" s="25"/>
      <c r="T563" s="40" t="s">
        <v>9962</v>
      </c>
      <c r="U563" s="22" t="s">
        <v>9963</v>
      </c>
      <c r="V563" s="25"/>
      <c r="W563" s="22" t="s">
        <v>9964</v>
      </c>
      <c r="X563" s="22" t="s">
        <v>9720</v>
      </c>
      <c r="Y563" s="25"/>
      <c r="Z563" s="25"/>
      <c r="AA563" s="22" t="s">
        <v>8129</v>
      </c>
      <c r="AB563" s="22" t="s">
        <v>8130</v>
      </c>
      <c r="AC563" s="25"/>
      <c r="AD563" s="25"/>
      <c r="AE563" s="22" t="s">
        <v>8132</v>
      </c>
      <c r="AF563" s="25"/>
      <c r="AG563" s="22">
        <v>1.0453317157187E13</v>
      </c>
      <c r="AH563" s="22" t="s">
        <v>8137</v>
      </c>
      <c r="AI563" s="22">
        <v>2.3419167146307E13</v>
      </c>
      <c r="AJ563" s="25"/>
      <c r="AK563" s="25"/>
      <c r="AL563" s="22" t="s">
        <v>8136</v>
      </c>
      <c r="AR563" s="32" t="b">
        <v>0</v>
      </c>
      <c r="AS563" s="32" t="b">
        <v>0</v>
      </c>
    </row>
    <row r="564">
      <c r="A564" s="21" t="s">
        <v>9965</v>
      </c>
      <c r="B564" s="22" t="s">
        <v>8119</v>
      </c>
      <c r="C564" s="22">
        <v>1.0</v>
      </c>
      <c r="D564" s="22" t="s">
        <v>8221</v>
      </c>
      <c r="E564" s="22" t="s">
        <v>8119</v>
      </c>
      <c r="F564" s="22" t="s">
        <v>8121</v>
      </c>
      <c r="G564" s="25"/>
      <c r="H564" s="22">
        <v>3.2735596544323E13</v>
      </c>
      <c r="I564" s="25"/>
      <c r="J564" s="25"/>
      <c r="K564" s="22">
        <v>4.2085703549171E13</v>
      </c>
      <c r="L564" s="25"/>
      <c r="M564" s="25"/>
      <c r="N564" s="22" t="s">
        <v>3912</v>
      </c>
      <c r="O564" s="22" t="s">
        <v>9966</v>
      </c>
      <c r="P564" s="22" t="s">
        <v>3912</v>
      </c>
      <c r="Q564" s="22" t="s">
        <v>9966</v>
      </c>
      <c r="R564" s="22" t="s">
        <v>9967</v>
      </c>
      <c r="S564" s="25"/>
      <c r="T564" s="40" t="s">
        <v>9968</v>
      </c>
      <c r="U564" s="22" t="s">
        <v>9969</v>
      </c>
      <c r="V564" s="25"/>
      <c r="W564" s="22" t="s">
        <v>9970</v>
      </c>
      <c r="X564" s="22" t="s">
        <v>9971</v>
      </c>
      <c r="Y564" s="25"/>
      <c r="Z564" s="25"/>
      <c r="AA564" s="22" t="s">
        <v>8129</v>
      </c>
      <c r="AB564" s="22" t="s">
        <v>8130</v>
      </c>
      <c r="AC564" s="25"/>
      <c r="AD564" s="22" t="s">
        <v>8131</v>
      </c>
      <c r="AE564" s="22" t="s">
        <v>8132</v>
      </c>
      <c r="AF564" s="25"/>
      <c r="AG564" s="22">
        <v>1.0453434401091E13</v>
      </c>
      <c r="AH564" s="22" t="s">
        <v>90</v>
      </c>
      <c r="AI564" s="22">
        <v>6.477916209395E12</v>
      </c>
      <c r="AJ564" s="25"/>
      <c r="AK564" s="25"/>
      <c r="AL564" s="22" t="s">
        <v>8133</v>
      </c>
      <c r="AQ564" s="32" t="s">
        <v>8135</v>
      </c>
      <c r="AR564" s="32" t="b">
        <v>0</v>
      </c>
      <c r="AS564" s="32" t="b">
        <v>0</v>
      </c>
    </row>
    <row r="565">
      <c r="A565" s="21" t="s">
        <v>9965</v>
      </c>
      <c r="B565" s="25"/>
      <c r="C565" s="25"/>
      <c r="D565" s="22" t="s">
        <v>8221</v>
      </c>
      <c r="E565" s="25"/>
      <c r="F565" s="22" t="s">
        <v>8136</v>
      </c>
      <c r="G565" s="25"/>
      <c r="H565" s="22">
        <v>9.509367087427E12</v>
      </c>
      <c r="I565" s="25"/>
      <c r="J565" s="25"/>
      <c r="K565" s="25"/>
      <c r="L565" s="25"/>
      <c r="M565" s="25"/>
      <c r="N565" s="22" t="s">
        <v>3912</v>
      </c>
      <c r="O565" s="22" t="s">
        <v>9966</v>
      </c>
      <c r="P565" s="22" t="s">
        <v>3912</v>
      </c>
      <c r="Q565" s="22" t="s">
        <v>9966</v>
      </c>
      <c r="R565" s="22" t="s">
        <v>9967</v>
      </c>
      <c r="S565" s="25"/>
      <c r="T565" s="40" t="s">
        <v>9968</v>
      </c>
      <c r="U565" s="22" t="s">
        <v>9969</v>
      </c>
      <c r="V565" s="25"/>
      <c r="W565" s="22" t="s">
        <v>9970</v>
      </c>
      <c r="X565" s="22" t="s">
        <v>9971</v>
      </c>
      <c r="Y565" s="25"/>
      <c r="Z565" s="25"/>
      <c r="AA565" s="22" t="s">
        <v>8129</v>
      </c>
      <c r="AB565" s="22" t="s">
        <v>8130</v>
      </c>
      <c r="AC565" s="25"/>
      <c r="AD565" s="25"/>
      <c r="AE565" s="22" t="s">
        <v>8132</v>
      </c>
      <c r="AF565" s="25"/>
      <c r="AG565" s="22">
        <v>1.0453434401091E13</v>
      </c>
      <c r="AH565" s="22" t="s">
        <v>8137</v>
      </c>
      <c r="AI565" s="22">
        <v>6.477916209395E12</v>
      </c>
      <c r="AJ565" s="25"/>
      <c r="AK565" s="25"/>
      <c r="AL565" s="22" t="s">
        <v>8136</v>
      </c>
      <c r="AR565" s="32" t="b">
        <v>0</v>
      </c>
      <c r="AS565" s="32" t="b">
        <v>0</v>
      </c>
    </row>
    <row r="566">
      <c r="A566" s="21" t="s">
        <v>9972</v>
      </c>
      <c r="B566" s="22" t="s">
        <v>8262</v>
      </c>
      <c r="C566" s="22">
        <v>1.0</v>
      </c>
      <c r="D566" s="22" t="s">
        <v>8203</v>
      </c>
      <c r="E566" s="22" t="s">
        <v>8262</v>
      </c>
      <c r="F566" s="22" t="s">
        <v>8155</v>
      </c>
      <c r="G566" s="25"/>
      <c r="H566" s="22">
        <v>3.2735753863491E13</v>
      </c>
      <c r="I566" s="25"/>
      <c r="J566" s="25"/>
      <c r="K566" s="22">
        <v>4.7338059792707E13</v>
      </c>
      <c r="L566" s="25"/>
      <c r="M566" s="25"/>
      <c r="N566" s="22" t="s">
        <v>6790</v>
      </c>
      <c r="O566" s="22" t="s">
        <v>3826</v>
      </c>
      <c r="P566" s="22" t="s">
        <v>6790</v>
      </c>
      <c r="Q566" s="22" t="s">
        <v>3826</v>
      </c>
      <c r="R566" s="22" t="s">
        <v>9973</v>
      </c>
      <c r="S566" s="22" t="s">
        <v>9974</v>
      </c>
      <c r="T566" s="40" t="s">
        <v>9975</v>
      </c>
      <c r="U566" s="22" t="s">
        <v>9976</v>
      </c>
      <c r="V566" s="25"/>
      <c r="W566" s="22" t="s">
        <v>9977</v>
      </c>
      <c r="X566" s="22" t="s">
        <v>8200</v>
      </c>
      <c r="Y566" s="25"/>
      <c r="Z566" s="25"/>
      <c r="AA566" s="22" t="s">
        <v>8129</v>
      </c>
      <c r="AB566" s="22" t="s">
        <v>8130</v>
      </c>
      <c r="AC566" s="25"/>
      <c r="AD566" s="22" t="s">
        <v>8161</v>
      </c>
      <c r="AE566" s="22" t="s">
        <v>8132</v>
      </c>
      <c r="AF566" s="25"/>
      <c r="AG566" s="22">
        <v>1.0453505409347E13</v>
      </c>
      <c r="AH566" s="22" t="s">
        <v>90</v>
      </c>
      <c r="AI566" s="22">
        <v>6.446227816691E12</v>
      </c>
      <c r="AJ566" s="25"/>
      <c r="AK566" s="25"/>
      <c r="AL566" s="22" t="s">
        <v>8269</v>
      </c>
      <c r="AQ566" s="32" t="s">
        <v>91</v>
      </c>
      <c r="AR566" s="32" t="b">
        <v>0</v>
      </c>
      <c r="AS566" s="32" t="b">
        <v>0</v>
      </c>
    </row>
    <row r="567">
      <c r="A567" s="21" t="s">
        <v>9972</v>
      </c>
      <c r="B567" s="25"/>
      <c r="C567" s="25"/>
      <c r="D567" s="22" t="s">
        <v>8203</v>
      </c>
      <c r="E567" s="25"/>
      <c r="F567" s="22" t="s">
        <v>8149</v>
      </c>
      <c r="G567" s="25"/>
      <c r="H567" s="22">
        <v>9.509430198595E12</v>
      </c>
      <c r="I567" s="25"/>
      <c r="J567" s="25"/>
      <c r="K567" s="25"/>
      <c r="L567" s="25"/>
      <c r="M567" s="25"/>
      <c r="N567" s="22" t="s">
        <v>6790</v>
      </c>
      <c r="O567" s="22" t="s">
        <v>3826</v>
      </c>
      <c r="P567" s="22" t="s">
        <v>6790</v>
      </c>
      <c r="Q567" s="22" t="s">
        <v>3826</v>
      </c>
      <c r="R567" s="22" t="s">
        <v>9973</v>
      </c>
      <c r="S567" s="22" t="s">
        <v>9974</v>
      </c>
      <c r="T567" s="40" t="s">
        <v>9975</v>
      </c>
      <c r="U567" s="22" t="s">
        <v>9976</v>
      </c>
      <c r="V567" s="25"/>
      <c r="W567" s="22" t="s">
        <v>9977</v>
      </c>
      <c r="X567" s="22" t="s">
        <v>8200</v>
      </c>
      <c r="Y567" s="25"/>
      <c r="Z567" s="25"/>
      <c r="AA567" s="22" t="s">
        <v>8129</v>
      </c>
      <c r="AB567" s="22" t="s">
        <v>8130</v>
      </c>
      <c r="AC567" s="25"/>
      <c r="AD567" s="25"/>
      <c r="AE567" s="22" t="s">
        <v>8132</v>
      </c>
      <c r="AF567" s="25"/>
      <c r="AG567" s="22">
        <v>1.0453505409347E13</v>
      </c>
      <c r="AH567" s="22" t="s">
        <v>8137</v>
      </c>
      <c r="AI567" s="22">
        <v>6.446227816691E12</v>
      </c>
      <c r="AJ567" s="25"/>
      <c r="AK567" s="25"/>
      <c r="AL567" s="22" t="s">
        <v>8149</v>
      </c>
      <c r="AR567" s="32" t="b">
        <v>0</v>
      </c>
      <c r="AS567" s="32" t="b">
        <v>0</v>
      </c>
    </row>
    <row r="568">
      <c r="A568" s="21" t="s">
        <v>9978</v>
      </c>
      <c r="B568" s="22" t="s">
        <v>8140</v>
      </c>
      <c r="C568" s="22">
        <v>1.0</v>
      </c>
      <c r="D568" s="22" t="s">
        <v>8141</v>
      </c>
      <c r="E568" s="22" t="s">
        <v>8140</v>
      </c>
      <c r="F568" s="22" t="s">
        <v>8121</v>
      </c>
      <c r="G568" s="25"/>
      <c r="H568" s="22">
        <v>3.2735801803075E13</v>
      </c>
      <c r="I568" s="25"/>
      <c r="J568" s="25"/>
      <c r="K568" s="22">
        <v>4.2085703581939E13</v>
      </c>
      <c r="L568" s="25"/>
      <c r="M568" s="25"/>
      <c r="N568" s="22" t="s">
        <v>9979</v>
      </c>
      <c r="O568" s="22" t="s">
        <v>9980</v>
      </c>
      <c r="P568" s="22" t="s">
        <v>9979</v>
      </c>
      <c r="Q568" s="22" t="s">
        <v>9980</v>
      </c>
      <c r="R568" s="22" t="s">
        <v>9981</v>
      </c>
      <c r="S568" s="25"/>
      <c r="T568" s="40" t="s">
        <v>9982</v>
      </c>
      <c r="U568" s="22" t="s">
        <v>9983</v>
      </c>
      <c r="V568" s="25"/>
      <c r="W568" s="22" t="s">
        <v>9494</v>
      </c>
      <c r="X568" s="22" t="s">
        <v>8251</v>
      </c>
      <c r="Y568" s="25"/>
      <c r="Z568" s="25"/>
      <c r="AA568" s="22" t="s">
        <v>8129</v>
      </c>
      <c r="AB568" s="22" t="s">
        <v>8130</v>
      </c>
      <c r="AC568" s="25"/>
      <c r="AD568" s="22" t="s">
        <v>8131</v>
      </c>
      <c r="AE568" s="22" t="s">
        <v>8132</v>
      </c>
      <c r="AF568" s="25"/>
      <c r="AG568" s="22">
        <v>1.0453526053187E13</v>
      </c>
      <c r="AH568" s="22" t="s">
        <v>90</v>
      </c>
      <c r="AI568" s="22">
        <v>2.3419391738179E13</v>
      </c>
      <c r="AJ568" s="25"/>
      <c r="AK568" s="25"/>
      <c r="AL568" s="22" t="s">
        <v>8134</v>
      </c>
      <c r="AQ568" s="32" t="s">
        <v>8150</v>
      </c>
      <c r="AR568" s="32" t="b">
        <v>0</v>
      </c>
      <c r="AS568" s="32" t="b">
        <v>0</v>
      </c>
    </row>
    <row r="569">
      <c r="A569" s="21" t="s">
        <v>9978</v>
      </c>
      <c r="B569" s="25"/>
      <c r="C569" s="25"/>
      <c r="D569" s="22" t="s">
        <v>8141</v>
      </c>
      <c r="E569" s="25"/>
      <c r="F569" s="22" t="s">
        <v>8136</v>
      </c>
      <c r="G569" s="25"/>
      <c r="H569" s="22">
        <v>9.509448384835E12</v>
      </c>
      <c r="I569" s="25"/>
      <c r="J569" s="25"/>
      <c r="K569" s="25"/>
      <c r="L569" s="25"/>
      <c r="M569" s="25"/>
      <c r="N569" s="22" t="s">
        <v>9979</v>
      </c>
      <c r="O569" s="22" t="s">
        <v>9980</v>
      </c>
      <c r="P569" s="22" t="s">
        <v>9979</v>
      </c>
      <c r="Q569" s="22" t="s">
        <v>9980</v>
      </c>
      <c r="R569" s="22" t="s">
        <v>9981</v>
      </c>
      <c r="S569" s="25"/>
      <c r="T569" s="40" t="s">
        <v>9982</v>
      </c>
      <c r="U569" s="22" t="s">
        <v>9983</v>
      </c>
      <c r="V569" s="25"/>
      <c r="W569" s="22" t="s">
        <v>9494</v>
      </c>
      <c r="X569" s="22" t="s">
        <v>8251</v>
      </c>
      <c r="Y569" s="25"/>
      <c r="Z569" s="25"/>
      <c r="AA569" s="22" t="s">
        <v>8129</v>
      </c>
      <c r="AB569" s="22" t="s">
        <v>8130</v>
      </c>
      <c r="AC569" s="25"/>
      <c r="AD569" s="25"/>
      <c r="AE569" s="22" t="s">
        <v>8132</v>
      </c>
      <c r="AF569" s="25"/>
      <c r="AG569" s="22">
        <v>1.0453526053187E13</v>
      </c>
      <c r="AH569" s="22" t="s">
        <v>8137</v>
      </c>
      <c r="AI569" s="22">
        <v>2.3419391738179E13</v>
      </c>
      <c r="AJ569" s="25"/>
      <c r="AK569" s="25"/>
      <c r="AL569" s="22" t="s">
        <v>8136</v>
      </c>
      <c r="AR569" s="32" t="b">
        <v>0</v>
      </c>
      <c r="AS569" s="32" t="b">
        <v>0</v>
      </c>
    </row>
    <row r="570">
      <c r="A570" s="21" t="s">
        <v>9984</v>
      </c>
      <c r="B570" s="22" t="s">
        <v>8119</v>
      </c>
      <c r="C570" s="22">
        <v>2.0</v>
      </c>
      <c r="D570" s="22" t="s">
        <v>8501</v>
      </c>
      <c r="E570" s="22" t="s">
        <v>8119</v>
      </c>
      <c r="F570" s="22" t="s">
        <v>8121</v>
      </c>
      <c r="G570" s="25"/>
      <c r="H570" s="22">
        <v>3.2736291258691E13</v>
      </c>
      <c r="I570" s="25"/>
      <c r="J570" s="25"/>
      <c r="K570" s="22">
        <v>4.2085703549171E13</v>
      </c>
      <c r="L570" s="25"/>
      <c r="M570" s="25"/>
      <c r="N570" s="22" t="s">
        <v>5288</v>
      </c>
      <c r="O570" s="22" t="s">
        <v>9985</v>
      </c>
      <c r="P570" s="22" t="s">
        <v>5288</v>
      </c>
      <c r="Q570" s="22" t="s">
        <v>9985</v>
      </c>
      <c r="R570" s="22" t="s">
        <v>9986</v>
      </c>
      <c r="S570" s="25"/>
      <c r="T570" s="40" t="s">
        <v>9987</v>
      </c>
      <c r="U570" s="22" t="s">
        <v>9988</v>
      </c>
      <c r="V570" s="25"/>
      <c r="W570" s="22" t="s">
        <v>9989</v>
      </c>
      <c r="X570" s="22" t="s">
        <v>9212</v>
      </c>
      <c r="Y570" s="25"/>
      <c r="Z570" s="25"/>
      <c r="AA570" s="22" t="s">
        <v>8129</v>
      </c>
      <c r="AB570" s="22" t="s">
        <v>8130</v>
      </c>
      <c r="AC570" s="25"/>
      <c r="AD570" s="22" t="s">
        <v>8131</v>
      </c>
      <c r="AE570" s="22" t="s">
        <v>8132</v>
      </c>
      <c r="AF570" s="25"/>
      <c r="AG570" s="22">
        <v>1.0453751562563E13</v>
      </c>
      <c r="AH570" s="22" t="s">
        <v>90</v>
      </c>
      <c r="AI570" s="22">
        <v>6.471280263411E12</v>
      </c>
      <c r="AJ570" s="25"/>
      <c r="AK570" s="25"/>
      <c r="AL570" s="22" t="s">
        <v>8133</v>
      </c>
      <c r="AQ570" s="32" t="s">
        <v>8135</v>
      </c>
      <c r="AR570" s="32" t="b">
        <v>0</v>
      </c>
      <c r="AS570" s="32" t="b">
        <v>0</v>
      </c>
    </row>
    <row r="571">
      <c r="A571" s="21" t="s">
        <v>9984</v>
      </c>
      <c r="B571" s="25"/>
      <c r="C571" s="25"/>
      <c r="D571" s="22" t="s">
        <v>8501</v>
      </c>
      <c r="E571" s="25"/>
      <c r="F571" s="22" t="s">
        <v>8457</v>
      </c>
      <c r="G571" s="25"/>
      <c r="H571" s="22">
        <v>9.509642797379E12</v>
      </c>
      <c r="I571" s="25"/>
      <c r="J571" s="25"/>
      <c r="K571" s="25"/>
      <c r="L571" s="25"/>
      <c r="M571" s="25"/>
      <c r="N571" s="22" t="s">
        <v>5288</v>
      </c>
      <c r="O571" s="22" t="s">
        <v>9985</v>
      </c>
      <c r="P571" s="22" t="s">
        <v>5288</v>
      </c>
      <c r="Q571" s="22" t="s">
        <v>9985</v>
      </c>
      <c r="R571" s="22" t="s">
        <v>9986</v>
      </c>
      <c r="S571" s="25"/>
      <c r="T571" s="40" t="s">
        <v>9987</v>
      </c>
      <c r="U571" s="22" t="s">
        <v>9988</v>
      </c>
      <c r="V571" s="25"/>
      <c r="W571" s="22" t="s">
        <v>9989</v>
      </c>
      <c r="X571" s="22" t="s">
        <v>9212</v>
      </c>
      <c r="Y571" s="25"/>
      <c r="Z571" s="25"/>
      <c r="AA571" s="22" t="s">
        <v>8129</v>
      </c>
      <c r="AB571" s="22" t="s">
        <v>8130</v>
      </c>
      <c r="AC571" s="25"/>
      <c r="AD571" s="25"/>
      <c r="AE571" s="22" t="s">
        <v>8132</v>
      </c>
      <c r="AF571" s="25"/>
      <c r="AG571" s="22">
        <v>1.0453751562563E13</v>
      </c>
      <c r="AH571" s="22" t="s">
        <v>8137</v>
      </c>
      <c r="AI571" s="22">
        <v>6.471280263411E12</v>
      </c>
      <c r="AJ571" s="25"/>
      <c r="AK571" s="25"/>
      <c r="AL571" s="22" t="s">
        <v>8457</v>
      </c>
      <c r="AR571" s="32" t="b">
        <v>0</v>
      </c>
      <c r="AS571" s="32" t="b">
        <v>0</v>
      </c>
    </row>
    <row r="572">
      <c r="A572" s="21" t="s">
        <v>9990</v>
      </c>
      <c r="B572" s="22" t="s">
        <v>8467</v>
      </c>
      <c r="C572" s="22">
        <v>1.0</v>
      </c>
      <c r="D572" s="22" t="s">
        <v>8212</v>
      </c>
      <c r="E572" s="22" t="s">
        <v>8467</v>
      </c>
      <c r="F572" s="22" t="s">
        <v>8155</v>
      </c>
      <c r="G572" s="25"/>
      <c r="H572" s="22">
        <v>3.2736345850179E13</v>
      </c>
      <c r="I572" s="25"/>
      <c r="J572" s="25"/>
      <c r="K572" s="22">
        <v>4.9521175462211E13</v>
      </c>
      <c r="L572" s="25"/>
      <c r="M572" s="25"/>
      <c r="N572" s="22" t="s">
        <v>9991</v>
      </c>
      <c r="O572" s="22" t="s">
        <v>6110</v>
      </c>
      <c r="P572" s="22" t="s">
        <v>9991</v>
      </c>
      <c r="Q572" s="22" t="s">
        <v>6110</v>
      </c>
      <c r="R572" s="22" t="s">
        <v>9992</v>
      </c>
      <c r="S572" s="25"/>
      <c r="T572" s="40" t="s">
        <v>9993</v>
      </c>
      <c r="U572" s="22" t="s">
        <v>9994</v>
      </c>
      <c r="V572" s="25"/>
      <c r="W572" s="22" t="s">
        <v>9995</v>
      </c>
      <c r="X572" s="22" t="s">
        <v>9996</v>
      </c>
      <c r="Y572" s="25"/>
      <c r="Z572" s="25"/>
      <c r="AA572" s="22" t="s">
        <v>8129</v>
      </c>
      <c r="AB572" s="22" t="s">
        <v>8130</v>
      </c>
      <c r="AC572" s="25"/>
      <c r="AD572" s="22" t="s">
        <v>8161</v>
      </c>
      <c r="AE572" s="22" t="s">
        <v>8132</v>
      </c>
      <c r="AF572" s="25"/>
      <c r="AG572" s="22">
        <v>1.0453775876419E13</v>
      </c>
      <c r="AH572" s="22" t="s">
        <v>90</v>
      </c>
      <c r="AI572" s="22">
        <v>2.3419667480899E13</v>
      </c>
      <c r="AJ572" s="25"/>
      <c r="AK572" s="25"/>
      <c r="AL572" s="22" t="s">
        <v>8173</v>
      </c>
      <c r="AQ572" s="32" t="s">
        <v>55</v>
      </c>
      <c r="AR572" s="32" t="b">
        <v>0</v>
      </c>
      <c r="AS572" s="32" t="b">
        <v>1</v>
      </c>
    </row>
    <row r="573">
      <c r="A573" s="21" t="s">
        <v>9990</v>
      </c>
      <c r="B573" s="25"/>
      <c r="C573" s="25"/>
      <c r="D573" s="22" t="s">
        <v>8212</v>
      </c>
      <c r="E573" s="25"/>
      <c r="F573" s="22" t="s">
        <v>8149</v>
      </c>
      <c r="G573" s="25"/>
      <c r="H573" s="22">
        <v>9.509663768899E12</v>
      </c>
      <c r="I573" s="25"/>
      <c r="J573" s="25"/>
      <c r="K573" s="25"/>
      <c r="L573" s="25"/>
      <c r="M573" s="25"/>
      <c r="N573" s="22" t="s">
        <v>9991</v>
      </c>
      <c r="O573" s="22" t="s">
        <v>6110</v>
      </c>
      <c r="P573" s="22" t="s">
        <v>9991</v>
      </c>
      <c r="Q573" s="22" t="s">
        <v>6110</v>
      </c>
      <c r="R573" s="22" t="s">
        <v>9992</v>
      </c>
      <c r="S573" s="25"/>
      <c r="T573" s="40" t="s">
        <v>9993</v>
      </c>
      <c r="U573" s="22" t="s">
        <v>9994</v>
      </c>
      <c r="V573" s="25"/>
      <c r="W573" s="22" t="s">
        <v>9995</v>
      </c>
      <c r="X573" s="22" t="s">
        <v>9996</v>
      </c>
      <c r="Y573" s="25"/>
      <c r="Z573" s="25"/>
      <c r="AA573" s="22" t="s">
        <v>8129</v>
      </c>
      <c r="AB573" s="22" t="s">
        <v>8130</v>
      </c>
      <c r="AC573" s="25"/>
      <c r="AD573" s="25"/>
      <c r="AE573" s="22" t="s">
        <v>8132</v>
      </c>
      <c r="AF573" s="25"/>
      <c r="AG573" s="22">
        <v>1.0453775876419E13</v>
      </c>
      <c r="AH573" s="22" t="s">
        <v>8137</v>
      </c>
      <c r="AI573" s="22">
        <v>2.3419667480899E13</v>
      </c>
      <c r="AJ573" s="25"/>
      <c r="AK573" s="25"/>
      <c r="AL573" s="22" t="s">
        <v>8149</v>
      </c>
      <c r="AR573" s="32" t="b">
        <v>0</v>
      </c>
      <c r="AS573" s="32" t="b">
        <v>0</v>
      </c>
    </row>
    <row r="574">
      <c r="A574" s="21" t="s">
        <v>9997</v>
      </c>
      <c r="B574" s="22" t="s">
        <v>8140</v>
      </c>
      <c r="C574" s="22">
        <v>1.0</v>
      </c>
      <c r="D574" s="22" t="s">
        <v>8581</v>
      </c>
      <c r="E574" s="22" t="s">
        <v>8140</v>
      </c>
      <c r="F574" s="22" t="s">
        <v>8121</v>
      </c>
      <c r="G574" s="25"/>
      <c r="H574" s="22">
        <v>3.2733361733955E13</v>
      </c>
      <c r="I574" s="25"/>
      <c r="J574" s="25"/>
      <c r="K574" s="22">
        <v>4.2085703581939E13</v>
      </c>
      <c r="L574" s="25"/>
      <c r="M574" s="25"/>
      <c r="N574" s="22" t="s">
        <v>3889</v>
      </c>
      <c r="O574" s="22" t="s">
        <v>9998</v>
      </c>
      <c r="P574" s="22" t="s">
        <v>3889</v>
      </c>
      <c r="Q574" s="22" t="s">
        <v>9998</v>
      </c>
      <c r="R574" s="22" t="s">
        <v>9999</v>
      </c>
      <c r="S574" s="25"/>
      <c r="T574" s="40" t="s">
        <v>10000</v>
      </c>
      <c r="U574" s="22" t="s">
        <v>10001</v>
      </c>
      <c r="V574" s="25"/>
      <c r="W574" s="22" t="s">
        <v>10002</v>
      </c>
      <c r="X574" s="22" t="s">
        <v>10003</v>
      </c>
      <c r="Y574" s="25"/>
      <c r="Z574" s="25"/>
      <c r="AA574" s="22" t="s">
        <v>8129</v>
      </c>
      <c r="AB574" s="22" t="s">
        <v>8130</v>
      </c>
      <c r="AC574" s="25"/>
      <c r="AD574" s="22" t="s">
        <v>8131</v>
      </c>
      <c r="AE574" s="22" t="s">
        <v>8132</v>
      </c>
      <c r="AF574" s="25"/>
      <c r="AG574" s="22">
        <v>1.0452471382339E13</v>
      </c>
      <c r="AH574" s="22" t="s">
        <v>90</v>
      </c>
      <c r="AI574" s="22">
        <v>5.971392725235E12</v>
      </c>
      <c r="AJ574" s="25"/>
      <c r="AK574" s="25"/>
      <c r="AL574" s="22" t="s">
        <v>8134</v>
      </c>
      <c r="AQ574" s="32" t="s">
        <v>8150</v>
      </c>
      <c r="AR574" s="32" t="b">
        <v>0</v>
      </c>
      <c r="AS574" s="32" t="b">
        <v>0</v>
      </c>
    </row>
    <row r="575">
      <c r="A575" s="21" t="s">
        <v>9997</v>
      </c>
      <c r="B575" s="25"/>
      <c r="C575" s="25"/>
      <c r="D575" s="22" t="s">
        <v>8581</v>
      </c>
      <c r="E575" s="25"/>
      <c r="F575" s="22" t="s">
        <v>8136</v>
      </c>
      <c r="G575" s="25"/>
      <c r="H575" s="22">
        <v>9.508486349123E12</v>
      </c>
      <c r="I575" s="25"/>
      <c r="J575" s="25"/>
      <c r="K575" s="25"/>
      <c r="L575" s="25"/>
      <c r="M575" s="25"/>
      <c r="N575" s="22" t="s">
        <v>3889</v>
      </c>
      <c r="O575" s="22" t="s">
        <v>9998</v>
      </c>
      <c r="P575" s="22" t="s">
        <v>3889</v>
      </c>
      <c r="Q575" s="22" t="s">
        <v>9998</v>
      </c>
      <c r="R575" s="22" t="s">
        <v>9999</v>
      </c>
      <c r="S575" s="25"/>
      <c r="T575" s="40" t="s">
        <v>10000</v>
      </c>
      <c r="U575" s="22" t="s">
        <v>10001</v>
      </c>
      <c r="V575" s="25"/>
      <c r="W575" s="22" t="s">
        <v>10002</v>
      </c>
      <c r="X575" s="22" t="s">
        <v>10003</v>
      </c>
      <c r="Y575" s="25"/>
      <c r="Z575" s="25"/>
      <c r="AA575" s="22" t="s">
        <v>8129</v>
      </c>
      <c r="AB575" s="22" t="s">
        <v>8130</v>
      </c>
      <c r="AC575" s="25"/>
      <c r="AD575" s="25"/>
      <c r="AE575" s="22" t="s">
        <v>8132</v>
      </c>
      <c r="AF575" s="25"/>
      <c r="AG575" s="22">
        <v>1.0452471382339E13</v>
      </c>
      <c r="AH575" s="22" t="s">
        <v>8137</v>
      </c>
      <c r="AI575" s="22">
        <v>5.971392725235E12</v>
      </c>
      <c r="AJ575" s="25"/>
      <c r="AK575" s="25"/>
      <c r="AL575" s="22" t="s">
        <v>8136</v>
      </c>
      <c r="AR575" s="32" t="b">
        <v>0</v>
      </c>
      <c r="AS575" s="32" t="b">
        <v>0</v>
      </c>
    </row>
    <row r="576">
      <c r="A576" s="21" t="s">
        <v>10004</v>
      </c>
      <c r="B576" s="22" t="s">
        <v>8707</v>
      </c>
      <c r="C576" s="22">
        <v>2.0</v>
      </c>
      <c r="D576" s="22" t="s">
        <v>8721</v>
      </c>
      <c r="E576" s="22" t="s">
        <v>8707</v>
      </c>
      <c r="F576" s="22" t="s">
        <v>8155</v>
      </c>
      <c r="G576" s="25"/>
      <c r="H576" s="22">
        <v>3.2736666976579E13</v>
      </c>
      <c r="I576" s="25"/>
      <c r="J576" s="25"/>
      <c r="K576" s="22">
        <v>4.9521175429443E13</v>
      </c>
      <c r="L576" s="25"/>
      <c r="M576" s="25"/>
      <c r="N576" s="22" t="s">
        <v>10005</v>
      </c>
      <c r="O576" s="22" t="s">
        <v>10006</v>
      </c>
      <c r="P576" s="22" t="s">
        <v>10005</v>
      </c>
      <c r="Q576" s="22" t="s">
        <v>10006</v>
      </c>
      <c r="R576" s="22" t="s">
        <v>10007</v>
      </c>
      <c r="S576" s="25"/>
      <c r="T576" s="40" t="s">
        <v>10008</v>
      </c>
      <c r="U576" s="22" t="s">
        <v>10009</v>
      </c>
      <c r="V576" s="25"/>
      <c r="W576" s="22" t="s">
        <v>10010</v>
      </c>
      <c r="X576" s="22" t="s">
        <v>8128</v>
      </c>
      <c r="Y576" s="25"/>
      <c r="Z576" s="25"/>
      <c r="AA576" s="22" t="s">
        <v>8129</v>
      </c>
      <c r="AB576" s="22" t="s">
        <v>8130</v>
      </c>
      <c r="AC576" s="25"/>
      <c r="AD576" s="22" t="s">
        <v>8161</v>
      </c>
      <c r="AE576" s="22" t="s">
        <v>8132</v>
      </c>
      <c r="AF576" s="25"/>
      <c r="AG576" s="22">
        <v>1.0453920514371E13</v>
      </c>
      <c r="AH576" s="22" t="s">
        <v>90</v>
      </c>
      <c r="AI576" s="22">
        <v>7.452675768643E12</v>
      </c>
      <c r="AJ576" s="25"/>
      <c r="AK576" s="25"/>
      <c r="AL576" s="22" t="s">
        <v>8336</v>
      </c>
      <c r="AQ576" s="32" t="s">
        <v>54</v>
      </c>
      <c r="AR576" s="32" t="b">
        <v>0</v>
      </c>
      <c r="AS576" s="32" t="b">
        <v>1</v>
      </c>
    </row>
    <row r="577">
      <c r="A577" s="21" t="s">
        <v>10004</v>
      </c>
      <c r="B577" s="25"/>
      <c r="C577" s="25"/>
      <c r="D577" s="22" t="s">
        <v>8721</v>
      </c>
      <c r="E577" s="25"/>
      <c r="F577" s="22" t="s">
        <v>8320</v>
      </c>
      <c r="G577" s="25"/>
      <c r="H577" s="22">
        <v>9.509784551747E12</v>
      </c>
      <c r="I577" s="25"/>
      <c r="J577" s="25"/>
      <c r="K577" s="25"/>
      <c r="L577" s="25"/>
      <c r="M577" s="25"/>
      <c r="N577" s="22" t="s">
        <v>10005</v>
      </c>
      <c r="O577" s="22" t="s">
        <v>10006</v>
      </c>
      <c r="P577" s="22" t="s">
        <v>10005</v>
      </c>
      <c r="Q577" s="22" t="s">
        <v>10006</v>
      </c>
      <c r="R577" s="22" t="s">
        <v>10007</v>
      </c>
      <c r="S577" s="25"/>
      <c r="T577" s="40" t="s">
        <v>10008</v>
      </c>
      <c r="U577" s="22" t="s">
        <v>10009</v>
      </c>
      <c r="V577" s="25"/>
      <c r="W577" s="22" t="s">
        <v>10010</v>
      </c>
      <c r="X577" s="22" t="s">
        <v>8128</v>
      </c>
      <c r="Y577" s="25"/>
      <c r="Z577" s="25"/>
      <c r="AA577" s="22" t="s">
        <v>8129</v>
      </c>
      <c r="AB577" s="22" t="s">
        <v>8130</v>
      </c>
      <c r="AC577" s="25"/>
      <c r="AD577" s="25"/>
      <c r="AE577" s="22" t="s">
        <v>8132</v>
      </c>
      <c r="AF577" s="25"/>
      <c r="AG577" s="22">
        <v>1.0453920514371E13</v>
      </c>
      <c r="AH577" s="22" t="s">
        <v>8137</v>
      </c>
      <c r="AI577" s="22">
        <v>7.452675768643E12</v>
      </c>
      <c r="AJ577" s="25"/>
      <c r="AK577" s="25"/>
      <c r="AL577" s="22" t="s">
        <v>8320</v>
      </c>
      <c r="AR577" s="32" t="b">
        <v>0</v>
      </c>
      <c r="AS577" s="32" t="b">
        <v>0</v>
      </c>
    </row>
    <row r="578">
      <c r="A578" s="21" t="s">
        <v>10011</v>
      </c>
      <c r="B578" s="22" t="s">
        <v>8140</v>
      </c>
      <c r="C578" s="22">
        <v>1.0</v>
      </c>
      <c r="D578" s="22" t="s">
        <v>8910</v>
      </c>
      <c r="E578" s="22" t="s">
        <v>8140</v>
      </c>
      <c r="F578" s="22" t="s">
        <v>8121</v>
      </c>
      <c r="G578" s="25"/>
      <c r="H578" s="22">
        <v>3.2737121108291E13</v>
      </c>
      <c r="I578" s="25"/>
      <c r="J578" s="25"/>
      <c r="K578" s="22">
        <v>4.2085703581939E13</v>
      </c>
      <c r="L578" s="25"/>
      <c r="M578" s="25"/>
      <c r="N578" s="22" t="s">
        <v>10012</v>
      </c>
      <c r="O578" s="22" t="s">
        <v>4788</v>
      </c>
      <c r="P578" s="22" t="s">
        <v>10012</v>
      </c>
      <c r="Q578" s="22" t="s">
        <v>4788</v>
      </c>
      <c r="R578" s="22" t="s">
        <v>10013</v>
      </c>
      <c r="S578" s="25"/>
      <c r="T578" s="40" t="s">
        <v>10014</v>
      </c>
      <c r="U578" s="22" t="s">
        <v>10015</v>
      </c>
      <c r="V578" s="25"/>
      <c r="W578" s="22" t="s">
        <v>10016</v>
      </c>
      <c r="X578" s="22" t="s">
        <v>10017</v>
      </c>
      <c r="Y578" s="25"/>
      <c r="Z578" s="25"/>
      <c r="AA578" s="22" t="s">
        <v>8129</v>
      </c>
      <c r="AB578" s="22" t="s">
        <v>8130</v>
      </c>
      <c r="AC578" s="25"/>
      <c r="AD578" s="22" t="s">
        <v>8131</v>
      </c>
      <c r="AE578" s="22" t="s">
        <v>8132</v>
      </c>
      <c r="AF578" s="25"/>
      <c r="AG578" s="22">
        <v>1.0454153167171E13</v>
      </c>
      <c r="AH578" s="22" t="s">
        <v>90</v>
      </c>
      <c r="AI578" s="22">
        <v>2.3420059615555E13</v>
      </c>
      <c r="AJ578" s="25"/>
      <c r="AK578" s="25"/>
      <c r="AL578" s="22" t="s">
        <v>8134</v>
      </c>
      <c r="AQ578" s="32" t="s">
        <v>8150</v>
      </c>
      <c r="AR578" s="32" t="b">
        <v>0</v>
      </c>
      <c r="AS578" s="32" t="b">
        <v>0</v>
      </c>
    </row>
    <row r="579">
      <c r="A579" s="21" t="s">
        <v>10011</v>
      </c>
      <c r="B579" s="25"/>
      <c r="C579" s="25"/>
      <c r="D579" s="22" t="s">
        <v>8910</v>
      </c>
      <c r="E579" s="25"/>
      <c r="F579" s="22" t="s">
        <v>8136</v>
      </c>
      <c r="G579" s="25"/>
      <c r="H579" s="22">
        <v>9.509996003651E12</v>
      </c>
      <c r="I579" s="25"/>
      <c r="J579" s="25"/>
      <c r="K579" s="25"/>
      <c r="L579" s="25"/>
      <c r="M579" s="25"/>
      <c r="N579" s="22" t="s">
        <v>10012</v>
      </c>
      <c r="O579" s="22" t="s">
        <v>4788</v>
      </c>
      <c r="P579" s="22" t="s">
        <v>10012</v>
      </c>
      <c r="Q579" s="22" t="s">
        <v>4788</v>
      </c>
      <c r="R579" s="22" t="s">
        <v>10013</v>
      </c>
      <c r="S579" s="25"/>
      <c r="T579" s="40" t="s">
        <v>10014</v>
      </c>
      <c r="U579" s="22" t="s">
        <v>10015</v>
      </c>
      <c r="V579" s="25"/>
      <c r="W579" s="22" t="s">
        <v>10016</v>
      </c>
      <c r="X579" s="22" t="s">
        <v>10017</v>
      </c>
      <c r="Y579" s="25"/>
      <c r="Z579" s="25"/>
      <c r="AA579" s="22" t="s">
        <v>8129</v>
      </c>
      <c r="AB579" s="22" t="s">
        <v>8130</v>
      </c>
      <c r="AC579" s="25"/>
      <c r="AD579" s="25"/>
      <c r="AE579" s="22" t="s">
        <v>8132</v>
      </c>
      <c r="AF579" s="25"/>
      <c r="AG579" s="22">
        <v>1.0454153167171E13</v>
      </c>
      <c r="AH579" s="22" t="s">
        <v>8137</v>
      </c>
      <c r="AI579" s="22">
        <v>2.3420059615555E13</v>
      </c>
      <c r="AJ579" s="25"/>
      <c r="AK579" s="25"/>
      <c r="AL579" s="22" t="s">
        <v>8136</v>
      </c>
      <c r="AR579" s="32" t="b">
        <v>0</v>
      </c>
      <c r="AS579" s="32" t="b">
        <v>0</v>
      </c>
    </row>
    <row r="580">
      <c r="A580" s="21" t="s">
        <v>10018</v>
      </c>
      <c r="B580" s="22" t="s">
        <v>8140</v>
      </c>
      <c r="C580" s="22">
        <v>1.0</v>
      </c>
      <c r="D580" s="22" t="s">
        <v>8141</v>
      </c>
      <c r="E580" s="22" t="s">
        <v>8140</v>
      </c>
      <c r="F580" s="22" t="s">
        <v>8121</v>
      </c>
      <c r="G580" s="25"/>
      <c r="H580" s="22">
        <v>3.2737519206723E13</v>
      </c>
      <c r="I580" s="25"/>
      <c r="J580" s="25"/>
      <c r="K580" s="22">
        <v>4.2085703581939E13</v>
      </c>
      <c r="L580" s="25"/>
      <c r="M580" s="25"/>
      <c r="N580" s="22" t="s">
        <v>10019</v>
      </c>
      <c r="O580" s="22" t="s">
        <v>10020</v>
      </c>
      <c r="P580" s="22" t="s">
        <v>10019</v>
      </c>
      <c r="Q580" s="22" t="s">
        <v>10020</v>
      </c>
      <c r="R580" s="22" t="s">
        <v>10021</v>
      </c>
      <c r="S580" s="25"/>
      <c r="T580" s="40" t="s">
        <v>10022</v>
      </c>
      <c r="U580" s="22" t="s">
        <v>10023</v>
      </c>
      <c r="V580" s="25"/>
      <c r="W580" s="22" t="s">
        <v>10024</v>
      </c>
      <c r="X580" s="22" t="s">
        <v>8242</v>
      </c>
      <c r="Y580" s="25"/>
      <c r="Z580" s="25"/>
      <c r="AA580" s="22" t="s">
        <v>8129</v>
      </c>
      <c r="AB580" s="22" t="s">
        <v>8130</v>
      </c>
      <c r="AC580" s="25"/>
      <c r="AD580" s="22" t="s">
        <v>8131</v>
      </c>
      <c r="AE580" s="22" t="s">
        <v>8132</v>
      </c>
      <c r="AF580" s="25"/>
      <c r="AG580" s="22">
        <v>1.0454359867715E13</v>
      </c>
      <c r="AH580" s="22" t="s">
        <v>90</v>
      </c>
      <c r="AI580" s="22">
        <v>8.602110656835E12</v>
      </c>
      <c r="AJ580" s="25"/>
      <c r="AK580" s="25"/>
      <c r="AL580" s="22" t="s">
        <v>8134</v>
      </c>
      <c r="AQ580" s="32" t="s">
        <v>8150</v>
      </c>
      <c r="AR580" s="32" t="b">
        <v>0</v>
      </c>
      <c r="AS580" s="32" t="b">
        <v>0</v>
      </c>
    </row>
    <row r="581">
      <c r="A581" s="21" t="s">
        <v>10018</v>
      </c>
      <c r="B581" s="25"/>
      <c r="C581" s="25"/>
      <c r="D581" s="22" t="s">
        <v>8141</v>
      </c>
      <c r="E581" s="25"/>
      <c r="F581" s="22" t="s">
        <v>8136</v>
      </c>
      <c r="G581" s="25"/>
      <c r="H581" s="22">
        <v>9.510186942787E12</v>
      </c>
      <c r="I581" s="25"/>
      <c r="J581" s="25"/>
      <c r="K581" s="25"/>
      <c r="L581" s="25"/>
      <c r="M581" s="25"/>
      <c r="N581" s="22" t="s">
        <v>10019</v>
      </c>
      <c r="O581" s="22" t="s">
        <v>10020</v>
      </c>
      <c r="P581" s="22" t="s">
        <v>10019</v>
      </c>
      <c r="Q581" s="22" t="s">
        <v>10020</v>
      </c>
      <c r="R581" s="22" t="s">
        <v>10021</v>
      </c>
      <c r="S581" s="25"/>
      <c r="T581" s="40" t="s">
        <v>10022</v>
      </c>
      <c r="U581" s="22" t="s">
        <v>10023</v>
      </c>
      <c r="V581" s="25"/>
      <c r="W581" s="22" t="s">
        <v>10024</v>
      </c>
      <c r="X581" s="22" t="s">
        <v>8242</v>
      </c>
      <c r="Y581" s="25"/>
      <c r="Z581" s="25"/>
      <c r="AA581" s="22" t="s">
        <v>8129</v>
      </c>
      <c r="AB581" s="22" t="s">
        <v>8130</v>
      </c>
      <c r="AC581" s="25"/>
      <c r="AD581" s="25"/>
      <c r="AE581" s="22" t="s">
        <v>8132</v>
      </c>
      <c r="AF581" s="25"/>
      <c r="AG581" s="22">
        <v>1.0454359867715E13</v>
      </c>
      <c r="AH581" s="22" t="s">
        <v>8137</v>
      </c>
      <c r="AI581" s="22">
        <v>8.602110656835E12</v>
      </c>
      <c r="AJ581" s="25"/>
      <c r="AK581" s="25"/>
      <c r="AL581" s="22" t="s">
        <v>8136</v>
      </c>
      <c r="AR581" s="32" t="b">
        <v>0</v>
      </c>
      <c r="AS581" s="32" t="b">
        <v>0</v>
      </c>
    </row>
    <row r="582">
      <c r="A582" s="21" t="s">
        <v>10025</v>
      </c>
      <c r="B582" s="22" t="s">
        <v>8211</v>
      </c>
      <c r="C582" s="22">
        <v>1.0</v>
      </c>
      <c r="D582" s="22" t="s">
        <v>8371</v>
      </c>
      <c r="E582" s="22" t="s">
        <v>8211</v>
      </c>
      <c r="F582" s="22" t="s">
        <v>8155</v>
      </c>
      <c r="G582" s="25"/>
      <c r="H582" s="22">
        <v>3.2733529309507E13</v>
      </c>
      <c r="I582" s="25"/>
      <c r="J582" s="25"/>
      <c r="K582" s="22">
        <v>4.7338059727171E13</v>
      </c>
      <c r="L582" s="25"/>
      <c r="M582" s="25"/>
      <c r="N582" s="22" t="s">
        <v>10026</v>
      </c>
      <c r="O582" s="22" t="s">
        <v>10027</v>
      </c>
      <c r="P582" s="22" t="s">
        <v>10026</v>
      </c>
      <c r="Q582" s="22" t="s">
        <v>10027</v>
      </c>
      <c r="R582" s="22" t="s">
        <v>10028</v>
      </c>
      <c r="S582" s="25"/>
      <c r="T582" s="40" t="s">
        <v>10029</v>
      </c>
      <c r="U582" s="22" t="s">
        <v>10030</v>
      </c>
      <c r="V582" s="25"/>
      <c r="W582" s="22" t="s">
        <v>10031</v>
      </c>
      <c r="X582" s="22" t="s">
        <v>10032</v>
      </c>
      <c r="Y582" s="25"/>
      <c r="Z582" s="25"/>
      <c r="AA582" s="22" t="s">
        <v>8129</v>
      </c>
      <c r="AB582" s="22" t="s">
        <v>8130</v>
      </c>
      <c r="AC582" s="25"/>
      <c r="AD582" s="22" t="s">
        <v>8161</v>
      </c>
      <c r="AE582" s="22" t="s">
        <v>8132</v>
      </c>
      <c r="AF582" s="25"/>
      <c r="AG582" s="22">
        <v>1.0452542914883E13</v>
      </c>
      <c r="AH582" s="22" t="s">
        <v>90</v>
      </c>
      <c r="AI582" s="22">
        <v>8.597149614403E12</v>
      </c>
      <c r="AJ582" s="25"/>
      <c r="AK582" s="25"/>
      <c r="AL582" s="22" t="s">
        <v>8151</v>
      </c>
      <c r="AQ582" s="32" t="s">
        <v>54</v>
      </c>
      <c r="AR582" s="32" t="b">
        <v>0</v>
      </c>
      <c r="AS582" s="32" t="b">
        <v>0</v>
      </c>
    </row>
    <row r="583">
      <c r="A583" s="21" t="s">
        <v>10025</v>
      </c>
      <c r="B583" s="25"/>
      <c r="C583" s="25"/>
      <c r="D583" s="22" t="s">
        <v>8371</v>
      </c>
      <c r="E583" s="25"/>
      <c r="F583" s="22" t="s">
        <v>8149</v>
      </c>
      <c r="G583" s="25"/>
      <c r="H583" s="22">
        <v>9.508553490755E12</v>
      </c>
      <c r="I583" s="25"/>
      <c r="J583" s="25"/>
      <c r="K583" s="25"/>
      <c r="L583" s="25"/>
      <c r="M583" s="25"/>
      <c r="N583" s="22" t="s">
        <v>10026</v>
      </c>
      <c r="O583" s="22" t="s">
        <v>10027</v>
      </c>
      <c r="P583" s="22" t="s">
        <v>10026</v>
      </c>
      <c r="Q583" s="22" t="s">
        <v>10027</v>
      </c>
      <c r="R583" s="22" t="s">
        <v>10028</v>
      </c>
      <c r="S583" s="25"/>
      <c r="T583" s="40" t="s">
        <v>10029</v>
      </c>
      <c r="U583" s="22" t="s">
        <v>10030</v>
      </c>
      <c r="V583" s="25"/>
      <c r="W583" s="22" t="s">
        <v>10031</v>
      </c>
      <c r="X583" s="22" t="s">
        <v>10032</v>
      </c>
      <c r="Y583" s="25"/>
      <c r="Z583" s="25"/>
      <c r="AA583" s="22" t="s">
        <v>8129</v>
      </c>
      <c r="AB583" s="22" t="s">
        <v>8130</v>
      </c>
      <c r="AC583" s="25"/>
      <c r="AD583" s="25"/>
      <c r="AE583" s="22" t="s">
        <v>8132</v>
      </c>
      <c r="AF583" s="25"/>
      <c r="AG583" s="22">
        <v>1.0452542914883E13</v>
      </c>
      <c r="AH583" s="22" t="s">
        <v>8137</v>
      </c>
      <c r="AI583" s="22">
        <v>8.597149614403E12</v>
      </c>
      <c r="AJ583" s="25"/>
      <c r="AK583" s="25"/>
      <c r="AL583" s="22" t="s">
        <v>8149</v>
      </c>
      <c r="AR583" s="32" t="b">
        <v>0</v>
      </c>
      <c r="AS583" s="32" t="b">
        <v>0</v>
      </c>
    </row>
    <row r="584">
      <c r="A584" s="21" t="s">
        <v>10033</v>
      </c>
      <c r="B584" s="22" t="s">
        <v>8467</v>
      </c>
      <c r="C584" s="22">
        <v>1.0</v>
      </c>
      <c r="D584" s="22" t="s">
        <v>8175</v>
      </c>
      <c r="E584" s="22" t="s">
        <v>8467</v>
      </c>
      <c r="F584" s="22" t="s">
        <v>8155</v>
      </c>
      <c r="G584" s="22" t="s">
        <v>89</v>
      </c>
      <c r="H584" s="22">
        <v>3.2733632528707E13</v>
      </c>
      <c r="I584" s="22" t="s">
        <v>89</v>
      </c>
      <c r="J584" s="25"/>
      <c r="K584" s="22">
        <v>4.9521175462211E13</v>
      </c>
      <c r="L584" s="25"/>
      <c r="M584" s="25"/>
      <c r="N584" s="22" t="s">
        <v>3967</v>
      </c>
      <c r="O584" s="22" t="s">
        <v>10034</v>
      </c>
      <c r="P584" s="22" t="s">
        <v>3967</v>
      </c>
      <c r="Q584" s="22" t="s">
        <v>10034</v>
      </c>
      <c r="R584" s="22" t="s">
        <v>10035</v>
      </c>
      <c r="S584" s="25"/>
      <c r="T584" s="40" t="s">
        <v>10036</v>
      </c>
      <c r="U584" s="22" t="s">
        <v>10037</v>
      </c>
      <c r="V584" s="25"/>
      <c r="W584" s="22" t="s">
        <v>10038</v>
      </c>
      <c r="X584" s="22" t="s">
        <v>10039</v>
      </c>
      <c r="Y584" s="25"/>
      <c r="Z584" s="25"/>
      <c r="AA584" s="22" t="s">
        <v>8129</v>
      </c>
      <c r="AB584" s="22" t="s">
        <v>8130</v>
      </c>
      <c r="AC584" s="25"/>
      <c r="AD584" s="22" t="s">
        <v>8161</v>
      </c>
      <c r="AE584" s="22" t="s">
        <v>8132</v>
      </c>
      <c r="AF584" s="25"/>
      <c r="AG584" s="22">
        <v>1.0452584268099E13</v>
      </c>
      <c r="AH584" s="22" t="s">
        <v>90</v>
      </c>
      <c r="AI584" s="22">
        <v>2.3418287489347E13</v>
      </c>
      <c r="AJ584" s="25"/>
      <c r="AK584" s="25"/>
      <c r="AL584" s="22" t="s">
        <v>8173</v>
      </c>
      <c r="AQ584" s="32" t="s">
        <v>55</v>
      </c>
      <c r="AR584" s="32" t="b">
        <v>0</v>
      </c>
      <c r="AS584" s="32" t="b">
        <v>1</v>
      </c>
    </row>
    <row r="585">
      <c r="A585" s="21" t="s">
        <v>10033</v>
      </c>
      <c r="B585" s="25"/>
      <c r="C585" s="25"/>
      <c r="D585" s="22" t="s">
        <v>8175</v>
      </c>
      <c r="E585" s="25"/>
      <c r="F585" s="22" t="s">
        <v>8149</v>
      </c>
      <c r="G585" s="25"/>
      <c r="H585" s="22">
        <v>9.508592746819E12</v>
      </c>
      <c r="I585" s="22" t="s">
        <v>89</v>
      </c>
      <c r="J585" s="25"/>
      <c r="K585" s="25"/>
      <c r="L585" s="25"/>
      <c r="M585" s="25"/>
      <c r="N585" s="22" t="s">
        <v>3967</v>
      </c>
      <c r="O585" s="22" t="s">
        <v>10034</v>
      </c>
      <c r="P585" s="22" t="s">
        <v>3967</v>
      </c>
      <c r="Q585" s="22" t="s">
        <v>10034</v>
      </c>
      <c r="R585" s="22" t="s">
        <v>10035</v>
      </c>
      <c r="S585" s="25"/>
      <c r="T585" s="40" t="s">
        <v>10036</v>
      </c>
      <c r="U585" s="22" t="s">
        <v>10037</v>
      </c>
      <c r="V585" s="25"/>
      <c r="W585" s="22" t="s">
        <v>10038</v>
      </c>
      <c r="X585" s="22" t="s">
        <v>10039</v>
      </c>
      <c r="Y585" s="25"/>
      <c r="Z585" s="25"/>
      <c r="AA585" s="22" t="s">
        <v>8129</v>
      </c>
      <c r="AB585" s="22" t="s">
        <v>8130</v>
      </c>
      <c r="AC585" s="25"/>
      <c r="AD585" s="25"/>
      <c r="AE585" s="22" t="s">
        <v>8132</v>
      </c>
      <c r="AF585" s="25"/>
      <c r="AG585" s="22">
        <v>1.0452584268099E13</v>
      </c>
      <c r="AH585" s="22" t="s">
        <v>8137</v>
      </c>
      <c r="AI585" s="22">
        <v>2.3418287489347E13</v>
      </c>
      <c r="AJ585" s="25"/>
      <c r="AK585" s="25"/>
      <c r="AL585" s="22" t="s">
        <v>8149</v>
      </c>
      <c r="AR585" s="32" t="b">
        <v>0</v>
      </c>
      <c r="AS585" s="32" t="b">
        <v>0</v>
      </c>
    </row>
    <row r="586">
      <c r="A586" s="21" t="s">
        <v>10033</v>
      </c>
      <c r="B586" s="22" t="s">
        <v>8467</v>
      </c>
      <c r="C586" s="22">
        <v>-1.0</v>
      </c>
      <c r="D586" s="22" t="s">
        <v>8175</v>
      </c>
      <c r="E586" s="22" t="s">
        <v>8467</v>
      </c>
      <c r="F586" s="22" t="s">
        <v>8155</v>
      </c>
      <c r="G586" s="22" t="s">
        <v>89</v>
      </c>
      <c r="H586" s="22">
        <v>3.2733632528707E13</v>
      </c>
      <c r="I586" s="22" t="s">
        <v>89</v>
      </c>
      <c r="J586" s="25"/>
      <c r="K586" s="22">
        <v>4.9521175462211E13</v>
      </c>
      <c r="L586" s="22" t="s">
        <v>8182</v>
      </c>
      <c r="M586" s="35" t="s">
        <v>10040</v>
      </c>
      <c r="N586" s="22" t="s">
        <v>3967</v>
      </c>
      <c r="O586" s="22" t="s">
        <v>10034</v>
      </c>
      <c r="P586" s="22" t="s">
        <v>3967</v>
      </c>
      <c r="Q586" s="22" t="s">
        <v>10034</v>
      </c>
      <c r="R586" s="22" t="s">
        <v>10035</v>
      </c>
      <c r="S586" s="25"/>
      <c r="T586" s="40" t="s">
        <v>10036</v>
      </c>
      <c r="U586" s="22" t="s">
        <v>10037</v>
      </c>
      <c r="V586" s="25"/>
      <c r="W586" s="22" t="s">
        <v>10038</v>
      </c>
      <c r="X586" s="22" t="s">
        <v>10039</v>
      </c>
      <c r="Y586" s="25"/>
      <c r="Z586" s="25"/>
      <c r="AA586" s="22" t="s">
        <v>8129</v>
      </c>
      <c r="AB586" s="22" t="s">
        <v>8130</v>
      </c>
      <c r="AC586" s="25"/>
      <c r="AD586" s="22" t="s">
        <v>8161</v>
      </c>
      <c r="AE586" s="22" t="s">
        <v>8132</v>
      </c>
      <c r="AF586" s="25"/>
      <c r="AG586" s="22">
        <v>1.0452584268099E13</v>
      </c>
      <c r="AH586" s="22" t="s">
        <v>8184</v>
      </c>
      <c r="AI586" s="22">
        <v>2.3418287489347E13</v>
      </c>
      <c r="AJ586" s="25"/>
      <c r="AK586" s="22">
        <v>6.714599375171E12</v>
      </c>
      <c r="AL586" s="22" t="s">
        <v>8173</v>
      </c>
      <c r="AQ586" s="32" t="s">
        <v>55</v>
      </c>
      <c r="AR586" s="32" t="b">
        <v>0</v>
      </c>
      <c r="AS586" s="32" t="b">
        <v>1</v>
      </c>
    </row>
    <row r="587">
      <c r="A587" s="21" t="s">
        <v>10041</v>
      </c>
      <c r="B587" s="22" t="s">
        <v>8467</v>
      </c>
      <c r="C587" s="22">
        <v>1.0</v>
      </c>
      <c r="D587" s="22" t="s">
        <v>8175</v>
      </c>
      <c r="E587" s="22" t="s">
        <v>8467</v>
      </c>
      <c r="F587" s="22" t="s">
        <v>8155</v>
      </c>
      <c r="G587" s="22" t="s">
        <v>89</v>
      </c>
      <c r="H587" s="22">
        <v>3.2736381698371E13</v>
      </c>
      <c r="I587" s="22" t="s">
        <v>89</v>
      </c>
      <c r="J587" s="25"/>
      <c r="K587" s="22">
        <v>4.9521175462211E13</v>
      </c>
      <c r="L587" s="25"/>
      <c r="M587" s="25"/>
      <c r="N587" s="22" t="s">
        <v>10042</v>
      </c>
      <c r="O587" s="22" t="s">
        <v>7546</v>
      </c>
      <c r="P587" s="22" t="s">
        <v>10042</v>
      </c>
      <c r="Q587" s="22" t="s">
        <v>7546</v>
      </c>
      <c r="R587" s="22" t="s">
        <v>10043</v>
      </c>
      <c r="S587" s="25"/>
      <c r="T587" s="40" t="s">
        <v>10044</v>
      </c>
      <c r="U587" s="22" t="s">
        <v>10045</v>
      </c>
      <c r="V587" s="25"/>
      <c r="W587" s="22" t="s">
        <v>10046</v>
      </c>
      <c r="X587" s="22" t="s">
        <v>8289</v>
      </c>
      <c r="Y587" s="25"/>
      <c r="Z587" s="25"/>
      <c r="AA587" s="22" t="s">
        <v>8129</v>
      </c>
      <c r="AB587" s="22" t="s">
        <v>8130</v>
      </c>
      <c r="AC587" s="25"/>
      <c r="AD587" s="22" t="s">
        <v>8161</v>
      </c>
      <c r="AE587" s="22" t="s">
        <v>8132</v>
      </c>
      <c r="AF587" s="25"/>
      <c r="AG587" s="22">
        <v>1.0453793800515E13</v>
      </c>
      <c r="AH587" s="22" t="s">
        <v>90</v>
      </c>
      <c r="AI587" s="22">
        <v>2.3419686125891E13</v>
      </c>
      <c r="AJ587" s="25"/>
      <c r="AK587" s="25"/>
      <c r="AL587" s="22" t="s">
        <v>8173</v>
      </c>
      <c r="AQ587" s="32" t="s">
        <v>55</v>
      </c>
      <c r="AR587" s="32" t="b">
        <v>0</v>
      </c>
      <c r="AS587" s="32" t="b">
        <v>1</v>
      </c>
    </row>
    <row r="588">
      <c r="A588" s="21" t="s">
        <v>10041</v>
      </c>
      <c r="B588" s="25"/>
      <c r="C588" s="25"/>
      <c r="D588" s="22" t="s">
        <v>8175</v>
      </c>
      <c r="E588" s="25"/>
      <c r="F588" s="22" t="s">
        <v>8149</v>
      </c>
      <c r="G588" s="25"/>
      <c r="H588" s="22">
        <v>9.509679432003E12</v>
      </c>
      <c r="I588" s="22" t="s">
        <v>89</v>
      </c>
      <c r="J588" s="25"/>
      <c r="K588" s="25"/>
      <c r="L588" s="25"/>
      <c r="M588" s="25"/>
      <c r="N588" s="22" t="s">
        <v>10042</v>
      </c>
      <c r="O588" s="22" t="s">
        <v>7546</v>
      </c>
      <c r="P588" s="22" t="s">
        <v>10042</v>
      </c>
      <c r="Q588" s="22" t="s">
        <v>7546</v>
      </c>
      <c r="R588" s="22" t="s">
        <v>10043</v>
      </c>
      <c r="S588" s="25"/>
      <c r="T588" s="40" t="s">
        <v>10044</v>
      </c>
      <c r="U588" s="22" t="s">
        <v>10045</v>
      </c>
      <c r="V588" s="25"/>
      <c r="W588" s="22" t="s">
        <v>10046</v>
      </c>
      <c r="X588" s="22" t="s">
        <v>8289</v>
      </c>
      <c r="Y588" s="25"/>
      <c r="Z588" s="25"/>
      <c r="AA588" s="22" t="s">
        <v>8129</v>
      </c>
      <c r="AB588" s="22" t="s">
        <v>8130</v>
      </c>
      <c r="AC588" s="25"/>
      <c r="AD588" s="25"/>
      <c r="AE588" s="22" t="s">
        <v>8132</v>
      </c>
      <c r="AF588" s="25"/>
      <c r="AG588" s="22">
        <v>1.0453793800515E13</v>
      </c>
      <c r="AH588" s="22" t="s">
        <v>8137</v>
      </c>
      <c r="AI588" s="22">
        <v>2.3419686125891E13</v>
      </c>
      <c r="AJ588" s="25"/>
      <c r="AK588" s="25"/>
      <c r="AL588" s="22" t="s">
        <v>8149</v>
      </c>
      <c r="AR588" s="32" t="b">
        <v>0</v>
      </c>
      <c r="AS588" s="32" t="b">
        <v>0</v>
      </c>
    </row>
    <row r="589">
      <c r="A589" s="21" t="s">
        <v>10041</v>
      </c>
      <c r="B589" s="22" t="s">
        <v>8467</v>
      </c>
      <c r="C589" s="22">
        <v>-1.0</v>
      </c>
      <c r="D589" s="22" t="s">
        <v>8175</v>
      </c>
      <c r="E589" s="22" t="s">
        <v>8467</v>
      </c>
      <c r="F589" s="22" t="s">
        <v>8155</v>
      </c>
      <c r="G589" s="22" t="s">
        <v>89</v>
      </c>
      <c r="H589" s="22">
        <v>3.2736381698371E13</v>
      </c>
      <c r="I589" s="22" t="s">
        <v>89</v>
      </c>
      <c r="J589" s="25"/>
      <c r="K589" s="22">
        <v>4.9521175462211E13</v>
      </c>
      <c r="L589" s="22" t="s">
        <v>8182</v>
      </c>
      <c r="M589" s="35" t="s">
        <v>10047</v>
      </c>
      <c r="N589" s="22" t="s">
        <v>10042</v>
      </c>
      <c r="O589" s="22" t="s">
        <v>7546</v>
      </c>
      <c r="P589" s="22" t="s">
        <v>10042</v>
      </c>
      <c r="Q589" s="22" t="s">
        <v>7546</v>
      </c>
      <c r="R589" s="22" t="s">
        <v>10043</v>
      </c>
      <c r="S589" s="25"/>
      <c r="T589" s="40" t="s">
        <v>10044</v>
      </c>
      <c r="U589" s="22" t="s">
        <v>10045</v>
      </c>
      <c r="V589" s="25"/>
      <c r="W589" s="22" t="s">
        <v>10046</v>
      </c>
      <c r="X589" s="22" t="s">
        <v>8289</v>
      </c>
      <c r="Y589" s="25"/>
      <c r="Z589" s="25"/>
      <c r="AA589" s="22" t="s">
        <v>8129</v>
      </c>
      <c r="AB589" s="22" t="s">
        <v>8130</v>
      </c>
      <c r="AC589" s="25"/>
      <c r="AD589" s="22" t="s">
        <v>8161</v>
      </c>
      <c r="AE589" s="22" t="s">
        <v>8132</v>
      </c>
      <c r="AF589" s="25"/>
      <c r="AG589" s="22">
        <v>1.0453793800515E13</v>
      </c>
      <c r="AH589" s="22" t="s">
        <v>8184</v>
      </c>
      <c r="AI589" s="22">
        <v>2.3419686125891E13</v>
      </c>
      <c r="AJ589" s="25"/>
      <c r="AK589" s="22">
        <v>6.714598883651E12</v>
      </c>
      <c r="AL589" s="22" t="s">
        <v>8173</v>
      </c>
      <c r="AQ589" s="32" t="s">
        <v>55</v>
      </c>
      <c r="AR589" s="32" t="b">
        <v>0</v>
      </c>
      <c r="AS589" s="32" t="b">
        <v>1</v>
      </c>
    </row>
    <row r="590">
      <c r="A590" s="21" t="s">
        <v>10048</v>
      </c>
      <c r="B590" s="22" t="s">
        <v>8467</v>
      </c>
      <c r="C590" s="22">
        <v>1.0</v>
      </c>
      <c r="D590" s="22" t="s">
        <v>9395</v>
      </c>
      <c r="E590" s="22" t="s">
        <v>8467</v>
      </c>
      <c r="F590" s="22" t="s">
        <v>8155</v>
      </c>
      <c r="G590" s="25"/>
      <c r="H590" s="22">
        <v>3.2737743667523E13</v>
      </c>
      <c r="I590" s="25"/>
      <c r="J590" s="25"/>
      <c r="K590" s="22">
        <v>4.9521175462211E13</v>
      </c>
      <c r="L590" s="25"/>
      <c r="M590" s="25"/>
      <c r="N590" s="22" t="s">
        <v>10049</v>
      </c>
      <c r="O590" s="22" t="s">
        <v>10050</v>
      </c>
      <c r="P590" s="22" t="s">
        <v>10049</v>
      </c>
      <c r="Q590" s="22" t="s">
        <v>10050</v>
      </c>
      <c r="R590" s="22" t="s">
        <v>10051</v>
      </c>
      <c r="S590" s="25"/>
      <c r="T590" s="40" t="s">
        <v>10052</v>
      </c>
      <c r="U590" s="22" t="s">
        <v>10053</v>
      </c>
      <c r="V590" s="25"/>
      <c r="W590" s="22" t="s">
        <v>10054</v>
      </c>
      <c r="X590" s="22" t="s">
        <v>8289</v>
      </c>
      <c r="Y590" s="25"/>
      <c r="Z590" s="25"/>
      <c r="AA590" s="22" t="s">
        <v>8129</v>
      </c>
      <c r="AB590" s="22" t="s">
        <v>8130</v>
      </c>
      <c r="AC590" s="25"/>
      <c r="AD590" s="22" t="s">
        <v>8161</v>
      </c>
      <c r="AE590" s="22" t="s">
        <v>8132</v>
      </c>
      <c r="AF590" s="25"/>
      <c r="AG590" s="22">
        <v>1.0454483468611E13</v>
      </c>
      <c r="AH590" s="22" t="s">
        <v>90</v>
      </c>
      <c r="AI590" s="22">
        <v>2.3420412002627E13</v>
      </c>
      <c r="AJ590" s="25"/>
      <c r="AK590" s="25"/>
      <c r="AL590" s="22" t="s">
        <v>8173</v>
      </c>
      <c r="AQ590" s="32" t="s">
        <v>55</v>
      </c>
      <c r="AR590" s="32" t="b">
        <v>0</v>
      </c>
      <c r="AS590" s="32" t="b">
        <v>1</v>
      </c>
    </row>
    <row r="591">
      <c r="A591" s="21" t="s">
        <v>10048</v>
      </c>
      <c r="B591" s="25"/>
      <c r="C591" s="25"/>
      <c r="D591" s="22" t="s">
        <v>9395</v>
      </c>
      <c r="E591" s="25"/>
      <c r="F591" s="22" t="s">
        <v>8149</v>
      </c>
      <c r="G591" s="25"/>
      <c r="H591" s="22">
        <v>9.510303138115E12</v>
      </c>
      <c r="I591" s="25"/>
      <c r="J591" s="25"/>
      <c r="K591" s="25"/>
      <c r="L591" s="25"/>
      <c r="M591" s="25"/>
      <c r="N591" s="22" t="s">
        <v>10049</v>
      </c>
      <c r="O591" s="22" t="s">
        <v>10050</v>
      </c>
      <c r="P591" s="22" t="s">
        <v>10049</v>
      </c>
      <c r="Q591" s="22" t="s">
        <v>10050</v>
      </c>
      <c r="R591" s="22" t="s">
        <v>10051</v>
      </c>
      <c r="S591" s="25"/>
      <c r="T591" s="40" t="s">
        <v>10052</v>
      </c>
      <c r="U591" s="22" t="s">
        <v>10053</v>
      </c>
      <c r="V591" s="25"/>
      <c r="W591" s="22" t="s">
        <v>10054</v>
      </c>
      <c r="X591" s="22" t="s">
        <v>8289</v>
      </c>
      <c r="Y591" s="25"/>
      <c r="Z591" s="25"/>
      <c r="AA591" s="22" t="s">
        <v>8129</v>
      </c>
      <c r="AB591" s="22" t="s">
        <v>8130</v>
      </c>
      <c r="AC591" s="25"/>
      <c r="AD591" s="25"/>
      <c r="AE591" s="22" t="s">
        <v>8132</v>
      </c>
      <c r="AF591" s="25"/>
      <c r="AG591" s="22">
        <v>1.0454483468611E13</v>
      </c>
      <c r="AH591" s="22" t="s">
        <v>8137</v>
      </c>
      <c r="AI591" s="22">
        <v>2.3420412002627E13</v>
      </c>
      <c r="AJ591" s="25"/>
      <c r="AK591" s="25"/>
      <c r="AL591" s="22" t="s">
        <v>8149</v>
      </c>
      <c r="AR591" s="32" t="b">
        <v>0</v>
      </c>
      <c r="AS591" s="32" t="b">
        <v>0</v>
      </c>
    </row>
    <row r="592">
      <c r="A592" s="21" t="s">
        <v>10055</v>
      </c>
      <c r="B592" s="22" t="s">
        <v>8140</v>
      </c>
      <c r="C592" s="22">
        <v>1.0</v>
      </c>
      <c r="D592" s="22" t="s">
        <v>8581</v>
      </c>
      <c r="E592" s="22" t="s">
        <v>8140</v>
      </c>
      <c r="F592" s="22" t="s">
        <v>8121</v>
      </c>
      <c r="G592" s="25"/>
      <c r="H592" s="22">
        <v>3.2738382446915E13</v>
      </c>
      <c r="I592" s="25"/>
      <c r="J592" s="25"/>
      <c r="K592" s="22">
        <v>4.2085703581939E13</v>
      </c>
      <c r="L592" s="25"/>
      <c r="M592" s="25"/>
      <c r="N592" s="22" t="s">
        <v>10056</v>
      </c>
      <c r="O592" s="22" t="s">
        <v>10057</v>
      </c>
      <c r="P592" s="22" t="s">
        <v>10056</v>
      </c>
      <c r="Q592" s="22" t="s">
        <v>10057</v>
      </c>
      <c r="R592" s="22" t="s">
        <v>10058</v>
      </c>
      <c r="S592" s="25"/>
      <c r="T592" s="40" t="s">
        <v>10059</v>
      </c>
      <c r="U592" s="22" t="s">
        <v>10060</v>
      </c>
      <c r="V592" s="25"/>
      <c r="W592" s="22" t="s">
        <v>10061</v>
      </c>
      <c r="X592" s="22" t="s">
        <v>8276</v>
      </c>
      <c r="Y592" s="25"/>
      <c r="Z592" s="25"/>
      <c r="AA592" s="22" t="s">
        <v>8129</v>
      </c>
      <c r="AB592" s="22" t="s">
        <v>8130</v>
      </c>
      <c r="AC592" s="25"/>
      <c r="AD592" s="22" t="s">
        <v>8131</v>
      </c>
      <c r="AE592" s="22" t="s">
        <v>8132</v>
      </c>
      <c r="AF592" s="25"/>
      <c r="AG592" s="22">
        <v>1.0454777397571E13</v>
      </c>
      <c r="AH592" s="22" t="s">
        <v>90</v>
      </c>
      <c r="AI592" s="22">
        <v>5.975259021555E12</v>
      </c>
      <c r="AJ592" s="25"/>
      <c r="AK592" s="25"/>
      <c r="AL592" s="22" t="s">
        <v>8134</v>
      </c>
      <c r="AQ592" s="32" t="s">
        <v>8150</v>
      </c>
      <c r="AR592" s="32" t="b">
        <v>0</v>
      </c>
      <c r="AS592" s="32" t="b">
        <v>0</v>
      </c>
    </row>
    <row r="593">
      <c r="A593" s="21" t="s">
        <v>10055</v>
      </c>
      <c r="B593" s="25"/>
      <c r="C593" s="25"/>
      <c r="D593" s="22" t="s">
        <v>8581</v>
      </c>
      <c r="E593" s="25"/>
      <c r="F593" s="22" t="s">
        <v>8136</v>
      </c>
      <c r="G593" s="25"/>
      <c r="H593" s="22">
        <v>9.510577504579E12</v>
      </c>
      <c r="I593" s="25"/>
      <c r="J593" s="25"/>
      <c r="K593" s="25"/>
      <c r="L593" s="25"/>
      <c r="M593" s="25"/>
      <c r="N593" s="22" t="s">
        <v>10056</v>
      </c>
      <c r="O593" s="22" t="s">
        <v>10057</v>
      </c>
      <c r="P593" s="22" t="s">
        <v>10056</v>
      </c>
      <c r="Q593" s="22" t="s">
        <v>10057</v>
      </c>
      <c r="R593" s="22" t="s">
        <v>10058</v>
      </c>
      <c r="S593" s="25"/>
      <c r="T593" s="40" t="s">
        <v>10059</v>
      </c>
      <c r="U593" s="22" t="s">
        <v>10060</v>
      </c>
      <c r="V593" s="25"/>
      <c r="W593" s="22" t="s">
        <v>10061</v>
      </c>
      <c r="X593" s="22" t="s">
        <v>8276</v>
      </c>
      <c r="Y593" s="25"/>
      <c r="Z593" s="25"/>
      <c r="AA593" s="22" t="s">
        <v>8129</v>
      </c>
      <c r="AB593" s="22" t="s">
        <v>8130</v>
      </c>
      <c r="AC593" s="25"/>
      <c r="AD593" s="25"/>
      <c r="AE593" s="22" t="s">
        <v>8132</v>
      </c>
      <c r="AF593" s="25"/>
      <c r="AG593" s="22">
        <v>1.0454777397571E13</v>
      </c>
      <c r="AH593" s="22" t="s">
        <v>8137</v>
      </c>
      <c r="AI593" s="22">
        <v>5.975259021555E12</v>
      </c>
      <c r="AJ593" s="25"/>
      <c r="AK593" s="25"/>
      <c r="AL593" s="22" t="s">
        <v>8136</v>
      </c>
      <c r="AR593" s="32" t="b">
        <v>0</v>
      </c>
      <c r="AS593" s="32" t="b">
        <v>0</v>
      </c>
    </row>
    <row r="594">
      <c r="A594" s="21" t="s">
        <v>10062</v>
      </c>
      <c r="B594" s="22" t="s">
        <v>8140</v>
      </c>
      <c r="C594" s="22">
        <v>2.0</v>
      </c>
      <c r="D594" s="22" t="s">
        <v>8305</v>
      </c>
      <c r="E594" s="22" t="s">
        <v>8140</v>
      </c>
      <c r="F594" s="22" t="s">
        <v>8121</v>
      </c>
      <c r="G594" s="25"/>
      <c r="H594" s="22">
        <v>3.2738409414979E13</v>
      </c>
      <c r="I594" s="25"/>
      <c r="J594" s="25"/>
      <c r="K594" s="22">
        <v>4.2085703581939E13</v>
      </c>
      <c r="L594" s="25"/>
      <c r="M594" s="25"/>
      <c r="N594" s="22" t="s">
        <v>6904</v>
      </c>
      <c r="O594" s="22" t="s">
        <v>4841</v>
      </c>
      <c r="P594" s="22" t="s">
        <v>6904</v>
      </c>
      <c r="Q594" s="22" t="s">
        <v>4841</v>
      </c>
      <c r="R594" s="22" t="s">
        <v>10063</v>
      </c>
      <c r="S594" s="25"/>
      <c r="T594" s="40" t="s">
        <v>10064</v>
      </c>
      <c r="U594" s="40" t="s">
        <v>10065</v>
      </c>
      <c r="V594" s="25"/>
      <c r="W594" s="22" t="s">
        <v>10066</v>
      </c>
      <c r="X594" s="22" t="s">
        <v>10067</v>
      </c>
      <c r="Y594" s="25"/>
      <c r="Z594" s="25"/>
      <c r="AA594" s="22" t="s">
        <v>8129</v>
      </c>
      <c r="AB594" s="22" t="s">
        <v>8130</v>
      </c>
      <c r="AC594" s="25"/>
      <c r="AD594" s="22" t="s">
        <v>8131</v>
      </c>
      <c r="AE594" s="22" t="s">
        <v>8132</v>
      </c>
      <c r="AF594" s="25"/>
      <c r="AG594" s="22">
        <v>1.0454788768067E13</v>
      </c>
      <c r="AH594" s="22" t="s">
        <v>90</v>
      </c>
      <c r="AI594" s="22">
        <v>8.628288586051E12</v>
      </c>
      <c r="AJ594" s="25"/>
      <c r="AK594" s="25"/>
      <c r="AL594" s="22" t="s">
        <v>8134</v>
      </c>
      <c r="AQ594" s="32" t="s">
        <v>8150</v>
      </c>
      <c r="AR594" s="32" t="b">
        <v>0</v>
      </c>
      <c r="AS594" s="32" t="b">
        <v>0</v>
      </c>
    </row>
    <row r="595">
      <c r="A595" s="21" t="s">
        <v>10062</v>
      </c>
      <c r="B595" s="25"/>
      <c r="C595" s="25"/>
      <c r="D595" s="22" t="s">
        <v>8305</v>
      </c>
      <c r="E595" s="25"/>
      <c r="F595" s="22" t="s">
        <v>8457</v>
      </c>
      <c r="G595" s="25"/>
      <c r="H595" s="22">
        <v>9.510588350787E12</v>
      </c>
      <c r="I595" s="25"/>
      <c r="J595" s="25"/>
      <c r="K595" s="25"/>
      <c r="L595" s="25"/>
      <c r="M595" s="25"/>
      <c r="N595" s="22" t="s">
        <v>6904</v>
      </c>
      <c r="O595" s="22" t="s">
        <v>4841</v>
      </c>
      <c r="P595" s="22" t="s">
        <v>6904</v>
      </c>
      <c r="Q595" s="22" t="s">
        <v>4841</v>
      </c>
      <c r="R595" s="22" t="s">
        <v>10063</v>
      </c>
      <c r="S595" s="25"/>
      <c r="T595" s="40" t="s">
        <v>10064</v>
      </c>
      <c r="U595" s="40" t="s">
        <v>10065</v>
      </c>
      <c r="V595" s="25"/>
      <c r="W595" s="22" t="s">
        <v>10066</v>
      </c>
      <c r="X595" s="22" t="s">
        <v>10067</v>
      </c>
      <c r="Y595" s="25"/>
      <c r="Z595" s="25"/>
      <c r="AA595" s="22" t="s">
        <v>8129</v>
      </c>
      <c r="AB595" s="22" t="s">
        <v>8130</v>
      </c>
      <c r="AC595" s="25"/>
      <c r="AD595" s="25"/>
      <c r="AE595" s="22" t="s">
        <v>8132</v>
      </c>
      <c r="AF595" s="25"/>
      <c r="AG595" s="22">
        <v>1.0454788768067E13</v>
      </c>
      <c r="AH595" s="22" t="s">
        <v>8137</v>
      </c>
      <c r="AI595" s="22">
        <v>8.628288586051E12</v>
      </c>
      <c r="AJ595" s="25"/>
      <c r="AK595" s="25"/>
      <c r="AL595" s="22" t="s">
        <v>8457</v>
      </c>
      <c r="AR595" s="32" t="b">
        <v>0</v>
      </c>
      <c r="AS595" s="32" t="b">
        <v>0</v>
      </c>
    </row>
    <row r="596">
      <c r="A596" s="21" t="s">
        <v>10068</v>
      </c>
      <c r="B596" s="22" t="s">
        <v>8262</v>
      </c>
      <c r="C596" s="22">
        <v>1.0</v>
      </c>
      <c r="D596" s="22" t="s">
        <v>8501</v>
      </c>
      <c r="E596" s="22" t="s">
        <v>8262</v>
      </c>
      <c r="F596" s="22" t="s">
        <v>8155</v>
      </c>
      <c r="G596" s="25"/>
      <c r="H596" s="22">
        <v>3.2738641445187E13</v>
      </c>
      <c r="I596" s="25"/>
      <c r="J596" s="25"/>
      <c r="K596" s="22">
        <v>4.7338059792707E13</v>
      </c>
      <c r="L596" s="25"/>
      <c r="M596" s="25"/>
      <c r="N596" s="22" t="s">
        <v>4663</v>
      </c>
      <c r="O596" s="22" t="s">
        <v>10069</v>
      </c>
      <c r="P596" s="22" t="s">
        <v>8797</v>
      </c>
      <c r="Q596" s="22" t="s">
        <v>10069</v>
      </c>
      <c r="R596" s="22" t="s">
        <v>10070</v>
      </c>
      <c r="S596" s="25"/>
      <c r="T596" s="40" t="s">
        <v>10071</v>
      </c>
      <c r="U596" s="22" t="s">
        <v>10072</v>
      </c>
      <c r="V596" s="25"/>
      <c r="W596" s="22" t="s">
        <v>10073</v>
      </c>
      <c r="X596" s="22" t="s">
        <v>10074</v>
      </c>
      <c r="Y596" s="25"/>
      <c r="Z596" s="25"/>
      <c r="AA596" s="22" t="s">
        <v>8129</v>
      </c>
      <c r="AB596" s="22" t="s">
        <v>8130</v>
      </c>
      <c r="AC596" s="25"/>
      <c r="AD596" s="22" t="s">
        <v>8161</v>
      </c>
      <c r="AE596" s="22" t="s">
        <v>8132</v>
      </c>
      <c r="AF596" s="25"/>
      <c r="AG596" s="22">
        <v>1.0454887137603E13</v>
      </c>
      <c r="AH596" s="22" t="s">
        <v>90</v>
      </c>
      <c r="AI596" s="22">
        <v>8.568131027267E12</v>
      </c>
      <c r="AJ596" s="25"/>
      <c r="AK596" s="25"/>
      <c r="AL596" s="22" t="s">
        <v>8269</v>
      </c>
      <c r="AQ596" s="32" t="s">
        <v>91</v>
      </c>
      <c r="AR596" s="32" t="b">
        <v>0</v>
      </c>
      <c r="AS596" s="32" t="b">
        <v>0</v>
      </c>
    </row>
    <row r="597">
      <c r="A597" s="21" t="s">
        <v>10068</v>
      </c>
      <c r="B597" s="25"/>
      <c r="C597" s="25"/>
      <c r="D597" s="22" t="s">
        <v>8501</v>
      </c>
      <c r="E597" s="25"/>
      <c r="F597" s="22" t="s">
        <v>768</v>
      </c>
      <c r="G597" s="25"/>
      <c r="H597" s="25"/>
      <c r="I597" s="25"/>
      <c r="J597" s="25"/>
      <c r="K597" s="25"/>
      <c r="L597" s="25"/>
      <c r="M597" s="25"/>
      <c r="N597" s="22" t="s">
        <v>4663</v>
      </c>
      <c r="O597" s="22" t="s">
        <v>10069</v>
      </c>
      <c r="P597" s="22" t="s">
        <v>8797</v>
      </c>
      <c r="Q597" s="22" t="s">
        <v>10069</v>
      </c>
      <c r="R597" s="22" t="s">
        <v>10070</v>
      </c>
      <c r="S597" s="25"/>
      <c r="T597" s="40" t="s">
        <v>10071</v>
      </c>
      <c r="U597" s="22" t="s">
        <v>10072</v>
      </c>
      <c r="V597" s="25"/>
      <c r="W597" s="22" t="s">
        <v>10073</v>
      </c>
      <c r="X597" s="22" t="s">
        <v>10074</v>
      </c>
      <c r="Y597" s="25"/>
      <c r="Z597" s="25"/>
      <c r="AA597" s="22" t="s">
        <v>8129</v>
      </c>
      <c r="AB597" s="22" t="s">
        <v>8130</v>
      </c>
      <c r="AC597" s="25"/>
      <c r="AD597" s="25"/>
      <c r="AE597" s="22" t="s">
        <v>8132</v>
      </c>
      <c r="AF597" s="25"/>
      <c r="AG597" s="22">
        <v>1.0454887137603E13</v>
      </c>
      <c r="AH597" s="22" t="s">
        <v>769</v>
      </c>
      <c r="AI597" s="22">
        <v>8.568131027267E12</v>
      </c>
      <c r="AJ597" s="25"/>
      <c r="AK597" s="25"/>
      <c r="AL597" s="22" t="s">
        <v>10075</v>
      </c>
      <c r="AR597" s="32" t="b">
        <v>0</v>
      </c>
      <c r="AS597" s="32" t="b">
        <v>0</v>
      </c>
    </row>
    <row r="598">
      <c r="A598" s="21" t="s">
        <v>10068</v>
      </c>
      <c r="B598" s="25"/>
      <c r="C598" s="25"/>
      <c r="D598" s="22" t="s">
        <v>8501</v>
      </c>
      <c r="E598" s="25"/>
      <c r="F598" s="22" t="s">
        <v>10076</v>
      </c>
      <c r="G598" s="25"/>
      <c r="H598" s="22">
        <v>9.510681968963E12</v>
      </c>
      <c r="I598" s="25"/>
      <c r="J598" s="25"/>
      <c r="K598" s="25"/>
      <c r="L598" s="25"/>
      <c r="M598" s="25"/>
      <c r="N598" s="22" t="s">
        <v>4663</v>
      </c>
      <c r="O598" s="22" t="s">
        <v>10069</v>
      </c>
      <c r="P598" s="22" t="s">
        <v>8797</v>
      </c>
      <c r="Q598" s="22" t="s">
        <v>10069</v>
      </c>
      <c r="R598" s="22" t="s">
        <v>10070</v>
      </c>
      <c r="S598" s="25"/>
      <c r="T598" s="40" t="s">
        <v>10071</v>
      </c>
      <c r="U598" s="22" t="s">
        <v>10072</v>
      </c>
      <c r="V598" s="25"/>
      <c r="W598" s="22" t="s">
        <v>10073</v>
      </c>
      <c r="X598" s="22" t="s">
        <v>10074</v>
      </c>
      <c r="Y598" s="25"/>
      <c r="Z598" s="25"/>
      <c r="AA598" s="22" t="s">
        <v>8129</v>
      </c>
      <c r="AB598" s="22" t="s">
        <v>8130</v>
      </c>
      <c r="AC598" s="25"/>
      <c r="AD598" s="25"/>
      <c r="AE598" s="22" t="s">
        <v>8132</v>
      </c>
      <c r="AF598" s="25"/>
      <c r="AG598" s="22">
        <v>1.0454887137603E13</v>
      </c>
      <c r="AH598" s="22" t="s">
        <v>8137</v>
      </c>
      <c r="AI598" s="22">
        <v>8.568131027267E12</v>
      </c>
      <c r="AJ598" s="25"/>
      <c r="AK598" s="25"/>
      <c r="AL598" s="22" t="s">
        <v>10076</v>
      </c>
      <c r="AR598" s="32" t="b">
        <v>0</v>
      </c>
      <c r="AS598" s="32" t="b">
        <v>0</v>
      </c>
    </row>
    <row r="599">
      <c r="A599" s="21" t="s">
        <v>10077</v>
      </c>
      <c r="B599" s="22" t="s">
        <v>8140</v>
      </c>
      <c r="C599" s="22">
        <v>1.0</v>
      </c>
      <c r="D599" s="22" t="s">
        <v>8221</v>
      </c>
      <c r="E599" s="22" t="s">
        <v>8140</v>
      </c>
      <c r="F599" s="22" t="s">
        <v>8121</v>
      </c>
      <c r="G599" s="25"/>
      <c r="H599" s="22">
        <v>3.2739032006979E13</v>
      </c>
      <c r="I599" s="25"/>
      <c r="J599" s="25"/>
      <c r="K599" s="22">
        <v>4.2085703581939E13</v>
      </c>
      <c r="L599" s="25"/>
      <c r="M599" s="25"/>
      <c r="N599" s="22" t="s">
        <v>4479</v>
      </c>
      <c r="O599" s="22" t="s">
        <v>10078</v>
      </c>
      <c r="P599" s="22" t="s">
        <v>4479</v>
      </c>
      <c r="Q599" s="22" t="s">
        <v>10078</v>
      </c>
      <c r="R599" s="22" t="s">
        <v>10079</v>
      </c>
      <c r="S599" s="25"/>
      <c r="T599" s="40" t="s">
        <v>10080</v>
      </c>
      <c r="U599" s="22" t="s">
        <v>10081</v>
      </c>
      <c r="V599" s="25"/>
      <c r="W599" s="22" t="s">
        <v>10082</v>
      </c>
      <c r="X599" s="22" t="s">
        <v>8289</v>
      </c>
      <c r="Y599" s="25"/>
      <c r="Z599" s="25"/>
      <c r="AA599" s="22" t="s">
        <v>8129</v>
      </c>
      <c r="AB599" s="22" t="s">
        <v>8130</v>
      </c>
      <c r="AC599" s="25"/>
      <c r="AD599" s="22" t="s">
        <v>8131</v>
      </c>
      <c r="AE599" s="22" t="s">
        <v>8132</v>
      </c>
      <c r="AF599" s="25"/>
      <c r="AG599" s="22">
        <v>1.0455049503043E13</v>
      </c>
      <c r="AH599" s="22" t="s">
        <v>90</v>
      </c>
      <c r="AI599" s="22">
        <v>8.596624212291E12</v>
      </c>
      <c r="AJ599" s="25"/>
      <c r="AK599" s="25"/>
      <c r="AL599" s="22" t="s">
        <v>8134</v>
      </c>
      <c r="AQ599" s="32" t="s">
        <v>8150</v>
      </c>
      <c r="AR599" s="32" t="b">
        <v>0</v>
      </c>
      <c r="AS599" s="32" t="b">
        <v>0</v>
      </c>
    </row>
    <row r="600">
      <c r="A600" s="21" t="s">
        <v>10077</v>
      </c>
      <c r="B600" s="25"/>
      <c r="C600" s="25"/>
      <c r="D600" s="22" t="s">
        <v>8221</v>
      </c>
      <c r="E600" s="25"/>
      <c r="F600" s="22" t="s">
        <v>8136</v>
      </c>
      <c r="G600" s="25"/>
      <c r="H600" s="22">
        <v>9.510837387587E12</v>
      </c>
      <c r="I600" s="25"/>
      <c r="J600" s="25"/>
      <c r="K600" s="25"/>
      <c r="L600" s="25"/>
      <c r="M600" s="25"/>
      <c r="N600" s="22" t="s">
        <v>4479</v>
      </c>
      <c r="O600" s="22" t="s">
        <v>10078</v>
      </c>
      <c r="P600" s="22" t="s">
        <v>4479</v>
      </c>
      <c r="Q600" s="22" t="s">
        <v>10078</v>
      </c>
      <c r="R600" s="22" t="s">
        <v>10079</v>
      </c>
      <c r="S600" s="25"/>
      <c r="T600" s="40" t="s">
        <v>10080</v>
      </c>
      <c r="U600" s="22" t="s">
        <v>10081</v>
      </c>
      <c r="V600" s="25"/>
      <c r="W600" s="22" t="s">
        <v>10082</v>
      </c>
      <c r="X600" s="22" t="s">
        <v>8289</v>
      </c>
      <c r="Y600" s="25"/>
      <c r="Z600" s="25"/>
      <c r="AA600" s="22" t="s">
        <v>8129</v>
      </c>
      <c r="AB600" s="22" t="s">
        <v>8130</v>
      </c>
      <c r="AC600" s="25"/>
      <c r="AD600" s="25"/>
      <c r="AE600" s="22" t="s">
        <v>8132</v>
      </c>
      <c r="AF600" s="25"/>
      <c r="AG600" s="22">
        <v>1.0455049503043E13</v>
      </c>
      <c r="AH600" s="22" t="s">
        <v>8137</v>
      </c>
      <c r="AI600" s="22">
        <v>8.596624212291E12</v>
      </c>
      <c r="AJ600" s="25"/>
      <c r="AK600" s="25"/>
      <c r="AL600" s="22" t="s">
        <v>8136</v>
      </c>
      <c r="AR600" s="32" t="b">
        <v>0</v>
      </c>
      <c r="AS600" s="32" t="b">
        <v>0</v>
      </c>
    </row>
    <row r="601">
      <c r="A601" s="21" t="s">
        <v>10083</v>
      </c>
      <c r="B601" s="22" t="s">
        <v>8429</v>
      </c>
      <c r="C601" s="22">
        <v>1.0</v>
      </c>
      <c r="D601" s="22" t="s">
        <v>8221</v>
      </c>
      <c r="E601" s="22" t="s">
        <v>8429</v>
      </c>
      <c r="F601" s="22" t="s">
        <v>8155</v>
      </c>
      <c r="G601" s="25"/>
      <c r="H601" s="22">
        <v>3.2739859759427E13</v>
      </c>
      <c r="I601" s="25"/>
      <c r="J601" s="25"/>
      <c r="K601" s="22">
        <v>4.9521175527747E13</v>
      </c>
      <c r="L601" s="25"/>
      <c r="M601" s="25"/>
      <c r="N601" s="22" t="s">
        <v>10084</v>
      </c>
      <c r="O601" s="22" t="s">
        <v>10085</v>
      </c>
      <c r="P601" s="22" t="s">
        <v>10086</v>
      </c>
      <c r="Q601" s="22" t="s">
        <v>10087</v>
      </c>
      <c r="R601" s="22" t="s">
        <v>10088</v>
      </c>
      <c r="S601" s="25"/>
      <c r="T601" s="40" t="s">
        <v>10089</v>
      </c>
      <c r="U601" s="22" t="s">
        <v>10090</v>
      </c>
      <c r="V601" s="25"/>
      <c r="W601" s="22" t="s">
        <v>10091</v>
      </c>
      <c r="X601" s="22" t="s">
        <v>10092</v>
      </c>
      <c r="Y601" s="25"/>
      <c r="Z601" s="25"/>
      <c r="AA601" s="22" t="s">
        <v>8129</v>
      </c>
      <c r="AB601" s="22" t="s">
        <v>8130</v>
      </c>
      <c r="AC601" s="25"/>
      <c r="AD601" s="22" t="s">
        <v>8161</v>
      </c>
      <c r="AE601" s="22" t="s">
        <v>8132</v>
      </c>
      <c r="AF601" s="25"/>
      <c r="AG601" s="22">
        <v>1.0455452975427E13</v>
      </c>
      <c r="AH601" s="22" t="s">
        <v>90</v>
      </c>
      <c r="AI601" s="22">
        <v>7.454325965123E12</v>
      </c>
      <c r="AJ601" s="25"/>
      <c r="AK601" s="25"/>
      <c r="AL601" s="22" t="s">
        <v>8201</v>
      </c>
      <c r="AQ601" s="32" t="s">
        <v>95</v>
      </c>
      <c r="AR601" s="32" t="b">
        <v>0</v>
      </c>
      <c r="AS601" s="32" t="b">
        <v>1</v>
      </c>
    </row>
    <row r="602">
      <c r="A602" s="21" t="s">
        <v>10083</v>
      </c>
      <c r="B602" s="25"/>
      <c r="C602" s="25"/>
      <c r="D602" s="22" t="s">
        <v>8221</v>
      </c>
      <c r="E602" s="25"/>
      <c r="F602" s="22" t="s">
        <v>8149</v>
      </c>
      <c r="G602" s="25"/>
      <c r="H602" s="22">
        <v>9.511198949699E12</v>
      </c>
      <c r="I602" s="25"/>
      <c r="J602" s="25"/>
      <c r="K602" s="25"/>
      <c r="L602" s="25"/>
      <c r="M602" s="25"/>
      <c r="N602" s="22" t="s">
        <v>10084</v>
      </c>
      <c r="O602" s="22" t="s">
        <v>10085</v>
      </c>
      <c r="P602" s="22" t="s">
        <v>10086</v>
      </c>
      <c r="Q602" s="22" t="s">
        <v>10087</v>
      </c>
      <c r="R602" s="22" t="s">
        <v>10088</v>
      </c>
      <c r="S602" s="25"/>
      <c r="T602" s="40" t="s">
        <v>10089</v>
      </c>
      <c r="U602" s="22" t="s">
        <v>10090</v>
      </c>
      <c r="V602" s="25"/>
      <c r="W602" s="22" t="s">
        <v>10091</v>
      </c>
      <c r="X602" s="22" t="s">
        <v>10092</v>
      </c>
      <c r="Y602" s="25"/>
      <c r="Z602" s="25"/>
      <c r="AA602" s="22" t="s">
        <v>8129</v>
      </c>
      <c r="AB602" s="22" t="s">
        <v>8130</v>
      </c>
      <c r="AC602" s="25"/>
      <c r="AD602" s="25"/>
      <c r="AE602" s="22" t="s">
        <v>8132</v>
      </c>
      <c r="AF602" s="25"/>
      <c r="AG602" s="22">
        <v>1.0455452975427E13</v>
      </c>
      <c r="AH602" s="22" t="s">
        <v>8137</v>
      </c>
      <c r="AI602" s="22">
        <v>7.454325965123E12</v>
      </c>
      <c r="AJ602" s="25"/>
      <c r="AK602" s="25"/>
      <c r="AL602" s="22" t="s">
        <v>8149</v>
      </c>
      <c r="AR602" s="32" t="b">
        <v>0</v>
      </c>
      <c r="AS602" s="32" t="b">
        <v>0</v>
      </c>
    </row>
    <row r="603">
      <c r="A603" s="21" t="s">
        <v>10093</v>
      </c>
      <c r="B603" s="22" t="s">
        <v>8119</v>
      </c>
      <c r="C603" s="22">
        <v>1.0</v>
      </c>
      <c r="D603" s="22" t="s">
        <v>8501</v>
      </c>
      <c r="E603" s="22" t="s">
        <v>8119</v>
      </c>
      <c r="F603" s="22" t="s">
        <v>8121</v>
      </c>
      <c r="G603" s="25"/>
      <c r="H603" s="22">
        <v>3.2740023173443E13</v>
      </c>
      <c r="I603" s="25"/>
      <c r="J603" s="25"/>
      <c r="K603" s="22">
        <v>4.2085703549171E13</v>
      </c>
      <c r="L603" s="25"/>
      <c r="M603" s="25"/>
      <c r="N603" s="22" t="s">
        <v>10094</v>
      </c>
      <c r="O603" s="22" t="s">
        <v>10095</v>
      </c>
      <c r="P603" s="22" t="s">
        <v>10094</v>
      </c>
      <c r="Q603" s="22" t="s">
        <v>10095</v>
      </c>
      <c r="R603" s="22" t="s">
        <v>10096</v>
      </c>
      <c r="S603" s="25"/>
      <c r="T603" s="40" t="s">
        <v>10097</v>
      </c>
      <c r="U603" s="22" t="s">
        <v>10098</v>
      </c>
      <c r="V603" s="25"/>
      <c r="W603" s="22" t="s">
        <v>10099</v>
      </c>
      <c r="X603" s="22" t="s">
        <v>9996</v>
      </c>
      <c r="Y603" s="25"/>
      <c r="Z603" s="25"/>
      <c r="AA603" s="22" t="s">
        <v>8129</v>
      </c>
      <c r="AB603" s="22" t="s">
        <v>8130</v>
      </c>
      <c r="AC603" s="25"/>
      <c r="AD603" s="22" t="s">
        <v>8131</v>
      </c>
      <c r="AE603" s="22" t="s">
        <v>8132</v>
      </c>
      <c r="AF603" s="25"/>
      <c r="AG603" s="22">
        <v>1.0455524606275E13</v>
      </c>
      <c r="AH603" s="22" t="s">
        <v>90</v>
      </c>
      <c r="AI603" s="22">
        <v>8.568171725123E12</v>
      </c>
      <c r="AJ603" s="25"/>
      <c r="AK603" s="25"/>
      <c r="AL603" s="22" t="s">
        <v>8133</v>
      </c>
      <c r="AQ603" s="32" t="s">
        <v>8135</v>
      </c>
      <c r="AR603" s="32" t="b">
        <v>0</v>
      </c>
      <c r="AS603" s="32" t="b">
        <v>0</v>
      </c>
    </row>
    <row r="604">
      <c r="A604" s="21" t="s">
        <v>10093</v>
      </c>
      <c r="B604" s="25"/>
      <c r="C604" s="25"/>
      <c r="D604" s="22" t="s">
        <v>8501</v>
      </c>
      <c r="E604" s="25"/>
      <c r="F604" s="22" t="s">
        <v>8136</v>
      </c>
      <c r="G604" s="25"/>
      <c r="H604" s="22">
        <v>9.511265108291E12</v>
      </c>
      <c r="I604" s="25"/>
      <c r="J604" s="25"/>
      <c r="K604" s="25"/>
      <c r="L604" s="25"/>
      <c r="M604" s="25"/>
      <c r="N604" s="22" t="s">
        <v>10094</v>
      </c>
      <c r="O604" s="22" t="s">
        <v>10095</v>
      </c>
      <c r="P604" s="22" t="s">
        <v>10094</v>
      </c>
      <c r="Q604" s="22" t="s">
        <v>10095</v>
      </c>
      <c r="R604" s="22" t="s">
        <v>10096</v>
      </c>
      <c r="S604" s="25"/>
      <c r="T604" s="40" t="s">
        <v>10097</v>
      </c>
      <c r="U604" s="22" t="s">
        <v>10098</v>
      </c>
      <c r="V604" s="25"/>
      <c r="W604" s="22" t="s">
        <v>10099</v>
      </c>
      <c r="X604" s="22" t="s">
        <v>9996</v>
      </c>
      <c r="Y604" s="25"/>
      <c r="Z604" s="25"/>
      <c r="AA604" s="22" t="s">
        <v>8129</v>
      </c>
      <c r="AB604" s="22" t="s">
        <v>8130</v>
      </c>
      <c r="AC604" s="25"/>
      <c r="AD604" s="25"/>
      <c r="AE604" s="22" t="s">
        <v>8132</v>
      </c>
      <c r="AF604" s="25"/>
      <c r="AG604" s="22">
        <v>1.0455524606275E13</v>
      </c>
      <c r="AH604" s="22" t="s">
        <v>8137</v>
      </c>
      <c r="AI604" s="22">
        <v>8.568171725123E12</v>
      </c>
      <c r="AJ604" s="25"/>
      <c r="AK604" s="25"/>
      <c r="AL604" s="22" t="s">
        <v>8136</v>
      </c>
      <c r="AR604" s="32" t="b">
        <v>0</v>
      </c>
      <c r="AS604" s="32" t="b">
        <v>0</v>
      </c>
    </row>
    <row r="605">
      <c r="A605" s="21" t="s">
        <v>10100</v>
      </c>
      <c r="B605" s="22" t="s">
        <v>8140</v>
      </c>
      <c r="C605" s="22">
        <v>1.0</v>
      </c>
      <c r="D605" s="22" t="s">
        <v>8203</v>
      </c>
      <c r="E605" s="22" t="s">
        <v>8140</v>
      </c>
      <c r="F605" s="22" t="s">
        <v>8121</v>
      </c>
      <c r="G605" s="25"/>
      <c r="H605" s="22">
        <v>3.2740150772035E13</v>
      </c>
      <c r="I605" s="25"/>
      <c r="J605" s="25"/>
      <c r="K605" s="22">
        <v>4.2085703581939E13</v>
      </c>
      <c r="L605" s="25"/>
      <c r="M605" s="25"/>
      <c r="N605" s="22" t="s">
        <v>10101</v>
      </c>
      <c r="O605" s="22" t="s">
        <v>10102</v>
      </c>
      <c r="P605" s="22" t="s">
        <v>6293</v>
      </c>
      <c r="Q605" s="22" t="s">
        <v>10102</v>
      </c>
      <c r="R605" s="22" t="s">
        <v>10103</v>
      </c>
      <c r="S605" s="22" t="s">
        <v>10104</v>
      </c>
      <c r="T605" s="40" t="s">
        <v>10105</v>
      </c>
      <c r="U605" s="22" t="s">
        <v>10106</v>
      </c>
      <c r="V605" s="25"/>
      <c r="W605" s="22" t="s">
        <v>10107</v>
      </c>
      <c r="X605" s="22" t="s">
        <v>8289</v>
      </c>
      <c r="Y605" s="25"/>
      <c r="Z605" s="25"/>
      <c r="AA605" s="22" t="s">
        <v>8129</v>
      </c>
      <c r="AB605" s="22" t="s">
        <v>8130</v>
      </c>
      <c r="AC605" s="25"/>
      <c r="AD605" s="22" t="s">
        <v>8131</v>
      </c>
      <c r="AE605" s="22" t="s">
        <v>8132</v>
      </c>
      <c r="AF605" s="25"/>
      <c r="AG605" s="22">
        <v>1.0455582179651E13</v>
      </c>
      <c r="AH605" s="22" t="s">
        <v>90</v>
      </c>
      <c r="AI605" s="22">
        <v>6.474123346163E12</v>
      </c>
      <c r="AJ605" s="25"/>
      <c r="AK605" s="25"/>
      <c r="AL605" s="22" t="s">
        <v>8134</v>
      </c>
      <c r="AQ605" s="32" t="s">
        <v>8150</v>
      </c>
      <c r="AR605" s="32" t="b">
        <v>0</v>
      </c>
      <c r="AS605" s="32" t="b">
        <v>0</v>
      </c>
    </row>
    <row r="606">
      <c r="A606" s="21" t="s">
        <v>10100</v>
      </c>
      <c r="B606" s="25"/>
      <c r="C606" s="25"/>
      <c r="D606" s="22" t="s">
        <v>8203</v>
      </c>
      <c r="E606" s="25"/>
      <c r="F606" s="22" t="s">
        <v>8136</v>
      </c>
      <c r="G606" s="25"/>
      <c r="H606" s="22">
        <v>9.511317406019E12</v>
      </c>
      <c r="I606" s="25"/>
      <c r="J606" s="25"/>
      <c r="K606" s="25"/>
      <c r="L606" s="25"/>
      <c r="M606" s="25"/>
      <c r="N606" s="22" t="s">
        <v>10101</v>
      </c>
      <c r="O606" s="22" t="s">
        <v>10102</v>
      </c>
      <c r="P606" s="22" t="s">
        <v>6293</v>
      </c>
      <c r="Q606" s="22" t="s">
        <v>10102</v>
      </c>
      <c r="R606" s="22" t="s">
        <v>10103</v>
      </c>
      <c r="S606" s="22" t="s">
        <v>10104</v>
      </c>
      <c r="T606" s="40" t="s">
        <v>10105</v>
      </c>
      <c r="U606" s="22" t="s">
        <v>10106</v>
      </c>
      <c r="V606" s="25"/>
      <c r="W606" s="22" t="s">
        <v>10107</v>
      </c>
      <c r="X606" s="22" t="s">
        <v>8289</v>
      </c>
      <c r="Y606" s="25"/>
      <c r="Z606" s="25"/>
      <c r="AA606" s="22" t="s">
        <v>8129</v>
      </c>
      <c r="AB606" s="22" t="s">
        <v>8130</v>
      </c>
      <c r="AC606" s="25"/>
      <c r="AD606" s="25"/>
      <c r="AE606" s="22" t="s">
        <v>8132</v>
      </c>
      <c r="AF606" s="25"/>
      <c r="AG606" s="22">
        <v>1.0455582179651E13</v>
      </c>
      <c r="AH606" s="22" t="s">
        <v>8137</v>
      </c>
      <c r="AI606" s="22">
        <v>6.474123346163E12</v>
      </c>
      <c r="AJ606" s="25"/>
      <c r="AK606" s="25"/>
      <c r="AL606" s="22" t="s">
        <v>8136</v>
      </c>
      <c r="AR606" s="32" t="b">
        <v>0</v>
      </c>
      <c r="AS606" s="32" t="b">
        <v>0</v>
      </c>
    </row>
    <row r="607">
      <c r="A607" s="21" t="s">
        <v>10108</v>
      </c>
      <c r="B607" s="22" t="s">
        <v>8119</v>
      </c>
      <c r="C607" s="22">
        <v>1.0</v>
      </c>
      <c r="D607" s="22" t="s">
        <v>8581</v>
      </c>
      <c r="E607" s="22" t="s">
        <v>8119</v>
      </c>
      <c r="F607" s="22" t="s">
        <v>8121</v>
      </c>
      <c r="G607" s="25"/>
      <c r="H607" s="22">
        <v>3.2737995063619E13</v>
      </c>
      <c r="I607" s="25"/>
      <c r="J607" s="25"/>
      <c r="K607" s="22">
        <v>4.2085703549171E13</v>
      </c>
      <c r="L607" s="25"/>
      <c r="M607" s="25"/>
      <c r="N607" s="22" t="s">
        <v>10109</v>
      </c>
      <c r="O607" s="22" t="s">
        <v>3735</v>
      </c>
      <c r="P607" s="22" t="s">
        <v>10110</v>
      </c>
      <c r="Q607" s="22" t="s">
        <v>3783</v>
      </c>
      <c r="R607" s="22" t="s">
        <v>10111</v>
      </c>
      <c r="S607" s="25"/>
      <c r="T607" s="40" t="s">
        <v>10112</v>
      </c>
      <c r="U607" s="22" t="s">
        <v>10113</v>
      </c>
      <c r="V607" s="25"/>
      <c r="W607" s="22" t="s">
        <v>10114</v>
      </c>
      <c r="X607" s="22" t="s">
        <v>8276</v>
      </c>
      <c r="Y607" s="25"/>
      <c r="Z607" s="25"/>
      <c r="AA607" s="22" t="s">
        <v>8129</v>
      </c>
      <c r="AB607" s="22" t="s">
        <v>8130</v>
      </c>
      <c r="AC607" s="25"/>
      <c r="AD607" s="22" t="s">
        <v>8131</v>
      </c>
      <c r="AE607" s="22" t="s">
        <v>8132</v>
      </c>
      <c r="AF607" s="25"/>
      <c r="AG607" s="22">
        <v>1.0454605070659E13</v>
      </c>
      <c r="AH607" s="22" t="s">
        <v>90</v>
      </c>
      <c r="AI607" s="22">
        <v>7.429194907971E12</v>
      </c>
      <c r="AJ607" s="25"/>
      <c r="AK607" s="25"/>
      <c r="AL607" s="22" t="s">
        <v>8133</v>
      </c>
      <c r="AQ607" s="32" t="s">
        <v>8135</v>
      </c>
      <c r="AR607" s="32" t="b">
        <v>0</v>
      </c>
      <c r="AS607" s="32" t="b">
        <v>0</v>
      </c>
    </row>
    <row r="608">
      <c r="A608" s="21" t="s">
        <v>10108</v>
      </c>
      <c r="B608" s="25"/>
      <c r="C608" s="25"/>
      <c r="D608" s="22" t="s">
        <v>8581</v>
      </c>
      <c r="E608" s="25"/>
      <c r="F608" s="22" t="s">
        <v>8136</v>
      </c>
      <c r="G608" s="25"/>
      <c r="H608" s="22">
        <v>9.510415302979E12</v>
      </c>
      <c r="I608" s="25"/>
      <c r="J608" s="25"/>
      <c r="K608" s="25"/>
      <c r="L608" s="25"/>
      <c r="M608" s="25"/>
      <c r="N608" s="22" t="s">
        <v>10109</v>
      </c>
      <c r="O608" s="22" t="s">
        <v>3735</v>
      </c>
      <c r="P608" s="22" t="s">
        <v>10110</v>
      </c>
      <c r="Q608" s="22" t="s">
        <v>3783</v>
      </c>
      <c r="R608" s="22" t="s">
        <v>10111</v>
      </c>
      <c r="S608" s="25"/>
      <c r="T608" s="40" t="s">
        <v>10112</v>
      </c>
      <c r="U608" s="22" t="s">
        <v>10113</v>
      </c>
      <c r="V608" s="25"/>
      <c r="W608" s="22" t="s">
        <v>10114</v>
      </c>
      <c r="X608" s="22" t="s">
        <v>8276</v>
      </c>
      <c r="Y608" s="25"/>
      <c r="Z608" s="25"/>
      <c r="AA608" s="22" t="s">
        <v>8129</v>
      </c>
      <c r="AB608" s="22" t="s">
        <v>8130</v>
      </c>
      <c r="AC608" s="25"/>
      <c r="AD608" s="25"/>
      <c r="AE608" s="22" t="s">
        <v>8132</v>
      </c>
      <c r="AF608" s="25"/>
      <c r="AG608" s="22">
        <v>1.0454605070659E13</v>
      </c>
      <c r="AH608" s="22" t="s">
        <v>8137</v>
      </c>
      <c r="AI608" s="22">
        <v>7.429194907971E12</v>
      </c>
      <c r="AJ608" s="25"/>
      <c r="AK608" s="25"/>
      <c r="AL608" s="22" t="s">
        <v>8136</v>
      </c>
      <c r="AR608" s="32" t="b">
        <v>0</v>
      </c>
      <c r="AS608" s="32" t="b">
        <v>0</v>
      </c>
    </row>
    <row r="609">
      <c r="A609" s="21" t="s">
        <v>10115</v>
      </c>
      <c r="B609" s="22" t="s">
        <v>8140</v>
      </c>
      <c r="C609" s="22">
        <v>1.0</v>
      </c>
      <c r="D609" s="22" t="s">
        <v>8278</v>
      </c>
      <c r="E609" s="22" t="s">
        <v>8140</v>
      </c>
      <c r="F609" s="22" t="s">
        <v>8121</v>
      </c>
      <c r="G609" s="25"/>
      <c r="H609" s="22">
        <v>3.2740471308611E13</v>
      </c>
      <c r="I609" s="25"/>
      <c r="J609" s="25"/>
      <c r="K609" s="22">
        <v>4.2085703581939E13</v>
      </c>
      <c r="L609" s="25"/>
      <c r="M609" s="25"/>
      <c r="N609" s="22" t="s">
        <v>10116</v>
      </c>
      <c r="O609" s="22" t="s">
        <v>10117</v>
      </c>
      <c r="P609" s="22" t="s">
        <v>10116</v>
      </c>
      <c r="Q609" s="22" t="s">
        <v>10117</v>
      </c>
      <c r="R609" s="22" t="s">
        <v>10118</v>
      </c>
      <c r="S609" s="25"/>
      <c r="T609" s="40" t="s">
        <v>10119</v>
      </c>
      <c r="U609" s="22" t="s">
        <v>10120</v>
      </c>
      <c r="V609" s="25"/>
      <c r="W609" s="22" t="s">
        <v>10121</v>
      </c>
      <c r="X609" s="22" t="s">
        <v>9003</v>
      </c>
      <c r="Y609" s="25"/>
      <c r="Z609" s="25"/>
      <c r="AA609" s="22" t="s">
        <v>8129</v>
      </c>
      <c r="AB609" s="22" t="s">
        <v>8130</v>
      </c>
      <c r="AC609" s="25"/>
      <c r="AD609" s="22" t="s">
        <v>8131</v>
      </c>
      <c r="AE609" s="22" t="s">
        <v>8132</v>
      </c>
      <c r="AF609" s="25"/>
      <c r="AG609" s="22">
        <v>1.0455726555459E13</v>
      </c>
      <c r="AH609" s="22" t="s">
        <v>90</v>
      </c>
      <c r="AI609" s="22">
        <v>7.470728905027E12</v>
      </c>
      <c r="AJ609" s="25"/>
      <c r="AK609" s="25"/>
      <c r="AL609" s="22" t="s">
        <v>8134</v>
      </c>
      <c r="AQ609" s="32" t="s">
        <v>8150</v>
      </c>
      <c r="AR609" s="32" t="b">
        <v>0</v>
      </c>
      <c r="AS609" s="32" t="b">
        <v>0</v>
      </c>
    </row>
    <row r="610">
      <c r="A610" s="21" t="s">
        <v>10115</v>
      </c>
      <c r="B610" s="25"/>
      <c r="C610" s="25"/>
      <c r="D610" s="22" t="s">
        <v>8278</v>
      </c>
      <c r="E610" s="25"/>
      <c r="F610" s="22" t="s">
        <v>8136</v>
      </c>
      <c r="G610" s="25"/>
      <c r="H610" s="22">
        <v>9.511442481475E12</v>
      </c>
      <c r="I610" s="25"/>
      <c r="J610" s="25"/>
      <c r="K610" s="25"/>
      <c r="L610" s="25"/>
      <c r="M610" s="25"/>
      <c r="N610" s="22" t="s">
        <v>10116</v>
      </c>
      <c r="O610" s="22" t="s">
        <v>10117</v>
      </c>
      <c r="P610" s="22" t="s">
        <v>10116</v>
      </c>
      <c r="Q610" s="22" t="s">
        <v>10117</v>
      </c>
      <c r="R610" s="22" t="s">
        <v>10118</v>
      </c>
      <c r="S610" s="25"/>
      <c r="T610" s="40" t="s">
        <v>10119</v>
      </c>
      <c r="U610" s="22" t="s">
        <v>10120</v>
      </c>
      <c r="V610" s="25"/>
      <c r="W610" s="22" t="s">
        <v>10121</v>
      </c>
      <c r="X610" s="22" t="s">
        <v>9003</v>
      </c>
      <c r="Y610" s="25"/>
      <c r="Z610" s="25"/>
      <c r="AA610" s="22" t="s">
        <v>8129</v>
      </c>
      <c r="AB610" s="22" t="s">
        <v>8130</v>
      </c>
      <c r="AC610" s="25"/>
      <c r="AD610" s="25"/>
      <c r="AE610" s="22" t="s">
        <v>8132</v>
      </c>
      <c r="AF610" s="25"/>
      <c r="AG610" s="22">
        <v>1.0455726555459E13</v>
      </c>
      <c r="AH610" s="22" t="s">
        <v>8137</v>
      </c>
      <c r="AI610" s="22">
        <v>7.470728905027E12</v>
      </c>
      <c r="AJ610" s="25"/>
      <c r="AK610" s="25"/>
      <c r="AL610" s="22" t="s">
        <v>8136</v>
      </c>
      <c r="AR610" s="32" t="b">
        <v>0</v>
      </c>
      <c r="AS610" s="32" t="b">
        <v>0</v>
      </c>
    </row>
    <row r="611">
      <c r="A611" s="21" t="s">
        <v>10122</v>
      </c>
      <c r="B611" s="22" t="s">
        <v>8140</v>
      </c>
      <c r="C611" s="22">
        <v>1.0</v>
      </c>
      <c r="D611" s="22" t="s">
        <v>8990</v>
      </c>
      <c r="E611" s="22" t="s">
        <v>8140</v>
      </c>
      <c r="F611" s="22" t="s">
        <v>8121</v>
      </c>
      <c r="G611" s="25"/>
      <c r="H611" s="22">
        <v>3.2740766974275E13</v>
      </c>
      <c r="I611" s="25"/>
      <c r="J611" s="25"/>
      <c r="K611" s="22">
        <v>4.2085703581939E13</v>
      </c>
      <c r="L611" s="25"/>
      <c r="M611" s="25"/>
      <c r="N611" s="22" t="s">
        <v>10123</v>
      </c>
      <c r="O611" s="22" t="s">
        <v>6240</v>
      </c>
      <c r="P611" s="22" t="s">
        <v>10124</v>
      </c>
      <c r="Q611" s="22" t="s">
        <v>6240</v>
      </c>
      <c r="R611" s="22" t="s">
        <v>10125</v>
      </c>
      <c r="S611" s="25"/>
      <c r="T611" s="40" t="s">
        <v>10126</v>
      </c>
      <c r="U611" s="22" t="s">
        <v>10127</v>
      </c>
      <c r="V611" s="25"/>
      <c r="W611" s="22" t="s">
        <v>10128</v>
      </c>
      <c r="X611" s="22" t="s">
        <v>8380</v>
      </c>
      <c r="Y611" s="25"/>
      <c r="Z611" s="25"/>
      <c r="AA611" s="22" t="s">
        <v>8129</v>
      </c>
      <c r="AB611" s="22" t="s">
        <v>8130</v>
      </c>
      <c r="AC611" s="25"/>
      <c r="AD611" s="22" t="s">
        <v>8131</v>
      </c>
      <c r="AE611" s="22" t="s">
        <v>8132</v>
      </c>
      <c r="AF611" s="25"/>
      <c r="AG611" s="22">
        <v>1.0455862477123E13</v>
      </c>
      <c r="AH611" s="22" t="s">
        <v>90</v>
      </c>
      <c r="AI611" s="22">
        <v>8.588362907971E12</v>
      </c>
      <c r="AJ611" s="25"/>
      <c r="AK611" s="25"/>
      <c r="AL611" s="22" t="s">
        <v>8134</v>
      </c>
      <c r="AQ611" s="32" t="s">
        <v>8150</v>
      </c>
      <c r="AR611" s="32" t="b">
        <v>0</v>
      </c>
      <c r="AS611" s="32" t="b">
        <v>0</v>
      </c>
    </row>
    <row r="612">
      <c r="A612" s="21" t="s">
        <v>10122</v>
      </c>
      <c r="B612" s="25"/>
      <c r="C612" s="25"/>
      <c r="D612" s="22" t="s">
        <v>8990</v>
      </c>
      <c r="E612" s="25"/>
      <c r="F612" s="22" t="s">
        <v>8136</v>
      </c>
      <c r="G612" s="25"/>
      <c r="H612" s="22">
        <v>9.511556809027E12</v>
      </c>
      <c r="I612" s="25"/>
      <c r="J612" s="25"/>
      <c r="K612" s="25"/>
      <c r="L612" s="25"/>
      <c r="M612" s="25"/>
      <c r="N612" s="22" t="s">
        <v>10123</v>
      </c>
      <c r="O612" s="22" t="s">
        <v>6240</v>
      </c>
      <c r="P612" s="22" t="s">
        <v>10124</v>
      </c>
      <c r="Q612" s="22" t="s">
        <v>6240</v>
      </c>
      <c r="R612" s="22" t="s">
        <v>10125</v>
      </c>
      <c r="S612" s="25"/>
      <c r="T612" s="40" t="s">
        <v>10126</v>
      </c>
      <c r="U612" s="22" t="s">
        <v>10127</v>
      </c>
      <c r="V612" s="25"/>
      <c r="W612" s="22" t="s">
        <v>10128</v>
      </c>
      <c r="X612" s="22" t="s">
        <v>8380</v>
      </c>
      <c r="Y612" s="25"/>
      <c r="Z612" s="25"/>
      <c r="AA612" s="22" t="s">
        <v>8129</v>
      </c>
      <c r="AB612" s="22" t="s">
        <v>8130</v>
      </c>
      <c r="AC612" s="25"/>
      <c r="AD612" s="25"/>
      <c r="AE612" s="22" t="s">
        <v>8132</v>
      </c>
      <c r="AF612" s="25"/>
      <c r="AG612" s="22">
        <v>1.0455862477123E13</v>
      </c>
      <c r="AH612" s="22" t="s">
        <v>8137</v>
      </c>
      <c r="AI612" s="22">
        <v>8.588362907971E12</v>
      </c>
      <c r="AJ612" s="25"/>
      <c r="AK612" s="25"/>
      <c r="AL612" s="22" t="s">
        <v>8136</v>
      </c>
      <c r="AR612" s="32" t="b">
        <v>0</v>
      </c>
      <c r="AS612" s="32" t="b">
        <v>0</v>
      </c>
    </row>
    <row r="613">
      <c r="A613" s="21" t="s">
        <v>10129</v>
      </c>
      <c r="B613" s="22" t="s">
        <v>8140</v>
      </c>
      <c r="C613" s="22">
        <v>1.0</v>
      </c>
      <c r="D613" s="22" t="s">
        <v>8221</v>
      </c>
      <c r="E613" s="22" t="s">
        <v>8140</v>
      </c>
      <c r="F613" s="22" t="s">
        <v>8121</v>
      </c>
      <c r="G613" s="25"/>
      <c r="H613" s="22">
        <v>3.2740768612675E13</v>
      </c>
      <c r="I613" s="25"/>
      <c r="J613" s="25"/>
      <c r="K613" s="22">
        <v>4.2085703581939E13</v>
      </c>
      <c r="L613" s="25"/>
      <c r="M613" s="25"/>
      <c r="N613" s="22" t="s">
        <v>4806</v>
      </c>
      <c r="O613" s="22" t="s">
        <v>5803</v>
      </c>
      <c r="P613" s="22" t="s">
        <v>4806</v>
      </c>
      <c r="Q613" s="22" t="s">
        <v>5803</v>
      </c>
      <c r="R613" s="22" t="s">
        <v>10130</v>
      </c>
      <c r="S613" s="25"/>
      <c r="T613" s="40" t="s">
        <v>10131</v>
      </c>
      <c r="U613" s="22" t="s">
        <v>10132</v>
      </c>
      <c r="V613" s="25"/>
      <c r="W613" s="22" t="s">
        <v>10133</v>
      </c>
      <c r="X613" s="22" t="s">
        <v>8242</v>
      </c>
      <c r="Y613" s="25"/>
      <c r="Z613" s="25"/>
      <c r="AA613" s="22" t="s">
        <v>8129</v>
      </c>
      <c r="AB613" s="22" t="s">
        <v>8130</v>
      </c>
      <c r="AC613" s="25"/>
      <c r="AD613" s="22" t="s">
        <v>8131</v>
      </c>
      <c r="AE613" s="22" t="s">
        <v>8132</v>
      </c>
      <c r="AF613" s="25"/>
      <c r="AG613" s="22">
        <v>1.0455863329091E13</v>
      </c>
      <c r="AH613" s="22" t="s">
        <v>90</v>
      </c>
      <c r="AI613" s="22">
        <v>7.492359946563E12</v>
      </c>
      <c r="AJ613" s="25"/>
      <c r="AK613" s="25"/>
      <c r="AL613" s="22" t="s">
        <v>8134</v>
      </c>
      <c r="AQ613" s="32" t="s">
        <v>8150</v>
      </c>
      <c r="AR613" s="32" t="b">
        <v>0</v>
      </c>
      <c r="AS613" s="32" t="b">
        <v>0</v>
      </c>
    </row>
    <row r="614">
      <c r="A614" s="21" t="s">
        <v>10129</v>
      </c>
      <c r="B614" s="25"/>
      <c r="C614" s="25"/>
      <c r="D614" s="22" t="s">
        <v>8221</v>
      </c>
      <c r="E614" s="25"/>
      <c r="F614" s="22" t="s">
        <v>8136</v>
      </c>
      <c r="G614" s="25"/>
      <c r="H614" s="22">
        <v>9.511557497155E12</v>
      </c>
      <c r="I614" s="25"/>
      <c r="J614" s="25"/>
      <c r="K614" s="25"/>
      <c r="L614" s="25"/>
      <c r="M614" s="25"/>
      <c r="N614" s="22" t="s">
        <v>4806</v>
      </c>
      <c r="O614" s="22" t="s">
        <v>5803</v>
      </c>
      <c r="P614" s="22" t="s">
        <v>4806</v>
      </c>
      <c r="Q614" s="22" t="s">
        <v>5803</v>
      </c>
      <c r="R614" s="22" t="s">
        <v>10130</v>
      </c>
      <c r="S614" s="25"/>
      <c r="T614" s="40" t="s">
        <v>10131</v>
      </c>
      <c r="U614" s="22" t="s">
        <v>10132</v>
      </c>
      <c r="V614" s="25"/>
      <c r="W614" s="22" t="s">
        <v>10133</v>
      </c>
      <c r="X614" s="22" t="s">
        <v>8242</v>
      </c>
      <c r="Y614" s="25"/>
      <c r="Z614" s="25"/>
      <c r="AA614" s="22" t="s">
        <v>8129</v>
      </c>
      <c r="AB614" s="22" t="s">
        <v>8130</v>
      </c>
      <c r="AC614" s="25"/>
      <c r="AD614" s="25"/>
      <c r="AE614" s="22" t="s">
        <v>8132</v>
      </c>
      <c r="AF614" s="25"/>
      <c r="AG614" s="22">
        <v>1.0455863329091E13</v>
      </c>
      <c r="AH614" s="22" t="s">
        <v>8137</v>
      </c>
      <c r="AI614" s="22">
        <v>7.492359946563E12</v>
      </c>
      <c r="AJ614" s="25"/>
      <c r="AK614" s="25"/>
      <c r="AL614" s="22" t="s">
        <v>8136</v>
      </c>
      <c r="AR614" s="32" t="b">
        <v>0</v>
      </c>
      <c r="AS614" s="32" t="b">
        <v>0</v>
      </c>
    </row>
    <row r="615">
      <c r="A615" s="21" t="s">
        <v>10134</v>
      </c>
      <c r="B615" s="22" t="s">
        <v>8140</v>
      </c>
      <c r="C615" s="22">
        <v>1.0</v>
      </c>
      <c r="D615" s="22" t="s">
        <v>8175</v>
      </c>
      <c r="E615" s="22" t="s">
        <v>8140</v>
      </c>
      <c r="F615" s="22" t="s">
        <v>8121</v>
      </c>
      <c r="G615" s="25"/>
      <c r="H615" s="22">
        <v>3.2740807999811E13</v>
      </c>
      <c r="I615" s="25"/>
      <c r="J615" s="25"/>
      <c r="K615" s="22">
        <v>4.2085703581939E13</v>
      </c>
      <c r="L615" s="25"/>
      <c r="M615" s="25"/>
      <c r="N615" s="22" t="s">
        <v>10135</v>
      </c>
      <c r="O615" s="22" t="s">
        <v>10136</v>
      </c>
      <c r="P615" s="22" t="s">
        <v>10137</v>
      </c>
      <c r="Q615" s="22" t="s">
        <v>10136</v>
      </c>
      <c r="R615" s="22" t="s">
        <v>10138</v>
      </c>
      <c r="S615" s="22" t="s">
        <v>9383</v>
      </c>
      <c r="T615" s="40" t="s">
        <v>10139</v>
      </c>
      <c r="U615" s="22" t="s">
        <v>10140</v>
      </c>
      <c r="V615" s="25"/>
      <c r="W615" s="22" t="s">
        <v>10141</v>
      </c>
      <c r="X615" s="40" t="s">
        <v>8974</v>
      </c>
      <c r="Y615" s="25"/>
      <c r="Z615" s="25"/>
      <c r="AA615" s="22" t="s">
        <v>8129</v>
      </c>
      <c r="AB615" s="22" t="s">
        <v>8130</v>
      </c>
      <c r="AC615" s="25"/>
      <c r="AD615" s="22" t="s">
        <v>8131</v>
      </c>
      <c r="AE615" s="22" t="s">
        <v>8132</v>
      </c>
      <c r="AF615" s="25"/>
      <c r="AG615" s="22">
        <v>1.0455882039619E13</v>
      </c>
      <c r="AH615" s="22" t="s">
        <v>90</v>
      </c>
      <c r="AI615" s="22">
        <v>8.550170952003E12</v>
      </c>
      <c r="AJ615" s="25"/>
      <c r="AK615" s="25"/>
      <c r="AL615" s="22" t="s">
        <v>8134</v>
      </c>
      <c r="AQ615" s="32" t="s">
        <v>8150</v>
      </c>
      <c r="AR615" s="32" t="b">
        <v>0</v>
      </c>
      <c r="AS615" s="32" t="b">
        <v>0</v>
      </c>
    </row>
    <row r="616">
      <c r="A616" s="21" t="s">
        <v>10134</v>
      </c>
      <c r="B616" s="25"/>
      <c r="C616" s="25"/>
      <c r="D616" s="22" t="s">
        <v>8175</v>
      </c>
      <c r="E616" s="25"/>
      <c r="F616" s="22" t="s">
        <v>8136</v>
      </c>
      <c r="G616" s="25"/>
      <c r="H616" s="22">
        <v>9.511572963651E12</v>
      </c>
      <c r="I616" s="25"/>
      <c r="J616" s="25"/>
      <c r="K616" s="25"/>
      <c r="L616" s="25"/>
      <c r="M616" s="25"/>
      <c r="N616" s="22" t="s">
        <v>10135</v>
      </c>
      <c r="O616" s="22" t="s">
        <v>10136</v>
      </c>
      <c r="P616" s="22" t="s">
        <v>10137</v>
      </c>
      <c r="Q616" s="22" t="s">
        <v>10136</v>
      </c>
      <c r="R616" s="22" t="s">
        <v>10138</v>
      </c>
      <c r="S616" s="22" t="s">
        <v>9383</v>
      </c>
      <c r="T616" s="40" t="s">
        <v>10139</v>
      </c>
      <c r="U616" s="22" t="s">
        <v>10140</v>
      </c>
      <c r="V616" s="25"/>
      <c r="W616" s="22" t="s">
        <v>10141</v>
      </c>
      <c r="X616" s="40" t="s">
        <v>8974</v>
      </c>
      <c r="Y616" s="25"/>
      <c r="Z616" s="25"/>
      <c r="AA616" s="22" t="s">
        <v>8129</v>
      </c>
      <c r="AB616" s="22" t="s">
        <v>8130</v>
      </c>
      <c r="AC616" s="25"/>
      <c r="AD616" s="25"/>
      <c r="AE616" s="22" t="s">
        <v>8132</v>
      </c>
      <c r="AF616" s="25"/>
      <c r="AG616" s="22">
        <v>1.0455882039619E13</v>
      </c>
      <c r="AH616" s="22" t="s">
        <v>8137</v>
      </c>
      <c r="AI616" s="22">
        <v>8.550170952003E12</v>
      </c>
      <c r="AJ616" s="25"/>
      <c r="AK616" s="25"/>
      <c r="AL616" s="22" t="s">
        <v>8136</v>
      </c>
      <c r="AR616" s="32" t="b">
        <v>0</v>
      </c>
      <c r="AS616" s="32" t="b">
        <v>0</v>
      </c>
    </row>
    <row r="617">
      <c r="A617" s="21" t="s">
        <v>10142</v>
      </c>
      <c r="B617" s="22" t="s">
        <v>8140</v>
      </c>
      <c r="C617" s="22">
        <v>1.0</v>
      </c>
      <c r="D617" s="22" t="s">
        <v>8175</v>
      </c>
      <c r="E617" s="22" t="s">
        <v>8140</v>
      </c>
      <c r="F617" s="22" t="s">
        <v>8121</v>
      </c>
      <c r="G617" s="25"/>
      <c r="H617" s="22">
        <v>3.2740860330307E13</v>
      </c>
      <c r="I617" s="25"/>
      <c r="J617" s="25"/>
      <c r="K617" s="22">
        <v>4.2085703581939E13</v>
      </c>
      <c r="L617" s="25"/>
      <c r="M617" s="25"/>
      <c r="N617" s="22" t="s">
        <v>6655</v>
      </c>
      <c r="O617" s="22" t="s">
        <v>10143</v>
      </c>
      <c r="P617" s="22" t="s">
        <v>6655</v>
      </c>
      <c r="Q617" s="22" t="s">
        <v>10143</v>
      </c>
      <c r="R617" s="22" t="s">
        <v>10144</v>
      </c>
      <c r="S617" s="22" t="s">
        <v>10145</v>
      </c>
      <c r="T617" s="40" t="s">
        <v>10146</v>
      </c>
      <c r="U617" s="22" t="s">
        <v>10147</v>
      </c>
      <c r="V617" s="25"/>
      <c r="W617" s="22" t="s">
        <v>10148</v>
      </c>
      <c r="X617" s="22" t="s">
        <v>8289</v>
      </c>
      <c r="Y617" s="25"/>
      <c r="Z617" s="25"/>
      <c r="AA617" s="22" t="s">
        <v>8129</v>
      </c>
      <c r="AB617" s="22" t="s">
        <v>8130</v>
      </c>
      <c r="AC617" s="25"/>
      <c r="AD617" s="22" t="s">
        <v>8131</v>
      </c>
      <c r="AE617" s="22" t="s">
        <v>8132</v>
      </c>
      <c r="AF617" s="25"/>
      <c r="AG617" s="22">
        <v>1.0455906746691E13</v>
      </c>
      <c r="AH617" s="22" t="s">
        <v>90</v>
      </c>
      <c r="AI617" s="22">
        <v>2.3421639786819E13</v>
      </c>
      <c r="AJ617" s="25"/>
      <c r="AK617" s="25"/>
      <c r="AL617" s="22" t="s">
        <v>8134</v>
      </c>
      <c r="AQ617" s="32" t="s">
        <v>8150</v>
      </c>
      <c r="AR617" s="32" t="b">
        <v>0</v>
      </c>
      <c r="AS617" s="32" t="b">
        <v>0</v>
      </c>
    </row>
    <row r="618">
      <c r="A618" s="21" t="s">
        <v>10142</v>
      </c>
      <c r="B618" s="25"/>
      <c r="C618" s="25"/>
      <c r="D618" s="22" t="s">
        <v>8175</v>
      </c>
      <c r="E618" s="25"/>
      <c r="F618" s="22" t="s">
        <v>8136</v>
      </c>
      <c r="G618" s="25"/>
      <c r="H618" s="22">
        <v>9.511593476419E12</v>
      </c>
      <c r="I618" s="25"/>
      <c r="J618" s="25"/>
      <c r="K618" s="25"/>
      <c r="L618" s="25"/>
      <c r="M618" s="25"/>
      <c r="N618" s="22" t="s">
        <v>6655</v>
      </c>
      <c r="O618" s="22" t="s">
        <v>10143</v>
      </c>
      <c r="P618" s="22" t="s">
        <v>6655</v>
      </c>
      <c r="Q618" s="22" t="s">
        <v>10143</v>
      </c>
      <c r="R618" s="22" t="s">
        <v>10144</v>
      </c>
      <c r="S618" s="22" t="s">
        <v>10145</v>
      </c>
      <c r="T618" s="40" t="s">
        <v>10146</v>
      </c>
      <c r="U618" s="22" t="s">
        <v>10147</v>
      </c>
      <c r="V618" s="25"/>
      <c r="W618" s="22" t="s">
        <v>10148</v>
      </c>
      <c r="X618" s="22" t="s">
        <v>8289</v>
      </c>
      <c r="Y618" s="25"/>
      <c r="Z618" s="25"/>
      <c r="AA618" s="22" t="s">
        <v>8129</v>
      </c>
      <c r="AB618" s="22" t="s">
        <v>8130</v>
      </c>
      <c r="AC618" s="25"/>
      <c r="AD618" s="25"/>
      <c r="AE618" s="22" t="s">
        <v>8132</v>
      </c>
      <c r="AF618" s="25"/>
      <c r="AG618" s="22">
        <v>1.0455906746691E13</v>
      </c>
      <c r="AH618" s="22" t="s">
        <v>8137</v>
      </c>
      <c r="AI618" s="22">
        <v>2.3421639786819E13</v>
      </c>
      <c r="AJ618" s="25"/>
      <c r="AK618" s="25"/>
      <c r="AL618" s="22" t="s">
        <v>8136</v>
      </c>
      <c r="AR618" s="32" t="b">
        <v>0</v>
      </c>
      <c r="AS618" s="32" t="b">
        <v>0</v>
      </c>
    </row>
    <row r="619">
      <c r="A619" s="21" t="s">
        <v>10149</v>
      </c>
      <c r="B619" s="22" t="s">
        <v>8119</v>
      </c>
      <c r="C619" s="22">
        <v>1.0</v>
      </c>
      <c r="D619" s="22" t="s">
        <v>8501</v>
      </c>
      <c r="E619" s="22" t="s">
        <v>8119</v>
      </c>
      <c r="F619" s="22" t="s">
        <v>8121</v>
      </c>
      <c r="G619" s="25"/>
      <c r="H619" s="22">
        <v>3.2740913447235E13</v>
      </c>
      <c r="I619" s="25"/>
      <c r="J619" s="25"/>
      <c r="K619" s="22">
        <v>4.2085703549171E13</v>
      </c>
      <c r="L619" s="25"/>
      <c r="M619" s="25"/>
      <c r="N619" s="22" t="s">
        <v>3938</v>
      </c>
      <c r="O619" s="22" t="s">
        <v>10150</v>
      </c>
      <c r="P619" s="22" t="s">
        <v>4470</v>
      </c>
      <c r="Q619" s="22" t="s">
        <v>10150</v>
      </c>
      <c r="R619" s="22" t="s">
        <v>10151</v>
      </c>
      <c r="S619" s="25"/>
      <c r="T619" s="40" t="s">
        <v>10152</v>
      </c>
      <c r="U619" s="22" t="s">
        <v>10153</v>
      </c>
      <c r="V619" s="25"/>
      <c r="W619" s="22" t="s">
        <v>10154</v>
      </c>
      <c r="X619" s="22" t="s">
        <v>8380</v>
      </c>
      <c r="Y619" s="25"/>
      <c r="Z619" s="25"/>
      <c r="AA619" s="22" t="s">
        <v>8129</v>
      </c>
      <c r="AB619" s="22" t="s">
        <v>8130</v>
      </c>
      <c r="AC619" s="25"/>
      <c r="AD619" s="22" t="s">
        <v>8131</v>
      </c>
      <c r="AE619" s="22" t="s">
        <v>8132</v>
      </c>
      <c r="AF619" s="25"/>
      <c r="AG619" s="22">
        <v>1.0455930110275E13</v>
      </c>
      <c r="AH619" s="22" t="s">
        <v>90</v>
      </c>
      <c r="AI619" s="22">
        <v>7.468662260035E12</v>
      </c>
      <c r="AJ619" s="25"/>
      <c r="AK619" s="25"/>
      <c r="AL619" s="22" t="s">
        <v>8133</v>
      </c>
      <c r="AQ619" s="32" t="s">
        <v>8135</v>
      </c>
      <c r="AR619" s="32" t="b">
        <v>0</v>
      </c>
      <c r="AS619" s="32" t="b">
        <v>0</v>
      </c>
    </row>
    <row r="620">
      <c r="A620" s="21" t="s">
        <v>10149</v>
      </c>
      <c r="B620" s="25"/>
      <c r="C620" s="25"/>
      <c r="D620" s="22" t="s">
        <v>8501</v>
      </c>
      <c r="E620" s="25"/>
      <c r="F620" s="22" t="s">
        <v>8136</v>
      </c>
      <c r="G620" s="25"/>
      <c r="H620" s="22">
        <v>9.511613071683E12</v>
      </c>
      <c r="I620" s="25"/>
      <c r="J620" s="25"/>
      <c r="K620" s="25"/>
      <c r="L620" s="25"/>
      <c r="M620" s="25"/>
      <c r="N620" s="22" t="s">
        <v>3938</v>
      </c>
      <c r="O620" s="22" t="s">
        <v>10150</v>
      </c>
      <c r="P620" s="22" t="s">
        <v>4470</v>
      </c>
      <c r="Q620" s="22" t="s">
        <v>10150</v>
      </c>
      <c r="R620" s="22" t="s">
        <v>10151</v>
      </c>
      <c r="S620" s="25"/>
      <c r="T620" s="40" t="s">
        <v>10152</v>
      </c>
      <c r="U620" s="22" t="s">
        <v>10153</v>
      </c>
      <c r="V620" s="25"/>
      <c r="W620" s="22" t="s">
        <v>10154</v>
      </c>
      <c r="X620" s="22" t="s">
        <v>8380</v>
      </c>
      <c r="Y620" s="25"/>
      <c r="Z620" s="25"/>
      <c r="AA620" s="22" t="s">
        <v>8129</v>
      </c>
      <c r="AB620" s="22" t="s">
        <v>8130</v>
      </c>
      <c r="AC620" s="25"/>
      <c r="AD620" s="25"/>
      <c r="AE620" s="22" t="s">
        <v>8132</v>
      </c>
      <c r="AF620" s="25"/>
      <c r="AG620" s="22">
        <v>1.0455930110275E13</v>
      </c>
      <c r="AH620" s="22" t="s">
        <v>8137</v>
      </c>
      <c r="AI620" s="22">
        <v>7.468662260035E12</v>
      </c>
      <c r="AJ620" s="25"/>
      <c r="AK620" s="25"/>
      <c r="AL620" s="22" t="s">
        <v>8136</v>
      </c>
      <c r="AR620" s="32" t="b">
        <v>0</v>
      </c>
      <c r="AS620" s="32" t="b">
        <v>0</v>
      </c>
    </row>
    <row r="621">
      <c r="A621" s="21" t="s">
        <v>10155</v>
      </c>
      <c r="B621" s="22" t="s">
        <v>8119</v>
      </c>
      <c r="C621" s="22">
        <v>1.0</v>
      </c>
      <c r="D621" s="22" t="s">
        <v>8501</v>
      </c>
      <c r="E621" s="22" t="s">
        <v>8119</v>
      </c>
      <c r="F621" s="22" t="s">
        <v>8121</v>
      </c>
      <c r="G621" s="25"/>
      <c r="H621" s="22">
        <v>3.2741316362563E13</v>
      </c>
      <c r="I621" s="25"/>
      <c r="J621" s="25"/>
      <c r="K621" s="22">
        <v>4.2085703549171E13</v>
      </c>
      <c r="L621" s="25"/>
      <c r="M621" s="25"/>
      <c r="N621" s="22" t="s">
        <v>10156</v>
      </c>
      <c r="O621" s="22" t="s">
        <v>10157</v>
      </c>
      <c r="P621" s="22" t="s">
        <v>10156</v>
      </c>
      <c r="Q621" s="22" t="s">
        <v>10157</v>
      </c>
      <c r="R621" s="22" t="s">
        <v>10158</v>
      </c>
      <c r="S621" s="25"/>
      <c r="T621" s="40" t="s">
        <v>10159</v>
      </c>
      <c r="U621" s="22" t="s">
        <v>10160</v>
      </c>
      <c r="V621" s="25"/>
      <c r="W621" s="22" t="s">
        <v>10161</v>
      </c>
      <c r="X621" s="22" t="s">
        <v>8289</v>
      </c>
      <c r="Y621" s="25"/>
      <c r="Z621" s="25"/>
      <c r="AA621" s="22" t="s">
        <v>8129</v>
      </c>
      <c r="AB621" s="22" t="s">
        <v>8130</v>
      </c>
      <c r="AC621" s="25"/>
      <c r="AD621" s="22" t="s">
        <v>8131</v>
      </c>
      <c r="AE621" s="22" t="s">
        <v>8132</v>
      </c>
      <c r="AF621" s="25"/>
      <c r="AG621" s="22">
        <v>1.0456115872067E13</v>
      </c>
      <c r="AH621" s="22" t="s">
        <v>90</v>
      </c>
      <c r="AI621" s="22">
        <v>7.386624622915E12</v>
      </c>
      <c r="AJ621" s="25"/>
      <c r="AK621" s="25"/>
      <c r="AL621" s="22" t="s">
        <v>8133</v>
      </c>
      <c r="AQ621" s="32" t="s">
        <v>8135</v>
      </c>
      <c r="AR621" s="32" t="b">
        <v>0</v>
      </c>
      <c r="AS621" s="32" t="b">
        <v>0</v>
      </c>
    </row>
    <row r="622">
      <c r="A622" s="21" t="s">
        <v>10155</v>
      </c>
      <c r="B622" s="25"/>
      <c r="C622" s="25"/>
      <c r="D622" s="22" t="s">
        <v>8501</v>
      </c>
      <c r="E622" s="25"/>
      <c r="F622" s="22" t="s">
        <v>8136</v>
      </c>
      <c r="G622" s="25"/>
      <c r="H622" s="22">
        <v>9.511763673411E12</v>
      </c>
      <c r="I622" s="25"/>
      <c r="J622" s="25"/>
      <c r="K622" s="25"/>
      <c r="L622" s="25"/>
      <c r="M622" s="25"/>
      <c r="N622" s="22" t="s">
        <v>10156</v>
      </c>
      <c r="O622" s="22" t="s">
        <v>10157</v>
      </c>
      <c r="P622" s="22" t="s">
        <v>10156</v>
      </c>
      <c r="Q622" s="22" t="s">
        <v>10157</v>
      </c>
      <c r="R622" s="22" t="s">
        <v>10158</v>
      </c>
      <c r="S622" s="25"/>
      <c r="T622" s="40" t="s">
        <v>10159</v>
      </c>
      <c r="U622" s="22" t="s">
        <v>10160</v>
      </c>
      <c r="V622" s="25"/>
      <c r="W622" s="22" t="s">
        <v>10161</v>
      </c>
      <c r="X622" s="22" t="s">
        <v>8289</v>
      </c>
      <c r="Y622" s="25"/>
      <c r="Z622" s="25"/>
      <c r="AA622" s="22" t="s">
        <v>8129</v>
      </c>
      <c r="AB622" s="22" t="s">
        <v>8130</v>
      </c>
      <c r="AC622" s="25"/>
      <c r="AD622" s="25"/>
      <c r="AE622" s="22" t="s">
        <v>8132</v>
      </c>
      <c r="AF622" s="25"/>
      <c r="AG622" s="22">
        <v>1.0456115872067E13</v>
      </c>
      <c r="AH622" s="22" t="s">
        <v>8137</v>
      </c>
      <c r="AI622" s="22">
        <v>7.386624622915E12</v>
      </c>
      <c r="AJ622" s="25"/>
      <c r="AK622" s="25"/>
      <c r="AL622" s="22" t="s">
        <v>8136</v>
      </c>
      <c r="AR622" s="32" t="b">
        <v>0</v>
      </c>
      <c r="AS622" s="32" t="b">
        <v>0</v>
      </c>
    </row>
    <row r="623">
      <c r="A623" s="21" t="s">
        <v>10162</v>
      </c>
      <c r="B623" s="22" t="s">
        <v>8467</v>
      </c>
      <c r="C623" s="22">
        <v>1.0</v>
      </c>
      <c r="D623" s="22" t="s">
        <v>8721</v>
      </c>
      <c r="E623" s="22" t="s">
        <v>8467</v>
      </c>
      <c r="F623" s="22" t="s">
        <v>8155</v>
      </c>
      <c r="G623" s="25"/>
      <c r="H623" s="22">
        <v>3.2741329043779E13</v>
      </c>
      <c r="I623" s="25"/>
      <c r="J623" s="25"/>
      <c r="K623" s="22">
        <v>4.9521175462211E13</v>
      </c>
      <c r="L623" s="25"/>
      <c r="M623" s="25"/>
      <c r="N623" s="22" t="s">
        <v>5970</v>
      </c>
      <c r="O623" s="22" t="s">
        <v>10163</v>
      </c>
      <c r="P623" s="22" t="s">
        <v>5970</v>
      </c>
      <c r="Q623" s="22" t="s">
        <v>10163</v>
      </c>
      <c r="R623" s="22" t="s">
        <v>10164</v>
      </c>
      <c r="S623" s="25"/>
      <c r="T623" s="40" t="s">
        <v>10165</v>
      </c>
      <c r="U623" s="22" t="s">
        <v>10166</v>
      </c>
      <c r="V623" s="25"/>
      <c r="W623" s="22" t="s">
        <v>10167</v>
      </c>
      <c r="X623" s="22" t="s">
        <v>10168</v>
      </c>
      <c r="Y623" s="25"/>
      <c r="Z623" s="25"/>
      <c r="AA623" s="22" t="s">
        <v>8129</v>
      </c>
      <c r="AB623" s="22" t="s">
        <v>8130</v>
      </c>
      <c r="AC623" s="25"/>
      <c r="AD623" s="22" t="s">
        <v>8161</v>
      </c>
      <c r="AE623" s="22" t="s">
        <v>8132</v>
      </c>
      <c r="AF623" s="25"/>
      <c r="AG623" s="22">
        <v>1.0456121901379E13</v>
      </c>
      <c r="AH623" s="22" t="s">
        <v>90</v>
      </c>
      <c r="AI623" s="22">
        <v>2.3422367662403E13</v>
      </c>
      <c r="AJ623" s="25"/>
      <c r="AK623" s="25"/>
      <c r="AL623" s="22" t="s">
        <v>8173</v>
      </c>
      <c r="AQ623" s="32" t="s">
        <v>55</v>
      </c>
      <c r="AR623" s="32" t="b">
        <v>0</v>
      </c>
      <c r="AS623" s="32" t="b">
        <v>1</v>
      </c>
    </row>
    <row r="624">
      <c r="A624" s="21" t="s">
        <v>10162</v>
      </c>
      <c r="B624" s="25"/>
      <c r="C624" s="25"/>
      <c r="D624" s="22" t="s">
        <v>8721</v>
      </c>
      <c r="E624" s="25"/>
      <c r="F624" s="22" t="s">
        <v>8149</v>
      </c>
      <c r="G624" s="25"/>
      <c r="H624" s="22">
        <v>9.511768490307E12</v>
      </c>
      <c r="I624" s="25"/>
      <c r="J624" s="25"/>
      <c r="K624" s="25"/>
      <c r="L624" s="25"/>
      <c r="M624" s="25"/>
      <c r="N624" s="22" t="s">
        <v>5970</v>
      </c>
      <c r="O624" s="22" t="s">
        <v>10163</v>
      </c>
      <c r="P624" s="22" t="s">
        <v>5970</v>
      </c>
      <c r="Q624" s="22" t="s">
        <v>10163</v>
      </c>
      <c r="R624" s="22" t="s">
        <v>10164</v>
      </c>
      <c r="S624" s="25"/>
      <c r="T624" s="40" t="s">
        <v>10165</v>
      </c>
      <c r="U624" s="22" t="s">
        <v>10166</v>
      </c>
      <c r="V624" s="25"/>
      <c r="W624" s="22" t="s">
        <v>10167</v>
      </c>
      <c r="X624" s="22" t="s">
        <v>10168</v>
      </c>
      <c r="Y624" s="25"/>
      <c r="Z624" s="25"/>
      <c r="AA624" s="22" t="s">
        <v>8129</v>
      </c>
      <c r="AB624" s="22" t="s">
        <v>8130</v>
      </c>
      <c r="AC624" s="25"/>
      <c r="AD624" s="25"/>
      <c r="AE624" s="22" t="s">
        <v>8132</v>
      </c>
      <c r="AF624" s="25"/>
      <c r="AG624" s="22">
        <v>1.0456121901379E13</v>
      </c>
      <c r="AH624" s="22" t="s">
        <v>8137</v>
      </c>
      <c r="AI624" s="22">
        <v>2.3422367662403E13</v>
      </c>
      <c r="AJ624" s="25"/>
      <c r="AK624" s="25"/>
      <c r="AL624" s="22" t="s">
        <v>8149</v>
      </c>
      <c r="AR624" s="32" t="b">
        <v>0</v>
      </c>
      <c r="AS624" s="32" t="b">
        <v>0</v>
      </c>
    </row>
    <row r="625">
      <c r="A625" s="21" t="s">
        <v>10169</v>
      </c>
      <c r="B625" s="22" t="s">
        <v>8140</v>
      </c>
      <c r="C625" s="22">
        <v>1.0</v>
      </c>
      <c r="D625" s="22" t="s">
        <v>10170</v>
      </c>
      <c r="E625" s="22" t="s">
        <v>8140</v>
      </c>
      <c r="F625" s="22" t="s">
        <v>8121</v>
      </c>
      <c r="G625" s="25"/>
      <c r="H625" s="22">
        <v>3.2741329174851E13</v>
      </c>
      <c r="I625" s="25"/>
      <c r="J625" s="25"/>
      <c r="K625" s="22">
        <v>4.2085703581939E13</v>
      </c>
      <c r="L625" s="25"/>
      <c r="M625" s="25"/>
      <c r="N625" s="22" t="s">
        <v>4492</v>
      </c>
      <c r="O625" s="22" t="s">
        <v>10171</v>
      </c>
      <c r="P625" s="22" t="s">
        <v>4492</v>
      </c>
      <c r="Q625" s="22" t="s">
        <v>10171</v>
      </c>
      <c r="R625" s="22" t="s">
        <v>10172</v>
      </c>
      <c r="S625" s="22" t="s">
        <v>10173</v>
      </c>
      <c r="T625" s="40" t="s">
        <v>10174</v>
      </c>
      <c r="U625" s="22" t="s">
        <v>10175</v>
      </c>
      <c r="V625" s="22" t="s">
        <v>10176</v>
      </c>
      <c r="W625" s="22" t="s">
        <v>10177</v>
      </c>
      <c r="X625" s="22" t="s">
        <v>8289</v>
      </c>
      <c r="Y625" s="25"/>
      <c r="Z625" s="25"/>
      <c r="AA625" s="22" t="s">
        <v>8129</v>
      </c>
      <c r="AB625" s="22" t="s">
        <v>8130</v>
      </c>
      <c r="AC625" s="25"/>
      <c r="AD625" s="22" t="s">
        <v>8131</v>
      </c>
      <c r="AE625" s="22" t="s">
        <v>8132</v>
      </c>
      <c r="AF625" s="25"/>
      <c r="AG625" s="22">
        <v>1.0456121999683E13</v>
      </c>
      <c r="AH625" s="22" t="s">
        <v>90</v>
      </c>
      <c r="AI625" s="22">
        <v>2.3422366777667E13</v>
      </c>
      <c r="AJ625" s="25"/>
      <c r="AK625" s="25"/>
      <c r="AL625" s="22" t="s">
        <v>8134</v>
      </c>
      <c r="AQ625" s="32" t="s">
        <v>8150</v>
      </c>
      <c r="AR625" s="32" t="b">
        <v>0</v>
      </c>
      <c r="AS625" s="32" t="b">
        <v>0</v>
      </c>
    </row>
    <row r="626">
      <c r="A626" s="21" t="s">
        <v>10169</v>
      </c>
      <c r="B626" s="22" t="s">
        <v>8429</v>
      </c>
      <c r="C626" s="22">
        <v>1.0</v>
      </c>
      <c r="D626" s="22" t="s">
        <v>10170</v>
      </c>
      <c r="E626" s="22" t="s">
        <v>8429</v>
      </c>
      <c r="F626" s="22" t="s">
        <v>8155</v>
      </c>
      <c r="G626" s="25"/>
      <c r="H626" s="22">
        <v>3.2741329207619E13</v>
      </c>
      <c r="I626" s="25"/>
      <c r="J626" s="25"/>
      <c r="K626" s="22">
        <v>4.9521175527747E13</v>
      </c>
      <c r="L626" s="25"/>
      <c r="M626" s="25"/>
      <c r="N626" s="22" t="s">
        <v>4492</v>
      </c>
      <c r="O626" s="22" t="s">
        <v>10171</v>
      </c>
      <c r="P626" s="22" t="s">
        <v>4492</v>
      </c>
      <c r="Q626" s="22" t="s">
        <v>10171</v>
      </c>
      <c r="R626" s="22" t="s">
        <v>10172</v>
      </c>
      <c r="S626" s="22" t="s">
        <v>10173</v>
      </c>
      <c r="T626" s="40" t="s">
        <v>10174</v>
      </c>
      <c r="U626" s="22" t="s">
        <v>10175</v>
      </c>
      <c r="V626" s="22" t="s">
        <v>10176</v>
      </c>
      <c r="W626" s="22" t="s">
        <v>10177</v>
      </c>
      <c r="X626" s="22" t="s">
        <v>8289</v>
      </c>
      <c r="Y626" s="25"/>
      <c r="Z626" s="25"/>
      <c r="AA626" s="22" t="s">
        <v>8129</v>
      </c>
      <c r="AB626" s="22" t="s">
        <v>8130</v>
      </c>
      <c r="AC626" s="25"/>
      <c r="AD626" s="22" t="s">
        <v>8161</v>
      </c>
      <c r="AE626" s="22" t="s">
        <v>8132</v>
      </c>
      <c r="AF626" s="25"/>
      <c r="AG626" s="22">
        <v>1.0456121999683E13</v>
      </c>
      <c r="AH626" s="22" t="s">
        <v>90</v>
      </c>
      <c r="AI626" s="22">
        <v>2.3422366777667E13</v>
      </c>
      <c r="AJ626" s="25"/>
      <c r="AK626" s="25"/>
      <c r="AL626" s="22" t="s">
        <v>8201</v>
      </c>
      <c r="AQ626" s="32" t="s">
        <v>95</v>
      </c>
      <c r="AR626" s="32" t="b">
        <v>0</v>
      </c>
      <c r="AS626" s="32" t="b">
        <v>1</v>
      </c>
    </row>
    <row r="627">
      <c r="A627" s="21" t="s">
        <v>10169</v>
      </c>
      <c r="B627" s="25"/>
      <c r="C627" s="25"/>
      <c r="D627" s="22" t="s">
        <v>10170</v>
      </c>
      <c r="E627" s="25"/>
      <c r="F627" s="22" t="s">
        <v>8136</v>
      </c>
      <c r="G627" s="25"/>
      <c r="H627" s="22">
        <v>9.511768555843E12</v>
      </c>
      <c r="I627" s="25"/>
      <c r="J627" s="25"/>
      <c r="K627" s="25"/>
      <c r="L627" s="25"/>
      <c r="M627" s="25"/>
      <c r="N627" s="22" t="s">
        <v>4492</v>
      </c>
      <c r="O627" s="22" t="s">
        <v>10171</v>
      </c>
      <c r="P627" s="22" t="s">
        <v>4492</v>
      </c>
      <c r="Q627" s="22" t="s">
        <v>10171</v>
      </c>
      <c r="R627" s="22" t="s">
        <v>10172</v>
      </c>
      <c r="S627" s="22" t="s">
        <v>10173</v>
      </c>
      <c r="T627" s="40" t="s">
        <v>10174</v>
      </c>
      <c r="U627" s="22" t="s">
        <v>10175</v>
      </c>
      <c r="V627" s="22" t="s">
        <v>10176</v>
      </c>
      <c r="W627" s="22" t="s">
        <v>10177</v>
      </c>
      <c r="X627" s="22" t="s">
        <v>8289</v>
      </c>
      <c r="Y627" s="25"/>
      <c r="Z627" s="25"/>
      <c r="AA627" s="22" t="s">
        <v>8129</v>
      </c>
      <c r="AB627" s="22" t="s">
        <v>8130</v>
      </c>
      <c r="AC627" s="25"/>
      <c r="AD627" s="25"/>
      <c r="AE627" s="22" t="s">
        <v>8132</v>
      </c>
      <c r="AF627" s="25"/>
      <c r="AG627" s="22">
        <v>1.0456121999683E13</v>
      </c>
      <c r="AH627" s="22" t="s">
        <v>8137</v>
      </c>
      <c r="AI627" s="22">
        <v>2.3422366777667E13</v>
      </c>
      <c r="AJ627" s="25"/>
      <c r="AK627" s="25"/>
      <c r="AL627" s="22" t="s">
        <v>8136</v>
      </c>
      <c r="AR627" s="32" t="b">
        <v>0</v>
      </c>
      <c r="AS627" s="32" t="b">
        <v>0</v>
      </c>
    </row>
    <row r="628">
      <c r="A628" s="21" t="s">
        <v>10169</v>
      </c>
      <c r="B628" s="25"/>
      <c r="C628" s="25"/>
      <c r="D628" s="22" t="s">
        <v>10170</v>
      </c>
      <c r="E628" s="25"/>
      <c r="F628" s="22" t="s">
        <v>8149</v>
      </c>
      <c r="G628" s="25"/>
      <c r="H628" s="22">
        <v>9.511768588611E12</v>
      </c>
      <c r="I628" s="25"/>
      <c r="J628" s="25"/>
      <c r="K628" s="25"/>
      <c r="L628" s="25"/>
      <c r="M628" s="25"/>
      <c r="N628" s="22" t="s">
        <v>4492</v>
      </c>
      <c r="O628" s="22" t="s">
        <v>10171</v>
      </c>
      <c r="P628" s="22" t="s">
        <v>4492</v>
      </c>
      <c r="Q628" s="22" t="s">
        <v>10171</v>
      </c>
      <c r="R628" s="22" t="s">
        <v>10172</v>
      </c>
      <c r="S628" s="22" t="s">
        <v>10173</v>
      </c>
      <c r="T628" s="40" t="s">
        <v>10174</v>
      </c>
      <c r="U628" s="22" t="s">
        <v>10175</v>
      </c>
      <c r="V628" s="22" t="s">
        <v>10176</v>
      </c>
      <c r="W628" s="22" t="s">
        <v>10177</v>
      </c>
      <c r="X628" s="22" t="s">
        <v>8289</v>
      </c>
      <c r="Y628" s="25"/>
      <c r="Z628" s="25"/>
      <c r="AA628" s="22" t="s">
        <v>8129</v>
      </c>
      <c r="AB628" s="22" t="s">
        <v>8130</v>
      </c>
      <c r="AC628" s="25"/>
      <c r="AD628" s="25"/>
      <c r="AE628" s="22" t="s">
        <v>8132</v>
      </c>
      <c r="AF628" s="25"/>
      <c r="AG628" s="22">
        <v>1.0456121999683E13</v>
      </c>
      <c r="AH628" s="22" t="s">
        <v>8137</v>
      </c>
      <c r="AI628" s="22">
        <v>2.3422366777667E13</v>
      </c>
      <c r="AJ628" s="25"/>
      <c r="AK628" s="25"/>
      <c r="AL628" s="22" t="s">
        <v>8149</v>
      </c>
      <c r="AR628" s="32" t="b">
        <v>0</v>
      </c>
      <c r="AS628" s="32" t="b">
        <v>0</v>
      </c>
    </row>
    <row r="629">
      <c r="A629" s="21" t="s">
        <v>10178</v>
      </c>
      <c r="B629" s="22" t="s">
        <v>8119</v>
      </c>
      <c r="C629" s="22">
        <v>1.0</v>
      </c>
      <c r="D629" s="22" t="s">
        <v>8175</v>
      </c>
      <c r="E629" s="22" t="s">
        <v>8119</v>
      </c>
      <c r="F629" s="22" t="s">
        <v>8121</v>
      </c>
      <c r="G629" s="25"/>
      <c r="H629" s="22">
        <v>3.2741420564803E13</v>
      </c>
      <c r="I629" s="25"/>
      <c r="J629" s="25"/>
      <c r="K629" s="22">
        <v>4.2085703549171E13</v>
      </c>
      <c r="L629" s="25"/>
      <c r="M629" s="25"/>
      <c r="N629" s="22" t="s">
        <v>9699</v>
      </c>
      <c r="O629" s="22" t="s">
        <v>4086</v>
      </c>
      <c r="P629" s="22" t="s">
        <v>9699</v>
      </c>
      <c r="Q629" s="22" t="s">
        <v>4086</v>
      </c>
      <c r="R629" s="22" t="s">
        <v>10179</v>
      </c>
      <c r="S629" s="25"/>
      <c r="T629" s="40" t="s">
        <v>10180</v>
      </c>
      <c r="U629" s="22" t="s">
        <v>10181</v>
      </c>
      <c r="V629" s="25"/>
      <c r="W629" s="22" t="s">
        <v>10182</v>
      </c>
      <c r="X629" s="22" t="s">
        <v>8671</v>
      </c>
      <c r="Y629" s="25"/>
      <c r="Z629" s="25"/>
      <c r="AA629" s="22" t="s">
        <v>8129</v>
      </c>
      <c r="AB629" s="22" t="s">
        <v>8130</v>
      </c>
      <c r="AC629" s="25"/>
      <c r="AD629" s="22" t="s">
        <v>8131</v>
      </c>
      <c r="AE629" s="22" t="s">
        <v>8132</v>
      </c>
      <c r="AF629" s="25"/>
      <c r="AG629" s="22">
        <v>1.0456165089603E13</v>
      </c>
      <c r="AH629" s="22" t="s">
        <v>90</v>
      </c>
      <c r="AI629" s="22">
        <v>2.3422413472067E13</v>
      </c>
      <c r="AJ629" s="25"/>
      <c r="AK629" s="25"/>
      <c r="AL629" s="22" t="s">
        <v>8133</v>
      </c>
      <c r="AQ629" s="32" t="s">
        <v>8135</v>
      </c>
      <c r="AR629" s="32" t="b">
        <v>0</v>
      </c>
      <c r="AS629" s="32" t="b">
        <v>0</v>
      </c>
    </row>
    <row r="630">
      <c r="A630" s="21" t="s">
        <v>10178</v>
      </c>
      <c r="B630" s="25"/>
      <c r="C630" s="25"/>
      <c r="D630" s="22" t="s">
        <v>8175</v>
      </c>
      <c r="E630" s="25"/>
      <c r="F630" s="22" t="s">
        <v>8136</v>
      </c>
      <c r="G630" s="25"/>
      <c r="H630" s="22">
        <v>9.511802765635E12</v>
      </c>
      <c r="I630" s="25"/>
      <c r="J630" s="25"/>
      <c r="K630" s="25"/>
      <c r="L630" s="25"/>
      <c r="M630" s="25"/>
      <c r="N630" s="22" t="s">
        <v>9699</v>
      </c>
      <c r="O630" s="22" t="s">
        <v>4086</v>
      </c>
      <c r="P630" s="22" t="s">
        <v>9699</v>
      </c>
      <c r="Q630" s="22" t="s">
        <v>4086</v>
      </c>
      <c r="R630" s="22" t="s">
        <v>10179</v>
      </c>
      <c r="S630" s="25"/>
      <c r="T630" s="40" t="s">
        <v>10180</v>
      </c>
      <c r="U630" s="22" t="s">
        <v>10181</v>
      </c>
      <c r="V630" s="25"/>
      <c r="W630" s="22" t="s">
        <v>10182</v>
      </c>
      <c r="X630" s="22" t="s">
        <v>8671</v>
      </c>
      <c r="Y630" s="25"/>
      <c r="Z630" s="25"/>
      <c r="AA630" s="22" t="s">
        <v>8129</v>
      </c>
      <c r="AB630" s="22" t="s">
        <v>8130</v>
      </c>
      <c r="AC630" s="25"/>
      <c r="AD630" s="25"/>
      <c r="AE630" s="22" t="s">
        <v>8132</v>
      </c>
      <c r="AF630" s="25"/>
      <c r="AG630" s="22">
        <v>1.0456165089603E13</v>
      </c>
      <c r="AH630" s="22" t="s">
        <v>8137</v>
      </c>
      <c r="AI630" s="22">
        <v>2.3422413472067E13</v>
      </c>
      <c r="AJ630" s="25"/>
      <c r="AK630" s="25"/>
      <c r="AL630" s="22" t="s">
        <v>8136</v>
      </c>
      <c r="AR630" s="32" t="b">
        <v>0</v>
      </c>
      <c r="AS630" s="32" t="b">
        <v>0</v>
      </c>
    </row>
    <row r="631">
      <c r="A631" s="21" t="s">
        <v>10183</v>
      </c>
      <c r="B631" s="22" t="s">
        <v>8140</v>
      </c>
      <c r="C631" s="22">
        <v>1.0</v>
      </c>
      <c r="D631" s="22" t="s">
        <v>8175</v>
      </c>
      <c r="E631" s="22" t="s">
        <v>8140</v>
      </c>
      <c r="F631" s="22" t="s">
        <v>8121</v>
      </c>
      <c r="G631" s="25"/>
      <c r="H631" s="22">
        <v>3.2741677203779E13</v>
      </c>
      <c r="I631" s="25"/>
      <c r="J631" s="25"/>
      <c r="K631" s="22">
        <v>4.2085703581939E13</v>
      </c>
      <c r="L631" s="25"/>
      <c r="M631" s="25"/>
      <c r="N631" s="22" t="s">
        <v>10184</v>
      </c>
      <c r="O631" s="22" t="s">
        <v>10185</v>
      </c>
      <c r="P631" s="22" t="s">
        <v>10186</v>
      </c>
      <c r="Q631" s="22" t="s">
        <v>10187</v>
      </c>
      <c r="R631" s="22" t="s">
        <v>10188</v>
      </c>
      <c r="S631" s="22" t="s">
        <v>10189</v>
      </c>
      <c r="T631" s="40" t="s">
        <v>10190</v>
      </c>
      <c r="U631" s="22" t="s">
        <v>10191</v>
      </c>
      <c r="V631" s="25"/>
      <c r="W631" s="22" t="s">
        <v>10192</v>
      </c>
      <c r="X631" s="22" t="s">
        <v>4148</v>
      </c>
      <c r="Y631" s="25"/>
      <c r="Z631" s="25"/>
      <c r="AA631" s="22" t="s">
        <v>8129</v>
      </c>
      <c r="AB631" s="22" t="s">
        <v>8130</v>
      </c>
      <c r="AC631" s="25"/>
      <c r="AD631" s="22" t="s">
        <v>8131</v>
      </c>
      <c r="AE631" s="22" t="s">
        <v>8132</v>
      </c>
      <c r="AF631" s="25"/>
      <c r="AG631" s="22">
        <v>1.0456286593347E13</v>
      </c>
      <c r="AH631" s="22" t="s">
        <v>90</v>
      </c>
      <c r="AI631" s="22">
        <v>7.433554231619E12</v>
      </c>
      <c r="AJ631" s="25"/>
      <c r="AK631" s="25"/>
      <c r="AL631" s="22" t="s">
        <v>8134</v>
      </c>
      <c r="AQ631" s="32" t="s">
        <v>8150</v>
      </c>
      <c r="AR631" s="32" t="b">
        <v>0</v>
      </c>
      <c r="AS631" s="32" t="b">
        <v>0</v>
      </c>
    </row>
    <row r="632">
      <c r="A632" s="21" t="s">
        <v>10183</v>
      </c>
      <c r="B632" s="25"/>
      <c r="C632" s="25"/>
      <c r="D632" s="22" t="s">
        <v>8175</v>
      </c>
      <c r="E632" s="25"/>
      <c r="F632" s="22" t="s">
        <v>8136</v>
      </c>
      <c r="G632" s="25"/>
      <c r="H632" s="22">
        <v>9.511901364547E12</v>
      </c>
      <c r="I632" s="25"/>
      <c r="J632" s="25"/>
      <c r="K632" s="25"/>
      <c r="L632" s="25"/>
      <c r="M632" s="25"/>
      <c r="N632" s="22" t="s">
        <v>10184</v>
      </c>
      <c r="O632" s="22" t="s">
        <v>10185</v>
      </c>
      <c r="P632" s="22" t="s">
        <v>10186</v>
      </c>
      <c r="Q632" s="22" t="s">
        <v>10187</v>
      </c>
      <c r="R632" s="22" t="s">
        <v>10188</v>
      </c>
      <c r="S632" s="22" t="s">
        <v>10189</v>
      </c>
      <c r="T632" s="40" t="s">
        <v>10190</v>
      </c>
      <c r="U632" s="22" t="s">
        <v>10191</v>
      </c>
      <c r="V632" s="25"/>
      <c r="W632" s="22" t="s">
        <v>10192</v>
      </c>
      <c r="X632" s="22" t="s">
        <v>4148</v>
      </c>
      <c r="Y632" s="25"/>
      <c r="Z632" s="25"/>
      <c r="AA632" s="22" t="s">
        <v>8129</v>
      </c>
      <c r="AB632" s="22" t="s">
        <v>8130</v>
      </c>
      <c r="AC632" s="25"/>
      <c r="AD632" s="25"/>
      <c r="AE632" s="22" t="s">
        <v>8132</v>
      </c>
      <c r="AF632" s="25"/>
      <c r="AG632" s="22">
        <v>1.0456286593347E13</v>
      </c>
      <c r="AH632" s="22" t="s">
        <v>8137</v>
      </c>
      <c r="AI632" s="22">
        <v>7.433554231619E12</v>
      </c>
      <c r="AJ632" s="25"/>
      <c r="AK632" s="25"/>
      <c r="AL632" s="22" t="s">
        <v>8136</v>
      </c>
      <c r="AR632" s="32" t="b">
        <v>0</v>
      </c>
      <c r="AS632" s="32" t="b">
        <v>0</v>
      </c>
    </row>
    <row r="633">
      <c r="A633" s="21" t="s">
        <v>10193</v>
      </c>
      <c r="B633" s="22" t="s">
        <v>8140</v>
      </c>
      <c r="C633" s="22">
        <v>1.0</v>
      </c>
      <c r="D633" s="22" t="s">
        <v>8254</v>
      </c>
      <c r="E633" s="22" t="s">
        <v>8140</v>
      </c>
      <c r="F633" s="22" t="s">
        <v>8121</v>
      </c>
      <c r="G633" s="25"/>
      <c r="H633" s="22">
        <v>3.2741923520835E13</v>
      </c>
      <c r="I633" s="25"/>
      <c r="J633" s="25"/>
      <c r="K633" s="22">
        <v>4.2085703581939E13</v>
      </c>
      <c r="L633" s="25"/>
      <c r="M633" s="25"/>
      <c r="N633" s="22" t="s">
        <v>7585</v>
      </c>
      <c r="O633" s="22" t="s">
        <v>10194</v>
      </c>
      <c r="P633" s="22" t="s">
        <v>7585</v>
      </c>
      <c r="Q633" s="22" t="s">
        <v>10194</v>
      </c>
      <c r="R633" s="22" t="s">
        <v>10195</v>
      </c>
      <c r="S633" s="25"/>
      <c r="T633" s="40" t="s">
        <v>10196</v>
      </c>
      <c r="U633" s="22" t="s">
        <v>10197</v>
      </c>
      <c r="V633" s="25"/>
      <c r="W633" s="22" t="s">
        <v>10198</v>
      </c>
      <c r="X633" s="22" t="s">
        <v>8380</v>
      </c>
      <c r="Y633" s="25"/>
      <c r="Z633" s="25"/>
      <c r="AA633" s="22" t="s">
        <v>8129</v>
      </c>
      <c r="AB633" s="22" t="s">
        <v>8130</v>
      </c>
      <c r="AC633" s="25"/>
      <c r="AD633" s="22" t="s">
        <v>8131</v>
      </c>
      <c r="AE633" s="22" t="s">
        <v>8132</v>
      </c>
      <c r="AF633" s="25"/>
      <c r="AG633" s="22">
        <v>1.0456404099395E13</v>
      </c>
      <c r="AH633" s="22" t="s">
        <v>90</v>
      </c>
      <c r="AI633" s="22">
        <v>7.389140877635E12</v>
      </c>
      <c r="AJ633" s="25"/>
      <c r="AK633" s="25"/>
      <c r="AL633" s="22" t="s">
        <v>8134</v>
      </c>
      <c r="AQ633" s="32" t="s">
        <v>8150</v>
      </c>
      <c r="AR633" s="32" t="b">
        <v>0</v>
      </c>
      <c r="AS633" s="32" t="b">
        <v>0</v>
      </c>
    </row>
    <row r="634">
      <c r="A634" s="21" t="s">
        <v>10193</v>
      </c>
      <c r="B634" s="25"/>
      <c r="C634" s="25"/>
      <c r="D634" s="22" t="s">
        <v>8254</v>
      </c>
      <c r="E634" s="25"/>
      <c r="F634" s="22" t="s">
        <v>8136</v>
      </c>
      <c r="G634" s="25"/>
      <c r="H634" s="22">
        <v>9.512003010883E12</v>
      </c>
      <c r="I634" s="25"/>
      <c r="J634" s="25"/>
      <c r="K634" s="25"/>
      <c r="L634" s="25"/>
      <c r="M634" s="25"/>
      <c r="N634" s="22" t="s">
        <v>7585</v>
      </c>
      <c r="O634" s="22" t="s">
        <v>10194</v>
      </c>
      <c r="P634" s="22" t="s">
        <v>7585</v>
      </c>
      <c r="Q634" s="22" t="s">
        <v>10194</v>
      </c>
      <c r="R634" s="22" t="s">
        <v>10195</v>
      </c>
      <c r="S634" s="25"/>
      <c r="T634" s="40" t="s">
        <v>10196</v>
      </c>
      <c r="U634" s="22" t="s">
        <v>10197</v>
      </c>
      <c r="V634" s="25"/>
      <c r="W634" s="22" t="s">
        <v>10198</v>
      </c>
      <c r="X634" s="22" t="s">
        <v>8380</v>
      </c>
      <c r="Y634" s="25"/>
      <c r="Z634" s="25"/>
      <c r="AA634" s="22" t="s">
        <v>8129</v>
      </c>
      <c r="AB634" s="22" t="s">
        <v>8130</v>
      </c>
      <c r="AC634" s="25"/>
      <c r="AD634" s="25"/>
      <c r="AE634" s="22" t="s">
        <v>8132</v>
      </c>
      <c r="AF634" s="25"/>
      <c r="AG634" s="22">
        <v>1.0456404099395E13</v>
      </c>
      <c r="AH634" s="22" t="s">
        <v>8137</v>
      </c>
      <c r="AI634" s="22">
        <v>7.389140877635E12</v>
      </c>
      <c r="AJ634" s="25"/>
      <c r="AK634" s="25"/>
      <c r="AL634" s="22" t="s">
        <v>8136</v>
      </c>
      <c r="AR634" s="32" t="b">
        <v>0</v>
      </c>
      <c r="AS634" s="32" t="b">
        <v>0</v>
      </c>
    </row>
    <row r="635">
      <c r="A635" s="21" t="s">
        <v>10199</v>
      </c>
      <c r="B635" s="22" t="s">
        <v>8140</v>
      </c>
      <c r="C635" s="22">
        <v>1.0</v>
      </c>
      <c r="D635" s="22" t="s">
        <v>8221</v>
      </c>
      <c r="E635" s="22" t="s">
        <v>8140</v>
      </c>
      <c r="F635" s="22" t="s">
        <v>8121</v>
      </c>
      <c r="G635" s="25"/>
      <c r="H635" s="22">
        <v>3.2742081265987E13</v>
      </c>
      <c r="I635" s="25"/>
      <c r="J635" s="25"/>
      <c r="K635" s="22">
        <v>4.2085703581939E13</v>
      </c>
      <c r="L635" s="25"/>
      <c r="M635" s="25"/>
      <c r="N635" s="22" t="s">
        <v>6980</v>
      </c>
      <c r="O635" s="22" t="s">
        <v>10200</v>
      </c>
      <c r="P635" s="22" t="s">
        <v>6980</v>
      </c>
      <c r="Q635" s="22" t="s">
        <v>10200</v>
      </c>
      <c r="R635" s="22" t="s">
        <v>10201</v>
      </c>
      <c r="S635" s="25"/>
      <c r="T635" s="40" t="s">
        <v>10202</v>
      </c>
      <c r="U635" s="22" t="s">
        <v>10203</v>
      </c>
      <c r="V635" s="25"/>
      <c r="W635" s="22" t="s">
        <v>10204</v>
      </c>
      <c r="X635" s="22" t="s">
        <v>8289</v>
      </c>
      <c r="Y635" s="25"/>
      <c r="Z635" s="25"/>
      <c r="AA635" s="22" t="s">
        <v>8129</v>
      </c>
      <c r="AB635" s="22" t="s">
        <v>8130</v>
      </c>
      <c r="AC635" s="25"/>
      <c r="AD635" s="22" t="s">
        <v>8131</v>
      </c>
      <c r="AE635" s="22" t="s">
        <v>8132</v>
      </c>
      <c r="AF635" s="25"/>
      <c r="AG635" s="22">
        <v>1.0456479760707E13</v>
      </c>
      <c r="AH635" s="22" t="s">
        <v>90</v>
      </c>
      <c r="AI635" s="22">
        <v>7.450760413507E12</v>
      </c>
      <c r="AJ635" s="25"/>
      <c r="AK635" s="25"/>
      <c r="AL635" s="22" t="s">
        <v>8134</v>
      </c>
      <c r="AQ635" s="32" t="s">
        <v>8150</v>
      </c>
      <c r="AR635" s="32" t="b">
        <v>0</v>
      </c>
      <c r="AS635" s="32" t="b">
        <v>0</v>
      </c>
    </row>
    <row r="636">
      <c r="A636" s="21" t="s">
        <v>10199</v>
      </c>
      <c r="B636" s="25"/>
      <c r="C636" s="25"/>
      <c r="D636" s="22" t="s">
        <v>8221</v>
      </c>
      <c r="E636" s="25"/>
      <c r="F636" s="22" t="s">
        <v>8136</v>
      </c>
      <c r="G636" s="25"/>
      <c r="H636" s="22">
        <v>9.512070250819E12</v>
      </c>
      <c r="I636" s="25"/>
      <c r="J636" s="25"/>
      <c r="K636" s="25"/>
      <c r="L636" s="25"/>
      <c r="M636" s="25"/>
      <c r="N636" s="22" t="s">
        <v>6980</v>
      </c>
      <c r="O636" s="22" t="s">
        <v>10200</v>
      </c>
      <c r="P636" s="22" t="s">
        <v>6980</v>
      </c>
      <c r="Q636" s="22" t="s">
        <v>10200</v>
      </c>
      <c r="R636" s="22" t="s">
        <v>10201</v>
      </c>
      <c r="S636" s="25"/>
      <c r="T636" s="40" t="s">
        <v>10202</v>
      </c>
      <c r="U636" s="22" t="s">
        <v>10203</v>
      </c>
      <c r="V636" s="25"/>
      <c r="W636" s="22" t="s">
        <v>10204</v>
      </c>
      <c r="X636" s="22" t="s">
        <v>8289</v>
      </c>
      <c r="Y636" s="25"/>
      <c r="Z636" s="25"/>
      <c r="AA636" s="22" t="s">
        <v>8129</v>
      </c>
      <c r="AB636" s="22" t="s">
        <v>8130</v>
      </c>
      <c r="AC636" s="25"/>
      <c r="AD636" s="25"/>
      <c r="AE636" s="22" t="s">
        <v>8132</v>
      </c>
      <c r="AF636" s="25"/>
      <c r="AG636" s="22">
        <v>1.0456479760707E13</v>
      </c>
      <c r="AH636" s="22" t="s">
        <v>8137</v>
      </c>
      <c r="AI636" s="22">
        <v>7.450760413507E12</v>
      </c>
      <c r="AJ636" s="25"/>
      <c r="AK636" s="25"/>
      <c r="AL636" s="22" t="s">
        <v>8136</v>
      </c>
      <c r="AR636" s="32" t="b">
        <v>0</v>
      </c>
      <c r="AS636" s="32" t="b">
        <v>0</v>
      </c>
    </row>
    <row r="637">
      <c r="A637" s="21" t="s">
        <v>10205</v>
      </c>
      <c r="B637" s="22" t="s">
        <v>8370</v>
      </c>
      <c r="C637" s="22">
        <v>1.0</v>
      </c>
      <c r="D637" s="22" t="s">
        <v>8141</v>
      </c>
      <c r="E637" s="22" t="s">
        <v>8370</v>
      </c>
      <c r="F637" s="22" t="s">
        <v>8155</v>
      </c>
      <c r="G637" s="25"/>
      <c r="H637" s="22">
        <v>3.2742621118787E13</v>
      </c>
      <c r="I637" s="25"/>
      <c r="J637" s="25"/>
      <c r="K637" s="22">
        <v>4.9521175494979E13</v>
      </c>
      <c r="L637" s="25"/>
      <c r="M637" s="25"/>
      <c r="N637" s="22" t="s">
        <v>5127</v>
      </c>
      <c r="O637" s="22" t="s">
        <v>10206</v>
      </c>
      <c r="P637" s="22" t="s">
        <v>5127</v>
      </c>
      <c r="Q637" s="22" t="s">
        <v>10206</v>
      </c>
      <c r="R637" s="22" t="s">
        <v>10207</v>
      </c>
      <c r="S637" s="25"/>
      <c r="T637" s="40" t="s">
        <v>10208</v>
      </c>
      <c r="U637" s="22" t="s">
        <v>10209</v>
      </c>
      <c r="V637" s="25"/>
      <c r="W637" s="22" t="s">
        <v>10210</v>
      </c>
      <c r="X637" s="22" t="s">
        <v>8380</v>
      </c>
      <c r="Y637" s="25"/>
      <c r="Z637" s="25"/>
      <c r="AA637" s="22" t="s">
        <v>8129</v>
      </c>
      <c r="AB637" s="22" t="s">
        <v>8130</v>
      </c>
      <c r="AC637" s="25"/>
      <c r="AD637" s="22" t="s">
        <v>8161</v>
      </c>
      <c r="AE637" s="22" t="s">
        <v>8132</v>
      </c>
      <c r="AF637" s="25"/>
      <c r="AG637" s="22">
        <v>1.0456728731971E13</v>
      </c>
      <c r="AH637" s="22" t="s">
        <v>90</v>
      </c>
      <c r="AI637" s="22">
        <v>2.3423031345475E13</v>
      </c>
      <c r="AJ637" s="25"/>
      <c r="AK637" s="25"/>
      <c r="AL637" s="22" t="s">
        <v>8138</v>
      </c>
      <c r="AQ637" s="32" t="s">
        <v>91</v>
      </c>
      <c r="AR637" s="32" t="b">
        <v>0</v>
      </c>
      <c r="AS637" s="32" t="b">
        <v>1</v>
      </c>
    </row>
    <row r="638">
      <c r="A638" s="21" t="s">
        <v>10205</v>
      </c>
      <c r="B638" s="25"/>
      <c r="C638" s="25"/>
      <c r="D638" s="22" t="s">
        <v>8141</v>
      </c>
      <c r="E638" s="25"/>
      <c r="F638" s="22" t="s">
        <v>8149</v>
      </c>
      <c r="G638" s="25"/>
      <c r="H638" s="22">
        <v>9.512303788355E12</v>
      </c>
      <c r="I638" s="25"/>
      <c r="J638" s="25"/>
      <c r="K638" s="25"/>
      <c r="L638" s="25"/>
      <c r="M638" s="25"/>
      <c r="N638" s="22" t="s">
        <v>5127</v>
      </c>
      <c r="O638" s="22" t="s">
        <v>10206</v>
      </c>
      <c r="P638" s="22" t="s">
        <v>5127</v>
      </c>
      <c r="Q638" s="22" t="s">
        <v>10206</v>
      </c>
      <c r="R638" s="22" t="s">
        <v>10207</v>
      </c>
      <c r="S638" s="25"/>
      <c r="T638" s="40" t="s">
        <v>10208</v>
      </c>
      <c r="U638" s="22" t="s">
        <v>10209</v>
      </c>
      <c r="V638" s="25"/>
      <c r="W638" s="22" t="s">
        <v>10210</v>
      </c>
      <c r="X638" s="22" t="s">
        <v>8380</v>
      </c>
      <c r="Y638" s="25"/>
      <c r="Z638" s="25"/>
      <c r="AA638" s="22" t="s">
        <v>8129</v>
      </c>
      <c r="AB638" s="22" t="s">
        <v>8130</v>
      </c>
      <c r="AC638" s="25"/>
      <c r="AD638" s="25"/>
      <c r="AE638" s="22" t="s">
        <v>8132</v>
      </c>
      <c r="AF638" s="25"/>
      <c r="AG638" s="22">
        <v>1.0456728731971E13</v>
      </c>
      <c r="AH638" s="22" t="s">
        <v>8137</v>
      </c>
      <c r="AI638" s="22">
        <v>2.3423031345475E13</v>
      </c>
      <c r="AJ638" s="25"/>
      <c r="AK638" s="25"/>
      <c r="AL638" s="22" t="s">
        <v>8149</v>
      </c>
      <c r="AR638" s="32" t="b">
        <v>0</v>
      </c>
      <c r="AS638" s="32" t="b">
        <v>0</v>
      </c>
    </row>
    <row r="639">
      <c r="A639" s="21" t="s">
        <v>10211</v>
      </c>
      <c r="B639" s="22" t="s">
        <v>8140</v>
      </c>
      <c r="C639" s="22">
        <v>1.0</v>
      </c>
      <c r="D639" s="22" t="s">
        <v>8221</v>
      </c>
      <c r="E639" s="22" t="s">
        <v>8140</v>
      </c>
      <c r="F639" s="22" t="s">
        <v>8121</v>
      </c>
      <c r="G639" s="25"/>
      <c r="H639" s="22">
        <v>3.2742654083395E13</v>
      </c>
      <c r="I639" s="25"/>
      <c r="J639" s="25"/>
      <c r="K639" s="22">
        <v>4.2085703581939E13</v>
      </c>
      <c r="L639" s="25"/>
      <c r="M639" s="25"/>
      <c r="N639" s="22" t="s">
        <v>4271</v>
      </c>
      <c r="O639" s="22" t="s">
        <v>10212</v>
      </c>
      <c r="P639" s="22" t="s">
        <v>4271</v>
      </c>
      <c r="Q639" s="22" t="s">
        <v>10212</v>
      </c>
      <c r="R639" s="22" t="s">
        <v>10213</v>
      </c>
      <c r="S639" s="25"/>
      <c r="T639" s="40" t="s">
        <v>10214</v>
      </c>
      <c r="U639" s="22" t="s">
        <v>10215</v>
      </c>
      <c r="V639" s="25"/>
      <c r="W639" s="22" t="s">
        <v>10216</v>
      </c>
      <c r="X639" s="22" t="s">
        <v>10217</v>
      </c>
      <c r="Y639" s="25"/>
      <c r="Z639" s="25"/>
      <c r="AA639" s="22" t="s">
        <v>8129</v>
      </c>
      <c r="AB639" s="22" t="s">
        <v>8130</v>
      </c>
      <c r="AC639" s="25"/>
      <c r="AD639" s="22" t="s">
        <v>8131</v>
      </c>
      <c r="AE639" s="22" t="s">
        <v>8132</v>
      </c>
      <c r="AF639" s="25"/>
      <c r="AG639" s="22">
        <v>1.0456743543107E13</v>
      </c>
      <c r="AH639" s="22" t="s">
        <v>90</v>
      </c>
      <c r="AI639" s="22">
        <v>8.616681865539E12</v>
      </c>
      <c r="AJ639" s="25"/>
      <c r="AK639" s="25"/>
      <c r="AL639" s="22" t="s">
        <v>8134</v>
      </c>
      <c r="AQ639" s="32" t="s">
        <v>8150</v>
      </c>
      <c r="AR639" s="32" t="b">
        <v>0</v>
      </c>
      <c r="AS639" s="32" t="b">
        <v>0</v>
      </c>
    </row>
    <row r="640">
      <c r="A640" s="21" t="s">
        <v>10211</v>
      </c>
      <c r="B640" s="25"/>
      <c r="C640" s="25"/>
      <c r="D640" s="22" t="s">
        <v>8221</v>
      </c>
      <c r="E640" s="25"/>
      <c r="F640" s="22" t="s">
        <v>8136</v>
      </c>
      <c r="G640" s="25"/>
      <c r="H640" s="22">
        <v>9.512317747523E12</v>
      </c>
      <c r="I640" s="25"/>
      <c r="J640" s="25"/>
      <c r="K640" s="25"/>
      <c r="L640" s="25"/>
      <c r="M640" s="25"/>
      <c r="N640" s="22" t="s">
        <v>4271</v>
      </c>
      <c r="O640" s="22" t="s">
        <v>10212</v>
      </c>
      <c r="P640" s="22" t="s">
        <v>4271</v>
      </c>
      <c r="Q640" s="22" t="s">
        <v>10212</v>
      </c>
      <c r="R640" s="22" t="s">
        <v>10213</v>
      </c>
      <c r="S640" s="25"/>
      <c r="T640" s="40" t="s">
        <v>10214</v>
      </c>
      <c r="U640" s="22" t="s">
        <v>10215</v>
      </c>
      <c r="V640" s="25"/>
      <c r="W640" s="22" t="s">
        <v>10216</v>
      </c>
      <c r="X640" s="22" t="s">
        <v>10217</v>
      </c>
      <c r="Y640" s="25"/>
      <c r="Z640" s="25"/>
      <c r="AA640" s="22" t="s">
        <v>8129</v>
      </c>
      <c r="AB640" s="22" t="s">
        <v>8130</v>
      </c>
      <c r="AC640" s="25"/>
      <c r="AD640" s="25"/>
      <c r="AE640" s="22" t="s">
        <v>8132</v>
      </c>
      <c r="AF640" s="25"/>
      <c r="AG640" s="22">
        <v>1.0456743543107E13</v>
      </c>
      <c r="AH640" s="22" t="s">
        <v>8137</v>
      </c>
      <c r="AI640" s="22">
        <v>8.616681865539E12</v>
      </c>
      <c r="AJ640" s="25"/>
      <c r="AK640" s="25"/>
      <c r="AL640" s="22" t="s">
        <v>8136</v>
      </c>
      <c r="AR640" s="32" t="b">
        <v>0</v>
      </c>
      <c r="AS640" s="32" t="b">
        <v>0</v>
      </c>
    </row>
    <row r="641">
      <c r="A641" s="21" t="s">
        <v>10218</v>
      </c>
      <c r="B641" s="22" t="s">
        <v>8467</v>
      </c>
      <c r="C641" s="22">
        <v>1.0</v>
      </c>
      <c r="D641" s="22" t="s">
        <v>8203</v>
      </c>
      <c r="E641" s="22" t="s">
        <v>8467</v>
      </c>
      <c r="F641" s="22" t="s">
        <v>8155</v>
      </c>
      <c r="G641" s="25"/>
      <c r="H641" s="22">
        <v>3.2742759465283E13</v>
      </c>
      <c r="I641" s="25"/>
      <c r="J641" s="25"/>
      <c r="K641" s="22">
        <v>4.9521175462211E13</v>
      </c>
      <c r="L641" s="25"/>
      <c r="M641" s="25"/>
      <c r="N641" s="22" t="s">
        <v>10219</v>
      </c>
      <c r="O641" s="22" t="s">
        <v>10220</v>
      </c>
      <c r="P641" s="22" t="s">
        <v>10219</v>
      </c>
      <c r="Q641" s="22" t="s">
        <v>10220</v>
      </c>
      <c r="R641" s="22" t="s">
        <v>10221</v>
      </c>
      <c r="S641" s="25"/>
      <c r="T641" s="40" t="s">
        <v>10222</v>
      </c>
      <c r="U641" s="22" t="s">
        <v>10223</v>
      </c>
      <c r="V641" s="25"/>
      <c r="W641" s="22" t="s">
        <v>10224</v>
      </c>
      <c r="X641" s="22" t="s">
        <v>8289</v>
      </c>
      <c r="Y641" s="25"/>
      <c r="Z641" s="25"/>
      <c r="AA641" s="22" t="s">
        <v>8129</v>
      </c>
      <c r="AB641" s="22" t="s">
        <v>8130</v>
      </c>
      <c r="AC641" s="25"/>
      <c r="AD641" s="22" t="s">
        <v>8161</v>
      </c>
      <c r="AE641" s="22" t="s">
        <v>8132</v>
      </c>
      <c r="AF641" s="25"/>
      <c r="AG641" s="22">
        <v>1.0456789811523E13</v>
      </c>
      <c r="AH641" s="22" t="s">
        <v>90</v>
      </c>
      <c r="AI641" s="22">
        <v>7.464610529603E12</v>
      </c>
      <c r="AJ641" s="25"/>
      <c r="AK641" s="25"/>
      <c r="AL641" s="22" t="s">
        <v>8173</v>
      </c>
      <c r="AQ641" s="32" t="s">
        <v>55</v>
      </c>
      <c r="AR641" s="32" t="b">
        <v>0</v>
      </c>
      <c r="AS641" s="32" t="b">
        <v>1</v>
      </c>
    </row>
    <row r="642">
      <c r="A642" s="21" t="s">
        <v>10218</v>
      </c>
      <c r="B642" s="25"/>
      <c r="C642" s="25"/>
      <c r="D642" s="22" t="s">
        <v>8203</v>
      </c>
      <c r="E642" s="25"/>
      <c r="F642" s="22" t="s">
        <v>8149</v>
      </c>
      <c r="G642" s="25"/>
      <c r="H642" s="22">
        <v>9.512361853251E12</v>
      </c>
      <c r="I642" s="25"/>
      <c r="J642" s="25"/>
      <c r="K642" s="25"/>
      <c r="L642" s="25"/>
      <c r="M642" s="25"/>
      <c r="N642" s="22" t="s">
        <v>10219</v>
      </c>
      <c r="O642" s="22" t="s">
        <v>10220</v>
      </c>
      <c r="P642" s="22" t="s">
        <v>10219</v>
      </c>
      <c r="Q642" s="22" t="s">
        <v>10220</v>
      </c>
      <c r="R642" s="22" t="s">
        <v>10221</v>
      </c>
      <c r="S642" s="25"/>
      <c r="T642" s="40" t="s">
        <v>10222</v>
      </c>
      <c r="U642" s="22" t="s">
        <v>10223</v>
      </c>
      <c r="V642" s="25"/>
      <c r="W642" s="22" t="s">
        <v>10224</v>
      </c>
      <c r="X642" s="22" t="s">
        <v>8289</v>
      </c>
      <c r="Y642" s="25"/>
      <c r="Z642" s="25"/>
      <c r="AA642" s="22" t="s">
        <v>8129</v>
      </c>
      <c r="AB642" s="22" t="s">
        <v>8130</v>
      </c>
      <c r="AC642" s="25"/>
      <c r="AD642" s="25"/>
      <c r="AE642" s="22" t="s">
        <v>8132</v>
      </c>
      <c r="AF642" s="25"/>
      <c r="AG642" s="22">
        <v>1.0456789811523E13</v>
      </c>
      <c r="AH642" s="22" t="s">
        <v>8137</v>
      </c>
      <c r="AI642" s="22">
        <v>7.464610529603E12</v>
      </c>
      <c r="AJ642" s="25"/>
      <c r="AK642" s="25"/>
      <c r="AL642" s="22" t="s">
        <v>8149</v>
      </c>
      <c r="AR642" s="32" t="b">
        <v>0</v>
      </c>
      <c r="AS642" s="32" t="b">
        <v>0</v>
      </c>
    </row>
    <row r="643">
      <c r="A643" s="21" t="s">
        <v>10225</v>
      </c>
      <c r="B643" s="22" t="s">
        <v>8140</v>
      </c>
      <c r="C643" s="22">
        <v>1.0</v>
      </c>
      <c r="D643" s="22" t="s">
        <v>8203</v>
      </c>
      <c r="E643" s="22" t="s">
        <v>8140</v>
      </c>
      <c r="F643" s="22" t="s">
        <v>8121</v>
      </c>
      <c r="G643" s="25"/>
      <c r="H643" s="22">
        <v>3.2742976258371E13</v>
      </c>
      <c r="I643" s="25"/>
      <c r="J643" s="25"/>
      <c r="K643" s="22">
        <v>4.2085703581939E13</v>
      </c>
      <c r="L643" s="25"/>
      <c r="M643" s="25"/>
      <c r="N643" s="22" t="s">
        <v>10226</v>
      </c>
      <c r="O643" s="22" t="s">
        <v>10227</v>
      </c>
      <c r="P643" s="22" t="s">
        <v>10226</v>
      </c>
      <c r="Q643" s="22" t="s">
        <v>10227</v>
      </c>
      <c r="R643" s="22" t="s">
        <v>10228</v>
      </c>
      <c r="S643" s="25"/>
      <c r="T643" s="40" t="s">
        <v>10229</v>
      </c>
      <c r="U643" s="22" t="s">
        <v>10230</v>
      </c>
      <c r="V643" s="25"/>
      <c r="W643" s="22" t="s">
        <v>10231</v>
      </c>
      <c r="X643" s="22" t="s">
        <v>8966</v>
      </c>
      <c r="Y643" s="25"/>
      <c r="Z643" s="25"/>
      <c r="AA643" s="22" t="s">
        <v>8129</v>
      </c>
      <c r="AB643" s="22" t="s">
        <v>8130</v>
      </c>
      <c r="AC643" s="25"/>
      <c r="AD643" s="22" t="s">
        <v>8131</v>
      </c>
      <c r="AE643" s="22" t="s">
        <v>8132</v>
      </c>
      <c r="AF643" s="25"/>
      <c r="AG643" s="22">
        <v>1.0456882872643E13</v>
      </c>
      <c r="AH643" s="22" t="s">
        <v>90</v>
      </c>
      <c r="AI643" s="22">
        <v>2.3423216189763E13</v>
      </c>
      <c r="AJ643" s="25"/>
      <c r="AK643" s="25"/>
      <c r="AL643" s="22" t="s">
        <v>8134</v>
      </c>
      <c r="AQ643" s="32" t="s">
        <v>8150</v>
      </c>
      <c r="AR643" s="32" t="b">
        <v>0</v>
      </c>
      <c r="AS643" s="32" t="b">
        <v>0</v>
      </c>
    </row>
    <row r="644">
      <c r="A644" s="21" t="s">
        <v>10225</v>
      </c>
      <c r="B644" s="25"/>
      <c r="C644" s="25"/>
      <c r="D644" s="22" t="s">
        <v>8203</v>
      </c>
      <c r="E644" s="25"/>
      <c r="F644" s="22" t="s">
        <v>8136</v>
      </c>
      <c r="G644" s="25"/>
      <c r="H644" s="22">
        <v>9.512450818371E12</v>
      </c>
      <c r="I644" s="25"/>
      <c r="J644" s="25"/>
      <c r="K644" s="25"/>
      <c r="L644" s="25"/>
      <c r="M644" s="25"/>
      <c r="N644" s="22" t="s">
        <v>10226</v>
      </c>
      <c r="O644" s="22" t="s">
        <v>10227</v>
      </c>
      <c r="P644" s="22" t="s">
        <v>10226</v>
      </c>
      <c r="Q644" s="22" t="s">
        <v>10227</v>
      </c>
      <c r="R644" s="22" t="s">
        <v>10228</v>
      </c>
      <c r="S644" s="25"/>
      <c r="T644" s="40" t="s">
        <v>10229</v>
      </c>
      <c r="U644" s="22" t="s">
        <v>10230</v>
      </c>
      <c r="V644" s="25"/>
      <c r="W644" s="22" t="s">
        <v>10231</v>
      </c>
      <c r="X644" s="22" t="s">
        <v>8966</v>
      </c>
      <c r="Y644" s="25"/>
      <c r="Z644" s="25"/>
      <c r="AA644" s="22" t="s">
        <v>8129</v>
      </c>
      <c r="AB644" s="22" t="s">
        <v>8130</v>
      </c>
      <c r="AC644" s="25"/>
      <c r="AD644" s="25"/>
      <c r="AE644" s="22" t="s">
        <v>8132</v>
      </c>
      <c r="AF644" s="25"/>
      <c r="AG644" s="22">
        <v>1.0456882872643E13</v>
      </c>
      <c r="AH644" s="22" t="s">
        <v>8137</v>
      </c>
      <c r="AI644" s="22">
        <v>2.3423216189763E13</v>
      </c>
      <c r="AJ644" s="25"/>
      <c r="AK644" s="25"/>
      <c r="AL644" s="22" t="s">
        <v>8136</v>
      </c>
      <c r="AR644" s="32" t="b">
        <v>0</v>
      </c>
      <c r="AS644" s="32" t="b">
        <v>0</v>
      </c>
    </row>
    <row r="645">
      <c r="A645" s="21" t="s">
        <v>10232</v>
      </c>
      <c r="B645" s="22" t="s">
        <v>8140</v>
      </c>
      <c r="C645" s="22">
        <v>1.0</v>
      </c>
      <c r="D645" s="22" t="s">
        <v>8371</v>
      </c>
      <c r="E645" s="22" t="s">
        <v>8140</v>
      </c>
      <c r="F645" s="22" t="s">
        <v>8121</v>
      </c>
      <c r="G645" s="25"/>
      <c r="H645" s="22">
        <v>3.2743524237635E13</v>
      </c>
      <c r="I645" s="25"/>
      <c r="J645" s="25"/>
      <c r="K645" s="22">
        <v>4.2085703581939E13</v>
      </c>
      <c r="L645" s="25"/>
      <c r="M645" s="25"/>
      <c r="N645" s="22" t="s">
        <v>9979</v>
      </c>
      <c r="O645" s="22" t="s">
        <v>10233</v>
      </c>
      <c r="P645" s="22" t="s">
        <v>9979</v>
      </c>
      <c r="Q645" s="22" t="s">
        <v>10233</v>
      </c>
      <c r="R645" s="22" t="s">
        <v>10234</v>
      </c>
      <c r="S645" s="25"/>
      <c r="T645" s="40" t="s">
        <v>10235</v>
      </c>
      <c r="U645" s="22" t="s">
        <v>10236</v>
      </c>
      <c r="V645" s="25"/>
      <c r="W645" s="22" t="s">
        <v>10237</v>
      </c>
      <c r="X645" s="22" t="s">
        <v>8671</v>
      </c>
      <c r="Y645" s="25"/>
      <c r="Z645" s="25"/>
      <c r="AA645" s="22" t="s">
        <v>8129</v>
      </c>
      <c r="AB645" s="22" t="s">
        <v>8130</v>
      </c>
      <c r="AC645" s="25"/>
      <c r="AD645" s="22" t="s">
        <v>8131</v>
      </c>
      <c r="AE645" s="22" t="s">
        <v>8132</v>
      </c>
      <c r="AF645" s="25"/>
      <c r="AG645" s="22">
        <v>1.0457147375939E13</v>
      </c>
      <c r="AH645" s="22" t="s">
        <v>90</v>
      </c>
      <c r="AI645" s="22">
        <v>2.3423608389955E13</v>
      </c>
      <c r="AJ645" s="25"/>
      <c r="AK645" s="25"/>
      <c r="AL645" s="22" t="s">
        <v>8134</v>
      </c>
      <c r="AQ645" s="32" t="s">
        <v>8150</v>
      </c>
      <c r="AR645" s="32" t="b">
        <v>0</v>
      </c>
      <c r="AS645" s="32" t="b">
        <v>0</v>
      </c>
    </row>
    <row r="646">
      <c r="A646" s="21" t="s">
        <v>10232</v>
      </c>
      <c r="B646" s="25"/>
      <c r="C646" s="25"/>
      <c r="D646" s="22" t="s">
        <v>8371</v>
      </c>
      <c r="E646" s="25"/>
      <c r="F646" s="22" t="s">
        <v>8136</v>
      </c>
      <c r="G646" s="25"/>
      <c r="H646" s="22">
        <v>9.512683307331E12</v>
      </c>
      <c r="I646" s="25"/>
      <c r="J646" s="25"/>
      <c r="K646" s="25"/>
      <c r="L646" s="25"/>
      <c r="M646" s="25"/>
      <c r="N646" s="22" t="s">
        <v>9979</v>
      </c>
      <c r="O646" s="22" t="s">
        <v>10233</v>
      </c>
      <c r="P646" s="22" t="s">
        <v>9979</v>
      </c>
      <c r="Q646" s="22" t="s">
        <v>10233</v>
      </c>
      <c r="R646" s="22" t="s">
        <v>10234</v>
      </c>
      <c r="S646" s="25"/>
      <c r="T646" s="40" t="s">
        <v>10235</v>
      </c>
      <c r="U646" s="22" t="s">
        <v>10236</v>
      </c>
      <c r="V646" s="25"/>
      <c r="W646" s="22" t="s">
        <v>10237</v>
      </c>
      <c r="X646" s="22" t="s">
        <v>8671</v>
      </c>
      <c r="Y646" s="25"/>
      <c r="Z646" s="25"/>
      <c r="AA646" s="22" t="s">
        <v>8129</v>
      </c>
      <c r="AB646" s="22" t="s">
        <v>8130</v>
      </c>
      <c r="AC646" s="25"/>
      <c r="AD646" s="25"/>
      <c r="AE646" s="22" t="s">
        <v>8132</v>
      </c>
      <c r="AF646" s="25"/>
      <c r="AG646" s="22">
        <v>1.0457147375939E13</v>
      </c>
      <c r="AH646" s="22" t="s">
        <v>8137</v>
      </c>
      <c r="AI646" s="22">
        <v>2.3423608389955E13</v>
      </c>
      <c r="AJ646" s="25"/>
      <c r="AK646" s="25"/>
      <c r="AL646" s="22" t="s">
        <v>8136</v>
      </c>
      <c r="AR646" s="32" t="b">
        <v>0</v>
      </c>
      <c r="AS646" s="32" t="b">
        <v>0</v>
      </c>
    </row>
    <row r="647">
      <c r="A647" s="21" t="s">
        <v>10238</v>
      </c>
      <c r="B647" s="22" t="s">
        <v>8119</v>
      </c>
      <c r="C647" s="22">
        <v>1.0</v>
      </c>
      <c r="D647" s="22" t="s">
        <v>9395</v>
      </c>
      <c r="E647" s="22" t="s">
        <v>8119</v>
      </c>
      <c r="F647" s="22" t="s">
        <v>8121</v>
      </c>
      <c r="G647" s="25"/>
      <c r="H647" s="22">
        <v>3.2743651836227E13</v>
      </c>
      <c r="I647" s="25"/>
      <c r="J647" s="25"/>
      <c r="K647" s="22">
        <v>4.2085703549171E13</v>
      </c>
      <c r="L647" s="25"/>
      <c r="M647" s="25"/>
      <c r="N647" s="22" t="s">
        <v>4827</v>
      </c>
      <c r="O647" s="22" t="s">
        <v>10239</v>
      </c>
      <c r="P647" s="22" t="s">
        <v>4827</v>
      </c>
      <c r="Q647" s="22" t="s">
        <v>10239</v>
      </c>
      <c r="R647" s="22" t="s">
        <v>10240</v>
      </c>
      <c r="S647" s="25"/>
      <c r="T647" s="40" t="s">
        <v>10241</v>
      </c>
      <c r="U647" s="22" t="s">
        <v>10242</v>
      </c>
      <c r="V647" s="22">
        <v>15.0</v>
      </c>
      <c r="W647" s="22" t="s">
        <v>10243</v>
      </c>
      <c r="X647" s="22" t="s">
        <v>8276</v>
      </c>
      <c r="Y647" s="25"/>
      <c r="Z647" s="25"/>
      <c r="AA647" s="22" t="s">
        <v>8129</v>
      </c>
      <c r="AB647" s="22" t="s">
        <v>8130</v>
      </c>
      <c r="AC647" s="25"/>
      <c r="AD647" s="22" t="s">
        <v>8131</v>
      </c>
      <c r="AE647" s="22" t="s">
        <v>8132</v>
      </c>
      <c r="AF647" s="25"/>
      <c r="AG647" s="22">
        <v>1.0457219301699E13</v>
      </c>
      <c r="AH647" s="22" t="s">
        <v>90</v>
      </c>
      <c r="AI647" s="22">
        <v>8.605325984067E12</v>
      </c>
      <c r="AJ647" s="25"/>
      <c r="AK647" s="25"/>
      <c r="AL647" s="22" t="s">
        <v>8133</v>
      </c>
      <c r="AQ647" s="32" t="s">
        <v>8135</v>
      </c>
      <c r="AR647" s="32" t="b">
        <v>0</v>
      </c>
      <c r="AS647" s="32" t="b">
        <v>0</v>
      </c>
    </row>
    <row r="648">
      <c r="A648" s="21" t="s">
        <v>10238</v>
      </c>
      <c r="B648" s="25"/>
      <c r="C648" s="25"/>
      <c r="D648" s="22" t="s">
        <v>9395</v>
      </c>
      <c r="E648" s="25"/>
      <c r="F648" s="22" t="s">
        <v>8136</v>
      </c>
      <c r="G648" s="25"/>
      <c r="H648" s="22">
        <v>9.512753529155E12</v>
      </c>
      <c r="I648" s="25"/>
      <c r="J648" s="25"/>
      <c r="K648" s="25"/>
      <c r="L648" s="25"/>
      <c r="M648" s="25"/>
      <c r="N648" s="22" t="s">
        <v>4827</v>
      </c>
      <c r="O648" s="22" t="s">
        <v>10239</v>
      </c>
      <c r="P648" s="22" t="s">
        <v>4827</v>
      </c>
      <c r="Q648" s="22" t="s">
        <v>10239</v>
      </c>
      <c r="R648" s="22" t="s">
        <v>10240</v>
      </c>
      <c r="S648" s="25"/>
      <c r="T648" s="40" t="s">
        <v>10241</v>
      </c>
      <c r="U648" s="22" t="s">
        <v>10242</v>
      </c>
      <c r="V648" s="22">
        <v>15.0</v>
      </c>
      <c r="W648" s="22" t="s">
        <v>10243</v>
      </c>
      <c r="X648" s="22" t="s">
        <v>8276</v>
      </c>
      <c r="Y648" s="25"/>
      <c r="Z648" s="25"/>
      <c r="AA648" s="22" t="s">
        <v>8129</v>
      </c>
      <c r="AB648" s="22" t="s">
        <v>8130</v>
      </c>
      <c r="AC648" s="25"/>
      <c r="AD648" s="25"/>
      <c r="AE648" s="22" t="s">
        <v>8132</v>
      </c>
      <c r="AF648" s="25"/>
      <c r="AG648" s="22">
        <v>1.0457219301699E13</v>
      </c>
      <c r="AH648" s="22" t="s">
        <v>8137</v>
      </c>
      <c r="AI648" s="22">
        <v>8.605325984067E12</v>
      </c>
      <c r="AJ648" s="25"/>
      <c r="AK648" s="25"/>
      <c r="AL648" s="22" t="s">
        <v>8136</v>
      </c>
      <c r="AR648" s="32" t="b">
        <v>0</v>
      </c>
      <c r="AS648" s="32" t="b">
        <v>0</v>
      </c>
    </row>
    <row r="649">
      <c r="A649" s="21" t="s">
        <v>10244</v>
      </c>
      <c r="B649" s="22" t="s">
        <v>8119</v>
      </c>
      <c r="C649" s="22">
        <v>1.0</v>
      </c>
      <c r="D649" s="22" t="s">
        <v>8203</v>
      </c>
      <c r="E649" s="22" t="s">
        <v>8119</v>
      </c>
      <c r="F649" s="22" t="s">
        <v>8121</v>
      </c>
      <c r="G649" s="25"/>
      <c r="H649" s="22">
        <v>3.2743711179075E13</v>
      </c>
      <c r="I649" s="25"/>
      <c r="J649" s="25"/>
      <c r="K649" s="22">
        <v>4.2085703549171E13</v>
      </c>
      <c r="L649" s="25"/>
      <c r="M649" s="25"/>
      <c r="N649" s="22" t="s">
        <v>10245</v>
      </c>
      <c r="O649" s="22" t="s">
        <v>10246</v>
      </c>
      <c r="P649" s="22" t="s">
        <v>10245</v>
      </c>
      <c r="Q649" s="22" t="s">
        <v>10246</v>
      </c>
      <c r="R649" s="22" t="s">
        <v>10247</v>
      </c>
      <c r="S649" s="22" t="s">
        <v>10248</v>
      </c>
      <c r="T649" s="40" t="s">
        <v>10249</v>
      </c>
      <c r="U649" s="22" t="s">
        <v>10250</v>
      </c>
      <c r="V649" s="22">
        <v>40.0</v>
      </c>
      <c r="W649" s="22" t="s">
        <v>10251</v>
      </c>
      <c r="X649" s="22" t="s">
        <v>10252</v>
      </c>
      <c r="Y649" s="25"/>
      <c r="Z649" s="25"/>
      <c r="AA649" s="22" t="s">
        <v>8129</v>
      </c>
      <c r="AB649" s="22" t="s">
        <v>8130</v>
      </c>
      <c r="AC649" s="25"/>
      <c r="AD649" s="22" t="s">
        <v>8131</v>
      </c>
      <c r="AE649" s="22" t="s">
        <v>8132</v>
      </c>
      <c r="AF649" s="25"/>
      <c r="AG649" s="22">
        <v>1.0457250791747E13</v>
      </c>
      <c r="AH649" s="22" t="s">
        <v>90</v>
      </c>
      <c r="AI649" s="22">
        <v>2.3423719211331E13</v>
      </c>
      <c r="AJ649" s="25"/>
      <c r="AK649" s="25"/>
      <c r="AL649" s="22" t="s">
        <v>8133</v>
      </c>
      <c r="AQ649" s="32" t="s">
        <v>8135</v>
      </c>
      <c r="AR649" s="32" t="b">
        <v>0</v>
      </c>
      <c r="AS649" s="32" t="b">
        <v>0</v>
      </c>
    </row>
    <row r="650">
      <c r="A650" s="21" t="s">
        <v>10244</v>
      </c>
      <c r="B650" s="25"/>
      <c r="C650" s="25"/>
      <c r="D650" s="22" t="s">
        <v>8203</v>
      </c>
      <c r="E650" s="25"/>
      <c r="F650" s="22" t="s">
        <v>8136</v>
      </c>
      <c r="G650" s="25"/>
      <c r="H650" s="22">
        <v>9.512783642947E12</v>
      </c>
      <c r="I650" s="25"/>
      <c r="J650" s="25"/>
      <c r="K650" s="25"/>
      <c r="L650" s="25"/>
      <c r="M650" s="25"/>
      <c r="N650" s="22" t="s">
        <v>10245</v>
      </c>
      <c r="O650" s="22" t="s">
        <v>10246</v>
      </c>
      <c r="P650" s="22" t="s">
        <v>10245</v>
      </c>
      <c r="Q650" s="22" t="s">
        <v>10246</v>
      </c>
      <c r="R650" s="22" t="s">
        <v>10247</v>
      </c>
      <c r="S650" s="22" t="s">
        <v>10248</v>
      </c>
      <c r="T650" s="40" t="s">
        <v>10249</v>
      </c>
      <c r="U650" s="22" t="s">
        <v>10250</v>
      </c>
      <c r="V650" s="22">
        <v>40.0</v>
      </c>
      <c r="W650" s="22" t="s">
        <v>10251</v>
      </c>
      <c r="X650" s="22" t="s">
        <v>10252</v>
      </c>
      <c r="Y650" s="25"/>
      <c r="Z650" s="25"/>
      <c r="AA650" s="22" t="s">
        <v>8129</v>
      </c>
      <c r="AB650" s="22" t="s">
        <v>8130</v>
      </c>
      <c r="AC650" s="25"/>
      <c r="AD650" s="25"/>
      <c r="AE650" s="22" t="s">
        <v>8132</v>
      </c>
      <c r="AF650" s="25"/>
      <c r="AG650" s="22">
        <v>1.0457250791747E13</v>
      </c>
      <c r="AH650" s="22" t="s">
        <v>8137</v>
      </c>
      <c r="AI650" s="22">
        <v>2.3423719211331E13</v>
      </c>
      <c r="AJ650" s="25"/>
      <c r="AK650" s="25"/>
      <c r="AL650" s="22" t="s">
        <v>8136</v>
      </c>
      <c r="AR650" s="32" t="b">
        <v>0</v>
      </c>
      <c r="AS650" s="32" t="b">
        <v>0</v>
      </c>
    </row>
    <row r="651">
      <c r="A651" s="21" t="s">
        <v>10253</v>
      </c>
      <c r="B651" s="22" t="s">
        <v>8370</v>
      </c>
      <c r="C651" s="22">
        <v>1.0</v>
      </c>
      <c r="D651" s="22" t="s">
        <v>10254</v>
      </c>
      <c r="E651" s="22" t="s">
        <v>8370</v>
      </c>
      <c r="F651" s="22" t="s">
        <v>8155</v>
      </c>
      <c r="G651" s="25"/>
      <c r="H651" s="22">
        <v>3.2744040038723E13</v>
      </c>
      <c r="I651" s="25"/>
      <c r="J651" s="25"/>
      <c r="K651" s="22">
        <v>4.9521175494979E13</v>
      </c>
      <c r="L651" s="25"/>
      <c r="M651" s="25"/>
      <c r="N651" s="22" t="s">
        <v>10255</v>
      </c>
      <c r="O651" s="22" t="s">
        <v>3735</v>
      </c>
      <c r="P651" s="22" t="s">
        <v>10255</v>
      </c>
      <c r="Q651" s="22" t="s">
        <v>3735</v>
      </c>
      <c r="R651" s="22" t="s">
        <v>10256</v>
      </c>
      <c r="S651" s="25"/>
      <c r="T651" s="40" t="s">
        <v>10257</v>
      </c>
      <c r="U651" s="22" t="s">
        <v>10258</v>
      </c>
      <c r="V651" s="25"/>
      <c r="W651" s="22" t="s">
        <v>10259</v>
      </c>
      <c r="X651" s="22" t="s">
        <v>10260</v>
      </c>
      <c r="Y651" s="25"/>
      <c r="Z651" s="25"/>
      <c r="AA651" s="22" t="s">
        <v>8129</v>
      </c>
      <c r="AB651" s="22" t="s">
        <v>8130</v>
      </c>
      <c r="AC651" s="25"/>
      <c r="AD651" s="22" t="s">
        <v>8161</v>
      </c>
      <c r="AE651" s="22" t="s">
        <v>8132</v>
      </c>
      <c r="AF651" s="25"/>
      <c r="AG651" s="22">
        <v>1.0457419579715E13</v>
      </c>
      <c r="AH651" s="22" t="s">
        <v>90</v>
      </c>
      <c r="AI651" s="22">
        <v>2.3423891243331E13</v>
      </c>
      <c r="AJ651" s="25"/>
      <c r="AK651" s="25"/>
      <c r="AL651" s="22" t="s">
        <v>8138</v>
      </c>
      <c r="AQ651" s="32" t="s">
        <v>91</v>
      </c>
      <c r="AR651" s="32" t="b">
        <v>0</v>
      </c>
      <c r="AS651" s="32" t="b">
        <v>1</v>
      </c>
    </row>
    <row r="652">
      <c r="A652" s="21" t="s">
        <v>10253</v>
      </c>
      <c r="B652" s="25"/>
      <c r="C652" s="25"/>
      <c r="D652" s="22" t="s">
        <v>10254</v>
      </c>
      <c r="E652" s="25"/>
      <c r="F652" s="22" t="s">
        <v>8149</v>
      </c>
      <c r="G652" s="25"/>
      <c r="H652" s="22">
        <v>9.512945549635E12</v>
      </c>
      <c r="I652" s="25"/>
      <c r="J652" s="25"/>
      <c r="K652" s="25"/>
      <c r="L652" s="25"/>
      <c r="M652" s="25"/>
      <c r="N652" s="22" t="s">
        <v>10255</v>
      </c>
      <c r="O652" s="22" t="s">
        <v>3735</v>
      </c>
      <c r="P652" s="22" t="s">
        <v>10255</v>
      </c>
      <c r="Q652" s="22" t="s">
        <v>3735</v>
      </c>
      <c r="R652" s="22" t="s">
        <v>10256</v>
      </c>
      <c r="S652" s="25"/>
      <c r="T652" s="40" t="s">
        <v>10257</v>
      </c>
      <c r="U652" s="22" t="s">
        <v>10258</v>
      </c>
      <c r="V652" s="25"/>
      <c r="W652" s="22" t="s">
        <v>10259</v>
      </c>
      <c r="X652" s="22" t="s">
        <v>10260</v>
      </c>
      <c r="Y652" s="25"/>
      <c r="Z652" s="25"/>
      <c r="AA652" s="22" t="s">
        <v>8129</v>
      </c>
      <c r="AB652" s="22" t="s">
        <v>8130</v>
      </c>
      <c r="AC652" s="25"/>
      <c r="AD652" s="25"/>
      <c r="AE652" s="22" t="s">
        <v>8132</v>
      </c>
      <c r="AF652" s="25"/>
      <c r="AG652" s="22">
        <v>1.0457419579715E13</v>
      </c>
      <c r="AH652" s="22" t="s">
        <v>8137</v>
      </c>
      <c r="AI652" s="22">
        <v>2.3423891243331E13</v>
      </c>
      <c r="AJ652" s="25"/>
      <c r="AK652" s="25"/>
      <c r="AL652" s="22" t="s">
        <v>8149</v>
      </c>
      <c r="AR652" s="32" t="b">
        <v>0</v>
      </c>
      <c r="AS652" s="32" t="b">
        <v>0</v>
      </c>
    </row>
    <row r="653">
      <c r="A653" s="21" t="s">
        <v>10261</v>
      </c>
      <c r="B653" s="22" t="s">
        <v>8429</v>
      </c>
      <c r="C653" s="22">
        <v>1.0</v>
      </c>
      <c r="D653" s="22" t="s">
        <v>8175</v>
      </c>
      <c r="E653" s="22" t="s">
        <v>8429</v>
      </c>
      <c r="F653" s="22" t="s">
        <v>8155</v>
      </c>
      <c r="G653" s="25"/>
      <c r="H653" s="22">
        <v>3.2744198799683E13</v>
      </c>
      <c r="I653" s="25"/>
      <c r="J653" s="25"/>
      <c r="K653" s="22">
        <v>4.9521175527747E13</v>
      </c>
      <c r="L653" s="25"/>
      <c r="M653" s="25"/>
      <c r="N653" s="22" t="s">
        <v>10262</v>
      </c>
      <c r="O653" s="22" t="s">
        <v>10263</v>
      </c>
      <c r="P653" s="22" t="s">
        <v>10262</v>
      </c>
      <c r="Q653" s="22" t="s">
        <v>10263</v>
      </c>
      <c r="R653" s="22" t="s">
        <v>10264</v>
      </c>
      <c r="S653" s="25"/>
      <c r="T653" s="40" t="s">
        <v>10265</v>
      </c>
      <c r="U653" s="22" t="s">
        <v>10266</v>
      </c>
      <c r="V653" s="25"/>
      <c r="W653" s="22" t="s">
        <v>10267</v>
      </c>
      <c r="X653" s="22" t="s">
        <v>10268</v>
      </c>
      <c r="Y653" s="25"/>
      <c r="Z653" s="25"/>
      <c r="AA653" s="22" t="s">
        <v>8129</v>
      </c>
      <c r="AB653" s="22" t="s">
        <v>8130</v>
      </c>
      <c r="AC653" s="25"/>
      <c r="AD653" s="22" t="s">
        <v>8161</v>
      </c>
      <c r="AE653" s="22" t="s">
        <v>8132</v>
      </c>
      <c r="AF653" s="25"/>
      <c r="AG653" s="22">
        <v>1.0457496518979E13</v>
      </c>
      <c r="AH653" s="22" t="s">
        <v>90</v>
      </c>
      <c r="AI653" s="22">
        <v>2.3423970378051E13</v>
      </c>
      <c r="AJ653" s="25"/>
      <c r="AK653" s="25"/>
      <c r="AL653" s="22" t="s">
        <v>8201</v>
      </c>
      <c r="AQ653" s="32" t="s">
        <v>95</v>
      </c>
      <c r="AR653" s="32" t="b">
        <v>0</v>
      </c>
      <c r="AS653" s="32" t="b">
        <v>1</v>
      </c>
    </row>
    <row r="654">
      <c r="A654" s="21" t="s">
        <v>10261</v>
      </c>
      <c r="B654" s="25"/>
      <c r="C654" s="25"/>
      <c r="D654" s="22" t="s">
        <v>8175</v>
      </c>
      <c r="E654" s="25"/>
      <c r="F654" s="22" t="s">
        <v>8149</v>
      </c>
      <c r="G654" s="25"/>
      <c r="H654" s="22">
        <v>9.513017901379E12</v>
      </c>
      <c r="I654" s="25"/>
      <c r="J654" s="25"/>
      <c r="K654" s="25"/>
      <c r="L654" s="25"/>
      <c r="M654" s="25"/>
      <c r="N654" s="22" t="s">
        <v>10262</v>
      </c>
      <c r="O654" s="22" t="s">
        <v>10263</v>
      </c>
      <c r="P654" s="22" t="s">
        <v>10262</v>
      </c>
      <c r="Q654" s="22" t="s">
        <v>10263</v>
      </c>
      <c r="R654" s="22" t="s">
        <v>10264</v>
      </c>
      <c r="S654" s="25"/>
      <c r="T654" s="40" t="s">
        <v>10265</v>
      </c>
      <c r="U654" s="22" t="s">
        <v>10266</v>
      </c>
      <c r="V654" s="25"/>
      <c r="W654" s="22" t="s">
        <v>10267</v>
      </c>
      <c r="X654" s="22" t="s">
        <v>10268</v>
      </c>
      <c r="Y654" s="25"/>
      <c r="Z654" s="25"/>
      <c r="AA654" s="22" t="s">
        <v>8129</v>
      </c>
      <c r="AB654" s="22" t="s">
        <v>8130</v>
      </c>
      <c r="AC654" s="25"/>
      <c r="AD654" s="25"/>
      <c r="AE654" s="22" t="s">
        <v>8132</v>
      </c>
      <c r="AF654" s="25"/>
      <c r="AG654" s="22">
        <v>1.0457496518979E13</v>
      </c>
      <c r="AH654" s="22" t="s">
        <v>8137</v>
      </c>
      <c r="AI654" s="22">
        <v>2.3423970378051E13</v>
      </c>
      <c r="AJ654" s="25"/>
      <c r="AK654" s="25"/>
      <c r="AL654" s="22" t="s">
        <v>8149</v>
      </c>
      <c r="AR654" s="32" t="b">
        <v>0</v>
      </c>
      <c r="AS654" s="32" t="b">
        <v>0</v>
      </c>
    </row>
    <row r="655">
      <c r="A655" s="21" t="s">
        <v>10269</v>
      </c>
      <c r="B655" s="22" t="s">
        <v>8429</v>
      </c>
      <c r="C655" s="22">
        <v>1.0</v>
      </c>
      <c r="D655" s="22" t="s">
        <v>8278</v>
      </c>
      <c r="E655" s="22" t="s">
        <v>8429</v>
      </c>
      <c r="F655" s="22" t="s">
        <v>8155</v>
      </c>
      <c r="G655" s="25"/>
      <c r="H655" s="22">
        <v>3.2744200929603E13</v>
      </c>
      <c r="I655" s="25"/>
      <c r="J655" s="25"/>
      <c r="K655" s="22">
        <v>4.9521175527747E13</v>
      </c>
      <c r="L655" s="25"/>
      <c r="M655" s="25"/>
      <c r="N655" s="22" t="s">
        <v>10270</v>
      </c>
      <c r="O655" s="22" t="s">
        <v>10271</v>
      </c>
      <c r="P655" s="22" t="s">
        <v>10270</v>
      </c>
      <c r="Q655" s="22" t="s">
        <v>10271</v>
      </c>
      <c r="R655" s="22" t="s">
        <v>10272</v>
      </c>
      <c r="S655" s="22" t="s">
        <v>10273</v>
      </c>
      <c r="T655" s="40" t="s">
        <v>10274</v>
      </c>
      <c r="U655" s="22" t="s">
        <v>10275</v>
      </c>
      <c r="V655" s="25"/>
      <c r="W655" s="22" t="s">
        <v>10276</v>
      </c>
      <c r="X655" s="22" t="s">
        <v>10277</v>
      </c>
      <c r="Y655" s="25"/>
      <c r="Z655" s="25"/>
      <c r="AA655" s="22" t="s">
        <v>8129</v>
      </c>
      <c r="AB655" s="22" t="s">
        <v>8130</v>
      </c>
      <c r="AC655" s="25"/>
      <c r="AD655" s="22" t="s">
        <v>8161</v>
      </c>
      <c r="AE655" s="22" t="s">
        <v>8132</v>
      </c>
      <c r="AF655" s="25"/>
      <c r="AG655" s="22">
        <v>1.0457497567555E13</v>
      </c>
      <c r="AH655" s="22" t="s">
        <v>90</v>
      </c>
      <c r="AI655" s="22">
        <v>2.3423967985987E13</v>
      </c>
      <c r="AJ655" s="25"/>
      <c r="AK655" s="25"/>
      <c r="AL655" s="22" t="s">
        <v>8201</v>
      </c>
      <c r="AQ655" s="32" t="s">
        <v>95</v>
      </c>
      <c r="AR655" s="32" t="b">
        <v>0</v>
      </c>
      <c r="AS655" s="32" t="b">
        <v>1</v>
      </c>
    </row>
    <row r="656">
      <c r="A656" s="21" t="s">
        <v>10269</v>
      </c>
      <c r="B656" s="25"/>
      <c r="C656" s="25"/>
      <c r="D656" s="22" t="s">
        <v>8278</v>
      </c>
      <c r="E656" s="25"/>
      <c r="F656" s="22" t="s">
        <v>8149</v>
      </c>
      <c r="G656" s="25"/>
      <c r="H656" s="22">
        <v>9.513018786115E12</v>
      </c>
      <c r="I656" s="25"/>
      <c r="J656" s="25"/>
      <c r="K656" s="25"/>
      <c r="L656" s="25"/>
      <c r="M656" s="25"/>
      <c r="N656" s="22" t="s">
        <v>10270</v>
      </c>
      <c r="O656" s="22" t="s">
        <v>10271</v>
      </c>
      <c r="P656" s="22" t="s">
        <v>10270</v>
      </c>
      <c r="Q656" s="22" t="s">
        <v>10271</v>
      </c>
      <c r="R656" s="22" t="s">
        <v>10272</v>
      </c>
      <c r="S656" s="22" t="s">
        <v>10273</v>
      </c>
      <c r="T656" s="40" t="s">
        <v>10274</v>
      </c>
      <c r="U656" s="22" t="s">
        <v>10275</v>
      </c>
      <c r="V656" s="25"/>
      <c r="W656" s="22" t="s">
        <v>10276</v>
      </c>
      <c r="X656" s="22" t="s">
        <v>10277</v>
      </c>
      <c r="Y656" s="25"/>
      <c r="Z656" s="25"/>
      <c r="AA656" s="22" t="s">
        <v>8129</v>
      </c>
      <c r="AB656" s="22" t="s">
        <v>8130</v>
      </c>
      <c r="AC656" s="25"/>
      <c r="AD656" s="25"/>
      <c r="AE656" s="22" t="s">
        <v>8132</v>
      </c>
      <c r="AF656" s="25"/>
      <c r="AG656" s="22">
        <v>1.0457497567555E13</v>
      </c>
      <c r="AH656" s="22" t="s">
        <v>8137</v>
      </c>
      <c r="AI656" s="22">
        <v>2.3423967985987E13</v>
      </c>
      <c r="AJ656" s="25"/>
      <c r="AK656" s="25"/>
      <c r="AL656" s="22" t="s">
        <v>8149</v>
      </c>
      <c r="AR656" s="32" t="b">
        <v>0</v>
      </c>
      <c r="AS656" s="32" t="b">
        <v>0</v>
      </c>
    </row>
    <row r="657">
      <c r="A657" s="21" t="s">
        <v>10278</v>
      </c>
      <c r="B657" s="22" t="s">
        <v>8140</v>
      </c>
      <c r="C657" s="22">
        <v>1.0</v>
      </c>
      <c r="D657" s="22" t="s">
        <v>10279</v>
      </c>
      <c r="E657" s="22" t="s">
        <v>8140</v>
      </c>
      <c r="F657" s="22" t="s">
        <v>8121</v>
      </c>
      <c r="G657" s="25"/>
      <c r="H657" s="22">
        <v>3.2744299397443E13</v>
      </c>
      <c r="I657" s="25"/>
      <c r="J657" s="25"/>
      <c r="K657" s="22">
        <v>4.2085703581939E13</v>
      </c>
      <c r="L657" s="25"/>
      <c r="M657" s="25"/>
      <c r="N657" s="22" t="s">
        <v>6576</v>
      </c>
      <c r="O657" s="22" t="s">
        <v>10280</v>
      </c>
      <c r="P657" s="22" t="s">
        <v>6576</v>
      </c>
      <c r="Q657" s="22" t="s">
        <v>10280</v>
      </c>
      <c r="R657" s="22" t="s">
        <v>10281</v>
      </c>
      <c r="S657" s="25"/>
      <c r="T657" s="40" t="s">
        <v>10282</v>
      </c>
      <c r="U657" s="22" t="s">
        <v>10283</v>
      </c>
      <c r="V657" s="25"/>
      <c r="W657" s="22" t="s">
        <v>10284</v>
      </c>
      <c r="X657" s="22" t="s">
        <v>8671</v>
      </c>
      <c r="Y657" s="25"/>
      <c r="Z657" s="25"/>
      <c r="AA657" s="22" t="s">
        <v>8129</v>
      </c>
      <c r="AB657" s="22" t="s">
        <v>8130</v>
      </c>
      <c r="AC657" s="25"/>
      <c r="AD657" s="22" t="s">
        <v>8131</v>
      </c>
      <c r="AE657" s="22" t="s">
        <v>8132</v>
      </c>
      <c r="AF657" s="25"/>
      <c r="AG657" s="22">
        <v>1.0457543541059E13</v>
      </c>
      <c r="AH657" s="22" t="s">
        <v>90</v>
      </c>
      <c r="AI657" s="22">
        <v>7.484429074755E12</v>
      </c>
      <c r="AJ657" s="25"/>
      <c r="AK657" s="25"/>
      <c r="AL657" s="22" t="s">
        <v>8134</v>
      </c>
      <c r="AQ657" s="32" t="s">
        <v>8150</v>
      </c>
      <c r="AR657" s="32" t="b">
        <v>0</v>
      </c>
      <c r="AS657" s="32" t="b">
        <v>0</v>
      </c>
    </row>
    <row r="658">
      <c r="A658" s="21" t="s">
        <v>10278</v>
      </c>
      <c r="B658" s="25"/>
      <c r="C658" s="25"/>
      <c r="D658" s="22" t="s">
        <v>10279</v>
      </c>
      <c r="E658" s="25"/>
      <c r="F658" s="22" t="s">
        <v>8136</v>
      </c>
      <c r="G658" s="25"/>
      <c r="H658" s="22">
        <v>9.513061220675E12</v>
      </c>
      <c r="I658" s="25"/>
      <c r="J658" s="25"/>
      <c r="K658" s="25"/>
      <c r="L658" s="25"/>
      <c r="M658" s="25"/>
      <c r="N658" s="22" t="s">
        <v>6576</v>
      </c>
      <c r="O658" s="22" t="s">
        <v>10280</v>
      </c>
      <c r="P658" s="22" t="s">
        <v>6576</v>
      </c>
      <c r="Q658" s="22" t="s">
        <v>10280</v>
      </c>
      <c r="R658" s="22" t="s">
        <v>10281</v>
      </c>
      <c r="S658" s="25"/>
      <c r="T658" s="40" t="s">
        <v>10282</v>
      </c>
      <c r="U658" s="22" t="s">
        <v>10283</v>
      </c>
      <c r="V658" s="25"/>
      <c r="W658" s="22" t="s">
        <v>10284</v>
      </c>
      <c r="X658" s="22" t="s">
        <v>8671</v>
      </c>
      <c r="Y658" s="25"/>
      <c r="Z658" s="25"/>
      <c r="AA658" s="22" t="s">
        <v>8129</v>
      </c>
      <c r="AB658" s="22" t="s">
        <v>8130</v>
      </c>
      <c r="AC658" s="25"/>
      <c r="AD658" s="25"/>
      <c r="AE658" s="22" t="s">
        <v>8132</v>
      </c>
      <c r="AF658" s="25"/>
      <c r="AG658" s="22">
        <v>1.0457543541059E13</v>
      </c>
      <c r="AH658" s="22" t="s">
        <v>8137</v>
      </c>
      <c r="AI658" s="22">
        <v>7.484429074755E12</v>
      </c>
      <c r="AJ658" s="25"/>
      <c r="AK658" s="25"/>
      <c r="AL658" s="22" t="s">
        <v>8136</v>
      </c>
      <c r="AR658" s="32" t="b">
        <v>0</v>
      </c>
      <c r="AS658" s="32" t="b">
        <v>0</v>
      </c>
    </row>
    <row r="659">
      <c r="A659" s="21" t="s">
        <v>10285</v>
      </c>
      <c r="B659" s="22" t="s">
        <v>8119</v>
      </c>
      <c r="C659" s="22">
        <v>1.0</v>
      </c>
      <c r="D659" s="22" t="s">
        <v>8371</v>
      </c>
      <c r="E659" s="22" t="s">
        <v>8119</v>
      </c>
      <c r="F659" s="22" t="s">
        <v>8121</v>
      </c>
      <c r="G659" s="25"/>
      <c r="H659" s="22">
        <v>3.2738094580035E13</v>
      </c>
      <c r="I659" s="25"/>
      <c r="J659" s="25"/>
      <c r="K659" s="22">
        <v>4.2085703549171E13</v>
      </c>
      <c r="L659" s="25"/>
      <c r="M659" s="25"/>
      <c r="N659" s="22" t="s">
        <v>10286</v>
      </c>
      <c r="O659" s="22" t="s">
        <v>10287</v>
      </c>
      <c r="P659" s="22" t="s">
        <v>10286</v>
      </c>
      <c r="Q659" s="22" t="s">
        <v>10287</v>
      </c>
      <c r="R659" s="22" t="s">
        <v>10288</v>
      </c>
      <c r="S659" s="25"/>
      <c r="T659" s="40" t="s">
        <v>10289</v>
      </c>
      <c r="U659" s="22" t="s">
        <v>10290</v>
      </c>
      <c r="V659" s="25"/>
      <c r="W659" s="22" t="s">
        <v>10291</v>
      </c>
      <c r="X659" s="22" t="s">
        <v>8289</v>
      </c>
      <c r="Y659" s="25"/>
      <c r="Z659" s="25"/>
      <c r="AA659" s="22" t="s">
        <v>8129</v>
      </c>
      <c r="AB659" s="22" t="s">
        <v>8130</v>
      </c>
      <c r="AC659" s="25"/>
      <c r="AD659" s="22" t="s">
        <v>8131</v>
      </c>
      <c r="AE659" s="22" t="s">
        <v>8132</v>
      </c>
      <c r="AF659" s="25"/>
      <c r="AG659" s="22">
        <v>1.0454649307459E13</v>
      </c>
      <c r="AH659" s="22" t="s">
        <v>90</v>
      </c>
      <c r="AI659" s="22">
        <v>8.530519589187E12</v>
      </c>
      <c r="AJ659" s="25"/>
      <c r="AK659" s="25"/>
      <c r="AL659" s="22" t="s">
        <v>8133</v>
      </c>
      <c r="AQ659" s="32" t="s">
        <v>8135</v>
      </c>
      <c r="AR659" s="32" t="b">
        <v>0</v>
      </c>
      <c r="AS659" s="32" t="b">
        <v>0</v>
      </c>
    </row>
    <row r="660">
      <c r="A660" s="21" t="s">
        <v>10285</v>
      </c>
      <c r="B660" s="25"/>
      <c r="C660" s="25"/>
      <c r="D660" s="22" t="s">
        <v>8371</v>
      </c>
      <c r="E660" s="25"/>
      <c r="F660" s="22" t="s">
        <v>8136</v>
      </c>
      <c r="G660" s="25"/>
      <c r="H660" s="22">
        <v>9.510455902531E12</v>
      </c>
      <c r="I660" s="25"/>
      <c r="J660" s="25"/>
      <c r="K660" s="25"/>
      <c r="L660" s="25"/>
      <c r="M660" s="25"/>
      <c r="N660" s="22" t="s">
        <v>10286</v>
      </c>
      <c r="O660" s="22" t="s">
        <v>10287</v>
      </c>
      <c r="P660" s="22" t="s">
        <v>10286</v>
      </c>
      <c r="Q660" s="22" t="s">
        <v>10287</v>
      </c>
      <c r="R660" s="22" t="s">
        <v>10288</v>
      </c>
      <c r="S660" s="25"/>
      <c r="T660" s="40" t="s">
        <v>10289</v>
      </c>
      <c r="U660" s="22" t="s">
        <v>10290</v>
      </c>
      <c r="V660" s="25"/>
      <c r="W660" s="22" t="s">
        <v>10291</v>
      </c>
      <c r="X660" s="22" t="s">
        <v>8289</v>
      </c>
      <c r="Y660" s="25"/>
      <c r="Z660" s="25"/>
      <c r="AA660" s="22" t="s">
        <v>8129</v>
      </c>
      <c r="AB660" s="22" t="s">
        <v>8130</v>
      </c>
      <c r="AC660" s="25"/>
      <c r="AD660" s="25"/>
      <c r="AE660" s="22" t="s">
        <v>8132</v>
      </c>
      <c r="AF660" s="25"/>
      <c r="AG660" s="22">
        <v>1.0454649307459E13</v>
      </c>
      <c r="AH660" s="22" t="s">
        <v>8137</v>
      </c>
      <c r="AI660" s="22">
        <v>8.530519589187E12</v>
      </c>
      <c r="AJ660" s="25"/>
      <c r="AK660" s="25"/>
      <c r="AL660" s="22" t="s">
        <v>8136</v>
      </c>
      <c r="AR660" s="32" t="b">
        <v>0</v>
      </c>
      <c r="AS660" s="32" t="b">
        <v>0</v>
      </c>
    </row>
    <row r="661">
      <c r="A661" s="21" t="s">
        <v>10292</v>
      </c>
      <c r="B661" s="22" t="s">
        <v>8429</v>
      </c>
      <c r="C661" s="22">
        <v>1.0</v>
      </c>
      <c r="D661" s="22" t="s">
        <v>8254</v>
      </c>
      <c r="E661" s="22" t="s">
        <v>8429</v>
      </c>
      <c r="F661" s="22" t="s">
        <v>8155</v>
      </c>
      <c r="G661" s="25"/>
      <c r="H661" s="22">
        <v>3.2738247704899E13</v>
      </c>
      <c r="I661" s="25"/>
      <c r="J661" s="25"/>
      <c r="K661" s="22">
        <v>4.9521175527747E13</v>
      </c>
      <c r="L661" s="25"/>
      <c r="M661" s="25"/>
      <c r="N661" s="22" t="s">
        <v>3992</v>
      </c>
      <c r="O661" s="22" t="s">
        <v>10293</v>
      </c>
      <c r="P661" s="22" t="s">
        <v>3992</v>
      </c>
      <c r="Q661" s="22" t="s">
        <v>10293</v>
      </c>
      <c r="R661" s="22" t="s">
        <v>10294</v>
      </c>
      <c r="S661" s="25"/>
      <c r="T661" s="40" t="s">
        <v>10295</v>
      </c>
      <c r="U661" s="22" t="s">
        <v>10296</v>
      </c>
      <c r="V661" s="25"/>
      <c r="W661" s="22" t="s">
        <v>10297</v>
      </c>
      <c r="X661" s="22" t="s">
        <v>8289</v>
      </c>
      <c r="Y661" s="25"/>
      <c r="Z661" s="25"/>
      <c r="AA661" s="22" t="s">
        <v>8129</v>
      </c>
      <c r="AB661" s="22" t="s">
        <v>8130</v>
      </c>
      <c r="AC661" s="25"/>
      <c r="AD661" s="22" t="s">
        <v>8161</v>
      </c>
      <c r="AE661" s="22" t="s">
        <v>8132</v>
      </c>
      <c r="AF661" s="25"/>
      <c r="AG661" s="22">
        <v>1.0454717759811E13</v>
      </c>
      <c r="AH661" s="22" t="s">
        <v>90</v>
      </c>
      <c r="AI661" s="22">
        <v>2.3420665594179E13</v>
      </c>
      <c r="AJ661" s="25"/>
      <c r="AK661" s="25"/>
      <c r="AL661" s="22" t="s">
        <v>8201</v>
      </c>
      <c r="AQ661" s="32" t="s">
        <v>95</v>
      </c>
      <c r="AR661" s="32" t="b">
        <v>0</v>
      </c>
      <c r="AS661" s="32" t="b">
        <v>1</v>
      </c>
    </row>
    <row r="662">
      <c r="A662" s="21" t="s">
        <v>10292</v>
      </c>
      <c r="B662" s="25"/>
      <c r="C662" s="25"/>
      <c r="D662" s="22" t="s">
        <v>8254</v>
      </c>
      <c r="E662" s="25"/>
      <c r="F662" s="22" t="s">
        <v>8149</v>
      </c>
      <c r="G662" s="25"/>
      <c r="H662" s="22">
        <v>9.510520881475E12</v>
      </c>
      <c r="I662" s="25"/>
      <c r="J662" s="25"/>
      <c r="K662" s="25"/>
      <c r="L662" s="25"/>
      <c r="M662" s="25"/>
      <c r="N662" s="22" t="s">
        <v>3992</v>
      </c>
      <c r="O662" s="22" t="s">
        <v>10293</v>
      </c>
      <c r="P662" s="22" t="s">
        <v>3992</v>
      </c>
      <c r="Q662" s="22" t="s">
        <v>10293</v>
      </c>
      <c r="R662" s="22" t="s">
        <v>10294</v>
      </c>
      <c r="S662" s="25"/>
      <c r="T662" s="40" t="s">
        <v>10295</v>
      </c>
      <c r="U662" s="22" t="s">
        <v>10296</v>
      </c>
      <c r="V662" s="25"/>
      <c r="W662" s="22" t="s">
        <v>10297</v>
      </c>
      <c r="X662" s="22" t="s">
        <v>8289</v>
      </c>
      <c r="Y662" s="25"/>
      <c r="Z662" s="25"/>
      <c r="AA662" s="22" t="s">
        <v>8129</v>
      </c>
      <c r="AB662" s="22" t="s">
        <v>8130</v>
      </c>
      <c r="AC662" s="25"/>
      <c r="AD662" s="25"/>
      <c r="AE662" s="22" t="s">
        <v>8132</v>
      </c>
      <c r="AF662" s="25"/>
      <c r="AG662" s="22">
        <v>1.0454717759811E13</v>
      </c>
      <c r="AH662" s="22" t="s">
        <v>8137</v>
      </c>
      <c r="AI662" s="22">
        <v>2.3420665594179E13</v>
      </c>
      <c r="AJ662" s="25"/>
      <c r="AK662" s="25"/>
      <c r="AL662" s="22" t="s">
        <v>8149</v>
      </c>
      <c r="AR662" s="32" t="b">
        <v>0</v>
      </c>
      <c r="AS662" s="32" t="b">
        <v>0</v>
      </c>
    </row>
    <row r="663">
      <c r="A663" s="21" t="s">
        <v>10298</v>
      </c>
      <c r="B663" s="22" t="s">
        <v>8119</v>
      </c>
      <c r="C663" s="22">
        <v>1.0</v>
      </c>
      <c r="D663" s="22" t="s">
        <v>8278</v>
      </c>
      <c r="E663" s="22" t="s">
        <v>8119</v>
      </c>
      <c r="F663" s="22" t="s">
        <v>8121</v>
      </c>
      <c r="G663" s="25"/>
      <c r="H663" s="22">
        <v>3.2740274241859E13</v>
      </c>
      <c r="I663" s="25"/>
      <c r="J663" s="25"/>
      <c r="K663" s="22">
        <v>4.2085703549171E13</v>
      </c>
      <c r="L663" s="25"/>
      <c r="M663" s="25"/>
      <c r="N663" s="22" t="s">
        <v>10299</v>
      </c>
      <c r="O663" s="22" t="s">
        <v>4061</v>
      </c>
      <c r="P663" s="22" t="s">
        <v>7752</v>
      </c>
      <c r="Q663" s="22" t="s">
        <v>4061</v>
      </c>
      <c r="R663" s="22" t="s">
        <v>10300</v>
      </c>
      <c r="S663" s="22" t="s">
        <v>10301</v>
      </c>
      <c r="T663" s="40" t="s">
        <v>10302</v>
      </c>
      <c r="U663" s="22" t="s">
        <v>10303</v>
      </c>
      <c r="V663" s="22" t="s">
        <v>10304</v>
      </c>
      <c r="W663" s="22" t="s">
        <v>10305</v>
      </c>
      <c r="X663" s="22" t="s">
        <v>8380</v>
      </c>
      <c r="Y663" s="25"/>
      <c r="Z663" s="25"/>
      <c r="AA663" s="22" t="s">
        <v>8129</v>
      </c>
      <c r="AB663" s="22" t="s">
        <v>8130</v>
      </c>
      <c r="AC663" s="25"/>
      <c r="AD663" s="22" t="s">
        <v>8131</v>
      </c>
      <c r="AE663" s="22" t="s">
        <v>8132</v>
      </c>
      <c r="AF663" s="25"/>
      <c r="AG663" s="22">
        <v>1.0455638376771E13</v>
      </c>
      <c r="AH663" s="22" t="s">
        <v>90</v>
      </c>
      <c r="AI663" s="22">
        <v>8.608640467267E12</v>
      </c>
      <c r="AJ663" s="25"/>
      <c r="AK663" s="25"/>
      <c r="AL663" s="22" t="s">
        <v>8133</v>
      </c>
      <c r="AQ663" s="32" t="s">
        <v>8135</v>
      </c>
      <c r="AR663" s="32" t="b">
        <v>0</v>
      </c>
      <c r="AS663" s="32" t="b">
        <v>0</v>
      </c>
    </row>
    <row r="664">
      <c r="A664" s="21" t="s">
        <v>10298</v>
      </c>
      <c r="B664" s="25"/>
      <c r="C664" s="25"/>
      <c r="D664" s="22" t="s">
        <v>8278</v>
      </c>
      <c r="E664" s="25"/>
      <c r="F664" s="22" t="s">
        <v>8136</v>
      </c>
      <c r="G664" s="25"/>
      <c r="H664" s="22">
        <v>9.511366099267E12</v>
      </c>
      <c r="I664" s="25"/>
      <c r="J664" s="25"/>
      <c r="K664" s="25"/>
      <c r="L664" s="25"/>
      <c r="M664" s="25"/>
      <c r="N664" s="22" t="s">
        <v>10299</v>
      </c>
      <c r="O664" s="22" t="s">
        <v>4061</v>
      </c>
      <c r="P664" s="22" t="s">
        <v>7752</v>
      </c>
      <c r="Q664" s="22" t="s">
        <v>4061</v>
      </c>
      <c r="R664" s="22" t="s">
        <v>10300</v>
      </c>
      <c r="S664" s="22" t="s">
        <v>10301</v>
      </c>
      <c r="T664" s="40" t="s">
        <v>10302</v>
      </c>
      <c r="U664" s="22" t="s">
        <v>10303</v>
      </c>
      <c r="V664" s="22" t="s">
        <v>10304</v>
      </c>
      <c r="W664" s="22" t="s">
        <v>10305</v>
      </c>
      <c r="X664" s="22" t="s">
        <v>8380</v>
      </c>
      <c r="Y664" s="25"/>
      <c r="Z664" s="25"/>
      <c r="AA664" s="22" t="s">
        <v>8129</v>
      </c>
      <c r="AB664" s="22" t="s">
        <v>8130</v>
      </c>
      <c r="AC664" s="25"/>
      <c r="AD664" s="25"/>
      <c r="AE664" s="22" t="s">
        <v>8132</v>
      </c>
      <c r="AF664" s="25"/>
      <c r="AG664" s="22">
        <v>1.0455638376771E13</v>
      </c>
      <c r="AH664" s="22" t="s">
        <v>8137</v>
      </c>
      <c r="AI664" s="22">
        <v>8.608640467267E12</v>
      </c>
      <c r="AJ664" s="25"/>
      <c r="AK664" s="25"/>
      <c r="AL664" s="22" t="s">
        <v>8136</v>
      </c>
      <c r="AR664" s="32" t="b">
        <v>0</v>
      </c>
      <c r="AS664" s="32" t="b">
        <v>0</v>
      </c>
    </row>
    <row r="665">
      <c r="A665" s="21" t="s">
        <v>10306</v>
      </c>
      <c r="B665" s="22" t="s">
        <v>8140</v>
      </c>
      <c r="C665" s="22">
        <v>1.0</v>
      </c>
      <c r="D665" s="22" t="s">
        <v>8203</v>
      </c>
      <c r="E665" s="22" t="s">
        <v>8140</v>
      </c>
      <c r="F665" s="22" t="s">
        <v>8121</v>
      </c>
      <c r="G665" s="25"/>
      <c r="H665" s="22">
        <v>3.2745673064771E13</v>
      </c>
      <c r="I665" s="25"/>
      <c r="J665" s="25"/>
      <c r="K665" s="22">
        <v>4.2085703581939E13</v>
      </c>
      <c r="L665" s="25"/>
      <c r="M665" s="25"/>
      <c r="N665" s="22" t="s">
        <v>6486</v>
      </c>
      <c r="O665" s="22" t="s">
        <v>10307</v>
      </c>
      <c r="P665" s="22" t="s">
        <v>6486</v>
      </c>
      <c r="Q665" s="22" t="s">
        <v>10307</v>
      </c>
      <c r="R665" s="22" t="s">
        <v>10308</v>
      </c>
      <c r="S665" s="25"/>
      <c r="T665" s="40" t="s">
        <v>10309</v>
      </c>
      <c r="U665" s="22" t="s">
        <v>10310</v>
      </c>
      <c r="V665" s="25"/>
      <c r="W665" s="22" t="s">
        <v>10311</v>
      </c>
      <c r="X665" s="22" t="s">
        <v>10312</v>
      </c>
      <c r="Y665" s="25"/>
      <c r="Z665" s="25"/>
      <c r="AA665" s="22" t="s">
        <v>8129</v>
      </c>
      <c r="AB665" s="22" t="s">
        <v>8130</v>
      </c>
      <c r="AC665" s="25"/>
      <c r="AD665" s="22" t="s">
        <v>8131</v>
      </c>
      <c r="AE665" s="22" t="s">
        <v>8132</v>
      </c>
      <c r="AF665" s="25"/>
      <c r="AG665" s="22">
        <v>1.0458216038723E13</v>
      </c>
      <c r="AH665" s="22" t="s">
        <v>90</v>
      </c>
      <c r="AI665" s="22">
        <v>2.3424669024579E13</v>
      </c>
      <c r="AJ665" s="25"/>
      <c r="AK665" s="25"/>
      <c r="AL665" s="22" t="s">
        <v>8134</v>
      </c>
      <c r="AQ665" s="32" t="s">
        <v>8150</v>
      </c>
      <c r="AR665" s="32" t="b">
        <v>0</v>
      </c>
      <c r="AS665" s="32" t="b">
        <v>0</v>
      </c>
    </row>
    <row r="666">
      <c r="A666" s="21" t="s">
        <v>10306</v>
      </c>
      <c r="B666" s="25"/>
      <c r="C666" s="25"/>
      <c r="D666" s="22" t="s">
        <v>8203</v>
      </c>
      <c r="E666" s="25"/>
      <c r="F666" s="22" t="s">
        <v>8136</v>
      </c>
      <c r="G666" s="25"/>
      <c r="H666" s="22">
        <v>9.513628893507E12</v>
      </c>
      <c r="I666" s="25"/>
      <c r="J666" s="25"/>
      <c r="K666" s="25"/>
      <c r="L666" s="25"/>
      <c r="M666" s="25"/>
      <c r="N666" s="22" t="s">
        <v>6486</v>
      </c>
      <c r="O666" s="22" t="s">
        <v>10307</v>
      </c>
      <c r="P666" s="22" t="s">
        <v>6486</v>
      </c>
      <c r="Q666" s="22" t="s">
        <v>10307</v>
      </c>
      <c r="R666" s="22" t="s">
        <v>10308</v>
      </c>
      <c r="S666" s="25"/>
      <c r="T666" s="40" t="s">
        <v>10309</v>
      </c>
      <c r="U666" s="22" t="s">
        <v>10310</v>
      </c>
      <c r="V666" s="25"/>
      <c r="W666" s="22" t="s">
        <v>10311</v>
      </c>
      <c r="X666" s="22" t="s">
        <v>10312</v>
      </c>
      <c r="Y666" s="25"/>
      <c r="Z666" s="25"/>
      <c r="AA666" s="22" t="s">
        <v>8129</v>
      </c>
      <c r="AB666" s="22" t="s">
        <v>8130</v>
      </c>
      <c r="AC666" s="25"/>
      <c r="AD666" s="25"/>
      <c r="AE666" s="22" t="s">
        <v>8132</v>
      </c>
      <c r="AF666" s="25"/>
      <c r="AG666" s="22">
        <v>1.0458216038723E13</v>
      </c>
      <c r="AH666" s="22" t="s">
        <v>8137</v>
      </c>
      <c r="AI666" s="22">
        <v>2.3424669024579E13</v>
      </c>
      <c r="AJ666" s="25"/>
      <c r="AK666" s="25"/>
      <c r="AL666" s="22" t="s">
        <v>8136</v>
      </c>
      <c r="AR666" s="32" t="b">
        <v>0</v>
      </c>
      <c r="AS666" s="32" t="b">
        <v>0</v>
      </c>
    </row>
    <row r="667">
      <c r="A667" s="21" t="s">
        <v>10313</v>
      </c>
      <c r="B667" s="22" t="s">
        <v>8140</v>
      </c>
      <c r="C667" s="22">
        <v>1.0</v>
      </c>
      <c r="D667" s="22" t="s">
        <v>8221</v>
      </c>
      <c r="E667" s="22" t="s">
        <v>8140</v>
      </c>
      <c r="F667" s="22" t="s">
        <v>8121</v>
      </c>
      <c r="G667" s="25"/>
      <c r="H667" s="22">
        <v>3.2749103874371E13</v>
      </c>
      <c r="I667" s="25"/>
      <c r="J667" s="25"/>
      <c r="K667" s="22">
        <v>4.2085703581939E13</v>
      </c>
      <c r="L667" s="25"/>
      <c r="M667" s="25"/>
      <c r="N667" s="22" t="s">
        <v>7541</v>
      </c>
      <c r="O667" s="22" t="s">
        <v>10314</v>
      </c>
      <c r="P667" s="22" t="s">
        <v>7541</v>
      </c>
      <c r="Q667" s="22" t="s">
        <v>10314</v>
      </c>
      <c r="R667" s="22" t="s">
        <v>10315</v>
      </c>
      <c r="S667" s="25"/>
      <c r="T667" s="40" t="s">
        <v>10316</v>
      </c>
      <c r="U667" s="22" t="s">
        <v>10317</v>
      </c>
      <c r="V667" s="25"/>
      <c r="W667" s="22" t="s">
        <v>10318</v>
      </c>
      <c r="X667" s="22" t="s">
        <v>10319</v>
      </c>
      <c r="Y667" s="25"/>
      <c r="Z667" s="25"/>
      <c r="AA667" s="22" t="s">
        <v>8129</v>
      </c>
      <c r="AB667" s="22" t="s">
        <v>8130</v>
      </c>
      <c r="AC667" s="25"/>
      <c r="AD667" s="22" t="s">
        <v>8131</v>
      </c>
      <c r="AE667" s="22" t="s">
        <v>8132</v>
      </c>
      <c r="AF667" s="25"/>
      <c r="AG667" s="22">
        <v>1.0458912457027E13</v>
      </c>
      <c r="AH667" s="22" t="s">
        <v>90</v>
      </c>
      <c r="AI667" s="22">
        <v>6.470463127795E12</v>
      </c>
      <c r="AJ667" s="25"/>
      <c r="AK667" s="25"/>
      <c r="AL667" s="22" t="s">
        <v>8134</v>
      </c>
      <c r="AQ667" s="32" t="s">
        <v>8150</v>
      </c>
      <c r="AR667" s="32" t="b">
        <v>0</v>
      </c>
      <c r="AS667" s="32" t="b">
        <v>0</v>
      </c>
    </row>
    <row r="668">
      <c r="A668" s="21" t="s">
        <v>10313</v>
      </c>
      <c r="B668" s="25"/>
      <c r="C668" s="25"/>
      <c r="D668" s="22" t="s">
        <v>8221</v>
      </c>
      <c r="E668" s="25"/>
      <c r="F668" s="22" t="s">
        <v>8136</v>
      </c>
      <c r="G668" s="25"/>
      <c r="H668" s="22">
        <v>9.514282582339E12</v>
      </c>
      <c r="I668" s="25"/>
      <c r="J668" s="25"/>
      <c r="K668" s="25"/>
      <c r="L668" s="25"/>
      <c r="M668" s="25"/>
      <c r="N668" s="22" t="s">
        <v>7541</v>
      </c>
      <c r="O668" s="22" t="s">
        <v>10314</v>
      </c>
      <c r="P668" s="22" t="s">
        <v>7541</v>
      </c>
      <c r="Q668" s="22" t="s">
        <v>10314</v>
      </c>
      <c r="R668" s="22" t="s">
        <v>10315</v>
      </c>
      <c r="S668" s="25"/>
      <c r="T668" s="40" t="s">
        <v>10316</v>
      </c>
      <c r="U668" s="22" t="s">
        <v>10317</v>
      </c>
      <c r="V668" s="25"/>
      <c r="W668" s="22" t="s">
        <v>10318</v>
      </c>
      <c r="X668" s="22" t="s">
        <v>10319</v>
      </c>
      <c r="Y668" s="25"/>
      <c r="Z668" s="25"/>
      <c r="AA668" s="22" t="s">
        <v>8129</v>
      </c>
      <c r="AB668" s="22" t="s">
        <v>8130</v>
      </c>
      <c r="AC668" s="25"/>
      <c r="AD668" s="25"/>
      <c r="AE668" s="22" t="s">
        <v>8132</v>
      </c>
      <c r="AF668" s="25"/>
      <c r="AG668" s="22">
        <v>1.0458912457027E13</v>
      </c>
      <c r="AH668" s="22" t="s">
        <v>8137</v>
      </c>
      <c r="AI668" s="22">
        <v>6.470463127795E12</v>
      </c>
      <c r="AJ668" s="25"/>
      <c r="AK668" s="25"/>
      <c r="AL668" s="22" t="s">
        <v>8136</v>
      </c>
      <c r="AR668" s="32" t="b">
        <v>0</v>
      </c>
      <c r="AS668" s="32" t="b">
        <v>0</v>
      </c>
    </row>
    <row r="669">
      <c r="A669" s="21" t="s">
        <v>10320</v>
      </c>
      <c r="B669" s="22" t="s">
        <v>8140</v>
      </c>
      <c r="C669" s="22">
        <v>1.0</v>
      </c>
      <c r="D669" s="22" t="s">
        <v>8254</v>
      </c>
      <c r="E669" s="22" t="s">
        <v>8140</v>
      </c>
      <c r="F669" s="22" t="s">
        <v>8121</v>
      </c>
      <c r="G669" s="25"/>
      <c r="H669" s="22">
        <v>3.2753588207939E13</v>
      </c>
      <c r="I669" s="25"/>
      <c r="J669" s="25"/>
      <c r="K669" s="22">
        <v>4.2085703581939E13</v>
      </c>
      <c r="L669" s="25"/>
      <c r="M669" s="25"/>
      <c r="N669" s="22" t="s">
        <v>4096</v>
      </c>
      <c r="O669" s="22" t="s">
        <v>10321</v>
      </c>
      <c r="P669" s="22" t="s">
        <v>4096</v>
      </c>
      <c r="Q669" s="22" t="s">
        <v>10321</v>
      </c>
      <c r="R669" s="22" t="s">
        <v>10322</v>
      </c>
      <c r="S669" s="25"/>
      <c r="T669" s="40" t="s">
        <v>10323</v>
      </c>
      <c r="U669" s="22" t="s">
        <v>10324</v>
      </c>
      <c r="V669" s="25"/>
      <c r="W669" s="22" t="s">
        <v>10325</v>
      </c>
      <c r="X669" s="22" t="s">
        <v>8128</v>
      </c>
      <c r="Y669" s="25"/>
      <c r="Z669" s="25"/>
      <c r="AA669" s="22" t="s">
        <v>8129</v>
      </c>
      <c r="AB669" s="22" t="s">
        <v>8130</v>
      </c>
      <c r="AC669" s="25"/>
      <c r="AD669" s="22" t="s">
        <v>8131</v>
      </c>
      <c r="AE669" s="22" t="s">
        <v>8132</v>
      </c>
      <c r="AF669" s="25"/>
      <c r="AG669" s="22">
        <v>1.0459749056835E13</v>
      </c>
      <c r="AH669" s="22" t="s">
        <v>90</v>
      </c>
      <c r="AI669" s="22">
        <v>2.3426298511683E13</v>
      </c>
      <c r="AJ669" s="25"/>
      <c r="AK669" s="25"/>
      <c r="AL669" s="22" t="s">
        <v>8134</v>
      </c>
      <c r="AQ669" s="32" t="s">
        <v>8150</v>
      </c>
      <c r="AR669" s="32" t="b">
        <v>0</v>
      </c>
      <c r="AS669" s="32" t="b">
        <v>0</v>
      </c>
    </row>
    <row r="670">
      <c r="A670" s="21" t="s">
        <v>10320</v>
      </c>
      <c r="B670" s="25"/>
      <c r="C670" s="25"/>
      <c r="D670" s="22" t="s">
        <v>8254</v>
      </c>
      <c r="E670" s="25"/>
      <c r="F670" s="22" t="s">
        <v>8136</v>
      </c>
      <c r="G670" s="25"/>
      <c r="H670" s="22">
        <v>9.515094147395E12</v>
      </c>
      <c r="I670" s="25"/>
      <c r="J670" s="25"/>
      <c r="K670" s="25"/>
      <c r="L670" s="25"/>
      <c r="M670" s="25"/>
      <c r="N670" s="22" t="s">
        <v>4096</v>
      </c>
      <c r="O670" s="22" t="s">
        <v>10321</v>
      </c>
      <c r="P670" s="22" t="s">
        <v>4096</v>
      </c>
      <c r="Q670" s="22" t="s">
        <v>10321</v>
      </c>
      <c r="R670" s="22" t="s">
        <v>10322</v>
      </c>
      <c r="S670" s="25"/>
      <c r="T670" s="40" t="s">
        <v>10323</v>
      </c>
      <c r="U670" s="22" t="s">
        <v>10324</v>
      </c>
      <c r="V670" s="25"/>
      <c r="W670" s="22" t="s">
        <v>10325</v>
      </c>
      <c r="X670" s="22" t="s">
        <v>8128</v>
      </c>
      <c r="Y670" s="25"/>
      <c r="Z670" s="25"/>
      <c r="AA670" s="22" t="s">
        <v>8129</v>
      </c>
      <c r="AB670" s="22" t="s">
        <v>8130</v>
      </c>
      <c r="AC670" s="25"/>
      <c r="AD670" s="25"/>
      <c r="AE670" s="22" t="s">
        <v>8132</v>
      </c>
      <c r="AF670" s="25"/>
      <c r="AG670" s="22">
        <v>1.0459749056835E13</v>
      </c>
      <c r="AH670" s="22" t="s">
        <v>8137</v>
      </c>
      <c r="AI670" s="22">
        <v>2.3426298511683E13</v>
      </c>
      <c r="AJ670" s="25"/>
      <c r="AK670" s="25"/>
      <c r="AL670" s="22" t="s">
        <v>8136</v>
      </c>
      <c r="AR670" s="32" t="b">
        <v>0</v>
      </c>
      <c r="AS670" s="32" t="b">
        <v>0</v>
      </c>
    </row>
    <row r="671">
      <c r="A671" s="21" t="s">
        <v>10326</v>
      </c>
      <c r="B671" s="22" t="s">
        <v>8429</v>
      </c>
      <c r="C671" s="22">
        <v>1.0</v>
      </c>
      <c r="D671" s="22" t="s">
        <v>8371</v>
      </c>
      <c r="E671" s="22" t="s">
        <v>8429</v>
      </c>
      <c r="F671" s="22" t="s">
        <v>8155</v>
      </c>
      <c r="G671" s="25"/>
      <c r="H671" s="22">
        <v>3.2753620779331E13</v>
      </c>
      <c r="I671" s="25"/>
      <c r="J671" s="25"/>
      <c r="K671" s="22">
        <v>4.9521175527747E13</v>
      </c>
      <c r="L671" s="25"/>
      <c r="M671" s="25"/>
      <c r="N671" s="22" t="s">
        <v>10327</v>
      </c>
      <c r="O671" s="22" t="s">
        <v>5342</v>
      </c>
      <c r="P671" s="22" t="s">
        <v>10327</v>
      </c>
      <c r="Q671" s="22" t="s">
        <v>5342</v>
      </c>
      <c r="R671" s="22" t="s">
        <v>10328</v>
      </c>
      <c r="S671" s="25"/>
      <c r="T671" s="40" t="s">
        <v>10329</v>
      </c>
      <c r="U671" s="22" t="s">
        <v>10330</v>
      </c>
      <c r="V671" s="25"/>
      <c r="W671" s="22" t="s">
        <v>10331</v>
      </c>
      <c r="X671" s="22" t="s">
        <v>8242</v>
      </c>
      <c r="Y671" s="25"/>
      <c r="Z671" s="25"/>
      <c r="AA671" s="22" t="s">
        <v>8129</v>
      </c>
      <c r="AB671" s="22" t="s">
        <v>8130</v>
      </c>
      <c r="AC671" s="25"/>
      <c r="AD671" s="22" t="s">
        <v>8161</v>
      </c>
      <c r="AE671" s="22" t="s">
        <v>8132</v>
      </c>
      <c r="AF671" s="25"/>
      <c r="AG671" s="22">
        <v>1.0459764490563E13</v>
      </c>
      <c r="AH671" s="22" t="s">
        <v>90</v>
      </c>
      <c r="AI671" s="22">
        <v>2.3426315682115E13</v>
      </c>
      <c r="AJ671" s="25"/>
      <c r="AK671" s="25"/>
      <c r="AL671" s="22" t="s">
        <v>8201</v>
      </c>
      <c r="AQ671" s="32" t="s">
        <v>95</v>
      </c>
      <c r="AR671" s="32" t="b">
        <v>0</v>
      </c>
      <c r="AS671" s="32" t="b">
        <v>1</v>
      </c>
    </row>
    <row r="672">
      <c r="A672" s="21" t="s">
        <v>10326</v>
      </c>
      <c r="B672" s="25"/>
      <c r="C672" s="25"/>
      <c r="D672" s="22" t="s">
        <v>8371</v>
      </c>
      <c r="E672" s="25"/>
      <c r="F672" s="22" t="s">
        <v>8149</v>
      </c>
      <c r="G672" s="25"/>
      <c r="H672" s="22">
        <v>9.515108204867E12</v>
      </c>
      <c r="I672" s="25"/>
      <c r="J672" s="25"/>
      <c r="K672" s="25"/>
      <c r="L672" s="25"/>
      <c r="M672" s="25"/>
      <c r="N672" s="22" t="s">
        <v>10327</v>
      </c>
      <c r="O672" s="22" t="s">
        <v>5342</v>
      </c>
      <c r="P672" s="22" t="s">
        <v>10327</v>
      </c>
      <c r="Q672" s="22" t="s">
        <v>5342</v>
      </c>
      <c r="R672" s="22" t="s">
        <v>10328</v>
      </c>
      <c r="S672" s="25"/>
      <c r="T672" s="40" t="s">
        <v>10329</v>
      </c>
      <c r="U672" s="22" t="s">
        <v>10330</v>
      </c>
      <c r="V672" s="25"/>
      <c r="W672" s="22" t="s">
        <v>10331</v>
      </c>
      <c r="X672" s="22" t="s">
        <v>8242</v>
      </c>
      <c r="Y672" s="25"/>
      <c r="Z672" s="25"/>
      <c r="AA672" s="22" t="s">
        <v>8129</v>
      </c>
      <c r="AB672" s="22" t="s">
        <v>8130</v>
      </c>
      <c r="AC672" s="25"/>
      <c r="AD672" s="25"/>
      <c r="AE672" s="22" t="s">
        <v>8132</v>
      </c>
      <c r="AF672" s="25"/>
      <c r="AG672" s="22">
        <v>1.0459764490563E13</v>
      </c>
      <c r="AH672" s="22" t="s">
        <v>8137</v>
      </c>
      <c r="AI672" s="22">
        <v>2.3426315682115E13</v>
      </c>
      <c r="AJ672" s="25"/>
      <c r="AK672" s="25"/>
      <c r="AL672" s="22" t="s">
        <v>8149</v>
      </c>
      <c r="AR672" s="32" t="b">
        <v>0</v>
      </c>
      <c r="AS672" s="32" t="b">
        <v>0</v>
      </c>
    </row>
    <row r="673">
      <c r="A673" s="21" t="s">
        <v>10332</v>
      </c>
      <c r="B673" s="22" t="s">
        <v>8119</v>
      </c>
      <c r="C673" s="22">
        <v>1.0</v>
      </c>
      <c r="D673" s="22" t="s">
        <v>8371</v>
      </c>
      <c r="E673" s="22" t="s">
        <v>8119</v>
      </c>
      <c r="F673" s="22" t="s">
        <v>8121</v>
      </c>
      <c r="G673" s="25"/>
      <c r="H673" s="22">
        <v>3.2753836130627E13</v>
      </c>
      <c r="I673" s="25"/>
      <c r="J673" s="25"/>
      <c r="K673" s="22">
        <v>4.2085703549171E13</v>
      </c>
      <c r="L673" s="25"/>
      <c r="M673" s="25"/>
      <c r="N673" s="22" t="s">
        <v>3808</v>
      </c>
      <c r="O673" s="22" t="s">
        <v>10333</v>
      </c>
      <c r="P673" s="22" t="s">
        <v>3808</v>
      </c>
      <c r="Q673" s="22" t="s">
        <v>10333</v>
      </c>
      <c r="R673" s="22" t="s">
        <v>10334</v>
      </c>
      <c r="S673" s="25"/>
      <c r="T673" s="40" t="s">
        <v>10335</v>
      </c>
      <c r="U673" s="22" t="s">
        <v>10336</v>
      </c>
      <c r="V673" s="22" t="s">
        <v>10337</v>
      </c>
      <c r="W673" s="22" t="s">
        <v>10338</v>
      </c>
      <c r="X673" s="22" t="s">
        <v>8289</v>
      </c>
      <c r="Y673" s="25"/>
      <c r="Z673" s="25"/>
      <c r="AA673" s="22" t="s">
        <v>8129</v>
      </c>
      <c r="AB673" s="22" t="s">
        <v>8130</v>
      </c>
      <c r="AC673" s="25"/>
      <c r="AD673" s="22" t="s">
        <v>8131</v>
      </c>
      <c r="AE673" s="22" t="s">
        <v>8132</v>
      </c>
      <c r="AF673" s="25"/>
      <c r="AG673" s="22">
        <v>1.0459861582147E13</v>
      </c>
      <c r="AH673" s="22" t="s">
        <v>90</v>
      </c>
      <c r="AI673" s="22">
        <v>8.609673085251E12</v>
      </c>
      <c r="AJ673" s="25"/>
      <c r="AK673" s="25"/>
      <c r="AL673" s="22" t="s">
        <v>8133</v>
      </c>
      <c r="AQ673" s="32" t="s">
        <v>8135</v>
      </c>
      <c r="AR673" s="32" t="b">
        <v>0</v>
      </c>
      <c r="AS673" s="32" t="b">
        <v>0</v>
      </c>
    </row>
    <row r="674">
      <c r="A674" s="21" t="s">
        <v>10332</v>
      </c>
      <c r="B674" s="25"/>
      <c r="C674" s="25"/>
      <c r="D674" s="22" t="s">
        <v>8371</v>
      </c>
      <c r="E674" s="25"/>
      <c r="F674" s="22" t="s">
        <v>8136</v>
      </c>
      <c r="G674" s="25"/>
      <c r="H674" s="22">
        <v>9.515199168835E12</v>
      </c>
      <c r="I674" s="25"/>
      <c r="J674" s="25"/>
      <c r="K674" s="25"/>
      <c r="L674" s="25"/>
      <c r="M674" s="25"/>
      <c r="N674" s="22" t="s">
        <v>3808</v>
      </c>
      <c r="O674" s="22" t="s">
        <v>10333</v>
      </c>
      <c r="P674" s="22" t="s">
        <v>3808</v>
      </c>
      <c r="Q674" s="22" t="s">
        <v>10333</v>
      </c>
      <c r="R674" s="22" t="s">
        <v>10334</v>
      </c>
      <c r="S674" s="25"/>
      <c r="T674" s="40" t="s">
        <v>10335</v>
      </c>
      <c r="U674" s="22" t="s">
        <v>10336</v>
      </c>
      <c r="V674" s="22" t="s">
        <v>10337</v>
      </c>
      <c r="W674" s="22" t="s">
        <v>10338</v>
      </c>
      <c r="X674" s="22" t="s">
        <v>8289</v>
      </c>
      <c r="Y674" s="25"/>
      <c r="Z674" s="25"/>
      <c r="AA674" s="22" t="s">
        <v>8129</v>
      </c>
      <c r="AB674" s="22" t="s">
        <v>8130</v>
      </c>
      <c r="AC674" s="25"/>
      <c r="AD674" s="25"/>
      <c r="AE674" s="22" t="s">
        <v>8132</v>
      </c>
      <c r="AF674" s="25"/>
      <c r="AG674" s="22">
        <v>1.0459861582147E13</v>
      </c>
      <c r="AH674" s="22" t="s">
        <v>8137</v>
      </c>
      <c r="AI674" s="22">
        <v>8.609673085251E12</v>
      </c>
      <c r="AJ674" s="25"/>
      <c r="AK674" s="25"/>
      <c r="AL674" s="22" t="s">
        <v>8136</v>
      </c>
      <c r="AR674" s="32" t="b">
        <v>0</v>
      </c>
      <c r="AS674" s="32" t="b">
        <v>0</v>
      </c>
    </row>
    <row r="675">
      <c r="A675" s="21" t="s">
        <v>10339</v>
      </c>
      <c r="B675" s="22" t="s">
        <v>8119</v>
      </c>
      <c r="C675" s="22">
        <v>1.0</v>
      </c>
      <c r="D675" s="22" t="s">
        <v>8968</v>
      </c>
      <c r="E675" s="22" t="s">
        <v>8119</v>
      </c>
      <c r="F675" s="22" t="s">
        <v>8121</v>
      </c>
      <c r="G675" s="25"/>
      <c r="H675" s="22">
        <v>3.2753873125699E13</v>
      </c>
      <c r="I675" s="25"/>
      <c r="J675" s="25"/>
      <c r="K675" s="22">
        <v>4.2085703549171E13</v>
      </c>
      <c r="L675" s="25"/>
      <c r="M675" s="25"/>
      <c r="N675" s="22" t="s">
        <v>3909</v>
      </c>
      <c r="O675" s="22" t="s">
        <v>10340</v>
      </c>
      <c r="P675" s="22" t="s">
        <v>3909</v>
      </c>
      <c r="Q675" s="22" t="s">
        <v>10340</v>
      </c>
      <c r="R675" s="22" t="s">
        <v>10341</v>
      </c>
      <c r="S675" s="25"/>
      <c r="T675" s="40" t="s">
        <v>10342</v>
      </c>
      <c r="U675" s="22" t="s">
        <v>10343</v>
      </c>
      <c r="V675" s="25"/>
      <c r="W675" s="22" t="s">
        <v>10344</v>
      </c>
      <c r="X675" s="22" t="s">
        <v>8289</v>
      </c>
      <c r="Y675" s="25"/>
      <c r="Z675" s="25"/>
      <c r="AA675" s="22" t="s">
        <v>8129</v>
      </c>
      <c r="AB675" s="22" t="s">
        <v>8130</v>
      </c>
      <c r="AC675" s="25"/>
      <c r="AD675" s="22" t="s">
        <v>8131</v>
      </c>
      <c r="AE675" s="22" t="s">
        <v>8132</v>
      </c>
      <c r="AF675" s="25"/>
      <c r="AG675" s="22">
        <v>1.0459877966147E13</v>
      </c>
      <c r="AH675" s="22" t="s">
        <v>90</v>
      </c>
      <c r="AI675" s="22">
        <v>2.3426512617795E13</v>
      </c>
      <c r="AJ675" s="25"/>
      <c r="AK675" s="25"/>
      <c r="AL675" s="22" t="s">
        <v>8133</v>
      </c>
      <c r="AQ675" s="32" t="s">
        <v>8135</v>
      </c>
      <c r="AR675" s="32" t="b">
        <v>0</v>
      </c>
      <c r="AS675" s="32" t="b">
        <v>0</v>
      </c>
    </row>
    <row r="676">
      <c r="A676" s="21" t="s">
        <v>10339</v>
      </c>
      <c r="B676" s="25"/>
      <c r="C676" s="25"/>
      <c r="D676" s="22" t="s">
        <v>8968</v>
      </c>
      <c r="E676" s="25"/>
      <c r="F676" s="22" t="s">
        <v>8136</v>
      </c>
      <c r="G676" s="25"/>
      <c r="H676" s="22">
        <v>9.515214307651E12</v>
      </c>
      <c r="I676" s="25"/>
      <c r="J676" s="25"/>
      <c r="K676" s="25"/>
      <c r="L676" s="25"/>
      <c r="M676" s="25"/>
      <c r="N676" s="22" t="s">
        <v>3909</v>
      </c>
      <c r="O676" s="22" t="s">
        <v>10340</v>
      </c>
      <c r="P676" s="22" t="s">
        <v>3909</v>
      </c>
      <c r="Q676" s="22" t="s">
        <v>10340</v>
      </c>
      <c r="R676" s="22" t="s">
        <v>10341</v>
      </c>
      <c r="S676" s="25"/>
      <c r="T676" s="40" t="s">
        <v>10342</v>
      </c>
      <c r="U676" s="22" t="s">
        <v>10343</v>
      </c>
      <c r="V676" s="25"/>
      <c r="W676" s="22" t="s">
        <v>10344</v>
      </c>
      <c r="X676" s="22" t="s">
        <v>8289</v>
      </c>
      <c r="Y676" s="25"/>
      <c r="Z676" s="25"/>
      <c r="AA676" s="22" t="s">
        <v>8129</v>
      </c>
      <c r="AB676" s="22" t="s">
        <v>8130</v>
      </c>
      <c r="AC676" s="25"/>
      <c r="AD676" s="25"/>
      <c r="AE676" s="22" t="s">
        <v>8132</v>
      </c>
      <c r="AF676" s="25"/>
      <c r="AG676" s="22">
        <v>1.0459877966147E13</v>
      </c>
      <c r="AH676" s="22" t="s">
        <v>8137</v>
      </c>
      <c r="AI676" s="22">
        <v>2.3426512617795E13</v>
      </c>
      <c r="AJ676" s="25"/>
      <c r="AK676" s="25"/>
      <c r="AL676" s="22" t="s">
        <v>8136</v>
      </c>
      <c r="AR676" s="32" t="b">
        <v>0</v>
      </c>
      <c r="AS676" s="32" t="b">
        <v>0</v>
      </c>
    </row>
    <row r="677">
      <c r="A677" s="21" t="s">
        <v>10345</v>
      </c>
      <c r="B677" s="22" t="s">
        <v>8119</v>
      </c>
      <c r="C677" s="22">
        <v>1.0</v>
      </c>
      <c r="D677" s="22" t="s">
        <v>8141</v>
      </c>
      <c r="E677" s="22" t="s">
        <v>8119</v>
      </c>
      <c r="F677" s="22" t="s">
        <v>8121</v>
      </c>
      <c r="G677" s="25"/>
      <c r="H677" s="22">
        <v>3.2754140021059E13</v>
      </c>
      <c r="I677" s="25"/>
      <c r="J677" s="25"/>
      <c r="K677" s="22">
        <v>4.2085703549171E13</v>
      </c>
      <c r="L677" s="25"/>
      <c r="M677" s="25"/>
      <c r="N677" s="22" t="s">
        <v>4455</v>
      </c>
      <c r="O677" s="22" t="s">
        <v>10346</v>
      </c>
      <c r="P677" s="22" t="s">
        <v>4455</v>
      </c>
      <c r="Q677" s="22" t="s">
        <v>10346</v>
      </c>
      <c r="R677" s="22" t="s">
        <v>10347</v>
      </c>
      <c r="S677" s="25"/>
      <c r="T677" s="40" t="s">
        <v>10348</v>
      </c>
      <c r="U677" s="22" t="s">
        <v>10349</v>
      </c>
      <c r="V677" s="25"/>
      <c r="W677" s="22" t="s">
        <v>10350</v>
      </c>
      <c r="X677" s="22" t="s">
        <v>10351</v>
      </c>
      <c r="Y677" s="25"/>
      <c r="Z677" s="25"/>
      <c r="AA677" s="22" t="s">
        <v>8129</v>
      </c>
      <c r="AB677" s="22" t="s">
        <v>8130</v>
      </c>
      <c r="AC677" s="25"/>
      <c r="AD677" s="22" t="s">
        <v>8131</v>
      </c>
      <c r="AE677" s="22" t="s">
        <v>8132</v>
      </c>
      <c r="AF677" s="25"/>
      <c r="AG677" s="22">
        <v>1.0459996193091E13</v>
      </c>
      <c r="AH677" s="22" t="s">
        <v>90</v>
      </c>
      <c r="AI677" s="22">
        <v>6.435060777203E12</v>
      </c>
      <c r="AJ677" s="25"/>
      <c r="AK677" s="25"/>
      <c r="AL677" s="22" t="s">
        <v>8133</v>
      </c>
      <c r="AQ677" s="32" t="s">
        <v>8135</v>
      </c>
      <c r="AR677" s="32" t="b">
        <v>0</v>
      </c>
      <c r="AS677" s="32" t="b">
        <v>0</v>
      </c>
    </row>
    <row r="678">
      <c r="A678" s="21" t="s">
        <v>10345</v>
      </c>
      <c r="B678" s="25"/>
      <c r="C678" s="25"/>
      <c r="D678" s="22" t="s">
        <v>8141</v>
      </c>
      <c r="E678" s="25"/>
      <c r="F678" s="22" t="s">
        <v>8136</v>
      </c>
      <c r="G678" s="25"/>
      <c r="H678" s="22">
        <v>9.515326570819E12</v>
      </c>
      <c r="I678" s="25"/>
      <c r="J678" s="25"/>
      <c r="K678" s="25"/>
      <c r="L678" s="25"/>
      <c r="M678" s="25"/>
      <c r="N678" s="22" t="s">
        <v>4455</v>
      </c>
      <c r="O678" s="22" t="s">
        <v>10346</v>
      </c>
      <c r="P678" s="22" t="s">
        <v>4455</v>
      </c>
      <c r="Q678" s="22" t="s">
        <v>10346</v>
      </c>
      <c r="R678" s="22" t="s">
        <v>10347</v>
      </c>
      <c r="S678" s="25"/>
      <c r="T678" s="40" t="s">
        <v>10348</v>
      </c>
      <c r="U678" s="22" t="s">
        <v>10349</v>
      </c>
      <c r="V678" s="25"/>
      <c r="W678" s="22" t="s">
        <v>10350</v>
      </c>
      <c r="X678" s="22" t="s">
        <v>10351</v>
      </c>
      <c r="Y678" s="25"/>
      <c r="Z678" s="25"/>
      <c r="AA678" s="22" t="s">
        <v>8129</v>
      </c>
      <c r="AB678" s="22" t="s">
        <v>8130</v>
      </c>
      <c r="AC678" s="25"/>
      <c r="AD678" s="25"/>
      <c r="AE678" s="22" t="s">
        <v>8132</v>
      </c>
      <c r="AF678" s="25"/>
      <c r="AG678" s="22">
        <v>1.0459996193091E13</v>
      </c>
      <c r="AH678" s="22" t="s">
        <v>8137</v>
      </c>
      <c r="AI678" s="22">
        <v>6.435060777203E12</v>
      </c>
      <c r="AJ678" s="25"/>
      <c r="AK678" s="25"/>
      <c r="AL678" s="22" t="s">
        <v>8136</v>
      </c>
      <c r="AR678" s="32" t="b">
        <v>0</v>
      </c>
      <c r="AS678" s="32" t="b">
        <v>0</v>
      </c>
    </row>
    <row r="679">
      <c r="A679" s="21" t="s">
        <v>10352</v>
      </c>
      <c r="B679" s="22" t="s">
        <v>8140</v>
      </c>
      <c r="C679" s="22">
        <v>1.0</v>
      </c>
      <c r="D679" s="22" t="s">
        <v>8141</v>
      </c>
      <c r="E679" s="22" t="s">
        <v>8140</v>
      </c>
      <c r="F679" s="22" t="s">
        <v>8121</v>
      </c>
      <c r="G679" s="25"/>
      <c r="H679" s="22">
        <v>3.2754232197443E13</v>
      </c>
      <c r="I679" s="25"/>
      <c r="J679" s="25"/>
      <c r="K679" s="22">
        <v>4.2085703581939E13</v>
      </c>
      <c r="L679" s="25"/>
      <c r="M679" s="25"/>
      <c r="N679" s="22" t="s">
        <v>4484</v>
      </c>
      <c r="O679" s="22" t="s">
        <v>10353</v>
      </c>
      <c r="P679" s="22" t="s">
        <v>4484</v>
      </c>
      <c r="Q679" s="22" t="s">
        <v>10353</v>
      </c>
      <c r="R679" s="22" t="s">
        <v>10354</v>
      </c>
      <c r="S679" s="25"/>
      <c r="T679" s="40" t="s">
        <v>10355</v>
      </c>
      <c r="U679" s="22" t="s">
        <v>10356</v>
      </c>
      <c r="V679" s="25"/>
      <c r="W679" s="22" t="s">
        <v>10357</v>
      </c>
      <c r="X679" s="22" t="s">
        <v>8160</v>
      </c>
      <c r="Y679" s="25"/>
      <c r="Z679" s="25"/>
      <c r="AA679" s="22" t="s">
        <v>8129</v>
      </c>
      <c r="AB679" s="22" t="s">
        <v>8130</v>
      </c>
      <c r="AC679" s="25"/>
      <c r="AD679" s="22" t="s">
        <v>8131</v>
      </c>
      <c r="AE679" s="22" t="s">
        <v>8132</v>
      </c>
      <c r="AF679" s="25"/>
      <c r="AG679" s="22">
        <v>1.0460033581379E13</v>
      </c>
      <c r="AH679" s="22" t="s">
        <v>90</v>
      </c>
      <c r="AI679" s="22">
        <v>2.3426694381891E13</v>
      </c>
      <c r="AJ679" s="25"/>
      <c r="AK679" s="25"/>
      <c r="AL679" s="22" t="s">
        <v>8134</v>
      </c>
      <c r="AQ679" s="32" t="s">
        <v>8150</v>
      </c>
      <c r="AR679" s="32" t="b">
        <v>0</v>
      </c>
      <c r="AS679" s="32" t="b">
        <v>0</v>
      </c>
    </row>
    <row r="680">
      <c r="A680" s="21" t="s">
        <v>10352</v>
      </c>
      <c r="B680" s="25"/>
      <c r="C680" s="25"/>
      <c r="D680" s="22" t="s">
        <v>8141</v>
      </c>
      <c r="E680" s="25"/>
      <c r="F680" s="22" t="s">
        <v>8136</v>
      </c>
      <c r="G680" s="25"/>
      <c r="H680" s="22">
        <v>9.515362222403E12</v>
      </c>
      <c r="I680" s="25"/>
      <c r="J680" s="25"/>
      <c r="K680" s="25"/>
      <c r="L680" s="25"/>
      <c r="M680" s="25"/>
      <c r="N680" s="22" t="s">
        <v>4484</v>
      </c>
      <c r="O680" s="22" t="s">
        <v>10353</v>
      </c>
      <c r="P680" s="22" t="s">
        <v>4484</v>
      </c>
      <c r="Q680" s="22" t="s">
        <v>10353</v>
      </c>
      <c r="R680" s="22" t="s">
        <v>10354</v>
      </c>
      <c r="S680" s="25"/>
      <c r="T680" s="40" t="s">
        <v>10355</v>
      </c>
      <c r="U680" s="22" t="s">
        <v>10356</v>
      </c>
      <c r="V680" s="25"/>
      <c r="W680" s="22" t="s">
        <v>10357</v>
      </c>
      <c r="X680" s="22" t="s">
        <v>8160</v>
      </c>
      <c r="Y680" s="25"/>
      <c r="Z680" s="25"/>
      <c r="AA680" s="22" t="s">
        <v>8129</v>
      </c>
      <c r="AB680" s="22" t="s">
        <v>8130</v>
      </c>
      <c r="AC680" s="25"/>
      <c r="AD680" s="25"/>
      <c r="AE680" s="22" t="s">
        <v>8132</v>
      </c>
      <c r="AF680" s="25"/>
      <c r="AG680" s="22">
        <v>1.0460033581379E13</v>
      </c>
      <c r="AH680" s="22" t="s">
        <v>8137</v>
      </c>
      <c r="AI680" s="22">
        <v>2.3426694381891E13</v>
      </c>
      <c r="AJ680" s="25"/>
      <c r="AK680" s="25"/>
      <c r="AL680" s="22" t="s">
        <v>8136</v>
      </c>
      <c r="AR680" s="32" t="b">
        <v>0</v>
      </c>
      <c r="AS680" s="32" t="b">
        <v>0</v>
      </c>
    </row>
    <row r="681">
      <c r="A681" s="21" t="s">
        <v>10358</v>
      </c>
      <c r="B681" s="22" t="s">
        <v>8140</v>
      </c>
      <c r="C681" s="22">
        <v>1.0</v>
      </c>
      <c r="D681" s="22" t="s">
        <v>8175</v>
      </c>
      <c r="E681" s="22" t="s">
        <v>8140</v>
      </c>
      <c r="F681" s="22" t="s">
        <v>8121</v>
      </c>
      <c r="G681" s="25"/>
      <c r="H681" s="22">
        <v>3.2754240356675E13</v>
      </c>
      <c r="I681" s="25"/>
      <c r="J681" s="25"/>
      <c r="K681" s="22">
        <v>4.2085703581939E13</v>
      </c>
      <c r="L681" s="25"/>
      <c r="M681" s="25"/>
      <c r="N681" s="22" t="s">
        <v>10359</v>
      </c>
      <c r="O681" s="22" t="s">
        <v>10360</v>
      </c>
      <c r="P681" s="22" t="s">
        <v>10359</v>
      </c>
      <c r="Q681" s="22" t="s">
        <v>10360</v>
      </c>
      <c r="R681" s="22" t="s">
        <v>10361</v>
      </c>
      <c r="S681" s="25"/>
      <c r="T681" s="40" t="s">
        <v>10362</v>
      </c>
      <c r="U681" s="22" t="s">
        <v>10363</v>
      </c>
      <c r="V681" s="25"/>
      <c r="W681" s="22" t="s">
        <v>10364</v>
      </c>
      <c r="X681" s="22" t="s">
        <v>8289</v>
      </c>
      <c r="Y681" s="25"/>
      <c r="Z681" s="25"/>
      <c r="AA681" s="22" t="s">
        <v>8129</v>
      </c>
      <c r="AB681" s="22" t="s">
        <v>8130</v>
      </c>
      <c r="AC681" s="25"/>
      <c r="AD681" s="22" t="s">
        <v>8131</v>
      </c>
      <c r="AE681" s="22" t="s">
        <v>8132</v>
      </c>
      <c r="AF681" s="25"/>
      <c r="AG681" s="22">
        <v>1.0460036759875E13</v>
      </c>
      <c r="AH681" s="22" t="s">
        <v>90</v>
      </c>
      <c r="AI681" s="22">
        <v>6.436261232883E12</v>
      </c>
      <c r="AJ681" s="25"/>
      <c r="AK681" s="25"/>
      <c r="AL681" s="22" t="s">
        <v>8134</v>
      </c>
      <c r="AQ681" s="32" t="s">
        <v>8150</v>
      </c>
      <c r="AR681" s="32" t="b">
        <v>0</v>
      </c>
      <c r="AS681" s="32" t="b">
        <v>0</v>
      </c>
    </row>
    <row r="682">
      <c r="A682" s="21" t="s">
        <v>10358</v>
      </c>
      <c r="B682" s="25"/>
      <c r="C682" s="25"/>
      <c r="D682" s="22" t="s">
        <v>8175</v>
      </c>
      <c r="E682" s="25"/>
      <c r="F682" s="22" t="s">
        <v>8136</v>
      </c>
      <c r="G682" s="25"/>
      <c r="H682" s="22">
        <v>9.515365204291E12</v>
      </c>
      <c r="I682" s="25"/>
      <c r="J682" s="25"/>
      <c r="K682" s="25"/>
      <c r="L682" s="25"/>
      <c r="M682" s="25"/>
      <c r="N682" s="22" t="s">
        <v>10359</v>
      </c>
      <c r="O682" s="22" t="s">
        <v>10360</v>
      </c>
      <c r="P682" s="22" t="s">
        <v>10359</v>
      </c>
      <c r="Q682" s="22" t="s">
        <v>10360</v>
      </c>
      <c r="R682" s="22" t="s">
        <v>10361</v>
      </c>
      <c r="S682" s="25"/>
      <c r="T682" s="40" t="s">
        <v>10362</v>
      </c>
      <c r="U682" s="22" t="s">
        <v>10363</v>
      </c>
      <c r="V682" s="25"/>
      <c r="W682" s="22" t="s">
        <v>10364</v>
      </c>
      <c r="X682" s="22" t="s">
        <v>8289</v>
      </c>
      <c r="Y682" s="25"/>
      <c r="Z682" s="25"/>
      <c r="AA682" s="22" t="s">
        <v>8129</v>
      </c>
      <c r="AB682" s="22" t="s">
        <v>8130</v>
      </c>
      <c r="AC682" s="25"/>
      <c r="AD682" s="25"/>
      <c r="AE682" s="22" t="s">
        <v>8132</v>
      </c>
      <c r="AF682" s="25"/>
      <c r="AG682" s="22">
        <v>1.0460036759875E13</v>
      </c>
      <c r="AH682" s="22" t="s">
        <v>8137</v>
      </c>
      <c r="AI682" s="22">
        <v>6.436261232883E12</v>
      </c>
      <c r="AJ682" s="25"/>
      <c r="AK682" s="25"/>
      <c r="AL682" s="22" t="s">
        <v>8136</v>
      </c>
      <c r="AR682" s="32" t="b">
        <v>0</v>
      </c>
      <c r="AS682" s="32" t="b">
        <v>0</v>
      </c>
    </row>
    <row r="683">
      <c r="A683" s="21" t="s">
        <v>10365</v>
      </c>
      <c r="B683" s="22" t="s">
        <v>8707</v>
      </c>
      <c r="C683" s="22">
        <v>2.0</v>
      </c>
      <c r="D683" s="22" t="s">
        <v>8581</v>
      </c>
      <c r="E683" s="22" t="s">
        <v>8707</v>
      </c>
      <c r="F683" s="22" t="s">
        <v>8155</v>
      </c>
      <c r="G683" s="25"/>
      <c r="H683" s="22">
        <v>3.2745831039299E13</v>
      </c>
      <c r="I683" s="25"/>
      <c r="J683" s="25"/>
      <c r="K683" s="22">
        <v>4.9521175429443E13</v>
      </c>
      <c r="L683" s="25"/>
      <c r="M683" s="25"/>
      <c r="N683" s="22" t="s">
        <v>10366</v>
      </c>
      <c r="O683" s="22" t="s">
        <v>10367</v>
      </c>
      <c r="P683" s="22" t="s">
        <v>10366</v>
      </c>
      <c r="Q683" s="22" t="s">
        <v>10368</v>
      </c>
      <c r="R683" s="22" t="s">
        <v>10369</v>
      </c>
      <c r="S683" s="22" t="s">
        <v>10370</v>
      </c>
      <c r="T683" s="40" t="s">
        <v>10371</v>
      </c>
      <c r="U683" s="22" t="s">
        <v>10372</v>
      </c>
      <c r="V683" s="25"/>
      <c r="W683" s="22" t="s">
        <v>10373</v>
      </c>
      <c r="X683" s="22" t="s">
        <v>8242</v>
      </c>
      <c r="Y683" s="25"/>
      <c r="Z683" s="25"/>
      <c r="AA683" s="22" t="s">
        <v>8129</v>
      </c>
      <c r="AB683" s="22" t="s">
        <v>8130</v>
      </c>
      <c r="AC683" s="25"/>
      <c r="AD683" s="22" t="s">
        <v>8161</v>
      </c>
      <c r="AE683" s="22" t="s">
        <v>8132</v>
      </c>
      <c r="AF683" s="25"/>
      <c r="AG683" s="22">
        <v>1.0458291732803E13</v>
      </c>
      <c r="AH683" s="22" t="s">
        <v>90</v>
      </c>
      <c r="AI683" s="22">
        <v>8.582552191299E12</v>
      </c>
      <c r="AJ683" s="25"/>
      <c r="AK683" s="25"/>
      <c r="AL683" s="22" t="s">
        <v>8336</v>
      </c>
      <c r="AQ683" s="32" t="s">
        <v>54</v>
      </c>
      <c r="AR683" s="32" t="b">
        <v>0</v>
      </c>
      <c r="AS683" s="32" t="b">
        <v>1</v>
      </c>
    </row>
    <row r="684">
      <c r="A684" s="21" t="s">
        <v>10365</v>
      </c>
      <c r="B684" s="25"/>
      <c r="C684" s="25"/>
      <c r="D684" s="22" t="s">
        <v>8581</v>
      </c>
      <c r="E684" s="25"/>
      <c r="F684" s="22" t="s">
        <v>8320</v>
      </c>
      <c r="G684" s="25"/>
      <c r="H684" s="22">
        <v>9.513689579843E12</v>
      </c>
      <c r="I684" s="25"/>
      <c r="J684" s="25"/>
      <c r="K684" s="25"/>
      <c r="L684" s="25"/>
      <c r="M684" s="25"/>
      <c r="N684" s="22" t="s">
        <v>10366</v>
      </c>
      <c r="O684" s="22" t="s">
        <v>10367</v>
      </c>
      <c r="P684" s="22" t="s">
        <v>10366</v>
      </c>
      <c r="Q684" s="22" t="s">
        <v>10368</v>
      </c>
      <c r="R684" s="22" t="s">
        <v>10369</v>
      </c>
      <c r="S684" s="22" t="s">
        <v>10370</v>
      </c>
      <c r="T684" s="40" t="s">
        <v>10371</v>
      </c>
      <c r="U684" s="22" t="s">
        <v>10372</v>
      </c>
      <c r="V684" s="25"/>
      <c r="W684" s="22" t="s">
        <v>10373</v>
      </c>
      <c r="X684" s="22" t="s">
        <v>8242</v>
      </c>
      <c r="Y684" s="25"/>
      <c r="Z684" s="25"/>
      <c r="AA684" s="22" t="s">
        <v>8129</v>
      </c>
      <c r="AB684" s="22" t="s">
        <v>8130</v>
      </c>
      <c r="AC684" s="25"/>
      <c r="AD684" s="25"/>
      <c r="AE684" s="22" t="s">
        <v>8132</v>
      </c>
      <c r="AF684" s="25"/>
      <c r="AG684" s="22">
        <v>1.0458291732803E13</v>
      </c>
      <c r="AH684" s="22" t="s">
        <v>8137</v>
      </c>
      <c r="AI684" s="22">
        <v>8.582552191299E12</v>
      </c>
      <c r="AJ684" s="25"/>
      <c r="AK684" s="25"/>
      <c r="AL684" s="22" t="s">
        <v>8320</v>
      </c>
      <c r="AR684" s="32" t="b">
        <v>0</v>
      </c>
      <c r="AS684" s="32" t="b">
        <v>0</v>
      </c>
    </row>
    <row r="685">
      <c r="A685" s="21" t="s">
        <v>10374</v>
      </c>
      <c r="B685" s="22" t="s">
        <v>8467</v>
      </c>
      <c r="C685" s="22">
        <v>1.0</v>
      </c>
      <c r="D685" s="22" t="s">
        <v>8141</v>
      </c>
      <c r="E685" s="22" t="s">
        <v>8467</v>
      </c>
      <c r="F685" s="22" t="s">
        <v>8155</v>
      </c>
      <c r="G685" s="25"/>
      <c r="H685" s="22">
        <v>3.2755514081603E13</v>
      </c>
      <c r="I685" s="25"/>
      <c r="J685" s="25"/>
      <c r="K685" s="22">
        <v>4.9521175462211E13</v>
      </c>
      <c r="L685" s="25"/>
      <c r="M685" s="25"/>
      <c r="N685" s="22" t="s">
        <v>10375</v>
      </c>
      <c r="O685" s="22" t="s">
        <v>10376</v>
      </c>
      <c r="P685" s="22" t="s">
        <v>10375</v>
      </c>
      <c r="Q685" s="22" t="s">
        <v>10376</v>
      </c>
      <c r="R685" s="22" t="s">
        <v>10377</v>
      </c>
      <c r="S685" s="25"/>
      <c r="T685" s="40" t="s">
        <v>10378</v>
      </c>
      <c r="U685" s="22" t="s">
        <v>10379</v>
      </c>
      <c r="V685" s="25"/>
      <c r="W685" s="22" t="s">
        <v>10380</v>
      </c>
      <c r="X685" s="22" t="s">
        <v>10381</v>
      </c>
      <c r="Y685" s="25"/>
      <c r="Z685" s="25"/>
      <c r="AA685" s="22" t="s">
        <v>8129</v>
      </c>
      <c r="AB685" s="22" t="s">
        <v>8130</v>
      </c>
      <c r="AC685" s="25"/>
      <c r="AD685" s="22" t="s">
        <v>8161</v>
      </c>
      <c r="AE685" s="22" t="s">
        <v>8132</v>
      </c>
      <c r="AF685" s="25"/>
      <c r="AG685" s="22">
        <v>1.0460633596227E13</v>
      </c>
      <c r="AH685" s="22" t="s">
        <v>90</v>
      </c>
      <c r="AI685" s="22">
        <v>2.3422504337731E13</v>
      </c>
      <c r="AJ685" s="25"/>
      <c r="AK685" s="25"/>
      <c r="AL685" s="22" t="s">
        <v>8173</v>
      </c>
      <c r="AQ685" s="32" t="s">
        <v>55</v>
      </c>
      <c r="AR685" s="32" t="b">
        <v>0</v>
      </c>
      <c r="AS685" s="32" t="b">
        <v>1</v>
      </c>
    </row>
    <row r="686">
      <c r="A686" s="21" t="s">
        <v>10374</v>
      </c>
      <c r="B686" s="25"/>
      <c r="C686" s="25"/>
      <c r="D686" s="22" t="s">
        <v>8141</v>
      </c>
      <c r="E686" s="25"/>
      <c r="F686" s="22" t="s">
        <v>768</v>
      </c>
      <c r="G686" s="25"/>
      <c r="H686" s="25"/>
      <c r="I686" s="25"/>
      <c r="J686" s="25"/>
      <c r="K686" s="25"/>
      <c r="L686" s="25"/>
      <c r="M686" s="25"/>
      <c r="N686" s="22" t="s">
        <v>10375</v>
      </c>
      <c r="O686" s="22" t="s">
        <v>10376</v>
      </c>
      <c r="P686" s="22" t="s">
        <v>10375</v>
      </c>
      <c r="Q686" s="22" t="s">
        <v>10376</v>
      </c>
      <c r="R686" s="22" t="s">
        <v>10377</v>
      </c>
      <c r="S686" s="25"/>
      <c r="T686" s="40" t="s">
        <v>10378</v>
      </c>
      <c r="U686" s="22" t="s">
        <v>10379</v>
      </c>
      <c r="V686" s="25"/>
      <c r="W686" s="22" t="s">
        <v>10380</v>
      </c>
      <c r="X686" s="22" t="s">
        <v>10381</v>
      </c>
      <c r="Y686" s="25"/>
      <c r="Z686" s="25"/>
      <c r="AA686" s="22" t="s">
        <v>8129</v>
      </c>
      <c r="AB686" s="22" t="s">
        <v>8130</v>
      </c>
      <c r="AC686" s="25"/>
      <c r="AD686" s="25"/>
      <c r="AE686" s="22" t="s">
        <v>8132</v>
      </c>
      <c r="AF686" s="25"/>
      <c r="AG686" s="22">
        <v>1.0460633596227E13</v>
      </c>
      <c r="AH686" s="22" t="s">
        <v>769</v>
      </c>
      <c r="AI686" s="22">
        <v>2.3422504337731E13</v>
      </c>
      <c r="AJ686" s="25"/>
      <c r="AK686" s="25"/>
      <c r="AL686" s="22" t="s">
        <v>10382</v>
      </c>
      <c r="AR686" s="32" t="b">
        <v>0</v>
      </c>
      <c r="AS686" s="32" t="b">
        <v>0</v>
      </c>
    </row>
    <row r="687">
      <c r="A687" s="21" t="s">
        <v>10374</v>
      </c>
      <c r="B687" s="25"/>
      <c r="C687" s="25"/>
      <c r="D687" s="22" t="s">
        <v>8141</v>
      </c>
      <c r="E687" s="25"/>
      <c r="F687" s="22" t="s">
        <v>8149</v>
      </c>
      <c r="G687" s="25"/>
      <c r="H687" s="22">
        <v>9.515909873987E12</v>
      </c>
      <c r="I687" s="25"/>
      <c r="J687" s="25"/>
      <c r="K687" s="25"/>
      <c r="L687" s="25"/>
      <c r="M687" s="25"/>
      <c r="N687" s="22" t="s">
        <v>10375</v>
      </c>
      <c r="O687" s="22" t="s">
        <v>10376</v>
      </c>
      <c r="P687" s="22" t="s">
        <v>10375</v>
      </c>
      <c r="Q687" s="22" t="s">
        <v>10376</v>
      </c>
      <c r="R687" s="22" t="s">
        <v>10377</v>
      </c>
      <c r="S687" s="25"/>
      <c r="T687" s="40" t="s">
        <v>10378</v>
      </c>
      <c r="U687" s="22" t="s">
        <v>10379</v>
      </c>
      <c r="V687" s="25"/>
      <c r="W687" s="22" t="s">
        <v>10380</v>
      </c>
      <c r="X687" s="22" t="s">
        <v>10381</v>
      </c>
      <c r="Y687" s="25"/>
      <c r="Z687" s="25"/>
      <c r="AA687" s="22" t="s">
        <v>8129</v>
      </c>
      <c r="AB687" s="22" t="s">
        <v>8130</v>
      </c>
      <c r="AC687" s="25"/>
      <c r="AD687" s="25"/>
      <c r="AE687" s="22" t="s">
        <v>8132</v>
      </c>
      <c r="AF687" s="25"/>
      <c r="AG687" s="22">
        <v>1.0460633596227E13</v>
      </c>
      <c r="AH687" s="22" t="s">
        <v>8137</v>
      </c>
      <c r="AI687" s="22">
        <v>2.3422504337731E13</v>
      </c>
      <c r="AJ687" s="25"/>
      <c r="AK687" s="25"/>
      <c r="AL687" s="22" t="s">
        <v>8149</v>
      </c>
      <c r="AR687" s="32" t="b">
        <v>0</v>
      </c>
      <c r="AS687" s="32" t="b">
        <v>0</v>
      </c>
    </row>
    <row r="688">
      <c r="A688" s="21" t="s">
        <v>10383</v>
      </c>
      <c r="B688" s="22" t="s">
        <v>8262</v>
      </c>
      <c r="C688" s="22">
        <v>1.0</v>
      </c>
      <c r="D688" s="22" t="s">
        <v>8212</v>
      </c>
      <c r="E688" s="22" t="s">
        <v>8262</v>
      </c>
      <c r="F688" s="22" t="s">
        <v>8155</v>
      </c>
      <c r="G688" s="25"/>
      <c r="H688" s="22">
        <v>3.2755517784387E13</v>
      </c>
      <c r="I688" s="25"/>
      <c r="J688" s="25"/>
      <c r="K688" s="22">
        <v>4.7338059792707E13</v>
      </c>
      <c r="L688" s="25"/>
      <c r="M688" s="25"/>
      <c r="N688" s="22" t="s">
        <v>5508</v>
      </c>
      <c r="O688" s="22" t="s">
        <v>10384</v>
      </c>
      <c r="P688" s="22" t="s">
        <v>5508</v>
      </c>
      <c r="Q688" s="22" t="s">
        <v>10384</v>
      </c>
      <c r="R688" s="22" t="s">
        <v>10385</v>
      </c>
      <c r="S688" s="25"/>
      <c r="T688" s="40" t="s">
        <v>10386</v>
      </c>
      <c r="U688" s="22" t="s">
        <v>10387</v>
      </c>
      <c r="V688" s="25"/>
      <c r="W688" s="22" t="s">
        <v>8267</v>
      </c>
      <c r="X688" s="22" t="s">
        <v>8289</v>
      </c>
      <c r="Y688" s="25"/>
      <c r="Z688" s="25"/>
      <c r="AA688" s="22" t="s">
        <v>8129</v>
      </c>
      <c r="AB688" s="22" t="s">
        <v>8130</v>
      </c>
      <c r="AC688" s="25"/>
      <c r="AD688" s="22" t="s">
        <v>8161</v>
      </c>
      <c r="AE688" s="22" t="s">
        <v>8132</v>
      </c>
      <c r="AF688" s="25"/>
      <c r="AG688" s="22">
        <v>1.0460635169091E13</v>
      </c>
      <c r="AH688" s="22" t="s">
        <v>90</v>
      </c>
      <c r="AI688" s="22">
        <v>8.597376041283E12</v>
      </c>
      <c r="AJ688" s="25"/>
      <c r="AK688" s="25"/>
      <c r="AL688" s="22" t="s">
        <v>8269</v>
      </c>
      <c r="AQ688" s="32" t="s">
        <v>91</v>
      </c>
      <c r="AR688" s="32" t="b">
        <v>0</v>
      </c>
      <c r="AS688" s="32" t="b">
        <v>0</v>
      </c>
    </row>
    <row r="689">
      <c r="A689" s="21" t="s">
        <v>10383</v>
      </c>
      <c r="B689" s="25"/>
      <c r="C689" s="25"/>
      <c r="D689" s="22" t="s">
        <v>8212</v>
      </c>
      <c r="E689" s="25"/>
      <c r="F689" s="22" t="s">
        <v>8149</v>
      </c>
      <c r="G689" s="25"/>
      <c r="H689" s="22">
        <v>9.515911315779E12</v>
      </c>
      <c r="I689" s="25"/>
      <c r="J689" s="25"/>
      <c r="K689" s="25"/>
      <c r="L689" s="25"/>
      <c r="M689" s="25"/>
      <c r="N689" s="22" t="s">
        <v>5508</v>
      </c>
      <c r="O689" s="22" t="s">
        <v>10384</v>
      </c>
      <c r="P689" s="22" t="s">
        <v>5508</v>
      </c>
      <c r="Q689" s="22" t="s">
        <v>10384</v>
      </c>
      <c r="R689" s="22" t="s">
        <v>10385</v>
      </c>
      <c r="S689" s="25"/>
      <c r="T689" s="40" t="s">
        <v>10386</v>
      </c>
      <c r="U689" s="22" t="s">
        <v>10387</v>
      </c>
      <c r="V689" s="25"/>
      <c r="W689" s="22" t="s">
        <v>8267</v>
      </c>
      <c r="X689" s="22" t="s">
        <v>8289</v>
      </c>
      <c r="Y689" s="25"/>
      <c r="Z689" s="25"/>
      <c r="AA689" s="22" t="s">
        <v>8129</v>
      </c>
      <c r="AB689" s="22" t="s">
        <v>8130</v>
      </c>
      <c r="AC689" s="25"/>
      <c r="AD689" s="25"/>
      <c r="AE689" s="22" t="s">
        <v>8132</v>
      </c>
      <c r="AF689" s="25"/>
      <c r="AG689" s="22">
        <v>1.0460635169091E13</v>
      </c>
      <c r="AH689" s="22" t="s">
        <v>8137</v>
      </c>
      <c r="AI689" s="22">
        <v>8.597376041283E12</v>
      </c>
      <c r="AJ689" s="25"/>
      <c r="AK689" s="25"/>
      <c r="AL689" s="22" t="s">
        <v>8149</v>
      </c>
      <c r="AR689" s="32" t="b">
        <v>0</v>
      </c>
      <c r="AS689" s="32" t="b">
        <v>0</v>
      </c>
    </row>
    <row r="690">
      <c r="A690" s="21" t="s">
        <v>10388</v>
      </c>
      <c r="B690" s="22" t="s">
        <v>8140</v>
      </c>
      <c r="C690" s="22">
        <v>1.0</v>
      </c>
      <c r="D690" s="22" t="s">
        <v>8419</v>
      </c>
      <c r="E690" s="22" t="s">
        <v>8140</v>
      </c>
      <c r="F690" s="22" t="s">
        <v>8121</v>
      </c>
      <c r="G690" s="25"/>
      <c r="H690" s="22">
        <v>3.2755568804163E13</v>
      </c>
      <c r="I690" s="25"/>
      <c r="J690" s="25"/>
      <c r="K690" s="22">
        <v>4.2085703581939E13</v>
      </c>
      <c r="L690" s="25"/>
      <c r="M690" s="25"/>
      <c r="N690" s="22" t="s">
        <v>10389</v>
      </c>
      <c r="O690" s="22" t="s">
        <v>10390</v>
      </c>
      <c r="P690" s="22" t="s">
        <v>10389</v>
      </c>
      <c r="Q690" s="22" t="s">
        <v>10390</v>
      </c>
      <c r="R690" s="22" t="s">
        <v>10391</v>
      </c>
      <c r="S690" s="25"/>
      <c r="T690" s="40" t="s">
        <v>10392</v>
      </c>
      <c r="U690" s="22" t="s">
        <v>10393</v>
      </c>
      <c r="V690" s="22">
        <v>116.0</v>
      </c>
      <c r="W690" s="22" t="s">
        <v>10394</v>
      </c>
      <c r="X690" s="22" t="s">
        <v>10395</v>
      </c>
      <c r="Y690" s="25"/>
      <c r="Z690" s="25"/>
      <c r="AA690" s="22" t="s">
        <v>8129</v>
      </c>
      <c r="AB690" s="22" t="s">
        <v>8130</v>
      </c>
      <c r="AC690" s="25"/>
      <c r="AD690" s="22" t="s">
        <v>8131</v>
      </c>
      <c r="AE690" s="22" t="s">
        <v>8132</v>
      </c>
      <c r="AF690" s="25"/>
      <c r="AG690" s="22">
        <v>1.0460659122499E13</v>
      </c>
      <c r="AH690" s="22" t="s">
        <v>90</v>
      </c>
      <c r="AI690" s="22">
        <v>6.454470934771E12</v>
      </c>
      <c r="AJ690" s="25"/>
      <c r="AK690" s="25"/>
      <c r="AL690" s="22" t="s">
        <v>8134</v>
      </c>
      <c r="AQ690" s="32" t="s">
        <v>8150</v>
      </c>
      <c r="AR690" s="32" t="b">
        <v>0</v>
      </c>
      <c r="AS690" s="32" t="b">
        <v>0</v>
      </c>
    </row>
    <row r="691">
      <c r="A691" s="21" t="s">
        <v>10388</v>
      </c>
      <c r="B691" s="25"/>
      <c r="C691" s="25"/>
      <c r="D691" s="22" t="s">
        <v>8419</v>
      </c>
      <c r="E691" s="25"/>
      <c r="F691" s="22" t="s">
        <v>8136</v>
      </c>
      <c r="G691" s="25"/>
      <c r="H691" s="22">
        <v>9.515933466947E12</v>
      </c>
      <c r="I691" s="25"/>
      <c r="J691" s="25"/>
      <c r="K691" s="25"/>
      <c r="L691" s="25"/>
      <c r="M691" s="25"/>
      <c r="N691" s="22" t="s">
        <v>10389</v>
      </c>
      <c r="O691" s="22" t="s">
        <v>10390</v>
      </c>
      <c r="P691" s="22" t="s">
        <v>10389</v>
      </c>
      <c r="Q691" s="22" t="s">
        <v>10390</v>
      </c>
      <c r="R691" s="22" t="s">
        <v>10391</v>
      </c>
      <c r="S691" s="25"/>
      <c r="T691" s="40" t="s">
        <v>10392</v>
      </c>
      <c r="U691" s="22" t="s">
        <v>10393</v>
      </c>
      <c r="V691" s="22">
        <v>116.0</v>
      </c>
      <c r="W691" s="22" t="s">
        <v>10394</v>
      </c>
      <c r="X691" s="22" t="s">
        <v>10395</v>
      </c>
      <c r="Y691" s="25"/>
      <c r="Z691" s="25"/>
      <c r="AA691" s="22" t="s">
        <v>8129</v>
      </c>
      <c r="AB691" s="22" t="s">
        <v>8130</v>
      </c>
      <c r="AC691" s="25"/>
      <c r="AD691" s="25"/>
      <c r="AE691" s="22" t="s">
        <v>8132</v>
      </c>
      <c r="AF691" s="25"/>
      <c r="AG691" s="22">
        <v>1.0460659122499E13</v>
      </c>
      <c r="AH691" s="22" t="s">
        <v>8137</v>
      </c>
      <c r="AI691" s="22">
        <v>6.454470934771E12</v>
      </c>
      <c r="AJ691" s="25"/>
      <c r="AK691" s="25"/>
      <c r="AL691" s="22" t="s">
        <v>8136</v>
      </c>
      <c r="AR691" s="32" t="b">
        <v>0</v>
      </c>
      <c r="AS691" s="32" t="b">
        <v>0</v>
      </c>
    </row>
    <row r="692">
      <c r="A692" s="21" t="s">
        <v>10396</v>
      </c>
      <c r="B692" s="22" t="s">
        <v>8211</v>
      </c>
      <c r="C692" s="22">
        <v>1.0</v>
      </c>
      <c r="D692" s="22" t="s">
        <v>8175</v>
      </c>
      <c r="E692" s="22" t="s">
        <v>8211</v>
      </c>
      <c r="F692" s="22" t="s">
        <v>8155</v>
      </c>
      <c r="G692" s="25"/>
      <c r="H692" s="22">
        <v>3.2755607142723E13</v>
      </c>
      <c r="I692" s="25"/>
      <c r="J692" s="25"/>
      <c r="K692" s="22">
        <v>4.7338059727171E13</v>
      </c>
      <c r="L692" s="25"/>
      <c r="M692" s="25"/>
      <c r="N692" s="22" t="s">
        <v>10397</v>
      </c>
      <c r="O692" s="22" t="s">
        <v>10398</v>
      </c>
      <c r="P692" s="22" t="s">
        <v>10397</v>
      </c>
      <c r="Q692" s="22" t="s">
        <v>10398</v>
      </c>
      <c r="R692" s="22" t="s">
        <v>10399</v>
      </c>
      <c r="S692" s="25"/>
      <c r="T692" s="40" t="s">
        <v>10400</v>
      </c>
      <c r="U692" s="22" t="s">
        <v>10401</v>
      </c>
      <c r="V692" s="25"/>
      <c r="W692" s="22" t="s">
        <v>10402</v>
      </c>
      <c r="X692" s="22" t="s">
        <v>8747</v>
      </c>
      <c r="Y692" s="25"/>
      <c r="Z692" s="25"/>
      <c r="AA692" s="22" t="s">
        <v>8129</v>
      </c>
      <c r="AB692" s="22" t="s">
        <v>8130</v>
      </c>
      <c r="AC692" s="25"/>
      <c r="AD692" s="22" t="s">
        <v>8161</v>
      </c>
      <c r="AE692" s="22" t="s">
        <v>8132</v>
      </c>
      <c r="AF692" s="25"/>
      <c r="AG692" s="22">
        <v>1.0460675604803E13</v>
      </c>
      <c r="AH692" s="22" t="s">
        <v>90</v>
      </c>
      <c r="AI692" s="22">
        <v>2.3427511025987E13</v>
      </c>
      <c r="AJ692" s="25"/>
      <c r="AK692" s="25"/>
      <c r="AL692" s="22" t="s">
        <v>8151</v>
      </c>
      <c r="AQ692" s="32" t="s">
        <v>54</v>
      </c>
      <c r="AR692" s="32" t="b">
        <v>0</v>
      </c>
      <c r="AS692" s="32" t="b">
        <v>0</v>
      </c>
    </row>
    <row r="693">
      <c r="A693" s="21" t="s">
        <v>10396</v>
      </c>
      <c r="B693" s="25"/>
      <c r="C693" s="25"/>
      <c r="D693" s="22" t="s">
        <v>8175</v>
      </c>
      <c r="E693" s="25"/>
      <c r="F693" s="22" t="s">
        <v>8149</v>
      </c>
      <c r="G693" s="25"/>
      <c r="H693" s="22">
        <v>9.515948638531E12</v>
      </c>
      <c r="I693" s="25"/>
      <c r="J693" s="25"/>
      <c r="K693" s="25"/>
      <c r="L693" s="25"/>
      <c r="M693" s="25"/>
      <c r="N693" s="22" t="s">
        <v>10397</v>
      </c>
      <c r="O693" s="22" t="s">
        <v>10398</v>
      </c>
      <c r="P693" s="22" t="s">
        <v>10397</v>
      </c>
      <c r="Q693" s="22" t="s">
        <v>10398</v>
      </c>
      <c r="R693" s="22" t="s">
        <v>10399</v>
      </c>
      <c r="S693" s="25"/>
      <c r="T693" s="40" t="s">
        <v>10400</v>
      </c>
      <c r="U693" s="22" t="s">
        <v>10401</v>
      </c>
      <c r="V693" s="25"/>
      <c r="W693" s="22" t="s">
        <v>10402</v>
      </c>
      <c r="X693" s="22" t="s">
        <v>8747</v>
      </c>
      <c r="Y693" s="25"/>
      <c r="Z693" s="25"/>
      <c r="AA693" s="22" t="s">
        <v>8129</v>
      </c>
      <c r="AB693" s="22" t="s">
        <v>8130</v>
      </c>
      <c r="AC693" s="25"/>
      <c r="AD693" s="25"/>
      <c r="AE693" s="22" t="s">
        <v>8132</v>
      </c>
      <c r="AF693" s="25"/>
      <c r="AG693" s="22">
        <v>1.0460675604803E13</v>
      </c>
      <c r="AH693" s="22" t="s">
        <v>8137</v>
      </c>
      <c r="AI693" s="22">
        <v>2.3427511025987E13</v>
      </c>
      <c r="AJ693" s="25"/>
      <c r="AK693" s="25"/>
      <c r="AL693" s="22" t="s">
        <v>8149</v>
      </c>
      <c r="AR693" s="32" t="b">
        <v>0</v>
      </c>
      <c r="AS693" s="32" t="b">
        <v>0</v>
      </c>
    </row>
    <row r="694">
      <c r="A694" s="21" t="s">
        <v>10403</v>
      </c>
      <c r="B694" s="22" t="s">
        <v>8119</v>
      </c>
      <c r="C694" s="22">
        <v>1.0</v>
      </c>
      <c r="D694" s="22" t="s">
        <v>8581</v>
      </c>
      <c r="E694" s="22" t="s">
        <v>8119</v>
      </c>
      <c r="F694" s="22" t="s">
        <v>8121</v>
      </c>
      <c r="G694" s="25"/>
      <c r="H694" s="22">
        <v>3.2755645219139E13</v>
      </c>
      <c r="I694" s="25"/>
      <c r="J694" s="25"/>
      <c r="K694" s="22">
        <v>4.2085703549171E13</v>
      </c>
      <c r="L694" s="25"/>
      <c r="M694" s="25"/>
      <c r="N694" s="22" t="s">
        <v>5025</v>
      </c>
      <c r="O694" s="22" t="s">
        <v>10404</v>
      </c>
      <c r="P694" s="22" t="s">
        <v>5025</v>
      </c>
      <c r="Q694" s="22" t="s">
        <v>10404</v>
      </c>
      <c r="R694" s="22" t="s">
        <v>10405</v>
      </c>
      <c r="S694" s="25"/>
      <c r="T694" s="40" t="s">
        <v>10406</v>
      </c>
      <c r="U694" s="22" t="s">
        <v>10407</v>
      </c>
      <c r="V694" s="25"/>
      <c r="W694" s="22" t="s">
        <v>10408</v>
      </c>
      <c r="X694" s="22" t="s">
        <v>8289</v>
      </c>
      <c r="Y694" s="25"/>
      <c r="Z694" s="25"/>
      <c r="AA694" s="22" t="s">
        <v>8129</v>
      </c>
      <c r="AB694" s="22" t="s">
        <v>8130</v>
      </c>
      <c r="AC694" s="25"/>
      <c r="AD694" s="22" t="s">
        <v>8131</v>
      </c>
      <c r="AE694" s="22" t="s">
        <v>8132</v>
      </c>
      <c r="AF694" s="25"/>
      <c r="AG694" s="22">
        <v>1.0460693070147E13</v>
      </c>
      <c r="AH694" s="22" t="s">
        <v>90</v>
      </c>
      <c r="AI694" s="22">
        <v>2.3427528589635E13</v>
      </c>
      <c r="AJ694" s="25"/>
      <c r="AK694" s="25"/>
      <c r="AL694" s="22" t="s">
        <v>8133</v>
      </c>
      <c r="AQ694" s="32" t="s">
        <v>8135</v>
      </c>
      <c r="AR694" s="32" t="b">
        <v>0</v>
      </c>
      <c r="AS694" s="32" t="b">
        <v>0</v>
      </c>
    </row>
    <row r="695">
      <c r="A695" s="21" t="s">
        <v>10403</v>
      </c>
      <c r="B695" s="25"/>
      <c r="C695" s="25"/>
      <c r="D695" s="22" t="s">
        <v>8581</v>
      </c>
      <c r="E695" s="25"/>
      <c r="F695" s="22" t="s">
        <v>8136</v>
      </c>
      <c r="G695" s="25"/>
      <c r="H695" s="22">
        <v>9.515964498243E12</v>
      </c>
      <c r="I695" s="25"/>
      <c r="J695" s="25"/>
      <c r="K695" s="25"/>
      <c r="L695" s="25"/>
      <c r="M695" s="25"/>
      <c r="N695" s="22" t="s">
        <v>5025</v>
      </c>
      <c r="O695" s="22" t="s">
        <v>10404</v>
      </c>
      <c r="P695" s="22" t="s">
        <v>5025</v>
      </c>
      <c r="Q695" s="22" t="s">
        <v>10404</v>
      </c>
      <c r="R695" s="22" t="s">
        <v>10405</v>
      </c>
      <c r="S695" s="25"/>
      <c r="T695" s="40" t="s">
        <v>10406</v>
      </c>
      <c r="U695" s="22" t="s">
        <v>10407</v>
      </c>
      <c r="V695" s="25"/>
      <c r="W695" s="22" t="s">
        <v>10408</v>
      </c>
      <c r="X695" s="22" t="s">
        <v>8289</v>
      </c>
      <c r="Y695" s="25"/>
      <c r="Z695" s="25"/>
      <c r="AA695" s="22" t="s">
        <v>8129</v>
      </c>
      <c r="AB695" s="22" t="s">
        <v>8130</v>
      </c>
      <c r="AC695" s="25"/>
      <c r="AD695" s="25"/>
      <c r="AE695" s="22" t="s">
        <v>8132</v>
      </c>
      <c r="AF695" s="25"/>
      <c r="AG695" s="22">
        <v>1.0460693070147E13</v>
      </c>
      <c r="AH695" s="22" t="s">
        <v>8137</v>
      </c>
      <c r="AI695" s="22">
        <v>2.3427528589635E13</v>
      </c>
      <c r="AJ695" s="25"/>
      <c r="AK695" s="25"/>
      <c r="AL695" s="22" t="s">
        <v>8136</v>
      </c>
      <c r="AR695" s="32" t="b">
        <v>0</v>
      </c>
      <c r="AS695" s="32" t="b">
        <v>0</v>
      </c>
    </row>
    <row r="696">
      <c r="A696" s="21" t="s">
        <v>10409</v>
      </c>
      <c r="B696" s="22" t="s">
        <v>8119</v>
      </c>
      <c r="C696" s="22">
        <v>1.0</v>
      </c>
      <c r="D696" s="22" t="s">
        <v>8175</v>
      </c>
      <c r="E696" s="22" t="s">
        <v>8119</v>
      </c>
      <c r="F696" s="22" t="s">
        <v>8121</v>
      </c>
      <c r="G696" s="25"/>
      <c r="H696" s="22">
        <v>3.2755708625219E13</v>
      </c>
      <c r="I696" s="25"/>
      <c r="J696" s="25"/>
      <c r="K696" s="22">
        <v>4.2085703549171E13</v>
      </c>
      <c r="L696" s="25"/>
      <c r="M696" s="25"/>
      <c r="N696" s="22" t="s">
        <v>10410</v>
      </c>
      <c r="O696" s="22" t="s">
        <v>5619</v>
      </c>
      <c r="P696" s="22" t="s">
        <v>10410</v>
      </c>
      <c r="Q696" s="22" t="s">
        <v>5619</v>
      </c>
      <c r="R696" s="22" t="s">
        <v>10411</v>
      </c>
      <c r="S696" s="25"/>
      <c r="T696" s="40" t="s">
        <v>10412</v>
      </c>
      <c r="U696" s="22" t="s">
        <v>10413</v>
      </c>
      <c r="V696" s="25"/>
      <c r="W696" s="22" t="s">
        <v>10414</v>
      </c>
      <c r="X696" s="22" t="s">
        <v>8289</v>
      </c>
      <c r="Y696" s="25"/>
      <c r="Z696" s="25"/>
      <c r="AA696" s="22" t="s">
        <v>8129</v>
      </c>
      <c r="AB696" s="22" t="s">
        <v>8130</v>
      </c>
      <c r="AC696" s="25"/>
      <c r="AD696" s="22" t="s">
        <v>8131</v>
      </c>
      <c r="AE696" s="22" t="s">
        <v>8132</v>
      </c>
      <c r="AF696" s="25"/>
      <c r="AG696" s="22">
        <v>1.0460722659651E13</v>
      </c>
      <c r="AH696" s="22" t="s">
        <v>90</v>
      </c>
      <c r="AI696" s="22">
        <v>7.390896226627E12</v>
      </c>
      <c r="AJ696" s="25"/>
      <c r="AK696" s="25"/>
      <c r="AL696" s="22" t="s">
        <v>8133</v>
      </c>
      <c r="AQ696" s="32" t="s">
        <v>8135</v>
      </c>
      <c r="AR696" s="32" t="b">
        <v>0</v>
      </c>
      <c r="AS696" s="32" t="b">
        <v>0</v>
      </c>
    </row>
    <row r="697">
      <c r="A697" s="21" t="s">
        <v>10409</v>
      </c>
      <c r="B697" s="25"/>
      <c r="C697" s="25"/>
      <c r="D697" s="22" t="s">
        <v>8175</v>
      </c>
      <c r="E697" s="25"/>
      <c r="F697" s="22" t="s">
        <v>8136</v>
      </c>
      <c r="G697" s="25"/>
      <c r="H697" s="22">
        <v>9.515991466307E12</v>
      </c>
      <c r="I697" s="25"/>
      <c r="J697" s="25"/>
      <c r="K697" s="25"/>
      <c r="L697" s="25"/>
      <c r="M697" s="25"/>
      <c r="N697" s="22" t="s">
        <v>10410</v>
      </c>
      <c r="O697" s="22" t="s">
        <v>5619</v>
      </c>
      <c r="P697" s="22" t="s">
        <v>10410</v>
      </c>
      <c r="Q697" s="22" t="s">
        <v>5619</v>
      </c>
      <c r="R697" s="22" t="s">
        <v>10411</v>
      </c>
      <c r="S697" s="25"/>
      <c r="T697" s="40" t="s">
        <v>10412</v>
      </c>
      <c r="U697" s="22" t="s">
        <v>10413</v>
      </c>
      <c r="V697" s="25"/>
      <c r="W697" s="22" t="s">
        <v>10414</v>
      </c>
      <c r="X697" s="22" t="s">
        <v>8289</v>
      </c>
      <c r="Y697" s="25"/>
      <c r="Z697" s="25"/>
      <c r="AA697" s="22" t="s">
        <v>8129</v>
      </c>
      <c r="AB697" s="22" t="s">
        <v>8130</v>
      </c>
      <c r="AC697" s="25"/>
      <c r="AD697" s="25"/>
      <c r="AE697" s="22" t="s">
        <v>8132</v>
      </c>
      <c r="AF697" s="25"/>
      <c r="AG697" s="22">
        <v>1.0460722659651E13</v>
      </c>
      <c r="AH697" s="22" t="s">
        <v>8137</v>
      </c>
      <c r="AI697" s="22">
        <v>7.390896226627E12</v>
      </c>
      <c r="AJ697" s="25"/>
      <c r="AK697" s="25"/>
      <c r="AL697" s="22" t="s">
        <v>8136</v>
      </c>
      <c r="AR697" s="32" t="b">
        <v>0</v>
      </c>
      <c r="AS697" s="32" t="b">
        <v>0</v>
      </c>
    </row>
    <row r="698">
      <c r="A698" s="21" t="s">
        <v>10415</v>
      </c>
      <c r="B698" s="22" t="s">
        <v>8370</v>
      </c>
      <c r="C698" s="22">
        <v>1.0</v>
      </c>
      <c r="D698" s="22" t="s">
        <v>8221</v>
      </c>
      <c r="E698" s="22" t="s">
        <v>8370</v>
      </c>
      <c r="F698" s="22" t="s">
        <v>8155</v>
      </c>
      <c r="G698" s="25"/>
      <c r="H698" s="22">
        <v>3.2755767836995E13</v>
      </c>
      <c r="I698" s="25"/>
      <c r="J698" s="25"/>
      <c r="K698" s="22">
        <v>4.9521175494979E13</v>
      </c>
      <c r="L698" s="25"/>
      <c r="M698" s="25"/>
      <c r="N698" s="22" t="s">
        <v>4971</v>
      </c>
      <c r="O698" s="22" t="s">
        <v>10416</v>
      </c>
      <c r="P698" s="22" t="s">
        <v>4971</v>
      </c>
      <c r="Q698" s="22" t="s">
        <v>10416</v>
      </c>
      <c r="R698" s="22" t="s">
        <v>10417</v>
      </c>
      <c r="S698" s="25"/>
      <c r="T698" s="40" t="s">
        <v>10418</v>
      </c>
      <c r="U698" s="22" t="s">
        <v>10419</v>
      </c>
      <c r="V698" s="25"/>
      <c r="W698" s="22" t="s">
        <v>10420</v>
      </c>
      <c r="X698" s="22" t="s">
        <v>8242</v>
      </c>
      <c r="Y698" s="25"/>
      <c r="Z698" s="25"/>
      <c r="AA698" s="22" t="s">
        <v>8129</v>
      </c>
      <c r="AB698" s="22" t="s">
        <v>8130</v>
      </c>
      <c r="AC698" s="25"/>
      <c r="AD698" s="22" t="s">
        <v>8161</v>
      </c>
      <c r="AE698" s="22" t="s">
        <v>8132</v>
      </c>
      <c r="AF698" s="25"/>
      <c r="AG698" s="22">
        <v>1.0460751233347E13</v>
      </c>
      <c r="AH698" s="22" t="s">
        <v>90</v>
      </c>
      <c r="AI698" s="22">
        <v>2.3427584491843E13</v>
      </c>
      <c r="AJ698" s="25"/>
      <c r="AK698" s="25"/>
      <c r="AL698" s="22" t="s">
        <v>8138</v>
      </c>
      <c r="AQ698" s="32" t="s">
        <v>91</v>
      </c>
      <c r="AR698" s="32" t="b">
        <v>0</v>
      </c>
      <c r="AS698" s="32" t="b">
        <v>1</v>
      </c>
    </row>
    <row r="699">
      <c r="A699" s="21" t="s">
        <v>10415</v>
      </c>
      <c r="B699" s="25"/>
      <c r="C699" s="25"/>
      <c r="D699" s="22" t="s">
        <v>8221</v>
      </c>
      <c r="E699" s="25"/>
      <c r="F699" s="22" t="s">
        <v>8149</v>
      </c>
      <c r="G699" s="25"/>
      <c r="H699" s="22">
        <v>9.516018401603E12</v>
      </c>
      <c r="I699" s="25"/>
      <c r="J699" s="25"/>
      <c r="K699" s="25"/>
      <c r="L699" s="25"/>
      <c r="M699" s="25"/>
      <c r="N699" s="22" t="s">
        <v>4971</v>
      </c>
      <c r="O699" s="22" t="s">
        <v>10416</v>
      </c>
      <c r="P699" s="22" t="s">
        <v>4971</v>
      </c>
      <c r="Q699" s="22" t="s">
        <v>10416</v>
      </c>
      <c r="R699" s="22" t="s">
        <v>10417</v>
      </c>
      <c r="S699" s="25"/>
      <c r="T699" s="40" t="s">
        <v>10418</v>
      </c>
      <c r="U699" s="22" t="s">
        <v>10419</v>
      </c>
      <c r="V699" s="25"/>
      <c r="W699" s="22" t="s">
        <v>10420</v>
      </c>
      <c r="X699" s="22" t="s">
        <v>8242</v>
      </c>
      <c r="Y699" s="25"/>
      <c r="Z699" s="25"/>
      <c r="AA699" s="22" t="s">
        <v>8129</v>
      </c>
      <c r="AB699" s="22" t="s">
        <v>8130</v>
      </c>
      <c r="AC699" s="25"/>
      <c r="AD699" s="25"/>
      <c r="AE699" s="22" t="s">
        <v>8132</v>
      </c>
      <c r="AF699" s="25"/>
      <c r="AG699" s="22">
        <v>1.0460751233347E13</v>
      </c>
      <c r="AH699" s="22" t="s">
        <v>8137</v>
      </c>
      <c r="AI699" s="22">
        <v>2.3427584491843E13</v>
      </c>
      <c r="AJ699" s="25"/>
      <c r="AK699" s="25"/>
      <c r="AL699" s="22" t="s">
        <v>8149</v>
      </c>
      <c r="AR699" s="32" t="b">
        <v>0</v>
      </c>
      <c r="AS699" s="32" t="b">
        <v>0</v>
      </c>
    </row>
    <row r="700">
      <c r="A700" s="21" t="s">
        <v>10421</v>
      </c>
      <c r="B700" s="22" t="s">
        <v>8140</v>
      </c>
      <c r="C700" s="22">
        <v>1.0</v>
      </c>
      <c r="D700" s="22" t="s">
        <v>8203</v>
      </c>
      <c r="E700" s="22" t="s">
        <v>8140</v>
      </c>
      <c r="F700" s="22" t="s">
        <v>8121</v>
      </c>
      <c r="G700" s="25"/>
      <c r="H700" s="22">
        <v>3.2756405961027E13</v>
      </c>
      <c r="I700" s="25"/>
      <c r="J700" s="25"/>
      <c r="K700" s="22">
        <v>4.2085703581939E13</v>
      </c>
      <c r="L700" s="25"/>
      <c r="M700" s="25"/>
      <c r="N700" s="22" t="s">
        <v>10422</v>
      </c>
      <c r="O700" s="22" t="s">
        <v>10423</v>
      </c>
      <c r="P700" s="22" t="s">
        <v>10422</v>
      </c>
      <c r="Q700" s="22" t="s">
        <v>10423</v>
      </c>
      <c r="R700" s="22" t="s">
        <v>10424</v>
      </c>
      <c r="S700" s="25"/>
      <c r="T700" s="40" t="s">
        <v>10425</v>
      </c>
      <c r="U700" s="22" t="s">
        <v>10426</v>
      </c>
      <c r="V700" s="25"/>
      <c r="W700" s="22" t="s">
        <v>10427</v>
      </c>
      <c r="X700" s="22" t="s">
        <v>8380</v>
      </c>
      <c r="Y700" s="25"/>
      <c r="Z700" s="25"/>
      <c r="AA700" s="22" t="s">
        <v>8129</v>
      </c>
      <c r="AB700" s="22" t="s">
        <v>8130</v>
      </c>
      <c r="AC700" s="25"/>
      <c r="AD700" s="22" t="s">
        <v>8131</v>
      </c>
      <c r="AE700" s="22" t="s">
        <v>8132</v>
      </c>
      <c r="AF700" s="25"/>
      <c r="AG700" s="22">
        <v>1.0461068067139E13</v>
      </c>
      <c r="AH700" s="22" t="s">
        <v>90</v>
      </c>
      <c r="AI700" s="22">
        <v>7.488568000835E12</v>
      </c>
      <c r="AJ700" s="25"/>
      <c r="AK700" s="25"/>
      <c r="AL700" s="22" t="s">
        <v>8134</v>
      </c>
      <c r="AQ700" s="32" t="s">
        <v>8150</v>
      </c>
      <c r="AR700" s="32" t="b">
        <v>0</v>
      </c>
      <c r="AS700" s="32" t="b">
        <v>0</v>
      </c>
    </row>
    <row r="701">
      <c r="A701" s="21" t="s">
        <v>10421</v>
      </c>
      <c r="B701" s="25"/>
      <c r="C701" s="25"/>
      <c r="D701" s="22" t="s">
        <v>8203</v>
      </c>
      <c r="E701" s="25"/>
      <c r="F701" s="22" t="s">
        <v>8136</v>
      </c>
      <c r="G701" s="25"/>
      <c r="H701" s="22">
        <v>9.516300927299E12</v>
      </c>
      <c r="I701" s="25"/>
      <c r="J701" s="25"/>
      <c r="K701" s="25"/>
      <c r="L701" s="25"/>
      <c r="M701" s="25"/>
      <c r="N701" s="22" t="s">
        <v>10422</v>
      </c>
      <c r="O701" s="22" t="s">
        <v>10423</v>
      </c>
      <c r="P701" s="22" t="s">
        <v>10422</v>
      </c>
      <c r="Q701" s="22" t="s">
        <v>10423</v>
      </c>
      <c r="R701" s="22" t="s">
        <v>10424</v>
      </c>
      <c r="S701" s="25"/>
      <c r="T701" s="40" t="s">
        <v>10425</v>
      </c>
      <c r="U701" s="22" t="s">
        <v>10426</v>
      </c>
      <c r="V701" s="25"/>
      <c r="W701" s="22" t="s">
        <v>10427</v>
      </c>
      <c r="X701" s="22" t="s">
        <v>8380</v>
      </c>
      <c r="Y701" s="25"/>
      <c r="Z701" s="25"/>
      <c r="AA701" s="22" t="s">
        <v>8129</v>
      </c>
      <c r="AB701" s="22" t="s">
        <v>8130</v>
      </c>
      <c r="AC701" s="25"/>
      <c r="AD701" s="25"/>
      <c r="AE701" s="22" t="s">
        <v>8132</v>
      </c>
      <c r="AF701" s="25"/>
      <c r="AG701" s="22">
        <v>1.0461068067139E13</v>
      </c>
      <c r="AH701" s="22" t="s">
        <v>8137</v>
      </c>
      <c r="AI701" s="22">
        <v>7.488568000835E12</v>
      </c>
      <c r="AJ701" s="25"/>
      <c r="AK701" s="25"/>
      <c r="AL701" s="22" t="s">
        <v>8136</v>
      </c>
      <c r="AR701" s="32" t="b">
        <v>0</v>
      </c>
      <c r="AS701" s="32" t="b">
        <v>0</v>
      </c>
    </row>
    <row r="702">
      <c r="A702" s="21" t="s">
        <v>10428</v>
      </c>
      <c r="B702" s="22" t="s">
        <v>8467</v>
      </c>
      <c r="C702" s="22">
        <v>1.0</v>
      </c>
      <c r="D702" s="22" t="s">
        <v>8501</v>
      </c>
      <c r="E702" s="22" t="s">
        <v>8467</v>
      </c>
      <c r="F702" s="22" t="s">
        <v>8155</v>
      </c>
      <c r="G702" s="25"/>
      <c r="H702" s="22">
        <v>3.2756775059779E13</v>
      </c>
      <c r="I702" s="25"/>
      <c r="J702" s="25"/>
      <c r="K702" s="22">
        <v>4.9521175462211E13</v>
      </c>
      <c r="L702" s="25"/>
      <c r="M702" s="25"/>
      <c r="N702" s="22" t="s">
        <v>3901</v>
      </c>
      <c r="O702" s="22" t="s">
        <v>10429</v>
      </c>
      <c r="P702" s="22" t="s">
        <v>3901</v>
      </c>
      <c r="Q702" s="22" t="s">
        <v>10429</v>
      </c>
      <c r="R702" s="22" t="s">
        <v>10430</v>
      </c>
      <c r="S702" s="22" t="s">
        <v>10431</v>
      </c>
      <c r="T702" s="40" t="s">
        <v>10432</v>
      </c>
      <c r="U702" s="22" t="s">
        <v>10433</v>
      </c>
      <c r="V702" s="25"/>
      <c r="W702" s="22" t="s">
        <v>10434</v>
      </c>
      <c r="X702" s="22" t="s">
        <v>10435</v>
      </c>
      <c r="Y702" s="25"/>
      <c r="Z702" s="25"/>
      <c r="AA702" s="22" t="s">
        <v>8129</v>
      </c>
      <c r="AB702" s="22" t="s">
        <v>8130</v>
      </c>
      <c r="AC702" s="25"/>
      <c r="AD702" s="22" t="s">
        <v>8161</v>
      </c>
      <c r="AE702" s="22" t="s">
        <v>8132</v>
      </c>
      <c r="AF702" s="25"/>
      <c r="AG702" s="22">
        <v>1.0461234692419E13</v>
      </c>
      <c r="AH702" s="22" t="s">
        <v>90</v>
      </c>
      <c r="AI702" s="22">
        <v>2.3428089479491E13</v>
      </c>
      <c r="AJ702" s="25"/>
      <c r="AK702" s="25"/>
      <c r="AL702" s="22" t="s">
        <v>8173</v>
      </c>
      <c r="AQ702" s="32" t="s">
        <v>55</v>
      </c>
      <c r="AR702" s="32" t="b">
        <v>0</v>
      </c>
      <c r="AS702" s="32" t="b">
        <v>1</v>
      </c>
    </row>
    <row r="703">
      <c r="A703" s="21" t="s">
        <v>10428</v>
      </c>
      <c r="B703" s="25"/>
      <c r="C703" s="25"/>
      <c r="D703" s="22" t="s">
        <v>8501</v>
      </c>
      <c r="E703" s="25"/>
      <c r="F703" s="22" t="s">
        <v>8149</v>
      </c>
      <c r="G703" s="25"/>
      <c r="H703" s="22">
        <v>9.516438454595E12</v>
      </c>
      <c r="I703" s="25"/>
      <c r="J703" s="25"/>
      <c r="K703" s="25"/>
      <c r="L703" s="25"/>
      <c r="M703" s="25"/>
      <c r="N703" s="22" t="s">
        <v>3901</v>
      </c>
      <c r="O703" s="22" t="s">
        <v>10429</v>
      </c>
      <c r="P703" s="22" t="s">
        <v>3901</v>
      </c>
      <c r="Q703" s="22" t="s">
        <v>10429</v>
      </c>
      <c r="R703" s="22" t="s">
        <v>10430</v>
      </c>
      <c r="S703" s="22" t="s">
        <v>10431</v>
      </c>
      <c r="T703" s="40" t="s">
        <v>10432</v>
      </c>
      <c r="U703" s="22" t="s">
        <v>10433</v>
      </c>
      <c r="V703" s="25"/>
      <c r="W703" s="22" t="s">
        <v>10434</v>
      </c>
      <c r="X703" s="22" t="s">
        <v>10435</v>
      </c>
      <c r="Y703" s="25"/>
      <c r="Z703" s="25"/>
      <c r="AA703" s="22" t="s">
        <v>8129</v>
      </c>
      <c r="AB703" s="22" t="s">
        <v>8130</v>
      </c>
      <c r="AC703" s="25"/>
      <c r="AD703" s="25"/>
      <c r="AE703" s="22" t="s">
        <v>8132</v>
      </c>
      <c r="AF703" s="25"/>
      <c r="AG703" s="22">
        <v>1.0461234692419E13</v>
      </c>
      <c r="AH703" s="22" t="s">
        <v>8137</v>
      </c>
      <c r="AI703" s="22">
        <v>2.3428089479491E13</v>
      </c>
      <c r="AJ703" s="25"/>
      <c r="AK703" s="25"/>
      <c r="AL703" s="22" t="s">
        <v>8149</v>
      </c>
      <c r="AR703" s="32" t="b">
        <v>0</v>
      </c>
      <c r="AS703" s="32" t="b">
        <v>0</v>
      </c>
    </row>
    <row r="704">
      <c r="A704" s="21" t="s">
        <v>10436</v>
      </c>
      <c r="B704" s="22" t="s">
        <v>8140</v>
      </c>
      <c r="C704" s="22">
        <v>1.0</v>
      </c>
      <c r="D704" s="22" t="s">
        <v>8278</v>
      </c>
      <c r="E704" s="22" t="s">
        <v>8140</v>
      </c>
      <c r="F704" s="22" t="s">
        <v>8121</v>
      </c>
      <c r="G704" s="25"/>
      <c r="H704" s="22">
        <v>3.2756820705603E13</v>
      </c>
      <c r="I704" s="25"/>
      <c r="J704" s="25"/>
      <c r="K704" s="22">
        <v>4.2085703581939E13</v>
      </c>
      <c r="L704" s="25"/>
      <c r="M704" s="25"/>
      <c r="N704" s="22" t="s">
        <v>10437</v>
      </c>
      <c r="O704" s="22" t="s">
        <v>10438</v>
      </c>
      <c r="P704" s="22" t="s">
        <v>10437</v>
      </c>
      <c r="Q704" s="22" t="s">
        <v>10438</v>
      </c>
      <c r="R704" s="22" t="s">
        <v>10439</v>
      </c>
      <c r="S704" s="25"/>
      <c r="T704" s="40" t="s">
        <v>10440</v>
      </c>
      <c r="U704" s="22" t="s">
        <v>10441</v>
      </c>
      <c r="V704" s="25"/>
      <c r="W704" s="22" t="s">
        <v>10442</v>
      </c>
      <c r="X704" s="22" t="s">
        <v>8251</v>
      </c>
      <c r="Y704" s="25"/>
      <c r="Z704" s="25"/>
      <c r="AA704" s="22" t="s">
        <v>8129</v>
      </c>
      <c r="AB704" s="22" t="s">
        <v>8130</v>
      </c>
      <c r="AC704" s="25"/>
      <c r="AD704" s="22" t="s">
        <v>8131</v>
      </c>
      <c r="AE704" s="22" t="s">
        <v>8132</v>
      </c>
      <c r="AF704" s="25"/>
      <c r="AG704" s="22">
        <v>1.0461256057155E13</v>
      </c>
      <c r="AH704" s="22" t="s">
        <v>90</v>
      </c>
      <c r="AI704" s="22">
        <v>2.3428115497283E13</v>
      </c>
      <c r="AJ704" s="25"/>
      <c r="AK704" s="25"/>
      <c r="AL704" s="22" t="s">
        <v>8134</v>
      </c>
      <c r="AQ704" s="32" t="s">
        <v>8150</v>
      </c>
      <c r="AR704" s="32" t="b">
        <v>0</v>
      </c>
      <c r="AS704" s="32" t="b">
        <v>0</v>
      </c>
    </row>
    <row r="705">
      <c r="A705" s="21" t="s">
        <v>10436</v>
      </c>
      <c r="B705" s="25"/>
      <c r="C705" s="25"/>
      <c r="D705" s="22" t="s">
        <v>8278</v>
      </c>
      <c r="E705" s="25"/>
      <c r="F705" s="22" t="s">
        <v>8136</v>
      </c>
      <c r="G705" s="25"/>
      <c r="H705" s="22">
        <v>9.516455887171E12</v>
      </c>
      <c r="I705" s="25"/>
      <c r="J705" s="25"/>
      <c r="K705" s="25"/>
      <c r="L705" s="25"/>
      <c r="M705" s="25"/>
      <c r="N705" s="22" t="s">
        <v>10437</v>
      </c>
      <c r="O705" s="22" t="s">
        <v>10438</v>
      </c>
      <c r="P705" s="22" t="s">
        <v>10437</v>
      </c>
      <c r="Q705" s="22" t="s">
        <v>10438</v>
      </c>
      <c r="R705" s="22" t="s">
        <v>10439</v>
      </c>
      <c r="S705" s="25"/>
      <c r="T705" s="40" t="s">
        <v>10440</v>
      </c>
      <c r="U705" s="22" t="s">
        <v>10441</v>
      </c>
      <c r="V705" s="25"/>
      <c r="W705" s="22" t="s">
        <v>10442</v>
      </c>
      <c r="X705" s="22" t="s">
        <v>8251</v>
      </c>
      <c r="Y705" s="25"/>
      <c r="Z705" s="25"/>
      <c r="AA705" s="22" t="s">
        <v>8129</v>
      </c>
      <c r="AB705" s="22" t="s">
        <v>8130</v>
      </c>
      <c r="AC705" s="25"/>
      <c r="AD705" s="25"/>
      <c r="AE705" s="22" t="s">
        <v>8132</v>
      </c>
      <c r="AF705" s="25"/>
      <c r="AG705" s="22">
        <v>1.0461256057155E13</v>
      </c>
      <c r="AH705" s="22" t="s">
        <v>8137</v>
      </c>
      <c r="AI705" s="22">
        <v>2.3428115497283E13</v>
      </c>
      <c r="AJ705" s="25"/>
      <c r="AK705" s="25"/>
      <c r="AL705" s="22" t="s">
        <v>8136</v>
      </c>
      <c r="AR705" s="32" t="b">
        <v>0</v>
      </c>
      <c r="AS705" s="32" t="b">
        <v>0</v>
      </c>
    </row>
    <row r="706">
      <c r="A706" s="21" t="s">
        <v>10443</v>
      </c>
      <c r="B706" s="22" t="s">
        <v>8140</v>
      </c>
      <c r="C706" s="22">
        <v>1.0</v>
      </c>
      <c r="D706" s="22" t="s">
        <v>8278</v>
      </c>
      <c r="E706" s="22" t="s">
        <v>8140</v>
      </c>
      <c r="F706" s="22" t="s">
        <v>8121</v>
      </c>
      <c r="G706" s="25"/>
      <c r="H706" s="22">
        <v>3.2756899348803E13</v>
      </c>
      <c r="I706" s="25"/>
      <c r="J706" s="25"/>
      <c r="K706" s="22">
        <v>4.2085703581939E13</v>
      </c>
      <c r="L706" s="25"/>
      <c r="M706" s="25"/>
      <c r="N706" s="22" t="s">
        <v>4334</v>
      </c>
      <c r="O706" s="22" t="s">
        <v>4078</v>
      </c>
      <c r="P706" s="22" t="s">
        <v>4334</v>
      </c>
      <c r="Q706" s="22" t="s">
        <v>4078</v>
      </c>
      <c r="R706" s="22" t="s">
        <v>10444</v>
      </c>
      <c r="S706" s="25"/>
      <c r="T706" s="40" t="s">
        <v>10445</v>
      </c>
      <c r="U706" s="22" t="s">
        <v>10446</v>
      </c>
      <c r="V706" s="25"/>
      <c r="W706" s="22" t="s">
        <v>10447</v>
      </c>
      <c r="X706" s="22" t="s">
        <v>8251</v>
      </c>
      <c r="Y706" s="25"/>
      <c r="Z706" s="25"/>
      <c r="AA706" s="22" t="s">
        <v>8129</v>
      </c>
      <c r="AB706" s="22" t="s">
        <v>8130</v>
      </c>
      <c r="AC706" s="25"/>
      <c r="AD706" s="22" t="s">
        <v>8131</v>
      </c>
      <c r="AE706" s="22" t="s">
        <v>8132</v>
      </c>
      <c r="AF706" s="25"/>
      <c r="AG706" s="22">
        <v>1.0461292003651E13</v>
      </c>
      <c r="AH706" s="22" t="s">
        <v>90</v>
      </c>
      <c r="AI706" s="22">
        <v>2.3428155769155E13</v>
      </c>
      <c r="AJ706" s="25"/>
      <c r="AK706" s="25"/>
      <c r="AL706" s="22" t="s">
        <v>8134</v>
      </c>
      <c r="AQ706" s="32" t="s">
        <v>8150</v>
      </c>
      <c r="AR706" s="32" t="b">
        <v>0</v>
      </c>
      <c r="AS706" s="32" t="b">
        <v>0</v>
      </c>
    </row>
    <row r="707">
      <c r="A707" s="21" t="s">
        <v>10443</v>
      </c>
      <c r="B707" s="25"/>
      <c r="C707" s="25"/>
      <c r="D707" s="22" t="s">
        <v>8278</v>
      </c>
      <c r="E707" s="25"/>
      <c r="F707" s="22" t="s">
        <v>8136</v>
      </c>
      <c r="G707" s="25"/>
      <c r="H707" s="22">
        <v>9.516485837123E12</v>
      </c>
      <c r="I707" s="25"/>
      <c r="J707" s="25"/>
      <c r="K707" s="25"/>
      <c r="L707" s="25"/>
      <c r="M707" s="25"/>
      <c r="N707" s="22" t="s">
        <v>4334</v>
      </c>
      <c r="O707" s="22" t="s">
        <v>4078</v>
      </c>
      <c r="P707" s="22" t="s">
        <v>4334</v>
      </c>
      <c r="Q707" s="22" t="s">
        <v>4078</v>
      </c>
      <c r="R707" s="22" t="s">
        <v>10444</v>
      </c>
      <c r="S707" s="25"/>
      <c r="T707" s="40" t="s">
        <v>10445</v>
      </c>
      <c r="U707" s="22" t="s">
        <v>10446</v>
      </c>
      <c r="V707" s="25"/>
      <c r="W707" s="22" t="s">
        <v>10447</v>
      </c>
      <c r="X707" s="22" t="s">
        <v>8251</v>
      </c>
      <c r="Y707" s="25"/>
      <c r="Z707" s="25"/>
      <c r="AA707" s="22" t="s">
        <v>8129</v>
      </c>
      <c r="AB707" s="22" t="s">
        <v>8130</v>
      </c>
      <c r="AC707" s="25"/>
      <c r="AD707" s="25"/>
      <c r="AE707" s="22" t="s">
        <v>8132</v>
      </c>
      <c r="AF707" s="25"/>
      <c r="AG707" s="22">
        <v>1.0461292003651E13</v>
      </c>
      <c r="AH707" s="22" t="s">
        <v>8137</v>
      </c>
      <c r="AI707" s="22">
        <v>2.3428155769155E13</v>
      </c>
      <c r="AJ707" s="25"/>
      <c r="AK707" s="25"/>
      <c r="AL707" s="22" t="s">
        <v>8136</v>
      </c>
      <c r="AR707" s="32" t="b">
        <v>0</v>
      </c>
      <c r="AS707" s="32" t="b">
        <v>0</v>
      </c>
    </row>
    <row r="708">
      <c r="A708" s="21" t="s">
        <v>10448</v>
      </c>
      <c r="B708" s="22" t="s">
        <v>8140</v>
      </c>
      <c r="C708" s="22">
        <v>1.0</v>
      </c>
      <c r="D708" s="22" t="s">
        <v>8968</v>
      </c>
      <c r="E708" s="22" t="s">
        <v>8140</v>
      </c>
      <c r="F708" s="22" t="s">
        <v>8121</v>
      </c>
      <c r="G708" s="25"/>
      <c r="H708" s="22">
        <v>3.2757566964035E13</v>
      </c>
      <c r="I708" s="25"/>
      <c r="J708" s="25"/>
      <c r="K708" s="22">
        <v>4.2085703581939E13</v>
      </c>
      <c r="L708" s="25"/>
      <c r="M708" s="25"/>
      <c r="N708" s="22" t="s">
        <v>4568</v>
      </c>
      <c r="O708" s="22" t="s">
        <v>9295</v>
      </c>
      <c r="P708" s="22" t="s">
        <v>4568</v>
      </c>
      <c r="Q708" s="22" t="s">
        <v>9295</v>
      </c>
      <c r="R708" s="22" t="s">
        <v>10449</v>
      </c>
      <c r="S708" s="25"/>
      <c r="T708" s="40" t="s">
        <v>10450</v>
      </c>
      <c r="U708" s="22" t="s">
        <v>10451</v>
      </c>
      <c r="V708" s="25"/>
      <c r="W708" s="22" t="s">
        <v>10452</v>
      </c>
      <c r="X708" s="22" t="s">
        <v>10453</v>
      </c>
      <c r="Y708" s="25"/>
      <c r="Z708" s="25"/>
      <c r="AA708" s="22" t="s">
        <v>8129</v>
      </c>
      <c r="AB708" s="22" t="s">
        <v>8130</v>
      </c>
      <c r="AC708" s="25"/>
      <c r="AD708" s="22" t="s">
        <v>8131</v>
      </c>
      <c r="AE708" s="22" t="s">
        <v>8132</v>
      </c>
      <c r="AF708" s="25"/>
      <c r="AG708" s="22">
        <v>1.0461601235267E13</v>
      </c>
      <c r="AH708" s="22" t="s">
        <v>90</v>
      </c>
      <c r="AI708" s="22">
        <v>2.3428493476163E13</v>
      </c>
      <c r="AJ708" s="25"/>
      <c r="AK708" s="25"/>
      <c r="AL708" s="22" t="s">
        <v>8134</v>
      </c>
      <c r="AQ708" s="32" t="s">
        <v>8150</v>
      </c>
      <c r="AR708" s="32" t="b">
        <v>0</v>
      </c>
      <c r="AS708" s="32" t="b">
        <v>0</v>
      </c>
    </row>
    <row r="709">
      <c r="A709" s="21" t="s">
        <v>10448</v>
      </c>
      <c r="B709" s="25"/>
      <c r="C709" s="25"/>
      <c r="D709" s="22" t="s">
        <v>8968</v>
      </c>
      <c r="E709" s="25"/>
      <c r="F709" s="22" t="s">
        <v>8136</v>
      </c>
      <c r="G709" s="25"/>
      <c r="H709" s="22">
        <v>9.516738707779E12</v>
      </c>
      <c r="I709" s="25"/>
      <c r="J709" s="25"/>
      <c r="K709" s="25"/>
      <c r="L709" s="25"/>
      <c r="M709" s="25"/>
      <c r="N709" s="22" t="s">
        <v>4568</v>
      </c>
      <c r="O709" s="22" t="s">
        <v>9295</v>
      </c>
      <c r="P709" s="22" t="s">
        <v>4568</v>
      </c>
      <c r="Q709" s="22" t="s">
        <v>9295</v>
      </c>
      <c r="R709" s="22" t="s">
        <v>10449</v>
      </c>
      <c r="S709" s="25"/>
      <c r="T709" s="40" t="s">
        <v>10450</v>
      </c>
      <c r="U709" s="22" t="s">
        <v>10451</v>
      </c>
      <c r="V709" s="25"/>
      <c r="W709" s="22" t="s">
        <v>10452</v>
      </c>
      <c r="X709" s="22" t="s">
        <v>10453</v>
      </c>
      <c r="Y709" s="25"/>
      <c r="Z709" s="25"/>
      <c r="AA709" s="22" t="s">
        <v>8129</v>
      </c>
      <c r="AB709" s="22" t="s">
        <v>8130</v>
      </c>
      <c r="AC709" s="25"/>
      <c r="AD709" s="25"/>
      <c r="AE709" s="22" t="s">
        <v>8132</v>
      </c>
      <c r="AF709" s="25"/>
      <c r="AG709" s="22">
        <v>1.0461601235267E13</v>
      </c>
      <c r="AH709" s="22" t="s">
        <v>8137</v>
      </c>
      <c r="AI709" s="22">
        <v>2.3428493476163E13</v>
      </c>
      <c r="AJ709" s="25"/>
      <c r="AK709" s="25"/>
      <c r="AL709" s="22" t="s">
        <v>8136</v>
      </c>
      <c r="AR709" s="32" t="b">
        <v>0</v>
      </c>
      <c r="AS709" s="32" t="b">
        <v>0</v>
      </c>
    </row>
    <row r="710">
      <c r="A710" s="21" t="s">
        <v>10454</v>
      </c>
      <c r="B710" s="22" t="s">
        <v>8370</v>
      </c>
      <c r="C710" s="22">
        <v>1.0</v>
      </c>
      <c r="D710" s="22" t="s">
        <v>8141</v>
      </c>
      <c r="E710" s="22" t="s">
        <v>8370</v>
      </c>
      <c r="F710" s="22" t="s">
        <v>8155</v>
      </c>
      <c r="G710" s="25"/>
      <c r="H710" s="22">
        <v>3.2758140010819E13</v>
      </c>
      <c r="I710" s="25"/>
      <c r="J710" s="25"/>
      <c r="K710" s="22">
        <v>4.9521175494979E13</v>
      </c>
      <c r="L710" s="25"/>
      <c r="M710" s="25"/>
      <c r="N710" s="22" t="s">
        <v>10455</v>
      </c>
      <c r="O710" s="22" t="s">
        <v>10456</v>
      </c>
      <c r="P710" s="22" t="s">
        <v>10455</v>
      </c>
      <c r="Q710" s="22" t="s">
        <v>10456</v>
      </c>
      <c r="R710" s="22" t="s">
        <v>10457</v>
      </c>
      <c r="S710" s="25"/>
      <c r="T710" s="40" t="s">
        <v>10458</v>
      </c>
      <c r="U710" s="22" t="s">
        <v>10459</v>
      </c>
      <c r="V710" s="25"/>
      <c r="W710" s="22" t="s">
        <v>10460</v>
      </c>
      <c r="X710" s="22" t="s">
        <v>8227</v>
      </c>
      <c r="Y710" s="25"/>
      <c r="Z710" s="25"/>
      <c r="AA710" s="22" t="s">
        <v>8129</v>
      </c>
      <c r="AB710" s="22" t="s">
        <v>8130</v>
      </c>
      <c r="AC710" s="25"/>
      <c r="AD710" s="22" t="s">
        <v>8161</v>
      </c>
      <c r="AE710" s="22" t="s">
        <v>8132</v>
      </c>
      <c r="AF710" s="25"/>
      <c r="AG710" s="22">
        <v>1.0461871440195E13</v>
      </c>
      <c r="AH710" s="22" t="s">
        <v>90</v>
      </c>
      <c r="AI710" s="22">
        <v>2.3428810342723E13</v>
      </c>
      <c r="AJ710" s="25"/>
      <c r="AK710" s="25"/>
      <c r="AL710" s="22" t="s">
        <v>8138</v>
      </c>
      <c r="AQ710" s="32" t="s">
        <v>91</v>
      </c>
      <c r="AR710" s="32" t="b">
        <v>0</v>
      </c>
      <c r="AS710" s="32" t="b">
        <v>1</v>
      </c>
    </row>
    <row r="711">
      <c r="A711" s="21" t="s">
        <v>10454</v>
      </c>
      <c r="B711" s="25"/>
      <c r="C711" s="25"/>
      <c r="D711" s="22" t="s">
        <v>8141</v>
      </c>
      <c r="E711" s="25"/>
      <c r="F711" s="22" t="s">
        <v>8149</v>
      </c>
      <c r="G711" s="25"/>
      <c r="H711" s="22">
        <v>9.516980207939E12</v>
      </c>
      <c r="I711" s="25"/>
      <c r="J711" s="25"/>
      <c r="K711" s="25"/>
      <c r="L711" s="25"/>
      <c r="M711" s="25"/>
      <c r="N711" s="22" t="s">
        <v>10455</v>
      </c>
      <c r="O711" s="22" t="s">
        <v>10456</v>
      </c>
      <c r="P711" s="22" t="s">
        <v>10455</v>
      </c>
      <c r="Q711" s="22" t="s">
        <v>10456</v>
      </c>
      <c r="R711" s="22" t="s">
        <v>10457</v>
      </c>
      <c r="S711" s="25"/>
      <c r="T711" s="40" t="s">
        <v>10458</v>
      </c>
      <c r="U711" s="22" t="s">
        <v>10459</v>
      </c>
      <c r="V711" s="25"/>
      <c r="W711" s="22" t="s">
        <v>10460</v>
      </c>
      <c r="X711" s="22" t="s">
        <v>8227</v>
      </c>
      <c r="Y711" s="25"/>
      <c r="Z711" s="25"/>
      <c r="AA711" s="22" t="s">
        <v>8129</v>
      </c>
      <c r="AB711" s="22" t="s">
        <v>8130</v>
      </c>
      <c r="AC711" s="25"/>
      <c r="AD711" s="25"/>
      <c r="AE711" s="22" t="s">
        <v>8132</v>
      </c>
      <c r="AF711" s="25"/>
      <c r="AG711" s="22">
        <v>1.0461871440195E13</v>
      </c>
      <c r="AH711" s="22" t="s">
        <v>8137</v>
      </c>
      <c r="AI711" s="22">
        <v>2.3428810342723E13</v>
      </c>
      <c r="AJ711" s="25"/>
      <c r="AK711" s="25"/>
      <c r="AL711" s="22" t="s">
        <v>8149</v>
      </c>
      <c r="AR711" s="32" t="b">
        <v>0</v>
      </c>
      <c r="AS711" s="32" t="b">
        <v>0</v>
      </c>
    </row>
    <row r="712">
      <c r="A712" s="21" t="s">
        <v>10461</v>
      </c>
      <c r="B712" s="22" t="s">
        <v>8140</v>
      </c>
      <c r="C712" s="22">
        <v>1.0</v>
      </c>
      <c r="D712" s="22" t="s">
        <v>8305</v>
      </c>
      <c r="E712" s="22" t="s">
        <v>8140</v>
      </c>
      <c r="F712" s="22" t="s">
        <v>8121</v>
      </c>
      <c r="G712" s="25"/>
      <c r="H712" s="22">
        <v>3.2758140043587E13</v>
      </c>
      <c r="I712" s="25"/>
      <c r="J712" s="25"/>
      <c r="K712" s="22">
        <v>4.2085703581939E13</v>
      </c>
      <c r="L712" s="25"/>
      <c r="M712" s="25"/>
      <c r="N712" s="22" t="s">
        <v>10462</v>
      </c>
      <c r="O712" s="22" t="s">
        <v>10463</v>
      </c>
      <c r="P712" s="22" t="s">
        <v>10462</v>
      </c>
      <c r="Q712" s="22" t="s">
        <v>10463</v>
      </c>
      <c r="R712" s="22" t="s">
        <v>10464</v>
      </c>
      <c r="S712" s="25"/>
      <c r="T712" s="40" t="s">
        <v>10465</v>
      </c>
      <c r="U712" s="22" t="s">
        <v>10466</v>
      </c>
      <c r="V712" s="22" t="s">
        <v>10467</v>
      </c>
      <c r="W712" s="22" t="s">
        <v>10468</v>
      </c>
      <c r="X712" s="22" t="s">
        <v>8289</v>
      </c>
      <c r="Y712" s="25"/>
      <c r="Z712" s="25"/>
      <c r="AA712" s="22" t="s">
        <v>8129</v>
      </c>
      <c r="AB712" s="22" t="s">
        <v>8130</v>
      </c>
      <c r="AC712" s="25"/>
      <c r="AD712" s="22" t="s">
        <v>8131</v>
      </c>
      <c r="AE712" s="22" t="s">
        <v>8132</v>
      </c>
      <c r="AF712" s="25"/>
      <c r="AG712" s="22">
        <v>1.0461871472963E13</v>
      </c>
      <c r="AH712" s="22" t="s">
        <v>90</v>
      </c>
      <c r="AI712" s="22">
        <v>8.565414199619E12</v>
      </c>
      <c r="AJ712" s="25"/>
      <c r="AK712" s="25"/>
      <c r="AL712" s="22" t="s">
        <v>8134</v>
      </c>
      <c r="AQ712" s="32" t="s">
        <v>8150</v>
      </c>
      <c r="AR712" s="32" t="b">
        <v>0</v>
      </c>
      <c r="AS712" s="32" t="b">
        <v>0</v>
      </c>
    </row>
    <row r="713">
      <c r="A713" s="21" t="s">
        <v>10461</v>
      </c>
      <c r="B713" s="25"/>
      <c r="C713" s="25"/>
      <c r="D713" s="22" t="s">
        <v>8305</v>
      </c>
      <c r="E713" s="25"/>
      <c r="F713" s="22" t="s">
        <v>8136</v>
      </c>
      <c r="G713" s="25"/>
      <c r="H713" s="22">
        <v>9.516980240707E12</v>
      </c>
      <c r="I713" s="25"/>
      <c r="J713" s="25"/>
      <c r="K713" s="25"/>
      <c r="L713" s="25"/>
      <c r="M713" s="25"/>
      <c r="N713" s="22" t="s">
        <v>10462</v>
      </c>
      <c r="O713" s="22" t="s">
        <v>10463</v>
      </c>
      <c r="P713" s="22" t="s">
        <v>10462</v>
      </c>
      <c r="Q713" s="22" t="s">
        <v>10463</v>
      </c>
      <c r="R713" s="22" t="s">
        <v>10464</v>
      </c>
      <c r="S713" s="25"/>
      <c r="T713" s="40" t="s">
        <v>10465</v>
      </c>
      <c r="U713" s="22" t="s">
        <v>10466</v>
      </c>
      <c r="V713" s="22" t="s">
        <v>10467</v>
      </c>
      <c r="W713" s="22" t="s">
        <v>10468</v>
      </c>
      <c r="X713" s="22" t="s">
        <v>8289</v>
      </c>
      <c r="Y713" s="25"/>
      <c r="Z713" s="25"/>
      <c r="AA713" s="22" t="s">
        <v>8129</v>
      </c>
      <c r="AB713" s="22" t="s">
        <v>8130</v>
      </c>
      <c r="AC713" s="25"/>
      <c r="AD713" s="25"/>
      <c r="AE713" s="22" t="s">
        <v>8132</v>
      </c>
      <c r="AF713" s="25"/>
      <c r="AG713" s="22">
        <v>1.0461871472963E13</v>
      </c>
      <c r="AH713" s="22" t="s">
        <v>8137</v>
      </c>
      <c r="AI713" s="22">
        <v>8.565414199619E12</v>
      </c>
      <c r="AJ713" s="25"/>
      <c r="AK713" s="25"/>
      <c r="AL713" s="22" t="s">
        <v>8136</v>
      </c>
      <c r="AR713" s="32" t="b">
        <v>0</v>
      </c>
      <c r="AS713" s="32" t="b">
        <v>0</v>
      </c>
    </row>
    <row r="714">
      <c r="A714" s="21" t="s">
        <v>10469</v>
      </c>
      <c r="B714" s="22" t="s">
        <v>8119</v>
      </c>
      <c r="C714" s="22">
        <v>1.0</v>
      </c>
      <c r="D714" s="22" t="s">
        <v>8141</v>
      </c>
      <c r="E714" s="22" t="s">
        <v>8119</v>
      </c>
      <c r="F714" s="22" t="s">
        <v>8121</v>
      </c>
      <c r="G714" s="25"/>
      <c r="H714" s="22">
        <v>3.2758183297347E13</v>
      </c>
      <c r="I714" s="25"/>
      <c r="J714" s="25"/>
      <c r="K714" s="22">
        <v>4.2085703549171E13</v>
      </c>
      <c r="L714" s="25"/>
      <c r="M714" s="25"/>
      <c r="N714" s="22" t="s">
        <v>3846</v>
      </c>
      <c r="O714" s="22" t="s">
        <v>10470</v>
      </c>
      <c r="P714" s="22" t="s">
        <v>3846</v>
      </c>
      <c r="Q714" s="22" t="s">
        <v>3884</v>
      </c>
      <c r="R714" s="22" t="s">
        <v>10471</v>
      </c>
      <c r="S714" s="25"/>
      <c r="T714" s="40" t="s">
        <v>10472</v>
      </c>
      <c r="U714" s="22" t="s">
        <v>10473</v>
      </c>
      <c r="V714" s="25"/>
      <c r="W714" s="22" t="s">
        <v>10474</v>
      </c>
      <c r="X714" s="22" t="s">
        <v>8289</v>
      </c>
      <c r="Y714" s="25"/>
      <c r="Z714" s="25"/>
      <c r="AA714" s="22" t="s">
        <v>8129</v>
      </c>
      <c r="AB714" s="22" t="s">
        <v>8130</v>
      </c>
      <c r="AC714" s="25"/>
      <c r="AD714" s="22" t="s">
        <v>8131</v>
      </c>
      <c r="AE714" s="22" t="s">
        <v>8132</v>
      </c>
      <c r="AF714" s="25"/>
      <c r="AG714" s="22">
        <v>1.0461891854659E13</v>
      </c>
      <c r="AH714" s="22" t="s">
        <v>90</v>
      </c>
      <c r="AI714" s="22">
        <v>8.602413859139E12</v>
      </c>
      <c r="AJ714" s="25"/>
      <c r="AK714" s="25"/>
      <c r="AL714" s="22" t="s">
        <v>8133</v>
      </c>
      <c r="AQ714" s="32" t="s">
        <v>8135</v>
      </c>
      <c r="AR714" s="32" t="b">
        <v>0</v>
      </c>
      <c r="AS714" s="32" t="b">
        <v>0</v>
      </c>
    </row>
    <row r="715">
      <c r="A715" s="21" t="s">
        <v>10469</v>
      </c>
      <c r="B715" s="25"/>
      <c r="C715" s="25"/>
      <c r="D715" s="22" t="s">
        <v>8141</v>
      </c>
      <c r="E715" s="25"/>
      <c r="F715" s="22" t="s">
        <v>8136</v>
      </c>
      <c r="G715" s="25"/>
      <c r="H715" s="22">
        <v>9.516999278915E12</v>
      </c>
      <c r="I715" s="25"/>
      <c r="J715" s="25"/>
      <c r="K715" s="25"/>
      <c r="L715" s="25"/>
      <c r="M715" s="25"/>
      <c r="N715" s="22" t="s">
        <v>3846</v>
      </c>
      <c r="O715" s="22" t="s">
        <v>10470</v>
      </c>
      <c r="P715" s="22" t="s">
        <v>3846</v>
      </c>
      <c r="Q715" s="22" t="s">
        <v>3884</v>
      </c>
      <c r="R715" s="22" t="s">
        <v>10471</v>
      </c>
      <c r="S715" s="25"/>
      <c r="T715" s="40" t="s">
        <v>10472</v>
      </c>
      <c r="U715" s="22" t="s">
        <v>10473</v>
      </c>
      <c r="V715" s="25"/>
      <c r="W715" s="22" t="s">
        <v>10474</v>
      </c>
      <c r="X715" s="22" t="s">
        <v>8289</v>
      </c>
      <c r="Y715" s="25"/>
      <c r="Z715" s="25"/>
      <c r="AA715" s="22" t="s">
        <v>8129</v>
      </c>
      <c r="AB715" s="22" t="s">
        <v>8130</v>
      </c>
      <c r="AC715" s="25"/>
      <c r="AD715" s="25"/>
      <c r="AE715" s="22" t="s">
        <v>8132</v>
      </c>
      <c r="AF715" s="25"/>
      <c r="AG715" s="22">
        <v>1.0461891854659E13</v>
      </c>
      <c r="AH715" s="22" t="s">
        <v>8137</v>
      </c>
      <c r="AI715" s="22">
        <v>8.602413859139E12</v>
      </c>
      <c r="AJ715" s="25"/>
      <c r="AK715" s="25"/>
      <c r="AL715" s="22" t="s">
        <v>8136</v>
      </c>
      <c r="AR715" s="32" t="b">
        <v>0</v>
      </c>
      <c r="AS715" s="32" t="b">
        <v>0</v>
      </c>
    </row>
    <row r="716">
      <c r="A716" s="21" t="s">
        <v>10475</v>
      </c>
      <c r="B716" s="22" t="s">
        <v>8467</v>
      </c>
      <c r="C716" s="22">
        <v>1.0</v>
      </c>
      <c r="D716" s="22" t="s">
        <v>8212</v>
      </c>
      <c r="E716" s="22" t="s">
        <v>8467</v>
      </c>
      <c r="F716" s="22" t="s">
        <v>8155</v>
      </c>
      <c r="G716" s="25"/>
      <c r="H716" s="22">
        <v>3.2758188769603E13</v>
      </c>
      <c r="I716" s="25"/>
      <c r="J716" s="25"/>
      <c r="K716" s="22">
        <v>4.9521175462211E13</v>
      </c>
      <c r="L716" s="25"/>
      <c r="M716" s="25"/>
      <c r="N716" s="22" t="s">
        <v>10476</v>
      </c>
      <c r="O716" s="22" t="s">
        <v>10477</v>
      </c>
      <c r="P716" s="22" t="s">
        <v>10476</v>
      </c>
      <c r="Q716" s="22" t="s">
        <v>10477</v>
      </c>
      <c r="R716" s="22" t="s">
        <v>10478</v>
      </c>
      <c r="S716" s="25"/>
      <c r="T716" s="40" t="s">
        <v>10479</v>
      </c>
      <c r="U716" s="22" t="s">
        <v>10480</v>
      </c>
      <c r="V716" s="25"/>
      <c r="W716" s="22" t="s">
        <v>10481</v>
      </c>
      <c r="X716" s="22" t="s">
        <v>10482</v>
      </c>
      <c r="Y716" s="25"/>
      <c r="Z716" s="25"/>
      <c r="AA716" s="22" t="s">
        <v>8129</v>
      </c>
      <c r="AB716" s="22" t="s">
        <v>8130</v>
      </c>
      <c r="AC716" s="25"/>
      <c r="AD716" s="22" t="s">
        <v>8161</v>
      </c>
      <c r="AE716" s="22" t="s">
        <v>8132</v>
      </c>
      <c r="AF716" s="25"/>
      <c r="AG716" s="22">
        <v>1.0461893820739E13</v>
      </c>
      <c r="AH716" s="22" t="s">
        <v>90</v>
      </c>
      <c r="AI716" s="22">
        <v>2.3428838424899E13</v>
      </c>
      <c r="AJ716" s="25"/>
      <c r="AK716" s="25"/>
      <c r="AL716" s="22" t="s">
        <v>8173</v>
      </c>
      <c r="AQ716" s="32" t="s">
        <v>55</v>
      </c>
      <c r="AR716" s="32" t="b">
        <v>0</v>
      </c>
      <c r="AS716" s="32" t="b">
        <v>1</v>
      </c>
    </row>
    <row r="717">
      <c r="A717" s="21" t="s">
        <v>10475</v>
      </c>
      <c r="B717" s="25"/>
      <c r="C717" s="25"/>
      <c r="D717" s="22" t="s">
        <v>8212</v>
      </c>
      <c r="E717" s="25"/>
      <c r="F717" s="22" t="s">
        <v>8149</v>
      </c>
      <c r="G717" s="25"/>
      <c r="H717" s="22">
        <v>9.517001146691E12</v>
      </c>
      <c r="I717" s="25"/>
      <c r="J717" s="25"/>
      <c r="K717" s="25"/>
      <c r="L717" s="25"/>
      <c r="M717" s="25"/>
      <c r="N717" s="22" t="s">
        <v>10476</v>
      </c>
      <c r="O717" s="22" t="s">
        <v>10477</v>
      </c>
      <c r="P717" s="22" t="s">
        <v>10476</v>
      </c>
      <c r="Q717" s="22" t="s">
        <v>10477</v>
      </c>
      <c r="R717" s="22" t="s">
        <v>10478</v>
      </c>
      <c r="S717" s="25"/>
      <c r="T717" s="40" t="s">
        <v>10479</v>
      </c>
      <c r="U717" s="22" t="s">
        <v>10480</v>
      </c>
      <c r="V717" s="25"/>
      <c r="W717" s="22" t="s">
        <v>10481</v>
      </c>
      <c r="X717" s="22" t="s">
        <v>10482</v>
      </c>
      <c r="Y717" s="25"/>
      <c r="Z717" s="25"/>
      <c r="AA717" s="22" t="s">
        <v>8129</v>
      </c>
      <c r="AB717" s="22" t="s">
        <v>8130</v>
      </c>
      <c r="AC717" s="25"/>
      <c r="AD717" s="25"/>
      <c r="AE717" s="22" t="s">
        <v>8132</v>
      </c>
      <c r="AF717" s="25"/>
      <c r="AG717" s="22">
        <v>1.0461893820739E13</v>
      </c>
      <c r="AH717" s="22" t="s">
        <v>8137</v>
      </c>
      <c r="AI717" s="22">
        <v>2.3428838424899E13</v>
      </c>
      <c r="AJ717" s="25"/>
      <c r="AK717" s="25"/>
      <c r="AL717" s="22" t="s">
        <v>8149</v>
      </c>
      <c r="AR717" s="32" t="b">
        <v>0</v>
      </c>
      <c r="AS717" s="32" t="b">
        <v>0</v>
      </c>
    </row>
    <row r="718">
      <c r="A718" s="21" t="s">
        <v>10483</v>
      </c>
      <c r="B718" s="22" t="s">
        <v>8140</v>
      </c>
      <c r="C718" s="22">
        <v>1.0</v>
      </c>
      <c r="D718" s="22" t="s">
        <v>8581</v>
      </c>
      <c r="E718" s="22" t="s">
        <v>8140</v>
      </c>
      <c r="F718" s="22" t="s">
        <v>8121</v>
      </c>
      <c r="G718" s="25"/>
      <c r="H718" s="22">
        <v>3.2758297821507E13</v>
      </c>
      <c r="I718" s="25"/>
      <c r="J718" s="25"/>
      <c r="K718" s="22">
        <v>4.2085703581939E13</v>
      </c>
      <c r="L718" s="25"/>
      <c r="M718" s="25"/>
      <c r="N718" s="22" t="s">
        <v>10484</v>
      </c>
      <c r="O718" s="22" t="s">
        <v>10485</v>
      </c>
      <c r="P718" s="22" t="s">
        <v>10484</v>
      </c>
      <c r="Q718" s="22" t="s">
        <v>10485</v>
      </c>
      <c r="R718" s="22" t="s">
        <v>10486</v>
      </c>
      <c r="S718" s="25"/>
      <c r="T718" s="40" t="s">
        <v>10487</v>
      </c>
      <c r="U718" s="22" t="s">
        <v>10488</v>
      </c>
      <c r="V718" s="25"/>
      <c r="W718" s="22" t="s">
        <v>10489</v>
      </c>
      <c r="X718" s="22" t="s">
        <v>8289</v>
      </c>
      <c r="Y718" s="25"/>
      <c r="Z718" s="25"/>
      <c r="AA718" s="22" t="s">
        <v>8129</v>
      </c>
      <c r="AB718" s="22" t="s">
        <v>8130</v>
      </c>
      <c r="AC718" s="25"/>
      <c r="AD718" s="22" t="s">
        <v>8131</v>
      </c>
      <c r="AE718" s="22" t="s">
        <v>8132</v>
      </c>
      <c r="AF718" s="25"/>
      <c r="AG718" s="22">
        <v>1.0461941825859E13</v>
      </c>
      <c r="AH718" s="22" t="s">
        <v>90</v>
      </c>
      <c r="AI718" s="22">
        <v>8.620136366403E12</v>
      </c>
      <c r="AJ718" s="25"/>
      <c r="AK718" s="25"/>
      <c r="AL718" s="22" t="s">
        <v>8134</v>
      </c>
      <c r="AQ718" s="32" t="s">
        <v>8150</v>
      </c>
      <c r="AR718" s="32" t="b">
        <v>0</v>
      </c>
      <c r="AS718" s="32" t="b">
        <v>0</v>
      </c>
    </row>
    <row r="719">
      <c r="A719" s="21" t="s">
        <v>10483</v>
      </c>
      <c r="B719" s="25"/>
      <c r="C719" s="25"/>
      <c r="D719" s="22" t="s">
        <v>8581</v>
      </c>
      <c r="E719" s="25"/>
      <c r="F719" s="22" t="s">
        <v>8136</v>
      </c>
      <c r="G719" s="25"/>
      <c r="H719" s="22">
        <v>9.517046497603E12</v>
      </c>
      <c r="I719" s="25"/>
      <c r="J719" s="25"/>
      <c r="K719" s="25"/>
      <c r="L719" s="25"/>
      <c r="M719" s="25"/>
      <c r="N719" s="22" t="s">
        <v>10484</v>
      </c>
      <c r="O719" s="22" t="s">
        <v>10485</v>
      </c>
      <c r="P719" s="22" t="s">
        <v>10484</v>
      </c>
      <c r="Q719" s="22" t="s">
        <v>10485</v>
      </c>
      <c r="R719" s="22" t="s">
        <v>10486</v>
      </c>
      <c r="S719" s="25"/>
      <c r="T719" s="40" t="s">
        <v>10487</v>
      </c>
      <c r="U719" s="22" t="s">
        <v>10488</v>
      </c>
      <c r="V719" s="25"/>
      <c r="W719" s="22" t="s">
        <v>10489</v>
      </c>
      <c r="X719" s="22" t="s">
        <v>8289</v>
      </c>
      <c r="Y719" s="25"/>
      <c r="Z719" s="25"/>
      <c r="AA719" s="22" t="s">
        <v>8129</v>
      </c>
      <c r="AB719" s="22" t="s">
        <v>8130</v>
      </c>
      <c r="AC719" s="25"/>
      <c r="AD719" s="25"/>
      <c r="AE719" s="22" t="s">
        <v>8132</v>
      </c>
      <c r="AF719" s="25"/>
      <c r="AG719" s="22">
        <v>1.0461941825859E13</v>
      </c>
      <c r="AH719" s="22" t="s">
        <v>8137</v>
      </c>
      <c r="AI719" s="22">
        <v>8.620136366403E12</v>
      </c>
      <c r="AJ719" s="25"/>
      <c r="AK719" s="25"/>
      <c r="AL719" s="22" t="s">
        <v>8136</v>
      </c>
      <c r="AR719" s="32" t="b">
        <v>0</v>
      </c>
      <c r="AS719" s="32" t="b">
        <v>0</v>
      </c>
    </row>
    <row r="720">
      <c r="A720" s="21" t="s">
        <v>10490</v>
      </c>
      <c r="B720" s="22" t="s">
        <v>8370</v>
      </c>
      <c r="C720" s="22">
        <v>1.0</v>
      </c>
      <c r="D720" s="22" t="s">
        <v>8221</v>
      </c>
      <c r="E720" s="22" t="s">
        <v>8370</v>
      </c>
      <c r="F720" s="22" t="s">
        <v>8155</v>
      </c>
      <c r="G720" s="25"/>
      <c r="H720" s="22">
        <v>3.2758527721795E13</v>
      </c>
      <c r="I720" s="25"/>
      <c r="J720" s="25"/>
      <c r="K720" s="22">
        <v>4.9521175494979E13</v>
      </c>
      <c r="L720" s="25"/>
      <c r="M720" s="25"/>
      <c r="N720" s="22" t="s">
        <v>10491</v>
      </c>
      <c r="O720" s="22" t="s">
        <v>10492</v>
      </c>
      <c r="P720" s="22" t="s">
        <v>10491</v>
      </c>
      <c r="Q720" s="22" t="s">
        <v>10492</v>
      </c>
      <c r="R720" s="22" t="s">
        <v>10493</v>
      </c>
      <c r="S720" s="25"/>
      <c r="T720" s="40" t="s">
        <v>10494</v>
      </c>
      <c r="U720" s="22" t="s">
        <v>10495</v>
      </c>
      <c r="V720" s="25"/>
      <c r="W720" s="22" t="s">
        <v>10496</v>
      </c>
      <c r="X720" s="22" t="s">
        <v>8566</v>
      </c>
      <c r="Y720" s="25"/>
      <c r="Z720" s="25"/>
      <c r="AA720" s="22" t="s">
        <v>8129</v>
      </c>
      <c r="AB720" s="22" t="s">
        <v>8130</v>
      </c>
      <c r="AC720" s="25"/>
      <c r="AD720" s="22" t="s">
        <v>8161</v>
      </c>
      <c r="AE720" s="22" t="s">
        <v>8132</v>
      </c>
      <c r="AF720" s="25"/>
      <c r="AG720" s="22">
        <v>1.0462044586307E13</v>
      </c>
      <c r="AH720" s="22" t="s">
        <v>90</v>
      </c>
      <c r="AI720" s="22">
        <v>8.615543177539E12</v>
      </c>
      <c r="AJ720" s="25"/>
      <c r="AK720" s="25"/>
      <c r="AL720" s="22" t="s">
        <v>8138</v>
      </c>
      <c r="AQ720" s="32" t="s">
        <v>91</v>
      </c>
      <c r="AR720" s="32" t="b">
        <v>0</v>
      </c>
      <c r="AS720" s="32" t="b">
        <v>1</v>
      </c>
    </row>
    <row r="721">
      <c r="A721" s="21" t="s">
        <v>10490</v>
      </c>
      <c r="B721" s="25"/>
      <c r="C721" s="25"/>
      <c r="D721" s="22" t="s">
        <v>8221</v>
      </c>
      <c r="E721" s="25"/>
      <c r="F721" s="22" t="s">
        <v>8149</v>
      </c>
      <c r="G721" s="25"/>
      <c r="H721" s="22">
        <v>9.517143982403E12</v>
      </c>
      <c r="I721" s="25"/>
      <c r="J721" s="25"/>
      <c r="K721" s="25"/>
      <c r="L721" s="25"/>
      <c r="M721" s="25"/>
      <c r="N721" s="22" t="s">
        <v>10491</v>
      </c>
      <c r="O721" s="22" t="s">
        <v>10492</v>
      </c>
      <c r="P721" s="22" t="s">
        <v>10491</v>
      </c>
      <c r="Q721" s="22" t="s">
        <v>10492</v>
      </c>
      <c r="R721" s="22" t="s">
        <v>10493</v>
      </c>
      <c r="S721" s="25"/>
      <c r="T721" s="40" t="s">
        <v>10494</v>
      </c>
      <c r="U721" s="22" t="s">
        <v>10495</v>
      </c>
      <c r="V721" s="25"/>
      <c r="W721" s="22" t="s">
        <v>10496</v>
      </c>
      <c r="X721" s="22" t="s">
        <v>8566</v>
      </c>
      <c r="Y721" s="25"/>
      <c r="Z721" s="25"/>
      <c r="AA721" s="22" t="s">
        <v>8129</v>
      </c>
      <c r="AB721" s="22" t="s">
        <v>8130</v>
      </c>
      <c r="AC721" s="25"/>
      <c r="AD721" s="25"/>
      <c r="AE721" s="22" t="s">
        <v>8132</v>
      </c>
      <c r="AF721" s="25"/>
      <c r="AG721" s="22">
        <v>1.0462044586307E13</v>
      </c>
      <c r="AH721" s="22" t="s">
        <v>8137</v>
      </c>
      <c r="AI721" s="22">
        <v>8.615543177539E12</v>
      </c>
      <c r="AJ721" s="25"/>
      <c r="AK721" s="25"/>
      <c r="AL721" s="22" t="s">
        <v>8149</v>
      </c>
      <c r="AR721" s="32" t="b">
        <v>0</v>
      </c>
      <c r="AS721" s="32" t="b">
        <v>0</v>
      </c>
    </row>
    <row r="722">
      <c r="A722" s="21" t="s">
        <v>10497</v>
      </c>
      <c r="B722" s="22" t="s">
        <v>8140</v>
      </c>
      <c r="C722" s="22">
        <v>1.0</v>
      </c>
      <c r="D722" s="22" t="s">
        <v>8195</v>
      </c>
      <c r="E722" s="22" t="s">
        <v>8140</v>
      </c>
      <c r="F722" s="22" t="s">
        <v>8121</v>
      </c>
      <c r="G722" s="25"/>
      <c r="H722" s="22">
        <v>3.2758784557379E13</v>
      </c>
      <c r="I722" s="25"/>
      <c r="J722" s="25"/>
      <c r="K722" s="22">
        <v>4.2085703581939E13</v>
      </c>
      <c r="L722" s="25"/>
      <c r="M722" s="25"/>
      <c r="N722" s="22" t="s">
        <v>6239</v>
      </c>
      <c r="O722" s="22" t="s">
        <v>10498</v>
      </c>
      <c r="P722" s="22" t="s">
        <v>6239</v>
      </c>
      <c r="Q722" s="22" t="s">
        <v>10498</v>
      </c>
      <c r="R722" s="22" t="s">
        <v>10499</v>
      </c>
      <c r="S722" s="25"/>
      <c r="T722" s="40" t="s">
        <v>10500</v>
      </c>
      <c r="U722" s="22" t="s">
        <v>10501</v>
      </c>
      <c r="V722" s="25"/>
      <c r="W722" s="22" t="s">
        <v>10502</v>
      </c>
      <c r="X722" s="22" t="s">
        <v>8663</v>
      </c>
      <c r="Y722" s="25"/>
      <c r="Z722" s="25"/>
      <c r="AA722" s="22" t="s">
        <v>8129</v>
      </c>
      <c r="AB722" s="22" t="s">
        <v>8130</v>
      </c>
      <c r="AC722" s="25"/>
      <c r="AD722" s="22" t="s">
        <v>8131</v>
      </c>
      <c r="AE722" s="22" t="s">
        <v>8132</v>
      </c>
      <c r="AF722" s="25"/>
      <c r="AG722" s="22">
        <v>1.0462152819011E13</v>
      </c>
      <c r="AH722" s="22" t="s">
        <v>90</v>
      </c>
      <c r="AI722" s="22">
        <v>7.459769745731E12</v>
      </c>
      <c r="AJ722" s="25"/>
      <c r="AK722" s="25"/>
      <c r="AL722" s="22" t="s">
        <v>8134</v>
      </c>
      <c r="AQ722" s="32" t="s">
        <v>8150</v>
      </c>
      <c r="AR722" s="32" t="b">
        <v>0</v>
      </c>
      <c r="AS722" s="32" t="b">
        <v>0</v>
      </c>
    </row>
    <row r="723">
      <c r="A723" s="21" t="s">
        <v>10497</v>
      </c>
      <c r="B723" s="25"/>
      <c r="C723" s="25"/>
      <c r="D723" s="22" t="s">
        <v>8195</v>
      </c>
      <c r="E723" s="25"/>
      <c r="F723" s="22" t="s">
        <v>8136</v>
      </c>
      <c r="G723" s="25"/>
      <c r="H723" s="22">
        <v>9.517247168835E12</v>
      </c>
      <c r="I723" s="25"/>
      <c r="J723" s="25"/>
      <c r="K723" s="25"/>
      <c r="L723" s="25"/>
      <c r="M723" s="25"/>
      <c r="N723" s="22" t="s">
        <v>6239</v>
      </c>
      <c r="O723" s="22" t="s">
        <v>10498</v>
      </c>
      <c r="P723" s="22" t="s">
        <v>6239</v>
      </c>
      <c r="Q723" s="22" t="s">
        <v>10498</v>
      </c>
      <c r="R723" s="22" t="s">
        <v>10499</v>
      </c>
      <c r="S723" s="25"/>
      <c r="T723" s="40" t="s">
        <v>10500</v>
      </c>
      <c r="U723" s="22" t="s">
        <v>10501</v>
      </c>
      <c r="V723" s="25"/>
      <c r="W723" s="22" t="s">
        <v>10502</v>
      </c>
      <c r="X723" s="22" t="s">
        <v>8663</v>
      </c>
      <c r="Y723" s="25"/>
      <c r="Z723" s="25"/>
      <c r="AA723" s="22" t="s">
        <v>8129</v>
      </c>
      <c r="AB723" s="22" t="s">
        <v>8130</v>
      </c>
      <c r="AC723" s="25"/>
      <c r="AD723" s="25"/>
      <c r="AE723" s="22" t="s">
        <v>8132</v>
      </c>
      <c r="AF723" s="25"/>
      <c r="AG723" s="22">
        <v>1.0462152819011E13</v>
      </c>
      <c r="AH723" s="22" t="s">
        <v>8137</v>
      </c>
      <c r="AI723" s="22">
        <v>7.459769745731E12</v>
      </c>
      <c r="AJ723" s="25"/>
      <c r="AK723" s="25"/>
      <c r="AL723" s="22" t="s">
        <v>8136</v>
      </c>
      <c r="AR723" s="32" t="b">
        <v>0</v>
      </c>
      <c r="AS723" s="32" t="b">
        <v>0</v>
      </c>
    </row>
    <row r="724">
      <c r="A724" s="21" t="s">
        <v>10503</v>
      </c>
      <c r="B724" s="22" t="s">
        <v>8707</v>
      </c>
      <c r="C724" s="22">
        <v>1.0</v>
      </c>
      <c r="D724" s="22" t="s">
        <v>8221</v>
      </c>
      <c r="E724" s="22" t="s">
        <v>8707</v>
      </c>
      <c r="F724" s="22" t="s">
        <v>8155</v>
      </c>
      <c r="G724" s="25"/>
      <c r="H724" s="22">
        <v>3.2758830924099E13</v>
      </c>
      <c r="I724" s="25"/>
      <c r="J724" s="25"/>
      <c r="K724" s="22">
        <v>4.9521175429443E13</v>
      </c>
      <c r="L724" s="25"/>
      <c r="M724" s="25"/>
      <c r="N724" s="22" t="s">
        <v>10504</v>
      </c>
      <c r="O724" s="22" t="s">
        <v>10505</v>
      </c>
      <c r="P724" s="22" t="s">
        <v>10504</v>
      </c>
      <c r="Q724" s="22" t="s">
        <v>10505</v>
      </c>
      <c r="R724" s="22" t="s">
        <v>10506</v>
      </c>
      <c r="S724" s="25"/>
      <c r="T724" s="40" t="s">
        <v>10507</v>
      </c>
      <c r="U724" s="22" t="s">
        <v>10508</v>
      </c>
      <c r="V724" s="25"/>
      <c r="W724" s="22" t="s">
        <v>10509</v>
      </c>
      <c r="X724" s="22" t="s">
        <v>8289</v>
      </c>
      <c r="Y724" s="25"/>
      <c r="Z724" s="25"/>
      <c r="AA724" s="22" t="s">
        <v>8129</v>
      </c>
      <c r="AB724" s="22" t="s">
        <v>8130</v>
      </c>
      <c r="AC724" s="25"/>
      <c r="AD724" s="22" t="s">
        <v>8161</v>
      </c>
      <c r="AE724" s="22" t="s">
        <v>8132</v>
      </c>
      <c r="AF724" s="25"/>
      <c r="AG724" s="22">
        <v>1.0462171726147E13</v>
      </c>
      <c r="AH724" s="22" t="s">
        <v>90</v>
      </c>
      <c r="AI724" s="22">
        <v>2.3429181899075E13</v>
      </c>
      <c r="AJ724" s="25"/>
      <c r="AK724" s="25"/>
      <c r="AL724" s="22" t="s">
        <v>8336</v>
      </c>
      <c r="AQ724" s="32" t="s">
        <v>54</v>
      </c>
      <c r="AR724" s="32" t="b">
        <v>0</v>
      </c>
      <c r="AS724" s="32" t="b">
        <v>1</v>
      </c>
    </row>
    <row r="725">
      <c r="A725" s="21" t="s">
        <v>10503</v>
      </c>
      <c r="B725" s="25"/>
      <c r="C725" s="25"/>
      <c r="D725" s="22" t="s">
        <v>8221</v>
      </c>
      <c r="E725" s="25"/>
      <c r="F725" s="22" t="s">
        <v>8149</v>
      </c>
      <c r="G725" s="25"/>
      <c r="H725" s="22">
        <v>9.517265486147E12</v>
      </c>
      <c r="I725" s="25"/>
      <c r="J725" s="25"/>
      <c r="K725" s="25"/>
      <c r="L725" s="25"/>
      <c r="M725" s="25"/>
      <c r="N725" s="22" t="s">
        <v>10504</v>
      </c>
      <c r="O725" s="22" t="s">
        <v>10505</v>
      </c>
      <c r="P725" s="22" t="s">
        <v>10504</v>
      </c>
      <c r="Q725" s="22" t="s">
        <v>10505</v>
      </c>
      <c r="R725" s="22" t="s">
        <v>10506</v>
      </c>
      <c r="S725" s="25"/>
      <c r="T725" s="40" t="s">
        <v>10507</v>
      </c>
      <c r="U725" s="22" t="s">
        <v>10508</v>
      </c>
      <c r="V725" s="25"/>
      <c r="W725" s="22" t="s">
        <v>10509</v>
      </c>
      <c r="X725" s="22" t="s">
        <v>8289</v>
      </c>
      <c r="Y725" s="25"/>
      <c r="Z725" s="25"/>
      <c r="AA725" s="22" t="s">
        <v>8129</v>
      </c>
      <c r="AB725" s="22" t="s">
        <v>8130</v>
      </c>
      <c r="AC725" s="25"/>
      <c r="AD725" s="25"/>
      <c r="AE725" s="22" t="s">
        <v>8132</v>
      </c>
      <c r="AF725" s="25"/>
      <c r="AG725" s="22">
        <v>1.0462171726147E13</v>
      </c>
      <c r="AH725" s="22" t="s">
        <v>8137</v>
      </c>
      <c r="AI725" s="22">
        <v>2.3429181899075E13</v>
      </c>
      <c r="AJ725" s="25"/>
      <c r="AK725" s="25"/>
      <c r="AL725" s="22" t="s">
        <v>8149</v>
      </c>
      <c r="AR725" s="32" t="b">
        <v>0</v>
      </c>
      <c r="AS725" s="32" t="b">
        <v>0</v>
      </c>
    </row>
    <row r="726">
      <c r="A726" s="21" t="s">
        <v>10510</v>
      </c>
      <c r="B726" s="22" t="s">
        <v>8119</v>
      </c>
      <c r="C726" s="22">
        <v>1.0</v>
      </c>
      <c r="D726" s="22" t="s">
        <v>8501</v>
      </c>
      <c r="E726" s="22" t="s">
        <v>8119</v>
      </c>
      <c r="F726" s="22" t="s">
        <v>8121</v>
      </c>
      <c r="G726" s="25"/>
      <c r="H726" s="22">
        <v>3.2758834987331E13</v>
      </c>
      <c r="I726" s="25"/>
      <c r="J726" s="25"/>
      <c r="K726" s="22">
        <v>4.2085703549171E13</v>
      </c>
      <c r="L726" s="25"/>
      <c r="M726" s="25"/>
      <c r="N726" s="22" t="s">
        <v>10511</v>
      </c>
      <c r="O726" s="22" t="s">
        <v>10512</v>
      </c>
      <c r="P726" s="22" t="s">
        <v>4470</v>
      </c>
      <c r="Q726" s="22" t="s">
        <v>10512</v>
      </c>
      <c r="R726" s="22" t="s">
        <v>10513</v>
      </c>
      <c r="S726" s="25"/>
      <c r="T726" s="40" t="s">
        <v>10514</v>
      </c>
      <c r="U726" s="22" t="s">
        <v>10515</v>
      </c>
      <c r="V726" s="25"/>
      <c r="W726" s="22" t="s">
        <v>10516</v>
      </c>
      <c r="X726" s="22" t="s">
        <v>10517</v>
      </c>
      <c r="Y726" s="25"/>
      <c r="Z726" s="25"/>
      <c r="AA726" s="22" t="s">
        <v>8129</v>
      </c>
      <c r="AB726" s="22" t="s">
        <v>8130</v>
      </c>
      <c r="AC726" s="25"/>
      <c r="AD726" s="22" t="s">
        <v>8131</v>
      </c>
      <c r="AE726" s="22" t="s">
        <v>8132</v>
      </c>
      <c r="AF726" s="25"/>
      <c r="AG726" s="22">
        <v>1.0462173561155E13</v>
      </c>
      <c r="AH726" s="22" t="s">
        <v>90</v>
      </c>
      <c r="AI726" s="22">
        <v>8.628710179139E12</v>
      </c>
      <c r="AJ726" s="25"/>
      <c r="AK726" s="25"/>
      <c r="AL726" s="22" t="s">
        <v>8133</v>
      </c>
      <c r="AQ726" s="32" t="s">
        <v>8135</v>
      </c>
      <c r="AR726" s="32" t="b">
        <v>0</v>
      </c>
      <c r="AS726" s="32" t="b">
        <v>0</v>
      </c>
    </row>
    <row r="727">
      <c r="A727" s="21" t="s">
        <v>10510</v>
      </c>
      <c r="B727" s="25"/>
      <c r="C727" s="25"/>
      <c r="D727" s="22" t="s">
        <v>8501</v>
      </c>
      <c r="E727" s="25"/>
      <c r="F727" s="22" t="s">
        <v>8136</v>
      </c>
      <c r="G727" s="25"/>
      <c r="H727" s="22">
        <v>9.517267124547E12</v>
      </c>
      <c r="I727" s="25"/>
      <c r="J727" s="25"/>
      <c r="K727" s="25"/>
      <c r="L727" s="25"/>
      <c r="M727" s="25"/>
      <c r="N727" s="22" t="s">
        <v>10511</v>
      </c>
      <c r="O727" s="22" t="s">
        <v>10512</v>
      </c>
      <c r="P727" s="22" t="s">
        <v>4470</v>
      </c>
      <c r="Q727" s="22" t="s">
        <v>10512</v>
      </c>
      <c r="R727" s="22" t="s">
        <v>10513</v>
      </c>
      <c r="S727" s="25"/>
      <c r="T727" s="40" t="s">
        <v>10514</v>
      </c>
      <c r="U727" s="22" t="s">
        <v>10515</v>
      </c>
      <c r="V727" s="25"/>
      <c r="W727" s="22" t="s">
        <v>10516</v>
      </c>
      <c r="X727" s="22" t="s">
        <v>10517</v>
      </c>
      <c r="Y727" s="25"/>
      <c r="Z727" s="25"/>
      <c r="AA727" s="22" t="s">
        <v>8129</v>
      </c>
      <c r="AB727" s="22" t="s">
        <v>8130</v>
      </c>
      <c r="AC727" s="25"/>
      <c r="AD727" s="25"/>
      <c r="AE727" s="22" t="s">
        <v>8132</v>
      </c>
      <c r="AF727" s="25"/>
      <c r="AG727" s="22">
        <v>1.0462173561155E13</v>
      </c>
      <c r="AH727" s="22" t="s">
        <v>8137</v>
      </c>
      <c r="AI727" s="22">
        <v>8.628710179139E12</v>
      </c>
      <c r="AJ727" s="25"/>
      <c r="AK727" s="25"/>
      <c r="AL727" s="22" t="s">
        <v>8136</v>
      </c>
      <c r="AR727" s="32" t="b">
        <v>0</v>
      </c>
      <c r="AS727" s="32" t="b">
        <v>0</v>
      </c>
    </row>
    <row r="728">
      <c r="A728" s="21" t="s">
        <v>10518</v>
      </c>
      <c r="B728" s="22" t="s">
        <v>8140</v>
      </c>
      <c r="C728" s="22">
        <v>1.0</v>
      </c>
      <c r="D728" s="22" t="s">
        <v>8175</v>
      </c>
      <c r="E728" s="22" t="s">
        <v>8140</v>
      </c>
      <c r="F728" s="22" t="s">
        <v>8121</v>
      </c>
      <c r="G728" s="25"/>
      <c r="H728" s="22">
        <v>3.2745917186371E13</v>
      </c>
      <c r="I728" s="25"/>
      <c r="J728" s="25"/>
      <c r="K728" s="22">
        <v>4.2085703581939E13</v>
      </c>
      <c r="L728" s="25"/>
      <c r="M728" s="25"/>
      <c r="N728" s="22" t="s">
        <v>10519</v>
      </c>
      <c r="O728" s="22" t="s">
        <v>10520</v>
      </c>
      <c r="P728" s="22" t="s">
        <v>10519</v>
      </c>
      <c r="Q728" s="22" t="s">
        <v>10520</v>
      </c>
      <c r="R728" s="22" t="s">
        <v>10521</v>
      </c>
      <c r="S728" s="25"/>
      <c r="T728" s="40" t="s">
        <v>10522</v>
      </c>
      <c r="U728" s="22" t="s">
        <v>10523</v>
      </c>
      <c r="V728" s="25"/>
      <c r="W728" s="22" t="s">
        <v>10524</v>
      </c>
      <c r="X728" s="22" t="s">
        <v>8367</v>
      </c>
      <c r="Y728" s="25"/>
      <c r="Z728" s="25"/>
      <c r="AA728" s="22" t="s">
        <v>8129</v>
      </c>
      <c r="AB728" s="22" t="s">
        <v>8130</v>
      </c>
      <c r="AC728" s="25"/>
      <c r="AD728" s="22" t="s">
        <v>8131</v>
      </c>
      <c r="AE728" s="22" t="s">
        <v>8132</v>
      </c>
      <c r="AF728" s="25"/>
      <c r="AG728" s="22">
        <v>1.0458331316547E13</v>
      </c>
      <c r="AH728" s="22" t="s">
        <v>90</v>
      </c>
      <c r="AI728" s="22">
        <v>2.3424743145795E13</v>
      </c>
      <c r="AJ728" s="25"/>
      <c r="AK728" s="25"/>
      <c r="AL728" s="22" t="s">
        <v>8134</v>
      </c>
      <c r="AQ728" s="32" t="s">
        <v>8150</v>
      </c>
      <c r="AR728" s="32" t="b">
        <v>0</v>
      </c>
      <c r="AS728" s="32" t="b">
        <v>0</v>
      </c>
    </row>
    <row r="729">
      <c r="A729" s="21" t="s">
        <v>10518</v>
      </c>
      <c r="B729" s="25"/>
      <c r="C729" s="25"/>
      <c r="D729" s="22" t="s">
        <v>8175</v>
      </c>
      <c r="E729" s="25"/>
      <c r="F729" s="22" t="s">
        <v>8136</v>
      </c>
      <c r="G729" s="25"/>
      <c r="H729" s="22">
        <v>9.513721528643E12</v>
      </c>
      <c r="I729" s="25"/>
      <c r="J729" s="25"/>
      <c r="K729" s="25"/>
      <c r="L729" s="25"/>
      <c r="M729" s="25"/>
      <c r="N729" s="22" t="s">
        <v>10519</v>
      </c>
      <c r="O729" s="22" t="s">
        <v>10520</v>
      </c>
      <c r="P729" s="22" t="s">
        <v>10519</v>
      </c>
      <c r="Q729" s="22" t="s">
        <v>10520</v>
      </c>
      <c r="R729" s="22" t="s">
        <v>10521</v>
      </c>
      <c r="S729" s="25"/>
      <c r="T729" s="40" t="s">
        <v>10522</v>
      </c>
      <c r="U729" s="22" t="s">
        <v>10523</v>
      </c>
      <c r="V729" s="25"/>
      <c r="W729" s="22" t="s">
        <v>10524</v>
      </c>
      <c r="X729" s="22" t="s">
        <v>8367</v>
      </c>
      <c r="Y729" s="25"/>
      <c r="Z729" s="25"/>
      <c r="AA729" s="22" t="s">
        <v>8129</v>
      </c>
      <c r="AB729" s="22" t="s">
        <v>8130</v>
      </c>
      <c r="AC729" s="25"/>
      <c r="AD729" s="25"/>
      <c r="AE729" s="22" t="s">
        <v>8132</v>
      </c>
      <c r="AF729" s="25"/>
      <c r="AG729" s="22">
        <v>1.0458331316547E13</v>
      </c>
      <c r="AH729" s="22" t="s">
        <v>8137</v>
      </c>
      <c r="AI729" s="22">
        <v>2.3424743145795E13</v>
      </c>
      <c r="AJ729" s="25"/>
      <c r="AK729" s="25"/>
      <c r="AL729" s="22" t="s">
        <v>8136</v>
      </c>
      <c r="AR729" s="32" t="b">
        <v>0</v>
      </c>
      <c r="AS729" s="32" t="b">
        <v>0</v>
      </c>
    </row>
    <row r="730">
      <c r="A730" s="21" t="s">
        <v>10525</v>
      </c>
      <c r="B730" s="22" t="s">
        <v>8140</v>
      </c>
      <c r="C730" s="22">
        <v>1.0</v>
      </c>
      <c r="D730" s="22" t="s">
        <v>8501</v>
      </c>
      <c r="E730" s="22" t="s">
        <v>8140</v>
      </c>
      <c r="F730" s="22" t="s">
        <v>8121</v>
      </c>
      <c r="G730" s="25"/>
      <c r="H730" s="22">
        <v>3.2745941336387E13</v>
      </c>
      <c r="I730" s="25"/>
      <c r="J730" s="25"/>
      <c r="K730" s="22">
        <v>4.2085703581939E13</v>
      </c>
      <c r="L730" s="25"/>
      <c r="M730" s="25"/>
      <c r="N730" s="22" t="s">
        <v>3820</v>
      </c>
      <c r="O730" s="22" t="s">
        <v>10526</v>
      </c>
      <c r="P730" s="22" t="s">
        <v>3820</v>
      </c>
      <c r="Q730" s="22" t="s">
        <v>10526</v>
      </c>
      <c r="R730" s="22" t="s">
        <v>10527</v>
      </c>
      <c r="S730" s="22" t="s">
        <v>10528</v>
      </c>
      <c r="T730" s="40" t="s">
        <v>10529</v>
      </c>
      <c r="U730" s="22" t="s">
        <v>10530</v>
      </c>
      <c r="V730" s="25"/>
      <c r="W730" s="22" t="s">
        <v>10531</v>
      </c>
      <c r="X730" s="22" t="s">
        <v>8289</v>
      </c>
      <c r="Y730" s="25"/>
      <c r="Z730" s="25"/>
      <c r="AA730" s="22" t="s">
        <v>8129</v>
      </c>
      <c r="AB730" s="22" t="s">
        <v>8130</v>
      </c>
      <c r="AC730" s="25"/>
      <c r="AD730" s="22" t="s">
        <v>8131</v>
      </c>
      <c r="AE730" s="22" t="s">
        <v>8132</v>
      </c>
      <c r="AF730" s="25"/>
      <c r="AG730" s="22">
        <v>1.0458343014723E13</v>
      </c>
      <c r="AH730" s="22" t="s">
        <v>90</v>
      </c>
      <c r="AI730" s="22">
        <v>8.619326865731E12</v>
      </c>
      <c r="AJ730" s="25"/>
      <c r="AK730" s="25"/>
      <c r="AL730" s="22" t="s">
        <v>8134</v>
      </c>
      <c r="AQ730" s="32" t="s">
        <v>8150</v>
      </c>
      <c r="AR730" s="32" t="b">
        <v>0</v>
      </c>
      <c r="AS730" s="32" t="b">
        <v>0</v>
      </c>
    </row>
    <row r="731">
      <c r="A731" s="21" t="s">
        <v>10525</v>
      </c>
      <c r="B731" s="25"/>
      <c r="C731" s="25"/>
      <c r="D731" s="22" t="s">
        <v>8501</v>
      </c>
      <c r="E731" s="25"/>
      <c r="F731" s="22" t="s">
        <v>8136</v>
      </c>
      <c r="G731" s="25"/>
      <c r="H731" s="22">
        <v>9.513730834755E12</v>
      </c>
      <c r="I731" s="25"/>
      <c r="J731" s="25"/>
      <c r="K731" s="25"/>
      <c r="L731" s="25"/>
      <c r="M731" s="25"/>
      <c r="N731" s="22" t="s">
        <v>3820</v>
      </c>
      <c r="O731" s="22" t="s">
        <v>10526</v>
      </c>
      <c r="P731" s="22" t="s">
        <v>3820</v>
      </c>
      <c r="Q731" s="22" t="s">
        <v>10526</v>
      </c>
      <c r="R731" s="22" t="s">
        <v>10527</v>
      </c>
      <c r="S731" s="22" t="s">
        <v>10528</v>
      </c>
      <c r="T731" s="40" t="s">
        <v>10529</v>
      </c>
      <c r="U731" s="22" t="s">
        <v>10530</v>
      </c>
      <c r="V731" s="25"/>
      <c r="W731" s="22" t="s">
        <v>10531</v>
      </c>
      <c r="X731" s="22" t="s">
        <v>8289</v>
      </c>
      <c r="Y731" s="25"/>
      <c r="Z731" s="25"/>
      <c r="AA731" s="22" t="s">
        <v>8129</v>
      </c>
      <c r="AB731" s="22" t="s">
        <v>8130</v>
      </c>
      <c r="AC731" s="25"/>
      <c r="AD731" s="25"/>
      <c r="AE731" s="22" t="s">
        <v>8132</v>
      </c>
      <c r="AF731" s="25"/>
      <c r="AG731" s="22">
        <v>1.0458343014723E13</v>
      </c>
      <c r="AH731" s="22" t="s">
        <v>8137</v>
      </c>
      <c r="AI731" s="22">
        <v>8.619326865731E12</v>
      </c>
      <c r="AJ731" s="25"/>
      <c r="AK731" s="25"/>
      <c r="AL731" s="22" t="s">
        <v>8136</v>
      </c>
      <c r="AR731" s="32" t="b">
        <v>0</v>
      </c>
      <c r="AS731" s="32" t="b">
        <v>0</v>
      </c>
    </row>
    <row r="732">
      <c r="A732" s="21" t="s">
        <v>10532</v>
      </c>
      <c r="B732" s="22" t="s">
        <v>8140</v>
      </c>
      <c r="C732" s="22">
        <v>1.0</v>
      </c>
      <c r="D732" s="22" t="s">
        <v>8221</v>
      </c>
      <c r="E732" s="22" t="s">
        <v>8140</v>
      </c>
      <c r="F732" s="22" t="s">
        <v>8121</v>
      </c>
      <c r="G732" s="25"/>
      <c r="H732" s="22">
        <v>3.2754989793603E13</v>
      </c>
      <c r="I732" s="25"/>
      <c r="J732" s="25"/>
      <c r="K732" s="22">
        <v>4.2085703581939E13</v>
      </c>
      <c r="L732" s="25"/>
      <c r="M732" s="25"/>
      <c r="N732" s="22" t="s">
        <v>4245</v>
      </c>
      <c r="O732" s="22" t="s">
        <v>10533</v>
      </c>
      <c r="P732" s="22" t="s">
        <v>4245</v>
      </c>
      <c r="Q732" s="22" t="s">
        <v>10533</v>
      </c>
      <c r="R732" s="22" t="s">
        <v>10534</v>
      </c>
      <c r="S732" s="25"/>
      <c r="T732" s="40" t="s">
        <v>10535</v>
      </c>
      <c r="U732" s="22" t="s">
        <v>10536</v>
      </c>
      <c r="V732" s="25"/>
      <c r="W732" s="22" t="s">
        <v>10537</v>
      </c>
      <c r="X732" s="22" t="s">
        <v>8128</v>
      </c>
      <c r="Y732" s="25"/>
      <c r="Z732" s="25"/>
      <c r="AA732" s="22" t="s">
        <v>8129</v>
      </c>
      <c r="AB732" s="22" t="s">
        <v>8130</v>
      </c>
      <c r="AC732" s="25"/>
      <c r="AD732" s="22" t="s">
        <v>8131</v>
      </c>
      <c r="AE732" s="22" t="s">
        <v>8132</v>
      </c>
      <c r="AF732" s="25"/>
      <c r="AG732" s="22">
        <v>1.0460389933379E13</v>
      </c>
      <c r="AH732" s="22" t="s">
        <v>90</v>
      </c>
      <c r="AI732" s="22">
        <v>2.3427179315523E13</v>
      </c>
      <c r="AJ732" s="25"/>
      <c r="AK732" s="25"/>
      <c r="AL732" s="22" t="s">
        <v>8134</v>
      </c>
      <c r="AQ732" s="32" t="s">
        <v>8150</v>
      </c>
      <c r="AR732" s="32" t="b">
        <v>0</v>
      </c>
      <c r="AS732" s="32" t="b">
        <v>0</v>
      </c>
    </row>
    <row r="733">
      <c r="A733" s="21" t="s">
        <v>10532</v>
      </c>
      <c r="B733" s="25"/>
      <c r="C733" s="25"/>
      <c r="D733" s="22" t="s">
        <v>8221</v>
      </c>
      <c r="E733" s="25"/>
      <c r="F733" s="22" t="s">
        <v>8136</v>
      </c>
      <c r="G733" s="25"/>
      <c r="H733" s="22">
        <v>9.515678925123E12</v>
      </c>
      <c r="I733" s="25"/>
      <c r="J733" s="25"/>
      <c r="K733" s="25"/>
      <c r="L733" s="25"/>
      <c r="M733" s="25"/>
      <c r="N733" s="22" t="s">
        <v>4245</v>
      </c>
      <c r="O733" s="22" t="s">
        <v>10533</v>
      </c>
      <c r="P733" s="22" t="s">
        <v>4245</v>
      </c>
      <c r="Q733" s="22" t="s">
        <v>10533</v>
      </c>
      <c r="R733" s="22" t="s">
        <v>10534</v>
      </c>
      <c r="S733" s="25"/>
      <c r="T733" s="40" t="s">
        <v>10535</v>
      </c>
      <c r="U733" s="22" t="s">
        <v>10536</v>
      </c>
      <c r="V733" s="25"/>
      <c r="W733" s="22" t="s">
        <v>10537</v>
      </c>
      <c r="X733" s="22" t="s">
        <v>8128</v>
      </c>
      <c r="Y733" s="25"/>
      <c r="Z733" s="25"/>
      <c r="AA733" s="22" t="s">
        <v>8129</v>
      </c>
      <c r="AB733" s="22" t="s">
        <v>8130</v>
      </c>
      <c r="AC733" s="25"/>
      <c r="AD733" s="25"/>
      <c r="AE733" s="22" t="s">
        <v>8132</v>
      </c>
      <c r="AF733" s="25"/>
      <c r="AG733" s="22">
        <v>1.0460389933379E13</v>
      </c>
      <c r="AH733" s="22" t="s">
        <v>8137</v>
      </c>
      <c r="AI733" s="22">
        <v>2.3427179315523E13</v>
      </c>
      <c r="AJ733" s="25"/>
      <c r="AK733" s="25"/>
      <c r="AL733" s="22" t="s">
        <v>8136</v>
      </c>
      <c r="AR733" s="32" t="b">
        <v>0</v>
      </c>
      <c r="AS733" s="32" t="b">
        <v>0</v>
      </c>
    </row>
    <row r="734">
      <c r="A734" s="21" t="s">
        <v>10538</v>
      </c>
      <c r="B734" s="22" t="s">
        <v>8119</v>
      </c>
      <c r="C734" s="22">
        <v>1.0</v>
      </c>
      <c r="D734" s="22" t="s">
        <v>8141</v>
      </c>
      <c r="E734" s="22" t="s">
        <v>8119</v>
      </c>
      <c r="F734" s="22" t="s">
        <v>8121</v>
      </c>
      <c r="G734" s="25"/>
      <c r="H734" s="22">
        <v>3.2761050857795E13</v>
      </c>
      <c r="I734" s="25"/>
      <c r="J734" s="25"/>
      <c r="K734" s="22">
        <v>4.2085703549171E13</v>
      </c>
      <c r="L734" s="25"/>
      <c r="M734" s="25"/>
      <c r="N734" s="22" t="s">
        <v>10539</v>
      </c>
      <c r="O734" s="22" t="s">
        <v>4760</v>
      </c>
      <c r="P734" s="22" t="s">
        <v>10539</v>
      </c>
      <c r="Q734" s="22" t="s">
        <v>10540</v>
      </c>
      <c r="R734" s="22" t="s">
        <v>10541</v>
      </c>
      <c r="S734" s="25"/>
      <c r="T734" s="40" t="s">
        <v>10542</v>
      </c>
      <c r="U734" s="22" t="s">
        <v>10543</v>
      </c>
      <c r="V734" s="25"/>
      <c r="W734" s="22" t="s">
        <v>10544</v>
      </c>
      <c r="X734" s="22" t="s">
        <v>10545</v>
      </c>
      <c r="Y734" s="25"/>
      <c r="Z734" s="25"/>
      <c r="AA734" s="22" t="s">
        <v>8129</v>
      </c>
      <c r="AB734" s="22" t="s">
        <v>8130</v>
      </c>
      <c r="AC734" s="25"/>
      <c r="AD734" s="22" t="s">
        <v>8131</v>
      </c>
      <c r="AE734" s="22" t="s">
        <v>8132</v>
      </c>
      <c r="AF734" s="25"/>
      <c r="AG734" s="22">
        <v>1.0463177867587E13</v>
      </c>
      <c r="AH734" s="22" t="s">
        <v>90</v>
      </c>
      <c r="AI734" s="22">
        <v>6.480058908915E12</v>
      </c>
      <c r="AJ734" s="25"/>
      <c r="AK734" s="25"/>
      <c r="AL734" s="22" t="s">
        <v>8133</v>
      </c>
      <c r="AQ734" s="32" t="s">
        <v>8135</v>
      </c>
      <c r="AR734" s="32" t="b">
        <v>0</v>
      </c>
      <c r="AS734" s="32" t="b">
        <v>0</v>
      </c>
    </row>
    <row r="735">
      <c r="A735" s="21" t="s">
        <v>10538</v>
      </c>
      <c r="B735" s="25"/>
      <c r="C735" s="25"/>
      <c r="D735" s="22" t="s">
        <v>8141</v>
      </c>
      <c r="E735" s="25"/>
      <c r="F735" s="22" t="s">
        <v>8136</v>
      </c>
      <c r="G735" s="25"/>
      <c r="H735" s="22">
        <v>9.518172406083E12</v>
      </c>
      <c r="I735" s="25"/>
      <c r="J735" s="25"/>
      <c r="K735" s="25"/>
      <c r="L735" s="25"/>
      <c r="M735" s="25"/>
      <c r="N735" s="22" t="s">
        <v>10539</v>
      </c>
      <c r="O735" s="22" t="s">
        <v>4760</v>
      </c>
      <c r="P735" s="22" t="s">
        <v>10539</v>
      </c>
      <c r="Q735" s="22" t="s">
        <v>10540</v>
      </c>
      <c r="R735" s="22" t="s">
        <v>10541</v>
      </c>
      <c r="S735" s="25"/>
      <c r="T735" s="40" t="s">
        <v>10542</v>
      </c>
      <c r="U735" s="22" t="s">
        <v>10543</v>
      </c>
      <c r="V735" s="25"/>
      <c r="W735" s="22" t="s">
        <v>10544</v>
      </c>
      <c r="X735" s="22" t="s">
        <v>10545</v>
      </c>
      <c r="Y735" s="25"/>
      <c r="Z735" s="25"/>
      <c r="AA735" s="22" t="s">
        <v>8129</v>
      </c>
      <c r="AB735" s="22" t="s">
        <v>8130</v>
      </c>
      <c r="AC735" s="25"/>
      <c r="AD735" s="25"/>
      <c r="AE735" s="22" t="s">
        <v>8132</v>
      </c>
      <c r="AF735" s="25"/>
      <c r="AG735" s="22">
        <v>1.0463177867587E13</v>
      </c>
      <c r="AH735" s="22" t="s">
        <v>8137</v>
      </c>
      <c r="AI735" s="22">
        <v>6.480058908915E12</v>
      </c>
      <c r="AJ735" s="25"/>
      <c r="AK735" s="25"/>
      <c r="AL735" s="22" t="s">
        <v>8136</v>
      </c>
      <c r="AR735" s="32" t="b">
        <v>0</v>
      </c>
      <c r="AS735" s="32" t="b">
        <v>0</v>
      </c>
    </row>
    <row r="736">
      <c r="A736" s="21" t="s">
        <v>10546</v>
      </c>
      <c r="B736" s="22" t="s">
        <v>8140</v>
      </c>
      <c r="C736" s="22">
        <v>1.0</v>
      </c>
      <c r="D736" s="22" t="s">
        <v>8221</v>
      </c>
      <c r="E736" s="22" t="s">
        <v>8140</v>
      </c>
      <c r="F736" s="22" t="s">
        <v>8121</v>
      </c>
      <c r="G736" s="25"/>
      <c r="H736" s="22">
        <v>3.2761728598339E13</v>
      </c>
      <c r="I736" s="25"/>
      <c r="J736" s="25"/>
      <c r="K736" s="22">
        <v>4.2085703581939E13</v>
      </c>
      <c r="L736" s="25"/>
      <c r="M736" s="25"/>
      <c r="N736" s="22" t="s">
        <v>10547</v>
      </c>
      <c r="O736" s="22" t="s">
        <v>4312</v>
      </c>
      <c r="P736" s="22" t="s">
        <v>10547</v>
      </c>
      <c r="Q736" s="22" t="s">
        <v>4312</v>
      </c>
      <c r="R736" s="22" t="s">
        <v>10548</v>
      </c>
      <c r="S736" s="25"/>
      <c r="T736" s="40" t="s">
        <v>10549</v>
      </c>
      <c r="U736" s="22" t="s">
        <v>10550</v>
      </c>
      <c r="V736" s="25"/>
      <c r="W736" s="22" t="s">
        <v>10551</v>
      </c>
      <c r="X736" s="22" t="s">
        <v>8200</v>
      </c>
      <c r="Y736" s="25"/>
      <c r="Z736" s="25"/>
      <c r="AA736" s="22" t="s">
        <v>8129</v>
      </c>
      <c r="AB736" s="22" t="s">
        <v>8130</v>
      </c>
      <c r="AC736" s="25"/>
      <c r="AD736" s="22" t="s">
        <v>8131</v>
      </c>
      <c r="AE736" s="22" t="s">
        <v>8132</v>
      </c>
      <c r="AF736" s="25"/>
      <c r="AG736" s="22">
        <v>1.0463486476611E13</v>
      </c>
      <c r="AH736" s="22" t="s">
        <v>90</v>
      </c>
      <c r="AI736" s="22">
        <v>7.450020643139E12</v>
      </c>
      <c r="AJ736" s="25"/>
      <c r="AK736" s="25"/>
      <c r="AL736" s="22" t="s">
        <v>8134</v>
      </c>
      <c r="AQ736" s="32" t="s">
        <v>8150</v>
      </c>
      <c r="AR736" s="32" t="b">
        <v>0</v>
      </c>
      <c r="AS736" s="32" t="b">
        <v>0</v>
      </c>
    </row>
    <row r="737">
      <c r="A737" s="21" t="s">
        <v>10546</v>
      </c>
      <c r="B737" s="25"/>
      <c r="C737" s="25"/>
      <c r="D737" s="22" t="s">
        <v>8221</v>
      </c>
      <c r="E737" s="25"/>
      <c r="F737" s="22" t="s">
        <v>8136</v>
      </c>
      <c r="G737" s="25"/>
      <c r="H737" s="22">
        <v>9.518423376195E12</v>
      </c>
      <c r="I737" s="25"/>
      <c r="J737" s="25"/>
      <c r="K737" s="25"/>
      <c r="L737" s="25"/>
      <c r="M737" s="25"/>
      <c r="N737" s="22" t="s">
        <v>10547</v>
      </c>
      <c r="O737" s="22" t="s">
        <v>4312</v>
      </c>
      <c r="P737" s="22" t="s">
        <v>10547</v>
      </c>
      <c r="Q737" s="22" t="s">
        <v>4312</v>
      </c>
      <c r="R737" s="22" t="s">
        <v>10548</v>
      </c>
      <c r="S737" s="25"/>
      <c r="T737" s="40" t="s">
        <v>10549</v>
      </c>
      <c r="U737" s="22" t="s">
        <v>10550</v>
      </c>
      <c r="V737" s="25"/>
      <c r="W737" s="22" t="s">
        <v>10551</v>
      </c>
      <c r="X737" s="22" t="s">
        <v>8200</v>
      </c>
      <c r="Y737" s="25"/>
      <c r="Z737" s="25"/>
      <c r="AA737" s="22" t="s">
        <v>8129</v>
      </c>
      <c r="AB737" s="22" t="s">
        <v>8130</v>
      </c>
      <c r="AC737" s="25"/>
      <c r="AD737" s="25"/>
      <c r="AE737" s="22" t="s">
        <v>8132</v>
      </c>
      <c r="AF737" s="25"/>
      <c r="AG737" s="22">
        <v>1.0463486476611E13</v>
      </c>
      <c r="AH737" s="22" t="s">
        <v>8137</v>
      </c>
      <c r="AI737" s="22">
        <v>7.450020643139E12</v>
      </c>
      <c r="AJ737" s="25"/>
      <c r="AK737" s="25"/>
      <c r="AL737" s="22" t="s">
        <v>8136</v>
      </c>
      <c r="AR737" s="32" t="b">
        <v>0</v>
      </c>
      <c r="AS737" s="32" t="b">
        <v>0</v>
      </c>
    </row>
    <row r="738">
      <c r="A738" s="21" t="s">
        <v>10552</v>
      </c>
      <c r="B738" s="22" t="s">
        <v>8140</v>
      </c>
      <c r="C738" s="22">
        <v>1.0</v>
      </c>
      <c r="D738" s="22" t="s">
        <v>8175</v>
      </c>
      <c r="E738" s="22" t="s">
        <v>8140</v>
      </c>
      <c r="F738" s="22" t="s">
        <v>8121</v>
      </c>
      <c r="G738" s="25"/>
      <c r="H738" s="22">
        <v>3.2762006700355E13</v>
      </c>
      <c r="I738" s="25"/>
      <c r="J738" s="25"/>
      <c r="K738" s="22">
        <v>4.2085703581939E13</v>
      </c>
      <c r="L738" s="25"/>
      <c r="M738" s="25"/>
      <c r="N738" s="22" t="s">
        <v>6211</v>
      </c>
      <c r="O738" s="22" t="s">
        <v>10553</v>
      </c>
      <c r="P738" s="22" t="s">
        <v>6211</v>
      </c>
      <c r="Q738" s="22" t="s">
        <v>10553</v>
      </c>
      <c r="R738" s="22" t="s">
        <v>10554</v>
      </c>
      <c r="S738" s="25"/>
      <c r="T738" s="40" t="s">
        <v>10555</v>
      </c>
      <c r="U738" s="22" t="s">
        <v>10556</v>
      </c>
      <c r="V738" s="25"/>
      <c r="W738" s="22" t="s">
        <v>10557</v>
      </c>
      <c r="X738" s="22" t="s">
        <v>8380</v>
      </c>
      <c r="Y738" s="25"/>
      <c r="Z738" s="25"/>
      <c r="AA738" s="22" t="s">
        <v>8129</v>
      </c>
      <c r="AB738" s="22" t="s">
        <v>8130</v>
      </c>
      <c r="AC738" s="25"/>
      <c r="AD738" s="22" t="s">
        <v>8131</v>
      </c>
      <c r="AE738" s="22" t="s">
        <v>8132</v>
      </c>
      <c r="AF738" s="25"/>
      <c r="AG738" s="22">
        <v>1.0463612862787E13</v>
      </c>
      <c r="AH738" s="22" t="s">
        <v>90</v>
      </c>
      <c r="AI738" s="22">
        <v>2.3430702432579E13</v>
      </c>
      <c r="AJ738" s="25"/>
      <c r="AK738" s="25"/>
      <c r="AL738" s="22" t="s">
        <v>8134</v>
      </c>
      <c r="AQ738" s="32" t="s">
        <v>8150</v>
      </c>
      <c r="AR738" s="32" t="b">
        <v>0</v>
      </c>
      <c r="AS738" s="32" t="b">
        <v>0</v>
      </c>
    </row>
    <row r="739">
      <c r="A739" s="21" t="s">
        <v>10552</v>
      </c>
      <c r="B739" s="25"/>
      <c r="C739" s="25"/>
      <c r="D739" s="22" t="s">
        <v>8175</v>
      </c>
      <c r="E739" s="25"/>
      <c r="F739" s="22" t="s">
        <v>8136</v>
      </c>
      <c r="G739" s="25"/>
      <c r="H739" s="22">
        <v>9.518522990915E12</v>
      </c>
      <c r="I739" s="25"/>
      <c r="J739" s="25"/>
      <c r="K739" s="25"/>
      <c r="L739" s="25"/>
      <c r="M739" s="25"/>
      <c r="N739" s="22" t="s">
        <v>6211</v>
      </c>
      <c r="O739" s="22" t="s">
        <v>10553</v>
      </c>
      <c r="P739" s="22" t="s">
        <v>6211</v>
      </c>
      <c r="Q739" s="22" t="s">
        <v>10553</v>
      </c>
      <c r="R739" s="22" t="s">
        <v>10554</v>
      </c>
      <c r="S739" s="25"/>
      <c r="T739" s="40" t="s">
        <v>10555</v>
      </c>
      <c r="U739" s="22" t="s">
        <v>10556</v>
      </c>
      <c r="V739" s="25"/>
      <c r="W739" s="22" t="s">
        <v>10557</v>
      </c>
      <c r="X739" s="22" t="s">
        <v>8380</v>
      </c>
      <c r="Y739" s="25"/>
      <c r="Z739" s="25"/>
      <c r="AA739" s="22" t="s">
        <v>8129</v>
      </c>
      <c r="AB739" s="22" t="s">
        <v>8130</v>
      </c>
      <c r="AC739" s="25"/>
      <c r="AD739" s="25"/>
      <c r="AE739" s="22" t="s">
        <v>8132</v>
      </c>
      <c r="AF739" s="25"/>
      <c r="AG739" s="22">
        <v>1.0463612862787E13</v>
      </c>
      <c r="AH739" s="22" t="s">
        <v>8137</v>
      </c>
      <c r="AI739" s="22">
        <v>2.3430702432579E13</v>
      </c>
      <c r="AJ739" s="25"/>
      <c r="AK739" s="25"/>
      <c r="AL739" s="22" t="s">
        <v>8136</v>
      </c>
      <c r="AR739" s="32" t="b">
        <v>0</v>
      </c>
      <c r="AS739" s="32" t="b">
        <v>0</v>
      </c>
    </row>
    <row r="740">
      <c r="A740" s="21" t="s">
        <v>10558</v>
      </c>
      <c r="B740" s="22" t="s">
        <v>8140</v>
      </c>
      <c r="C740" s="22">
        <v>1.0</v>
      </c>
      <c r="D740" s="22" t="s">
        <v>8501</v>
      </c>
      <c r="E740" s="22" t="s">
        <v>8140</v>
      </c>
      <c r="F740" s="22" t="s">
        <v>8121</v>
      </c>
      <c r="G740" s="25"/>
      <c r="H740" s="22">
        <v>3.2762042876227E13</v>
      </c>
      <c r="I740" s="25"/>
      <c r="J740" s="25"/>
      <c r="K740" s="22">
        <v>4.2085703581939E13</v>
      </c>
      <c r="L740" s="25"/>
      <c r="M740" s="25"/>
      <c r="N740" s="22" t="s">
        <v>5197</v>
      </c>
      <c r="O740" s="22" t="s">
        <v>4408</v>
      </c>
      <c r="P740" s="22" t="s">
        <v>5197</v>
      </c>
      <c r="Q740" s="22" t="s">
        <v>4408</v>
      </c>
      <c r="R740" s="22" t="s">
        <v>10559</v>
      </c>
      <c r="S740" s="22" t="s">
        <v>10560</v>
      </c>
      <c r="T740" s="40" t="s">
        <v>10561</v>
      </c>
      <c r="U740" s="22">
        <v>75.0</v>
      </c>
      <c r="V740" s="22" t="s">
        <v>10562</v>
      </c>
      <c r="W740" s="22" t="s">
        <v>10563</v>
      </c>
      <c r="X740" s="22" t="s">
        <v>8268</v>
      </c>
      <c r="Y740" s="25"/>
      <c r="Z740" s="25"/>
      <c r="AA740" s="22" t="s">
        <v>8129</v>
      </c>
      <c r="AB740" s="22" t="s">
        <v>8130</v>
      </c>
      <c r="AC740" s="25"/>
      <c r="AD740" s="22" t="s">
        <v>8131</v>
      </c>
      <c r="AE740" s="22" t="s">
        <v>8132</v>
      </c>
      <c r="AF740" s="25"/>
      <c r="AG740" s="22">
        <v>1.0463626330435E13</v>
      </c>
      <c r="AH740" s="22" t="s">
        <v>90</v>
      </c>
      <c r="AI740" s="22">
        <v>8.656981557571E12</v>
      </c>
      <c r="AJ740" s="25"/>
      <c r="AK740" s="25"/>
      <c r="AL740" s="22" t="s">
        <v>8134</v>
      </c>
      <c r="AQ740" s="32" t="s">
        <v>8150</v>
      </c>
      <c r="AR740" s="32" t="b">
        <v>0</v>
      </c>
      <c r="AS740" s="32" t="b">
        <v>0</v>
      </c>
    </row>
    <row r="741">
      <c r="A741" s="21" t="s">
        <v>10558</v>
      </c>
      <c r="B741" s="25"/>
      <c r="C741" s="25"/>
      <c r="D741" s="22" t="s">
        <v>8501</v>
      </c>
      <c r="E741" s="25"/>
      <c r="F741" s="22" t="s">
        <v>8136</v>
      </c>
      <c r="G741" s="25"/>
      <c r="H741" s="22">
        <v>9.518533574979E12</v>
      </c>
      <c r="I741" s="25"/>
      <c r="J741" s="25"/>
      <c r="K741" s="25"/>
      <c r="L741" s="25"/>
      <c r="M741" s="25"/>
      <c r="N741" s="22" t="s">
        <v>5197</v>
      </c>
      <c r="O741" s="22" t="s">
        <v>4408</v>
      </c>
      <c r="P741" s="22" t="s">
        <v>5197</v>
      </c>
      <c r="Q741" s="22" t="s">
        <v>4408</v>
      </c>
      <c r="R741" s="22" t="s">
        <v>10559</v>
      </c>
      <c r="S741" s="22" t="s">
        <v>10560</v>
      </c>
      <c r="T741" s="40" t="s">
        <v>10561</v>
      </c>
      <c r="U741" s="22">
        <v>75.0</v>
      </c>
      <c r="V741" s="22" t="s">
        <v>10562</v>
      </c>
      <c r="W741" s="22" t="s">
        <v>10563</v>
      </c>
      <c r="X741" s="22" t="s">
        <v>8268</v>
      </c>
      <c r="Y741" s="25"/>
      <c r="Z741" s="25"/>
      <c r="AA741" s="22" t="s">
        <v>8129</v>
      </c>
      <c r="AB741" s="22" t="s">
        <v>8130</v>
      </c>
      <c r="AC741" s="25"/>
      <c r="AD741" s="25"/>
      <c r="AE741" s="22" t="s">
        <v>8132</v>
      </c>
      <c r="AF741" s="25"/>
      <c r="AG741" s="22">
        <v>1.0463626330435E13</v>
      </c>
      <c r="AH741" s="22" t="s">
        <v>8137</v>
      </c>
      <c r="AI741" s="22">
        <v>8.656981557571E12</v>
      </c>
      <c r="AJ741" s="25"/>
      <c r="AK741" s="25"/>
      <c r="AL741" s="22" t="s">
        <v>8136</v>
      </c>
      <c r="AR741" s="32" t="b">
        <v>0</v>
      </c>
      <c r="AS741" s="32" t="b">
        <v>0</v>
      </c>
    </row>
    <row r="742">
      <c r="A742" s="21" t="s">
        <v>10564</v>
      </c>
      <c r="B742" s="22" t="s">
        <v>8262</v>
      </c>
      <c r="C742" s="22">
        <v>1.0</v>
      </c>
      <c r="D742" s="22" t="s">
        <v>8212</v>
      </c>
      <c r="E742" s="22" t="s">
        <v>8262</v>
      </c>
      <c r="F742" s="22" t="s">
        <v>8155</v>
      </c>
      <c r="G742" s="25"/>
      <c r="H742" s="22">
        <v>3.2763040858435E13</v>
      </c>
      <c r="I742" s="25"/>
      <c r="J742" s="25"/>
      <c r="K742" s="22">
        <v>4.7338059792707E13</v>
      </c>
      <c r="L742" s="25"/>
      <c r="M742" s="25"/>
      <c r="N742" s="22" t="s">
        <v>10565</v>
      </c>
      <c r="O742" s="22" t="s">
        <v>10566</v>
      </c>
      <c r="P742" s="22" t="s">
        <v>10565</v>
      </c>
      <c r="Q742" s="22" t="s">
        <v>10566</v>
      </c>
      <c r="R742" s="22" t="s">
        <v>10567</v>
      </c>
      <c r="S742" s="25"/>
      <c r="T742" s="40" t="s">
        <v>10568</v>
      </c>
      <c r="U742" s="22" t="s">
        <v>10569</v>
      </c>
      <c r="V742" s="25"/>
      <c r="W742" s="22" t="s">
        <v>10570</v>
      </c>
      <c r="X742" s="22" t="s">
        <v>8380</v>
      </c>
      <c r="Y742" s="25"/>
      <c r="Z742" s="25"/>
      <c r="AA742" s="22" t="s">
        <v>8129</v>
      </c>
      <c r="AB742" s="22" t="s">
        <v>8130</v>
      </c>
      <c r="AC742" s="25"/>
      <c r="AD742" s="22" t="s">
        <v>8161</v>
      </c>
      <c r="AE742" s="22" t="s">
        <v>8132</v>
      </c>
      <c r="AF742" s="25"/>
      <c r="AG742" s="22">
        <v>1.0464091930947E13</v>
      </c>
      <c r="AH742" s="22" t="s">
        <v>90</v>
      </c>
      <c r="AI742" s="22">
        <v>7.439779430723E12</v>
      </c>
      <c r="AJ742" s="25"/>
      <c r="AK742" s="25"/>
      <c r="AL742" s="22" t="s">
        <v>8269</v>
      </c>
      <c r="AQ742" s="32" t="s">
        <v>91</v>
      </c>
      <c r="AR742" s="32" t="b">
        <v>0</v>
      </c>
      <c r="AS742" s="32" t="b">
        <v>0</v>
      </c>
    </row>
    <row r="743">
      <c r="A743" s="21" t="s">
        <v>10564</v>
      </c>
      <c r="B743" s="25"/>
      <c r="C743" s="25"/>
      <c r="D743" s="22" t="s">
        <v>8212</v>
      </c>
      <c r="E743" s="25"/>
      <c r="F743" s="22" t="s">
        <v>8149</v>
      </c>
      <c r="G743" s="25"/>
      <c r="H743" s="22">
        <v>9.518922203459E12</v>
      </c>
      <c r="I743" s="25"/>
      <c r="J743" s="25"/>
      <c r="K743" s="25"/>
      <c r="L743" s="25"/>
      <c r="M743" s="25"/>
      <c r="N743" s="22" t="s">
        <v>10565</v>
      </c>
      <c r="O743" s="22" t="s">
        <v>10566</v>
      </c>
      <c r="P743" s="22" t="s">
        <v>10565</v>
      </c>
      <c r="Q743" s="22" t="s">
        <v>10566</v>
      </c>
      <c r="R743" s="22" t="s">
        <v>10567</v>
      </c>
      <c r="S743" s="25"/>
      <c r="T743" s="40" t="s">
        <v>10568</v>
      </c>
      <c r="U743" s="22" t="s">
        <v>10569</v>
      </c>
      <c r="V743" s="25"/>
      <c r="W743" s="22" t="s">
        <v>10570</v>
      </c>
      <c r="X743" s="22" t="s">
        <v>8380</v>
      </c>
      <c r="Y743" s="25"/>
      <c r="Z743" s="25"/>
      <c r="AA743" s="22" t="s">
        <v>8129</v>
      </c>
      <c r="AB743" s="22" t="s">
        <v>8130</v>
      </c>
      <c r="AC743" s="25"/>
      <c r="AD743" s="25"/>
      <c r="AE743" s="22" t="s">
        <v>8132</v>
      </c>
      <c r="AF743" s="25"/>
      <c r="AG743" s="22">
        <v>1.0464091930947E13</v>
      </c>
      <c r="AH743" s="22" t="s">
        <v>8137</v>
      </c>
      <c r="AI743" s="22">
        <v>7.439779430723E12</v>
      </c>
      <c r="AJ743" s="25"/>
      <c r="AK743" s="25"/>
      <c r="AL743" s="22" t="s">
        <v>8149</v>
      </c>
      <c r="AR743" s="32" t="b">
        <v>0</v>
      </c>
      <c r="AS743" s="32" t="b">
        <v>0</v>
      </c>
    </row>
    <row r="744">
      <c r="A744" s="21" t="s">
        <v>10571</v>
      </c>
      <c r="B744" s="22" t="s">
        <v>8140</v>
      </c>
      <c r="C744" s="22">
        <v>1.0</v>
      </c>
      <c r="D744" s="22" t="s">
        <v>8305</v>
      </c>
      <c r="E744" s="22" t="s">
        <v>8140</v>
      </c>
      <c r="F744" s="22" t="s">
        <v>8121</v>
      </c>
      <c r="G744" s="25"/>
      <c r="H744" s="22">
        <v>3.2763103379779E13</v>
      </c>
      <c r="I744" s="25"/>
      <c r="J744" s="25"/>
      <c r="K744" s="22">
        <v>4.2085703581939E13</v>
      </c>
      <c r="L744" s="25"/>
      <c r="M744" s="25"/>
      <c r="N744" s="22" t="s">
        <v>4042</v>
      </c>
      <c r="O744" s="22" t="s">
        <v>10572</v>
      </c>
      <c r="P744" s="22" t="s">
        <v>4042</v>
      </c>
      <c r="Q744" s="22" t="s">
        <v>10572</v>
      </c>
      <c r="R744" s="22" t="s">
        <v>10573</v>
      </c>
      <c r="S744" s="25"/>
      <c r="T744" s="40" t="s">
        <v>10574</v>
      </c>
      <c r="U744" s="22" t="s">
        <v>10575</v>
      </c>
      <c r="V744" s="25"/>
      <c r="W744" s="22" t="s">
        <v>10576</v>
      </c>
      <c r="X744" s="22" t="s">
        <v>8251</v>
      </c>
      <c r="Y744" s="25"/>
      <c r="Z744" s="25"/>
      <c r="AA744" s="22" t="s">
        <v>8129</v>
      </c>
      <c r="AB744" s="22" t="s">
        <v>8130</v>
      </c>
      <c r="AC744" s="25"/>
      <c r="AD744" s="22" t="s">
        <v>8131</v>
      </c>
      <c r="AE744" s="22" t="s">
        <v>8132</v>
      </c>
      <c r="AF744" s="25"/>
      <c r="AG744" s="22">
        <v>1.0464122208579E13</v>
      </c>
      <c r="AH744" s="22" t="s">
        <v>90</v>
      </c>
      <c r="AI744" s="22">
        <v>7.450075693379E12</v>
      </c>
      <c r="AJ744" s="25"/>
      <c r="AK744" s="25"/>
      <c r="AL744" s="22" t="s">
        <v>8134</v>
      </c>
      <c r="AQ744" s="32" t="s">
        <v>8150</v>
      </c>
      <c r="AR744" s="32" t="b">
        <v>0</v>
      </c>
      <c r="AS744" s="32" t="b">
        <v>0</v>
      </c>
    </row>
    <row r="745">
      <c r="A745" s="21" t="s">
        <v>10571</v>
      </c>
      <c r="B745" s="25"/>
      <c r="C745" s="25"/>
      <c r="D745" s="22" t="s">
        <v>8305</v>
      </c>
      <c r="E745" s="25"/>
      <c r="F745" s="22" t="s">
        <v>8136</v>
      </c>
      <c r="G745" s="25"/>
      <c r="H745" s="22">
        <v>9.518949794115E12</v>
      </c>
      <c r="I745" s="25"/>
      <c r="J745" s="25"/>
      <c r="K745" s="25"/>
      <c r="L745" s="25"/>
      <c r="M745" s="25"/>
      <c r="N745" s="22" t="s">
        <v>4042</v>
      </c>
      <c r="O745" s="22" t="s">
        <v>10572</v>
      </c>
      <c r="P745" s="22" t="s">
        <v>4042</v>
      </c>
      <c r="Q745" s="22" t="s">
        <v>10572</v>
      </c>
      <c r="R745" s="22" t="s">
        <v>10573</v>
      </c>
      <c r="S745" s="25"/>
      <c r="T745" s="40" t="s">
        <v>10574</v>
      </c>
      <c r="U745" s="22" t="s">
        <v>10575</v>
      </c>
      <c r="V745" s="25"/>
      <c r="W745" s="22" t="s">
        <v>10576</v>
      </c>
      <c r="X745" s="22" t="s">
        <v>8251</v>
      </c>
      <c r="Y745" s="25"/>
      <c r="Z745" s="25"/>
      <c r="AA745" s="22" t="s">
        <v>8129</v>
      </c>
      <c r="AB745" s="22" t="s">
        <v>8130</v>
      </c>
      <c r="AC745" s="25"/>
      <c r="AD745" s="25"/>
      <c r="AE745" s="22" t="s">
        <v>8132</v>
      </c>
      <c r="AF745" s="25"/>
      <c r="AG745" s="22">
        <v>1.0464122208579E13</v>
      </c>
      <c r="AH745" s="22" t="s">
        <v>8137</v>
      </c>
      <c r="AI745" s="22">
        <v>7.450075693379E12</v>
      </c>
      <c r="AJ745" s="25"/>
      <c r="AK745" s="25"/>
      <c r="AL745" s="22" t="s">
        <v>8136</v>
      </c>
      <c r="AR745" s="32" t="b">
        <v>0</v>
      </c>
      <c r="AS745" s="32" t="b">
        <v>0</v>
      </c>
    </row>
    <row r="746">
      <c r="A746" s="21" t="s">
        <v>10577</v>
      </c>
      <c r="B746" s="22" t="s">
        <v>8370</v>
      </c>
      <c r="C746" s="22">
        <v>1.0</v>
      </c>
      <c r="D746" s="22" t="s">
        <v>8501</v>
      </c>
      <c r="E746" s="22" t="s">
        <v>8370</v>
      </c>
      <c r="F746" s="22" t="s">
        <v>8155</v>
      </c>
      <c r="G746" s="25"/>
      <c r="H746" s="22">
        <v>3.2763113046339E13</v>
      </c>
      <c r="I746" s="25"/>
      <c r="J746" s="25"/>
      <c r="K746" s="22">
        <v>4.9521175494979E13</v>
      </c>
      <c r="L746" s="25"/>
      <c r="M746" s="25"/>
      <c r="N746" s="22" t="s">
        <v>10578</v>
      </c>
      <c r="O746" s="22" t="s">
        <v>10579</v>
      </c>
      <c r="P746" s="22" t="s">
        <v>10578</v>
      </c>
      <c r="Q746" s="22" t="s">
        <v>10580</v>
      </c>
      <c r="R746" s="22" t="s">
        <v>10581</v>
      </c>
      <c r="S746" s="25"/>
      <c r="T746" s="40" t="s">
        <v>10582</v>
      </c>
      <c r="U746" s="22" t="s">
        <v>10583</v>
      </c>
      <c r="V746" s="25"/>
      <c r="W746" s="22" t="s">
        <v>10584</v>
      </c>
      <c r="X746" s="22" t="s">
        <v>10585</v>
      </c>
      <c r="Y746" s="25"/>
      <c r="Z746" s="25"/>
      <c r="AA746" s="22" t="s">
        <v>8129</v>
      </c>
      <c r="AB746" s="22" t="s">
        <v>8130</v>
      </c>
      <c r="AC746" s="25"/>
      <c r="AD746" s="22" t="s">
        <v>8161</v>
      </c>
      <c r="AE746" s="22" t="s">
        <v>8132</v>
      </c>
      <c r="AF746" s="25"/>
      <c r="AG746" s="22">
        <v>1.0464126697795E13</v>
      </c>
      <c r="AH746" s="22" t="s">
        <v>90</v>
      </c>
      <c r="AI746" s="22">
        <v>7.442708300099E12</v>
      </c>
      <c r="AJ746" s="25"/>
      <c r="AK746" s="25"/>
      <c r="AL746" s="22" t="s">
        <v>8138</v>
      </c>
      <c r="AQ746" s="32" t="s">
        <v>91</v>
      </c>
      <c r="AR746" s="32" t="b">
        <v>0</v>
      </c>
      <c r="AS746" s="32" t="b">
        <v>1</v>
      </c>
    </row>
    <row r="747">
      <c r="A747" s="21" t="s">
        <v>10577</v>
      </c>
      <c r="B747" s="25"/>
      <c r="C747" s="25"/>
      <c r="D747" s="22" t="s">
        <v>8501</v>
      </c>
      <c r="E747" s="25"/>
      <c r="F747" s="22" t="s">
        <v>8149</v>
      </c>
      <c r="G747" s="25"/>
      <c r="H747" s="22">
        <v>9.518953922883E12</v>
      </c>
      <c r="I747" s="25"/>
      <c r="J747" s="25"/>
      <c r="K747" s="25"/>
      <c r="L747" s="25"/>
      <c r="M747" s="25"/>
      <c r="N747" s="22" t="s">
        <v>10578</v>
      </c>
      <c r="O747" s="22" t="s">
        <v>10579</v>
      </c>
      <c r="P747" s="22" t="s">
        <v>10578</v>
      </c>
      <c r="Q747" s="22" t="s">
        <v>10580</v>
      </c>
      <c r="R747" s="22" t="s">
        <v>10581</v>
      </c>
      <c r="S747" s="25"/>
      <c r="T747" s="40" t="s">
        <v>10582</v>
      </c>
      <c r="U747" s="22" t="s">
        <v>10583</v>
      </c>
      <c r="V747" s="25"/>
      <c r="W747" s="22" t="s">
        <v>10584</v>
      </c>
      <c r="X747" s="22" t="s">
        <v>10585</v>
      </c>
      <c r="Y747" s="25"/>
      <c r="Z747" s="25"/>
      <c r="AA747" s="22" t="s">
        <v>8129</v>
      </c>
      <c r="AB747" s="22" t="s">
        <v>8130</v>
      </c>
      <c r="AC747" s="25"/>
      <c r="AD747" s="25"/>
      <c r="AE747" s="22" t="s">
        <v>8132</v>
      </c>
      <c r="AF747" s="25"/>
      <c r="AG747" s="22">
        <v>1.0464126697795E13</v>
      </c>
      <c r="AH747" s="22" t="s">
        <v>8137</v>
      </c>
      <c r="AI747" s="22">
        <v>7.442708300099E12</v>
      </c>
      <c r="AJ747" s="25"/>
      <c r="AK747" s="25"/>
      <c r="AL747" s="22" t="s">
        <v>8149</v>
      </c>
      <c r="AR747" s="32" t="b">
        <v>0</v>
      </c>
      <c r="AS747" s="32" t="b">
        <v>0</v>
      </c>
    </row>
    <row r="748">
      <c r="A748" s="21" t="s">
        <v>10586</v>
      </c>
      <c r="B748" s="22" t="s">
        <v>8140</v>
      </c>
      <c r="C748" s="22">
        <v>1.0</v>
      </c>
      <c r="D748" s="22" t="s">
        <v>8501</v>
      </c>
      <c r="E748" s="22" t="s">
        <v>8140</v>
      </c>
      <c r="F748" s="22" t="s">
        <v>8121</v>
      </c>
      <c r="G748" s="25"/>
      <c r="H748" s="22">
        <v>3.2763372568899E13</v>
      </c>
      <c r="I748" s="25"/>
      <c r="J748" s="25"/>
      <c r="K748" s="22">
        <v>4.2085703581939E13</v>
      </c>
      <c r="L748" s="25"/>
      <c r="M748" s="25"/>
      <c r="N748" s="22" t="s">
        <v>10587</v>
      </c>
      <c r="O748" s="22" t="s">
        <v>10588</v>
      </c>
      <c r="P748" s="22" t="s">
        <v>10587</v>
      </c>
      <c r="Q748" s="22" t="s">
        <v>10588</v>
      </c>
      <c r="R748" s="22" t="s">
        <v>10589</v>
      </c>
      <c r="S748" s="25"/>
      <c r="T748" s="40" t="s">
        <v>10590</v>
      </c>
      <c r="U748" s="22" t="s">
        <v>10591</v>
      </c>
      <c r="V748" s="25"/>
      <c r="W748" s="22" t="s">
        <v>10592</v>
      </c>
      <c r="X748" s="22" t="s">
        <v>8251</v>
      </c>
      <c r="Y748" s="25"/>
      <c r="Z748" s="25"/>
      <c r="AA748" s="22" t="s">
        <v>8129</v>
      </c>
      <c r="AB748" s="22" t="s">
        <v>8130</v>
      </c>
      <c r="AC748" s="25"/>
      <c r="AD748" s="22" t="s">
        <v>8131</v>
      </c>
      <c r="AE748" s="22" t="s">
        <v>8132</v>
      </c>
      <c r="AF748" s="25"/>
      <c r="AG748" s="22">
        <v>1.0464241910083E13</v>
      </c>
      <c r="AH748" s="22" t="s">
        <v>90</v>
      </c>
      <c r="AI748" s="22">
        <v>8.565569126723E12</v>
      </c>
      <c r="AJ748" s="25"/>
      <c r="AK748" s="25"/>
      <c r="AL748" s="22" t="s">
        <v>8134</v>
      </c>
      <c r="AQ748" s="32" t="s">
        <v>8150</v>
      </c>
      <c r="AR748" s="32" t="b">
        <v>0</v>
      </c>
      <c r="AS748" s="32" t="b">
        <v>0</v>
      </c>
    </row>
    <row r="749">
      <c r="A749" s="21" t="s">
        <v>10586</v>
      </c>
      <c r="B749" s="25"/>
      <c r="C749" s="25"/>
      <c r="D749" s="22" t="s">
        <v>8501</v>
      </c>
      <c r="E749" s="25"/>
      <c r="F749" s="22" t="s">
        <v>8136</v>
      </c>
      <c r="G749" s="25"/>
      <c r="H749" s="22">
        <v>9.519061598531E12</v>
      </c>
      <c r="I749" s="25"/>
      <c r="J749" s="25"/>
      <c r="K749" s="25"/>
      <c r="L749" s="25"/>
      <c r="M749" s="25"/>
      <c r="N749" s="22" t="s">
        <v>10587</v>
      </c>
      <c r="O749" s="22" t="s">
        <v>10588</v>
      </c>
      <c r="P749" s="22" t="s">
        <v>10587</v>
      </c>
      <c r="Q749" s="22" t="s">
        <v>10588</v>
      </c>
      <c r="R749" s="22" t="s">
        <v>10589</v>
      </c>
      <c r="S749" s="25"/>
      <c r="T749" s="40" t="s">
        <v>10590</v>
      </c>
      <c r="U749" s="22" t="s">
        <v>10591</v>
      </c>
      <c r="V749" s="25"/>
      <c r="W749" s="22" t="s">
        <v>10592</v>
      </c>
      <c r="X749" s="22" t="s">
        <v>8251</v>
      </c>
      <c r="Y749" s="25"/>
      <c r="Z749" s="25"/>
      <c r="AA749" s="22" t="s">
        <v>8129</v>
      </c>
      <c r="AB749" s="22" t="s">
        <v>8130</v>
      </c>
      <c r="AC749" s="25"/>
      <c r="AD749" s="25"/>
      <c r="AE749" s="22" t="s">
        <v>8132</v>
      </c>
      <c r="AF749" s="25"/>
      <c r="AG749" s="22">
        <v>1.0464241910083E13</v>
      </c>
      <c r="AH749" s="22" t="s">
        <v>8137</v>
      </c>
      <c r="AI749" s="22">
        <v>8.565569126723E12</v>
      </c>
      <c r="AJ749" s="25"/>
      <c r="AK749" s="25"/>
      <c r="AL749" s="22" t="s">
        <v>8136</v>
      </c>
      <c r="AR749" s="32" t="b">
        <v>0</v>
      </c>
      <c r="AS749" s="32" t="b">
        <v>0</v>
      </c>
    </row>
    <row r="750">
      <c r="A750" s="21" t="s">
        <v>10593</v>
      </c>
      <c r="B750" s="22" t="s">
        <v>8119</v>
      </c>
      <c r="C750" s="22">
        <v>1.0</v>
      </c>
      <c r="D750" s="22" t="s">
        <v>8221</v>
      </c>
      <c r="E750" s="22" t="s">
        <v>8119</v>
      </c>
      <c r="F750" s="22" t="s">
        <v>8121</v>
      </c>
      <c r="G750" s="25"/>
      <c r="H750" s="22">
        <v>3.2763786002755E13</v>
      </c>
      <c r="I750" s="25"/>
      <c r="J750" s="25"/>
      <c r="K750" s="22">
        <v>4.2085703549171E13</v>
      </c>
      <c r="L750" s="25"/>
      <c r="M750" s="25"/>
      <c r="N750" s="22" t="s">
        <v>10594</v>
      </c>
      <c r="O750" s="22" t="s">
        <v>9649</v>
      </c>
      <c r="P750" s="22" t="s">
        <v>10594</v>
      </c>
      <c r="Q750" s="22" t="s">
        <v>9649</v>
      </c>
      <c r="R750" s="22" t="s">
        <v>10595</v>
      </c>
      <c r="S750" s="25"/>
      <c r="T750" s="40" t="s">
        <v>10596</v>
      </c>
      <c r="U750" s="22" t="s">
        <v>10597</v>
      </c>
      <c r="V750" s="25"/>
      <c r="W750" s="22" t="s">
        <v>10598</v>
      </c>
      <c r="X750" s="22" t="s">
        <v>8289</v>
      </c>
      <c r="Y750" s="25"/>
      <c r="Z750" s="25"/>
      <c r="AA750" s="22" t="s">
        <v>8129</v>
      </c>
      <c r="AB750" s="22" t="s">
        <v>8130</v>
      </c>
      <c r="AC750" s="25"/>
      <c r="AD750" s="22" t="s">
        <v>8131</v>
      </c>
      <c r="AE750" s="22" t="s">
        <v>8132</v>
      </c>
      <c r="AF750" s="25"/>
      <c r="AG750" s="22">
        <v>1.0464418136387E13</v>
      </c>
      <c r="AH750" s="22" t="s">
        <v>90</v>
      </c>
      <c r="AI750" s="22">
        <v>6.461335929075E12</v>
      </c>
      <c r="AJ750" s="25"/>
      <c r="AK750" s="25"/>
      <c r="AL750" s="22" t="s">
        <v>8133</v>
      </c>
      <c r="AQ750" s="32" t="s">
        <v>8135</v>
      </c>
      <c r="AR750" s="32" t="b">
        <v>0</v>
      </c>
      <c r="AS750" s="32" t="b">
        <v>0</v>
      </c>
    </row>
    <row r="751">
      <c r="A751" s="21" t="s">
        <v>10593</v>
      </c>
      <c r="B751" s="25"/>
      <c r="C751" s="25"/>
      <c r="D751" s="22" t="s">
        <v>8221</v>
      </c>
      <c r="E751" s="25"/>
      <c r="F751" s="22" t="s">
        <v>8136</v>
      </c>
      <c r="G751" s="25"/>
      <c r="H751" s="22">
        <v>9.519229436227E12</v>
      </c>
      <c r="I751" s="25"/>
      <c r="J751" s="25"/>
      <c r="K751" s="25"/>
      <c r="L751" s="25"/>
      <c r="M751" s="25"/>
      <c r="N751" s="22" t="s">
        <v>10594</v>
      </c>
      <c r="O751" s="22" t="s">
        <v>9649</v>
      </c>
      <c r="P751" s="22" t="s">
        <v>10594</v>
      </c>
      <c r="Q751" s="22" t="s">
        <v>9649</v>
      </c>
      <c r="R751" s="22" t="s">
        <v>10595</v>
      </c>
      <c r="S751" s="25"/>
      <c r="T751" s="40" t="s">
        <v>10596</v>
      </c>
      <c r="U751" s="22" t="s">
        <v>10597</v>
      </c>
      <c r="V751" s="25"/>
      <c r="W751" s="22" t="s">
        <v>10598</v>
      </c>
      <c r="X751" s="22" t="s">
        <v>8289</v>
      </c>
      <c r="Y751" s="25"/>
      <c r="Z751" s="25"/>
      <c r="AA751" s="22" t="s">
        <v>8129</v>
      </c>
      <c r="AB751" s="22" t="s">
        <v>8130</v>
      </c>
      <c r="AC751" s="25"/>
      <c r="AD751" s="25"/>
      <c r="AE751" s="22" t="s">
        <v>8132</v>
      </c>
      <c r="AF751" s="25"/>
      <c r="AG751" s="22">
        <v>1.0464418136387E13</v>
      </c>
      <c r="AH751" s="22" t="s">
        <v>8137</v>
      </c>
      <c r="AI751" s="22">
        <v>6.461335929075E12</v>
      </c>
      <c r="AJ751" s="25"/>
      <c r="AK751" s="25"/>
      <c r="AL751" s="22" t="s">
        <v>8136</v>
      </c>
      <c r="AR751" s="32" t="b">
        <v>0</v>
      </c>
      <c r="AS751" s="32" t="b">
        <v>0</v>
      </c>
    </row>
    <row r="752">
      <c r="A752" s="21" t="s">
        <v>10599</v>
      </c>
      <c r="B752" s="22" t="s">
        <v>8119</v>
      </c>
      <c r="C752" s="22">
        <v>1.0</v>
      </c>
      <c r="D752" s="22" t="s">
        <v>8278</v>
      </c>
      <c r="E752" s="22" t="s">
        <v>8119</v>
      </c>
      <c r="F752" s="22" t="s">
        <v>8121</v>
      </c>
      <c r="G752" s="25"/>
      <c r="H752" s="22">
        <v>3.2763888927043E13</v>
      </c>
      <c r="I752" s="25"/>
      <c r="J752" s="25"/>
      <c r="K752" s="22">
        <v>4.2085703549171E13</v>
      </c>
      <c r="L752" s="25"/>
      <c r="M752" s="25"/>
      <c r="N752" s="22" t="s">
        <v>4848</v>
      </c>
      <c r="O752" s="22" t="s">
        <v>10600</v>
      </c>
      <c r="P752" s="22" t="s">
        <v>4848</v>
      </c>
      <c r="Q752" s="22" t="s">
        <v>10601</v>
      </c>
      <c r="R752" s="22" t="s">
        <v>10602</v>
      </c>
      <c r="S752" s="25"/>
      <c r="T752" s="40" t="s">
        <v>10603</v>
      </c>
      <c r="U752" s="22" t="s">
        <v>10604</v>
      </c>
      <c r="V752" s="25"/>
      <c r="W752" s="22" t="s">
        <v>10605</v>
      </c>
      <c r="X752" s="22" t="s">
        <v>8380</v>
      </c>
      <c r="Y752" s="25"/>
      <c r="Z752" s="25"/>
      <c r="AA752" s="22" t="s">
        <v>8129</v>
      </c>
      <c r="AB752" s="22" t="s">
        <v>8130</v>
      </c>
      <c r="AC752" s="25"/>
      <c r="AD752" s="22" t="s">
        <v>8131</v>
      </c>
      <c r="AE752" s="22" t="s">
        <v>8132</v>
      </c>
      <c r="AF752" s="25"/>
      <c r="AG752" s="22">
        <v>1.0464463159619E13</v>
      </c>
      <c r="AH752" s="22" t="s">
        <v>90</v>
      </c>
      <c r="AI752" s="22">
        <v>7.449369379139E12</v>
      </c>
      <c r="AJ752" s="25"/>
      <c r="AK752" s="25"/>
      <c r="AL752" s="22" t="s">
        <v>8133</v>
      </c>
      <c r="AQ752" s="32" t="s">
        <v>8135</v>
      </c>
      <c r="AR752" s="32" t="b">
        <v>0</v>
      </c>
      <c r="AS752" s="32" t="b">
        <v>0</v>
      </c>
    </row>
    <row r="753">
      <c r="A753" s="21" t="s">
        <v>10599</v>
      </c>
      <c r="B753" s="25"/>
      <c r="C753" s="25"/>
      <c r="D753" s="22" t="s">
        <v>8278</v>
      </c>
      <c r="E753" s="25"/>
      <c r="F753" s="22" t="s">
        <v>8136</v>
      </c>
      <c r="G753" s="25"/>
      <c r="H753" s="22">
        <v>9.519272198467E12</v>
      </c>
      <c r="I753" s="25"/>
      <c r="J753" s="25"/>
      <c r="K753" s="25"/>
      <c r="L753" s="25"/>
      <c r="M753" s="25"/>
      <c r="N753" s="22" t="s">
        <v>4848</v>
      </c>
      <c r="O753" s="22" t="s">
        <v>10600</v>
      </c>
      <c r="P753" s="22" t="s">
        <v>4848</v>
      </c>
      <c r="Q753" s="22" t="s">
        <v>10601</v>
      </c>
      <c r="R753" s="22" t="s">
        <v>10602</v>
      </c>
      <c r="S753" s="25"/>
      <c r="T753" s="40" t="s">
        <v>10603</v>
      </c>
      <c r="U753" s="22" t="s">
        <v>10604</v>
      </c>
      <c r="V753" s="25"/>
      <c r="W753" s="22" t="s">
        <v>10605</v>
      </c>
      <c r="X753" s="22" t="s">
        <v>8380</v>
      </c>
      <c r="Y753" s="25"/>
      <c r="Z753" s="25"/>
      <c r="AA753" s="22" t="s">
        <v>8129</v>
      </c>
      <c r="AB753" s="22" t="s">
        <v>8130</v>
      </c>
      <c r="AC753" s="25"/>
      <c r="AD753" s="25"/>
      <c r="AE753" s="22" t="s">
        <v>8132</v>
      </c>
      <c r="AF753" s="25"/>
      <c r="AG753" s="22">
        <v>1.0464463159619E13</v>
      </c>
      <c r="AH753" s="22" t="s">
        <v>8137</v>
      </c>
      <c r="AI753" s="22">
        <v>7.449369379139E12</v>
      </c>
      <c r="AJ753" s="25"/>
      <c r="AK753" s="25"/>
      <c r="AL753" s="22" t="s">
        <v>8136</v>
      </c>
      <c r="AR753" s="32" t="b">
        <v>0</v>
      </c>
      <c r="AS753" s="32" t="b">
        <v>0</v>
      </c>
    </row>
    <row r="754">
      <c r="A754" s="21" t="s">
        <v>10606</v>
      </c>
      <c r="B754" s="22" t="s">
        <v>8429</v>
      </c>
      <c r="C754" s="22">
        <v>1.0</v>
      </c>
      <c r="D754" s="22" t="s">
        <v>8221</v>
      </c>
      <c r="E754" s="22" t="s">
        <v>8429</v>
      </c>
      <c r="F754" s="22" t="s">
        <v>8155</v>
      </c>
      <c r="G754" s="25"/>
      <c r="H754" s="22">
        <v>3.2763928215875E13</v>
      </c>
      <c r="I754" s="25"/>
      <c r="J754" s="25"/>
      <c r="K754" s="22">
        <v>4.9521175527747E13</v>
      </c>
      <c r="L754" s="25"/>
      <c r="M754" s="25"/>
      <c r="N754" s="22" t="s">
        <v>10607</v>
      </c>
      <c r="O754" s="22" t="s">
        <v>10608</v>
      </c>
      <c r="P754" s="22" t="s">
        <v>10607</v>
      </c>
      <c r="Q754" s="22" t="s">
        <v>10608</v>
      </c>
      <c r="R754" s="22" t="s">
        <v>10609</v>
      </c>
      <c r="S754" s="25"/>
      <c r="T754" s="40" t="s">
        <v>10610</v>
      </c>
      <c r="U754" s="22" t="s">
        <v>10611</v>
      </c>
      <c r="V754" s="25"/>
      <c r="W754" s="22" t="s">
        <v>10612</v>
      </c>
      <c r="X754" s="22" t="s">
        <v>8128</v>
      </c>
      <c r="Y754" s="25"/>
      <c r="Z754" s="25"/>
      <c r="AA754" s="22" t="s">
        <v>8129</v>
      </c>
      <c r="AB754" s="22" t="s">
        <v>8130</v>
      </c>
      <c r="AC754" s="25"/>
      <c r="AD754" s="22" t="s">
        <v>8161</v>
      </c>
      <c r="AE754" s="22" t="s">
        <v>8132</v>
      </c>
      <c r="AF754" s="25"/>
      <c r="AG754" s="22">
        <v>1.0464479740227E13</v>
      </c>
      <c r="AH754" s="22" t="s">
        <v>90</v>
      </c>
      <c r="AI754" s="22">
        <v>2.3431621181763E13</v>
      </c>
      <c r="AJ754" s="25"/>
      <c r="AK754" s="25"/>
      <c r="AL754" s="22" t="s">
        <v>8201</v>
      </c>
      <c r="AQ754" s="32" t="s">
        <v>95</v>
      </c>
      <c r="AR754" s="32" t="b">
        <v>0</v>
      </c>
      <c r="AS754" s="32" t="b">
        <v>1</v>
      </c>
    </row>
    <row r="755">
      <c r="A755" s="21" t="s">
        <v>10606</v>
      </c>
      <c r="B755" s="25"/>
      <c r="C755" s="25"/>
      <c r="D755" s="22" t="s">
        <v>8221</v>
      </c>
      <c r="E755" s="25"/>
      <c r="F755" s="22" t="s">
        <v>8149</v>
      </c>
      <c r="G755" s="25"/>
      <c r="H755" s="22">
        <v>9.519287927107E12</v>
      </c>
      <c r="I755" s="25"/>
      <c r="J755" s="25"/>
      <c r="K755" s="25"/>
      <c r="L755" s="25"/>
      <c r="M755" s="25"/>
      <c r="N755" s="22" t="s">
        <v>10607</v>
      </c>
      <c r="O755" s="22" t="s">
        <v>10608</v>
      </c>
      <c r="P755" s="22" t="s">
        <v>10607</v>
      </c>
      <c r="Q755" s="22" t="s">
        <v>10608</v>
      </c>
      <c r="R755" s="22" t="s">
        <v>10609</v>
      </c>
      <c r="S755" s="25"/>
      <c r="T755" s="40" t="s">
        <v>10610</v>
      </c>
      <c r="U755" s="22" t="s">
        <v>10611</v>
      </c>
      <c r="V755" s="25"/>
      <c r="W755" s="22" t="s">
        <v>10612</v>
      </c>
      <c r="X755" s="22" t="s">
        <v>8128</v>
      </c>
      <c r="Y755" s="25"/>
      <c r="Z755" s="25"/>
      <c r="AA755" s="22" t="s">
        <v>8129</v>
      </c>
      <c r="AB755" s="22" t="s">
        <v>8130</v>
      </c>
      <c r="AC755" s="25"/>
      <c r="AD755" s="25"/>
      <c r="AE755" s="22" t="s">
        <v>8132</v>
      </c>
      <c r="AF755" s="25"/>
      <c r="AG755" s="22">
        <v>1.0464479740227E13</v>
      </c>
      <c r="AH755" s="22" t="s">
        <v>8137</v>
      </c>
      <c r="AI755" s="22">
        <v>2.3431621181763E13</v>
      </c>
      <c r="AJ755" s="25"/>
      <c r="AK755" s="25"/>
      <c r="AL755" s="22" t="s">
        <v>8149</v>
      </c>
      <c r="AR755" s="32" t="b">
        <v>0</v>
      </c>
      <c r="AS755" s="32" t="b">
        <v>0</v>
      </c>
    </row>
    <row r="756">
      <c r="A756" s="21" t="s">
        <v>10613</v>
      </c>
      <c r="B756" s="22" t="s">
        <v>8140</v>
      </c>
      <c r="C756" s="22">
        <v>1.0</v>
      </c>
      <c r="D756" s="22" t="s">
        <v>8221</v>
      </c>
      <c r="E756" s="22" t="s">
        <v>8140</v>
      </c>
      <c r="F756" s="22" t="s">
        <v>8121</v>
      </c>
      <c r="G756" s="25"/>
      <c r="H756" s="22">
        <v>3.2763964162371E13</v>
      </c>
      <c r="I756" s="25"/>
      <c r="J756" s="25"/>
      <c r="K756" s="22">
        <v>4.2085703581939E13</v>
      </c>
      <c r="L756" s="25"/>
      <c r="M756" s="25"/>
      <c r="N756" s="22" t="s">
        <v>4778</v>
      </c>
      <c r="O756" s="22" t="s">
        <v>10614</v>
      </c>
      <c r="P756" s="22" t="s">
        <v>4778</v>
      </c>
      <c r="Q756" s="22" t="s">
        <v>10614</v>
      </c>
      <c r="R756" s="22" t="s">
        <v>10615</v>
      </c>
      <c r="S756" s="25"/>
      <c r="T756" s="40" t="s">
        <v>10616</v>
      </c>
      <c r="U756" s="22" t="s">
        <v>9368</v>
      </c>
      <c r="V756" s="22" t="s">
        <v>10617</v>
      </c>
      <c r="W756" s="22" t="s">
        <v>10618</v>
      </c>
      <c r="X756" s="22" t="s">
        <v>8289</v>
      </c>
      <c r="Y756" s="25"/>
      <c r="Z756" s="25"/>
      <c r="AA756" s="22" t="s">
        <v>8129</v>
      </c>
      <c r="AB756" s="22" t="s">
        <v>8130</v>
      </c>
      <c r="AC756" s="25"/>
      <c r="AD756" s="22" t="s">
        <v>8131</v>
      </c>
      <c r="AE756" s="22" t="s">
        <v>8132</v>
      </c>
      <c r="AF756" s="25"/>
      <c r="AG756" s="22">
        <v>1.0464495010115E13</v>
      </c>
      <c r="AH756" s="22" t="s">
        <v>90</v>
      </c>
      <c r="AI756" s="22">
        <v>2.3431638155587E13</v>
      </c>
      <c r="AJ756" s="25"/>
      <c r="AK756" s="25"/>
      <c r="AL756" s="22" t="s">
        <v>8134</v>
      </c>
      <c r="AQ756" s="32" t="s">
        <v>8150</v>
      </c>
      <c r="AR756" s="32" t="b">
        <v>0</v>
      </c>
      <c r="AS756" s="32" t="b">
        <v>0</v>
      </c>
    </row>
    <row r="757">
      <c r="A757" s="21" t="s">
        <v>10613</v>
      </c>
      <c r="B757" s="25"/>
      <c r="C757" s="25"/>
      <c r="D757" s="22" t="s">
        <v>8221</v>
      </c>
      <c r="E757" s="25"/>
      <c r="F757" s="22" t="s">
        <v>8136</v>
      </c>
      <c r="G757" s="25"/>
      <c r="H757" s="22">
        <v>9.519302607171E12</v>
      </c>
      <c r="I757" s="25"/>
      <c r="J757" s="25"/>
      <c r="K757" s="25"/>
      <c r="L757" s="25"/>
      <c r="M757" s="25"/>
      <c r="N757" s="22" t="s">
        <v>4778</v>
      </c>
      <c r="O757" s="22" t="s">
        <v>10614</v>
      </c>
      <c r="P757" s="22" t="s">
        <v>4778</v>
      </c>
      <c r="Q757" s="22" t="s">
        <v>10614</v>
      </c>
      <c r="R757" s="22" t="s">
        <v>10615</v>
      </c>
      <c r="S757" s="25"/>
      <c r="T757" s="40" t="s">
        <v>10616</v>
      </c>
      <c r="U757" s="22" t="s">
        <v>9368</v>
      </c>
      <c r="V757" s="22" t="s">
        <v>10617</v>
      </c>
      <c r="W757" s="22" t="s">
        <v>10618</v>
      </c>
      <c r="X757" s="22" t="s">
        <v>8289</v>
      </c>
      <c r="Y757" s="25"/>
      <c r="Z757" s="25"/>
      <c r="AA757" s="22" t="s">
        <v>8129</v>
      </c>
      <c r="AB757" s="22" t="s">
        <v>8130</v>
      </c>
      <c r="AC757" s="25"/>
      <c r="AD757" s="25"/>
      <c r="AE757" s="22" t="s">
        <v>8132</v>
      </c>
      <c r="AF757" s="25"/>
      <c r="AG757" s="22">
        <v>1.0464495010115E13</v>
      </c>
      <c r="AH757" s="22" t="s">
        <v>8137</v>
      </c>
      <c r="AI757" s="22">
        <v>2.3431638155587E13</v>
      </c>
      <c r="AJ757" s="25"/>
      <c r="AK757" s="25"/>
      <c r="AL757" s="22" t="s">
        <v>8136</v>
      </c>
      <c r="AR757" s="32" t="b">
        <v>0</v>
      </c>
      <c r="AS757" s="32" t="b">
        <v>0</v>
      </c>
    </row>
    <row r="758">
      <c r="A758" s="21" t="s">
        <v>10619</v>
      </c>
      <c r="B758" s="22" t="s">
        <v>8119</v>
      </c>
      <c r="C758" s="22">
        <v>1.0</v>
      </c>
      <c r="D758" s="22" t="s">
        <v>8221</v>
      </c>
      <c r="E758" s="22" t="s">
        <v>8119</v>
      </c>
      <c r="F758" s="22" t="s">
        <v>8121</v>
      </c>
      <c r="G758" s="25"/>
      <c r="H758" s="22">
        <v>3.2764191146307E13</v>
      </c>
      <c r="I758" s="25"/>
      <c r="J758" s="25"/>
      <c r="K758" s="22">
        <v>4.2085703549171E13</v>
      </c>
      <c r="L758" s="25"/>
      <c r="M758" s="25"/>
      <c r="N758" s="22" t="s">
        <v>4060</v>
      </c>
      <c r="O758" s="22" t="s">
        <v>10620</v>
      </c>
      <c r="P758" s="22" t="s">
        <v>4060</v>
      </c>
      <c r="Q758" s="22" t="s">
        <v>10620</v>
      </c>
      <c r="R758" s="22" t="s">
        <v>10621</v>
      </c>
      <c r="S758" s="25"/>
      <c r="T758" s="40" t="s">
        <v>10622</v>
      </c>
      <c r="U758" s="22" t="s">
        <v>10623</v>
      </c>
      <c r="V758" s="25"/>
      <c r="W758" s="22" t="s">
        <v>10624</v>
      </c>
      <c r="X758" s="22" t="s">
        <v>10625</v>
      </c>
      <c r="Y758" s="25"/>
      <c r="Z758" s="25"/>
      <c r="AA758" s="22" t="s">
        <v>8129</v>
      </c>
      <c r="AB758" s="22" t="s">
        <v>8130</v>
      </c>
      <c r="AC758" s="25"/>
      <c r="AD758" s="22" t="s">
        <v>8131</v>
      </c>
      <c r="AE758" s="22" t="s">
        <v>8132</v>
      </c>
      <c r="AF758" s="25"/>
      <c r="AG758" s="22">
        <v>1.0464593740099E13</v>
      </c>
      <c r="AH758" s="22" t="s">
        <v>90</v>
      </c>
      <c r="AI758" s="22">
        <v>2.3431753335107E13</v>
      </c>
      <c r="AJ758" s="25"/>
      <c r="AK758" s="25"/>
      <c r="AL758" s="22" t="s">
        <v>8133</v>
      </c>
      <c r="AQ758" s="32" t="s">
        <v>8135</v>
      </c>
      <c r="AR758" s="32" t="b">
        <v>0</v>
      </c>
      <c r="AS758" s="32" t="b">
        <v>0</v>
      </c>
    </row>
    <row r="759">
      <c r="A759" s="21" t="s">
        <v>10619</v>
      </c>
      <c r="B759" s="25"/>
      <c r="C759" s="25"/>
      <c r="D759" s="22" t="s">
        <v>8221</v>
      </c>
      <c r="E759" s="25"/>
      <c r="F759" s="22" t="s">
        <v>8136</v>
      </c>
      <c r="G759" s="25"/>
      <c r="H759" s="22">
        <v>9.519395602755E12</v>
      </c>
      <c r="I759" s="25"/>
      <c r="J759" s="25"/>
      <c r="K759" s="25"/>
      <c r="L759" s="25"/>
      <c r="M759" s="25"/>
      <c r="N759" s="22" t="s">
        <v>4060</v>
      </c>
      <c r="O759" s="22" t="s">
        <v>10620</v>
      </c>
      <c r="P759" s="22" t="s">
        <v>4060</v>
      </c>
      <c r="Q759" s="22" t="s">
        <v>10620</v>
      </c>
      <c r="R759" s="22" t="s">
        <v>10621</v>
      </c>
      <c r="S759" s="25"/>
      <c r="T759" s="40" t="s">
        <v>10622</v>
      </c>
      <c r="U759" s="22" t="s">
        <v>10623</v>
      </c>
      <c r="V759" s="25"/>
      <c r="W759" s="22" t="s">
        <v>10624</v>
      </c>
      <c r="X759" s="22" t="s">
        <v>10625</v>
      </c>
      <c r="Y759" s="25"/>
      <c r="Z759" s="25"/>
      <c r="AA759" s="22" t="s">
        <v>8129</v>
      </c>
      <c r="AB759" s="22" t="s">
        <v>8130</v>
      </c>
      <c r="AC759" s="25"/>
      <c r="AD759" s="25"/>
      <c r="AE759" s="22" t="s">
        <v>8132</v>
      </c>
      <c r="AF759" s="25"/>
      <c r="AG759" s="22">
        <v>1.0464593740099E13</v>
      </c>
      <c r="AH759" s="22" t="s">
        <v>8137</v>
      </c>
      <c r="AI759" s="22">
        <v>2.3431753335107E13</v>
      </c>
      <c r="AJ759" s="25"/>
      <c r="AK759" s="25"/>
      <c r="AL759" s="22" t="s">
        <v>8136</v>
      </c>
      <c r="AR759" s="32" t="b">
        <v>0</v>
      </c>
      <c r="AS759" s="32" t="b">
        <v>0</v>
      </c>
    </row>
    <row r="760">
      <c r="A760" s="21" t="s">
        <v>10626</v>
      </c>
      <c r="B760" s="22" t="s">
        <v>8140</v>
      </c>
      <c r="C760" s="22">
        <v>1.0</v>
      </c>
      <c r="D760" s="22" t="s">
        <v>8221</v>
      </c>
      <c r="E760" s="22" t="s">
        <v>8140</v>
      </c>
      <c r="F760" s="22" t="s">
        <v>8121</v>
      </c>
      <c r="G760" s="25"/>
      <c r="H760" s="22">
        <v>3.2764209201475E13</v>
      </c>
      <c r="I760" s="25"/>
      <c r="J760" s="25"/>
      <c r="K760" s="22">
        <v>4.2085703581939E13</v>
      </c>
      <c r="L760" s="25"/>
      <c r="M760" s="25"/>
      <c r="N760" s="22" t="s">
        <v>5742</v>
      </c>
      <c r="O760" s="22" t="s">
        <v>10627</v>
      </c>
      <c r="P760" s="22" t="s">
        <v>5742</v>
      </c>
      <c r="Q760" s="22" t="s">
        <v>10627</v>
      </c>
      <c r="R760" s="22" t="s">
        <v>10628</v>
      </c>
      <c r="S760" s="25"/>
      <c r="T760" s="40" t="s">
        <v>10629</v>
      </c>
      <c r="U760" s="22" t="s">
        <v>10630</v>
      </c>
      <c r="V760" s="25"/>
      <c r="W760" s="22" t="s">
        <v>10631</v>
      </c>
      <c r="X760" s="22" t="s">
        <v>4148</v>
      </c>
      <c r="Y760" s="25"/>
      <c r="Z760" s="25"/>
      <c r="AA760" s="22" t="s">
        <v>8129</v>
      </c>
      <c r="AB760" s="22" t="s">
        <v>8130</v>
      </c>
      <c r="AC760" s="25"/>
      <c r="AD760" s="22" t="s">
        <v>8131</v>
      </c>
      <c r="AE760" s="22" t="s">
        <v>8132</v>
      </c>
      <c r="AF760" s="25"/>
      <c r="AG760" s="22">
        <v>1.0464600949059E13</v>
      </c>
      <c r="AH760" s="22" t="s">
        <v>90</v>
      </c>
      <c r="AI760" s="22">
        <v>2.3431757955395E13</v>
      </c>
      <c r="AJ760" s="25"/>
      <c r="AK760" s="25"/>
      <c r="AL760" s="22" t="s">
        <v>8134</v>
      </c>
      <c r="AQ760" s="32" t="s">
        <v>8150</v>
      </c>
      <c r="AR760" s="32" t="b">
        <v>0</v>
      </c>
      <c r="AS760" s="32" t="b">
        <v>0</v>
      </c>
    </row>
    <row r="761">
      <c r="A761" s="21" t="s">
        <v>10626</v>
      </c>
      <c r="B761" s="25"/>
      <c r="C761" s="25"/>
      <c r="D761" s="22" t="s">
        <v>8221</v>
      </c>
      <c r="E761" s="25"/>
      <c r="F761" s="22" t="s">
        <v>8136</v>
      </c>
      <c r="G761" s="25"/>
      <c r="H761" s="22">
        <v>9.519402516803E12</v>
      </c>
      <c r="I761" s="25"/>
      <c r="J761" s="25"/>
      <c r="K761" s="25"/>
      <c r="L761" s="25"/>
      <c r="M761" s="25"/>
      <c r="N761" s="22" t="s">
        <v>5742</v>
      </c>
      <c r="O761" s="22" t="s">
        <v>10627</v>
      </c>
      <c r="P761" s="22" t="s">
        <v>5742</v>
      </c>
      <c r="Q761" s="22" t="s">
        <v>10627</v>
      </c>
      <c r="R761" s="22" t="s">
        <v>10628</v>
      </c>
      <c r="S761" s="25"/>
      <c r="T761" s="40" t="s">
        <v>10629</v>
      </c>
      <c r="U761" s="22" t="s">
        <v>10630</v>
      </c>
      <c r="V761" s="25"/>
      <c r="W761" s="22" t="s">
        <v>10631</v>
      </c>
      <c r="X761" s="22" t="s">
        <v>4148</v>
      </c>
      <c r="Y761" s="25"/>
      <c r="Z761" s="25"/>
      <c r="AA761" s="22" t="s">
        <v>8129</v>
      </c>
      <c r="AB761" s="22" t="s">
        <v>8130</v>
      </c>
      <c r="AC761" s="25"/>
      <c r="AD761" s="25"/>
      <c r="AE761" s="22" t="s">
        <v>8132</v>
      </c>
      <c r="AF761" s="25"/>
      <c r="AG761" s="22">
        <v>1.0464600949059E13</v>
      </c>
      <c r="AH761" s="22" t="s">
        <v>8137</v>
      </c>
      <c r="AI761" s="22">
        <v>2.3431757955395E13</v>
      </c>
      <c r="AJ761" s="25"/>
      <c r="AK761" s="25"/>
      <c r="AL761" s="22" t="s">
        <v>8136</v>
      </c>
      <c r="AR761" s="32" t="b">
        <v>0</v>
      </c>
      <c r="AS761" s="32" t="b">
        <v>0</v>
      </c>
    </row>
    <row r="762">
      <c r="A762" s="21" t="s">
        <v>10632</v>
      </c>
      <c r="B762" s="22" t="s">
        <v>8140</v>
      </c>
      <c r="C762" s="22">
        <v>1.0</v>
      </c>
      <c r="D762" s="22" t="s">
        <v>8175</v>
      </c>
      <c r="E762" s="22" t="s">
        <v>8140</v>
      </c>
      <c r="F762" s="22" t="s">
        <v>8121</v>
      </c>
      <c r="G762" s="25"/>
      <c r="H762" s="22">
        <v>3.2764262678851E13</v>
      </c>
      <c r="I762" s="25"/>
      <c r="J762" s="25"/>
      <c r="K762" s="22">
        <v>4.2085703581939E13</v>
      </c>
      <c r="L762" s="25"/>
      <c r="M762" s="25"/>
      <c r="N762" s="22" t="s">
        <v>6045</v>
      </c>
      <c r="O762" s="22" t="s">
        <v>10633</v>
      </c>
      <c r="P762" s="22" t="s">
        <v>6045</v>
      </c>
      <c r="Q762" s="22" t="s">
        <v>10633</v>
      </c>
      <c r="R762" s="22" t="s">
        <v>10634</v>
      </c>
      <c r="S762" s="25"/>
      <c r="T762" s="40" t="s">
        <v>10635</v>
      </c>
      <c r="U762" s="22" t="s">
        <v>10636</v>
      </c>
      <c r="V762" s="25"/>
      <c r="W762" s="22" t="s">
        <v>10637</v>
      </c>
      <c r="X762" s="22" t="s">
        <v>8289</v>
      </c>
      <c r="Y762" s="25"/>
      <c r="Z762" s="25"/>
      <c r="AA762" s="22" t="s">
        <v>8129</v>
      </c>
      <c r="AB762" s="22" t="s">
        <v>8130</v>
      </c>
      <c r="AC762" s="25"/>
      <c r="AD762" s="22" t="s">
        <v>8131</v>
      </c>
      <c r="AE762" s="22" t="s">
        <v>8132</v>
      </c>
      <c r="AF762" s="25"/>
      <c r="AG762" s="22">
        <v>1.0464624902467E13</v>
      </c>
      <c r="AH762" s="22" t="s">
        <v>90</v>
      </c>
      <c r="AI762" s="22">
        <v>8.622475870531E12</v>
      </c>
      <c r="AJ762" s="25"/>
      <c r="AK762" s="25"/>
      <c r="AL762" s="22" t="s">
        <v>8134</v>
      </c>
      <c r="AQ762" s="32" t="s">
        <v>8150</v>
      </c>
      <c r="AR762" s="32" t="b">
        <v>0</v>
      </c>
      <c r="AS762" s="32" t="b">
        <v>0</v>
      </c>
    </row>
    <row r="763">
      <c r="A763" s="21" t="s">
        <v>10632</v>
      </c>
      <c r="B763" s="25"/>
      <c r="C763" s="25"/>
      <c r="D763" s="22" t="s">
        <v>8175</v>
      </c>
      <c r="E763" s="25"/>
      <c r="F763" s="22" t="s">
        <v>8136</v>
      </c>
      <c r="G763" s="25"/>
      <c r="H763" s="22">
        <v>9.519423291715E12</v>
      </c>
      <c r="I763" s="25"/>
      <c r="J763" s="25"/>
      <c r="K763" s="25"/>
      <c r="L763" s="25"/>
      <c r="M763" s="25"/>
      <c r="N763" s="22" t="s">
        <v>6045</v>
      </c>
      <c r="O763" s="22" t="s">
        <v>10633</v>
      </c>
      <c r="P763" s="22" t="s">
        <v>6045</v>
      </c>
      <c r="Q763" s="22" t="s">
        <v>10633</v>
      </c>
      <c r="R763" s="22" t="s">
        <v>10634</v>
      </c>
      <c r="S763" s="25"/>
      <c r="T763" s="40" t="s">
        <v>10635</v>
      </c>
      <c r="U763" s="22" t="s">
        <v>10636</v>
      </c>
      <c r="V763" s="25"/>
      <c r="W763" s="22" t="s">
        <v>10637</v>
      </c>
      <c r="X763" s="22" t="s">
        <v>8289</v>
      </c>
      <c r="Y763" s="25"/>
      <c r="Z763" s="25"/>
      <c r="AA763" s="22" t="s">
        <v>8129</v>
      </c>
      <c r="AB763" s="22" t="s">
        <v>8130</v>
      </c>
      <c r="AC763" s="25"/>
      <c r="AD763" s="25"/>
      <c r="AE763" s="22" t="s">
        <v>8132</v>
      </c>
      <c r="AF763" s="25"/>
      <c r="AG763" s="22">
        <v>1.0464624902467E13</v>
      </c>
      <c r="AH763" s="22" t="s">
        <v>8137</v>
      </c>
      <c r="AI763" s="22">
        <v>8.622475870531E12</v>
      </c>
      <c r="AJ763" s="25"/>
      <c r="AK763" s="25"/>
      <c r="AL763" s="22" t="s">
        <v>8136</v>
      </c>
      <c r="AR763" s="32" t="b">
        <v>0</v>
      </c>
      <c r="AS763" s="32" t="b">
        <v>0</v>
      </c>
    </row>
    <row r="764">
      <c r="A764" s="21" t="s">
        <v>10638</v>
      </c>
      <c r="B764" s="22" t="s">
        <v>8262</v>
      </c>
      <c r="C764" s="22">
        <v>1.0</v>
      </c>
      <c r="D764" s="22" t="s">
        <v>8175</v>
      </c>
      <c r="E764" s="22" t="s">
        <v>8262</v>
      </c>
      <c r="F764" s="22" t="s">
        <v>8155</v>
      </c>
      <c r="G764" s="25"/>
      <c r="H764" s="22">
        <v>3.2764738634051E13</v>
      </c>
      <c r="I764" s="25"/>
      <c r="J764" s="25"/>
      <c r="K764" s="22">
        <v>4.7338059792707E13</v>
      </c>
      <c r="L764" s="25"/>
      <c r="M764" s="25"/>
      <c r="N764" s="22" t="s">
        <v>6730</v>
      </c>
      <c r="O764" s="22" t="s">
        <v>3725</v>
      </c>
      <c r="P764" s="22" t="s">
        <v>6730</v>
      </c>
      <c r="Q764" s="22" t="s">
        <v>3725</v>
      </c>
      <c r="R764" s="22" t="s">
        <v>10639</v>
      </c>
      <c r="S764" s="25"/>
      <c r="T764" s="40" t="s">
        <v>10640</v>
      </c>
      <c r="U764" s="22" t="s">
        <v>10641</v>
      </c>
      <c r="V764" s="25"/>
      <c r="W764" s="22" t="s">
        <v>10642</v>
      </c>
      <c r="X764" s="22" t="s">
        <v>10643</v>
      </c>
      <c r="Y764" s="25"/>
      <c r="Z764" s="25"/>
      <c r="AA764" s="22" t="s">
        <v>8129</v>
      </c>
      <c r="AB764" s="22" t="s">
        <v>8130</v>
      </c>
      <c r="AC764" s="25"/>
      <c r="AD764" s="22" t="s">
        <v>8161</v>
      </c>
      <c r="AE764" s="22" t="s">
        <v>8132</v>
      </c>
      <c r="AF764" s="25"/>
      <c r="AG764" s="22">
        <v>1.0464846184771E13</v>
      </c>
      <c r="AH764" s="22" t="s">
        <v>90</v>
      </c>
      <c r="AI764" s="22">
        <v>7.479105749315E12</v>
      </c>
      <c r="AJ764" s="25"/>
      <c r="AK764" s="25"/>
      <c r="AL764" s="22" t="s">
        <v>8269</v>
      </c>
      <c r="AQ764" s="32" t="s">
        <v>91</v>
      </c>
      <c r="AR764" s="32" t="b">
        <v>0</v>
      </c>
      <c r="AS764" s="32" t="b">
        <v>0</v>
      </c>
    </row>
    <row r="765">
      <c r="A765" s="21" t="s">
        <v>10638</v>
      </c>
      <c r="B765" s="25"/>
      <c r="C765" s="25"/>
      <c r="D765" s="22" t="s">
        <v>8175</v>
      </c>
      <c r="E765" s="25"/>
      <c r="F765" s="22" t="s">
        <v>8149</v>
      </c>
      <c r="G765" s="25"/>
      <c r="H765" s="22">
        <v>9.519627829571E12</v>
      </c>
      <c r="I765" s="25"/>
      <c r="J765" s="25"/>
      <c r="K765" s="25"/>
      <c r="L765" s="25"/>
      <c r="M765" s="25"/>
      <c r="N765" s="22" t="s">
        <v>6730</v>
      </c>
      <c r="O765" s="22" t="s">
        <v>3725</v>
      </c>
      <c r="P765" s="22" t="s">
        <v>6730</v>
      </c>
      <c r="Q765" s="22" t="s">
        <v>3725</v>
      </c>
      <c r="R765" s="22" t="s">
        <v>10639</v>
      </c>
      <c r="S765" s="25"/>
      <c r="T765" s="40" t="s">
        <v>10640</v>
      </c>
      <c r="U765" s="22" t="s">
        <v>10641</v>
      </c>
      <c r="V765" s="25"/>
      <c r="W765" s="22" t="s">
        <v>10642</v>
      </c>
      <c r="X765" s="22" t="s">
        <v>10643</v>
      </c>
      <c r="Y765" s="25"/>
      <c r="Z765" s="25"/>
      <c r="AA765" s="22" t="s">
        <v>8129</v>
      </c>
      <c r="AB765" s="22" t="s">
        <v>8130</v>
      </c>
      <c r="AC765" s="25"/>
      <c r="AD765" s="25"/>
      <c r="AE765" s="22" t="s">
        <v>8132</v>
      </c>
      <c r="AF765" s="25"/>
      <c r="AG765" s="22">
        <v>1.0464846184771E13</v>
      </c>
      <c r="AH765" s="22" t="s">
        <v>8137</v>
      </c>
      <c r="AI765" s="22">
        <v>7.479105749315E12</v>
      </c>
      <c r="AJ765" s="25"/>
      <c r="AK765" s="25"/>
      <c r="AL765" s="22" t="s">
        <v>8149</v>
      </c>
      <c r="AR765" s="32" t="b">
        <v>0</v>
      </c>
      <c r="AS765" s="32" t="b">
        <v>0</v>
      </c>
    </row>
    <row r="766">
      <c r="A766" s="21" t="s">
        <v>10644</v>
      </c>
      <c r="B766" s="22" t="s">
        <v>8370</v>
      </c>
      <c r="C766" s="22">
        <v>1.0</v>
      </c>
      <c r="D766" s="22" t="s">
        <v>8175</v>
      </c>
      <c r="E766" s="22" t="s">
        <v>8370</v>
      </c>
      <c r="F766" s="22" t="s">
        <v>8155</v>
      </c>
      <c r="G766" s="25"/>
      <c r="H766" s="22">
        <v>3.2761255723331E13</v>
      </c>
      <c r="I766" s="25"/>
      <c r="J766" s="25"/>
      <c r="K766" s="22">
        <v>4.9521175494979E13</v>
      </c>
      <c r="L766" s="25"/>
      <c r="M766" s="25"/>
      <c r="N766" s="22" t="s">
        <v>4318</v>
      </c>
      <c r="O766" s="22" t="s">
        <v>10645</v>
      </c>
      <c r="P766" s="22" t="s">
        <v>4318</v>
      </c>
      <c r="Q766" s="22" t="s">
        <v>10645</v>
      </c>
      <c r="R766" s="22" t="s">
        <v>10646</v>
      </c>
      <c r="S766" s="25"/>
      <c r="T766" s="40" t="s">
        <v>10647</v>
      </c>
      <c r="U766" s="22" t="s">
        <v>10648</v>
      </c>
      <c r="V766" s="25"/>
      <c r="W766" s="22" t="s">
        <v>10649</v>
      </c>
      <c r="X766" s="22" t="s">
        <v>8289</v>
      </c>
      <c r="Y766" s="25"/>
      <c r="Z766" s="25"/>
      <c r="AA766" s="22" t="s">
        <v>8129</v>
      </c>
      <c r="AB766" s="22" t="s">
        <v>8130</v>
      </c>
      <c r="AC766" s="25"/>
      <c r="AD766" s="22" t="s">
        <v>8161</v>
      </c>
      <c r="AE766" s="22" t="s">
        <v>8132</v>
      </c>
      <c r="AF766" s="25"/>
      <c r="AG766" s="22">
        <v>1.0463272075587E13</v>
      </c>
      <c r="AH766" s="22" t="s">
        <v>90</v>
      </c>
      <c r="AI766" s="22">
        <v>2.3430368461123E13</v>
      </c>
      <c r="AJ766" s="25"/>
      <c r="AK766" s="25"/>
      <c r="AL766" s="22" t="s">
        <v>8138</v>
      </c>
      <c r="AQ766" s="32" t="s">
        <v>91</v>
      </c>
      <c r="AR766" s="32" t="b">
        <v>0</v>
      </c>
      <c r="AS766" s="32" t="b">
        <v>1</v>
      </c>
    </row>
    <row r="767">
      <c r="A767" s="21" t="s">
        <v>10644</v>
      </c>
      <c r="B767" s="25"/>
      <c r="C767" s="25"/>
      <c r="D767" s="22" t="s">
        <v>8175</v>
      </c>
      <c r="E767" s="25"/>
      <c r="F767" s="22" t="s">
        <v>8149</v>
      </c>
      <c r="G767" s="25"/>
      <c r="H767" s="22">
        <v>9.518249443651E12</v>
      </c>
      <c r="I767" s="25"/>
      <c r="J767" s="25"/>
      <c r="K767" s="25"/>
      <c r="L767" s="25"/>
      <c r="M767" s="25"/>
      <c r="N767" s="22" t="s">
        <v>4318</v>
      </c>
      <c r="O767" s="22" t="s">
        <v>10645</v>
      </c>
      <c r="P767" s="22" t="s">
        <v>4318</v>
      </c>
      <c r="Q767" s="22" t="s">
        <v>10645</v>
      </c>
      <c r="R767" s="22" t="s">
        <v>10646</v>
      </c>
      <c r="S767" s="25"/>
      <c r="T767" s="40" t="s">
        <v>10647</v>
      </c>
      <c r="U767" s="22" t="s">
        <v>10648</v>
      </c>
      <c r="V767" s="25"/>
      <c r="W767" s="22" t="s">
        <v>10649</v>
      </c>
      <c r="X767" s="22" t="s">
        <v>8289</v>
      </c>
      <c r="Y767" s="25"/>
      <c r="Z767" s="25"/>
      <c r="AA767" s="22" t="s">
        <v>8129</v>
      </c>
      <c r="AB767" s="22" t="s">
        <v>8130</v>
      </c>
      <c r="AC767" s="25"/>
      <c r="AD767" s="25"/>
      <c r="AE767" s="22" t="s">
        <v>8132</v>
      </c>
      <c r="AF767" s="25"/>
      <c r="AG767" s="22">
        <v>1.0463272075587E13</v>
      </c>
      <c r="AH767" s="22" t="s">
        <v>8137</v>
      </c>
      <c r="AI767" s="22">
        <v>2.3430368461123E13</v>
      </c>
      <c r="AJ767" s="25"/>
      <c r="AK767" s="25"/>
      <c r="AL767" s="22" t="s">
        <v>8149</v>
      </c>
      <c r="AR767" s="32" t="b">
        <v>0</v>
      </c>
      <c r="AS767" s="32" t="b">
        <v>0</v>
      </c>
    </row>
    <row r="768">
      <c r="A768" s="21" t="s">
        <v>10650</v>
      </c>
      <c r="B768" s="22" t="s">
        <v>8140</v>
      </c>
      <c r="C768" s="22">
        <v>1.0</v>
      </c>
      <c r="D768" s="22" t="s">
        <v>8766</v>
      </c>
      <c r="E768" s="22" t="s">
        <v>8140</v>
      </c>
      <c r="F768" s="22" t="s">
        <v>8121</v>
      </c>
      <c r="G768" s="25"/>
      <c r="H768" s="22">
        <v>3.2764778578243E13</v>
      </c>
      <c r="I768" s="25"/>
      <c r="J768" s="25"/>
      <c r="K768" s="22">
        <v>4.2085703581939E13</v>
      </c>
      <c r="L768" s="25"/>
      <c r="M768" s="25"/>
      <c r="N768" s="22" t="s">
        <v>10651</v>
      </c>
      <c r="O768" s="22" t="s">
        <v>10652</v>
      </c>
      <c r="P768" s="22" t="s">
        <v>10651</v>
      </c>
      <c r="Q768" s="22" t="s">
        <v>10652</v>
      </c>
      <c r="R768" s="22" t="s">
        <v>10653</v>
      </c>
      <c r="S768" s="25"/>
      <c r="T768" s="40" t="s">
        <v>10654</v>
      </c>
      <c r="U768" s="22" t="s">
        <v>10655</v>
      </c>
      <c r="V768" s="25"/>
      <c r="W768" s="22" t="s">
        <v>10656</v>
      </c>
      <c r="X768" s="22" t="s">
        <v>10657</v>
      </c>
      <c r="Y768" s="25"/>
      <c r="Z768" s="25"/>
      <c r="AA768" s="22" t="s">
        <v>8129</v>
      </c>
      <c r="AB768" s="22" t="s">
        <v>8130</v>
      </c>
      <c r="AC768" s="25"/>
      <c r="AD768" s="22" t="s">
        <v>8131</v>
      </c>
      <c r="AE768" s="22" t="s">
        <v>8132</v>
      </c>
      <c r="AF768" s="25"/>
      <c r="AG768" s="22">
        <v>1.0464863682883E13</v>
      </c>
      <c r="AH768" s="22" t="s">
        <v>90</v>
      </c>
      <c r="AI768" s="22">
        <v>6.463909888243E12</v>
      </c>
      <c r="AJ768" s="25"/>
      <c r="AK768" s="25"/>
      <c r="AL768" s="22" t="s">
        <v>8134</v>
      </c>
      <c r="AQ768" s="32" t="s">
        <v>8150</v>
      </c>
      <c r="AR768" s="32" t="b">
        <v>0</v>
      </c>
      <c r="AS768" s="32" t="b">
        <v>0</v>
      </c>
    </row>
    <row r="769">
      <c r="A769" s="21" t="s">
        <v>10650</v>
      </c>
      <c r="B769" s="25"/>
      <c r="C769" s="25"/>
      <c r="D769" s="22" t="s">
        <v>8766</v>
      </c>
      <c r="E769" s="25"/>
      <c r="F769" s="22" t="s">
        <v>8136</v>
      </c>
      <c r="G769" s="25"/>
      <c r="H769" s="22">
        <v>9.519644737859E12</v>
      </c>
      <c r="I769" s="25"/>
      <c r="J769" s="25"/>
      <c r="K769" s="25"/>
      <c r="L769" s="25"/>
      <c r="M769" s="25"/>
      <c r="N769" s="22" t="s">
        <v>10651</v>
      </c>
      <c r="O769" s="22" t="s">
        <v>10652</v>
      </c>
      <c r="P769" s="22" t="s">
        <v>10651</v>
      </c>
      <c r="Q769" s="22" t="s">
        <v>10652</v>
      </c>
      <c r="R769" s="22" t="s">
        <v>10653</v>
      </c>
      <c r="S769" s="25"/>
      <c r="T769" s="40" t="s">
        <v>10654</v>
      </c>
      <c r="U769" s="22" t="s">
        <v>10655</v>
      </c>
      <c r="V769" s="25"/>
      <c r="W769" s="22" t="s">
        <v>10656</v>
      </c>
      <c r="X769" s="22" t="s">
        <v>10657</v>
      </c>
      <c r="Y769" s="25"/>
      <c r="Z769" s="25"/>
      <c r="AA769" s="22" t="s">
        <v>8129</v>
      </c>
      <c r="AB769" s="22" t="s">
        <v>8130</v>
      </c>
      <c r="AC769" s="25"/>
      <c r="AD769" s="25"/>
      <c r="AE769" s="22" t="s">
        <v>8132</v>
      </c>
      <c r="AF769" s="25"/>
      <c r="AG769" s="22">
        <v>1.0464863682883E13</v>
      </c>
      <c r="AH769" s="22" t="s">
        <v>8137</v>
      </c>
      <c r="AI769" s="22">
        <v>6.463909888243E12</v>
      </c>
      <c r="AJ769" s="25"/>
      <c r="AK769" s="25"/>
      <c r="AL769" s="22" t="s">
        <v>8136</v>
      </c>
      <c r="AR769" s="32" t="b">
        <v>0</v>
      </c>
      <c r="AS769" s="32" t="b">
        <v>0</v>
      </c>
    </row>
    <row r="770">
      <c r="A770" s="21" t="s">
        <v>10658</v>
      </c>
      <c r="B770" s="22" t="s">
        <v>8140</v>
      </c>
      <c r="C770" s="22">
        <v>1.0</v>
      </c>
      <c r="D770" s="22" t="s">
        <v>8175</v>
      </c>
      <c r="E770" s="22" t="s">
        <v>8140</v>
      </c>
      <c r="F770" s="22" t="s">
        <v>8121</v>
      </c>
      <c r="G770" s="25"/>
      <c r="H770" s="22">
        <v>3.2764830581059E13</v>
      </c>
      <c r="I770" s="25"/>
      <c r="J770" s="25"/>
      <c r="K770" s="22">
        <v>4.2085703581939E13</v>
      </c>
      <c r="L770" s="25"/>
      <c r="M770" s="25"/>
      <c r="N770" s="22" t="s">
        <v>5421</v>
      </c>
      <c r="O770" s="22" t="s">
        <v>10659</v>
      </c>
      <c r="P770" s="22" t="s">
        <v>5421</v>
      </c>
      <c r="Q770" s="22" t="s">
        <v>10659</v>
      </c>
      <c r="R770" s="22" t="s">
        <v>10660</v>
      </c>
      <c r="S770" s="25"/>
      <c r="T770" s="40" t="s">
        <v>10661</v>
      </c>
      <c r="U770" s="22" t="s">
        <v>10662</v>
      </c>
      <c r="V770" s="22" t="s">
        <v>9418</v>
      </c>
      <c r="W770" s="22" t="s">
        <v>10663</v>
      </c>
      <c r="X770" s="22" t="s">
        <v>8268</v>
      </c>
      <c r="Y770" s="25"/>
      <c r="Z770" s="25"/>
      <c r="AA770" s="22" t="s">
        <v>8129</v>
      </c>
      <c r="AB770" s="22" t="s">
        <v>8130</v>
      </c>
      <c r="AC770" s="25"/>
      <c r="AD770" s="22" t="s">
        <v>8131</v>
      </c>
      <c r="AE770" s="22" t="s">
        <v>8132</v>
      </c>
      <c r="AF770" s="25"/>
      <c r="AG770" s="22">
        <v>1.0464887898435E13</v>
      </c>
      <c r="AH770" s="22" t="s">
        <v>90</v>
      </c>
      <c r="AI770" s="22">
        <v>5.976926093555E12</v>
      </c>
      <c r="AJ770" s="25"/>
      <c r="AK770" s="25"/>
      <c r="AL770" s="22" t="s">
        <v>8134</v>
      </c>
      <c r="AQ770" s="32" t="s">
        <v>8150</v>
      </c>
      <c r="AR770" s="32" t="b">
        <v>0</v>
      </c>
      <c r="AS770" s="32" t="b">
        <v>0</v>
      </c>
    </row>
    <row r="771">
      <c r="A771" s="21" t="s">
        <v>10658</v>
      </c>
      <c r="B771" s="25"/>
      <c r="C771" s="25"/>
      <c r="D771" s="22" t="s">
        <v>8175</v>
      </c>
      <c r="E771" s="25"/>
      <c r="F771" s="22" t="s">
        <v>8136</v>
      </c>
      <c r="G771" s="25"/>
      <c r="H771" s="22">
        <v>9.519668396355E12</v>
      </c>
      <c r="I771" s="25"/>
      <c r="J771" s="25"/>
      <c r="K771" s="25"/>
      <c r="L771" s="25"/>
      <c r="M771" s="25"/>
      <c r="N771" s="22" t="s">
        <v>5421</v>
      </c>
      <c r="O771" s="22" t="s">
        <v>10659</v>
      </c>
      <c r="P771" s="22" t="s">
        <v>5421</v>
      </c>
      <c r="Q771" s="22" t="s">
        <v>10659</v>
      </c>
      <c r="R771" s="22" t="s">
        <v>10660</v>
      </c>
      <c r="S771" s="25"/>
      <c r="T771" s="40" t="s">
        <v>10661</v>
      </c>
      <c r="U771" s="22" t="s">
        <v>10662</v>
      </c>
      <c r="V771" s="22" t="s">
        <v>9418</v>
      </c>
      <c r="W771" s="22" t="s">
        <v>10663</v>
      </c>
      <c r="X771" s="22" t="s">
        <v>8268</v>
      </c>
      <c r="Y771" s="25"/>
      <c r="Z771" s="25"/>
      <c r="AA771" s="22" t="s">
        <v>8129</v>
      </c>
      <c r="AB771" s="22" t="s">
        <v>8130</v>
      </c>
      <c r="AC771" s="25"/>
      <c r="AD771" s="25"/>
      <c r="AE771" s="22" t="s">
        <v>8132</v>
      </c>
      <c r="AF771" s="25"/>
      <c r="AG771" s="22">
        <v>1.0464887898435E13</v>
      </c>
      <c r="AH771" s="22" t="s">
        <v>8137</v>
      </c>
      <c r="AI771" s="22">
        <v>5.976926093555E12</v>
      </c>
      <c r="AJ771" s="25"/>
      <c r="AK771" s="25"/>
      <c r="AL771" s="22" t="s">
        <v>8136</v>
      </c>
      <c r="AR771" s="32" t="b">
        <v>0</v>
      </c>
      <c r="AS771" s="32" t="b">
        <v>0</v>
      </c>
    </row>
    <row r="772">
      <c r="A772" s="21" t="s">
        <v>10664</v>
      </c>
      <c r="B772" s="22" t="s">
        <v>8429</v>
      </c>
      <c r="C772" s="22">
        <v>1.0</v>
      </c>
      <c r="D772" s="22" t="s">
        <v>8221</v>
      </c>
      <c r="E772" s="22" t="s">
        <v>8429</v>
      </c>
      <c r="F772" s="22" t="s">
        <v>8155</v>
      </c>
      <c r="G772" s="25"/>
      <c r="H772" s="22">
        <v>3.2764846670147E13</v>
      </c>
      <c r="I772" s="25"/>
      <c r="J772" s="25"/>
      <c r="K772" s="22">
        <v>4.9521175527747E13</v>
      </c>
      <c r="L772" s="25"/>
      <c r="M772" s="25"/>
      <c r="N772" s="22" t="s">
        <v>10019</v>
      </c>
      <c r="O772" s="22" t="s">
        <v>10665</v>
      </c>
      <c r="P772" s="22" t="s">
        <v>10019</v>
      </c>
      <c r="Q772" s="22" t="s">
        <v>10666</v>
      </c>
      <c r="R772" s="22" t="s">
        <v>10667</v>
      </c>
      <c r="S772" s="25"/>
      <c r="T772" s="40" t="s">
        <v>10668</v>
      </c>
      <c r="U772" s="22" t="s">
        <v>10669</v>
      </c>
      <c r="V772" s="25"/>
      <c r="W772" s="22" t="s">
        <v>10670</v>
      </c>
      <c r="X772" s="22" t="s">
        <v>8380</v>
      </c>
      <c r="Y772" s="25"/>
      <c r="Z772" s="25"/>
      <c r="AA772" s="22" t="s">
        <v>8129</v>
      </c>
      <c r="AB772" s="22" t="s">
        <v>8130</v>
      </c>
      <c r="AC772" s="25"/>
      <c r="AD772" s="22" t="s">
        <v>8161</v>
      </c>
      <c r="AE772" s="22" t="s">
        <v>8132</v>
      </c>
      <c r="AF772" s="25"/>
      <c r="AG772" s="22">
        <v>1.0464894878019E13</v>
      </c>
      <c r="AH772" s="22" t="s">
        <v>90</v>
      </c>
      <c r="AI772" s="22">
        <v>7.429256642883E12</v>
      </c>
      <c r="AJ772" s="25"/>
      <c r="AK772" s="25"/>
      <c r="AL772" s="22" t="s">
        <v>8201</v>
      </c>
      <c r="AQ772" s="32" t="s">
        <v>95</v>
      </c>
      <c r="AR772" s="32" t="b">
        <v>0</v>
      </c>
      <c r="AS772" s="32" t="b">
        <v>1</v>
      </c>
    </row>
    <row r="773">
      <c r="A773" s="21" t="s">
        <v>10664</v>
      </c>
      <c r="B773" s="25"/>
      <c r="C773" s="25"/>
      <c r="D773" s="22" t="s">
        <v>8221</v>
      </c>
      <c r="E773" s="25"/>
      <c r="F773" s="22" t="s">
        <v>8149</v>
      </c>
      <c r="G773" s="25"/>
      <c r="H773" s="22">
        <v>9.519675081027E12</v>
      </c>
      <c r="I773" s="25"/>
      <c r="J773" s="25"/>
      <c r="K773" s="25"/>
      <c r="L773" s="25"/>
      <c r="M773" s="25"/>
      <c r="N773" s="22" t="s">
        <v>10019</v>
      </c>
      <c r="O773" s="22" t="s">
        <v>10665</v>
      </c>
      <c r="P773" s="22" t="s">
        <v>10019</v>
      </c>
      <c r="Q773" s="22" t="s">
        <v>10666</v>
      </c>
      <c r="R773" s="22" t="s">
        <v>10667</v>
      </c>
      <c r="S773" s="25"/>
      <c r="T773" s="40" t="s">
        <v>10668</v>
      </c>
      <c r="U773" s="22" t="s">
        <v>10669</v>
      </c>
      <c r="V773" s="25"/>
      <c r="W773" s="22" t="s">
        <v>10670</v>
      </c>
      <c r="X773" s="22" t="s">
        <v>8380</v>
      </c>
      <c r="Y773" s="25"/>
      <c r="Z773" s="25"/>
      <c r="AA773" s="22" t="s">
        <v>8129</v>
      </c>
      <c r="AB773" s="22" t="s">
        <v>8130</v>
      </c>
      <c r="AC773" s="25"/>
      <c r="AD773" s="25"/>
      <c r="AE773" s="22" t="s">
        <v>8132</v>
      </c>
      <c r="AF773" s="25"/>
      <c r="AG773" s="22">
        <v>1.0464894878019E13</v>
      </c>
      <c r="AH773" s="22" t="s">
        <v>8137</v>
      </c>
      <c r="AI773" s="22">
        <v>7.429256642883E12</v>
      </c>
      <c r="AJ773" s="25"/>
      <c r="AK773" s="25"/>
      <c r="AL773" s="22" t="s">
        <v>8149</v>
      </c>
      <c r="AR773" s="32" t="b">
        <v>0</v>
      </c>
      <c r="AS773" s="32" t="b">
        <v>0</v>
      </c>
    </row>
    <row r="774">
      <c r="A774" s="21" t="s">
        <v>10671</v>
      </c>
      <c r="B774" s="22" t="s">
        <v>8153</v>
      </c>
      <c r="C774" s="22">
        <v>1.0</v>
      </c>
      <c r="D774" s="22" t="s">
        <v>8221</v>
      </c>
      <c r="E774" s="22" t="s">
        <v>8153</v>
      </c>
      <c r="F774" s="22" t="s">
        <v>8155</v>
      </c>
      <c r="G774" s="25"/>
      <c r="H774" s="22">
        <v>3.2764860662083E13</v>
      </c>
      <c r="I774" s="25"/>
      <c r="J774" s="25"/>
      <c r="K774" s="22">
        <v>4.7338059759939E13</v>
      </c>
      <c r="L774" s="25"/>
      <c r="M774" s="25"/>
      <c r="N774" s="22" t="s">
        <v>5170</v>
      </c>
      <c r="O774" s="22" t="s">
        <v>4485</v>
      </c>
      <c r="P774" s="22" t="s">
        <v>5170</v>
      </c>
      <c r="Q774" s="22" t="s">
        <v>4485</v>
      </c>
      <c r="R774" s="22" t="s">
        <v>10672</v>
      </c>
      <c r="S774" s="25"/>
      <c r="T774" s="40" t="s">
        <v>10673</v>
      </c>
      <c r="U774" s="22" t="s">
        <v>10674</v>
      </c>
      <c r="V774" s="25"/>
      <c r="W774" s="22" t="s">
        <v>10675</v>
      </c>
      <c r="X774" s="22" t="s">
        <v>8276</v>
      </c>
      <c r="Y774" s="25"/>
      <c r="Z774" s="25"/>
      <c r="AA774" s="22" t="s">
        <v>8129</v>
      </c>
      <c r="AB774" s="22" t="s">
        <v>8130</v>
      </c>
      <c r="AC774" s="25"/>
      <c r="AD774" s="22" t="s">
        <v>8161</v>
      </c>
      <c r="AE774" s="22" t="s">
        <v>8132</v>
      </c>
      <c r="AF774" s="25"/>
      <c r="AG774" s="22">
        <v>1.0464901857603E13</v>
      </c>
      <c r="AH774" s="22" t="s">
        <v>90</v>
      </c>
      <c r="AI774" s="22">
        <v>7.449205539139E12</v>
      </c>
      <c r="AJ774" s="25"/>
      <c r="AK774" s="25"/>
      <c r="AL774" s="22" t="s">
        <v>8162</v>
      </c>
      <c r="AQ774" s="32" t="s">
        <v>55</v>
      </c>
      <c r="AR774" s="32" t="b">
        <v>0</v>
      </c>
      <c r="AS774" s="32" t="b">
        <v>0</v>
      </c>
    </row>
    <row r="775">
      <c r="A775" s="21" t="s">
        <v>10671</v>
      </c>
      <c r="B775" s="25"/>
      <c r="C775" s="25"/>
      <c r="D775" s="22" t="s">
        <v>8221</v>
      </c>
      <c r="E775" s="25"/>
      <c r="F775" s="22" t="s">
        <v>8149</v>
      </c>
      <c r="G775" s="25"/>
      <c r="H775" s="22">
        <v>9.519681798467E12</v>
      </c>
      <c r="I775" s="25"/>
      <c r="J775" s="25"/>
      <c r="K775" s="25"/>
      <c r="L775" s="25"/>
      <c r="M775" s="25"/>
      <c r="N775" s="22" t="s">
        <v>5170</v>
      </c>
      <c r="O775" s="22" t="s">
        <v>4485</v>
      </c>
      <c r="P775" s="22" t="s">
        <v>5170</v>
      </c>
      <c r="Q775" s="22" t="s">
        <v>4485</v>
      </c>
      <c r="R775" s="22" t="s">
        <v>10672</v>
      </c>
      <c r="S775" s="25"/>
      <c r="T775" s="40" t="s">
        <v>10673</v>
      </c>
      <c r="U775" s="22" t="s">
        <v>10674</v>
      </c>
      <c r="V775" s="25"/>
      <c r="W775" s="22" t="s">
        <v>10675</v>
      </c>
      <c r="X775" s="22" t="s">
        <v>8276</v>
      </c>
      <c r="Y775" s="25"/>
      <c r="Z775" s="25"/>
      <c r="AA775" s="22" t="s">
        <v>8129</v>
      </c>
      <c r="AB775" s="22" t="s">
        <v>8130</v>
      </c>
      <c r="AC775" s="25"/>
      <c r="AD775" s="25"/>
      <c r="AE775" s="22" t="s">
        <v>8132</v>
      </c>
      <c r="AF775" s="25"/>
      <c r="AG775" s="22">
        <v>1.0464901857603E13</v>
      </c>
      <c r="AH775" s="22" t="s">
        <v>8137</v>
      </c>
      <c r="AI775" s="22">
        <v>7.449205539139E12</v>
      </c>
      <c r="AJ775" s="25"/>
      <c r="AK775" s="25"/>
      <c r="AL775" s="22" t="s">
        <v>8149</v>
      </c>
      <c r="AR775" s="32" t="b">
        <v>0</v>
      </c>
      <c r="AS775" s="32" t="b">
        <v>0</v>
      </c>
    </row>
    <row r="776">
      <c r="A776" s="21" t="s">
        <v>10676</v>
      </c>
      <c r="B776" s="22" t="s">
        <v>8467</v>
      </c>
      <c r="C776" s="22">
        <v>1.0</v>
      </c>
      <c r="D776" s="22" t="s">
        <v>10677</v>
      </c>
      <c r="E776" s="22" t="s">
        <v>8467</v>
      </c>
      <c r="F776" s="22" t="s">
        <v>8155</v>
      </c>
      <c r="G776" s="25"/>
      <c r="H776" s="22">
        <v>3.2761299140931E13</v>
      </c>
      <c r="I776" s="25"/>
      <c r="J776" s="25"/>
      <c r="K776" s="22">
        <v>4.9521175462211E13</v>
      </c>
      <c r="L776" s="25"/>
      <c r="M776" s="25"/>
      <c r="N776" s="22" t="s">
        <v>7585</v>
      </c>
      <c r="O776" s="22" t="s">
        <v>4259</v>
      </c>
      <c r="P776" s="22" t="s">
        <v>7585</v>
      </c>
      <c r="Q776" s="22" t="s">
        <v>4259</v>
      </c>
      <c r="R776" s="22" t="s">
        <v>10678</v>
      </c>
      <c r="S776" s="25"/>
      <c r="T776" s="40" t="s">
        <v>10679</v>
      </c>
      <c r="U776" s="22" t="s">
        <v>10680</v>
      </c>
      <c r="V776" s="25"/>
      <c r="W776" s="22" t="s">
        <v>10681</v>
      </c>
      <c r="X776" s="22" t="s">
        <v>10682</v>
      </c>
      <c r="Y776" s="25"/>
      <c r="Z776" s="25"/>
      <c r="AA776" s="22" t="s">
        <v>8129</v>
      </c>
      <c r="AB776" s="22" t="s">
        <v>8130</v>
      </c>
      <c r="AC776" s="25"/>
      <c r="AD776" s="22" t="s">
        <v>8161</v>
      </c>
      <c r="AE776" s="22" t="s">
        <v>8132</v>
      </c>
      <c r="AF776" s="25"/>
      <c r="AG776" s="22">
        <v>1.0463293047107E13</v>
      </c>
      <c r="AH776" s="22" t="s">
        <v>90</v>
      </c>
      <c r="AI776" s="22">
        <v>7.455626395971E12</v>
      </c>
      <c r="AJ776" s="25"/>
      <c r="AK776" s="25"/>
      <c r="AL776" s="22" t="s">
        <v>8173</v>
      </c>
      <c r="AQ776" s="32" t="s">
        <v>55</v>
      </c>
      <c r="AR776" s="32" t="b">
        <v>0</v>
      </c>
      <c r="AS776" s="32" t="b">
        <v>1</v>
      </c>
    </row>
    <row r="777">
      <c r="A777" s="21" t="s">
        <v>10676</v>
      </c>
      <c r="B777" s="25"/>
      <c r="C777" s="25"/>
      <c r="D777" s="22" t="s">
        <v>10677</v>
      </c>
      <c r="E777" s="25"/>
      <c r="F777" s="22" t="s">
        <v>8149</v>
      </c>
      <c r="G777" s="25"/>
      <c r="H777" s="22">
        <v>9.518265794883E12</v>
      </c>
      <c r="I777" s="25"/>
      <c r="J777" s="25"/>
      <c r="K777" s="25"/>
      <c r="L777" s="25"/>
      <c r="M777" s="25"/>
      <c r="N777" s="22" t="s">
        <v>7585</v>
      </c>
      <c r="O777" s="22" t="s">
        <v>4259</v>
      </c>
      <c r="P777" s="22" t="s">
        <v>7585</v>
      </c>
      <c r="Q777" s="22" t="s">
        <v>4259</v>
      </c>
      <c r="R777" s="22" t="s">
        <v>10678</v>
      </c>
      <c r="S777" s="25"/>
      <c r="T777" s="40" t="s">
        <v>10679</v>
      </c>
      <c r="U777" s="22" t="s">
        <v>10680</v>
      </c>
      <c r="V777" s="25"/>
      <c r="W777" s="22" t="s">
        <v>10681</v>
      </c>
      <c r="X777" s="22" t="s">
        <v>10682</v>
      </c>
      <c r="Y777" s="25"/>
      <c r="Z777" s="25"/>
      <c r="AA777" s="22" t="s">
        <v>8129</v>
      </c>
      <c r="AB777" s="22" t="s">
        <v>8130</v>
      </c>
      <c r="AC777" s="25"/>
      <c r="AD777" s="25"/>
      <c r="AE777" s="22" t="s">
        <v>8132</v>
      </c>
      <c r="AF777" s="25"/>
      <c r="AG777" s="22">
        <v>1.0463293047107E13</v>
      </c>
      <c r="AH777" s="22" t="s">
        <v>8137</v>
      </c>
      <c r="AI777" s="22">
        <v>7.455626395971E12</v>
      </c>
      <c r="AJ777" s="25"/>
      <c r="AK777" s="25"/>
      <c r="AL777" s="22" t="s">
        <v>8149</v>
      </c>
      <c r="AR777" s="32" t="b">
        <v>0</v>
      </c>
      <c r="AS777" s="32" t="b">
        <v>0</v>
      </c>
    </row>
    <row r="778">
      <c r="A778" s="21" t="s">
        <v>10683</v>
      </c>
      <c r="B778" s="22" t="s">
        <v>8119</v>
      </c>
      <c r="C778" s="22">
        <v>1.0</v>
      </c>
      <c r="D778" s="22" t="s">
        <v>8212</v>
      </c>
      <c r="E778" s="22" t="s">
        <v>8119</v>
      </c>
      <c r="F778" s="22" t="s">
        <v>8121</v>
      </c>
      <c r="G778" s="25"/>
      <c r="H778" s="22">
        <v>3.2761490800963E13</v>
      </c>
      <c r="I778" s="25"/>
      <c r="J778" s="25"/>
      <c r="K778" s="22">
        <v>4.2085703549171E13</v>
      </c>
      <c r="L778" s="25"/>
      <c r="M778" s="25"/>
      <c r="N778" s="25"/>
      <c r="O778" s="22" t="s">
        <v>10684</v>
      </c>
      <c r="P778" s="22" t="s">
        <v>10685</v>
      </c>
      <c r="Q778" s="22" t="s">
        <v>10684</v>
      </c>
      <c r="R778" s="22" t="s">
        <v>10686</v>
      </c>
      <c r="S778" s="25"/>
      <c r="T778" s="40" t="s">
        <v>10687</v>
      </c>
      <c r="U778" s="22" t="s">
        <v>10688</v>
      </c>
      <c r="V778" s="25"/>
      <c r="W778" s="22" t="s">
        <v>10689</v>
      </c>
      <c r="X778" s="22" t="s">
        <v>9035</v>
      </c>
      <c r="Y778" s="25"/>
      <c r="Z778" s="25"/>
      <c r="AA778" s="22" t="s">
        <v>8129</v>
      </c>
      <c r="AB778" s="22" t="s">
        <v>8130</v>
      </c>
      <c r="AC778" s="25"/>
      <c r="AD778" s="22" t="s">
        <v>8131</v>
      </c>
      <c r="AE778" s="22" t="s">
        <v>8132</v>
      </c>
      <c r="AF778" s="25"/>
      <c r="AG778" s="22">
        <v>1.0463380668739E13</v>
      </c>
      <c r="AH778" s="22" t="s">
        <v>90</v>
      </c>
      <c r="AI778" s="22">
        <v>6.483819200755E12</v>
      </c>
      <c r="AJ778" s="25"/>
      <c r="AK778" s="25"/>
      <c r="AL778" s="22" t="s">
        <v>8133</v>
      </c>
      <c r="AQ778" s="32" t="s">
        <v>8135</v>
      </c>
      <c r="AR778" s="32" t="b">
        <v>0</v>
      </c>
      <c r="AS778" s="32" t="b">
        <v>0</v>
      </c>
    </row>
    <row r="779">
      <c r="A779" s="21" t="s">
        <v>10683</v>
      </c>
      <c r="B779" s="25"/>
      <c r="C779" s="25"/>
      <c r="D779" s="22" t="s">
        <v>8212</v>
      </c>
      <c r="E779" s="25"/>
      <c r="F779" s="22" t="s">
        <v>8136</v>
      </c>
      <c r="G779" s="25"/>
      <c r="H779" s="22">
        <v>9.518338310467E12</v>
      </c>
      <c r="I779" s="25"/>
      <c r="J779" s="25"/>
      <c r="K779" s="25"/>
      <c r="L779" s="25"/>
      <c r="M779" s="25"/>
      <c r="N779" s="25"/>
      <c r="O779" s="22" t="s">
        <v>10684</v>
      </c>
      <c r="P779" s="22" t="s">
        <v>10685</v>
      </c>
      <c r="Q779" s="22" t="s">
        <v>10684</v>
      </c>
      <c r="R779" s="22" t="s">
        <v>10686</v>
      </c>
      <c r="S779" s="25"/>
      <c r="T779" s="40" t="s">
        <v>10687</v>
      </c>
      <c r="U779" s="22" t="s">
        <v>10688</v>
      </c>
      <c r="V779" s="25"/>
      <c r="W779" s="22" t="s">
        <v>10689</v>
      </c>
      <c r="X779" s="22" t="s">
        <v>9035</v>
      </c>
      <c r="Y779" s="25"/>
      <c r="Z779" s="25"/>
      <c r="AA779" s="22" t="s">
        <v>8129</v>
      </c>
      <c r="AB779" s="22" t="s">
        <v>8130</v>
      </c>
      <c r="AC779" s="25"/>
      <c r="AD779" s="25"/>
      <c r="AE779" s="22" t="s">
        <v>8132</v>
      </c>
      <c r="AF779" s="25"/>
      <c r="AG779" s="22">
        <v>1.0463380668739E13</v>
      </c>
      <c r="AH779" s="22" t="s">
        <v>8137</v>
      </c>
      <c r="AI779" s="22">
        <v>6.483819200755E12</v>
      </c>
      <c r="AJ779" s="25"/>
      <c r="AK779" s="25"/>
      <c r="AL779" s="22" t="s">
        <v>8136</v>
      </c>
      <c r="AR779" s="32" t="b">
        <v>0</v>
      </c>
      <c r="AS779" s="32" t="b">
        <v>0</v>
      </c>
    </row>
    <row r="780">
      <c r="A780" s="21" t="s">
        <v>10690</v>
      </c>
      <c r="B780" s="22" t="s">
        <v>8140</v>
      </c>
      <c r="C780" s="22">
        <v>1.0</v>
      </c>
      <c r="D780" s="22" t="s">
        <v>8221</v>
      </c>
      <c r="E780" s="22" t="s">
        <v>8140</v>
      </c>
      <c r="F780" s="22" t="s">
        <v>8121</v>
      </c>
      <c r="G780" s="25"/>
      <c r="H780" s="22">
        <v>3.2764774187331E13</v>
      </c>
      <c r="I780" s="25"/>
      <c r="J780" s="25"/>
      <c r="K780" s="22">
        <v>4.2085703581939E13</v>
      </c>
      <c r="L780" s="25"/>
      <c r="M780" s="25"/>
      <c r="N780" s="22" t="s">
        <v>6631</v>
      </c>
      <c r="O780" s="22" t="s">
        <v>10691</v>
      </c>
      <c r="P780" s="22" t="s">
        <v>6631</v>
      </c>
      <c r="Q780" s="22" t="s">
        <v>10691</v>
      </c>
      <c r="R780" s="22" t="s">
        <v>10692</v>
      </c>
      <c r="S780" s="25"/>
      <c r="T780" s="40" t="s">
        <v>10693</v>
      </c>
      <c r="U780" s="22" t="s">
        <v>10694</v>
      </c>
      <c r="V780" s="25"/>
      <c r="W780" s="22" t="s">
        <v>10695</v>
      </c>
      <c r="X780" s="22" t="s">
        <v>10696</v>
      </c>
      <c r="Y780" s="25"/>
      <c r="Z780" s="25"/>
      <c r="AA780" s="22" t="s">
        <v>8129</v>
      </c>
      <c r="AB780" s="22" t="s">
        <v>8130</v>
      </c>
      <c r="AC780" s="25"/>
      <c r="AD780" s="22" t="s">
        <v>8131</v>
      </c>
      <c r="AE780" s="22" t="s">
        <v>8132</v>
      </c>
      <c r="AF780" s="25"/>
      <c r="AG780" s="22">
        <v>1.0464861520195E13</v>
      </c>
      <c r="AH780" s="22" t="s">
        <v>90</v>
      </c>
      <c r="AI780" s="22">
        <v>7.470442709315E12</v>
      </c>
      <c r="AJ780" s="25"/>
      <c r="AK780" s="25"/>
      <c r="AL780" s="22" t="s">
        <v>8134</v>
      </c>
      <c r="AQ780" s="32" t="s">
        <v>8150</v>
      </c>
      <c r="AR780" s="32" t="b">
        <v>0</v>
      </c>
      <c r="AS780" s="32" t="b">
        <v>0</v>
      </c>
    </row>
    <row r="781">
      <c r="A781" s="21" t="s">
        <v>10690</v>
      </c>
      <c r="B781" s="25"/>
      <c r="C781" s="25"/>
      <c r="D781" s="22" t="s">
        <v>8221</v>
      </c>
      <c r="E781" s="25"/>
      <c r="F781" s="22" t="s">
        <v>8136</v>
      </c>
      <c r="G781" s="25"/>
      <c r="H781" s="22">
        <v>9.519642706243E12</v>
      </c>
      <c r="I781" s="25"/>
      <c r="J781" s="25"/>
      <c r="K781" s="25"/>
      <c r="L781" s="25"/>
      <c r="M781" s="25"/>
      <c r="N781" s="22" t="s">
        <v>6631</v>
      </c>
      <c r="O781" s="22" t="s">
        <v>10691</v>
      </c>
      <c r="P781" s="22" t="s">
        <v>6631</v>
      </c>
      <c r="Q781" s="22" t="s">
        <v>10691</v>
      </c>
      <c r="R781" s="22" t="s">
        <v>10692</v>
      </c>
      <c r="S781" s="25"/>
      <c r="T781" s="40" t="s">
        <v>10693</v>
      </c>
      <c r="U781" s="22" t="s">
        <v>10694</v>
      </c>
      <c r="V781" s="25"/>
      <c r="W781" s="22" t="s">
        <v>10695</v>
      </c>
      <c r="X781" s="22" t="s">
        <v>10696</v>
      </c>
      <c r="Y781" s="25"/>
      <c r="Z781" s="25"/>
      <c r="AA781" s="22" t="s">
        <v>8129</v>
      </c>
      <c r="AB781" s="22" t="s">
        <v>8130</v>
      </c>
      <c r="AC781" s="25"/>
      <c r="AD781" s="25"/>
      <c r="AE781" s="22" t="s">
        <v>8132</v>
      </c>
      <c r="AF781" s="25"/>
      <c r="AG781" s="22">
        <v>1.0464861520195E13</v>
      </c>
      <c r="AH781" s="22" t="s">
        <v>8137</v>
      </c>
      <c r="AI781" s="22">
        <v>7.470442709315E12</v>
      </c>
      <c r="AJ781" s="25"/>
      <c r="AK781" s="25"/>
      <c r="AL781" s="22" t="s">
        <v>8136</v>
      </c>
      <c r="AR781" s="32" t="b">
        <v>0</v>
      </c>
      <c r="AS781" s="32" t="b">
        <v>0</v>
      </c>
    </row>
    <row r="782">
      <c r="A782" s="21" t="s">
        <v>10697</v>
      </c>
      <c r="B782" s="22" t="s">
        <v>8119</v>
      </c>
      <c r="C782" s="22">
        <v>1.0</v>
      </c>
      <c r="D782" s="22" t="s">
        <v>8221</v>
      </c>
      <c r="E782" s="22" t="s">
        <v>8119</v>
      </c>
      <c r="F782" s="22" t="s">
        <v>8121</v>
      </c>
      <c r="G782" s="25"/>
      <c r="H782" s="22">
        <v>3.2764916269379E13</v>
      </c>
      <c r="I782" s="25"/>
      <c r="J782" s="25"/>
      <c r="K782" s="22">
        <v>4.2085703549171E13</v>
      </c>
      <c r="L782" s="25"/>
      <c r="M782" s="25"/>
      <c r="N782" s="22" t="s">
        <v>10698</v>
      </c>
      <c r="O782" s="22" t="s">
        <v>10699</v>
      </c>
      <c r="P782" s="22" t="s">
        <v>10698</v>
      </c>
      <c r="Q782" s="22" t="s">
        <v>10699</v>
      </c>
      <c r="R782" s="22" t="s">
        <v>10700</v>
      </c>
      <c r="S782" s="25"/>
      <c r="T782" s="40" t="s">
        <v>10701</v>
      </c>
      <c r="U782" s="22" t="s">
        <v>10702</v>
      </c>
      <c r="V782" s="25"/>
      <c r="W782" s="22" t="s">
        <v>10703</v>
      </c>
      <c r="X782" s="22" t="s">
        <v>10704</v>
      </c>
      <c r="Y782" s="25"/>
      <c r="Z782" s="25"/>
      <c r="AA782" s="22" t="s">
        <v>8129</v>
      </c>
      <c r="AB782" s="22" t="s">
        <v>8130</v>
      </c>
      <c r="AC782" s="25"/>
      <c r="AD782" s="22" t="s">
        <v>8131</v>
      </c>
      <c r="AE782" s="22" t="s">
        <v>8132</v>
      </c>
      <c r="AF782" s="25"/>
      <c r="AG782" s="22">
        <v>1.0464924860739E13</v>
      </c>
      <c r="AH782" s="22" t="s">
        <v>90</v>
      </c>
      <c r="AI782" s="22">
        <v>2.3432238039363E13</v>
      </c>
      <c r="AJ782" s="25"/>
      <c r="AK782" s="25"/>
      <c r="AL782" s="22" t="s">
        <v>8133</v>
      </c>
      <c r="AQ782" s="32" t="s">
        <v>8135</v>
      </c>
      <c r="AR782" s="32" t="b">
        <v>0</v>
      </c>
      <c r="AS782" s="32" t="b">
        <v>0</v>
      </c>
    </row>
    <row r="783">
      <c r="A783" s="21" t="s">
        <v>10697</v>
      </c>
      <c r="B783" s="25"/>
      <c r="C783" s="25"/>
      <c r="D783" s="22" t="s">
        <v>8221</v>
      </c>
      <c r="E783" s="25"/>
      <c r="F783" s="22" t="s">
        <v>8136</v>
      </c>
      <c r="G783" s="25"/>
      <c r="H783" s="22">
        <v>9.519703818563E12</v>
      </c>
      <c r="I783" s="25"/>
      <c r="J783" s="25"/>
      <c r="K783" s="25"/>
      <c r="L783" s="25"/>
      <c r="M783" s="25"/>
      <c r="N783" s="22" t="s">
        <v>10698</v>
      </c>
      <c r="O783" s="22" t="s">
        <v>10699</v>
      </c>
      <c r="P783" s="22" t="s">
        <v>10698</v>
      </c>
      <c r="Q783" s="22" t="s">
        <v>10699</v>
      </c>
      <c r="R783" s="22" t="s">
        <v>10700</v>
      </c>
      <c r="S783" s="25"/>
      <c r="T783" s="40" t="s">
        <v>10701</v>
      </c>
      <c r="U783" s="22" t="s">
        <v>10702</v>
      </c>
      <c r="V783" s="25"/>
      <c r="W783" s="22" t="s">
        <v>10703</v>
      </c>
      <c r="X783" s="22" t="s">
        <v>10704</v>
      </c>
      <c r="Y783" s="25"/>
      <c r="Z783" s="25"/>
      <c r="AA783" s="22" t="s">
        <v>8129</v>
      </c>
      <c r="AB783" s="22" t="s">
        <v>8130</v>
      </c>
      <c r="AC783" s="25"/>
      <c r="AD783" s="25"/>
      <c r="AE783" s="22" t="s">
        <v>8132</v>
      </c>
      <c r="AF783" s="25"/>
      <c r="AG783" s="22">
        <v>1.0464924860739E13</v>
      </c>
      <c r="AH783" s="22" t="s">
        <v>8137</v>
      </c>
      <c r="AI783" s="22">
        <v>2.3432238039363E13</v>
      </c>
      <c r="AJ783" s="25"/>
      <c r="AK783" s="25"/>
      <c r="AL783" s="22" t="s">
        <v>8136</v>
      </c>
      <c r="AR783" s="32" t="b">
        <v>0</v>
      </c>
      <c r="AS783" s="32" t="b">
        <v>0</v>
      </c>
    </row>
    <row r="784">
      <c r="A784" s="21" t="s">
        <v>10705</v>
      </c>
      <c r="B784" s="22" t="s">
        <v>8140</v>
      </c>
      <c r="C784" s="22">
        <v>1.0</v>
      </c>
      <c r="D784" s="22" t="s">
        <v>8581</v>
      </c>
      <c r="E784" s="22" t="s">
        <v>8140</v>
      </c>
      <c r="F784" s="22" t="s">
        <v>8121</v>
      </c>
      <c r="G784" s="25"/>
      <c r="H784" s="22">
        <v>3.2765055304003E13</v>
      </c>
      <c r="I784" s="25"/>
      <c r="J784" s="25"/>
      <c r="K784" s="22">
        <v>4.2085703581939E13</v>
      </c>
      <c r="L784" s="25"/>
      <c r="M784" s="25"/>
      <c r="N784" s="22" t="s">
        <v>4096</v>
      </c>
      <c r="O784" s="22" t="s">
        <v>10706</v>
      </c>
      <c r="P784" s="22" t="s">
        <v>4096</v>
      </c>
      <c r="Q784" s="22" t="s">
        <v>10706</v>
      </c>
      <c r="R784" s="22" t="s">
        <v>10707</v>
      </c>
      <c r="S784" s="25"/>
      <c r="T784" s="40" t="s">
        <v>10708</v>
      </c>
      <c r="U784" s="22" t="s">
        <v>10709</v>
      </c>
      <c r="V784" s="25"/>
      <c r="W784" s="22" t="s">
        <v>10710</v>
      </c>
      <c r="X784" s="22" t="s">
        <v>8930</v>
      </c>
      <c r="Y784" s="25"/>
      <c r="Z784" s="25"/>
      <c r="AA784" s="22" t="s">
        <v>8129</v>
      </c>
      <c r="AB784" s="22" t="s">
        <v>8130</v>
      </c>
      <c r="AC784" s="25"/>
      <c r="AD784" s="22" t="s">
        <v>8131</v>
      </c>
      <c r="AE784" s="22" t="s">
        <v>8132</v>
      </c>
      <c r="AF784" s="25"/>
      <c r="AG784" s="22">
        <v>1.0464989643075E13</v>
      </c>
      <c r="AH784" s="22" t="s">
        <v>90</v>
      </c>
      <c r="AI784" s="22">
        <v>5.977068404979E12</v>
      </c>
      <c r="AJ784" s="25"/>
      <c r="AK784" s="25"/>
      <c r="AL784" s="22" t="s">
        <v>8134</v>
      </c>
      <c r="AQ784" s="32" t="s">
        <v>8150</v>
      </c>
      <c r="AR784" s="32" t="b">
        <v>0</v>
      </c>
      <c r="AS784" s="32" t="b">
        <v>0</v>
      </c>
    </row>
    <row r="785">
      <c r="A785" s="21" t="s">
        <v>10705</v>
      </c>
      <c r="B785" s="25"/>
      <c r="C785" s="25"/>
      <c r="D785" s="22" t="s">
        <v>8581</v>
      </c>
      <c r="E785" s="25"/>
      <c r="F785" s="22" t="s">
        <v>8136</v>
      </c>
      <c r="G785" s="25"/>
      <c r="H785" s="22">
        <v>9.519765029187E12</v>
      </c>
      <c r="I785" s="25"/>
      <c r="J785" s="25"/>
      <c r="K785" s="25"/>
      <c r="L785" s="25"/>
      <c r="M785" s="25"/>
      <c r="N785" s="22" t="s">
        <v>4096</v>
      </c>
      <c r="O785" s="22" t="s">
        <v>10706</v>
      </c>
      <c r="P785" s="22" t="s">
        <v>4096</v>
      </c>
      <c r="Q785" s="22" t="s">
        <v>10706</v>
      </c>
      <c r="R785" s="22" t="s">
        <v>10707</v>
      </c>
      <c r="S785" s="25"/>
      <c r="T785" s="40" t="s">
        <v>10708</v>
      </c>
      <c r="U785" s="22" t="s">
        <v>10709</v>
      </c>
      <c r="V785" s="25"/>
      <c r="W785" s="22" t="s">
        <v>10710</v>
      </c>
      <c r="X785" s="22" t="s">
        <v>8930</v>
      </c>
      <c r="Y785" s="25"/>
      <c r="Z785" s="25"/>
      <c r="AA785" s="22" t="s">
        <v>8129</v>
      </c>
      <c r="AB785" s="22" t="s">
        <v>8130</v>
      </c>
      <c r="AC785" s="25"/>
      <c r="AD785" s="25"/>
      <c r="AE785" s="22" t="s">
        <v>8132</v>
      </c>
      <c r="AF785" s="25"/>
      <c r="AG785" s="22">
        <v>1.0464989643075E13</v>
      </c>
      <c r="AH785" s="22" t="s">
        <v>8137</v>
      </c>
      <c r="AI785" s="22">
        <v>5.977068404979E12</v>
      </c>
      <c r="AJ785" s="25"/>
      <c r="AK785" s="25"/>
      <c r="AL785" s="22" t="s">
        <v>8136</v>
      </c>
      <c r="AR785" s="32" t="b">
        <v>0</v>
      </c>
      <c r="AS785" s="32" t="b">
        <v>0</v>
      </c>
    </row>
    <row r="786">
      <c r="A786" s="21" t="s">
        <v>10711</v>
      </c>
      <c r="B786" s="22" t="s">
        <v>8140</v>
      </c>
      <c r="C786" s="22">
        <v>1.0</v>
      </c>
      <c r="D786" s="22" t="s">
        <v>8278</v>
      </c>
      <c r="E786" s="22" t="s">
        <v>8140</v>
      </c>
      <c r="F786" s="22" t="s">
        <v>8121</v>
      </c>
      <c r="G786" s="25"/>
      <c r="H786" s="22">
        <v>3.2765055861059E13</v>
      </c>
      <c r="I786" s="25"/>
      <c r="J786" s="25"/>
      <c r="K786" s="22">
        <v>4.2085703581939E13</v>
      </c>
      <c r="L786" s="25"/>
      <c r="M786" s="25"/>
      <c r="N786" s="22" t="s">
        <v>5837</v>
      </c>
      <c r="O786" s="22" t="s">
        <v>10712</v>
      </c>
      <c r="P786" s="22" t="s">
        <v>5837</v>
      </c>
      <c r="Q786" s="22" t="s">
        <v>10712</v>
      </c>
      <c r="R786" s="22" t="s">
        <v>10713</v>
      </c>
      <c r="S786" s="25"/>
      <c r="T786" s="40" t="s">
        <v>10714</v>
      </c>
      <c r="U786" s="22" t="s">
        <v>10715</v>
      </c>
      <c r="V786" s="25"/>
      <c r="W786" s="22" t="s">
        <v>10716</v>
      </c>
      <c r="X786" s="22" t="s">
        <v>10717</v>
      </c>
      <c r="Y786" s="25"/>
      <c r="Z786" s="25"/>
      <c r="AA786" s="22" t="s">
        <v>8129</v>
      </c>
      <c r="AB786" s="22" t="s">
        <v>8130</v>
      </c>
      <c r="AC786" s="25"/>
      <c r="AD786" s="22" t="s">
        <v>8131</v>
      </c>
      <c r="AE786" s="22" t="s">
        <v>8132</v>
      </c>
      <c r="AF786" s="25"/>
      <c r="AG786" s="22">
        <v>1.0464989839683E13</v>
      </c>
      <c r="AH786" s="22" t="s">
        <v>90</v>
      </c>
      <c r="AI786" s="22">
        <v>7.470831731011E12</v>
      </c>
      <c r="AJ786" s="25"/>
      <c r="AK786" s="25"/>
      <c r="AL786" s="22" t="s">
        <v>8134</v>
      </c>
      <c r="AQ786" s="32" t="s">
        <v>8150</v>
      </c>
      <c r="AR786" s="32" t="b">
        <v>0</v>
      </c>
      <c r="AS786" s="32" t="b">
        <v>0</v>
      </c>
    </row>
    <row r="787">
      <c r="A787" s="21" t="s">
        <v>10711</v>
      </c>
      <c r="B787" s="25"/>
      <c r="C787" s="25"/>
      <c r="D787" s="22" t="s">
        <v>8278</v>
      </c>
      <c r="E787" s="25"/>
      <c r="F787" s="22" t="s">
        <v>8136</v>
      </c>
      <c r="G787" s="25"/>
      <c r="H787" s="22">
        <v>9.519765258563E12</v>
      </c>
      <c r="I787" s="25"/>
      <c r="J787" s="25"/>
      <c r="K787" s="25"/>
      <c r="L787" s="25"/>
      <c r="M787" s="25"/>
      <c r="N787" s="22" t="s">
        <v>5837</v>
      </c>
      <c r="O787" s="22" t="s">
        <v>10712</v>
      </c>
      <c r="P787" s="22" t="s">
        <v>5837</v>
      </c>
      <c r="Q787" s="22" t="s">
        <v>10712</v>
      </c>
      <c r="R787" s="22" t="s">
        <v>10713</v>
      </c>
      <c r="S787" s="25"/>
      <c r="T787" s="40" t="s">
        <v>10714</v>
      </c>
      <c r="U787" s="22" t="s">
        <v>10715</v>
      </c>
      <c r="V787" s="25"/>
      <c r="W787" s="22" t="s">
        <v>10716</v>
      </c>
      <c r="X787" s="22" t="s">
        <v>10717</v>
      </c>
      <c r="Y787" s="25"/>
      <c r="Z787" s="25"/>
      <c r="AA787" s="22" t="s">
        <v>8129</v>
      </c>
      <c r="AB787" s="22" t="s">
        <v>8130</v>
      </c>
      <c r="AC787" s="25"/>
      <c r="AD787" s="25"/>
      <c r="AE787" s="22" t="s">
        <v>8132</v>
      </c>
      <c r="AF787" s="25"/>
      <c r="AG787" s="22">
        <v>1.0464989839683E13</v>
      </c>
      <c r="AH787" s="22" t="s">
        <v>8137</v>
      </c>
      <c r="AI787" s="22">
        <v>7.470831731011E12</v>
      </c>
      <c r="AJ787" s="25"/>
      <c r="AK787" s="25"/>
      <c r="AL787" s="22" t="s">
        <v>8136</v>
      </c>
      <c r="AR787" s="32" t="b">
        <v>0</v>
      </c>
      <c r="AS787" s="32" t="b">
        <v>0</v>
      </c>
    </row>
    <row r="788">
      <c r="A788" s="21" t="s">
        <v>10718</v>
      </c>
      <c r="B788" s="22" t="s">
        <v>8140</v>
      </c>
      <c r="C788" s="22">
        <v>1.0</v>
      </c>
      <c r="D788" s="22" t="s">
        <v>8212</v>
      </c>
      <c r="E788" s="22" t="s">
        <v>8140</v>
      </c>
      <c r="F788" s="22" t="s">
        <v>8121</v>
      </c>
      <c r="G788" s="25"/>
      <c r="H788" s="22">
        <v>3.2765057532227E13</v>
      </c>
      <c r="I788" s="25"/>
      <c r="J788" s="25"/>
      <c r="K788" s="22">
        <v>4.2085703581939E13</v>
      </c>
      <c r="L788" s="25"/>
      <c r="M788" s="25"/>
      <c r="N788" s="22" t="s">
        <v>7590</v>
      </c>
      <c r="O788" s="22" t="s">
        <v>10719</v>
      </c>
      <c r="P788" s="22" t="s">
        <v>7590</v>
      </c>
      <c r="Q788" s="22" t="s">
        <v>10719</v>
      </c>
      <c r="R788" s="22" t="s">
        <v>10720</v>
      </c>
      <c r="S788" s="25"/>
      <c r="T788" s="40" t="s">
        <v>10721</v>
      </c>
      <c r="U788" s="22" t="s">
        <v>10722</v>
      </c>
      <c r="V788" s="25"/>
      <c r="W788" s="22" t="s">
        <v>10723</v>
      </c>
      <c r="X788" s="22" t="s">
        <v>8289</v>
      </c>
      <c r="Y788" s="25"/>
      <c r="Z788" s="25"/>
      <c r="AA788" s="22" t="s">
        <v>8129</v>
      </c>
      <c r="AB788" s="22" t="s">
        <v>8130</v>
      </c>
      <c r="AC788" s="25"/>
      <c r="AD788" s="22" t="s">
        <v>8131</v>
      </c>
      <c r="AE788" s="22" t="s">
        <v>8132</v>
      </c>
      <c r="AF788" s="25"/>
      <c r="AG788" s="22">
        <v>1.0464990822723E13</v>
      </c>
      <c r="AH788" s="22" t="s">
        <v>90</v>
      </c>
      <c r="AI788" s="22">
        <v>5.962649895155E12</v>
      </c>
      <c r="AJ788" s="25"/>
      <c r="AK788" s="25"/>
      <c r="AL788" s="22" t="s">
        <v>8134</v>
      </c>
      <c r="AQ788" s="32" t="s">
        <v>8150</v>
      </c>
      <c r="AR788" s="32" t="b">
        <v>0</v>
      </c>
      <c r="AS788" s="32" t="b">
        <v>0</v>
      </c>
    </row>
    <row r="789">
      <c r="A789" s="21" t="s">
        <v>10718</v>
      </c>
      <c r="B789" s="25"/>
      <c r="C789" s="25"/>
      <c r="D789" s="22" t="s">
        <v>8212</v>
      </c>
      <c r="E789" s="25"/>
      <c r="F789" s="22" t="s">
        <v>8136</v>
      </c>
      <c r="G789" s="25"/>
      <c r="H789" s="22">
        <v>9.519766143299E12</v>
      </c>
      <c r="I789" s="25"/>
      <c r="J789" s="25"/>
      <c r="K789" s="25"/>
      <c r="L789" s="25"/>
      <c r="M789" s="25"/>
      <c r="N789" s="22" t="s">
        <v>7590</v>
      </c>
      <c r="O789" s="22" t="s">
        <v>10719</v>
      </c>
      <c r="P789" s="22" t="s">
        <v>7590</v>
      </c>
      <c r="Q789" s="22" t="s">
        <v>10719</v>
      </c>
      <c r="R789" s="22" t="s">
        <v>10720</v>
      </c>
      <c r="S789" s="25"/>
      <c r="T789" s="40" t="s">
        <v>10721</v>
      </c>
      <c r="U789" s="22" t="s">
        <v>10722</v>
      </c>
      <c r="V789" s="25"/>
      <c r="W789" s="22" t="s">
        <v>10723</v>
      </c>
      <c r="X789" s="22" t="s">
        <v>8289</v>
      </c>
      <c r="Y789" s="25"/>
      <c r="Z789" s="25"/>
      <c r="AA789" s="22" t="s">
        <v>8129</v>
      </c>
      <c r="AB789" s="22" t="s">
        <v>8130</v>
      </c>
      <c r="AC789" s="25"/>
      <c r="AD789" s="25"/>
      <c r="AE789" s="22" t="s">
        <v>8132</v>
      </c>
      <c r="AF789" s="25"/>
      <c r="AG789" s="22">
        <v>1.0464990822723E13</v>
      </c>
      <c r="AH789" s="22" t="s">
        <v>8137</v>
      </c>
      <c r="AI789" s="22">
        <v>5.962649895155E12</v>
      </c>
      <c r="AJ789" s="25"/>
      <c r="AK789" s="25"/>
      <c r="AL789" s="22" t="s">
        <v>8136</v>
      </c>
      <c r="AR789" s="32" t="b">
        <v>0</v>
      </c>
      <c r="AS789" s="32" t="b">
        <v>0</v>
      </c>
    </row>
    <row r="790">
      <c r="A790" s="21" t="s">
        <v>10724</v>
      </c>
      <c r="B790" s="22" t="s">
        <v>8140</v>
      </c>
      <c r="C790" s="22">
        <v>1.0</v>
      </c>
      <c r="D790" s="22" t="s">
        <v>8221</v>
      </c>
      <c r="E790" s="22" t="s">
        <v>8140</v>
      </c>
      <c r="F790" s="22" t="s">
        <v>8121</v>
      </c>
      <c r="G790" s="25"/>
      <c r="H790" s="22">
        <v>3.2765077029187E13</v>
      </c>
      <c r="I790" s="25"/>
      <c r="J790" s="25"/>
      <c r="K790" s="22">
        <v>4.2085703581939E13</v>
      </c>
      <c r="L790" s="25"/>
      <c r="M790" s="25"/>
      <c r="N790" s="22" t="s">
        <v>7018</v>
      </c>
      <c r="O790" s="22" t="s">
        <v>10725</v>
      </c>
      <c r="P790" s="22" t="s">
        <v>7018</v>
      </c>
      <c r="Q790" s="22" t="s">
        <v>10725</v>
      </c>
      <c r="R790" s="22" t="s">
        <v>10726</v>
      </c>
      <c r="S790" s="25"/>
      <c r="T790" s="40" t="s">
        <v>10727</v>
      </c>
      <c r="U790" s="22" t="s">
        <v>10728</v>
      </c>
      <c r="V790" s="25"/>
      <c r="W790" s="22" t="s">
        <v>10729</v>
      </c>
      <c r="X790" s="22" t="s">
        <v>8380</v>
      </c>
      <c r="Y790" s="25"/>
      <c r="Z790" s="25"/>
      <c r="AA790" s="22" t="s">
        <v>8129</v>
      </c>
      <c r="AB790" s="22" t="s">
        <v>8130</v>
      </c>
      <c r="AC790" s="25"/>
      <c r="AD790" s="22" t="s">
        <v>8131</v>
      </c>
      <c r="AE790" s="22" t="s">
        <v>8132</v>
      </c>
      <c r="AF790" s="25"/>
      <c r="AG790" s="22">
        <v>1.0464999670083E13</v>
      </c>
      <c r="AH790" s="22" t="s">
        <v>90</v>
      </c>
      <c r="AI790" s="22">
        <v>2.3432323629379E13</v>
      </c>
      <c r="AJ790" s="25"/>
      <c r="AK790" s="25"/>
      <c r="AL790" s="22" t="s">
        <v>8134</v>
      </c>
      <c r="AQ790" s="32" t="s">
        <v>8150</v>
      </c>
      <c r="AR790" s="32" t="b">
        <v>0</v>
      </c>
      <c r="AS790" s="32" t="b">
        <v>0</v>
      </c>
    </row>
    <row r="791">
      <c r="A791" s="21" t="s">
        <v>10724</v>
      </c>
      <c r="B791" s="25"/>
      <c r="C791" s="25"/>
      <c r="D791" s="22" t="s">
        <v>8221</v>
      </c>
      <c r="E791" s="25"/>
      <c r="F791" s="22" t="s">
        <v>8136</v>
      </c>
      <c r="G791" s="25"/>
      <c r="H791" s="22">
        <v>9.519774368067E12</v>
      </c>
      <c r="I791" s="25"/>
      <c r="J791" s="25"/>
      <c r="K791" s="25"/>
      <c r="L791" s="25"/>
      <c r="M791" s="25"/>
      <c r="N791" s="22" t="s">
        <v>7018</v>
      </c>
      <c r="O791" s="22" t="s">
        <v>10725</v>
      </c>
      <c r="P791" s="22" t="s">
        <v>7018</v>
      </c>
      <c r="Q791" s="22" t="s">
        <v>10725</v>
      </c>
      <c r="R791" s="22" t="s">
        <v>10726</v>
      </c>
      <c r="S791" s="25"/>
      <c r="T791" s="40" t="s">
        <v>10727</v>
      </c>
      <c r="U791" s="22" t="s">
        <v>10728</v>
      </c>
      <c r="V791" s="25"/>
      <c r="W791" s="22" t="s">
        <v>10729</v>
      </c>
      <c r="X791" s="22" t="s">
        <v>8380</v>
      </c>
      <c r="Y791" s="25"/>
      <c r="Z791" s="25"/>
      <c r="AA791" s="22" t="s">
        <v>8129</v>
      </c>
      <c r="AB791" s="22" t="s">
        <v>8130</v>
      </c>
      <c r="AC791" s="25"/>
      <c r="AD791" s="25"/>
      <c r="AE791" s="22" t="s">
        <v>8132</v>
      </c>
      <c r="AF791" s="25"/>
      <c r="AG791" s="22">
        <v>1.0464999670083E13</v>
      </c>
      <c r="AH791" s="22" t="s">
        <v>8137</v>
      </c>
      <c r="AI791" s="22">
        <v>2.3432323629379E13</v>
      </c>
      <c r="AJ791" s="25"/>
      <c r="AK791" s="25"/>
      <c r="AL791" s="22" t="s">
        <v>8136</v>
      </c>
      <c r="AR791" s="32" t="b">
        <v>0</v>
      </c>
      <c r="AS791" s="32" t="b">
        <v>0</v>
      </c>
    </row>
    <row r="792">
      <c r="A792" s="21" t="s">
        <v>10730</v>
      </c>
      <c r="B792" s="22" t="s">
        <v>8140</v>
      </c>
      <c r="C792" s="22">
        <v>1.0</v>
      </c>
      <c r="D792" s="22" t="s">
        <v>8141</v>
      </c>
      <c r="E792" s="22" t="s">
        <v>8140</v>
      </c>
      <c r="F792" s="22" t="s">
        <v>8121</v>
      </c>
      <c r="G792" s="25"/>
      <c r="H792" s="22">
        <v>3.2765097935171E13</v>
      </c>
      <c r="I792" s="25"/>
      <c r="J792" s="25"/>
      <c r="K792" s="22">
        <v>4.2085703581939E13</v>
      </c>
      <c r="L792" s="25"/>
      <c r="M792" s="25"/>
      <c r="N792" s="22" t="s">
        <v>10731</v>
      </c>
      <c r="O792" s="22" t="s">
        <v>10732</v>
      </c>
      <c r="P792" s="22" t="s">
        <v>10731</v>
      </c>
      <c r="Q792" s="22" t="s">
        <v>10732</v>
      </c>
      <c r="R792" s="22" t="s">
        <v>10733</v>
      </c>
      <c r="S792" s="25"/>
      <c r="T792" s="40" t="s">
        <v>10734</v>
      </c>
      <c r="U792" s="22" t="s">
        <v>10735</v>
      </c>
      <c r="V792" s="25"/>
      <c r="W792" s="22" t="s">
        <v>10736</v>
      </c>
      <c r="X792" s="22" t="s">
        <v>9415</v>
      </c>
      <c r="Y792" s="25"/>
      <c r="Z792" s="25"/>
      <c r="AA792" s="22" t="s">
        <v>8129</v>
      </c>
      <c r="AB792" s="22" t="s">
        <v>8130</v>
      </c>
      <c r="AC792" s="25"/>
      <c r="AD792" s="22" t="s">
        <v>8131</v>
      </c>
      <c r="AE792" s="22" t="s">
        <v>8132</v>
      </c>
      <c r="AF792" s="25"/>
      <c r="AG792" s="22">
        <v>1.0465009140035E13</v>
      </c>
      <c r="AH792" s="22" t="s">
        <v>90</v>
      </c>
      <c r="AI792" s="22">
        <v>8.624306979139E12</v>
      </c>
      <c r="AJ792" s="25"/>
      <c r="AK792" s="25"/>
      <c r="AL792" s="22" t="s">
        <v>8134</v>
      </c>
      <c r="AQ792" s="32" t="s">
        <v>8150</v>
      </c>
      <c r="AR792" s="32" t="b">
        <v>0</v>
      </c>
      <c r="AS792" s="32" t="b">
        <v>0</v>
      </c>
    </row>
    <row r="793">
      <c r="A793" s="21" t="s">
        <v>10730</v>
      </c>
      <c r="B793" s="25"/>
      <c r="C793" s="25"/>
      <c r="D793" s="22" t="s">
        <v>8141</v>
      </c>
      <c r="E793" s="25"/>
      <c r="F793" s="22" t="s">
        <v>8136</v>
      </c>
      <c r="G793" s="25"/>
      <c r="H793" s="22">
        <v>9.519783215427E12</v>
      </c>
      <c r="I793" s="25"/>
      <c r="J793" s="25"/>
      <c r="K793" s="25"/>
      <c r="L793" s="25"/>
      <c r="M793" s="25"/>
      <c r="N793" s="22" t="s">
        <v>10731</v>
      </c>
      <c r="O793" s="22" t="s">
        <v>10732</v>
      </c>
      <c r="P793" s="22" t="s">
        <v>10731</v>
      </c>
      <c r="Q793" s="22" t="s">
        <v>10732</v>
      </c>
      <c r="R793" s="22" t="s">
        <v>10733</v>
      </c>
      <c r="S793" s="25"/>
      <c r="T793" s="40" t="s">
        <v>10734</v>
      </c>
      <c r="U793" s="22" t="s">
        <v>10735</v>
      </c>
      <c r="V793" s="25"/>
      <c r="W793" s="22" t="s">
        <v>10736</v>
      </c>
      <c r="X793" s="22" t="s">
        <v>9415</v>
      </c>
      <c r="Y793" s="25"/>
      <c r="Z793" s="25"/>
      <c r="AA793" s="22" t="s">
        <v>8129</v>
      </c>
      <c r="AB793" s="22" t="s">
        <v>8130</v>
      </c>
      <c r="AC793" s="25"/>
      <c r="AD793" s="25"/>
      <c r="AE793" s="22" t="s">
        <v>8132</v>
      </c>
      <c r="AF793" s="25"/>
      <c r="AG793" s="22">
        <v>1.0465009140035E13</v>
      </c>
      <c r="AH793" s="22" t="s">
        <v>8137</v>
      </c>
      <c r="AI793" s="22">
        <v>8.624306979139E12</v>
      </c>
      <c r="AJ793" s="25"/>
      <c r="AK793" s="25"/>
      <c r="AL793" s="22" t="s">
        <v>8136</v>
      </c>
      <c r="AR793" s="32" t="b">
        <v>0</v>
      </c>
      <c r="AS793" s="32" t="b">
        <v>0</v>
      </c>
    </row>
    <row r="794">
      <c r="A794" s="21" t="s">
        <v>10737</v>
      </c>
      <c r="B794" s="22" t="s">
        <v>8403</v>
      </c>
      <c r="C794" s="22">
        <v>1.0</v>
      </c>
      <c r="D794" s="22" t="s">
        <v>8305</v>
      </c>
      <c r="E794" s="22" t="s">
        <v>8403</v>
      </c>
      <c r="F794" s="22" t="s">
        <v>8155</v>
      </c>
      <c r="G794" s="25"/>
      <c r="H794" s="22">
        <v>3.2765119004995E13</v>
      </c>
      <c r="I794" s="25"/>
      <c r="J794" s="25"/>
      <c r="K794" s="22">
        <v>4.7338059825475E13</v>
      </c>
      <c r="L794" s="25"/>
      <c r="M794" s="25"/>
      <c r="N794" s="22" t="s">
        <v>6649</v>
      </c>
      <c r="O794" s="22" t="s">
        <v>10738</v>
      </c>
      <c r="P794" s="22" t="s">
        <v>6649</v>
      </c>
      <c r="Q794" s="22" t="s">
        <v>10738</v>
      </c>
      <c r="R794" s="22" t="s">
        <v>10739</v>
      </c>
      <c r="S794" s="25"/>
      <c r="T794" s="40" t="s">
        <v>10740</v>
      </c>
      <c r="U794" s="22" t="s">
        <v>10741</v>
      </c>
      <c r="V794" s="25"/>
      <c r="W794" s="22" t="s">
        <v>10742</v>
      </c>
      <c r="X794" s="22" t="s">
        <v>8251</v>
      </c>
      <c r="Y794" s="25"/>
      <c r="Z794" s="25"/>
      <c r="AA794" s="22" t="s">
        <v>8129</v>
      </c>
      <c r="AB794" s="22" t="s">
        <v>8130</v>
      </c>
      <c r="AC794" s="25"/>
      <c r="AD794" s="22" t="s">
        <v>8161</v>
      </c>
      <c r="AE794" s="22" t="s">
        <v>8132</v>
      </c>
      <c r="AF794" s="25"/>
      <c r="AG794" s="22">
        <v>1.0465018184003E13</v>
      </c>
      <c r="AH794" s="22" t="s">
        <v>90</v>
      </c>
      <c r="AI794" s="22">
        <v>8.541995893059E12</v>
      </c>
      <c r="AJ794" s="25"/>
      <c r="AK794" s="25"/>
      <c r="AL794" s="22" t="s">
        <v>8243</v>
      </c>
      <c r="AQ794" s="32" t="s">
        <v>95</v>
      </c>
      <c r="AR794" s="32" t="b">
        <v>0</v>
      </c>
      <c r="AS794" s="32" t="b">
        <v>0</v>
      </c>
    </row>
    <row r="795">
      <c r="A795" s="21" t="s">
        <v>10737</v>
      </c>
      <c r="B795" s="25"/>
      <c r="C795" s="25"/>
      <c r="D795" s="22" t="s">
        <v>8305</v>
      </c>
      <c r="E795" s="25"/>
      <c r="F795" s="22" t="s">
        <v>8149</v>
      </c>
      <c r="G795" s="25"/>
      <c r="H795" s="22">
        <v>9.519791702339E12</v>
      </c>
      <c r="I795" s="25"/>
      <c r="J795" s="25"/>
      <c r="K795" s="25"/>
      <c r="L795" s="25"/>
      <c r="M795" s="25"/>
      <c r="N795" s="22" t="s">
        <v>6649</v>
      </c>
      <c r="O795" s="22" t="s">
        <v>10738</v>
      </c>
      <c r="P795" s="22" t="s">
        <v>6649</v>
      </c>
      <c r="Q795" s="22" t="s">
        <v>10738</v>
      </c>
      <c r="R795" s="22" t="s">
        <v>10739</v>
      </c>
      <c r="S795" s="25"/>
      <c r="T795" s="40" t="s">
        <v>10740</v>
      </c>
      <c r="U795" s="22" t="s">
        <v>10741</v>
      </c>
      <c r="V795" s="25"/>
      <c r="W795" s="22" t="s">
        <v>10742</v>
      </c>
      <c r="X795" s="22" t="s">
        <v>8251</v>
      </c>
      <c r="Y795" s="25"/>
      <c r="Z795" s="25"/>
      <c r="AA795" s="22" t="s">
        <v>8129</v>
      </c>
      <c r="AB795" s="22" t="s">
        <v>8130</v>
      </c>
      <c r="AC795" s="25"/>
      <c r="AD795" s="25"/>
      <c r="AE795" s="22" t="s">
        <v>8132</v>
      </c>
      <c r="AF795" s="25"/>
      <c r="AG795" s="22">
        <v>1.0465018184003E13</v>
      </c>
      <c r="AH795" s="22" t="s">
        <v>8137</v>
      </c>
      <c r="AI795" s="22">
        <v>8.541995893059E12</v>
      </c>
      <c r="AJ795" s="25"/>
      <c r="AK795" s="25"/>
      <c r="AL795" s="22" t="s">
        <v>8149</v>
      </c>
      <c r="AR795" s="32" t="b">
        <v>0</v>
      </c>
      <c r="AS795" s="32" t="b">
        <v>0</v>
      </c>
    </row>
    <row r="796">
      <c r="A796" s="21" t="s">
        <v>10743</v>
      </c>
      <c r="B796" s="22" t="s">
        <v>8467</v>
      </c>
      <c r="C796" s="22">
        <v>1.0</v>
      </c>
      <c r="D796" s="22" t="s">
        <v>8141</v>
      </c>
      <c r="E796" s="22" t="s">
        <v>8467</v>
      </c>
      <c r="F796" s="22" t="s">
        <v>8155</v>
      </c>
      <c r="G796" s="25"/>
      <c r="H796" s="22">
        <v>3.2764930556227E13</v>
      </c>
      <c r="I796" s="25"/>
      <c r="J796" s="25"/>
      <c r="K796" s="22">
        <v>4.9521175462211E13</v>
      </c>
      <c r="L796" s="25"/>
      <c r="M796" s="25"/>
      <c r="N796" s="22" t="s">
        <v>10744</v>
      </c>
      <c r="O796" s="22" t="s">
        <v>10745</v>
      </c>
      <c r="P796" s="22" t="s">
        <v>10744</v>
      </c>
      <c r="Q796" s="22" t="s">
        <v>10745</v>
      </c>
      <c r="R796" s="22" t="s">
        <v>10746</v>
      </c>
      <c r="S796" s="25"/>
      <c r="T796" s="40" t="s">
        <v>10747</v>
      </c>
      <c r="U796" s="22" t="s">
        <v>10748</v>
      </c>
      <c r="V796" s="25"/>
      <c r="W796" s="22" t="s">
        <v>10749</v>
      </c>
      <c r="X796" s="22" t="s">
        <v>10268</v>
      </c>
      <c r="Y796" s="25"/>
      <c r="Z796" s="25"/>
      <c r="AA796" s="22" t="s">
        <v>8129</v>
      </c>
      <c r="AB796" s="22" t="s">
        <v>8130</v>
      </c>
      <c r="AC796" s="25"/>
      <c r="AD796" s="22" t="s">
        <v>8161</v>
      </c>
      <c r="AE796" s="22" t="s">
        <v>8132</v>
      </c>
      <c r="AF796" s="25"/>
      <c r="AG796" s="22">
        <v>1.0464931545411E13</v>
      </c>
      <c r="AH796" s="22" t="s">
        <v>90</v>
      </c>
      <c r="AI796" s="22">
        <v>2.3432247705923E13</v>
      </c>
      <c r="AJ796" s="25"/>
      <c r="AK796" s="25"/>
      <c r="AL796" s="22" t="s">
        <v>8173</v>
      </c>
      <c r="AQ796" s="32" t="s">
        <v>55</v>
      </c>
      <c r="AR796" s="32" t="b">
        <v>0</v>
      </c>
      <c r="AS796" s="32" t="b">
        <v>1</v>
      </c>
    </row>
    <row r="797">
      <c r="A797" s="21" t="s">
        <v>10743</v>
      </c>
      <c r="B797" s="25"/>
      <c r="C797" s="25"/>
      <c r="D797" s="22" t="s">
        <v>8141</v>
      </c>
      <c r="E797" s="25"/>
      <c r="F797" s="22" t="s">
        <v>8149</v>
      </c>
      <c r="G797" s="25"/>
      <c r="H797" s="22">
        <v>9.519710306627E12</v>
      </c>
      <c r="I797" s="25"/>
      <c r="J797" s="25"/>
      <c r="K797" s="25"/>
      <c r="L797" s="25"/>
      <c r="M797" s="25"/>
      <c r="N797" s="22" t="s">
        <v>10744</v>
      </c>
      <c r="O797" s="22" t="s">
        <v>10745</v>
      </c>
      <c r="P797" s="22" t="s">
        <v>10744</v>
      </c>
      <c r="Q797" s="22" t="s">
        <v>10745</v>
      </c>
      <c r="R797" s="22" t="s">
        <v>10746</v>
      </c>
      <c r="S797" s="25"/>
      <c r="T797" s="40" t="s">
        <v>10747</v>
      </c>
      <c r="U797" s="22" t="s">
        <v>10748</v>
      </c>
      <c r="V797" s="25"/>
      <c r="W797" s="22" t="s">
        <v>10749</v>
      </c>
      <c r="X797" s="22" t="s">
        <v>10268</v>
      </c>
      <c r="Y797" s="25"/>
      <c r="Z797" s="25"/>
      <c r="AA797" s="22" t="s">
        <v>8129</v>
      </c>
      <c r="AB797" s="22" t="s">
        <v>8130</v>
      </c>
      <c r="AC797" s="25"/>
      <c r="AD797" s="25"/>
      <c r="AE797" s="22" t="s">
        <v>8132</v>
      </c>
      <c r="AF797" s="25"/>
      <c r="AG797" s="22">
        <v>1.0464931545411E13</v>
      </c>
      <c r="AH797" s="22" t="s">
        <v>8137</v>
      </c>
      <c r="AI797" s="22">
        <v>2.3432247705923E13</v>
      </c>
      <c r="AJ797" s="25"/>
      <c r="AK797" s="25"/>
      <c r="AL797" s="22" t="s">
        <v>8149</v>
      </c>
      <c r="AR797" s="32" t="b">
        <v>0</v>
      </c>
      <c r="AS797" s="32" t="b">
        <v>0</v>
      </c>
    </row>
    <row r="798">
      <c r="A798" s="21" t="s">
        <v>10750</v>
      </c>
      <c r="B798" s="22" t="s">
        <v>8140</v>
      </c>
      <c r="C798" s="22">
        <v>1.0</v>
      </c>
      <c r="D798" s="22" t="s">
        <v>8221</v>
      </c>
      <c r="E798" s="22" t="s">
        <v>8140</v>
      </c>
      <c r="F798" s="22" t="s">
        <v>8121</v>
      </c>
      <c r="G798" s="25"/>
      <c r="H798" s="22">
        <v>3.2765191881027E13</v>
      </c>
      <c r="I798" s="25"/>
      <c r="J798" s="25"/>
      <c r="K798" s="22">
        <v>4.2085703581939E13</v>
      </c>
      <c r="L798" s="25"/>
      <c r="M798" s="25"/>
      <c r="N798" s="22" t="s">
        <v>10751</v>
      </c>
      <c r="O798" s="22" t="s">
        <v>10752</v>
      </c>
      <c r="P798" s="22" t="s">
        <v>10751</v>
      </c>
      <c r="Q798" s="22" t="s">
        <v>10752</v>
      </c>
      <c r="R798" s="22" t="s">
        <v>10753</v>
      </c>
      <c r="S798" s="25"/>
      <c r="T798" s="40" t="s">
        <v>10754</v>
      </c>
      <c r="U798" s="22" t="s">
        <v>10755</v>
      </c>
      <c r="V798" s="25"/>
      <c r="W798" s="22" t="s">
        <v>10756</v>
      </c>
      <c r="X798" s="22" t="s">
        <v>8276</v>
      </c>
      <c r="Y798" s="25"/>
      <c r="Z798" s="25"/>
      <c r="AA798" s="22" t="s">
        <v>8129</v>
      </c>
      <c r="AB798" s="22" t="s">
        <v>8130</v>
      </c>
      <c r="AC798" s="25"/>
      <c r="AD798" s="22" t="s">
        <v>8131</v>
      </c>
      <c r="AE798" s="22" t="s">
        <v>8132</v>
      </c>
      <c r="AF798" s="25"/>
      <c r="AG798" s="22">
        <v>1.0465050329411E13</v>
      </c>
      <c r="AH798" s="22" t="s">
        <v>90</v>
      </c>
      <c r="AI798" s="22">
        <v>2.3432376648003E13</v>
      </c>
      <c r="AJ798" s="25"/>
      <c r="AK798" s="25"/>
      <c r="AL798" s="22" t="s">
        <v>8134</v>
      </c>
      <c r="AQ798" s="32" t="s">
        <v>8150</v>
      </c>
      <c r="AR798" s="32" t="b">
        <v>0</v>
      </c>
      <c r="AS798" s="32" t="b">
        <v>0</v>
      </c>
    </row>
    <row r="799">
      <c r="A799" s="21" t="s">
        <v>10750</v>
      </c>
      <c r="B799" s="25"/>
      <c r="C799" s="25"/>
      <c r="D799" s="22" t="s">
        <v>8221</v>
      </c>
      <c r="E799" s="25"/>
      <c r="F799" s="22" t="s">
        <v>8136</v>
      </c>
      <c r="G799" s="25"/>
      <c r="H799" s="22">
        <v>9.519819948355E12</v>
      </c>
      <c r="I799" s="25"/>
      <c r="J799" s="25"/>
      <c r="K799" s="25"/>
      <c r="L799" s="25"/>
      <c r="M799" s="25"/>
      <c r="N799" s="22" t="s">
        <v>10751</v>
      </c>
      <c r="O799" s="22" t="s">
        <v>10752</v>
      </c>
      <c r="P799" s="22" t="s">
        <v>10751</v>
      </c>
      <c r="Q799" s="22" t="s">
        <v>10752</v>
      </c>
      <c r="R799" s="22" t="s">
        <v>10753</v>
      </c>
      <c r="S799" s="25"/>
      <c r="T799" s="40" t="s">
        <v>10754</v>
      </c>
      <c r="U799" s="22" t="s">
        <v>10755</v>
      </c>
      <c r="V799" s="25"/>
      <c r="W799" s="22" t="s">
        <v>10756</v>
      </c>
      <c r="X799" s="22" t="s">
        <v>8276</v>
      </c>
      <c r="Y799" s="25"/>
      <c r="Z799" s="25"/>
      <c r="AA799" s="22" t="s">
        <v>8129</v>
      </c>
      <c r="AB799" s="22" t="s">
        <v>8130</v>
      </c>
      <c r="AC799" s="25"/>
      <c r="AD799" s="25"/>
      <c r="AE799" s="22" t="s">
        <v>8132</v>
      </c>
      <c r="AF799" s="25"/>
      <c r="AG799" s="22">
        <v>1.0465050329411E13</v>
      </c>
      <c r="AH799" s="22" t="s">
        <v>8137</v>
      </c>
      <c r="AI799" s="22">
        <v>2.3432376648003E13</v>
      </c>
      <c r="AJ799" s="25"/>
      <c r="AK799" s="25"/>
      <c r="AL799" s="22" t="s">
        <v>8136</v>
      </c>
      <c r="AR799" s="32" t="b">
        <v>0</v>
      </c>
      <c r="AS799" s="32" t="b">
        <v>0</v>
      </c>
    </row>
    <row r="800">
      <c r="A800" s="21" t="s">
        <v>10757</v>
      </c>
      <c r="B800" s="22" t="s">
        <v>8119</v>
      </c>
      <c r="C800" s="22">
        <v>1.0</v>
      </c>
      <c r="D800" s="22" t="s">
        <v>8221</v>
      </c>
      <c r="E800" s="22" t="s">
        <v>8119</v>
      </c>
      <c r="F800" s="22" t="s">
        <v>8121</v>
      </c>
      <c r="G800" s="25"/>
      <c r="H800" s="22">
        <v>3.2765195551043E13</v>
      </c>
      <c r="I800" s="25"/>
      <c r="J800" s="25"/>
      <c r="K800" s="22">
        <v>4.2085703549171E13</v>
      </c>
      <c r="L800" s="25"/>
      <c r="M800" s="25"/>
      <c r="N800" s="22" t="s">
        <v>10758</v>
      </c>
      <c r="O800" s="22" t="s">
        <v>10759</v>
      </c>
      <c r="P800" s="22" t="s">
        <v>10758</v>
      </c>
      <c r="Q800" s="22" t="s">
        <v>10759</v>
      </c>
      <c r="R800" s="22" t="s">
        <v>10760</v>
      </c>
      <c r="S800" s="25"/>
      <c r="T800" s="40" t="s">
        <v>10761</v>
      </c>
      <c r="U800" s="22" t="s">
        <v>10762</v>
      </c>
      <c r="V800" s="25"/>
      <c r="W800" s="22" t="s">
        <v>10763</v>
      </c>
      <c r="X800" s="22" t="s">
        <v>8328</v>
      </c>
      <c r="Y800" s="25"/>
      <c r="Z800" s="25"/>
      <c r="AA800" s="22" t="s">
        <v>8129</v>
      </c>
      <c r="AB800" s="22" t="s">
        <v>8130</v>
      </c>
      <c r="AC800" s="25"/>
      <c r="AD800" s="22" t="s">
        <v>8131</v>
      </c>
      <c r="AE800" s="22" t="s">
        <v>8132</v>
      </c>
      <c r="AF800" s="25"/>
      <c r="AG800" s="22">
        <v>1.0465052098883E13</v>
      </c>
      <c r="AH800" s="22" t="s">
        <v>90</v>
      </c>
      <c r="AI800" s="22">
        <v>8.617283453251E12</v>
      </c>
      <c r="AJ800" s="25"/>
      <c r="AK800" s="25"/>
      <c r="AL800" s="22" t="s">
        <v>8133</v>
      </c>
      <c r="AQ800" s="32" t="s">
        <v>8135</v>
      </c>
      <c r="AR800" s="32" t="b">
        <v>0</v>
      </c>
      <c r="AS800" s="32" t="b">
        <v>0</v>
      </c>
    </row>
    <row r="801">
      <c r="A801" s="21" t="s">
        <v>10757</v>
      </c>
      <c r="B801" s="25"/>
      <c r="C801" s="25"/>
      <c r="D801" s="22" t="s">
        <v>8221</v>
      </c>
      <c r="E801" s="25"/>
      <c r="F801" s="22" t="s">
        <v>8136</v>
      </c>
      <c r="G801" s="25"/>
      <c r="H801" s="22">
        <v>9.519821390147E12</v>
      </c>
      <c r="I801" s="25"/>
      <c r="J801" s="25"/>
      <c r="K801" s="25"/>
      <c r="L801" s="25"/>
      <c r="M801" s="25"/>
      <c r="N801" s="22" t="s">
        <v>10758</v>
      </c>
      <c r="O801" s="22" t="s">
        <v>10759</v>
      </c>
      <c r="P801" s="22" t="s">
        <v>10758</v>
      </c>
      <c r="Q801" s="22" t="s">
        <v>10759</v>
      </c>
      <c r="R801" s="22" t="s">
        <v>10760</v>
      </c>
      <c r="S801" s="25"/>
      <c r="T801" s="40" t="s">
        <v>10761</v>
      </c>
      <c r="U801" s="22" t="s">
        <v>10762</v>
      </c>
      <c r="V801" s="25"/>
      <c r="W801" s="22" t="s">
        <v>10763</v>
      </c>
      <c r="X801" s="22" t="s">
        <v>8328</v>
      </c>
      <c r="Y801" s="25"/>
      <c r="Z801" s="25"/>
      <c r="AA801" s="22" t="s">
        <v>8129</v>
      </c>
      <c r="AB801" s="22" t="s">
        <v>8130</v>
      </c>
      <c r="AC801" s="25"/>
      <c r="AD801" s="25"/>
      <c r="AE801" s="22" t="s">
        <v>8132</v>
      </c>
      <c r="AF801" s="25"/>
      <c r="AG801" s="22">
        <v>1.0465052098883E13</v>
      </c>
      <c r="AH801" s="22" t="s">
        <v>8137</v>
      </c>
      <c r="AI801" s="22">
        <v>8.617283453251E12</v>
      </c>
      <c r="AJ801" s="25"/>
      <c r="AK801" s="25"/>
      <c r="AL801" s="22" t="s">
        <v>8136</v>
      </c>
      <c r="AR801" s="32" t="b">
        <v>0</v>
      </c>
      <c r="AS801" s="32" t="b">
        <v>0</v>
      </c>
    </row>
    <row r="802">
      <c r="A802" s="21" t="s">
        <v>10764</v>
      </c>
      <c r="B802" s="22" t="s">
        <v>8119</v>
      </c>
      <c r="C802" s="22">
        <v>1.0</v>
      </c>
      <c r="D802" s="22" t="s">
        <v>8245</v>
      </c>
      <c r="E802" s="22" t="s">
        <v>8119</v>
      </c>
      <c r="F802" s="22" t="s">
        <v>8121</v>
      </c>
      <c r="G802" s="25"/>
      <c r="H802" s="22">
        <v>3.2765261381955E13</v>
      </c>
      <c r="I802" s="25"/>
      <c r="J802" s="25"/>
      <c r="K802" s="22">
        <v>4.2085703549171E13</v>
      </c>
      <c r="L802" s="25"/>
      <c r="M802" s="25"/>
      <c r="N802" s="22" t="s">
        <v>10765</v>
      </c>
      <c r="O802" s="22" t="s">
        <v>3835</v>
      </c>
      <c r="P802" s="22" t="s">
        <v>10765</v>
      </c>
      <c r="Q802" s="22" t="s">
        <v>10766</v>
      </c>
      <c r="R802" s="22" t="s">
        <v>10767</v>
      </c>
      <c r="S802" s="25"/>
      <c r="T802" s="40" t="s">
        <v>10768</v>
      </c>
      <c r="U802" s="22" t="s">
        <v>10769</v>
      </c>
      <c r="V802" s="25"/>
      <c r="W802" s="22" t="s">
        <v>10770</v>
      </c>
      <c r="X802" s="22" t="s">
        <v>8380</v>
      </c>
      <c r="Y802" s="25"/>
      <c r="Z802" s="25"/>
      <c r="AA802" s="22" t="s">
        <v>8129</v>
      </c>
      <c r="AB802" s="22" t="s">
        <v>8130</v>
      </c>
      <c r="AC802" s="25"/>
      <c r="AD802" s="22" t="s">
        <v>8131</v>
      </c>
      <c r="AE802" s="22" t="s">
        <v>8132</v>
      </c>
      <c r="AF802" s="25"/>
      <c r="AG802" s="22">
        <v>1.0465081688387E13</v>
      </c>
      <c r="AH802" s="22" t="s">
        <v>90</v>
      </c>
      <c r="AI802" s="22">
        <v>6.492038463731E12</v>
      </c>
      <c r="AJ802" s="25"/>
      <c r="AK802" s="25"/>
      <c r="AL802" s="22" t="s">
        <v>8133</v>
      </c>
      <c r="AQ802" s="32" t="s">
        <v>8135</v>
      </c>
      <c r="AR802" s="32" t="b">
        <v>0</v>
      </c>
      <c r="AS802" s="32" t="b">
        <v>0</v>
      </c>
    </row>
    <row r="803">
      <c r="A803" s="21" t="s">
        <v>10764</v>
      </c>
      <c r="B803" s="25"/>
      <c r="C803" s="25"/>
      <c r="D803" s="22" t="s">
        <v>8245</v>
      </c>
      <c r="E803" s="25"/>
      <c r="F803" s="22" t="s">
        <v>8136</v>
      </c>
      <c r="G803" s="25"/>
      <c r="H803" s="22">
        <v>9.519847539011E12</v>
      </c>
      <c r="I803" s="25"/>
      <c r="J803" s="25"/>
      <c r="K803" s="25"/>
      <c r="L803" s="25"/>
      <c r="M803" s="25"/>
      <c r="N803" s="22" t="s">
        <v>10765</v>
      </c>
      <c r="O803" s="22" t="s">
        <v>3835</v>
      </c>
      <c r="P803" s="22" t="s">
        <v>10765</v>
      </c>
      <c r="Q803" s="22" t="s">
        <v>10766</v>
      </c>
      <c r="R803" s="22" t="s">
        <v>10767</v>
      </c>
      <c r="S803" s="25"/>
      <c r="T803" s="40" t="s">
        <v>10768</v>
      </c>
      <c r="U803" s="22" t="s">
        <v>10769</v>
      </c>
      <c r="V803" s="25"/>
      <c r="W803" s="22" t="s">
        <v>10770</v>
      </c>
      <c r="X803" s="22" t="s">
        <v>8380</v>
      </c>
      <c r="Y803" s="25"/>
      <c r="Z803" s="25"/>
      <c r="AA803" s="22" t="s">
        <v>8129</v>
      </c>
      <c r="AB803" s="22" t="s">
        <v>8130</v>
      </c>
      <c r="AC803" s="25"/>
      <c r="AD803" s="25"/>
      <c r="AE803" s="22" t="s">
        <v>8132</v>
      </c>
      <c r="AF803" s="25"/>
      <c r="AG803" s="22">
        <v>1.0465081688387E13</v>
      </c>
      <c r="AH803" s="22" t="s">
        <v>8137</v>
      </c>
      <c r="AI803" s="22">
        <v>6.492038463731E12</v>
      </c>
      <c r="AJ803" s="25"/>
      <c r="AK803" s="25"/>
      <c r="AL803" s="22" t="s">
        <v>8136</v>
      </c>
      <c r="AR803" s="32" t="b">
        <v>0</v>
      </c>
      <c r="AS803" s="32" t="b">
        <v>0</v>
      </c>
    </row>
    <row r="804">
      <c r="A804" s="21" t="s">
        <v>10771</v>
      </c>
      <c r="B804" s="22" t="s">
        <v>8119</v>
      </c>
      <c r="C804" s="22">
        <v>1.0</v>
      </c>
      <c r="D804" s="22" t="s">
        <v>8203</v>
      </c>
      <c r="E804" s="22" t="s">
        <v>8119</v>
      </c>
      <c r="F804" s="22" t="s">
        <v>8121</v>
      </c>
      <c r="G804" s="25"/>
      <c r="H804" s="22">
        <v>3.2765271015747E13</v>
      </c>
      <c r="I804" s="25"/>
      <c r="J804" s="25"/>
      <c r="K804" s="22">
        <v>4.2085703549171E13</v>
      </c>
      <c r="L804" s="25"/>
      <c r="M804" s="25"/>
      <c r="N804" s="22" t="s">
        <v>10772</v>
      </c>
      <c r="O804" s="22" t="s">
        <v>10773</v>
      </c>
      <c r="P804" s="22" t="s">
        <v>10772</v>
      </c>
      <c r="Q804" s="22" t="s">
        <v>10773</v>
      </c>
      <c r="R804" s="22" t="s">
        <v>10774</v>
      </c>
      <c r="S804" s="25"/>
      <c r="T804" s="40" t="s">
        <v>10775</v>
      </c>
      <c r="U804" s="22" t="s">
        <v>10776</v>
      </c>
      <c r="V804" s="25"/>
      <c r="W804" s="22" t="s">
        <v>10777</v>
      </c>
      <c r="X804" s="22" t="s">
        <v>9996</v>
      </c>
      <c r="Y804" s="25"/>
      <c r="Z804" s="25"/>
      <c r="AA804" s="22" t="s">
        <v>8129</v>
      </c>
      <c r="AB804" s="22" t="s">
        <v>8130</v>
      </c>
      <c r="AC804" s="25"/>
      <c r="AD804" s="22" t="s">
        <v>8131</v>
      </c>
      <c r="AE804" s="22" t="s">
        <v>8132</v>
      </c>
      <c r="AF804" s="25"/>
      <c r="AG804" s="22">
        <v>1.0465086669123E13</v>
      </c>
      <c r="AH804" s="22" t="s">
        <v>90</v>
      </c>
      <c r="AI804" s="22">
        <v>7.466574905667E12</v>
      </c>
      <c r="AJ804" s="25"/>
      <c r="AK804" s="25"/>
      <c r="AL804" s="22" t="s">
        <v>8133</v>
      </c>
      <c r="AQ804" s="32" t="s">
        <v>8135</v>
      </c>
      <c r="AR804" s="32" t="b">
        <v>0</v>
      </c>
      <c r="AS804" s="32" t="b">
        <v>0</v>
      </c>
    </row>
    <row r="805">
      <c r="A805" s="21" t="s">
        <v>10771</v>
      </c>
      <c r="B805" s="25"/>
      <c r="C805" s="25"/>
      <c r="D805" s="22" t="s">
        <v>8203</v>
      </c>
      <c r="E805" s="25"/>
      <c r="F805" s="22" t="s">
        <v>8136</v>
      </c>
      <c r="G805" s="25"/>
      <c r="H805" s="22">
        <v>9.519852028227E12</v>
      </c>
      <c r="I805" s="25"/>
      <c r="J805" s="25"/>
      <c r="K805" s="25"/>
      <c r="L805" s="25"/>
      <c r="M805" s="25"/>
      <c r="N805" s="22" t="s">
        <v>10772</v>
      </c>
      <c r="O805" s="22" t="s">
        <v>10773</v>
      </c>
      <c r="P805" s="22" t="s">
        <v>10772</v>
      </c>
      <c r="Q805" s="22" t="s">
        <v>10773</v>
      </c>
      <c r="R805" s="22" t="s">
        <v>10774</v>
      </c>
      <c r="S805" s="25"/>
      <c r="T805" s="40" t="s">
        <v>10775</v>
      </c>
      <c r="U805" s="22" t="s">
        <v>10776</v>
      </c>
      <c r="V805" s="25"/>
      <c r="W805" s="22" t="s">
        <v>10777</v>
      </c>
      <c r="X805" s="22" t="s">
        <v>9996</v>
      </c>
      <c r="Y805" s="25"/>
      <c r="Z805" s="25"/>
      <c r="AA805" s="22" t="s">
        <v>8129</v>
      </c>
      <c r="AB805" s="22" t="s">
        <v>8130</v>
      </c>
      <c r="AC805" s="25"/>
      <c r="AD805" s="25"/>
      <c r="AE805" s="22" t="s">
        <v>8132</v>
      </c>
      <c r="AF805" s="25"/>
      <c r="AG805" s="22">
        <v>1.0465086669123E13</v>
      </c>
      <c r="AH805" s="22" t="s">
        <v>8137</v>
      </c>
      <c r="AI805" s="22">
        <v>7.466574905667E12</v>
      </c>
      <c r="AJ805" s="25"/>
      <c r="AK805" s="25"/>
      <c r="AL805" s="22" t="s">
        <v>8136</v>
      </c>
      <c r="AR805" s="32" t="b">
        <v>0</v>
      </c>
      <c r="AS805" s="32" t="b">
        <v>0</v>
      </c>
    </row>
    <row r="806">
      <c r="A806" s="21" t="s">
        <v>10778</v>
      </c>
      <c r="B806" s="22" t="s">
        <v>8467</v>
      </c>
      <c r="C806" s="22">
        <v>1.0</v>
      </c>
      <c r="D806" s="22" t="s">
        <v>8305</v>
      </c>
      <c r="E806" s="22" t="s">
        <v>8467</v>
      </c>
      <c r="F806" s="22" t="s">
        <v>8155</v>
      </c>
      <c r="G806" s="25"/>
      <c r="H806" s="22">
        <v>3.2765275046211E13</v>
      </c>
      <c r="I806" s="25"/>
      <c r="J806" s="25"/>
      <c r="K806" s="22">
        <v>4.9521175462211E13</v>
      </c>
      <c r="L806" s="25"/>
      <c r="M806" s="25"/>
      <c r="N806" s="22" t="s">
        <v>10779</v>
      </c>
      <c r="O806" s="22" t="s">
        <v>9679</v>
      </c>
      <c r="P806" s="22" t="s">
        <v>10779</v>
      </c>
      <c r="Q806" s="22" t="s">
        <v>9679</v>
      </c>
      <c r="R806" s="22" t="s">
        <v>10780</v>
      </c>
      <c r="S806" s="25"/>
      <c r="T806" s="40" t="s">
        <v>10781</v>
      </c>
      <c r="U806" s="22" t="s">
        <v>10782</v>
      </c>
      <c r="V806" s="25"/>
      <c r="W806" s="22" t="s">
        <v>10783</v>
      </c>
      <c r="X806" s="22" t="s">
        <v>8747</v>
      </c>
      <c r="Y806" s="25"/>
      <c r="Z806" s="25"/>
      <c r="AA806" s="22" t="s">
        <v>8129</v>
      </c>
      <c r="AB806" s="22" t="s">
        <v>8130</v>
      </c>
      <c r="AC806" s="25"/>
      <c r="AD806" s="22" t="s">
        <v>8161</v>
      </c>
      <c r="AE806" s="22" t="s">
        <v>8132</v>
      </c>
      <c r="AF806" s="25"/>
      <c r="AG806" s="22">
        <v>1.0465088635203E13</v>
      </c>
      <c r="AH806" s="22" t="s">
        <v>90</v>
      </c>
      <c r="AI806" s="22">
        <v>2.3432414429507E13</v>
      </c>
      <c r="AJ806" s="25"/>
      <c r="AK806" s="25"/>
      <c r="AL806" s="22" t="s">
        <v>8173</v>
      </c>
      <c r="AQ806" s="32" t="s">
        <v>55</v>
      </c>
      <c r="AR806" s="32" t="b">
        <v>0</v>
      </c>
      <c r="AS806" s="32" t="b">
        <v>1</v>
      </c>
    </row>
    <row r="807">
      <c r="A807" s="21" t="s">
        <v>10778</v>
      </c>
      <c r="B807" s="25"/>
      <c r="C807" s="25"/>
      <c r="D807" s="22" t="s">
        <v>8305</v>
      </c>
      <c r="E807" s="25"/>
      <c r="F807" s="22" t="s">
        <v>8149</v>
      </c>
      <c r="G807" s="25"/>
      <c r="H807" s="22">
        <v>9.519853732163E12</v>
      </c>
      <c r="I807" s="25"/>
      <c r="J807" s="25"/>
      <c r="K807" s="25"/>
      <c r="L807" s="25"/>
      <c r="M807" s="25"/>
      <c r="N807" s="22" t="s">
        <v>10779</v>
      </c>
      <c r="O807" s="22" t="s">
        <v>9679</v>
      </c>
      <c r="P807" s="22" t="s">
        <v>10779</v>
      </c>
      <c r="Q807" s="22" t="s">
        <v>9679</v>
      </c>
      <c r="R807" s="22" t="s">
        <v>10780</v>
      </c>
      <c r="S807" s="25"/>
      <c r="T807" s="40" t="s">
        <v>10781</v>
      </c>
      <c r="U807" s="22" t="s">
        <v>10782</v>
      </c>
      <c r="V807" s="25"/>
      <c r="W807" s="22" t="s">
        <v>10783</v>
      </c>
      <c r="X807" s="22" t="s">
        <v>8747</v>
      </c>
      <c r="Y807" s="25"/>
      <c r="Z807" s="25"/>
      <c r="AA807" s="22" t="s">
        <v>8129</v>
      </c>
      <c r="AB807" s="22" t="s">
        <v>8130</v>
      </c>
      <c r="AC807" s="25"/>
      <c r="AD807" s="25"/>
      <c r="AE807" s="22" t="s">
        <v>8132</v>
      </c>
      <c r="AF807" s="25"/>
      <c r="AG807" s="22">
        <v>1.0465088635203E13</v>
      </c>
      <c r="AH807" s="22" t="s">
        <v>8137</v>
      </c>
      <c r="AI807" s="22">
        <v>2.3432414429507E13</v>
      </c>
      <c r="AJ807" s="25"/>
      <c r="AK807" s="25"/>
      <c r="AL807" s="22" t="s">
        <v>8149</v>
      </c>
      <c r="AR807" s="32" t="b">
        <v>0</v>
      </c>
      <c r="AS807" s="32" t="b">
        <v>0</v>
      </c>
    </row>
    <row r="808">
      <c r="A808" s="21" t="s">
        <v>10784</v>
      </c>
      <c r="B808" s="22" t="s">
        <v>8140</v>
      </c>
      <c r="C808" s="22">
        <v>1.0</v>
      </c>
      <c r="D808" s="22" t="s">
        <v>8278</v>
      </c>
      <c r="E808" s="22" t="s">
        <v>8140</v>
      </c>
      <c r="F808" s="22" t="s">
        <v>8121</v>
      </c>
      <c r="G808" s="25"/>
      <c r="H808" s="22">
        <v>3.2765294838083E13</v>
      </c>
      <c r="I808" s="25"/>
      <c r="J808" s="25"/>
      <c r="K808" s="22">
        <v>4.2085703581939E13</v>
      </c>
      <c r="L808" s="25"/>
      <c r="M808" s="25"/>
      <c r="N808" s="22" t="s">
        <v>7182</v>
      </c>
      <c r="O808" s="22" t="s">
        <v>10785</v>
      </c>
      <c r="P808" s="22" t="s">
        <v>7182</v>
      </c>
      <c r="Q808" s="22" t="s">
        <v>10786</v>
      </c>
      <c r="R808" s="22" t="s">
        <v>10787</v>
      </c>
      <c r="S808" s="25"/>
      <c r="T808" s="40" t="s">
        <v>10788</v>
      </c>
      <c r="U808" s="22" t="s">
        <v>10789</v>
      </c>
      <c r="V808" s="25"/>
      <c r="W808" s="22" t="s">
        <v>10790</v>
      </c>
      <c r="X808" s="22" t="s">
        <v>8128</v>
      </c>
      <c r="Y808" s="25"/>
      <c r="Z808" s="25"/>
      <c r="AA808" s="22" t="s">
        <v>8129</v>
      </c>
      <c r="AB808" s="22" t="s">
        <v>8130</v>
      </c>
      <c r="AC808" s="25"/>
      <c r="AD808" s="22" t="s">
        <v>8131</v>
      </c>
      <c r="AE808" s="22" t="s">
        <v>8132</v>
      </c>
      <c r="AF808" s="25"/>
      <c r="AG808" s="22">
        <v>1.0465098334531E13</v>
      </c>
      <c r="AH808" s="22" t="s">
        <v>90</v>
      </c>
      <c r="AI808" s="22">
        <v>8.567842341187E12</v>
      </c>
      <c r="AJ808" s="25"/>
      <c r="AK808" s="25"/>
      <c r="AL808" s="22" t="s">
        <v>8134</v>
      </c>
      <c r="AQ808" s="32" t="s">
        <v>8150</v>
      </c>
      <c r="AR808" s="32" t="b">
        <v>0</v>
      </c>
      <c r="AS808" s="32" t="b">
        <v>0</v>
      </c>
    </row>
    <row r="809">
      <c r="A809" s="21" t="s">
        <v>10784</v>
      </c>
      <c r="B809" s="25"/>
      <c r="C809" s="25"/>
      <c r="D809" s="22" t="s">
        <v>8278</v>
      </c>
      <c r="E809" s="25"/>
      <c r="F809" s="22" t="s">
        <v>8136</v>
      </c>
      <c r="G809" s="25"/>
      <c r="H809" s="22">
        <v>9.519862382915E12</v>
      </c>
      <c r="I809" s="25"/>
      <c r="J809" s="25"/>
      <c r="K809" s="25"/>
      <c r="L809" s="25"/>
      <c r="M809" s="25"/>
      <c r="N809" s="22" t="s">
        <v>7182</v>
      </c>
      <c r="O809" s="22" t="s">
        <v>10785</v>
      </c>
      <c r="P809" s="22" t="s">
        <v>7182</v>
      </c>
      <c r="Q809" s="22" t="s">
        <v>10786</v>
      </c>
      <c r="R809" s="22" t="s">
        <v>10787</v>
      </c>
      <c r="S809" s="25"/>
      <c r="T809" s="40" t="s">
        <v>10788</v>
      </c>
      <c r="U809" s="22" t="s">
        <v>10789</v>
      </c>
      <c r="V809" s="25"/>
      <c r="W809" s="22" t="s">
        <v>10790</v>
      </c>
      <c r="X809" s="22" t="s">
        <v>8128</v>
      </c>
      <c r="Y809" s="25"/>
      <c r="Z809" s="25"/>
      <c r="AA809" s="22" t="s">
        <v>8129</v>
      </c>
      <c r="AB809" s="22" t="s">
        <v>8130</v>
      </c>
      <c r="AC809" s="25"/>
      <c r="AD809" s="25"/>
      <c r="AE809" s="22" t="s">
        <v>8132</v>
      </c>
      <c r="AF809" s="25"/>
      <c r="AG809" s="22">
        <v>1.0465098334531E13</v>
      </c>
      <c r="AH809" s="22" t="s">
        <v>8137</v>
      </c>
      <c r="AI809" s="22">
        <v>8.567842341187E12</v>
      </c>
      <c r="AJ809" s="25"/>
      <c r="AK809" s="25"/>
      <c r="AL809" s="22" t="s">
        <v>8136</v>
      </c>
      <c r="AR809" s="32" t="b">
        <v>0</v>
      </c>
      <c r="AS809" s="32" t="b">
        <v>0</v>
      </c>
    </row>
    <row r="810">
      <c r="A810" s="21" t="s">
        <v>10791</v>
      </c>
      <c r="B810" s="22" t="s">
        <v>8370</v>
      </c>
      <c r="C810" s="22">
        <v>1.0</v>
      </c>
      <c r="D810" s="22" t="s">
        <v>8221</v>
      </c>
      <c r="E810" s="22" t="s">
        <v>8370</v>
      </c>
      <c r="F810" s="22" t="s">
        <v>8155</v>
      </c>
      <c r="G810" s="25"/>
      <c r="H810" s="22">
        <v>3.2765308993859E13</v>
      </c>
      <c r="I810" s="25"/>
      <c r="J810" s="25"/>
      <c r="K810" s="22">
        <v>4.9521175494979E13</v>
      </c>
      <c r="L810" s="25"/>
      <c r="M810" s="25"/>
      <c r="N810" s="22" t="s">
        <v>10792</v>
      </c>
      <c r="O810" s="22" t="s">
        <v>10793</v>
      </c>
      <c r="P810" s="22" t="s">
        <v>3889</v>
      </c>
      <c r="Q810" s="22" t="s">
        <v>10793</v>
      </c>
      <c r="R810" s="22" t="s">
        <v>10794</v>
      </c>
      <c r="S810" s="25"/>
      <c r="T810" s="40" t="s">
        <v>10795</v>
      </c>
      <c r="U810" s="22" t="s">
        <v>10796</v>
      </c>
      <c r="V810" s="25"/>
      <c r="W810" s="22" t="s">
        <v>10797</v>
      </c>
      <c r="X810" s="22" t="s">
        <v>8251</v>
      </c>
      <c r="Y810" s="25"/>
      <c r="Z810" s="25"/>
      <c r="AA810" s="22" t="s">
        <v>8129</v>
      </c>
      <c r="AB810" s="22" t="s">
        <v>8130</v>
      </c>
      <c r="AC810" s="25"/>
      <c r="AD810" s="22" t="s">
        <v>8161</v>
      </c>
      <c r="AE810" s="22" t="s">
        <v>8132</v>
      </c>
      <c r="AF810" s="25"/>
      <c r="AG810" s="22">
        <v>1.0465105379651E13</v>
      </c>
      <c r="AH810" s="22" t="s">
        <v>90</v>
      </c>
      <c r="AI810" s="22">
        <v>6.436261560563E12</v>
      </c>
      <c r="AJ810" s="25"/>
      <c r="AK810" s="25"/>
      <c r="AL810" s="22" t="s">
        <v>8138</v>
      </c>
      <c r="AQ810" s="32" t="s">
        <v>91</v>
      </c>
      <c r="AR810" s="32" t="b">
        <v>0</v>
      </c>
      <c r="AS810" s="32" t="b">
        <v>1</v>
      </c>
    </row>
    <row r="811">
      <c r="A811" s="21" t="s">
        <v>10791</v>
      </c>
      <c r="B811" s="25"/>
      <c r="C811" s="25"/>
      <c r="D811" s="22" t="s">
        <v>8221</v>
      </c>
      <c r="E811" s="25"/>
      <c r="F811" s="22" t="s">
        <v>8149</v>
      </c>
      <c r="G811" s="25"/>
      <c r="H811" s="22">
        <v>9.519868248387E12</v>
      </c>
      <c r="I811" s="25"/>
      <c r="J811" s="25"/>
      <c r="K811" s="25"/>
      <c r="L811" s="25"/>
      <c r="M811" s="25"/>
      <c r="N811" s="22" t="s">
        <v>10792</v>
      </c>
      <c r="O811" s="22" t="s">
        <v>10793</v>
      </c>
      <c r="P811" s="22" t="s">
        <v>3889</v>
      </c>
      <c r="Q811" s="22" t="s">
        <v>10793</v>
      </c>
      <c r="R811" s="22" t="s">
        <v>10794</v>
      </c>
      <c r="S811" s="25"/>
      <c r="T811" s="40" t="s">
        <v>10795</v>
      </c>
      <c r="U811" s="22" t="s">
        <v>10796</v>
      </c>
      <c r="V811" s="25"/>
      <c r="W811" s="22" t="s">
        <v>10797</v>
      </c>
      <c r="X811" s="22" t="s">
        <v>8251</v>
      </c>
      <c r="Y811" s="25"/>
      <c r="Z811" s="25"/>
      <c r="AA811" s="22" t="s">
        <v>8129</v>
      </c>
      <c r="AB811" s="22" t="s">
        <v>8130</v>
      </c>
      <c r="AC811" s="25"/>
      <c r="AD811" s="25"/>
      <c r="AE811" s="22" t="s">
        <v>8132</v>
      </c>
      <c r="AF811" s="25"/>
      <c r="AG811" s="22">
        <v>1.0465105379651E13</v>
      </c>
      <c r="AH811" s="22" t="s">
        <v>8137</v>
      </c>
      <c r="AI811" s="22">
        <v>6.436261560563E12</v>
      </c>
      <c r="AJ811" s="25"/>
      <c r="AK811" s="25"/>
      <c r="AL811" s="22" t="s">
        <v>8149</v>
      </c>
      <c r="AR811" s="32" t="b">
        <v>0</v>
      </c>
      <c r="AS811" s="32" t="b">
        <v>0</v>
      </c>
    </row>
    <row r="812">
      <c r="A812" s="21" t="s">
        <v>10798</v>
      </c>
      <c r="B812" s="22" t="s">
        <v>8467</v>
      </c>
      <c r="C812" s="22">
        <v>1.0</v>
      </c>
      <c r="D812" s="22" t="s">
        <v>8141</v>
      </c>
      <c r="E812" s="22" t="s">
        <v>8467</v>
      </c>
      <c r="F812" s="22" t="s">
        <v>8155</v>
      </c>
      <c r="G812" s="25"/>
      <c r="H812" s="22">
        <v>3.2765315678531E13</v>
      </c>
      <c r="I812" s="25"/>
      <c r="J812" s="25"/>
      <c r="K812" s="22">
        <v>4.9521175462211E13</v>
      </c>
      <c r="L812" s="25"/>
      <c r="M812" s="25"/>
      <c r="N812" s="22" t="s">
        <v>4231</v>
      </c>
      <c r="O812" s="22" t="s">
        <v>10799</v>
      </c>
      <c r="P812" s="22" t="s">
        <v>4231</v>
      </c>
      <c r="Q812" s="22" t="s">
        <v>10799</v>
      </c>
      <c r="R812" s="22" t="s">
        <v>10800</v>
      </c>
      <c r="S812" s="25"/>
      <c r="T812" s="40" t="s">
        <v>10801</v>
      </c>
      <c r="U812" s="22" t="s">
        <v>10802</v>
      </c>
      <c r="V812" s="25"/>
      <c r="W812" s="22" t="s">
        <v>10803</v>
      </c>
      <c r="X812" s="22" t="s">
        <v>8380</v>
      </c>
      <c r="Y812" s="25"/>
      <c r="Z812" s="25"/>
      <c r="AA812" s="22" t="s">
        <v>8129</v>
      </c>
      <c r="AB812" s="22" t="s">
        <v>8130</v>
      </c>
      <c r="AC812" s="25"/>
      <c r="AD812" s="22" t="s">
        <v>8161</v>
      </c>
      <c r="AE812" s="22" t="s">
        <v>8132</v>
      </c>
      <c r="AF812" s="25"/>
      <c r="AG812" s="22">
        <v>1.0465108394307E13</v>
      </c>
      <c r="AH812" s="22" t="s">
        <v>90</v>
      </c>
      <c r="AI812" s="22">
        <v>7.484451029315E12</v>
      </c>
      <c r="AJ812" s="25"/>
      <c r="AK812" s="25"/>
      <c r="AL812" s="22" t="s">
        <v>8173</v>
      </c>
      <c r="AQ812" s="32" t="s">
        <v>55</v>
      </c>
      <c r="AR812" s="32" t="b">
        <v>0</v>
      </c>
      <c r="AS812" s="32" t="b">
        <v>1</v>
      </c>
    </row>
    <row r="813">
      <c r="A813" s="21" t="s">
        <v>10798</v>
      </c>
      <c r="B813" s="25"/>
      <c r="C813" s="25"/>
      <c r="D813" s="22" t="s">
        <v>8141</v>
      </c>
      <c r="E813" s="25"/>
      <c r="F813" s="22" t="s">
        <v>8149</v>
      </c>
      <c r="G813" s="25"/>
      <c r="H813" s="22">
        <v>9.519871000899E12</v>
      </c>
      <c r="I813" s="25"/>
      <c r="J813" s="25"/>
      <c r="K813" s="25"/>
      <c r="L813" s="25"/>
      <c r="M813" s="25"/>
      <c r="N813" s="22" t="s">
        <v>4231</v>
      </c>
      <c r="O813" s="22" t="s">
        <v>10799</v>
      </c>
      <c r="P813" s="22" t="s">
        <v>4231</v>
      </c>
      <c r="Q813" s="22" t="s">
        <v>10799</v>
      </c>
      <c r="R813" s="22" t="s">
        <v>10800</v>
      </c>
      <c r="S813" s="25"/>
      <c r="T813" s="40" t="s">
        <v>10801</v>
      </c>
      <c r="U813" s="22" t="s">
        <v>10802</v>
      </c>
      <c r="V813" s="25"/>
      <c r="W813" s="22" t="s">
        <v>10803</v>
      </c>
      <c r="X813" s="22" t="s">
        <v>8380</v>
      </c>
      <c r="Y813" s="25"/>
      <c r="Z813" s="25"/>
      <c r="AA813" s="22" t="s">
        <v>8129</v>
      </c>
      <c r="AB813" s="22" t="s">
        <v>8130</v>
      </c>
      <c r="AC813" s="25"/>
      <c r="AD813" s="25"/>
      <c r="AE813" s="22" t="s">
        <v>8132</v>
      </c>
      <c r="AF813" s="25"/>
      <c r="AG813" s="22">
        <v>1.0465108394307E13</v>
      </c>
      <c r="AH813" s="22" t="s">
        <v>8137</v>
      </c>
      <c r="AI813" s="22">
        <v>7.484451029315E12</v>
      </c>
      <c r="AJ813" s="25"/>
      <c r="AK813" s="25"/>
      <c r="AL813" s="22" t="s">
        <v>8149</v>
      </c>
      <c r="AR813" s="32" t="b">
        <v>0</v>
      </c>
      <c r="AS813" s="32" t="b">
        <v>0</v>
      </c>
    </row>
    <row r="814">
      <c r="A814" s="21" t="s">
        <v>10804</v>
      </c>
      <c r="B814" s="22" t="s">
        <v>8140</v>
      </c>
      <c r="C814" s="22">
        <v>1.0</v>
      </c>
      <c r="D814" s="22" t="s">
        <v>8212</v>
      </c>
      <c r="E814" s="22" t="s">
        <v>8140</v>
      </c>
      <c r="F814" s="22" t="s">
        <v>8121</v>
      </c>
      <c r="G814" s="25"/>
      <c r="H814" s="22">
        <v>3.2765347594563E13</v>
      </c>
      <c r="I814" s="25"/>
      <c r="J814" s="25"/>
      <c r="K814" s="22">
        <v>4.2085703581939E13</v>
      </c>
      <c r="L814" s="25"/>
      <c r="M814" s="25"/>
      <c r="N814" s="22" t="s">
        <v>6502</v>
      </c>
      <c r="O814" s="22" t="s">
        <v>10805</v>
      </c>
      <c r="P814" s="22" t="s">
        <v>6502</v>
      </c>
      <c r="Q814" s="22" t="s">
        <v>10805</v>
      </c>
      <c r="R814" s="22" t="s">
        <v>10806</v>
      </c>
      <c r="S814" s="25"/>
      <c r="T814" s="40" t="s">
        <v>10807</v>
      </c>
      <c r="U814" s="22" t="s">
        <v>10808</v>
      </c>
      <c r="V814" s="22" t="s">
        <v>10809</v>
      </c>
      <c r="W814" s="22" t="s">
        <v>10810</v>
      </c>
      <c r="X814" s="22" t="s">
        <v>8289</v>
      </c>
      <c r="Y814" s="25"/>
      <c r="Z814" s="25"/>
      <c r="AA814" s="22" t="s">
        <v>8129</v>
      </c>
      <c r="AB814" s="22" t="s">
        <v>8130</v>
      </c>
      <c r="AC814" s="25"/>
      <c r="AD814" s="22" t="s">
        <v>8131</v>
      </c>
      <c r="AE814" s="22" t="s">
        <v>8132</v>
      </c>
      <c r="AF814" s="25"/>
      <c r="AG814" s="22">
        <v>1.0465123270979E13</v>
      </c>
      <c r="AH814" s="22" t="s">
        <v>90</v>
      </c>
      <c r="AI814" s="22">
        <v>8.612011376963E12</v>
      </c>
      <c r="AJ814" s="25"/>
      <c r="AK814" s="25"/>
      <c r="AL814" s="22" t="s">
        <v>8134</v>
      </c>
      <c r="AQ814" s="32" t="s">
        <v>8150</v>
      </c>
      <c r="AR814" s="32" t="b">
        <v>0</v>
      </c>
      <c r="AS814" s="32" t="b">
        <v>0</v>
      </c>
    </row>
    <row r="815">
      <c r="A815" s="21" t="s">
        <v>10804</v>
      </c>
      <c r="B815" s="25"/>
      <c r="C815" s="25"/>
      <c r="D815" s="22" t="s">
        <v>8212</v>
      </c>
      <c r="E815" s="25"/>
      <c r="F815" s="22" t="s">
        <v>8136</v>
      </c>
      <c r="G815" s="25"/>
      <c r="H815" s="22">
        <v>9.519883419971E12</v>
      </c>
      <c r="I815" s="25"/>
      <c r="J815" s="25"/>
      <c r="K815" s="25"/>
      <c r="L815" s="25"/>
      <c r="M815" s="25"/>
      <c r="N815" s="22" t="s">
        <v>6502</v>
      </c>
      <c r="O815" s="22" t="s">
        <v>10805</v>
      </c>
      <c r="P815" s="22" t="s">
        <v>6502</v>
      </c>
      <c r="Q815" s="22" t="s">
        <v>10805</v>
      </c>
      <c r="R815" s="22" t="s">
        <v>10806</v>
      </c>
      <c r="S815" s="25"/>
      <c r="T815" s="40" t="s">
        <v>10807</v>
      </c>
      <c r="U815" s="22" t="s">
        <v>10808</v>
      </c>
      <c r="V815" s="22" t="s">
        <v>10809</v>
      </c>
      <c r="W815" s="22" t="s">
        <v>10810</v>
      </c>
      <c r="X815" s="22" t="s">
        <v>8289</v>
      </c>
      <c r="Y815" s="25"/>
      <c r="Z815" s="25"/>
      <c r="AA815" s="22" t="s">
        <v>8129</v>
      </c>
      <c r="AB815" s="22" t="s">
        <v>8130</v>
      </c>
      <c r="AC815" s="25"/>
      <c r="AD815" s="25"/>
      <c r="AE815" s="22" t="s">
        <v>8132</v>
      </c>
      <c r="AF815" s="25"/>
      <c r="AG815" s="22">
        <v>1.0465123270979E13</v>
      </c>
      <c r="AH815" s="22" t="s">
        <v>8137</v>
      </c>
      <c r="AI815" s="22">
        <v>8.612011376963E12</v>
      </c>
      <c r="AJ815" s="25"/>
      <c r="AK815" s="25"/>
      <c r="AL815" s="22" t="s">
        <v>8136</v>
      </c>
      <c r="AR815" s="32" t="b">
        <v>0</v>
      </c>
      <c r="AS815" s="32" t="b">
        <v>0</v>
      </c>
    </row>
    <row r="816">
      <c r="A816" s="21" t="s">
        <v>10811</v>
      </c>
      <c r="B816" s="22" t="s">
        <v>8707</v>
      </c>
      <c r="C816" s="22">
        <v>1.0</v>
      </c>
      <c r="D816" s="22" t="s">
        <v>8141</v>
      </c>
      <c r="E816" s="22" t="s">
        <v>8707</v>
      </c>
      <c r="F816" s="22" t="s">
        <v>8155</v>
      </c>
      <c r="G816" s="25"/>
      <c r="H816" s="22">
        <v>3.2765406085443E13</v>
      </c>
      <c r="I816" s="25"/>
      <c r="J816" s="25"/>
      <c r="K816" s="22">
        <v>4.9521175429443E13</v>
      </c>
      <c r="L816" s="25"/>
      <c r="M816" s="25"/>
      <c r="N816" s="22" t="s">
        <v>6236</v>
      </c>
      <c r="O816" s="22" t="s">
        <v>10812</v>
      </c>
      <c r="P816" s="22" t="s">
        <v>6236</v>
      </c>
      <c r="Q816" s="22" t="s">
        <v>10812</v>
      </c>
      <c r="R816" s="22" t="s">
        <v>10813</v>
      </c>
      <c r="S816" s="25"/>
      <c r="T816" s="40" t="s">
        <v>10814</v>
      </c>
      <c r="U816" s="22" t="s">
        <v>10815</v>
      </c>
      <c r="V816" s="45">
        <v>45691.0</v>
      </c>
      <c r="W816" s="22" t="s">
        <v>10816</v>
      </c>
      <c r="X816" s="22" t="s">
        <v>8289</v>
      </c>
      <c r="Y816" s="25"/>
      <c r="Z816" s="25"/>
      <c r="AA816" s="22" t="s">
        <v>8129</v>
      </c>
      <c r="AB816" s="22" t="s">
        <v>8130</v>
      </c>
      <c r="AC816" s="25"/>
      <c r="AD816" s="22" t="s">
        <v>8161</v>
      </c>
      <c r="AE816" s="22" t="s">
        <v>8132</v>
      </c>
      <c r="AF816" s="25"/>
      <c r="AG816" s="22">
        <v>1.0465150173507E13</v>
      </c>
      <c r="AH816" s="22" t="s">
        <v>90</v>
      </c>
      <c r="AI816" s="22">
        <v>8.665687720259E12</v>
      </c>
      <c r="AJ816" s="25"/>
      <c r="AK816" s="25"/>
      <c r="AL816" s="22" t="s">
        <v>8336</v>
      </c>
      <c r="AQ816" s="32" t="s">
        <v>54</v>
      </c>
      <c r="AR816" s="32" t="b">
        <v>0</v>
      </c>
      <c r="AS816" s="32" t="b">
        <v>1</v>
      </c>
    </row>
    <row r="817">
      <c r="A817" s="21" t="s">
        <v>10811</v>
      </c>
      <c r="B817" s="25"/>
      <c r="C817" s="25"/>
      <c r="D817" s="22" t="s">
        <v>8141</v>
      </c>
      <c r="E817" s="25"/>
      <c r="F817" s="22" t="s">
        <v>8149</v>
      </c>
      <c r="G817" s="25"/>
      <c r="H817" s="22">
        <v>9.519905079619E12</v>
      </c>
      <c r="I817" s="25"/>
      <c r="J817" s="25"/>
      <c r="K817" s="25"/>
      <c r="L817" s="25"/>
      <c r="M817" s="25"/>
      <c r="N817" s="22" t="s">
        <v>6236</v>
      </c>
      <c r="O817" s="22" t="s">
        <v>10812</v>
      </c>
      <c r="P817" s="22" t="s">
        <v>6236</v>
      </c>
      <c r="Q817" s="22" t="s">
        <v>10812</v>
      </c>
      <c r="R817" s="22" t="s">
        <v>10813</v>
      </c>
      <c r="S817" s="25"/>
      <c r="T817" s="40" t="s">
        <v>10814</v>
      </c>
      <c r="U817" s="22" t="s">
        <v>10815</v>
      </c>
      <c r="V817" s="45">
        <v>45691.0</v>
      </c>
      <c r="W817" s="22" t="s">
        <v>10816</v>
      </c>
      <c r="X817" s="22" t="s">
        <v>8289</v>
      </c>
      <c r="Y817" s="25"/>
      <c r="Z817" s="25"/>
      <c r="AA817" s="22" t="s">
        <v>8129</v>
      </c>
      <c r="AB817" s="22" t="s">
        <v>8130</v>
      </c>
      <c r="AC817" s="25"/>
      <c r="AD817" s="25"/>
      <c r="AE817" s="22" t="s">
        <v>8132</v>
      </c>
      <c r="AF817" s="25"/>
      <c r="AG817" s="22">
        <v>1.0465150173507E13</v>
      </c>
      <c r="AH817" s="22" t="s">
        <v>8137</v>
      </c>
      <c r="AI817" s="22">
        <v>8.665687720259E12</v>
      </c>
      <c r="AJ817" s="25"/>
      <c r="AK817" s="25"/>
      <c r="AL817" s="22" t="s">
        <v>8149</v>
      </c>
      <c r="AR817" s="32" t="b">
        <v>0</v>
      </c>
      <c r="AS817" s="32" t="b">
        <v>0</v>
      </c>
    </row>
    <row r="818">
      <c r="A818" s="21" t="s">
        <v>10817</v>
      </c>
      <c r="B818" s="22" t="s">
        <v>8429</v>
      </c>
      <c r="C818" s="22">
        <v>1.0</v>
      </c>
      <c r="D818" s="22" t="s">
        <v>8203</v>
      </c>
      <c r="E818" s="22" t="s">
        <v>8429</v>
      </c>
      <c r="F818" s="22" t="s">
        <v>8155</v>
      </c>
      <c r="G818" s="25"/>
      <c r="H818" s="22">
        <v>3.2765425516867E13</v>
      </c>
      <c r="I818" s="25"/>
      <c r="J818" s="25"/>
      <c r="K818" s="22">
        <v>4.9521175527747E13</v>
      </c>
      <c r="L818" s="25"/>
      <c r="M818" s="25"/>
      <c r="N818" s="22" t="s">
        <v>10818</v>
      </c>
      <c r="O818" s="22" t="s">
        <v>8885</v>
      </c>
      <c r="P818" s="22" t="s">
        <v>10818</v>
      </c>
      <c r="Q818" s="22" t="s">
        <v>8885</v>
      </c>
      <c r="R818" s="22" t="s">
        <v>10819</v>
      </c>
      <c r="S818" s="25"/>
      <c r="T818" s="40" t="s">
        <v>10820</v>
      </c>
      <c r="U818" s="22" t="s">
        <v>10821</v>
      </c>
      <c r="V818" s="25"/>
      <c r="W818" s="22" t="s">
        <v>10822</v>
      </c>
      <c r="X818" s="22" t="s">
        <v>8380</v>
      </c>
      <c r="Y818" s="25"/>
      <c r="Z818" s="25"/>
      <c r="AA818" s="22" t="s">
        <v>8129</v>
      </c>
      <c r="AB818" s="22" t="s">
        <v>8130</v>
      </c>
      <c r="AC818" s="25"/>
      <c r="AD818" s="22" t="s">
        <v>8161</v>
      </c>
      <c r="AE818" s="22" t="s">
        <v>8132</v>
      </c>
      <c r="AF818" s="25"/>
      <c r="AG818" s="22">
        <v>1.0465159708995E13</v>
      </c>
      <c r="AH818" s="22" t="s">
        <v>90</v>
      </c>
      <c r="AI818" s="22">
        <v>8.574402691395E12</v>
      </c>
      <c r="AJ818" s="25"/>
      <c r="AK818" s="25"/>
      <c r="AL818" s="22" t="s">
        <v>8201</v>
      </c>
      <c r="AQ818" s="32" t="s">
        <v>95</v>
      </c>
      <c r="AR818" s="32" t="b">
        <v>0</v>
      </c>
      <c r="AS818" s="32" t="b">
        <v>1</v>
      </c>
    </row>
    <row r="819">
      <c r="A819" s="21" t="s">
        <v>10817</v>
      </c>
      <c r="B819" s="25"/>
      <c r="C819" s="25"/>
      <c r="D819" s="22" t="s">
        <v>8203</v>
      </c>
      <c r="E819" s="25"/>
      <c r="F819" s="22" t="s">
        <v>8149</v>
      </c>
      <c r="G819" s="25"/>
      <c r="H819" s="22">
        <v>9.519913206083E12</v>
      </c>
      <c r="I819" s="25"/>
      <c r="J819" s="25"/>
      <c r="K819" s="25"/>
      <c r="L819" s="25"/>
      <c r="M819" s="25"/>
      <c r="N819" s="22" t="s">
        <v>10818</v>
      </c>
      <c r="O819" s="22" t="s">
        <v>8885</v>
      </c>
      <c r="P819" s="22" t="s">
        <v>10818</v>
      </c>
      <c r="Q819" s="22" t="s">
        <v>8885</v>
      </c>
      <c r="R819" s="22" t="s">
        <v>10819</v>
      </c>
      <c r="S819" s="25"/>
      <c r="T819" s="40" t="s">
        <v>10820</v>
      </c>
      <c r="U819" s="22" t="s">
        <v>10821</v>
      </c>
      <c r="V819" s="25"/>
      <c r="W819" s="22" t="s">
        <v>10822</v>
      </c>
      <c r="X819" s="22" t="s">
        <v>8380</v>
      </c>
      <c r="Y819" s="25"/>
      <c r="Z819" s="25"/>
      <c r="AA819" s="22" t="s">
        <v>8129</v>
      </c>
      <c r="AB819" s="22" t="s">
        <v>8130</v>
      </c>
      <c r="AC819" s="25"/>
      <c r="AD819" s="25"/>
      <c r="AE819" s="22" t="s">
        <v>8132</v>
      </c>
      <c r="AF819" s="25"/>
      <c r="AG819" s="22">
        <v>1.0465159708995E13</v>
      </c>
      <c r="AH819" s="22" t="s">
        <v>8137</v>
      </c>
      <c r="AI819" s="22">
        <v>8.574402691395E12</v>
      </c>
      <c r="AJ819" s="25"/>
      <c r="AK819" s="25"/>
      <c r="AL819" s="22" t="s">
        <v>8149</v>
      </c>
      <c r="AR819" s="32" t="b">
        <v>0</v>
      </c>
      <c r="AS819" s="32" t="b">
        <v>0</v>
      </c>
    </row>
    <row r="820">
      <c r="A820" s="21" t="s">
        <v>10823</v>
      </c>
      <c r="B820" s="22" t="s">
        <v>8119</v>
      </c>
      <c r="C820" s="22">
        <v>1.0</v>
      </c>
      <c r="D820" s="22" t="s">
        <v>8371</v>
      </c>
      <c r="E820" s="22" t="s">
        <v>8119</v>
      </c>
      <c r="F820" s="22" t="s">
        <v>8121</v>
      </c>
      <c r="G820" s="25"/>
      <c r="H820" s="22">
        <v>3.2765453959491E13</v>
      </c>
      <c r="I820" s="25"/>
      <c r="J820" s="25"/>
      <c r="K820" s="22">
        <v>4.2085703549171E13</v>
      </c>
      <c r="L820" s="25"/>
      <c r="M820" s="25"/>
      <c r="N820" s="22" t="s">
        <v>10824</v>
      </c>
      <c r="O820" s="22" t="s">
        <v>10825</v>
      </c>
      <c r="P820" s="22" t="s">
        <v>10824</v>
      </c>
      <c r="Q820" s="22" t="s">
        <v>10825</v>
      </c>
      <c r="R820" s="22" t="s">
        <v>10826</v>
      </c>
      <c r="S820" s="25"/>
      <c r="T820" s="40" t="s">
        <v>10827</v>
      </c>
      <c r="U820" s="22" t="s">
        <v>10828</v>
      </c>
      <c r="V820" s="25"/>
      <c r="W820" s="22" t="s">
        <v>10829</v>
      </c>
      <c r="X820" s="22" t="s">
        <v>10830</v>
      </c>
      <c r="Y820" s="25"/>
      <c r="Z820" s="25"/>
      <c r="AA820" s="22" t="s">
        <v>8129</v>
      </c>
      <c r="AB820" s="22" t="s">
        <v>8130</v>
      </c>
      <c r="AC820" s="25"/>
      <c r="AD820" s="22" t="s">
        <v>8131</v>
      </c>
      <c r="AE820" s="22" t="s">
        <v>8132</v>
      </c>
      <c r="AF820" s="25"/>
      <c r="AG820" s="22">
        <v>1.0465174585667E13</v>
      </c>
      <c r="AH820" s="22" t="s">
        <v>90</v>
      </c>
      <c r="AI820" s="22">
        <v>5.960599961843E12</v>
      </c>
      <c r="AJ820" s="25"/>
      <c r="AK820" s="25"/>
      <c r="AL820" s="22" t="s">
        <v>8133</v>
      </c>
      <c r="AQ820" s="32" t="s">
        <v>8135</v>
      </c>
      <c r="AR820" s="32" t="b">
        <v>0</v>
      </c>
      <c r="AS820" s="32" t="b">
        <v>0</v>
      </c>
    </row>
    <row r="821">
      <c r="A821" s="21" t="s">
        <v>10823</v>
      </c>
      <c r="B821" s="25"/>
      <c r="C821" s="25"/>
      <c r="D821" s="22" t="s">
        <v>8371</v>
      </c>
      <c r="E821" s="25"/>
      <c r="F821" s="22" t="s">
        <v>8136</v>
      </c>
      <c r="G821" s="25"/>
      <c r="H821" s="22">
        <v>9.519925002563E12</v>
      </c>
      <c r="I821" s="25"/>
      <c r="J821" s="25"/>
      <c r="K821" s="25"/>
      <c r="L821" s="25"/>
      <c r="M821" s="25"/>
      <c r="N821" s="22" t="s">
        <v>10824</v>
      </c>
      <c r="O821" s="22" t="s">
        <v>10825</v>
      </c>
      <c r="P821" s="22" t="s">
        <v>10824</v>
      </c>
      <c r="Q821" s="22" t="s">
        <v>10825</v>
      </c>
      <c r="R821" s="22" t="s">
        <v>10826</v>
      </c>
      <c r="S821" s="25"/>
      <c r="T821" s="40" t="s">
        <v>10827</v>
      </c>
      <c r="U821" s="22" t="s">
        <v>10828</v>
      </c>
      <c r="V821" s="25"/>
      <c r="W821" s="22" t="s">
        <v>10829</v>
      </c>
      <c r="X821" s="22" t="s">
        <v>10830</v>
      </c>
      <c r="Y821" s="25"/>
      <c r="Z821" s="25"/>
      <c r="AA821" s="22" t="s">
        <v>8129</v>
      </c>
      <c r="AB821" s="22" t="s">
        <v>8130</v>
      </c>
      <c r="AC821" s="25"/>
      <c r="AD821" s="25"/>
      <c r="AE821" s="22" t="s">
        <v>8132</v>
      </c>
      <c r="AF821" s="25"/>
      <c r="AG821" s="22">
        <v>1.0465174585667E13</v>
      </c>
      <c r="AH821" s="22" t="s">
        <v>8137</v>
      </c>
      <c r="AI821" s="22">
        <v>5.960599961843E12</v>
      </c>
      <c r="AJ821" s="25"/>
      <c r="AK821" s="25"/>
      <c r="AL821" s="22" t="s">
        <v>8136</v>
      </c>
      <c r="AR821" s="32" t="b">
        <v>0</v>
      </c>
      <c r="AS821" s="32" t="b">
        <v>0</v>
      </c>
    </row>
    <row r="822">
      <c r="A822" s="21" t="s">
        <v>10831</v>
      </c>
      <c r="B822" s="22" t="s">
        <v>8707</v>
      </c>
      <c r="C822" s="22">
        <v>1.0</v>
      </c>
      <c r="D822" s="22" t="s">
        <v>8212</v>
      </c>
      <c r="E822" s="22" t="s">
        <v>8707</v>
      </c>
      <c r="F822" s="22" t="s">
        <v>8155</v>
      </c>
      <c r="G822" s="25"/>
      <c r="H822" s="22">
        <v>3.2765490561347E13</v>
      </c>
      <c r="I822" s="25"/>
      <c r="J822" s="25"/>
      <c r="K822" s="22">
        <v>4.9521175429443E13</v>
      </c>
      <c r="L822" s="25"/>
      <c r="M822" s="25"/>
      <c r="N822" s="22" t="s">
        <v>3866</v>
      </c>
      <c r="O822" s="22" t="s">
        <v>10832</v>
      </c>
      <c r="P822" s="22" t="s">
        <v>3866</v>
      </c>
      <c r="Q822" s="22" t="s">
        <v>10832</v>
      </c>
      <c r="R822" s="22" t="s">
        <v>10833</v>
      </c>
      <c r="S822" s="25"/>
      <c r="T822" s="40" t="s">
        <v>10834</v>
      </c>
      <c r="U822" s="22" t="s">
        <v>10835</v>
      </c>
      <c r="V822" s="25"/>
      <c r="W822" s="22" t="s">
        <v>10836</v>
      </c>
      <c r="X822" s="22" t="s">
        <v>8289</v>
      </c>
      <c r="Y822" s="25"/>
      <c r="Z822" s="25"/>
      <c r="AA822" s="22" t="s">
        <v>8129</v>
      </c>
      <c r="AB822" s="22" t="s">
        <v>8130</v>
      </c>
      <c r="AC822" s="25"/>
      <c r="AD822" s="22" t="s">
        <v>8161</v>
      </c>
      <c r="AE822" s="22" t="s">
        <v>8132</v>
      </c>
      <c r="AF822" s="25"/>
      <c r="AG822" s="22">
        <v>1.0465191887171E13</v>
      </c>
      <c r="AH822" s="22" t="s">
        <v>90</v>
      </c>
      <c r="AI822" s="22">
        <v>8.627514540355E12</v>
      </c>
      <c r="AJ822" s="25"/>
      <c r="AK822" s="25"/>
      <c r="AL822" s="22" t="s">
        <v>8336</v>
      </c>
      <c r="AQ822" s="32" t="s">
        <v>54</v>
      </c>
      <c r="AR822" s="32" t="b">
        <v>0</v>
      </c>
      <c r="AS822" s="32" t="b">
        <v>1</v>
      </c>
    </row>
    <row r="823">
      <c r="A823" s="21" t="s">
        <v>10831</v>
      </c>
      <c r="B823" s="25"/>
      <c r="C823" s="25"/>
      <c r="D823" s="22" t="s">
        <v>8212</v>
      </c>
      <c r="E823" s="25"/>
      <c r="F823" s="22" t="s">
        <v>8149</v>
      </c>
      <c r="G823" s="25"/>
      <c r="H823" s="22">
        <v>9.519938863427E12</v>
      </c>
      <c r="I823" s="25"/>
      <c r="J823" s="25"/>
      <c r="K823" s="25"/>
      <c r="L823" s="25"/>
      <c r="M823" s="25"/>
      <c r="N823" s="22" t="s">
        <v>3866</v>
      </c>
      <c r="O823" s="22" t="s">
        <v>10832</v>
      </c>
      <c r="P823" s="22" t="s">
        <v>3866</v>
      </c>
      <c r="Q823" s="22" t="s">
        <v>10832</v>
      </c>
      <c r="R823" s="22" t="s">
        <v>10833</v>
      </c>
      <c r="S823" s="25"/>
      <c r="T823" s="40" t="s">
        <v>10834</v>
      </c>
      <c r="U823" s="22" t="s">
        <v>10835</v>
      </c>
      <c r="V823" s="25"/>
      <c r="W823" s="22" t="s">
        <v>10836</v>
      </c>
      <c r="X823" s="22" t="s">
        <v>8289</v>
      </c>
      <c r="Y823" s="25"/>
      <c r="Z823" s="25"/>
      <c r="AA823" s="22" t="s">
        <v>8129</v>
      </c>
      <c r="AB823" s="22" t="s">
        <v>8130</v>
      </c>
      <c r="AC823" s="25"/>
      <c r="AD823" s="25"/>
      <c r="AE823" s="22" t="s">
        <v>8132</v>
      </c>
      <c r="AF823" s="25"/>
      <c r="AG823" s="22">
        <v>1.0465191887171E13</v>
      </c>
      <c r="AH823" s="22" t="s">
        <v>8137</v>
      </c>
      <c r="AI823" s="22">
        <v>8.627514540355E12</v>
      </c>
      <c r="AJ823" s="25"/>
      <c r="AK823" s="25"/>
      <c r="AL823" s="22" t="s">
        <v>8149</v>
      </c>
      <c r="AR823" s="32" t="b">
        <v>0</v>
      </c>
      <c r="AS823" s="32" t="b">
        <v>0</v>
      </c>
    </row>
    <row r="824">
      <c r="A824" s="21" t="s">
        <v>10837</v>
      </c>
      <c r="B824" s="22" t="s">
        <v>8140</v>
      </c>
      <c r="C824" s="22">
        <v>1.0</v>
      </c>
      <c r="D824" s="22" t="s">
        <v>8968</v>
      </c>
      <c r="E824" s="22" t="s">
        <v>8140</v>
      </c>
      <c r="F824" s="22" t="s">
        <v>8121</v>
      </c>
      <c r="G824" s="25"/>
      <c r="H824" s="22">
        <v>3.2765500719427E13</v>
      </c>
      <c r="I824" s="25"/>
      <c r="J824" s="25"/>
      <c r="K824" s="22">
        <v>4.2085703581939E13</v>
      </c>
      <c r="L824" s="25"/>
      <c r="M824" s="25"/>
      <c r="N824" s="22" t="s">
        <v>5421</v>
      </c>
      <c r="O824" s="22" t="s">
        <v>10838</v>
      </c>
      <c r="P824" s="22" t="s">
        <v>5421</v>
      </c>
      <c r="Q824" s="22" t="s">
        <v>10838</v>
      </c>
      <c r="R824" s="22" t="s">
        <v>10839</v>
      </c>
      <c r="S824" s="25"/>
      <c r="T824" s="40" t="s">
        <v>10840</v>
      </c>
      <c r="U824" s="22" t="s">
        <v>10841</v>
      </c>
      <c r="V824" s="25"/>
      <c r="W824" s="22" t="s">
        <v>10842</v>
      </c>
      <c r="X824" s="22" t="s">
        <v>10657</v>
      </c>
      <c r="Y824" s="25"/>
      <c r="Z824" s="25"/>
      <c r="AA824" s="22" t="s">
        <v>8129</v>
      </c>
      <c r="AB824" s="22" t="s">
        <v>8130</v>
      </c>
      <c r="AC824" s="25"/>
      <c r="AD824" s="22" t="s">
        <v>8131</v>
      </c>
      <c r="AE824" s="22" t="s">
        <v>8132</v>
      </c>
      <c r="AF824" s="25"/>
      <c r="AG824" s="22">
        <v>1.0465197228355E13</v>
      </c>
      <c r="AH824" s="22" t="s">
        <v>90</v>
      </c>
      <c r="AI824" s="22">
        <v>2.3432609169731E13</v>
      </c>
      <c r="AJ824" s="25"/>
      <c r="AK824" s="25"/>
      <c r="AL824" s="22" t="s">
        <v>8134</v>
      </c>
      <c r="AQ824" s="32" t="s">
        <v>8150</v>
      </c>
      <c r="AR824" s="32" t="b">
        <v>0</v>
      </c>
      <c r="AS824" s="32" t="b">
        <v>0</v>
      </c>
    </row>
    <row r="825">
      <c r="A825" s="21" t="s">
        <v>10837</v>
      </c>
      <c r="B825" s="25"/>
      <c r="C825" s="25"/>
      <c r="D825" s="22" t="s">
        <v>8968</v>
      </c>
      <c r="E825" s="25"/>
      <c r="F825" s="22" t="s">
        <v>8136</v>
      </c>
      <c r="G825" s="25"/>
      <c r="H825" s="22">
        <v>9.519943024963E12</v>
      </c>
      <c r="I825" s="25"/>
      <c r="J825" s="25"/>
      <c r="K825" s="25"/>
      <c r="L825" s="25"/>
      <c r="M825" s="25"/>
      <c r="N825" s="22" t="s">
        <v>5421</v>
      </c>
      <c r="O825" s="22" t="s">
        <v>10838</v>
      </c>
      <c r="P825" s="22" t="s">
        <v>5421</v>
      </c>
      <c r="Q825" s="22" t="s">
        <v>10838</v>
      </c>
      <c r="R825" s="22" t="s">
        <v>10839</v>
      </c>
      <c r="S825" s="25"/>
      <c r="T825" s="40" t="s">
        <v>10840</v>
      </c>
      <c r="U825" s="22" t="s">
        <v>10841</v>
      </c>
      <c r="V825" s="25"/>
      <c r="W825" s="22" t="s">
        <v>10842</v>
      </c>
      <c r="X825" s="22" t="s">
        <v>10657</v>
      </c>
      <c r="Y825" s="25"/>
      <c r="Z825" s="25"/>
      <c r="AA825" s="22" t="s">
        <v>8129</v>
      </c>
      <c r="AB825" s="22" t="s">
        <v>8130</v>
      </c>
      <c r="AC825" s="25"/>
      <c r="AD825" s="25"/>
      <c r="AE825" s="22" t="s">
        <v>8132</v>
      </c>
      <c r="AF825" s="25"/>
      <c r="AG825" s="22">
        <v>1.0465197228355E13</v>
      </c>
      <c r="AH825" s="22" t="s">
        <v>8137</v>
      </c>
      <c r="AI825" s="22">
        <v>2.3432609169731E13</v>
      </c>
      <c r="AJ825" s="25"/>
      <c r="AK825" s="25"/>
      <c r="AL825" s="22" t="s">
        <v>8136</v>
      </c>
      <c r="AR825" s="32" t="b">
        <v>0</v>
      </c>
      <c r="AS825" s="32" t="b">
        <v>0</v>
      </c>
    </row>
    <row r="826">
      <c r="A826" s="21" t="s">
        <v>10843</v>
      </c>
      <c r="B826" s="22" t="s">
        <v>8370</v>
      </c>
      <c r="C826" s="22">
        <v>1.0</v>
      </c>
      <c r="D826" s="22" t="s">
        <v>8141</v>
      </c>
      <c r="E826" s="22" t="s">
        <v>8370</v>
      </c>
      <c r="F826" s="22" t="s">
        <v>8155</v>
      </c>
      <c r="G826" s="25"/>
      <c r="H826" s="22">
        <v>3.2765522313539E13</v>
      </c>
      <c r="I826" s="25"/>
      <c r="J826" s="25"/>
      <c r="K826" s="22">
        <v>4.9521175494979E13</v>
      </c>
      <c r="L826" s="25"/>
      <c r="M826" s="25"/>
      <c r="N826" s="22" t="s">
        <v>10844</v>
      </c>
      <c r="O826" s="22" t="s">
        <v>10845</v>
      </c>
      <c r="P826" s="22" t="s">
        <v>10844</v>
      </c>
      <c r="Q826" s="22" t="s">
        <v>10845</v>
      </c>
      <c r="R826" s="22" t="s">
        <v>10846</v>
      </c>
      <c r="S826" s="25"/>
      <c r="T826" s="40" t="s">
        <v>10847</v>
      </c>
      <c r="U826" s="22" t="s">
        <v>10848</v>
      </c>
      <c r="V826" s="25"/>
      <c r="W826" s="22" t="s">
        <v>10849</v>
      </c>
      <c r="X826" s="22" t="s">
        <v>8128</v>
      </c>
      <c r="Y826" s="25"/>
      <c r="Z826" s="25"/>
      <c r="AA826" s="22" t="s">
        <v>8129</v>
      </c>
      <c r="AB826" s="22" t="s">
        <v>8130</v>
      </c>
      <c r="AC826" s="25"/>
      <c r="AD826" s="22" t="s">
        <v>8161</v>
      </c>
      <c r="AE826" s="22" t="s">
        <v>8132</v>
      </c>
      <c r="AF826" s="25"/>
      <c r="AG826" s="22">
        <v>1.0465207681347E13</v>
      </c>
      <c r="AH826" s="22" t="s">
        <v>90</v>
      </c>
      <c r="AI826" s="22">
        <v>6.470536724723E12</v>
      </c>
      <c r="AJ826" s="25"/>
      <c r="AK826" s="25"/>
      <c r="AL826" s="22" t="s">
        <v>8138</v>
      </c>
      <c r="AQ826" s="32" t="s">
        <v>91</v>
      </c>
      <c r="AR826" s="32" t="b">
        <v>0</v>
      </c>
      <c r="AS826" s="32" t="b">
        <v>1</v>
      </c>
    </row>
    <row r="827">
      <c r="A827" s="21" t="s">
        <v>10843</v>
      </c>
      <c r="B827" s="25"/>
      <c r="C827" s="25"/>
      <c r="D827" s="22" t="s">
        <v>8141</v>
      </c>
      <c r="E827" s="25"/>
      <c r="F827" s="22" t="s">
        <v>8149</v>
      </c>
      <c r="G827" s="25"/>
      <c r="H827" s="22">
        <v>9.519951184195E12</v>
      </c>
      <c r="I827" s="25"/>
      <c r="J827" s="25"/>
      <c r="K827" s="25"/>
      <c r="L827" s="25"/>
      <c r="M827" s="25"/>
      <c r="N827" s="22" t="s">
        <v>10844</v>
      </c>
      <c r="O827" s="22" t="s">
        <v>10845</v>
      </c>
      <c r="P827" s="22" t="s">
        <v>10844</v>
      </c>
      <c r="Q827" s="22" t="s">
        <v>10845</v>
      </c>
      <c r="R827" s="22" t="s">
        <v>10846</v>
      </c>
      <c r="S827" s="25"/>
      <c r="T827" s="40" t="s">
        <v>10847</v>
      </c>
      <c r="U827" s="22" t="s">
        <v>10848</v>
      </c>
      <c r="V827" s="25"/>
      <c r="W827" s="22" t="s">
        <v>10849</v>
      </c>
      <c r="X827" s="22" t="s">
        <v>8128</v>
      </c>
      <c r="Y827" s="25"/>
      <c r="Z827" s="25"/>
      <c r="AA827" s="22" t="s">
        <v>8129</v>
      </c>
      <c r="AB827" s="22" t="s">
        <v>8130</v>
      </c>
      <c r="AC827" s="25"/>
      <c r="AD827" s="25"/>
      <c r="AE827" s="22" t="s">
        <v>8132</v>
      </c>
      <c r="AF827" s="25"/>
      <c r="AG827" s="22">
        <v>1.0465207681347E13</v>
      </c>
      <c r="AH827" s="22" t="s">
        <v>8137</v>
      </c>
      <c r="AI827" s="22">
        <v>6.470536724723E12</v>
      </c>
      <c r="AJ827" s="25"/>
      <c r="AK827" s="25"/>
      <c r="AL827" s="22" t="s">
        <v>8149</v>
      </c>
      <c r="AR827" s="32" t="b">
        <v>0</v>
      </c>
      <c r="AS827" s="32" t="b">
        <v>0</v>
      </c>
    </row>
    <row r="828">
      <c r="A828" s="21" t="s">
        <v>10850</v>
      </c>
      <c r="B828" s="22" t="s">
        <v>8140</v>
      </c>
      <c r="C828" s="22">
        <v>1.0</v>
      </c>
      <c r="D828" s="22" t="s">
        <v>8212</v>
      </c>
      <c r="E828" s="22" t="s">
        <v>8140</v>
      </c>
      <c r="F828" s="22" t="s">
        <v>8121</v>
      </c>
      <c r="G828" s="25"/>
      <c r="H828" s="22">
        <v>3.2765606494531E13</v>
      </c>
      <c r="I828" s="25"/>
      <c r="J828" s="25"/>
      <c r="K828" s="22">
        <v>4.2085703581939E13</v>
      </c>
      <c r="L828" s="25"/>
      <c r="M828" s="25"/>
      <c r="N828" s="22" t="s">
        <v>7007</v>
      </c>
      <c r="O828" s="22" t="s">
        <v>10851</v>
      </c>
      <c r="P828" s="22" t="s">
        <v>7007</v>
      </c>
      <c r="Q828" s="22" t="s">
        <v>10851</v>
      </c>
      <c r="R828" s="22" t="s">
        <v>10852</v>
      </c>
      <c r="S828" s="25"/>
      <c r="T828" s="40" t="s">
        <v>10853</v>
      </c>
      <c r="U828" s="22" t="s">
        <v>10854</v>
      </c>
      <c r="V828" s="25"/>
      <c r="W828" s="22" t="s">
        <v>10855</v>
      </c>
      <c r="X828" s="22" t="s">
        <v>8289</v>
      </c>
      <c r="Y828" s="25"/>
      <c r="Z828" s="25"/>
      <c r="AA828" s="22" t="s">
        <v>8129</v>
      </c>
      <c r="AB828" s="22" t="s">
        <v>8130</v>
      </c>
      <c r="AC828" s="25"/>
      <c r="AD828" s="22" t="s">
        <v>8131</v>
      </c>
      <c r="AE828" s="22" t="s">
        <v>8132</v>
      </c>
      <c r="AF828" s="25"/>
      <c r="AG828" s="22">
        <v>1.0465247756611E13</v>
      </c>
      <c r="AH828" s="22" t="s">
        <v>90</v>
      </c>
      <c r="AI828" s="22">
        <v>2.3432654586179E13</v>
      </c>
      <c r="AJ828" s="25"/>
      <c r="AK828" s="25"/>
      <c r="AL828" s="22" t="s">
        <v>8134</v>
      </c>
      <c r="AQ828" s="32" t="s">
        <v>8150</v>
      </c>
      <c r="AR828" s="32" t="b">
        <v>0</v>
      </c>
      <c r="AS828" s="32" t="b">
        <v>0</v>
      </c>
    </row>
    <row r="829">
      <c r="A829" s="21" t="s">
        <v>10850</v>
      </c>
      <c r="B829" s="25"/>
      <c r="C829" s="25"/>
      <c r="D829" s="22" t="s">
        <v>8212</v>
      </c>
      <c r="E829" s="25"/>
      <c r="F829" s="22" t="s">
        <v>8136</v>
      </c>
      <c r="G829" s="25"/>
      <c r="H829" s="22">
        <v>9.519981756739E12</v>
      </c>
      <c r="I829" s="25"/>
      <c r="J829" s="25"/>
      <c r="K829" s="25"/>
      <c r="L829" s="25"/>
      <c r="M829" s="25"/>
      <c r="N829" s="22" t="s">
        <v>7007</v>
      </c>
      <c r="O829" s="22" t="s">
        <v>10851</v>
      </c>
      <c r="P829" s="22" t="s">
        <v>7007</v>
      </c>
      <c r="Q829" s="22" t="s">
        <v>10851</v>
      </c>
      <c r="R829" s="22" t="s">
        <v>10852</v>
      </c>
      <c r="S829" s="25"/>
      <c r="T829" s="40" t="s">
        <v>10853</v>
      </c>
      <c r="U829" s="22" t="s">
        <v>10854</v>
      </c>
      <c r="V829" s="25"/>
      <c r="W829" s="22" t="s">
        <v>10855</v>
      </c>
      <c r="X829" s="22" t="s">
        <v>8289</v>
      </c>
      <c r="Y829" s="25"/>
      <c r="Z829" s="25"/>
      <c r="AA829" s="22" t="s">
        <v>8129</v>
      </c>
      <c r="AB829" s="22" t="s">
        <v>8130</v>
      </c>
      <c r="AC829" s="25"/>
      <c r="AD829" s="25"/>
      <c r="AE829" s="22" t="s">
        <v>8132</v>
      </c>
      <c r="AF829" s="25"/>
      <c r="AG829" s="22">
        <v>1.0465247756611E13</v>
      </c>
      <c r="AH829" s="22" t="s">
        <v>8137</v>
      </c>
      <c r="AI829" s="22">
        <v>2.3432654586179E13</v>
      </c>
      <c r="AJ829" s="25"/>
      <c r="AK829" s="25"/>
      <c r="AL829" s="22" t="s">
        <v>8136</v>
      </c>
      <c r="AR829" s="32" t="b">
        <v>0</v>
      </c>
      <c r="AS829" s="32" t="b">
        <v>0</v>
      </c>
    </row>
    <row r="830">
      <c r="A830" s="21" t="s">
        <v>10856</v>
      </c>
      <c r="B830" s="22" t="s">
        <v>8140</v>
      </c>
      <c r="C830" s="22">
        <v>1.0</v>
      </c>
      <c r="D830" s="22" t="s">
        <v>8175</v>
      </c>
      <c r="E830" s="22" t="s">
        <v>8140</v>
      </c>
      <c r="F830" s="22" t="s">
        <v>8121</v>
      </c>
      <c r="G830" s="25"/>
      <c r="H830" s="22">
        <v>3.2765667443011E13</v>
      </c>
      <c r="I830" s="25"/>
      <c r="J830" s="25"/>
      <c r="K830" s="22">
        <v>4.2085703581939E13</v>
      </c>
      <c r="L830" s="25"/>
      <c r="M830" s="25"/>
      <c r="N830" s="22" t="s">
        <v>10857</v>
      </c>
      <c r="O830" s="22" t="s">
        <v>10858</v>
      </c>
      <c r="P830" s="22" t="s">
        <v>10857</v>
      </c>
      <c r="Q830" s="22" t="s">
        <v>10858</v>
      </c>
      <c r="R830" s="22" t="s">
        <v>10859</v>
      </c>
      <c r="S830" s="25"/>
      <c r="T830" s="40" t="s">
        <v>10860</v>
      </c>
      <c r="U830" s="22" t="s">
        <v>10861</v>
      </c>
      <c r="V830" s="25"/>
      <c r="W830" s="22" t="s">
        <v>10862</v>
      </c>
      <c r="X830" s="22" t="s">
        <v>10268</v>
      </c>
      <c r="Y830" s="25"/>
      <c r="Z830" s="25"/>
      <c r="AA830" s="22" t="s">
        <v>8129</v>
      </c>
      <c r="AB830" s="22" t="s">
        <v>8130</v>
      </c>
      <c r="AC830" s="25"/>
      <c r="AD830" s="22" t="s">
        <v>8131</v>
      </c>
      <c r="AE830" s="22" t="s">
        <v>8132</v>
      </c>
      <c r="AF830" s="25"/>
      <c r="AG830" s="22">
        <v>1.0465276461379E13</v>
      </c>
      <c r="AH830" s="22" t="s">
        <v>90</v>
      </c>
      <c r="AI830" s="22">
        <v>2.3432681161027E13</v>
      </c>
      <c r="AJ830" s="25"/>
      <c r="AK830" s="25"/>
      <c r="AL830" s="22" t="s">
        <v>8134</v>
      </c>
      <c r="AQ830" s="32" t="s">
        <v>8150</v>
      </c>
      <c r="AR830" s="32" t="b">
        <v>0</v>
      </c>
      <c r="AS830" s="32" t="b">
        <v>0</v>
      </c>
    </row>
    <row r="831">
      <c r="A831" s="21" t="s">
        <v>10856</v>
      </c>
      <c r="B831" s="25"/>
      <c r="C831" s="25"/>
      <c r="D831" s="22" t="s">
        <v>8175</v>
      </c>
      <c r="E831" s="25"/>
      <c r="F831" s="22" t="s">
        <v>8136</v>
      </c>
      <c r="G831" s="25"/>
      <c r="H831" s="22">
        <v>9.520003219779E12</v>
      </c>
      <c r="I831" s="25"/>
      <c r="J831" s="25"/>
      <c r="K831" s="25"/>
      <c r="L831" s="25"/>
      <c r="M831" s="25"/>
      <c r="N831" s="22" t="s">
        <v>10857</v>
      </c>
      <c r="O831" s="22" t="s">
        <v>10858</v>
      </c>
      <c r="P831" s="22" t="s">
        <v>10857</v>
      </c>
      <c r="Q831" s="22" t="s">
        <v>10858</v>
      </c>
      <c r="R831" s="22" t="s">
        <v>10859</v>
      </c>
      <c r="S831" s="25"/>
      <c r="T831" s="40" t="s">
        <v>10860</v>
      </c>
      <c r="U831" s="22" t="s">
        <v>10861</v>
      </c>
      <c r="V831" s="25"/>
      <c r="W831" s="22" t="s">
        <v>10862</v>
      </c>
      <c r="X831" s="22" t="s">
        <v>10268</v>
      </c>
      <c r="Y831" s="25"/>
      <c r="Z831" s="25"/>
      <c r="AA831" s="22" t="s">
        <v>8129</v>
      </c>
      <c r="AB831" s="22" t="s">
        <v>8130</v>
      </c>
      <c r="AC831" s="25"/>
      <c r="AD831" s="25"/>
      <c r="AE831" s="22" t="s">
        <v>8132</v>
      </c>
      <c r="AF831" s="25"/>
      <c r="AG831" s="22">
        <v>1.0465276461379E13</v>
      </c>
      <c r="AH831" s="22" t="s">
        <v>8137</v>
      </c>
      <c r="AI831" s="22">
        <v>2.3432681161027E13</v>
      </c>
      <c r="AJ831" s="25"/>
      <c r="AK831" s="25"/>
      <c r="AL831" s="22" t="s">
        <v>8136</v>
      </c>
      <c r="AR831" s="32" t="b">
        <v>0</v>
      </c>
      <c r="AS831" s="32" t="b">
        <v>0</v>
      </c>
    </row>
    <row r="832">
      <c r="A832" s="21" t="s">
        <v>10863</v>
      </c>
      <c r="B832" s="22" t="s">
        <v>8140</v>
      </c>
      <c r="C832" s="22">
        <v>1.0</v>
      </c>
      <c r="D832" s="22" t="s">
        <v>8221</v>
      </c>
      <c r="E832" s="22" t="s">
        <v>8140</v>
      </c>
      <c r="F832" s="22" t="s">
        <v>8121</v>
      </c>
      <c r="G832" s="25"/>
      <c r="H832" s="22">
        <v>3.2765687693635E13</v>
      </c>
      <c r="I832" s="25"/>
      <c r="J832" s="25"/>
      <c r="K832" s="22">
        <v>4.2085703581939E13</v>
      </c>
      <c r="L832" s="25"/>
      <c r="M832" s="25"/>
      <c r="N832" s="22" t="s">
        <v>10864</v>
      </c>
      <c r="O832" s="22" t="s">
        <v>10865</v>
      </c>
      <c r="P832" s="22" t="s">
        <v>10864</v>
      </c>
      <c r="Q832" s="22" t="s">
        <v>10865</v>
      </c>
      <c r="R832" s="22" t="s">
        <v>10866</v>
      </c>
      <c r="S832" s="25"/>
      <c r="T832" s="40" t="s">
        <v>10867</v>
      </c>
      <c r="U832" s="22" t="s">
        <v>10868</v>
      </c>
      <c r="V832" s="25"/>
      <c r="W832" s="22" t="s">
        <v>10869</v>
      </c>
      <c r="X832" s="22" t="s">
        <v>8289</v>
      </c>
      <c r="Y832" s="25"/>
      <c r="Z832" s="25"/>
      <c r="AA832" s="22" t="s">
        <v>8129</v>
      </c>
      <c r="AB832" s="22" t="s">
        <v>8130</v>
      </c>
      <c r="AC832" s="25"/>
      <c r="AD832" s="22" t="s">
        <v>8131</v>
      </c>
      <c r="AE832" s="22" t="s">
        <v>8132</v>
      </c>
      <c r="AF832" s="25"/>
      <c r="AG832" s="22">
        <v>1.0465285570883E13</v>
      </c>
      <c r="AH832" s="22" t="s">
        <v>90</v>
      </c>
      <c r="AI832" s="22">
        <v>2.3432689484099E13</v>
      </c>
      <c r="AJ832" s="25"/>
      <c r="AK832" s="25"/>
      <c r="AL832" s="22" t="s">
        <v>8134</v>
      </c>
      <c r="AQ832" s="32" t="s">
        <v>8150</v>
      </c>
      <c r="AR832" s="32" t="b">
        <v>0</v>
      </c>
      <c r="AS832" s="32" t="b">
        <v>0</v>
      </c>
    </row>
    <row r="833">
      <c r="A833" s="21" t="s">
        <v>10863</v>
      </c>
      <c r="B833" s="25"/>
      <c r="C833" s="25"/>
      <c r="D833" s="22" t="s">
        <v>8221</v>
      </c>
      <c r="E833" s="25"/>
      <c r="F833" s="22" t="s">
        <v>8136</v>
      </c>
      <c r="G833" s="25"/>
      <c r="H833" s="22">
        <v>9.520009806147E12</v>
      </c>
      <c r="I833" s="25"/>
      <c r="J833" s="25"/>
      <c r="K833" s="25"/>
      <c r="L833" s="25"/>
      <c r="M833" s="25"/>
      <c r="N833" s="22" t="s">
        <v>10864</v>
      </c>
      <c r="O833" s="22" t="s">
        <v>10865</v>
      </c>
      <c r="P833" s="22" t="s">
        <v>10864</v>
      </c>
      <c r="Q833" s="22" t="s">
        <v>10865</v>
      </c>
      <c r="R833" s="22" t="s">
        <v>10866</v>
      </c>
      <c r="S833" s="25"/>
      <c r="T833" s="40" t="s">
        <v>10867</v>
      </c>
      <c r="U833" s="22" t="s">
        <v>10868</v>
      </c>
      <c r="V833" s="25"/>
      <c r="W833" s="22" t="s">
        <v>10869</v>
      </c>
      <c r="X833" s="22" t="s">
        <v>8289</v>
      </c>
      <c r="Y833" s="25"/>
      <c r="Z833" s="25"/>
      <c r="AA833" s="22" t="s">
        <v>8129</v>
      </c>
      <c r="AB833" s="22" t="s">
        <v>8130</v>
      </c>
      <c r="AC833" s="25"/>
      <c r="AD833" s="25"/>
      <c r="AE833" s="22" t="s">
        <v>8132</v>
      </c>
      <c r="AF833" s="25"/>
      <c r="AG833" s="22">
        <v>1.0465285570883E13</v>
      </c>
      <c r="AH833" s="22" t="s">
        <v>8137</v>
      </c>
      <c r="AI833" s="22">
        <v>2.3432689484099E13</v>
      </c>
      <c r="AJ833" s="25"/>
      <c r="AK833" s="25"/>
      <c r="AL833" s="22" t="s">
        <v>8136</v>
      </c>
      <c r="AR833" s="32" t="b">
        <v>0</v>
      </c>
      <c r="AS833" s="32" t="b">
        <v>0</v>
      </c>
    </row>
    <row r="834">
      <c r="A834" s="21" t="s">
        <v>10870</v>
      </c>
      <c r="B834" s="22" t="s">
        <v>8140</v>
      </c>
      <c r="C834" s="22">
        <v>1.0</v>
      </c>
      <c r="D834" s="22" t="s">
        <v>8254</v>
      </c>
      <c r="E834" s="22" t="s">
        <v>8140</v>
      </c>
      <c r="F834" s="22" t="s">
        <v>8121</v>
      </c>
      <c r="G834" s="25"/>
      <c r="H834" s="22">
        <v>3.2765719937347E13</v>
      </c>
      <c r="I834" s="25"/>
      <c r="J834" s="25"/>
      <c r="K834" s="22">
        <v>4.2085703581939E13</v>
      </c>
      <c r="L834" s="25"/>
      <c r="M834" s="25"/>
      <c r="N834" s="22" t="s">
        <v>10219</v>
      </c>
      <c r="O834" s="22" t="s">
        <v>10871</v>
      </c>
      <c r="P834" s="22" t="s">
        <v>10219</v>
      </c>
      <c r="Q834" s="22" t="s">
        <v>10871</v>
      </c>
      <c r="R834" s="22" t="s">
        <v>10872</v>
      </c>
      <c r="S834" s="25"/>
      <c r="T834" s="40" t="s">
        <v>10873</v>
      </c>
      <c r="U834" s="22" t="s">
        <v>10874</v>
      </c>
      <c r="V834" s="25"/>
      <c r="W834" s="22" t="s">
        <v>10875</v>
      </c>
      <c r="X834" s="22" t="s">
        <v>10032</v>
      </c>
      <c r="Y834" s="25"/>
      <c r="Z834" s="25"/>
      <c r="AA834" s="22" t="s">
        <v>8129</v>
      </c>
      <c r="AB834" s="22" t="s">
        <v>8130</v>
      </c>
      <c r="AC834" s="25"/>
      <c r="AD834" s="22" t="s">
        <v>8131</v>
      </c>
      <c r="AE834" s="22" t="s">
        <v>8132</v>
      </c>
      <c r="AF834" s="25"/>
      <c r="AG834" s="22">
        <v>1.0465299792195E13</v>
      </c>
      <c r="AH834" s="22" t="s">
        <v>90</v>
      </c>
      <c r="AI834" s="22">
        <v>6.484241809651E12</v>
      </c>
      <c r="AJ834" s="25"/>
      <c r="AK834" s="25"/>
      <c r="AL834" s="22" t="s">
        <v>8134</v>
      </c>
      <c r="AQ834" s="32" t="s">
        <v>8150</v>
      </c>
      <c r="AR834" s="32" t="b">
        <v>0</v>
      </c>
      <c r="AS834" s="32" t="b">
        <v>0</v>
      </c>
    </row>
    <row r="835">
      <c r="A835" s="21" t="s">
        <v>10870</v>
      </c>
      <c r="B835" s="25"/>
      <c r="C835" s="25"/>
      <c r="D835" s="22" t="s">
        <v>8254</v>
      </c>
      <c r="E835" s="25"/>
      <c r="F835" s="22" t="s">
        <v>8136</v>
      </c>
      <c r="G835" s="25"/>
      <c r="H835" s="22">
        <v>9.520020324675E12</v>
      </c>
      <c r="I835" s="25"/>
      <c r="J835" s="25"/>
      <c r="K835" s="25"/>
      <c r="L835" s="25"/>
      <c r="M835" s="25"/>
      <c r="N835" s="22" t="s">
        <v>10219</v>
      </c>
      <c r="O835" s="22" t="s">
        <v>10871</v>
      </c>
      <c r="P835" s="22" t="s">
        <v>10219</v>
      </c>
      <c r="Q835" s="22" t="s">
        <v>10871</v>
      </c>
      <c r="R835" s="22" t="s">
        <v>10872</v>
      </c>
      <c r="S835" s="25"/>
      <c r="T835" s="40" t="s">
        <v>10873</v>
      </c>
      <c r="U835" s="22" t="s">
        <v>10874</v>
      </c>
      <c r="V835" s="25"/>
      <c r="W835" s="22" t="s">
        <v>10875</v>
      </c>
      <c r="X835" s="22" t="s">
        <v>10032</v>
      </c>
      <c r="Y835" s="25"/>
      <c r="Z835" s="25"/>
      <c r="AA835" s="22" t="s">
        <v>8129</v>
      </c>
      <c r="AB835" s="22" t="s">
        <v>8130</v>
      </c>
      <c r="AC835" s="25"/>
      <c r="AD835" s="25"/>
      <c r="AE835" s="22" t="s">
        <v>8132</v>
      </c>
      <c r="AF835" s="25"/>
      <c r="AG835" s="22">
        <v>1.0465299792195E13</v>
      </c>
      <c r="AH835" s="22" t="s">
        <v>8137</v>
      </c>
      <c r="AI835" s="22">
        <v>6.484241809651E12</v>
      </c>
      <c r="AJ835" s="25"/>
      <c r="AK835" s="25"/>
      <c r="AL835" s="22" t="s">
        <v>8136</v>
      </c>
      <c r="AR835" s="32" t="b">
        <v>0</v>
      </c>
      <c r="AS835" s="32" t="b">
        <v>0</v>
      </c>
    </row>
    <row r="836">
      <c r="A836" s="21" t="s">
        <v>10876</v>
      </c>
      <c r="B836" s="22" t="s">
        <v>8140</v>
      </c>
      <c r="C836" s="22">
        <v>1.0</v>
      </c>
      <c r="D836" s="22" t="s">
        <v>8221</v>
      </c>
      <c r="E836" s="22" t="s">
        <v>8140</v>
      </c>
      <c r="F836" s="22" t="s">
        <v>8121</v>
      </c>
      <c r="G836" s="25"/>
      <c r="H836" s="22">
        <v>3.2765882171715E13</v>
      </c>
      <c r="I836" s="25"/>
      <c r="J836" s="25"/>
      <c r="K836" s="22">
        <v>4.2085703581939E13</v>
      </c>
      <c r="L836" s="25"/>
      <c r="M836" s="25"/>
      <c r="N836" s="22" t="s">
        <v>10877</v>
      </c>
      <c r="O836" s="22" t="s">
        <v>4534</v>
      </c>
      <c r="P836" s="22" t="s">
        <v>10877</v>
      </c>
      <c r="Q836" s="22" t="s">
        <v>4534</v>
      </c>
      <c r="R836" s="22" t="s">
        <v>10878</v>
      </c>
      <c r="S836" s="25"/>
      <c r="T836" s="40" t="s">
        <v>10879</v>
      </c>
      <c r="U836" s="22" t="s">
        <v>10880</v>
      </c>
      <c r="V836" s="25"/>
      <c r="W836" s="22" t="s">
        <v>10881</v>
      </c>
      <c r="X836" s="22" t="s">
        <v>8380</v>
      </c>
      <c r="Y836" s="25"/>
      <c r="Z836" s="25"/>
      <c r="AA836" s="22" t="s">
        <v>8129</v>
      </c>
      <c r="AB836" s="22" t="s">
        <v>8130</v>
      </c>
      <c r="AC836" s="25"/>
      <c r="AD836" s="22" t="s">
        <v>8131</v>
      </c>
      <c r="AE836" s="22" t="s">
        <v>8132</v>
      </c>
      <c r="AF836" s="25"/>
      <c r="AG836" s="22">
        <v>1.0465376928067E13</v>
      </c>
      <c r="AH836" s="22" t="s">
        <v>90</v>
      </c>
      <c r="AI836" s="22">
        <v>2.3432760394051E13</v>
      </c>
      <c r="AJ836" s="25"/>
      <c r="AK836" s="25"/>
      <c r="AL836" s="22" t="s">
        <v>8134</v>
      </c>
      <c r="AQ836" s="32" t="s">
        <v>8150</v>
      </c>
      <c r="AR836" s="32" t="b">
        <v>0</v>
      </c>
      <c r="AS836" s="32" t="b">
        <v>0</v>
      </c>
    </row>
    <row r="837">
      <c r="A837" s="21" t="s">
        <v>10876</v>
      </c>
      <c r="B837" s="25"/>
      <c r="C837" s="25"/>
      <c r="D837" s="22" t="s">
        <v>8221</v>
      </c>
      <c r="E837" s="25"/>
      <c r="F837" s="22" t="s">
        <v>8136</v>
      </c>
      <c r="G837" s="25"/>
      <c r="H837" s="22">
        <v>9.520078487875E12</v>
      </c>
      <c r="I837" s="25"/>
      <c r="J837" s="25"/>
      <c r="K837" s="25"/>
      <c r="L837" s="25"/>
      <c r="M837" s="25"/>
      <c r="N837" s="22" t="s">
        <v>10877</v>
      </c>
      <c r="O837" s="22" t="s">
        <v>4534</v>
      </c>
      <c r="P837" s="22" t="s">
        <v>10877</v>
      </c>
      <c r="Q837" s="22" t="s">
        <v>4534</v>
      </c>
      <c r="R837" s="22" t="s">
        <v>10878</v>
      </c>
      <c r="S837" s="25"/>
      <c r="T837" s="40" t="s">
        <v>10879</v>
      </c>
      <c r="U837" s="22" t="s">
        <v>10880</v>
      </c>
      <c r="V837" s="25"/>
      <c r="W837" s="22" t="s">
        <v>10881</v>
      </c>
      <c r="X837" s="22" t="s">
        <v>8380</v>
      </c>
      <c r="Y837" s="25"/>
      <c r="Z837" s="25"/>
      <c r="AA837" s="22" t="s">
        <v>8129</v>
      </c>
      <c r="AB837" s="22" t="s">
        <v>8130</v>
      </c>
      <c r="AC837" s="25"/>
      <c r="AD837" s="25"/>
      <c r="AE837" s="22" t="s">
        <v>8132</v>
      </c>
      <c r="AF837" s="25"/>
      <c r="AG837" s="22">
        <v>1.0465376928067E13</v>
      </c>
      <c r="AH837" s="22" t="s">
        <v>8137</v>
      </c>
      <c r="AI837" s="22">
        <v>2.3432760394051E13</v>
      </c>
      <c r="AJ837" s="25"/>
      <c r="AK837" s="25"/>
      <c r="AL837" s="22" t="s">
        <v>8136</v>
      </c>
      <c r="AR837" s="32" t="b">
        <v>0</v>
      </c>
      <c r="AS837" s="32" t="b">
        <v>0</v>
      </c>
    </row>
    <row r="838">
      <c r="A838" s="21" t="s">
        <v>10882</v>
      </c>
      <c r="B838" s="22" t="s">
        <v>8153</v>
      </c>
      <c r="C838" s="22">
        <v>1.0</v>
      </c>
      <c r="D838" s="22" t="s">
        <v>8254</v>
      </c>
      <c r="E838" s="22" t="s">
        <v>8153</v>
      </c>
      <c r="F838" s="22" t="s">
        <v>8155</v>
      </c>
      <c r="G838" s="25"/>
      <c r="H838" s="22">
        <v>3.2765992108355E13</v>
      </c>
      <c r="I838" s="25"/>
      <c r="J838" s="25"/>
      <c r="K838" s="22">
        <v>4.7338059759939E13</v>
      </c>
      <c r="L838" s="25"/>
      <c r="M838" s="25"/>
      <c r="N838" s="22" t="s">
        <v>5571</v>
      </c>
      <c r="O838" s="22" t="s">
        <v>10883</v>
      </c>
      <c r="P838" s="22" t="s">
        <v>5571</v>
      </c>
      <c r="Q838" s="22" t="s">
        <v>4329</v>
      </c>
      <c r="R838" s="22" t="s">
        <v>10884</v>
      </c>
      <c r="S838" s="25"/>
      <c r="T838" s="40" t="s">
        <v>10885</v>
      </c>
      <c r="U838" s="22" t="s">
        <v>10886</v>
      </c>
      <c r="V838" s="25"/>
      <c r="W838" s="22" t="s">
        <v>10887</v>
      </c>
      <c r="X838" s="22" t="s">
        <v>10888</v>
      </c>
      <c r="Y838" s="25"/>
      <c r="Z838" s="25"/>
      <c r="AA838" s="22" t="s">
        <v>8129</v>
      </c>
      <c r="AB838" s="22" t="s">
        <v>8130</v>
      </c>
      <c r="AC838" s="25"/>
      <c r="AD838" s="22" t="s">
        <v>8161</v>
      </c>
      <c r="AE838" s="22" t="s">
        <v>8132</v>
      </c>
      <c r="AF838" s="25"/>
      <c r="AG838" s="22">
        <v>1.0465428078915E13</v>
      </c>
      <c r="AH838" s="22" t="s">
        <v>90</v>
      </c>
      <c r="AI838" s="22">
        <v>8.530320556355E12</v>
      </c>
      <c r="AJ838" s="25"/>
      <c r="AK838" s="25"/>
      <c r="AL838" s="22" t="s">
        <v>8162</v>
      </c>
      <c r="AQ838" s="32" t="s">
        <v>55</v>
      </c>
      <c r="AR838" s="32" t="b">
        <v>0</v>
      </c>
      <c r="AS838" s="32" t="b">
        <v>0</v>
      </c>
    </row>
    <row r="839">
      <c r="A839" s="21" t="s">
        <v>10882</v>
      </c>
      <c r="B839" s="25"/>
      <c r="C839" s="25"/>
      <c r="D839" s="22" t="s">
        <v>8254</v>
      </c>
      <c r="E839" s="25"/>
      <c r="F839" s="22" t="s">
        <v>8149</v>
      </c>
      <c r="G839" s="25"/>
      <c r="H839" s="22">
        <v>9.520115974467E12</v>
      </c>
      <c r="I839" s="25"/>
      <c r="J839" s="25"/>
      <c r="K839" s="25"/>
      <c r="L839" s="25"/>
      <c r="M839" s="25"/>
      <c r="N839" s="22" t="s">
        <v>5571</v>
      </c>
      <c r="O839" s="22" t="s">
        <v>10883</v>
      </c>
      <c r="P839" s="22" t="s">
        <v>5571</v>
      </c>
      <c r="Q839" s="22" t="s">
        <v>4329</v>
      </c>
      <c r="R839" s="22" t="s">
        <v>10884</v>
      </c>
      <c r="S839" s="25"/>
      <c r="T839" s="40" t="s">
        <v>10885</v>
      </c>
      <c r="U839" s="22" t="s">
        <v>10886</v>
      </c>
      <c r="V839" s="25"/>
      <c r="W839" s="22" t="s">
        <v>10887</v>
      </c>
      <c r="X839" s="22" t="s">
        <v>10888</v>
      </c>
      <c r="Y839" s="25"/>
      <c r="Z839" s="25"/>
      <c r="AA839" s="22" t="s">
        <v>8129</v>
      </c>
      <c r="AB839" s="22" t="s">
        <v>8130</v>
      </c>
      <c r="AC839" s="25"/>
      <c r="AD839" s="25"/>
      <c r="AE839" s="22" t="s">
        <v>8132</v>
      </c>
      <c r="AF839" s="25"/>
      <c r="AG839" s="22">
        <v>1.0465428078915E13</v>
      </c>
      <c r="AH839" s="22" t="s">
        <v>8137</v>
      </c>
      <c r="AI839" s="22">
        <v>8.530320556355E12</v>
      </c>
      <c r="AJ839" s="25"/>
      <c r="AK839" s="25"/>
      <c r="AL839" s="22" t="s">
        <v>8149</v>
      </c>
      <c r="AR839" s="32" t="b">
        <v>0</v>
      </c>
      <c r="AS839" s="32" t="b">
        <v>0</v>
      </c>
    </row>
    <row r="840">
      <c r="A840" s="21" t="s">
        <v>10889</v>
      </c>
      <c r="B840" s="22" t="s">
        <v>8211</v>
      </c>
      <c r="C840" s="22">
        <v>1.0</v>
      </c>
      <c r="D840" s="22" t="s">
        <v>8910</v>
      </c>
      <c r="E840" s="22" t="s">
        <v>8211</v>
      </c>
      <c r="F840" s="22" t="s">
        <v>8155</v>
      </c>
      <c r="G840" s="25"/>
      <c r="H840" s="22">
        <v>3.2766033002819E13</v>
      </c>
      <c r="I840" s="25"/>
      <c r="J840" s="25"/>
      <c r="K840" s="22">
        <v>4.7338059727171E13</v>
      </c>
      <c r="L840" s="25"/>
      <c r="M840" s="25"/>
      <c r="N840" s="22" t="s">
        <v>10890</v>
      </c>
      <c r="O840" s="22" t="s">
        <v>10891</v>
      </c>
      <c r="P840" s="22" t="s">
        <v>10890</v>
      </c>
      <c r="Q840" s="22" t="s">
        <v>10891</v>
      </c>
      <c r="R840" s="22" t="s">
        <v>10892</v>
      </c>
      <c r="S840" s="25"/>
      <c r="T840" s="40" t="s">
        <v>10893</v>
      </c>
      <c r="U840" s="22" t="s">
        <v>10894</v>
      </c>
      <c r="V840" s="25"/>
      <c r="W840" s="22" t="s">
        <v>10895</v>
      </c>
      <c r="X840" s="22" t="s">
        <v>8671</v>
      </c>
      <c r="Y840" s="25"/>
      <c r="Z840" s="25"/>
      <c r="AA840" s="22" t="s">
        <v>8129</v>
      </c>
      <c r="AB840" s="22" t="s">
        <v>8130</v>
      </c>
      <c r="AC840" s="25"/>
      <c r="AD840" s="22" t="s">
        <v>8161</v>
      </c>
      <c r="AE840" s="22" t="s">
        <v>8132</v>
      </c>
      <c r="AF840" s="25"/>
      <c r="AG840" s="22">
        <v>1.0465446396227E13</v>
      </c>
      <c r="AH840" s="22" t="s">
        <v>90</v>
      </c>
      <c r="AI840" s="22">
        <v>2.3432815051075E13</v>
      </c>
      <c r="AJ840" s="25"/>
      <c r="AK840" s="25"/>
      <c r="AL840" s="22" t="s">
        <v>8151</v>
      </c>
      <c r="AQ840" s="32" t="s">
        <v>54</v>
      </c>
      <c r="AR840" s="32" t="b">
        <v>0</v>
      </c>
      <c r="AS840" s="32" t="b">
        <v>0</v>
      </c>
    </row>
    <row r="841">
      <c r="A841" s="21" t="s">
        <v>10889</v>
      </c>
      <c r="B841" s="25"/>
      <c r="C841" s="25"/>
      <c r="D841" s="22" t="s">
        <v>8910</v>
      </c>
      <c r="E841" s="25"/>
      <c r="F841" s="22" t="s">
        <v>8149</v>
      </c>
      <c r="G841" s="25"/>
      <c r="H841" s="22">
        <v>9.520129638723E12</v>
      </c>
      <c r="I841" s="25"/>
      <c r="J841" s="25"/>
      <c r="K841" s="25"/>
      <c r="L841" s="25"/>
      <c r="M841" s="25"/>
      <c r="N841" s="22" t="s">
        <v>10890</v>
      </c>
      <c r="O841" s="22" t="s">
        <v>10891</v>
      </c>
      <c r="P841" s="22" t="s">
        <v>10890</v>
      </c>
      <c r="Q841" s="22" t="s">
        <v>10891</v>
      </c>
      <c r="R841" s="22" t="s">
        <v>10892</v>
      </c>
      <c r="S841" s="25"/>
      <c r="T841" s="40" t="s">
        <v>10893</v>
      </c>
      <c r="U841" s="22" t="s">
        <v>10894</v>
      </c>
      <c r="V841" s="25"/>
      <c r="W841" s="22" t="s">
        <v>10895</v>
      </c>
      <c r="X841" s="22" t="s">
        <v>8671</v>
      </c>
      <c r="Y841" s="25"/>
      <c r="Z841" s="25"/>
      <c r="AA841" s="22" t="s">
        <v>8129</v>
      </c>
      <c r="AB841" s="22" t="s">
        <v>8130</v>
      </c>
      <c r="AC841" s="25"/>
      <c r="AD841" s="25"/>
      <c r="AE841" s="22" t="s">
        <v>8132</v>
      </c>
      <c r="AF841" s="25"/>
      <c r="AG841" s="22">
        <v>1.0465446396227E13</v>
      </c>
      <c r="AH841" s="22" t="s">
        <v>8137</v>
      </c>
      <c r="AI841" s="22">
        <v>2.3432815051075E13</v>
      </c>
      <c r="AJ841" s="25"/>
      <c r="AK841" s="25"/>
      <c r="AL841" s="22" t="s">
        <v>8149</v>
      </c>
      <c r="AR841" s="32" t="b">
        <v>0</v>
      </c>
      <c r="AS841" s="32" t="b">
        <v>0</v>
      </c>
    </row>
    <row r="842">
      <c r="A842" s="21" t="s">
        <v>10896</v>
      </c>
      <c r="B842" s="22" t="s">
        <v>8140</v>
      </c>
      <c r="C842" s="22">
        <v>1.0</v>
      </c>
      <c r="D842" s="22" t="s">
        <v>8254</v>
      </c>
      <c r="E842" s="22" t="s">
        <v>8140</v>
      </c>
      <c r="F842" s="22" t="s">
        <v>8121</v>
      </c>
      <c r="G842" s="25"/>
      <c r="H842" s="22">
        <v>3.2766229414211E13</v>
      </c>
      <c r="I842" s="25"/>
      <c r="J842" s="25"/>
      <c r="K842" s="22">
        <v>4.2085703581939E13</v>
      </c>
      <c r="L842" s="25"/>
      <c r="M842" s="25"/>
      <c r="N842" s="22" t="s">
        <v>10897</v>
      </c>
      <c r="O842" s="22" t="s">
        <v>10898</v>
      </c>
      <c r="P842" s="22" t="s">
        <v>10897</v>
      </c>
      <c r="Q842" s="22" t="s">
        <v>10898</v>
      </c>
      <c r="R842" s="22" t="s">
        <v>10899</v>
      </c>
      <c r="S842" s="25"/>
      <c r="T842" s="40" t="s">
        <v>10900</v>
      </c>
      <c r="U842" s="22" t="s">
        <v>10901</v>
      </c>
      <c r="V842" s="25"/>
      <c r="W842" s="22" t="s">
        <v>10902</v>
      </c>
      <c r="X842" s="22" t="s">
        <v>8251</v>
      </c>
      <c r="Y842" s="25"/>
      <c r="Z842" s="25"/>
      <c r="AA842" s="22" t="s">
        <v>8129</v>
      </c>
      <c r="AB842" s="22" t="s">
        <v>8130</v>
      </c>
      <c r="AC842" s="25"/>
      <c r="AD842" s="22" t="s">
        <v>8131</v>
      </c>
      <c r="AE842" s="22" t="s">
        <v>8132</v>
      </c>
      <c r="AF842" s="25"/>
      <c r="AG842" s="22">
        <v>1.0465541128515E13</v>
      </c>
      <c r="AH842" s="22" t="s">
        <v>90</v>
      </c>
      <c r="AI842" s="22">
        <v>8.568306630979E12</v>
      </c>
      <c r="AJ842" s="25"/>
      <c r="AK842" s="25"/>
      <c r="AL842" s="22" t="s">
        <v>8134</v>
      </c>
      <c r="AQ842" s="32" t="s">
        <v>8150</v>
      </c>
      <c r="AR842" s="32" t="b">
        <v>0</v>
      </c>
      <c r="AS842" s="32" t="b">
        <v>0</v>
      </c>
    </row>
    <row r="843">
      <c r="A843" s="21" t="s">
        <v>10896</v>
      </c>
      <c r="B843" s="25"/>
      <c r="C843" s="25"/>
      <c r="D843" s="22" t="s">
        <v>8254</v>
      </c>
      <c r="E843" s="25"/>
      <c r="F843" s="22" t="s">
        <v>8136</v>
      </c>
      <c r="G843" s="25"/>
      <c r="H843" s="22">
        <v>9.520199303491E12</v>
      </c>
      <c r="I843" s="25"/>
      <c r="J843" s="25"/>
      <c r="K843" s="25"/>
      <c r="L843" s="25"/>
      <c r="M843" s="25"/>
      <c r="N843" s="22" t="s">
        <v>10897</v>
      </c>
      <c r="O843" s="22" t="s">
        <v>10898</v>
      </c>
      <c r="P843" s="22" t="s">
        <v>10897</v>
      </c>
      <c r="Q843" s="22" t="s">
        <v>10898</v>
      </c>
      <c r="R843" s="22" t="s">
        <v>10899</v>
      </c>
      <c r="S843" s="25"/>
      <c r="T843" s="40" t="s">
        <v>10900</v>
      </c>
      <c r="U843" s="22" t="s">
        <v>10901</v>
      </c>
      <c r="V843" s="25"/>
      <c r="W843" s="22" t="s">
        <v>10902</v>
      </c>
      <c r="X843" s="22" t="s">
        <v>8251</v>
      </c>
      <c r="Y843" s="25"/>
      <c r="Z843" s="25"/>
      <c r="AA843" s="22" t="s">
        <v>8129</v>
      </c>
      <c r="AB843" s="22" t="s">
        <v>8130</v>
      </c>
      <c r="AC843" s="25"/>
      <c r="AD843" s="25"/>
      <c r="AE843" s="22" t="s">
        <v>8132</v>
      </c>
      <c r="AF843" s="25"/>
      <c r="AG843" s="22">
        <v>1.0465541128515E13</v>
      </c>
      <c r="AH843" s="22" t="s">
        <v>8137</v>
      </c>
      <c r="AI843" s="22">
        <v>8.568306630979E12</v>
      </c>
      <c r="AJ843" s="25"/>
      <c r="AK843" s="25"/>
      <c r="AL843" s="22" t="s">
        <v>8136</v>
      </c>
      <c r="AR843" s="32" t="b">
        <v>0</v>
      </c>
      <c r="AS843" s="32" t="b">
        <v>0</v>
      </c>
    </row>
    <row r="844">
      <c r="A844" s="21" t="s">
        <v>10903</v>
      </c>
      <c r="B844" s="22" t="s">
        <v>8140</v>
      </c>
      <c r="C844" s="22">
        <v>1.0</v>
      </c>
      <c r="D844" s="22" t="s">
        <v>8175</v>
      </c>
      <c r="E844" s="22" t="s">
        <v>8140</v>
      </c>
      <c r="F844" s="22" t="s">
        <v>8121</v>
      </c>
      <c r="G844" s="25"/>
      <c r="H844" s="22">
        <v>3.2766265295171E13</v>
      </c>
      <c r="I844" s="25"/>
      <c r="J844" s="25"/>
      <c r="K844" s="22">
        <v>4.2085703581939E13</v>
      </c>
      <c r="L844" s="25"/>
      <c r="M844" s="25"/>
      <c r="N844" s="22" t="s">
        <v>4058</v>
      </c>
      <c r="O844" s="22" t="s">
        <v>10904</v>
      </c>
      <c r="P844" s="22" t="s">
        <v>4058</v>
      </c>
      <c r="Q844" s="22" t="s">
        <v>10904</v>
      </c>
      <c r="R844" s="22" t="s">
        <v>10905</v>
      </c>
      <c r="S844" s="25"/>
      <c r="T844" s="40" t="s">
        <v>10906</v>
      </c>
      <c r="U844" s="22" t="s">
        <v>10907</v>
      </c>
      <c r="V844" s="25"/>
      <c r="W844" s="22" t="s">
        <v>10908</v>
      </c>
      <c r="X844" s="22" t="s">
        <v>8289</v>
      </c>
      <c r="Y844" s="25"/>
      <c r="Z844" s="25"/>
      <c r="AA844" s="22" t="s">
        <v>8129</v>
      </c>
      <c r="AB844" s="22" t="s">
        <v>8130</v>
      </c>
      <c r="AC844" s="25"/>
      <c r="AD844" s="22" t="s">
        <v>8131</v>
      </c>
      <c r="AE844" s="22" t="s">
        <v>8132</v>
      </c>
      <c r="AF844" s="25"/>
      <c r="AG844" s="22">
        <v>1.0465559380291E13</v>
      </c>
      <c r="AH844" s="22" t="s">
        <v>90</v>
      </c>
      <c r="AI844" s="22">
        <v>2.3432914731331E13</v>
      </c>
      <c r="AJ844" s="25"/>
      <c r="AK844" s="25"/>
      <c r="AL844" s="22" t="s">
        <v>8134</v>
      </c>
      <c r="AQ844" s="32" t="s">
        <v>8150</v>
      </c>
      <c r="AR844" s="32" t="b">
        <v>0</v>
      </c>
      <c r="AS844" s="32" t="b">
        <v>0</v>
      </c>
    </row>
    <row r="845">
      <c r="A845" s="21" t="s">
        <v>10903</v>
      </c>
      <c r="B845" s="25"/>
      <c r="C845" s="25"/>
      <c r="D845" s="22" t="s">
        <v>8175</v>
      </c>
      <c r="E845" s="25"/>
      <c r="F845" s="22" t="s">
        <v>8136</v>
      </c>
      <c r="G845" s="25"/>
      <c r="H845" s="22">
        <v>9.520212083011E12</v>
      </c>
      <c r="I845" s="25"/>
      <c r="J845" s="25"/>
      <c r="K845" s="25"/>
      <c r="L845" s="25"/>
      <c r="M845" s="25"/>
      <c r="N845" s="22" t="s">
        <v>4058</v>
      </c>
      <c r="O845" s="22" t="s">
        <v>10904</v>
      </c>
      <c r="P845" s="22" t="s">
        <v>4058</v>
      </c>
      <c r="Q845" s="22" t="s">
        <v>10904</v>
      </c>
      <c r="R845" s="22" t="s">
        <v>10905</v>
      </c>
      <c r="S845" s="25"/>
      <c r="T845" s="40" t="s">
        <v>10906</v>
      </c>
      <c r="U845" s="22" t="s">
        <v>10907</v>
      </c>
      <c r="V845" s="25"/>
      <c r="W845" s="22" t="s">
        <v>10908</v>
      </c>
      <c r="X845" s="22" t="s">
        <v>8289</v>
      </c>
      <c r="Y845" s="25"/>
      <c r="Z845" s="25"/>
      <c r="AA845" s="22" t="s">
        <v>8129</v>
      </c>
      <c r="AB845" s="22" t="s">
        <v>8130</v>
      </c>
      <c r="AC845" s="25"/>
      <c r="AD845" s="25"/>
      <c r="AE845" s="22" t="s">
        <v>8132</v>
      </c>
      <c r="AF845" s="25"/>
      <c r="AG845" s="22">
        <v>1.0465559380291E13</v>
      </c>
      <c r="AH845" s="22" t="s">
        <v>8137</v>
      </c>
      <c r="AI845" s="22">
        <v>2.3432914731331E13</v>
      </c>
      <c r="AJ845" s="25"/>
      <c r="AK845" s="25"/>
      <c r="AL845" s="22" t="s">
        <v>8136</v>
      </c>
      <c r="AR845" s="32" t="b">
        <v>0</v>
      </c>
      <c r="AS845" s="32" t="b">
        <v>0</v>
      </c>
    </row>
    <row r="846">
      <c r="A846" s="21" t="s">
        <v>10909</v>
      </c>
      <c r="B846" s="22" t="s">
        <v>8119</v>
      </c>
      <c r="C846" s="22">
        <v>1.0</v>
      </c>
      <c r="D846" s="22" t="s">
        <v>8203</v>
      </c>
      <c r="E846" s="22" t="s">
        <v>8119</v>
      </c>
      <c r="F846" s="22" t="s">
        <v>8121</v>
      </c>
      <c r="G846" s="25"/>
      <c r="H846" s="22">
        <v>3.2766268408131E13</v>
      </c>
      <c r="I846" s="25"/>
      <c r="J846" s="25"/>
      <c r="K846" s="22">
        <v>4.2085703549171E13</v>
      </c>
      <c r="L846" s="25"/>
      <c r="M846" s="25"/>
      <c r="N846" s="22" t="s">
        <v>4108</v>
      </c>
      <c r="O846" s="22" t="s">
        <v>10910</v>
      </c>
      <c r="P846" s="22" t="s">
        <v>4108</v>
      </c>
      <c r="Q846" s="22" t="s">
        <v>10910</v>
      </c>
      <c r="R846" s="22" t="s">
        <v>10911</v>
      </c>
      <c r="S846" s="25"/>
      <c r="T846" s="40" t="s">
        <v>10912</v>
      </c>
      <c r="U846" s="22" t="s">
        <v>10913</v>
      </c>
      <c r="V846" s="25"/>
      <c r="W846" s="22" t="s">
        <v>10914</v>
      </c>
      <c r="X846" s="22" t="s">
        <v>8242</v>
      </c>
      <c r="Y846" s="25"/>
      <c r="Z846" s="25"/>
      <c r="AA846" s="22" t="s">
        <v>8129</v>
      </c>
      <c r="AB846" s="22" t="s">
        <v>8130</v>
      </c>
      <c r="AC846" s="25"/>
      <c r="AD846" s="22" t="s">
        <v>8131</v>
      </c>
      <c r="AE846" s="22" t="s">
        <v>8132</v>
      </c>
      <c r="AF846" s="25"/>
      <c r="AG846" s="22">
        <v>1.0465560887619E13</v>
      </c>
      <c r="AH846" s="22" t="s">
        <v>90</v>
      </c>
      <c r="AI846" s="22">
        <v>8.609388298563E12</v>
      </c>
      <c r="AJ846" s="25"/>
      <c r="AK846" s="25"/>
      <c r="AL846" s="22" t="s">
        <v>8133</v>
      </c>
      <c r="AQ846" s="32" t="s">
        <v>8135</v>
      </c>
      <c r="AR846" s="32" t="b">
        <v>0</v>
      </c>
      <c r="AS846" s="32" t="b">
        <v>0</v>
      </c>
    </row>
    <row r="847">
      <c r="A847" s="21" t="s">
        <v>10909</v>
      </c>
      <c r="B847" s="25"/>
      <c r="C847" s="25"/>
      <c r="D847" s="22" t="s">
        <v>8203</v>
      </c>
      <c r="E847" s="25"/>
      <c r="F847" s="22" t="s">
        <v>8136</v>
      </c>
      <c r="G847" s="25"/>
      <c r="H847" s="22">
        <v>9.520213262659E12</v>
      </c>
      <c r="I847" s="25"/>
      <c r="J847" s="25"/>
      <c r="K847" s="25"/>
      <c r="L847" s="25"/>
      <c r="M847" s="25"/>
      <c r="N847" s="22" t="s">
        <v>4108</v>
      </c>
      <c r="O847" s="22" t="s">
        <v>10910</v>
      </c>
      <c r="P847" s="22" t="s">
        <v>4108</v>
      </c>
      <c r="Q847" s="22" t="s">
        <v>10910</v>
      </c>
      <c r="R847" s="22" t="s">
        <v>10911</v>
      </c>
      <c r="S847" s="25"/>
      <c r="T847" s="40" t="s">
        <v>10912</v>
      </c>
      <c r="U847" s="22" t="s">
        <v>10913</v>
      </c>
      <c r="V847" s="25"/>
      <c r="W847" s="22" t="s">
        <v>10914</v>
      </c>
      <c r="X847" s="22" t="s">
        <v>8242</v>
      </c>
      <c r="Y847" s="25"/>
      <c r="Z847" s="25"/>
      <c r="AA847" s="22" t="s">
        <v>8129</v>
      </c>
      <c r="AB847" s="22" t="s">
        <v>8130</v>
      </c>
      <c r="AC847" s="25"/>
      <c r="AD847" s="25"/>
      <c r="AE847" s="22" t="s">
        <v>8132</v>
      </c>
      <c r="AF847" s="25"/>
      <c r="AG847" s="22">
        <v>1.0465560887619E13</v>
      </c>
      <c r="AH847" s="22" t="s">
        <v>8137</v>
      </c>
      <c r="AI847" s="22">
        <v>8.609388298563E12</v>
      </c>
      <c r="AJ847" s="25"/>
      <c r="AK847" s="25"/>
      <c r="AL847" s="22" t="s">
        <v>8136</v>
      </c>
      <c r="AR847" s="32" t="b">
        <v>0</v>
      </c>
      <c r="AS847" s="32" t="b">
        <v>0</v>
      </c>
    </row>
    <row r="848">
      <c r="A848" s="21" t="s">
        <v>10915</v>
      </c>
      <c r="B848" s="22" t="s">
        <v>8119</v>
      </c>
      <c r="C848" s="22">
        <v>1.0</v>
      </c>
      <c r="D848" s="22" t="s">
        <v>8581</v>
      </c>
      <c r="E848" s="22" t="s">
        <v>8119</v>
      </c>
      <c r="F848" s="22" t="s">
        <v>8121</v>
      </c>
      <c r="G848" s="25"/>
      <c r="H848" s="22">
        <v>3.2766324277571E13</v>
      </c>
      <c r="I848" s="25"/>
      <c r="J848" s="25"/>
      <c r="K848" s="22">
        <v>4.2085703549171E13</v>
      </c>
      <c r="L848" s="25"/>
      <c r="M848" s="25"/>
      <c r="N848" s="22" t="s">
        <v>7056</v>
      </c>
      <c r="O848" s="22" t="s">
        <v>3705</v>
      </c>
      <c r="P848" s="22" t="s">
        <v>7056</v>
      </c>
      <c r="Q848" s="22" t="s">
        <v>3705</v>
      </c>
      <c r="R848" s="22" t="s">
        <v>10916</v>
      </c>
      <c r="S848" s="25"/>
      <c r="T848" s="40" t="s">
        <v>10917</v>
      </c>
      <c r="U848" s="22" t="s">
        <v>10918</v>
      </c>
      <c r="V848" s="25"/>
      <c r="W848" s="22" t="s">
        <v>10919</v>
      </c>
      <c r="X848" s="22" t="s">
        <v>8289</v>
      </c>
      <c r="Y848" s="25"/>
      <c r="Z848" s="25"/>
      <c r="AA848" s="22" t="s">
        <v>8129</v>
      </c>
      <c r="AB848" s="22" t="s">
        <v>8130</v>
      </c>
      <c r="AC848" s="25"/>
      <c r="AD848" s="22" t="s">
        <v>8131</v>
      </c>
      <c r="AE848" s="22" t="s">
        <v>8132</v>
      </c>
      <c r="AF848" s="25"/>
      <c r="AG848" s="22">
        <v>1.0465587724611E13</v>
      </c>
      <c r="AH848" s="22" t="s">
        <v>90</v>
      </c>
      <c r="AI848" s="22">
        <v>5.973733376243E12</v>
      </c>
      <c r="AJ848" s="25"/>
      <c r="AK848" s="25"/>
      <c r="AL848" s="22" t="s">
        <v>8133</v>
      </c>
      <c r="AQ848" s="32" t="s">
        <v>8135</v>
      </c>
      <c r="AR848" s="32" t="b">
        <v>0</v>
      </c>
      <c r="AS848" s="32" t="b">
        <v>0</v>
      </c>
    </row>
    <row r="849">
      <c r="A849" s="21" t="s">
        <v>10915</v>
      </c>
      <c r="B849" s="25"/>
      <c r="C849" s="25"/>
      <c r="D849" s="22" t="s">
        <v>8581</v>
      </c>
      <c r="E849" s="25"/>
      <c r="F849" s="22" t="s">
        <v>8136</v>
      </c>
      <c r="G849" s="25"/>
      <c r="H849" s="22">
        <v>9.520233185603E12</v>
      </c>
      <c r="I849" s="25"/>
      <c r="J849" s="25"/>
      <c r="K849" s="25"/>
      <c r="L849" s="25"/>
      <c r="M849" s="25"/>
      <c r="N849" s="22" t="s">
        <v>7056</v>
      </c>
      <c r="O849" s="22" t="s">
        <v>3705</v>
      </c>
      <c r="P849" s="22" t="s">
        <v>7056</v>
      </c>
      <c r="Q849" s="22" t="s">
        <v>3705</v>
      </c>
      <c r="R849" s="22" t="s">
        <v>10916</v>
      </c>
      <c r="S849" s="25"/>
      <c r="T849" s="40" t="s">
        <v>10917</v>
      </c>
      <c r="U849" s="22" t="s">
        <v>10918</v>
      </c>
      <c r="V849" s="25"/>
      <c r="W849" s="22" t="s">
        <v>10919</v>
      </c>
      <c r="X849" s="22" t="s">
        <v>8289</v>
      </c>
      <c r="Y849" s="25"/>
      <c r="Z849" s="25"/>
      <c r="AA849" s="22" t="s">
        <v>8129</v>
      </c>
      <c r="AB849" s="22" t="s">
        <v>8130</v>
      </c>
      <c r="AC849" s="25"/>
      <c r="AD849" s="25"/>
      <c r="AE849" s="22" t="s">
        <v>8132</v>
      </c>
      <c r="AF849" s="25"/>
      <c r="AG849" s="22">
        <v>1.0465587724611E13</v>
      </c>
      <c r="AH849" s="22" t="s">
        <v>8137</v>
      </c>
      <c r="AI849" s="22">
        <v>5.973733376243E12</v>
      </c>
      <c r="AJ849" s="25"/>
      <c r="AK849" s="25"/>
      <c r="AL849" s="22" t="s">
        <v>8136</v>
      </c>
      <c r="AR849" s="32" t="b">
        <v>0</v>
      </c>
      <c r="AS849" s="32" t="b">
        <v>0</v>
      </c>
    </row>
    <row r="850">
      <c r="A850" s="21" t="s">
        <v>10920</v>
      </c>
      <c r="B850" s="22" t="s">
        <v>8140</v>
      </c>
      <c r="C850" s="22">
        <v>1.0</v>
      </c>
      <c r="D850" s="22" t="s">
        <v>8305</v>
      </c>
      <c r="E850" s="22" t="s">
        <v>8140</v>
      </c>
      <c r="F850" s="22" t="s">
        <v>8121</v>
      </c>
      <c r="G850" s="25"/>
      <c r="H850" s="22">
        <v>3.2766354325827E13</v>
      </c>
      <c r="I850" s="25"/>
      <c r="J850" s="25"/>
      <c r="K850" s="22">
        <v>4.2085703581939E13</v>
      </c>
      <c r="L850" s="25"/>
      <c r="M850" s="25"/>
      <c r="N850" s="22" t="s">
        <v>10921</v>
      </c>
      <c r="O850" s="22" t="s">
        <v>10922</v>
      </c>
      <c r="P850" s="22" t="s">
        <v>10921</v>
      </c>
      <c r="Q850" s="22" t="s">
        <v>10922</v>
      </c>
      <c r="R850" s="22" t="s">
        <v>10923</v>
      </c>
      <c r="S850" s="25"/>
      <c r="T850" s="40" t="s">
        <v>10924</v>
      </c>
      <c r="U850" s="22" t="s">
        <v>10925</v>
      </c>
      <c r="V850" s="25"/>
      <c r="W850" s="22" t="s">
        <v>10926</v>
      </c>
      <c r="X850" s="22" t="s">
        <v>8128</v>
      </c>
      <c r="Y850" s="25"/>
      <c r="Z850" s="25"/>
      <c r="AA850" s="22" t="s">
        <v>8129</v>
      </c>
      <c r="AB850" s="22" t="s">
        <v>8130</v>
      </c>
      <c r="AC850" s="25"/>
      <c r="AD850" s="22" t="s">
        <v>8131</v>
      </c>
      <c r="AE850" s="22" t="s">
        <v>8132</v>
      </c>
      <c r="AF850" s="25"/>
      <c r="AG850" s="22">
        <v>1.0465601847619E13</v>
      </c>
      <c r="AH850" s="22" t="s">
        <v>90</v>
      </c>
      <c r="AI850" s="22">
        <v>6.484224835827E12</v>
      </c>
      <c r="AJ850" s="25"/>
      <c r="AK850" s="25"/>
      <c r="AL850" s="22" t="s">
        <v>8134</v>
      </c>
      <c r="AQ850" s="32" t="s">
        <v>8150</v>
      </c>
      <c r="AR850" s="32" t="b">
        <v>0</v>
      </c>
      <c r="AS850" s="32" t="b">
        <v>0</v>
      </c>
    </row>
    <row r="851">
      <c r="A851" s="21" t="s">
        <v>10920</v>
      </c>
      <c r="B851" s="25"/>
      <c r="C851" s="25"/>
      <c r="D851" s="22" t="s">
        <v>8305</v>
      </c>
      <c r="E851" s="25"/>
      <c r="F851" s="22" t="s">
        <v>8136</v>
      </c>
      <c r="G851" s="25"/>
      <c r="H851" s="22">
        <v>9.520243441987E12</v>
      </c>
      <c r="I851" s="25"/>
      <c r="J851" s="25"/>
      <c r="K851" s="25"/>
      <c r="L851" s="25"/>
      <c r="M851" s="25"/>
      <c r="N851" s="22" t="s">
        <v>10921</v>
      </c>
      <c r="O851" s="22" t="s">
        <v>10922</v>
      </c>
      <c r="P851" s="22" t="s">
        <v>10921</v>
      </c>
      <c r="Q851" s="22" t="s">
        <v>10922</v>
      </c>
      <c r="R851" s="22" t="s">
        <v>10923</v>
      </c>
      <c r="S851" s="25"/>
      <c r="T851" s="40" t="s">
        <v>10924</v>
      </c>
      <c r="U851" s="22" t="s">
        <v>10925</v>
      </c>
      <c r="V851" s="25"/>
      <c r="W851" s="22" t="s">
        <v>10926</v>
      </c>
      <c r="X851" s="22" t="s">
        <v>8128</v>
      </c>
      <c r="Y851" s="25"/>
      <c r="Z851" s="25"/>
      <c r="AA851" s="22" t="s">
        <v>8129</v>
      </c>
      <c r="AB851" s="22" t="s">
        <v>8130</v>
      </c>
      <c r="AC851" s="25"/>
      <c r="AD851" s="25"/>
      <c r="AE851" s="22" t="s">
        <v>8132</v>
      </c>
      <c r="AF851" s="25"/>
      <c r="AG851" s="22">
        <v>1.0465601847619E13</v>
      </c>
      <c r="AH851" s="22" t="s">
        <v>8137</v>
      </c>
      <c r="AI851" s="22">
        <v>6.484224835827E12</v>
      </c>
      <c r="AJ851" s="25"/>
      <c r="AK851" s="25"/>
      <c r="AL851" s="22" t="s">
        <v>8136</v>
      </c>
      <c r="AR851" s="32" t="b">
        <v>0</v>
      </c>
      <c r="AS851" s="32" t="b">
        <v>0</v>
      </c>
    </row>
    <row r="852">
      <c r="A852" s="21" t="s">
        <v>10927</v>
      </c>
      <c r="B852" s="22" t="s">
        <v>8119</v>
      </c>
      <c r="C852" s="22">
        <v>1.0</v>
      </c>
      <c r="D852" s="22" t="s">
        <v>8254</v>
      </c>
      <c r="E852" s="22" t="s">
        <v>8119</v>
      </c>
      <c r="F852" s="22" t="s">
        <v>8121</v>
      </c>
      <c r="G852" s="25"/>
      <c r="H852" s="22">
        <v>3.2766382014787E13</v>
      </c>
      <c r="I852" s="25"/>
      <c r="J852" s="25"/>
      <c r="K852" s="22">
        <v>4.2085703549171E13</v>
      </c>
      <c r="L852" s="25"/>
      <c r="M852" s="25"/>
      <c r="N852" s="22" t="s">
        <v>10928</v>
      </c>
      <c r="O852" s="22" t="s">
        <v>10929</v>
      </c>
      <c r="P852" s="22" t="s">
        <v>10930</v>
      </c>
      <c r="Q852" s="22" t="s">
        <v>10929</v>
      </c>
      <c r="R852" s="22" t="s">
        <v>10931</v>
      </c>
      <c r="S852" s="25"/>
      <c r="T852" s="40" t="s">
        <v>10932</v>
      </c>
      <c r="U852" s="22" t="s">
        <v>10933</v>
      </c>
      <c r="V852" s="25"/>
      <c r="W852" s="22" t="s">
        <v>10934</v>
      </c>
      <c r="X852" s="22" t="s">
        <v>8276</v>
      </c>
      <c r="Y852" s="25"/>
      <c r="Z852" s="25"/>
      <c r="AA852" s="22" t="s">
        <v>8129</v>
      </c>
      <c r="AB852" s="22" t="s">
        <v>8130</v>
      </c>
      <c r="AC852" s="25"/>
      <c r="AD852" s="22" t="s">
        <v>8131</v>
      </c>
      <c r="AE852" s="22" t="s">
        <v>8132</v>
      </c>
      <c r="AF852" s="25"/>
      <c r="AG852" s="22">
        <v>1.0465614922051E13</v>
      </c>
      <c r="AH852" s="22" t="s">
        <v>90</v>
      </c>
      <c r="AI852" s="22">
        <v>6.465593278707E12</v>
      </c>
      <c r="AJ852" s="25"/>
      <c r="AK852" s="25"/>
      <c r="AL852" s="22" t="s">
        <v>8133</v>
      </c>
      <c r="AQ852" s="32" t="s">
        <v>8135</v>
      </c>
      <c r="AR852" s="32" t="b">
        <v>0</v>
      </c>
      <c r="AS852" s="32" t="b">
        <v>0</v>
      </c>
    </row>
    <row r="853">
      <c r="A853" s="21" t="s">
        <v>10927</v>
      </c>
      <c r="B853" s="25"/>
      <c r="C853" s="25"/>
      <c r="D853" s="22" t="s">
        <v>8254</v>
      </c>
      <c r="E853" s="25"/>
      <c r="F853" s="22" t="s">
        <v>8136</v>
      </c>
      <c r="G853" s="25"/>
      <c r="H853" s="22">
        <v>9.520253305155E12</v>
      </c>
      <c r="I853" s="25"/>
      <c r="J853" s="25"/>
      <c r="K853" s="25"/>
      <c r="L853" s="25"/>
      <c r="M853" s="25"/>
      <c r="N853" s="22" t="s">
        <v>10928</v>
      </c>
      <c r="O853" s="22" t="s">
        <v>10929</v>
      </c>
      <c r="P853" s="22" t="s">
        <v>10930</v>
      </c>
      <c r="Q853" s="22" t="s">
        <v>10929</v>
      </c>
      <c r="R853" s="22" t="s">
        <v>10931</v>
      </c>
      <c r="S853" s="25"/>
      <c r="T853" s="40" t="s">
        <v>10932</v>
      </c>
      <c r="U853" s="22" t="s">
        <v>10933</v>
      </c>
      <c r="V853" s="25"/>
      <c r="W853" s="22" t="s">
        <v>10934</v>
      </c>
      <c r="X853" s="22" t="s">
        <v>8276</v>
      </c>
      <c r="Y853" s="25"/>
      <c r="Z853" s="25"/>
      <c r="AA853" s="22" t="s">
        <v>8129</v>
      </c>
      <c r="AB853" s="22" t="s">
        <v>8130</v>
      </c>
      <c r="AC853" s="25"/>
      <c r="AD853" s="25"/>
      <c r="AE853" s="22" t="s">
        <v>8132</v>
      </c>
      <c r="AF853" s="25"/>
      <c r="AG853" s="22">
        <v>1.0465614922051E13</v>
      </c>
      <c r="AH853" s="22" t="s">
        <v>8137</v>
      </c>
      <c r="AI853" s="22">
        <v>6.465593278707E12</v>
      </c>
      <c r="AJ853" s="25"/>
      <c r="AK853" s="25"/>
      <c r="AL853" s="22" t="s">
        <v>8136</v>
      </c>
      <c r="AR853" s="32" t="b">
        <v>0</v>
      </c>
      <c r="AS853" s="32" t="b">
        <v>0</v>
      </c>
    </row>
    <row r="854">
      <c r="A854" s="21" t="s">
        <v>10935</v>
      </c>
      <c r="B854" s="22" t="s">
        <v>8140</v>
      </c>
      <c r="C854" s="22">
        <v>1.0</v>
      </c>
      <c r="D854" s="22" t="s">
        <v>8212</v>
      </c>
      <c r="E854" s="22" t="s">
        <v>8140</v>
      </c>
      <c r="F854" s="22" t="s">
        <v>8121</v>
      </c>
      <c r="G854" s="25"/>
      <c r="H854" s="22">
        <v>3.2764985180483E13</v>
      </c>
      <c r="I854" s="25"/>
      <c r="J854" s="25"/>
      <c r="K854" s="22">
        <v>4.2085703581939E13</v>
      </c>
      <c r="L854" s="25"/>
      <c r="M854" s="25"/>
      <c r="N854" s="22" t="s">
        <v>7056</v>
      </c>
      <c r="O854" s="22" t="s">
        <v>10936</v>
      </c>
      <c r="P854" s="22" t="s">
        <v>7056</v>
      </c>
      <c r="Q854" s="22" t="s">
        <v>10936</v>
      </c>
      <c r="R854" s="22" t="s">
        <v>10937</v>
      </c>
      <c r="S854" s="22" t="s">
        <v>10938</v>
      </c>
      <c r="T854" s="40" t="s">
        <v>10939</v>
      </c>
      <c r="U854" s="22" t="s">
        <v>10940</v>
      </c>
      <c r="V854" s="25"/>
      <c r="W854" s="22" t="s">
        <v>10941</v>
      </c>
      <c r="X854" s="22" t="s">
        <v>8200</v>
      </c>
      <c r="Y854" s="25"/>
      <c r="Z854" s="25"/>
      <c r="AA854" s="22" t="s">
        <v>8129</v>
      </c>
      <c r="AB854" s="22" t="s">
        <v>8130</v>
      </c>
      <c r="AC854" s="25"/>
      <c r="AD854" s="22" t="s">
        <v>8131</v>
      </c>
      <c r="AE854" s="22" t="s">
        <v>8132</v>
      </c>
      <c r="AF854" s="25"/>
      <c r="AG854" s="22">
        <v>1.0464957759811E13</v>
      </c>
      <c r="AH854" s="22" t="s">
        <v>90</v>
      </c>
      <c r="AI854" s="22">
        <v>2.3432276607299E13</v>
      </c>
      <c r="AJ854" s="25"/>
      <c r="AK854" s="25"/>
      <c r="AL854" s="22" t="s">
        <v>8134</v>
      </c>
      <c r="AQ854" s="32" t="s">
        <v>8150</v>
      </c>
      <c r="AR854" s="32" t="b">
        <v>0</v>
      </c>
      <c r="AS854" s="32" t="b">
        <v>0</v>
      </c>
    </row>
    <row r="855">
      <c r="A855" s="21" t="s">
        <v>10935</v>
      </c>
      <c r="B855" s="25"/>
      <c r="C855" s="25"/>
      <c r="D855" s="22" t="s">
        <v>8212</v>
      </c>
      <c r="E855" s="25"/>
      <c r="F855" s="22" t="s">
        <v>8136</v>
      </c>
      <c r="G855" s="25"/>
      <c r="H855" s="22">
        <v>9.519734980931E12</v>
      </c>
      <c r="I855" s="25"/>
      <c r="J855" s="25"/>
      <c r="K855" s="25"/>
      <c r="L855" s="25"/>
      <c r="M855" s="25"/>
      <c r="N855" s="22" t="s">
        <v>7056</v>
      </c>
      <c r="O855" s="22" t="s">
        <v>10936</v>
      </c>
      <c r="P855" s="22" t="s">
        <v>7056</v>
      </c>
      <c r="Q855" s="22" t="s">
        <v>10936</v>
      </c>
      <c r="R855" s="22" t="s">
        <v>10937</v>
      </c>
      <c r="S855" s="22" t="s">
        <v>10938</v>
      </c>
      <c r="T855" s="40" t="s">
        <v>10939</v>
      </c>
      <c r="U855" s="22" t="s">
        <v>10940</v>
      </c>
      <c r="V855" s="25"/>
      <c r="W855" s="22" t="s">
        <v>10941</v>
      </c>
      <c r="X855" s="22" t="s">
        <v>8200</v>
      </c>
      <c r="Y855" s="25"/>
      <c r="Z855" s="25"/>
      <c r="AA855" s="22" t="s">
        <v>8129</v>
      </c>
      <c r="AB855" s="22" t="s">
        <v>8130</v>
      </c>
      <c r="AC855" s="25"/>
      <c r="AD855" s="25"/>
      <c r="AE855" s="22" t="s">
        <v>8132</v>
      </c>
      <c r="AF855" s="25"/>
      <c r="AG855" s="22">
        <v>1.0464957759811E13</v>
      </c>
      <c r="AH855" s="22" t="s">
        <v>8137</v>
      </c>
      <c r="AI855" s="22">
        <v>2.3432276607299E13</v>
      </c>
      <c r="AJ855" s="25"/>
      <c r="AK855" s="25"/>
      <c r="AL855" s="22" t="s">
        <v>8136</v>
      </c>
      <c r="AR855" s="32" t="b">
        <v>0</v>
      </c>
      <c r="AS855" s="32" t="b">
        <v>0</v>
      </c>
    </row>
    <row r="856">
      <c r="A856" s="21" t="s">
        <v>10942</v>
      </c>
      <c r="B856" s="22" t="s">
        <v>8119</v>
      </c>
      <c r="C856" s="22">
        <v>1.0</v>
      </c>
      <c r="D856" s="22" t="s">
        <v>8203</v>
      </c>
      <c r="E856" s="22" t="s">
        <v>8119</v>
      </c>
      <c r="F856" s="22" t="s">
        <v>8121</v>
      </c>
      <c r="G856" s="25"/>
      <c r="H856" s="22">
        <v>3.2765026074947E13</v>
      </c>
      <c r="I856" s="25"/>
      <c r="J856" s="25"/>
      <c r="K856" s="22">
        <v>4.2085703549171E13</v>
      </c>
      <c r="L856" s="25"/>
      <c r="M856" s="25"/>
      <c r="N856" s="22" t="s">
        <v>4877</v>
      </c>
      <c r="O856" s="22" t="s">
        <v>10943</v>
      </c>
      <c r="P856" s="22" t="s">
        <v>4877</v>
      </c>
      <c r="Q856" s="22" t="s">
        <v>10943</v>
      </c>
      <c r="R856" s="22" t="s">
        <v>10944</v>
      </c>
      <c r="S856" s="25"/>
      <c r="T856" s="40" t="s">
        <v>10945</v>
      </c>
      <c r="U856" s="22" t="s">
        <v>10946</v>
      </c>
      <c r="V856" s="25"/>
      <c r="W856" s="22" t="s">
        <v>10947</v>
      </c>
      <c r="X856" s="22" t="s">
        <v>10948</v>
      </c>
      <c r="Y856" s="25"/>
      <c r="Z856" s="25"/>
      <c r="AA856" s="22" t="s">
        <v>8129</v>
      </c>
      <c r="AB856" s="22" t="s">
        <v>8130</v>
      </c>
      <c r="AC856" s="25"/>
      <c r="AD856" s="22" t="s">
        <v>8131</v>
      </c>
      <c r="AE856" s="22" t="s">
        <v>8132</v>
      </c>
      <c r="AF856" s="25"/>
      <c r="AG856" s="22">
        <v>1.0464975847747E13</v>
      </c>
      <c r="AH856" s="22" t="s">
        <v>90</v>
      </c>
      <c r="AI856" s="22">
        <v>8.606398972227E12</v>
      </c>
      <c r="AJ856" s="25"/>
      <c r="AK856" s="25"/>
      <c r="AL856" s="22" t="s">
        <v>8133</v>
      </c>
      <c r="AQ856" s="32" t="s">
        <v>8135</v>
      </c>
      <c r="AR856" s="32" t="b">
        <v>0</v>
      </c>
      <c r="AS856" s="32" t="b">
        <v>0</v>
      </c>
    </row>
    <row r="857">
      <c r="A857" s="21" t="s">
        <v>10942</v>
      </c>
      <c r="B857" s="25"/>
      <c r="C857" s="25"/>
      <c r="D857" s="22" t="s">
        <v>8203</v>
      </c>
      <c r="E857" s="25"/>
      <c r="F857" s="22" t="s">
        <v>8136</v>
      </c>
      <c r="G857" s="25"/>
      <c r="H857" s="22">
        <v>9.519751987523E12</v>
      </c>
      <c r="I857" s="25"/>
      <c r="J857" s="25"/>
      <c r="K857" s="25"/>
      <c r="L857" s="25"/>
      <c r="M857" s="25"/>
      <c r="N857" s="22" t="s">
        <v>4877</v>
      </c>
      <c r="O857" s="22" t="s">
        <v>10943</v>
      </c>
      <c r="P857" s="22" t="s">
        <v>4877</v>
      </c>
      <c r="Q857" s="22" t="s">
        <v>10943</v>
      </c>
      <c r="R857" s="22" t="s">
        <v>10944</v>
      </c>
      <c r="S857" s="25"/>
      <c r="T857" s="40" t="s">
        <v>10945</v>
      </c>
      <c r="U857" s="22" t="s">
        <v>10946</v>
      </c>
      <c r="V857" s="25"/>
      <c r="W857" s="22" t="s">
        <v>10947</v>
      </c>
      <c r="X857" s="22" t="s">
        <v>10948</v>
      </c>
      <c r="Y857" s="25"/>
      <c r="Z857" s="25"/>
      <c r="AA857" s="22" t="s">
        <v>8129</v>
      </c>
      <c r="AB857" s="22" t="s">
        <v>8130</v>
      </c>
      <c r="AC857" s="25"/>
      <c r="AD857" s="25"/>
      <c r="AE857" s="22" t="s">
        <v>8132</v>
      </c>
      <c r="AF857" s="25"/>
      <c r="AG857" s="22">
        <v>1.0464975847747E13</v>
      </c>
      <c r="AH857" s="22" t="s">
        <v>8137</v>
      </c>
      <c r="AI857" s="22">
        <v>8.606398972227E12</v>
      </c>
      <c r="AJ857" s="25"/>
      <c r="AK857" s="25"/>
      <c r="AL857" s="22" t="s">
        <v>8136</v>
      </c>
      <c r="AR857" s="32" t="b">
        <v>0</v>
      </c>
      <c r="AS857" s="32" t="b">
        <v>0</v>
      </c>
    </row>
    <row r="858">
      <c r="A858" s="21" t="s">
        <v>10949</v>
      </c>
      <c r="B858" s="22" t="s">
        <v>8119</v>
      </c>
      <c r="C858" s="22">
        <v>1.0</v>
      </c>
      <c r="D858" s="22" t="s">
        <v>8221</v>
      </c>
      <c r="E858" s="22" t="s">
        <v>8119</v>
      </c>
      <c r="F858" s="22" t="s">
        <v>8121</v>
      </c>
      <c r="G858" s="25"/>
      <c r="H858" s="22">
        <v>3.2765123625283E13</v>
      </c>
      <c r="I858" s="25"/>
      <c r="J858" s="25"/>
      <c r="K858" s="22">
        <v>4.2085703549171E13</v>
      </c>
      <c r="L858" s="25"/>
      <c r="M858" s="25"/>
      <c r="N858" s="22" t="s">
        <v>7090</v>
      </c>
      <c r="O858" s="22" t="s">
        <v>10950</v>
      </c>
      <c r="P858" s="22" t="s">
        <v>7090</v>
      </c>
      <c r="Q858" s="22" t="s">
        <v>10950</v>
      </c>
      <c r="R858" s="22" t="s">
        <v>10951</v>
      </c>
      <c r="S858" s="25"/>
      <c r="T858" s="40" t="s">
        <v>10952</v>
      </c>
      <c r="U858" s="22" t="s">
        <v>10953</v>
      </c>
      <c r="V858" s="25"/>
      <c r="W858" s="22" t="s">
        <v>10954</v>
      </c>
      <c r="X858" s="22" t="s">
        <v>8671</v>
      </c>
      <c r="Y858" s="25"/>
      <c r="Z858" s="25"/>
      <c r="AA858" s="22" t="s">
        <v>8129</v>
      </c>
      <c r="AB858" s="22" t="s">
        <v>8130</v>
      </c>
      <c r="AC858" s="25"/>
      <c r="AD858" s="22" t="s">
        <v>8131</v>
      </c>
      <c r="AE858" s="22" t="s">
        <v>8132</v>
      </c>
      <c r="AF858" s="25"/>
      <c r="AG858" s="22">
        <v>1.0465020084547E13</v>
      </c>
      <c r="AH858" s="22" t="s">
        <v>90</v>
      </c>
      <c r="AI858" s="22">
        <v>8.564339736899E12</v>
      </c>
      <c r="AJ858" s="25"/>
      <c r="AK858" s="25"/>
      <c r="AL858" s="22" t="s">
        <v>8133</v>
      </c>
      <c r="AQ858" s="32" t="s">
        <v>8135</v>
      </c>
      <c r="AR858" s="32" t="b">
        <v>0</v>
      </c>
      <c r="AS858" s="32" t="b">
        <v>0</v>
      </c>
    </row>
    <row r="859">
      <c r="A859" s="21" t="s">
        <v>10949</v>
      </c>
      <c r="B859" s="25"/>
      <c r="C859" s="25"/>
      <c r="D859" s="22" t="s">
        <v>8221</v>
      </c>
      <c r="E859" s="25"/>
      <c r="F859" s="22" t="s">
        <v>8136</v>
      </c>
      <c r="G859" s="25"/>
      <c r="H859" s="22">
        <v>9.519793471811E12</v>
      </c>
      <c r="I859" s="25"/>
      <c r="J859" s="25"/>
      <c r="K859" s="25"/>
      <c r="L859" s="25"/>
      <c r="M859" s="25"/>
      <c r="N859" s="22" t="s">
        <v>7090</v>
      </c>
      <c r="O859" s="22" t="s">
        <v>10950</v>
      </c>
      <c r="P859" s="22" t="s">
        <v>7090</v>
      </c>
      <c r="Q859" s="22" t="s">
        <v>10950</v>
      </c>
      <c r="R859" s="22" t="s">
        <v>10951</v>
      </c>
      <c r="S859" s="25"/>
      <c r="T859" s="40" t="s">
        <v>10952</v>
      </c>
      <c r="U859" s="22" t="s">
        <v>10953</v>
      </c>
      <c r="V859" s="25"/>
      <c r="W859" s="22" t="s">
        <v>10954</v>
      </c>
      <c r="X859" s="22" t="s">
        <v>8671</v>
      </c>
      <c r="Y859" s="25"/>
      <c r="Z859" s="25"/>
      <c r="AA859" s="22" t="s">
        <v>8129</v>
      </c>
      <c r="AB859" s="22" t="s">
        <v>8130</v>
      </c>
      <c r="AC859" s="25"/>
      <c r="AD859" s="25"/>
      <c r="AE859" s="22" t="s">
        <v>8132</v>
      </c>
      <c r="AF859" s="25"/>
      <c r="AG859" s="22">
        <v>1.0465020084547E13</v>
      </c>
      <c r="AH859" s="22" t="s">
        <v>8137</v>
      </c>
      <c r="AI859" s="22">
        <v>8.564339736899E12</v>
      </c>
      <c r="AJ859" s="25"/>
      <c r="AK859" s="25"/>
      <c r="AL859" s="22" t="s">
        <v>8136</v>
      </c>
      <c r="AR859" s="32" t="b">
        <v>0</v>
      </c>
      <c r="AS859" s="32" t="b">
        <v>0</v>
      </c>
    </row>
    <row r="860">
      <c r="A860" s="21" t="s">
        <v>10955</v>
      </c>
      <c r="B860" s="22" t="s">
        <v>8429</v>
      </c>
      <c r="C860" s="22">
        <v>1.0</v>
      </c>
      <c r="D860" s="22" t="s">
        <v>8175</v>
      </c>
      <c r="E860" s="22" t="s">
        <v>8429</v>
      </c>
      <c r="F860" s="22" t="s">
        <v>8155</v>
      </c>
      <c r="G860" s="25"/>
      <c r="H860" s="22">
        <v>3.2766424482115E13</v>
      </c>
      <c r="I860" s="25"/>
      <c r="J860" s="25"/>
      <c r="K860" s="22">
        <v>4.9521175527747E13</v>
      </c>
      <c r="L860" s="25"/>
      <c r="M860" s="25"/>
      <c r="N860" s="22" t="s">
        <v>4267</v>
      </c>
      <c r="O860" s="22" t="s">
        <v>10956</v>
      </c>
      <c r="P860" s="22" t="s">
        <v>4267</v>
      </c>
      <c r="Q860" s="22" t="s">
        <v>10956</v>
      </c>
      <c r="R860" s="22" t="s">
        <v>10957</v>
      </c>
      <c r="S860" s="25"/>
      <c r="T860" s="40" t="s">
        <v>10958</v>
      </c>
      <c r="U860" s="22" t="s">
        <v>10959</v>
      </c>
      <c r="V860" s="25"/>
      <c r="W860" s="22" t="s">
        <v>10960</v>
      </c>
      <c r="X860" s="22" t="s">
        <v>8685</v>
      </c>
      <c r="Y860" s="25"/>
      <c r="Z860" s="25"/>
      <c r="AA860" s="22" t="s">
        <v>8129</v>
      </c>
      <c r="AB860" s="22" t="s">
        <v>8130</v>
      </c>
      <c r="AC860" s="25"/>
      <c r="AD860" s="22" t="s">
        <v>8161</v>
      </c>
      <c r="AE860" s="22" t="s">
        <v>8132</v>
      </c>
      <c r="AF860" s="25"/>
      <c r="AG860" s="22">
        <v>1.0465633861955E13</v>
      </c>
      <c r="AH860" s="22" t="s">
        <v>90</v>
      </c>
      <c r="AI860" s="22">
        <v>2.3432980005187E13</v>
      </c>
      <c r="AJ860" s="25"/>
      <c r="AK860" s="25"/>
      <c r="AL860" s="22" t="s">
        <v>8201</v>
      </c>
      <c r="AQ860" s="32" t="s">
        <v>95</v>
      </c>
      <c r="AR860" s="32" t="b">
        <v>0</v>
      </c>
      <c r="AS860" s="32" t="b">
        <v>1</v>
      </c>
    </row>
    <row r="861">
      <c r="A861" s="21" t="s">
        <v>10955</v>
      </c>
      <c r="B861" s="25"/>
      <c r="C861" s="25"/>
      <c r="D861" s="22" t="s">
        <v>8175</v>
      </c>
      <c r="E861" s="25"/>
      <c r="F861" s="22" t="s">
        <v>8149</v>
      </c>
      <c r="G861" s="25"/>
      <c r="H861" s="22">
        <v>9.520267034947E12</v>
      </c>
      <c r="I861" s="25"/>
      <c r="J861" s="25"/>
      <c r="K861" s="25"/>
      <c r="L861" s="25"/>
      <c r="M861" s="25"/>
      <c r="N861" s="22" t="s">
        <v>4267</v>
      </c>
      <c r="O861" s="22" t="s">
        <v>10956</v>
      </c>
      <c r="P861" s="22" t="s">
        <v>4267</v>
      </c>
      <c r="Q861" s="22" t="s">
        <v>10956</v>
      </c>
      <c r="R861" s="22" t="s">
        <v>10957</v>
      </c>
      <c r="S861" s="25"/>
      <c r="T861" s="40" t="s">
        <v>10958</v>
      </c>
      <c r="U861" s="22" t="s">
        <v>10959</v>
      </c>
      <c r="V861" s="25"/>
      <c r="W861" s="22" t="s">
        <v>10960</v>
      </c>
      <c r="X861" s="22" t="s">
        <v>8685</v>
      </c>
      <c r="Y861" s="25"/>
      <c r="Z861" s="25"/>
      <c r="AA861" s="22" t="s">
        <v>8129</v>
      </c>
      <c r="AB861" s="22" t="s">
        <v>8130</v>
      </c>
      <c r="AC861" s="25"/>
      <c r="AD861" s="25"/>
      <c r="AE861" s="22" t="s">
        <v>8132</v>
      </c>
      <c r="AF861" s="25"/>
      <c r="AG861" s="22">
        <v>1.0465633861955E13</v>
      </c>
      <c r="AH861" s="22" t="s">
        <v>8137</v>
      </c>
      <c r="AI861" s="22">
        <v>2.3432980005187E13</v>
      </c>
      <c r="AJ861" s="25"/>
      <c r="AK861" s="25"/>
      <c r="AL861" s="22" t="s">
        <v>8149</v>
      </c>
      <c r="AR861" s="32" t="b">
        <v>0</v>
      </c>
      <c r="AS861" s="32" t="b">
        <v>0</v>
      </c>
    </row>
    <row r="862">
      <c r="A862" s="21" t="s">
        <v>10961</v>
      </c>
      <c r="B862" s="22" t="s">
        <v>8370</v>
      </c>
      <c r="C862" s="22">
        <v>1.0</v>
      </c>
      <c r="D862" s="22" t="s">
        <v>8254</v>
      </c>
      <c r="E862" s="22" t="s">
        <v>8370</v>
      </c>
      <c r="F862" s="22" t="s">
        <v>8155</v>
      </c>
      <c r="G862" s="25"/>
      <c r="H862" s="22">
        <v>3.2766815633731E13</v>
      </c>
      <c r="I862" s="25"/>
      <c r="J862" s="25"/>
      <c r="K862" s="22">
        <v>4.9521175494979E13</v>
      </c>
      <c r="L862" s="25"/>
      <c r="M862" s="25"/>
      <c r="N862" s="22" t="s">
        <v>10219</v>
      </c>
      <c r="O862" s="22" t="s">
        <v>10962</v>
      </c>
      <c r="P862" s="22" t="s">
        <v>10219</v>
      </c>
      <c r="Q862" s="22" t="s">
        <v>10962</v>
      </c>
      <c r="R862" s="22" t="s">
        <v>10963</v>
      </c>
      <c r="S862" s="25"/>
      <c r="T862" s="40" t="s">
        <v>10964</v>
      </c>
      <c r="U862" s="22" t="s">
        <v>10965</v>
      </c>
      <c r="V862" s="22" t="s">
        <v>10966</v>
      </c>
      <c r="W862" s="22" t="s">
        <v>10967</v>
      </c>
      <c r="X862" s="22" t="s">
        <v>9662</v>
      </c>
      <c r="Y862" s="25"/>
      <c r="Z862" s="25"/>
      <c r="AA862" s="22" t="s">
        <v>8129</v>
      </c>
      <c r="AB862" s="22" t="s">
        <v>8130</v>
      </c>
      <c r="AC862" s="25"/>
      <c r="AD862" s="22" t="s">
        <v>8161</v>
      </c>
      <c r="AE862" s="22" t="s">
        <v>8132</v>
      </c>
      <c r="AF862" s="25"/>
      <c r="AG862" s="22">
        <v>1.0465819918659E13</v>
      </c>
      <c r="AH862" s="22" t="s">
        <v>90</v>
      </c>
      <c r="AI862" s="22">
        <v>7.497967337795E12</v>
      </c>
      <c r="AJ862" s="25"/>
      <c r="AK862" s="25"/>
      <c r="AL862" s="22" t="s">
        <v>8138</v>
      </c>
      <c r="AQ862" s="32" t="s">
        <v>91</v>
      </c>
      <c r="AR862" s="32" t="b">
        <v>0</v>
      </c>
      <c r="AS862" s="32" t="b">
        <v>1</v>
      </c>
    </row>
    <row r="863">
      <c r="A863" s="21" t="s">
        <v>10961</v>
      </c>
      <c r="B863" s="25"/>
      <c r="C863" s="25"/>
      <c r="D863" s="22" t="s">
        <v>8254</v>
      </c>
      <c r="E863" s="25"/>
      <c r="F863" s="22" t="s">
        <v>8149</v>
      </c>
      <c r="G863" s="25"/>
      <c r="H863" s="22">
        <v>9.520398008643E12</v>
      </c>
      <c r="I863" s="25"/>
      <c r="J863" s="25"/>
      <c r="K863" s="25"/>
      <c r="L863" s="25"/>
      <c r="M863" s="25"/>
      <c r="N863" s="22" t="s">
        <v>10219</v>
      </c>
      <c r="O863" s="22" t="s">
        <v>10962</v>
      </c>
      <c r="P863" s="22" t="s">
        <v>10219</v>
      </c>
      <c r="Q863" s="22" t="s">
        <v>10962</v>
      </c>
      <c r="R863" s="22" t="s">
        <v>10963</v>
      </c>
      <c r="S863" s="25"/>
      <c r="T863" s="40" t="s">
        <v>10964</v>
      </c>
      <c r="U863" s="22" t="s">
        <v>10965</v>
      </c>
      <c r="V863" s="22" t="s">
        <v>10966</v>
      </c>
      <c r="W863" s="22" t="s">
        <v>10967</v>
      </c>
      <c r="X863" s="22" t="s">
        <v>9662</v>
      </c>
      <c r="Y863" s="25"/>
      <c r="Z863" s="25"/>
      <c r="AA863" s="22" t="s">
        <v>8129</v>
      </c>
      <c r="AB863" s="22" t="s">
        <v>8130</v>
      </c>
      <c r="AC863" s="25"/>
      <c r="AD863" s="25"/>
      <c r="AE863" s="22" t="s">
        <v>8132</v>
      </c>
      <c r="AF863" s="25"/>
      <c r="AG863" s="22">
        <v>1.0465819918659E13</v>
      </c>
      <c r="AH863" s="22" t="s">
        <v>8137</v>
      </c>
      <c r="AI863" s="22">
        <v>7.497967337795E12</v>
      </c>
      <c r="AJ863" s="25"/>
      <c r="AK863" s="25"/>
      <c r="AL863" s="22" t="s">
        <v>8149</v>
      </c>
      <c r="AR863" s="32" t="b">
        <v>0</v>
      </c>
      <c r="AS863" s="32" t="b">
        <v>0</v>
      </c>
    </row>
    <row r="864">
      <c r="A864" s="21" t="s">
        <v>10968</v>
      </c>
      <c r="B864" s="22" t="s">
        <v>8153</v>
      </c>
      <c r="C864" s="22">
        <v>1.0</v>
      </c>
      <c r="D864" s="22" t="s">
        <v>8371</v>
      </c>
      <c r="E864" s="22" t="s">
        <v>8153</v>
      </c>
      <c r="F864" s="22" t="s">
        <v>8155</v>
      </c>
      <c r="G864" s="25"/>
      <c r="H864" s="22">
        <v>3.2766835851587E13</v>
      </c>
      <c r="I864" s="25"/>
      <c r="J864" s="25"/>
      <c r="K864" s="22">
        <v>4.7338059759939E13</v>
      </c>
      <c r="L864" s="25"/>
      <c r="M864" s="25"/>
      <c r="N864" s="22" t="s">
        <v>10969</v>
      </c>
      <c r="O864" s="22" t="s">
        <v>10970</v>
      </c>
      <c r="P864" s="22" t="s">
        <v>10969</v>
      </c>
      <c r="Q864" s="22" t="s">
        <v>10970</v>
      </c>
      <c r="R864" s="22" t="s">
        <v>10971</v>
      </c>
      <c r="S864" s="25"/>
      <c r="T864" s="40" t="s">
        <v>10972</v>
      </c>
      <c r="U864" s="22" t="s">
        <v>10973</v>
      </c>
      <c r="V864" s="25"/>
      <c r="W864" s="22" t="s">
        <v>10974</v>
      </c>
      <c r="X864" s="22" t="s">
        <v>10975</v>
      </c>
      <c r="Y864" s="25"/>
      <c r="Z864" s="25"/>
      <c r="AA864" s="22" t="s">
        <v>8129</v>
      </c>
      <c r="AB864" s="22" t="s">
        <v>8130</v>
      </c>
      <c r="AC864" s="25"/>
      <c r="AD864" s="22" t="s">
        <v>8161</v>
      </c>
      <c r="AE864" s="22" t="s">
        <v>8132</v>
      </c>
      <c r="AF864" s="25"/>
      <c r="AG864" s="22">
        <v>1.0465830437187E13</v>
      </c>
      <c r="AH864" s="22" t="s">
        <v>90</v>
      </c>
      <c r="AI864" s="22">
        <v>2.3432923054403E13</v>
      </c>
      <c r="AJ864" s="25"/>
      <c r="AK864" s="25"/>
      <c r="AL864" s="22" t="s">
        <v>8162</v>
      </c>
      <c r="AQ864" s="32" t="s">
        <v>55</v>
      </c>
      <c r="AR864" s="32" t="b">
        <v>0</v>
      </c>
      <c r="AS864" s="32" t="b">
        <v>0</v>
      </c>
    </row>
    <row r="865">
      <c r="A865" s="21" t="s">
        <v>10968</v>
      </c>
      <c r="B865" s="25"/>
      <c r="C865" s="25"/>
      <c r="D865" s="22" t="s">
        <v>8371</v>
      </c>
      <c r="E865" s="25"/>
      <c r="F865" s="22" t="s">
        <v>8149</v>
      </c>
      <c r="G865" s="25"/>
      <c r="H865" s="22">
        <v>9.520404955459E12</v>
      </c>
      <c r="I865" s="25"/>
      <c r="J865" s="25"/>
      <c r="K865" s="25"/>
      <c r="L865" s="25"/>
      <c r="M865" s="25"/>
      <c r="N865" s="22" t="s">
        <v>10969</v>
      </c>
      <c r="O865" s="22" t="s">
        <v>10970</v>
      </c>
      <c r="P865" s="22" t="s">
        <v>10969</v>
      </c>
      <c r="Q865" s="22" t="s">
        <v>10970</v>
      </c>
      <c r="R865" s="22" t="s">
        <v>10971</v>
      </c>
      <c r="S865" s="25"/>
      <c r="T865" s="40" t="s">
        <v>10972</v>
      </c>
      <c r="U865" s="22" t="s">
        <v>10973</v>
      </c>
      <c r="V865" s="25"/>
      <c r="W865" s="22" t="s">
        <v>10974</v>
      </c>
      <c r="X865" s="22" t="s">
        <v>10975</v>
      </c>
      <c r="Y865" s="25"/>
      <c r="Z865" s="25"/>
      <c r="AA865" s="22" t="s">
        <v>8129</v>
      </c>
      <c r="AB865" s="22" t="s">
        <v>8130</v>
      </c>
      <c r="AC865" s="25"/>
      <c r="AD865" s="25"/>
      <c r="AE865" s="22" t="s">
        <v>8132</v>
      </c>
      <c r="AF865" s="25"/>
      <c r="AG865" s="22">
        <v>1.0465830437187E13</v>
      </c>
      <c r="AH865" s="22" t="s">
        <v>8137</v>
      </c>
      <c r="AI865" s="22">
        <v>2.3432923054403E13</v>
      </c>
      <c r="AJ865" s="25"/>
      <c r="AK865" s="25"/>
      <c r="AL865" s="22" t="s">
        <v>8149</v>
      </c>
      <c r="AR865" s="32" t="b">
        <v>0</v>
      </c>
      <c r="AS865" s="32" t="b">
        <v>0</v>
      </c>
    </row>
    <row r="866">
      <c r="A866" s="21" t="s">
        <v>10976</v>
      </c>
      <c r="B866" s="22" t="s">
        <v>8140</v>
      </c>
      <c r="C866" s="22">
        <v>1.0</v>
      </c>
      <c r="D866" s="22" t="s">
        <v>8305</v>
      </c>
      <c r="E866" s="22" t="s">
        <v>8140</v>
      </c>
      <c r="F866" s="22" t="s">
        <v>8121</v>
      </c>
      <c r="G866" s="25"/>
      <c r="H866" s="22">
        <v>3.2766911250755E13</v>
      </c>
      <c r="I866" s="25"/>
      <c r="J866" s="25"/>
      <c r="K866" s="22">
        <v>4.2085703581939E13</v>
      </c>
      <c r="L866" s="25"/>
      <c r="M866" s="25"/>
      <c r="N866" s="22" t="s">
        <v>10977</v>
      </c>
      <c r="O866" s="22" t="s">
        <v>6169</v>
      </c>
      <c r="P866" s="22" t="s">
        <v>10977</v>
      </c>
      <c r="Q866" s="22" t="s">
        <v>6169</v>
      </c>
      <c r="R866" s="22" t="s">
        <v>10978</v>
      </c>
      <c r="S866" s="25"/>
      <c r="T866" s="40" t="s">
        <v>10979</v>
      </c>
      <c r="U866" s="22" t="s">
        <v>10980</v>
      </c>
      <c r="V866" s="25"/>
      <c r="W866" s="22" t="s">
        <v>10981</v>
      </c>
      <c r="X866" s="22" t="s">
        <v>8289</v>
      </c>
      <c r="Y866" s="25"/>
      <c r="Z866" s="25"/>
      <c r="AA866" s="22" t="s">
        <v>8129</v>
      </c>
      <c r="AB866" s="22" t="s">
        <v>8130</v>
      </c>
      <c r="AC866" s="25"/>
      <c r="AD866" s="22" t="s">
        <v>8131</v>
      </c>
      <c r="AE866" s="22" t="s">
        <v>8132</v>
      </c>
      <c r="AF866" s="25"/>
      <c r="AG866" s="22">
        <v>1.0465866907971E13</v>
      </c>
      <c r="AH866" s="22" t="s">
        <v>90</v>
      </c>
      <c r="AI866" s="22">
        <v>7.471113961795E12</v>
      </c>
      <c r="AJ866" s="25"/>
      <c r="AK866" s="25"/>
      <c r="AL866" s="22" t="s">
        <v>8134</v>
      </c>
      <c r="AQ866" s="32" t="s">
        <v>8150</v>
      </c>
      <c r="AR866" s="32" t="b">
        <v>0</v>
      </c>
      <c r="AS866" s="32" t="b">
        <v>0</v>
      </c>
    </row>
    <row r="867">
      <c r="A867" s="21" t="s">
        <v>10976</v>
      </c>
      <c r="B867" s="25"/>
      <c r="C867" s="25"/>
      <c r="D867" s="22" t="s">
        <v>8305</v>
      </c>
      <c r="E867" s="25"/>
      <c r="F867" s="22" t="s">
        <v>8136</v>
      </c>
      <c r="G867" s="25"/>
      <c r="H867" s="22">
        <v>9.520428941635E12</v>
      </c>
      <c r="I867" s="25"/>
      <c r="J867" s="25"/>
      <c r="K867" s="25"/>
      <c r="L867" s="25"/>
      <c r="M867" s="25"/>
      <c r="N867" s="22" t="s">
        <v>10977</v>
      </c>
      <c r="O867" s="22" t="s">
        <v>6169</v>
      </c>
      <c r="P867" s="22" t="s">
        <v>10977</v>
      </c>
      <c r="Q867" s="22" t="s">
        <v>6169</v>
      </c>
      <c r="R867" s="22" t="s">
        <v>10978</v>
      </c>
      <c r="S867" s="25"/>
      <c r="T867" s="40" t="s">
        <v>10979</v>
      </c>
      <c r="U867" s="22" t="s">
        <v>10980</v>
      </c>
      <c r="V867" s="25"/>
      <c r="W867" s="22" t="s">
        <v>10981</v>
      </c>
      <c r="X867" s="22" t="s">
        <v>8289</v>
      </c>
      <c r="Y867" s="25"/>
      <c r="Z867" s="25"/>
      <c r="AA867" s="22" t="s">
        <v>8129</v>
      </c>
      <c r="AB867" s="22" t="s">
        <v>8130</v>
      </c>
      <c r="AC867" s="25"/>
      <c r="AD867" s="25"/>
      <c r="AE867" s="22" t="s">
        <v>8132</v>
      </c>
      <c r="AF867" s="25"/>
      <c r="AG867" s="22">
        <v>1.0465866907971E13</v>
      </c>
      <c r="AH867" s="22" t="s">
        <v>8137</v>
      </c>
      <c r="AI867" s="22">
        <v>7.471113961795E12</v>
      </c>
      <c r="AJ867" s="25"/>
      <c r="AK867" s="25"/>
      <c r="AL867" s="22" t="s">
        <v>8136</v>
      </c>
      <c r="AR867" s="32" t="b">
        <v>0</v>
      </c>
      <c r="AS867" s="32" t="b">
        <v>0</v>
      </c>
    </row>
    <row r="868">
      <c r="A868" s="21" t="s">
        <v>10982</v>
      </c>
      <c r="B868" s="22" t="s">
        <v>8370</v>
      </c>
      <c r="C868" s="22">
        <v>1.0</v>
      </c>
      <c r="D868" s="22" t="s">
        <v>8278</v>
      </c>
      <c r="E868" s="22" t="s">
        <v>8370</v>
      </c>
      <c r="F868" s="22" t="s">
        <v>8155</v>
      </c>
      <c r="G868" s="25"/>
      <c r="H868" s="22">
        <v>3.2767001821507E13</v>
      </c>
      <c r="I868" s="25"/>
      <c r="J868" s="25"/>
      <c r="K868" s="22">
        <v>4.9521175494979E13</v>
      </c>
      <c r="L868" s="25"/>
      <c r="M868" s="25"/>
      <c r="N868" s="22" t="s">
        <v>3674</v>
      </c>
      <c r="O868" s="22" t="s">
        <v>10983</v>
      </c>
      <c r="P868" s="22" t="s">
        <v>3674</v>
      </c>
      <c r="Q868" s="22" t="s">
        <v>10983</v>
      </c>
      <c r="R868" s="22" t="s">
        <v>10984</v>
      </c>
      <c r="S868" s="25"/>
      <c r="T868" s="40" t="s">
        <v>10985</v>
      </c>
      <c r="U868" s="22" t="s">
        <v>10986</v>
      </c>
      <c r="V868" s="22">
        <v>20.0</v>
      </c>
      <c r="W868" s="22" t="s">
        <v>10987</v>
      </c>
      <c r="X868" s="22" t="s">
        <v>8128</v>
      </c>
      <c r="Y868" s="25"/>
      <c r="Z868" s="25"/>
      <c r="AA868" s="22" t="s">
        <v>8129</v>
      </c>
      <c r="AB868" s="22" t="s">
        <v>8130</v>
      </c>
      <c r="AC868" s="25"/>
      <c r="AD868" s="22" t="s">
        <v>8161</v>
      </c>
      <c r="AE868" s="22" t="s">
        <v>8132</v>
      </c>
      <c r="AF868" s="25"/>
      <c r="AG868" s="22">
        <v>1.0465910161731E13</v>
      </c>
      <c r="AH868" s="22" t="s">
        <v>90</v>
      </c>
      <c r="AI868" s="22">
        <v>2.3433204302147E13</v>
      </c>
      <c r="AJ868" s="25"/>
      <c r="AK868" s="25"/>
      <c r="AL868" s="22" t="s">
        <v>8138</v>
      </c>
      <c r="AQ868" s="32" t="s">
        <v>91</v>
      </c>
      <c r="AR868" s="32" t="b">
        <v>0</v>
      </c>
      <c r="AS868" s="32" t="b">
        <v>1</v>
      </c>
    </row>
    <row r="869">
      <c r="A869" s="21" t="s">
        <v>10982</v>
      </c>
      <c r="B869" s="25"/>
      <c r="C869" s="25"/>
      <c r="D869" s="22" t="s">
        <v>8278</v>
      </c>
      <c r="E869" s="25"/>
      <c r="F869" s="22" t="s">
        <v>8149</v>
      </c>
      <c r="G869" s="25"/>
      <c r="H869" s="22">
        <v>9.520456696131E12</v>
      </c>
      <c r="I869" s="25"/>
      <c r="J869" s="25"/>
      <c r="K869" s="25"/>
      <c r="L869" s="25"/>
      <c r="M869" s="25"/>
      <c r="N869" s="22" t="s">
        <v>3674</v>
      </c>
      <c r="O869" s="22" t="s">
        <v>10983</v>
      </c>
      <c r="P869" s="22" t="s">
        <v>3674</v>
      </c>
      <c r="Q869" s="22" t="s">
        <v>10983</v>
      </c>
      <c r="R869" s="22" t="s">
        <v>10984</v>
      </c>
      <c r="S869" s="25"/>
      <c r="T869" s="40" t="s">
        <v>10985</v>
      </c>
      <c r="U869" s="22" t="s">
        <v>10986</v>
      </c>
      <c r="V869" s="22">
        <v>20.0</v>
      </c>
      <c r="W869" s="22" t="s">
        <v>10987</v>
      </c>
      <c r="X869" s="22" t="s">
        <v>8128</v>
      </c>
      <c r="Y869" s="25"/>
      <c r="Z869" s="25"/>
      <c r="AA869" s="22" t="s">
        <v>8129</v>
      </c>
      <c r="AB869" s="22" t="s">
        <v>8130</v>
      </c>
      <c r="AC869" s="25"/>
      <c r="AD869" s="25"/>
      <c r="AE869" s="22" t="s">
        <v>8132</v>
      </c>
      <c r="AF869" s="25"/>
      <c r="AG869" s="22">
        <v>1.0465910161731E13</v>
      </c>
      <c r="AH869" s="22" t="s">
        <v>8137</v>
      </c>
      <c r="AI869" s="22">
        <v>2.3433204302147E13</v>
      </c>
      <c r="AJ869" s="25"/>
      <c r="AK869" s="25"/>
      <c r="AL869" s="22" t="s">
        <v>8149</v>
      </c>
      <c r="AR869" s="32" t="b">
        <v>0</v>
      </c>
      <c r="AS869" s="32" t="b">
        <v>0</v>
      </c>
    </row>
    <row r="870">
      <c r="A870" s="21" t="s">
        <v>10988</v>
      </c>
      <c r="B870" s="22" t="s">
        <v>8140</v>
      </c>
      <c r="C870" s="22">
        <v>1.0</v>
      </c>
      <c r="D870" s="22" t="s">
        <v>8203</v>
      </c>
      <c r="E870" s="22" t="s">
        <v>8140</v>
      </c>
      <c r="F870" s="22" t="s">
        <v>8121</v>
      </c>
      <c r="G870" s="25"/>
      <c r="H870" s="22">
        <v>3.2767004803395E13</v>
      </c>
      <c r="I870" s="25"/>
      <c r="J870" s="25"/>
      <c r="K870" s="22">
        <v>4.2085703581939E13</v>
      </c>
      <c r="L870" s="25"/>
      <c r="M870" s="25"/>
      <c r="N870" s="22" t="s">
        <v>4421</v>
      </c>
      <c r="O870" s="22" t="s">
        <v>10989</v>
      </c>
      <c r="P870" s="22" t="s">
        <v>4421</v>
      </c>
      <c r="Q870" s="22" t="s">
        <v>10990</v>
      </c>
      <c r="R870" s="22" t="s">
        <v>10991</v>
      </c>
      <c r="S870" s="25"/>
      <c r="T870" s="40" t="s">
        <v>10992</v>
      </c>
      <c r="U870" s="22" t="s">
        <v>10993</v>
      </c>
      <c r="V870" s="25"/>
      <c r="W870" s="22" t="s">
        <v>10994</v>
      </c>
      <c r="X870" s="22" t="s">
        <v>8242</v>
      </c>
      <c r="Y870" s="25"/>
      <c r="Z870" s="25"/>
      <c r="AA870" s="22" t="s">
        <v>8129</v>
      </c>
      <c r="AB870" s="22" t="s">
        <v>8130</v>
      </c>
      <c r="AC870" s="25"/>
      <c r="AD870" s="22" t="s">
        <v>8131</v>
      </c>
      <c r="AE870" s="22" t="s">
        <v>8132</v>
      </c>
      <c r="AF870" s="25"/>
      <c r="AG870" s="22">
        <v>1.0465911963971E13</v>
      </c>
      <c r="AH870" s="22" t="s">
        <v>90</v>
      </c>
      <c r="AI870" s="22">
        <v>8.581232623939E12</v>
      </c>
      <c r="AJ870" s="25"/>
      <c r="AK870" s="25"/>
      <c r="AL870" s="22" t="s">
        <v>8134</v>
      </c>
      <c r="AQ870" s="32" t="s">
        <v>8150</v>
      </c>
      <c r="AR870" s="32" t="b">
        <v>0</v>
      </c>
      <c r="AS870" s="32" t="b">
        <v>0</v>
      </c>
    </row>
    <row r="871">
      <c r="A871" s="21" t="s">
        <v>10988</v>
      </c>
      <c r="B871" s="25"/>
      <c r="C871" s="25"/>
      <c r="D871" s="22" t="s">
        <v>8203</v>
      </c>
      <c r="E871" s="25"/>
      <c r="F871" s="22" t="s">
        <v>8136</v>
      </c>
      <c r="G871" s="25"/>
      <c r="H871" s="22">
        <v>9.520457777475E12</v>
      </c>
      <c r="I871" s="25"/>
      <c r="J871" s="25"/>
      <c r="K871" s="25"/>
      <c r="L871" s="25"/>
      <c r="M871" s="25"/>
      <c r="N871" s="22" t="s">
        <v>4421</v>
      </c>
      <c r="O871" s="22" t="s">
        <v>10989</v>
      </c>
      <c r="P871" s="22" t="s">
        <v>4421</v>
      </c>
      <c r="Q871" s="22" t="s">
        <v>10990</v>
      </c>
      <c r="R871" s="22" t="s">
        <v>10991</v>
      </c>
      <c r="S871" s="25"/>
      <c r="T871" s="40" t="s">
        <v>10992</v>
      </c>
      <c r="U871" s="22" t="s">
        <v>10993</v>
      </c>
      <c r="V871" s="25"/>
      <c r="W871" s="22" t="s">
        <v>10994</v>
      </c>
      <c r="X871" s="22" t="s">
        <v>8242</v>
      </c>
      <c r="Y871" s="25"/>
      <c r="Z871" s="25"/>
      <c r="AA871" s="22" t="s">
        <v>8129</v>
      </c>
      <c r="AB871" s="22" t="s">
        <v>8130</v>
      </c>
      <c r="AC871" s="25"/>
      <c r="AD871" s="25"/>
      <c r="AE871" s="22" t="s">
        <v>8132</v>
      </c>
      <c r="AF871" s="25"/>
      <c r="AG871" s="22">
        <v>1.0465911963971E13</v>
      </c>
      <c r="AH871" s="22" t="s">
        <v>8137</v>
      </c>
      <c r="AI871" s="22">
        <v>8.581232623939E12</v>
      </c>
      <c r="AJ871" s="25"/>
      <c r="AK871" s="25"/>
      <c r="AL871" s="22" t="s">
        <v>8136</v>
      </c>
      <c r="AR871" s="32" t="b">
        <v>0</v>
      </c>
      <c r="AS871" s="32" t="b">
        <v>0</v>
      </c>
    </row>
    <row r="872">
      <c r="A872" s="21" t="s">
        <v>10995</v>
      </c>
      <c r="B872" s="22" t="s">
        <v>8211</v>
      </c>
      <c r="C872" s="22">
        <v>1.0</v>
      </c>
      <c r="D872" s="22" t="s">
        <v>8968</v>
      </c>
      <c r="E872" s="22" t="s">
        <v>8211</v>
      </c>
      <c r="F872" s="22" t="s">
        <v>8155</v>
      </c>
      <c r="G872" s="25"/>
      <c r="H872" s="22">
        <v>3.2767205736771E13</v>
      </c>
      <c r="I872" s="25"/>
      <c r="J872" s="25"/>
      <c r="K872" s="22">
        <v>4.7338059727171E13</v>
      </c>
      <c r="L872" s="25"/>
      <c r="M872" s="25"/>
      <c r="N872" s="22" t="s">
        <v>4248</v>
      </c>
      <c r="O872" s="22" t="s">
        <v>10996</v>
      </c>
      <c r="P872" s="22" t="s">
        <v>4248</v>
      </c>
      <c r="Q872" s="22" t="s">
        <v>10996</v>
      </c>
      <c r="R872" s="22" t="s">
        <v>10997</v>
      </c>
      <c r="S872" s="25"/>
      <c r="T872" s="40" t="s">
        <v>10998</v>
      </c>
      <c r="U872" s="22" t="s">
        <v>10999</v>
      </c>
      <c r="V872" s="25"/>
      <c r="W872" s="22" t="s">
        <v>11000</v>
      </c>
      <c r="X872" s="22" t="s">
        <v>8289</v>
      </c>
      <c r="Y872" s="25"/>
      <c r="Z872" s="25"/>
      <c r="AA872" s="22" t="s">
        <v>8129</v>
      </c>
      <c r="AB872" s="22" t="s">
        <v>8130</v>
      </c>
      <c r="AC872" s="25"/>
      <c r="AD872" s="22" t="s">
        <v>8161</v>
      </c>
      <c r="AE872" s="22" t="s">
        <v>8132</v>
      </c>
      <c r="AF872" s="25"/>
      <c r="AG872" s="22">
        <v>1.0466006761795E13</v>
      </c>
      <c r="AH872" s="22" t="s">
        <v>90</v>
      </c>
      <c r="AI872" s="22">
        <v>2.3433281175875E13</v>
      </c>
      <c r="AJ872" s="25"/>
      <c r="AK872" s="25"/>
      <c r="AL872" s="22" t="s">
        <v>8151</v>
      </c>
      <c r="AQ872" s="32" t="s">
        <v>54</v>
      </c>
      <c r="AR872" s="32" t="b">
        <v>0</v>
      </c>
      <c r="AS872" s="32" t="b">
        <v>0</v>
      </c>
    </row>
    <row r="873">
      <c r="A873" s="21" t="s">
        <v>10995</v>
      </c>
      <c r="B873" s="25"/>
      <c r="C873" s="25"/>
      <c r="D873" s="22" t="s">
        <v>8968</v>
      </c>
      <c r="E873" s="25"/>
      <c r="F873" s="22" t="s">
        <v>8149</v>
      </c>
      <c r="G873" s="25"/>
      <c r="H873" s="22">
        <v>9.520519283011E12</v>
      </c>
      <c r="I873" s="25"/>
      <c r="J873" s="25"/>
      <c r="K873" s="25"/>
      <c r="L873" s="25"/>
      <c r="M873" s="25"/>
      <c r="N873" s="22" t="s">
        <v>4248</v>
      </c>
      <c r="O873" s="22" t="s">
        <v>10996</v>
      </c>
      <c r="P873" s="22" t="s">
        <v>4248</v>
      </c>
      <c r="Q873" s="22" t="s">
        <v>10996</v>
      </c>
      <c r="R873" s="22" t="s">
        <v>10997</v>
      </c>
      <c r="S873" s="25"/>
      <c r="T873" s="40" t="s">
        <v>10998</v>
      </c>
      <c r="U873" s="22" t="s">
        <v>10999</v>
      </c>
      <c r="V873" s="25"/>
      <c r="W873" s="22" t="s">
        <v>11000</v>
      </c>
      <c r="X873" s="22" t="s">
        <v>8289</v>
      </c>
      <c r="Y873" s="25"/>
      <c r="Z873" s="25"/>
      <c r="AA873" s="22" t="s">
        <v>8129</v>
      </c>
      <c r="AB873" s="22" t="s">
        <v>8130</v>
      </c>
      <c r="AC873" s="25"/>
      <c r="AD873" s="25"/>
      <c r="AE873" s="22" t="s">
        <v>8132</v>
      </c>
      <c r="AF873" s="25"/>
      <c r="AG873" s="22">
        <v>1.0466006761795E13</v>
      </c>
      <c r="AH873" s="22" t="s">
        <v>8137</v>
      </c>
      <c r="AI873" s="22">
        <v>2.3433281175875E13</v>
      </c>
      <c r="AJ873" s="25"/>
      <c r="AK873" s="25"/>
      <c r="AL873" s="22" t="s">
        <v>8149</v>
      </c>
      <c r="AR873" s="32" t="b">
        <v>0</v>
      </c>
      <c r="AS873" s="32" t="b">
        <v>0</v>
      </c>
    </row>
    <row r="874">
      <c r="A874" s="21" t="s">
        <v>11001</v>
      </c>
      <c r="B874" s="22" t="s">
        <v>8119</v>
      </c>
      <c r="C874" s="22">
        <v>1.0</v>
      </c>
      <c r="D874" s="22" t="s">
        <v>8305</v>
      </c>
      <c r="E874" s="22" t="s">
        <v>8119</v>
      </c>
      <c r="F874" s="22" t="s">
        <v>8121</v>
      </c>
      <c r="G874" s="25"/>
      <c r="H874" s="22">
        <v>3.2766540251459E13</v>
      </c>
      <c r="I874" s="25"/>
      <c r="J874" s="25"/>
      <c r="K874" s="22">
        <v>4.2085703549171E13</v>
      </c>
      <c r="L874" s="25"/>
      <c r="M874" s="25"/>
      <c r="N874" s="22" t="s">
        <v>3722</v>
      </c>
      <c r="O874" s="22" t="s">
        <v>11002</v>
      </c>
      <c r="P874" s="22" t="s">
        <v>3722</v>
      </c>
      <c r="Q874" s="22" t="s">
        <v>11002</v>
      </c>
      <c r="R874" s="22" t="s">
        <v>11003</v>
      </c>
      <c r="S874" s="25"/>
      <c r="T874" s="40" t="s">
        <v>11004</v>
      </c>
      <c r="U874" s="22" t="s">
        <v>11005</v>
      </c>
      <c r="V874" s="25"/>
      <c r="W874" s="22" t="s">
        <v>11006</v>
      </c>
      <c r="X874" s="22" t="s">
        <v>8251</v>
      </c>
      <c r="Y874" s="25"/>
      <c r="Z874" s="25"/>
      <c r="AA874" s="22" t="s">
        <v>8129</v>
      </c>
      <c r="AB874" s="22" t="s">
        <v>8130</v>
      </c>
      <c r="AC874" s="25"/>
      <c r="AD874" s="22" t="s">
        <v>8131</v>
      </c>
      <c r="AE874" s="22" t="s">
        <v>8132</v>
      </c>
      <c r="AF874" s="25"/>
      <c r="AG874" s="22">
        <v>1.0465689141571E13</v>
      </c>
      <c r="AH874" s="22" t="s">
        <v>90</v>
      </c>
      <c r="AI874" s="22">
        <v>7.455500828995E12</v>
      </c>
      <c r="AJ874" s="25"/>
      <c r="AK874" s="25"/>
      <c r="AL874" s="22" t="s">
        <v>8133</v>
      </c>
      <c r="AQ874" s="32" t="s">
        <v>8135</v>
      </c>
      <c r="AR874" s="32" t="b">
        <v>0</v>
      </c>
      <c r="AS874" s="32" t="b">
        <v>0</v>
      </c>
    </row>
    <row r="875">
      <c r="A875" s="21" t="s">
        <v>11001</v>
      </c>
      <c r="B875" s="25"/>
      <c r="C875" s="25"/>
      <c r="D875" s="22" t="s">
        <v>8305</v>
      </c>
      <c r="E875" s="25"/>
      <c r="F875" s="22" t="s">
        <v>8136</v>
      </c>
      <c r="G875" s="25"/>
      <c r="H875" s="22">
        <v>9.520307110211E12</v>
      </c>
      <c r="I875" s="25"/>
      <c r="J875" s="25"/>
      <c r="K875" s="25"/>
      <c r="L875" s="25"/>
      <c r="M875" s="25"/>
      <c r="N875" s="22" t="s">
        <v>3722</v>
      </c>
      <c r="O875" s="22" t="s">
        <v>11002</v>
      </c>
      <c r="P875" s="22" t="s">
        <v>3722</v>
      </c>
      <c r="Q875" s="22" t="s">
        <v>11002</v>
      </c>
      <c r="R875" s="22" t="s">
        <v>11003</v>
      </c>
      <c r="S875" s="25"/>
      <c r="T875" s="40" t="s">
        <v>11004</v>
      </c>
      <c r="U875" s="22" t="s">
        <v>11005</v>
      </c>
      <c r="V875" s="25"/>
      <c r="W875" s="22" t="s">
        <v>11006</v>
      </c>
      <c r="X875" s="22" t="s">
        <v>8251</v>
      </c>
      <c r="Y875" s="25"/>
      <c r="Z875" s="25"/>
      <c r="AA875" s="22" t="s">
        <v>8129</v>
      </c>
      <c r="AB875" s="22" t="s">
        <v>8130</v>
      </c>
      <c r="AC875" s="25"/>
      <c r="AD875" s="25"/>
      <c r="AE875" s="22" t="s">
        <v>8132</v>
      </c>
      <c r="AF875" s="25"/>
      <c r="AG875" s="22">
        <v>1.0465689141571E13</v>
      </c>
      <c r="AH875" s="22" t="s">
        <v>8137</v>
      </c>
      <c r="AI875" s="22">
        <v>7.455500828995E12</v>
      </c>
      <c r="AJ875" s="25"/>
      <c r="AK875" s="25"/>
      <c r="AL875" s="22" t="s">
        <v>8136</v>
      </c>
      <c r="AR875" s="32" t="b">
        <v>0</v>
      </c>
      <c r="AS875" s="32" t="b">
        <v>0</v>
      </c>
    </row>
    <row r="876">
      <c r="A876" s="21" t="s">
        <v>11007</v>
      </c>
      <c r="B876" s="22" t="s">
        <v>8140</v>
      </c>
      <c r="C876" s="22">
        <v>1.0</v>
      </c>
      <c r="D876" s="22" t="s">
        <v>8371</v>
      </c>
      <c r="E876" s="22" t="s">
        <v>8140</v>
      </c>
      <c r="F876" s="22" t="s">
        <v>8121</v>
      </c>
      <c r="G876" s="25"/>
      <c r="H876" s="22">
        <v>3.2767516868931E13</v>
      </c>
      <c r="I876" s="25"/>
      <c r="J876" s="25"/>
      <c r="K876" s="22">
        <v>4.2085703581939E13</v>
      </c>
      <c r="L876" s="25"/>
      <c r="M876" s="25"/>
      <c r="N876" s="22" t="s">
        <v>7042</v>
      </c>
      <c r="O876" s="22" t="s">
        <v>11008</v>
      </c>
      <c r="P876" s="22" t="s">
        <v>7042</v>
      </c>
      <c r="Q876" s="22" t="s">
        <v>7606</v>
      </c>
      <c r="R876" s="22" t="s">
        <v>11009</v>
      </c>
      <c r="S876" s="25"/>
      <c r="T876" s="40" t="s">
        <v>11010</v>
      </c>
      <c r="U876" s="22" t="s">
        <v>11011</v>
      </c>
      <c r="V876" s="25"/>
      <c r="W876" s="22" t="s">
        <v>11012</v>
      </c>
      <c r="X876" s="22" t="s">
        <v>8289</v>
      </c>
      <c r="Y876" s="25"/>
      <c r="Z876" s="25"/>
      <c r="AA876" s="22" t="s">
        <v>8129</v>
      </c>
      <c r="AB876" s="22" t="s">
        <v>8130</v>
      </c>
      <c r="AC876" s="25"/>
      <c r="AD876" s="22" t="s">
        <v>8131</v>
      </c>
      <c r="AE876" s="22" t="s">
        <v>8132</v>
      </c>
      <c r="AF876" s="25"/>
      <c r="AG876" s="22">
        <v>1.0466159427907E13</v>
      </c>
      <c r="AH876" s="22" t="s">
        <v>90</v>
      </c>
      <c r="AI876" s="22">
        <v>8.621595525443E12</v>
      </c>
      <c r="AJ876" s="25"/>
      <c r="AK876" s="25"/>
      <c r="AL876" s="22" t="s">
        <v>8134</v>
      </c>
      <c r="AQ876" s="32" t="s">
        <v>8150</v>
      </c>
      <c r="AR876" s="32" t="b">
        <v>0</v>
      </c>
      <c r="AS876" s="32" t="b">
        <v>0</v>
      </c>
    </row>
    <row r="877">
      <c r="A877" s="21" t="s">
        <v>11007</v>
      </c>
      <c r="B877" s="25"/>
      <c r="C877" s="25"/>
      <c r="D877" s="22" t="s">
        <v>8371</v>
      </c>
      <c r="E877" s="25"/>
      <c r="F877" s="22" t="s">
        <v>8136</v>
      </c>
      <c r="G877" s="25"/>
      <c r="H877" s="22">
        <v>9.520620208451E12</v>
      </c>
      <c r="I877" s="25"/>
      <c r="J877" s="25"/>
      <c r="K877" s="25"/>
      <c r="L877" s="25"/>
      <c r="M877" s="25"/>
      <c r="N877" s="22" t="s">
        <v>7042</v>
      </c>
      <c r="O877" s="22" t="s">
        <v>11008</v>
      </c>
      <c r="P877" s="22" t="s">
        <v>7042</v>
      </c>
      <c r="Q877" s="22" t="s">
        <v>7606</v>
      </c>
      <c r="R877" s="22" t="s">
        <v>11009</v>
      </c>
      <c r="S877" s="25"/>
      <c r="T877" s="40" t="s">
        <v>11010</v>
      </c>
      <c r="U877" s="22" t="s">
        <v>11011</v>
      </c>
      <c r="V877" s="25"/>
      <c r="W877" s="22" t="s">
        <v>11012</v>
      </c>
      <c r="X877" s="22" t="s">
        <v>8289</v>
      </c>
      <c r="Y877" s="25"/>
      <c r="Z877" s="25"/>
      <c r="AA877" s="22" t="s">
        <v>8129</v>
      </c>
      <c r="AB877" s="22" t="s">
        <v>8130</v>
      </c>
      <c r="AC877" s="25"/>
      <c r="AD877" s="25"/>
      <c r="AE877" s="22" t="s">
        <v>8132</v>
      </c>
      <c r="AF877" s="25"/>
      <c r="AG877" s="22">
        <v>1.0466159427907E13</v>
      </c>
      <c r="AH877" s="22" t="s">
        <v>8137</v>
      </c>
      <c r="AI877" s="22">
        <v>8.621595525443E12</v>
      </c>
      <c r="AJ877" s="25"/>
      <c r="AK877" s="25"/>
      <c r="AL877" s="22" t="s">
        <v>8136</v>
      </c>
      <c r="AR877" s="32" t="b">
        <v>0</v>
      </c>
      <c r="AS877" s="32" t="b">
        <v>0</v>
      </c>
    </row>
    <row r="878">
      <c r="A878" s="21" t="s">
        <v>11013</v>
      </c>
      <c r="B878" s="22" t="s">
        <v>8140</v>
      </c>
      <c r="C878" s="22">
        <v>1.0</v>
      </c>
      <c r="D878" s="22" t="s">
        <v>8221</v>
      </c>
      <c r="E878" s="22" t="s">
        <v>8140</v>
      </c>
      <c r="F878" s="22" t="s">
        <v>8121</v>
      </c>
      <c r="G878" s="25"/>
      <c r="H878" s="22">
        <v>3.2767560253763E13</v>
      </c>
      <c r="I878" s="25"/>
      <c r="J878" s="25"/>
      <c r="K878" s="22">
        <v>4.2085703581939E13</v>
      </c>
      <c r="L878" s="25"/>
      <c r="M878" s="25"/>
      <c r="N878" s="22" t="s">
        <v>11014</v>
      </c>
      <c r="O878" s="22" t="s">
        <v>11015</v>
      </c>
      <c r="P878" s="22" t="s">
        <v>11014</v>
      </c>
      <c r="Q878" s="22" t="s">
        <v>11015</v>
      </c>
      <c r="R878" s="22" t="s">
        <v>11016</v>
      </c>
      <c r="S878" s="25"/>
      <c r="T878" s="40" t="s">
        <v>11017</v>
      </c>
      <c r="U878" s="22" t="s">
        <v>11018</v>
      </c>
      <c r="V878" s="25"/>
      <c r="W878" s="22" t="s">
        <v>11019</v>
      </c>
      <c r="X878" s="22" t="s">
        <v>8193</v>
      </c>
      <c r="Y878" s="25"/>
      <c r="Z878" s="25"/>
      <c r="AA878" s="22" t="s">
        <v>8129</v>
      </c>
      <c r="AB878" s="22" t="s">
        <v>8130</v>
      </c>
      <c r="AC878" s="25"/>
      <c r="AD878" s="22" t="s">
        <v>8131</v>
      </c>
      <c r="AE878" s="22" t="s">
        <v>8132</v>
      </c>
      <c r="AF878" s="25"/>
      <c r="AG878" s="22">
        <v>1.0466181185859E13</v>
      </c>
      <c r="AH878" s="22" t="s">
        <v>90</v>
      </c>
      <c r="AI878" s="22">
        <v>6.464263749875E12</v>
      </c>
      <c r="AJ878" s="25"/>
      <c r="AK878" s="25"/>
      <c r="AL878" s="22" t="s">
        <v>8134</v>
      </c>
      <c r="AQ878" s="32" t="s">
        <v>8150</v>
      </c>
      <c r="AR878" s="32" t="b">
        <v>0</v>
      </c>
      <c r="AS878" s="32" t="b">
        <v>0</v>
      </c>
    </row>
    <row r="879">
      <c r="A879" s="21" t="s">
        <v>11013</v>
      </c>
      <c r="B879" s="25"/>
      <c r="C879" s="25"/>
      <c r="D879" s="22" t="s">
        <v>8221</v>
      </c>
      <c r="E879" s="25"/>
      <c r="F879" s="22" t="s">
        <v>8136</v>
      </c>
      <c r="G879" s="25"/>
      <c r="H879" s="22">
        <v>9.520636232003E12</v>
      </c>
      <c r="I879" s="25"/>
      <c r="J879" s="25"/>
      <c r="K879" s="25"/>
      <c r="L879" s="25"/>
      <c r="M879" s="25"/>
      <c r="N879" s="22" t="s">
        <v>11014</v>
      </c>
      <c r="O879" s="22" t="s">
        <v>11015</v>
      </c>
      <c r="P879" s="22" t="s">
        <v>11014</v>
      </c>
      <c r="Q879" s="22" t="s">
        <v>11015</v>
      </c>
      <c r="R879" s="22" t="s">
        <v>11016</v>
      </c>
      <c r="S879" s="25"/>
      <c r="T879" s="40" t="s">
        <v>11017</v>
      </c>
      <c r="U879" s="22" t="s">
        <v>11018</v>
      </c>
      <c r="V879" s="25"/>
      <c r="W879" s="22" t="s">
        <v>11019</v>
      </c>
      <c r="X879" s="22" t="s">
        <v>8193</v>
      </c>
      <c r="Y879" s="25"/>
      <c r="Z879" s="25"/>
      <c r="AA879" s="22" t="s">
        <v>8129</v>
      </c>
      <c r="AB879" s="22" t="s">
        <v>8130</v>
      </c>
      <c r="AC879" s="25"/>
      <c r="AD879" s="25"/>
      <c r="AE879" s="22" t="s">
        <v>8132</v>
      </c>
      <c r="AF879" s="25"/>
      <c r="AG879" s="22">
        <v>1.0466181185859E13</v>
      </c>
      <c r="AH879" s="22" t="s">
        <v>8137</v>
      </c>
      <c r="AI879" s="22">
        <v>6.464263749875E12</v>
      </c>
      <c r="AJ879" s="25"/>
      <c r="AK879" s="25"/>
      <c r="AL879" s="22" t="s">
        <v>8136</v>
      </c>
      <c r="AR879" s="32" t="b">
        <v>0</v>
      </c>
      <c r="AS879" s="32" t="b">
        <v>0</v>
      </c>
    </row>
    <row r="880">
      <c r="A880" s="21" t="s">
        <v>11020</v>
      </c>
      <c r="B880" s="22" t="s">
        <v>8140</v>
      </c>
      <c r="C880" s="22">
        <v>1.0</v>
      </c>
      <c r="D880" s="22" t="s">
        <v>8278</v>
      </c>
      <c r="E880" s="22" t="s">
        <v>8140</v>
      </c>
      <c r="F880" s="22" t="s">
        <v>8121</v>
      </c>
      <c r="G880" s="25"/>
      <c r="H880" s="22">
        <v>3.2767783076163E13</v>
      </c>
      <c r="I880" s="25"/>
      <c r="J880" s="25"/>
      <c r="K880" s="22">
        <v>4.2085703581939E13</v>
      </c>
      <c r="L880" s="25"/>
      <c r="M880" s="25"/>
      <c r="N880" s="22" t="s">
        <v>8032</v>
      </c>
      <c r="O880" s="22" t="s">
        <v>11021</v>
      </c>
      <c r="P880" s="22" t="s">
        <v>8032</v>
      </c>
      <c r="Q880" s="22" t="s">
        <v>11021</v>
      </c>
      <c r="R880" s="22" t="s">
        <v>11022</v>
      </c>
      <c r="S880" s="25"/>
      <c r="T880" s="40" t="s">
        <v>11023</v>
      </c>
      <c r="U880" s="22" t="s">
        <v>11024</v>
      </c>
      <c r="V880" s="25"/>
      <c r="W880" s="22" t="s">
        <v>11025</v>
      </c>
      <c r="X880" s="22" t="s">
        <v>11026</v>
      </c>
      <c r="Y880" s="25"/>
      <c r="Z880" s="25"/>
      <c r="AA880" s="22" t="s">
        <v>8129</v>
      </c>
      <c r="AB880" s="22" t="s">
        <v>8130</v>
      </c>
      <c r="AC880" s="25"/>
      <c r="AD880" s="22" t="s">
        <v>8131</v>
      </c>
      <c r="AE880" s="22" t="s">
        <v>8132</v>
      </c>
      <c r="AF880" s="25"/>
      <c r="AG880" s="22">
        <v>1.0466286076227E13</v>
      </c>
      <c r="AH880" s="22" t="s">
        <v>90</v>
      </c>
      <c r="AI880" s="22">
        <v>6.490630717683E12</v>
      </c>
      <c r="AJ880" s="25"/>
      <c r="AK880" s="25"/>
      <c r="AL880" s="22" t="s">
        <v>8134</v>
      </c>
      <c r="AQ880" s="32" t="s">
        <v>8150</v>
      </c>
      <c r="AR880" s="32" t="b">
        <v>0</v>
      </c>
      <c r="AS880" s="32" t="b">
        <v>0</v>
      </c>
    </row>
    <row r="881">
      <c r="A881" s="21" t="s">
        <v>11020</v>
      </c>
      <c r="B881" s="25"/>
      <c r="C881" s="25"/>
      <c r="D881" s="22" t="s">
        <v>8278</v>
      </c>
      <c r="E881" s="25"/>
      <c r="F881" s="22" t="s">
        <v>8136</v>
      </c>
      <c r="G881" s="25"/>
      <c r="H881" s="22">
        <v>9.520716185923E12</v>
      </c>
      <c r="I881" s="25"/>
      <c r="J881" s="25"/>
      <c r="K881" s="25"/>
      <c r="L881" s="25"/>
      <c r="M881" s="25"/>
      <c r="N881" s="22" t="s">
        <v>8032</v>
      </c>
      <c r="O881" s="22" t="s">
        <v>11021</v>
      </c>
      <c r="P881" s="22" t="s">
        <v>8032</v>
      </c>
      <c r="Q881" s="22" t="s">
        <v>11021</v>
      </c>
      <c r="R881" s="22" t="s">
        <v>11022</v>
      </c>
      <c r="S881" s="25"/>
      <c r="T881" s="40" t="s">
        <v>11023</v>
      </c>
      <c r="U881" s="22" t="s">
        <v>11024</v>
      </c>
      <c r="V881" s="25"/>
      <c r="W881" s="22" t="s">
        <v>11025</v>
      </c>
      <c r="X881" s="22" t="s">
        <v>11026</v>
      </c>
      <c r="Y881" s="25"/>
      <c r="Z881" s="25"/>
      <c r="AA881" s="22" t="s">
        <v>8129</v>
      </c>
      <c r="AB881" s="22" t="s">
        <v>8130</v>
      </c>
      <c r="AC881" s="25"/>
      <c r="AD881" s="25"/>
      <c r="AE881" s="22" t="s">
        <v>8132</v>
      </c>
      <c r="AF881" s="25"/>
      <c r="AG881" s="22">
        <v>1.0466286076227E13</v>
      </c>
      <c r="AH881" s="22" t="s">
        <v>8137</v>
      </c>
      <c r="AI881" s="22">
        <v>6.490630717683E12</v>
      </c>
      <c r="AJ881" s="25"/>
      <c r="AK881" s="25"/>
      <c r="AL881" s="22" t="s">
        <v>8136</v>
      </c>
      <c r="AR881" s="32" t="b">
        <v>0</v>
      </c>
      <c r="AS881" s="32" t="b">
        <v>0</v>
      </c>
    </row>
    <row r="882">
      <c r="A882" s="21" t="s">
        <v>11027</v>
      </c>
      <c r="B882" s="22" t="s">
        <v>8119</v>
      </c>
      <c r="C882" s="22">
        <v>1.0</v>
      </c>
      <c r="D882" s="22" t="s">
        <v>8203</v>
      </c>
      <c r="E882" s="22" t="s">
        <v>8119</v>
      </c>
      <c r="F882" s="22" t="s">
        <v>8121</v>
      </c>
      <c r="G882" s="25"/>
      <c r="H882" s="22">
        <v>3.2768078643523E13</v>
      </c>
      <c r="I882" s="25"/>
      <c r="J882" s="25"/>
      <c r="K882" s="22">
        <v>4.2085703549171E13</v>
      </c>
      <c r="L882" s="25"/>
      <c r="M882" s="25"/>
      <c r="N882" s="22" t="s">
        <v>7278</v>
      </c>
      <c r="O882" s="22" t="s">
        <v>11028</v>
      </c>
      <c r="P882" s="22" t="s">
        <v>7278</v>
      </c>
      <c r="Q882" s="22" t="s">
        <v>4200</v>
      </c>
      <c r="R882" s="22" t="s">
        <v>11029</v>
      </c>
      <c r="S882" s="25"/>
      <c r="T882" s="40" t="s">
        <v>11030</v>
      </c>
      <c r="U882" s="22" t="s">
        <v>11031</v>
      </c>
      <c r="V882" s="25"/>
      <c r="W882" s="22" t="s">
        <v>11032</v>
      </c>
      <c r="X882" s="22" t="s">
        <v>11033</v>
      </c>
      <c r="Y882" s="25"/>
      <c r="Z882" s="25"/>
      <c r="AA882" s="22" t="s">
        <v>8129</v>
      </c>
      <c r="AB882" s="22" t="s">
        <v>8130</v>
      </c>
      <c r="AC882" s="25"/>
      <c r="AD882" s="22" t="s">
        <v>8131</v>
      </c>
      <c r="AE882" s="22" t="s">
        <v>8132</v>
      </c>
      <c r="AF882" s="25"/>
      <c r="AG882" s="22">
        <v>1.0466419245379E13</v>
      </c>
      <c r="AH882" s="22" t="s">
        <v>90</v>
      </c>
      <c r="AI882" s="22">
        <v>6.482114773235E12</v>
      </c>
      <c r="AJ882" s="25"/>
      <c r="AK882" s="25"/>
      <c r="AL882" s="22" t="s">
        <v>8133</v>
      </c>
      <c r="AQ882" s="32" t="s">
        <v>8135</v>
      </c>
      <c r="AR882" s="32" t="b">
        <v>0</v>
      </c>
      <c r="AS882" s="32" t="b">
        <v>0</v>
      </c>
    </row>
    <row r="883">
      <c r="A883" s="21" t="s">
        <v>11027</v>
      </c>
      <c r="B883" s="25"/>
      <c r="C883" s="25"/>
      <c r="D883" s="22" t="s">
        <v>8203</v>
      </c>
      <c r="E883" s="25"/>
      <c r="F883" s="22" t="s">
        <v>8136</v>
      </c>
      <c r="G883" s="25"/>
      <c r="H883" s="22">
        <v>9.520825794883E12</v>
      </c>
      <c r="I883" s="25"/>
      <c r="J883" s="25"/>
      <c r="K883" s="25"/>
      <c r="L883" s="25"/>
      <c r="M883" s="25"/>
      <c r="N883" s="22" t="s">
        <v>7278</v>
      </c>
      <c r="O883" s="22" t="s">
        <v>11028</v>
      </c>
      <c r="P883" s="22" t="s">
        <v>7278</v>
      </c>
      <c r="Q883" s="22" t="s">
        <v>4200</v>
      </c>
      <c r="R883" s="22" t="s">
        <v>11029</v>
      </c>
      <c r="S883" s="25"/>
      <c r="T883" s="40" t="s">
        <v>11030</v>
      </c>
      <c r="U883" s="22" t="s">
        <v>11031</v>
      </c>
      <c r="V883" s="25"/>
      <c r="W883" s="22" t="s">
        <v>11032</v>
      </c>
      <c r="X883" s="22" t="s">
        <v>11033</v>
      </c>
      <c r="Y883" s="25"/>
      <c r="Z883" s="25"/>
      <c r="AA883" s="22" t="s">
        <v>8129</v>
      </c>
      <c r="AB883" s="22" t="s">
        <v>8130</v>
      </c>
      <c r="AC883" s="25"/>
      <c r="AD883" s="25"/>
      <c r="AE883" s="22" t="s">
        <v>8132</v>
      </c>
      <c r="AF883" s="25"/>
      <c r="AG883" s="22">
        <v>1.0466419245379E13</v>
      </c>
      <c r="AH883" s="22" t="s">
        <v>8137</v>
      </c>
      <c r="AI883" s="22">
        <v>6.482114773235E12</v>
      </c>
      <c r="AJ883" s="25"/>
      <c r="AK883" s="25"/>
      <c r="AL883" s="22" t="s">
        <v>8136</v>
      </c>
      <c r="AR883" s="32" t="b">
        <v>0</v>
      </c>
      <c r="AS883" s="32" t="b">
        <v>0</v>
      </c>
    </row>
    <row r="884">
      <c r="A884" s="21" t="s">
        <v>11034</v>
      </c>
      <c r="B884" s="22" t="s">
        <v>8707</v>
      </c>
      <c r="C884" s="22">
        <v>1.0</v>
      </c>
      <c r="D884" s="22" t="s">
        <v>8910</v>
      </c>
      <c r="E884" s="22" t="s">
        <v>8707</v>
      </c>
      <c r="F884" s="22" t="s">
        <v>8155</v>
      </c>
      <c r="G884" s="25"/>
      <c r="H884" s="22">
        <v>3.2768226427203E13</v>
      </c>
      <c r="I884" s="25"/>
      <c r="J884" s="25"/>
      <c r="K884" s="22">
        <v>4.9521175429443E13</v>
      </c>
      <c r="L884" s="25"/>
      <c r="M884" s="25"/>
      <c r="N884" s="22" t="s">
        <v>11035</v>
      </c>
      <c r="O884" s="22" t="s">
        <v>11036</v>
      </c>
      <c r="P884" s="22" t="s">
        <v>11035</v>
      </c>
      <c r="Q884" s="22" t="s">
        <v>11036</v>
      </c>
      <c r="R884" s="22" t="s">
        <v>11037</v>
      </c>
      <c r="S884" s="25"/>
      <c r="T884" s="40" t="s">
        <v>11038</v>
      </c>
      <c r="U884" s="22" t="s">
        <v>11039</v>
      </c>
      <c r="V884" s="25"/>
      <c r="W884" s="22" t="s">
        <v>11040</v>
      </c>
      <c r="X884" s="22" t="s">
        <v>8128</v>
      </c>
      <c r="Y884" s="25"/>
      <c r="Z884" s="25"/>
      <c r="AA884" s="22" t="s">
        <v>8129</v>
      </c>
      <c r="AB884" s="22" t="s">
        <v>8130</v>
      </c>
      <c r="AC884" s="25"/>
      <c r="AD884" s="22" t="s">
        <v>8161</v>
      </c>
      <c r="AE884" s="22" t="s">
        <v>8132</v>
      </c>
      <c r="AF884" s="25"/>
      <c r="AG884" s="22">
        <v>1.0466485633347E13</v>
      </c>
      <c r="AH884" s="22" t="s">
        <v>90</v>
      </c>
      <c r="AI884" s="22">
        <v>2.3433728721219E13</v>
      </c>
      <c r="AJ884" s="25"/>
      <c r="AK884" s="25"/>
      <c r="AL884" s="22" t="s">
        <v>8336</v>
      </c>
      <c r="AQ884" s="32" t="s">
        <v>54</v>
      </c>
      <c r="AR884" s="32" t="b">
        <v>0</v>
      </c>
      <c r="AS884" s="32" t="b">
        <v>1</v>
      </c>
    </row>
    <row r="885">
      <c r="A885" s="21" t="s">
        <v>11034</v>
      </c>
      <c r="B885" s="25"/>
      <c r="C885" s="25"/>
      <c r="D885" s="22" t="s">
        <v>8910</v>
      </c>
      <c r="E885" s="25"/>
      <c r="F885" s="22" t="s">
        <v>8149</v>
      </c>
      <c r="G885" s="25"/>
      <c r="H885" s="22">
        <v>9.520884744515E12</v>
      </c>
      <c r="I885" s="25"/>
      <c r="J885" s="25"/>
      <c r="K885" s="25"/>
      <c r="L885" s="25"/>
      <c r="M885" s="25"/>
      <c r="N885" s="22" t="s">
        <v>11035</v>
      </c>
      <c r="O885" s="22" t="s">
        <v>11036</v>
      </c>
      <c r="P885" s="22" t="s">
        <v>11035</v>
      </c>
      <c r="Q885" s="22" t="s">
        <v>11036</v>
      </c>
      <c r="R885" s="22" t="s">
        <v>11037</v>
      </c>
      <c r="S885" s="25"/>
      <c r="T885" s="40" t="s">
        <v>11038</v>
      </c>
      <c r="U885" s="22" t="s">
        <v>11039</v>
      </c>
      <c r="V885" s="25"/>
      <c r="W885" s="22" t="s">
        <v>11040</v>
      </c>
      <c r="X885" s="22" t="s">
        <v>8128</v>
      </c>
      <c r="Y885" s="25"/>
      <c r="Z885" s="25"/>
      <c r="AA885" s="22" t="s">
        <v>8129</v>
      </c>
      <c r="AB885" s="22" t="s">
        <v>8130</v>
      </c>
      <c r="AC885" s="25"/>
      <c r="AD885" s="25"/>
      <c r="AE885" s="22" t="s">
        <v>8132</v>
      </c>
      <c r="AF885" s="25"/>
      <c r="AG885" s="22">
        <v>1.0466485633347E13</v>
      </c>
      <c r="AH885" s="22" t="s">
        <v>8137</v>
      </c>
      <c r="AI885" s="22">
        <v>2.3433728721219E13</v>
      </c>
      <c r="AJ885" s="25"/>
      <c r="AK885" s="25"/>
      <c r="AL885" s="22" t="s">
        <v>8149</v>
      </c>
      <c r="AR885" s="32" t="b">
        <v>0</v>
      </c>
      <c r="AS885" s="32" t="b">
        <v>0</v>
      </c>
    </row>
    <row r="886">
      <c r="A886" s="21" t="s">
        <v>11041</v>
      </c>
      <c r="B886" s="22" t="s">
        <v>8119</v>
      </c>
      <c r="C886" s="22">
        <v>1.0</v>
      </c>
      <c r="D886" s="22" t="s">
        <v>8212</v>
      </c>
      <c r="E886" s="22" t="s">
        <v>8119</v>
      </c>
      <c r="F886" s="22" t="s">
        <v>8121</v>
      </c>
      <c r="G886" s="25"/>
      <c r="H886" s="22">
        <v>3.2768293044547E13</v>
      </c>
      <c r="I886" s="25"/>
      <c r="J886" s="25"/>
      <c r="K886" s="22">
        <v>4.2085703549171E13</v>
      </c>
      <c r="L886" s="25"/>
      <c r="M886" s="25"/>
      <c r="N886" s="22" t="s">
        <v>3973</v>
      </c>
      <c r="O886" s="22" t="s">
        <v>9441</v>
      </c>
      <c r="P886" s="22" t="s">
        <v>3973</v>
      </c>
      <c r="Q886" s="22" t="s">
        <v>9441</v>
      </c>
      <c r="R886" s="22" t="s">
        <v>11042</v>
      </c>
      <c r="S886" s="25"/>
      <c r="T886" s="40" t="s">
        <v>11043</v>
      </c>
      <c r="U886" s="22" t="s">
        <v>11044</v>
      </c>
      <c r="V886" s="22" t="s">
        <v>11045</v>
      </c>
      <c r="W886" s="22" t="s">
        <v>11046</v>
      </c>
      <c r="X886" s="22" t="s">
        <v>8128</v>
      </c>
      <c r="Y886" s="25"/>
      <c r="Z886" s="25"/>
      <c r="AA886" s="22" t="s">
        <v>8129</v>
      </c>
      <c r="AB886" s="22" t="s">
        <v>8130</v>
      </c>
      <c r="AC886" s="25"/>
      <c r="AD886" s="22" t="s">
        <v>8131</v>
      </c>
      <c r="AE886" s="22" t="s">
        <v>8132</v>
      </c>
      <c r="AF886" s="25"/>
      <c r="AG886" s="22">
        <v>1.0466515157315E13</v>
      </c>
      <c r="AH886" s="22" t="s">
        <v>90</v>
      </c>
      <c r="AI886" s="22">
        <v>2.3433761554755E13</v>
      </c>
      <c r="AJ886" s="25"/>
      <c r="AK886" s="25"/>
      <c r="AL886" s="22" t="s">
        <v>8133</v>
      </c>
      <c r="AQ886" s="32" t="s">
        <v>8135</v>
      </c>
      <c r="AR886" s="32" t="b">
        <v>0</v>
      </c>
      <c r="AS886" s="32" t="b">
        <v>0</v>
      </c>
    </row>
    <row r="887">
      <c r="A887" s="21" t="s">
        <v>11041</v>
      </c>
      <c r="B887" s="25"/>
      <c r="C887" s="25"/>
      <c r="D887" s="22" t="s">
        <v>8212</v>
      </c>
      <c r="E887" s="25"/>
      <c r="F887" s="22" t="s">
        <v>8136</v>
      </c>
      <c r="G887" s="25"/>
      <c r="H887" s="22">
        <v>9.520910893379E12</v>
      </c>
      <c r="I887" s="25"/>
      <c r="J887" s="25"/>
      <c r="K887" s="25"/>
      <c r="L887" s="25"/>
      <c r="M887" s="25"/>
      <c r="N887" s="22" t="s">
        <v>3973</v>
      </c>
      <c r="O887" s="22" t="s">
        <v>9441</v>
      </c>
      <c r="P887" s="22" t="s">
        <v>3973</v>
      </c>
      <c r="Q887" s="22" t="s">
        <v>9441</v>
      </c>
      <c r="R887" s="22" t="s">
        <v>11042</v>
      </c>
      <c r="S887" s="25"/>
      <c r="T887" s="40" t="s">
        <v>11043</v>
      </c>
      <c r="U887" s="22" t="s">
        <v>11044</v>
      </c>
      <c r="V887" s="22" t="s">
        <v>11045</v>
      </c>
      <c r="W887" s="22" t="s">
        <v>11046</v>
      </c>
      <c r="X887" s="22" t="s">
        <v>8128</v>
      </c>
      <c r="Y887" s="25"/>
      <c r="Z887" s="25"/>
      <c r="AA887" s="22" t="s">
        <v>8129</v>
      </c>
      <c r="AB887" s="22" t="s">
        <v>8130</v>
      </c>
      <c r="AC887" s="25"/>
      <c r="AD887" s="25"/>
      <c r="AE887" s="22" t="s">
        <v>8132</v>
      </c>
      <c r="AF887" s="25"/>
      <c r="AG887" s="22">
        <v>1.0466515157315E13</v>
      </c>
      <c r="AH887" s="22" t="s">
        <v>8137</v>
      </c>
      <c r="AI887" s="22">
        <v>2.3433761554755E13</v>
      </c>
      <c r="AJ887" s="25"/>
      <c r="AK887" s="25"/>
      <c r="AL887" s="22" t="s">
        <v>8136</v>
      </c>
      <c r="AR887" s="32" t="b">
        <v>0</v>
      </c>
      <c r="AS887" s="32" t="b">
        <v>0</v>
      </c>
    </row>
    <row r="888">
      <c r="A888" s="21" t="s">
        <v>11047</v>
      </c>
      <c r="B888" s="22" t="s">
        <v>8153</v>
      </c>
      <c r="C888" s="22">
        <v>1.0</v>
      </c>
      <c r="D888" s="22" t="s">
        <v>8581</v>
      </c>
      <c r="E888" s="22" t="s">
        <v>8153</v>
      </c>
      <c r="F888" s="22" t="s">
        <v>8155</v>
      </c>
      <c r="G888" s="25"/>
      <c r="H888" s="22">
        <v>3.2768465568067E13</v>
      </c>
      <c r="I888" s="25"/>
      <c r="J888" s="25"/>
      <c r="K888" s="22">
        <v>4.7338059759939E13</v>
      </c>
      <c r="L888" s="25"/>
      <c r="M888" s="25"/>
      <c r="N888" s="22" t="s">
        <v>11048</v>
      </c>
      <c r="O888" s="22" t="s">
        <v>5572</v>
      </c>
      <c r="P888" s="22" t="s">
        <v>11048</v>
      </c>
      <c r="Q888" s="22" t="s">
        <v>5572</v>
      </c>
      <c r="R888" s="22" t="s">
        <v>11049</v>
      </c>
      <c r="S888" s="25"/>
      <c r="T888" s="40" t="s">
        <v>11050</v>
      </c>
      <c r="U888" s="22" t="s">
        <v>11051</v>
      </c>
      <c r="V888" s="25"/>
      <c r="W888" s="22" t="s">
        <v>11052</v>
      </c>
      <c r="X888" s="22" t="s">
        <v>8747</v>
      </c>
      <c r="Y888" s="25"/>
      <c r="Z888" s="25"/>
      <c r="AA888" s="22" t="s">
        <v>8129</v>
      </c>
      <c r="AB888" s="22" t="s">
        <v>8130</v>
      </c>
      <c r="AC888" s="25"/>
      <c r="AD888" s="22" t="s">
        <v>8161</v>
      </c>
      <c r="AE888" s="22" t="s">
        <v>8132</v>
      </c>
      <c r="AF888" s="25"/>
      <c r="AG888" s="22">
        <v>1.0466591834435E13</v>
      </c>
      <c r="AH888" s="22" t="s">
        <v>90</v>
      </c>
      <c r="AI888" s="22">
        <v>2.3433846423875E13</v>
      </c>
      <c r="AJ888" s="25"/>
      <c r="AK888" s="25"/>
      <c r="AL888" s="22" t="s">
        <v>8162</v>
      </c>
      <c r="AQ888" s="32" t="s">
        <v>55</v>
      </c>
      <c r="AR888" s="32" t="b">
        <v>0</v>
      </c>
      <c r="AS888" s="32" t="b">
        <v>0</v>
      </c>
    </row>
    <row r="889">
      <c r="A889" s="21" t="s">
        <v>11047</v>
      </c>
      <c r="B889" s="25"/>
      <c r="C889" s="25"/>
      <c r="D889" s="22" t="s">
        <v>8581</v>
      </c>
      <c r="E889" s="25"/>
      <c r="F889" s="22" t="s">
        <v>8149</v>
      </c>
      <c r="G889" s="25"/>
      <c r="H889" s="22">
        <v>9.520980459843E12</v>
      </c>
      <c r="I889" s="25"/>
      <c r="J889" s="25"/>
      <c r="K889" s="25"/>
      <c r="L889" s="25"/>
      <c r="M889" s="25"/>
      <c r="N889" s="22" t="s">
        <v>11048</v>
      </c>
      <c r="O889" s="22" t="s">
        <v>5572</v>
      </c>
      <c r="P889" s="22" t="s">
        <v>11048</v>
      </c>
      <c r="Q889" s="22" t="s">
        <v>5572</v>
      </c>
      <c r="R889" s="22" t="s">
        <v>11049</v>
      </c>
      <c r="S889" s="25"/>
      <c r="T889" s="40" t="s">
        <v>11050</v>
      </c>
      <c r="U889" s="22" t="s">
        <v>11051</v>
      </c>
      <c r="V889" s="25"/>
      <c r="W889" s="22" t="s">
        <v>11052</v>
      </c>
      <c r="X889" s="22" t="s">
        <v>8747</v>
      </c>
      <c r="Y889" s="25"/>
      <c r="Z889" s="25"/>
      <c r="AA889" s="22" t="s">
        <v>8129</v>
      </c>
      <c r="AB889" s="22" t="s">
        <v>8130</v>
      </c>
      <c r="AC889" s="25"/>
      <c r="AD889" s="25"/>
      <c r="AE889" s="22" t="s">
        <v>8132</v>
      </c>
      <c r="AF889" s="25"/>
      <c r="AG889" s="22">
        <v>1.0466591834435E13</v>
      </c>
      <c r="AH889" s="22" t="s">
        <v>8137</v>
      </c>
      <c r="AI889" s="22">
        <v>2.3433846423875E13</v>
      </c>
      <c r="AJ889" s="25"/>
      <c r="AK889" s="25"/>
      <c r="AL889" s="22" t="s">
        <v>8149</v>
      </c>
      <c r="AR889" s="32" t="b">
        <v>0</v>
      </c>
      <c r="AS889" s="32" t="b">
        <v>0</v>
      </c>
    </row>
    <row r="890">
      <c r="A890" s="21" t="s">
        <v>11053</v>
      </c>
      <c r="B890" s="22" t="s">
        <v>8429</v>
      </c>
      <c r="C890" s="22">
        <v>1.0</v>
      </c>
      <c r="D890" s="22" t="s">
        <v>8221</v>
      </c>
      <c r="E890" s="22" t="s">
        <v>8429</v>
      </c>
      <c r="F890" s="22" t="s">
        <v>8155</v>
      </c>
      <c r="G890" s="25"/>
      <c r="H890" s="22">
        <v>3.2768513704259E13</v>
      </c>
      <c r="I890" s="25"/>
      <c r="J890" s="25"/>
      <c r="K890" s="22">
        <v>4.9521175527747E13</v>
      </c>
      <c r="L890" s="25"/>
      <c r="M890" s="25"/>
      <c r="N890" s="22" t="s">
        <v>3872</v>
      </c>
      <c r="O890" s="22" t="s">
        <v>11054</v>
      </c>
      <c r="P890" s="22" t="s">
        <v>3872</v>
      </c>
      <c r="Q890" s="22" t="s">
        <v>11054</v>
      </c>
      <c r="R890" s="22" t="s">
        <v>11055</v>
      </c>
      <c r="S890" s="25"/>
      <c r="T890" s="40" t="s">
        <v>11056</v>
      </c>
      <c r="U890" s="22" t="s">
        <v>11057</v>
      </c>
      <c r="V890" s="25"/>
      <c r="W890" s="22" t="s">
        <v>11058</v>
      </c>
      <c r="X890" s="22" t="s">
        <v>8289</v>
      </c>
      <c r="Y890" s="25"/>
      <c r="Z890" s="25"/>
      <c r="AA890" s="22" t="s">
        <v>8129</v>
      </c>
      <c r="AB890" s="22" t="s">
        <v>8130</v>
      </c>
      <c r="AC890" s="25"/>
      <c r="AD890" s="22" t="s">
        <v>8161</v>
      </c>
      <c r="AE890" s="22" t="s">
        <v>8132</v>
      </c>
      <c r="AF890" s="25"/>
      <c r="AG890" s="22">
        <v>1.0466612805955E13</v>
      </c>
      <c r="AH890" s="22" t="s">
        <v>90</v>
      </c>
      <c r="AI890" s="22">
        <v>2.3433869951299E13</v>
      </c>
      <c r="AJ890" s="25"/>
      <c r="AK890" s="25"/>
      <c r="AL890" s="22" t="s">
        <v>8201</v>
      </c>
      <c r="AQ890" s="32" t="s">
        <v>95</v>
      </c>
      <c r="AR890" s="32" t="b">
        <v>0</v>
      </c>
      <c r="AS890" s="32" t="b">
        <v>1</v>
      </c>
    </row>
    <row r="891">
      <c r="A891" s="21" t="s">
        <v>11053</v>
      </c>
      <c r="B891" s="25"/>
      <c r="C891" s="25"/>
      <c r="D891" s="22" t="s">
        <v>8221</v>
      </c>
      <c r="E891" s="25"/>
      <c r="F891" s="22" t="s">
        <v>8149</v>
      </c>
      <c r="G891" s="25"/>
      <c r="H891" s="22">
        <v>9.520999891267E12</v>
      </c>
      <c r="I891" s="25"/>
      <c r="J891" s="25"/>
      <c r="K891" s="25"/>
      <c r="L891" s="25"/>
      <c r="M891" s="25"/>
      <c r="N891" s="22" t="s">
        <v>3872</v>
      </c>
      <c r="O891" s="22" t="s">
        <v>11054</v>
      </c>
      <c r="P891" s="22" t="s">
        <v>3872</v>
      </c>
      <c r="Q891" s="22" t="s">
        <v>11054</v>
      </c>
      <c r="R891" s="22" t="s">
        <v>11055</v>
      </c>
      <c r="S891" s="25"/>
      <c r="T891" s="40" t="s">
        <v>11056</v>
      </c>
      <c r="U891" s="22" t="s">
        <v>11057</v>
      </c>
      <c r="V891" s="25"/>
      <c r="W891" s="22" t="s">
        <v>11058</v>
      </c>
      <c r="X891" s="22" t="s">
        <v>8289</v>
      </c>
      <c r="Y891" s="25"/>
      <c r="Z891" s="25"/>
      <c r="AA891" s="22" t="s">
        <v>8129</v>
      </c>
      <c r="AB891" s="22" t="s">
        <v>8130</v>
      </c>
      <c r="AC891" s="25"/>
      <c r="AD891" s="25"/>
      <c r="AE891" s="22" t="s">
        <v>8132</v>
      </c>
      <c r="AF891" s="25"/>
      <c r="AG891" s="22">
        <v>1.0466612805955E13</v>
      </c>
      <c r="AH891" s="22" t="s">
        <v>8137</v>
      </c>
      <c r="AI891" s="22">
        <v>2.3433869951299E13</v>
      </c>
      <c r="AJ891" s="25"/>
      <c r="AK891" s="25"/>
      <c r="AL891" s="22" t="s">
        <v>8149</v>
      </c>
      <c r="AR891" s="32" t="b">
        <v>0</v>
      </c>
      <c r="AS891" s="32" t="b">
        <v>0</v>
      </c>
    </row>
    <row r="892">
      <c r="A892" s="21" t="s">
        <v>11059</v>
      </c>
      <c r="B892" s="22" t="s">
        <v>8467</v>
      </c>
      <c r="C892" s="22">
        <v>1.0</v>
      </c>
      <c r="D892" s="22" t="s">
        <v>8501</v>
      </c>
      <c r="E892" s="22" t="s">
        <v>8467</v>
      </c>
      <c r="F892" s="22" t="s">
        <v>8155</v>
      </c>
      <c r="G892" s="25"/>
      <c r="H892" s="22">
        <v>3.2768695927107E13</v>
      </c>
      <c r="I892" s="25"/>
      <c r="J892" s="25"/>
      <c r="K892" s="22">
        <v>4.9521175462211E13</v>
      </c>
      <c r="L892" s="25"/>
      <c r="M892" s="25"/>
      <c r="N892" s="22" t="s">
        <v>5127</v>
      </c>
      <c r="O892" s="22" t="s">
        <v>11060</v>
      </c>
      <c r="P892" s="22" t="s">
        <v>5127</v>
      </c>
      <c r="Q892" s="22" t="s">
        <v>11060</v>
      </c>
      <c r="R892" s="22" t="s">
        <v>11061</v>
      </c>
      <c r="S892" s="25"/>
      <c r="T892" s="40" t="s">
        <v>11062</v>
      </c>
      <c r="U892" s="22" t="s">
        <v>11063</v>
      </c>
      <c r="V892" s="25"/>
      <c r="W892" s="22" t="s">
        <v>11064</v>
      </c>
      <c r="X892" s="22" t="s">
        <v>8289</v>
      </c>
      <c r="Y892" s="25"/>
      <c r="Z892" s="25"/>
      <c r="AA892" s="22" t="s">
        <v>8129</v>
      </c>
      <c r="AB892" s="22" t="s">
        <v>8130</v>
      </c>
      <c r="AC892" s="25"/>
      <c r="AD892" s="22" t="s">
        <v>8161</v>
      </c>
      <c r="AE892" s="22" t="s">
        <v>8132</v>
      </c>
      <c r="AF892" s="25"/>
      <c r="AG892" s="22">
        <v>1.0466694660419E13</v>
      </c>
      <c r="AH892" s="22" t="s">
        <v>90</v>
      </c>
      <c r="AI892" s="22">
        <v>2.3433964257603E13</v>
      </c>
      <c r="AJ892" s="25"/>
      <c r="AK892" s="25"/>
      <c r="AL892" s="22" t="s">
        <v>8173</v>
      </c>
      <c r="AQ892" s="32" t="s">
        <v>55</v>
      </c>
      <c r="AR892" s="32" t="b">
        <v>0</v>
      </c>
      <c r="AS892" s="32" t="b">
        <v>1</v>
      </c>
    </row>
    <row r="893">
      <c r="A893" s="21" t="s">
        <v>11059</v>
      </c>
      <c r="B893" s="25"/>
      <c r="C893" s="25"/>
      <c r="D893" s="22" t="s">
        <v>8501</v>
      </c>
      <c r="E893" s="25"/>
      <c r="F893" s="22" t="s">
        <v>8149</v>
      </c>
      <c r="G893" s="25"/>
      <c r="H893" s="22">
        <v>9.521075126595E12</v>
      </c>
      <c r="I893" s="25"/>
      <c r="J893" s="25"/>
      <c r="K893" s="25"/>
      <c r="L893" s="25"/>
      <c r="M893" s="25"/>
      <c r="N893" s="22" t="s">
        <v>5127</v>
      </c>
      <c r="O893" s="22" t="s">
        <v>11060</v>
      </c>
      <c r="P893" s="22" t="s">
        <v>5127</v>
      </c>
      <c r="Q893" s="22" t="s">
        <v>11060</v>
      </c>
      <c r="R893" s="22" t="s">
        <v>11061</v>
      </c>
      <c r="S893" s="25"/>
      <c r="T893" s="40" t="s">
        <v>11062</v>
      </c>
      <c r="U893" s="22" t="s">
        <v>11063</v>
      </c>
      <c r="V893" s="25"/>
      <c r="W893" s="22" t="s">
        <v>11064</v>
      </c>
      <c r="X893" s="22" t="s">
        <v>8289</v>
      </c>
      <c r="Y893" s="25"/>
      <c r="Z893" s="25"/>
      <c r="AA893" s="22" t="s">
        <v>8129</v>
      </c>
      <c r="AB893" s="22" t="s">
        <v>8130</v>
      </c>
      <c r="AC893" s="25"/>
      <c r="AD893" s="25"/>
      <c r="AE893" s="22" t="s">
        <v>8132</v>
      </c>
      <c r="AF893" s="25"/>
      <c r="AG893" s="22">
        <v>1.0466694660419E13</v>
      </c>
      <c r="AH893" s="22" t="s">
        <v>8137</v>
      </c>
      <c r="AI893" s="22">
        <v>2.3433964257603E13</v>
      </c>
      <c r="AJ893" s="25"/>
      <c r="AK893" s="25"/>
      <c r="AL893" s="22" t="s">
        <v>8149</v>
      </c>
      <c r="AR893" s="32" t="b">
        <v>0</v>
      </c>
      <c r="AS893" s="32" t="b">
        <v>0</v>
      </c>
    </row>
    <row r="894">
      <c r="A894" s="21" t="s">
        <v>11065</v>
      </c>
      <c r="B894" s="22" t="s">
        <v>8140</v>
      </c>
      <c r="C894" s="22">
        <v>1.0</v>
      </c>
      <c r="D894" s="22" t="s">
        <v>8305</v>
      </c>
      <c r="E894" s="22" t="s">
        <v>8140</v>
      </c>
      <c r="F894" s="22" t="s">
        <v>8121</v>
      </c>
      <c r="G894" s="25"/>
      <c r="H894" s="22">
        <v>3.2769297383747E13</v>
      </c>
      <c r="I894" s="25"/>
      <c r="J894" s="25"/>
      <c r="K894" s="22">
        <v>4.2085703581939E13</v>
      </c>
      <c r="L894" s="25"/>
      <c r="M894" s="25"/>
      <c r="N894" s="22" t="s">
        <v>11066</v>
      </c>
      <c r="O894" s="22" t="s">
        <v>11067</v>
      </c>
      <c r="P894" s="22" t="s">
        <v>11066</v>
      </c>
      <c r="Q894" s="22" t="s">
        <v>11067</v>
      </c>
      <c r="R894" s="22" t="s">
        <v>11068</v>
      </c>
      <c r="S894" s="25"/>
      <c r="T894" s="40" t="s">
        <v>11069</v>
      </c>
      <c r="U894" s="22" t="s">
        <v>11070</v>
      </c>
      <c r="V894" s="25"/>
      <c r="W894" s="22" t="s">
        <v>11071</v>
      </c>
      <c r="X894" s="22" t="s">
        <v>8289</v>
      </c>
      <c r="Y894" s="25"/>
      <c r="Z894" s="25"/>
      <c r="AA894" s="22" t="s">
        <v>8129</v>
      </c>
      <c r="AB894" s="22" t="s">
        <v>8130</v>
      </c>
      <c r="AC894" s="25"/>
      <c r="AD894" s="22" t="s">
        <v>8131</v>
      </c>
      <c r="AE894" s="22" t="s">
        <v>8132</v>
      </c>
      <c r="AF894" s="25"/>
      <c r="AG894" s="22">
        <v>1.0466951954755E13</v>
      </c>
      <c r="AH894" s="22" t="s">
        <v>90</v>
      </c>
      <c r="AI894" s="22">
        <v>8.607048008003E12</v>
      </c>
      <c r="AJ894" s="25"/>
      <c r="AK894" s="25"/>
      <c r="AL894" s="22" t="s">
        <v>8134</v>
      </c>
      <c r="AQ894" s="32" t="s">
        <v>8150</v>
      </c>
      <c r="AR894" s="32" t="b">
        <v>0</v>
      </c>
      <c r="AS894" s="32" t="b">
        <v>0</v>
      </c>
    </row>
    <row r="895">
      <c r="A895" s="21" t="s">
        <v>11065</v>
      </c>
      <c r="B895" s="25"/>
      <c r="C895" s="25"/>
      <c r="D895" s="22" t="s">
        <v>8305</v>
      </c>
      <c r="E895" s="25"/>
      <c r="F895" s="22" t="s">
        <v>8136</v>
      </c>
      <c r="G895" s="25"/>
      <c r="H895" s="22">
        <v>9.521315283267E12</v>
      </c>
      <c r="I895" s="25"/>
      <c r="J895" s="25"/>
      <c r="K895" s="25"/>
      <c r="L895" s="25"/>
      <c r="M895" s="25"/>
      <c r="N895" s="22" t="s">
        <v>11066</v>
      </c>
      <c r="O895" s="22" t="s">
        <v>11067</v>
      </c>
      <c r="P895" s="22" t="s">
        <v>11066</v>
      </c>
      <c r="Q895" s="22" t="s">
        <v>11067</v>
      </c>
      <c r="R895" s="22" t="s">
        <v>11068</v>
      </c>
      <c r="S895" s="25"/>
      <c r="T895" s="40" t="s">
        <v>11069</v>
      </c>
      <c r="U895" s="22" t="s">
        <v>11070</v>
      </c>
      <c r="V895" s="25"/>
      <c r="W895" s="22" t="s">
        <v>11071</v>
      </c>
      <c r="X895" s="22" t="s">
        <v>8289</v>
      </c>
      <c r="Y895" s="25"/>
      <c r="Z895" s="25"/>
      <c r="AA895" s="22" t="s">
        <v>8129</v>
      </c>
      <c r="AB895" s="22" t="s">
        <v>8130</v>
      </c>
      <c r="AC895" s="25"/>
      <c r="AD895" s="25"/>
      <c r="AE895" s="22" t="s">
        <v>8132</v>
      </c>
      <c r="AF895" s="25"/>
      <c r="AG895" s="22">
        <v>1.0466951954755E13</v>
      </c>
      <c r="AH895" s="22" t="s">
        <v>8137</v>
      </c>
      <c r="AI895" s="22">
        <v>8.607048008003E12</v>
      </c>
      <c r="AJ895" s="25"/>
      <c r="AK895" s="25"/>
      <c r="AL895" s="22" t="s">
        <v>8136</v>
      </c>
      <c r="AR895" s="32" t="b">
        <v>0</v>
      </c>
      <c r="AS895" s="32" t="b">
        <v>0</v>
      </c>
    </row>
    <row r="896">
      <c r="A896" s="21" t="s">
        <v>11072</v>
      </c>
      <c r="B896" s="22" t="s">
        <v>8140</v>
      </c>
      <c r="C896" s="22">
        <v>1.0</v>
      </c>
      <c r="D896" s="22" t="s">
        <v>8501</v>
      </c>
      <c r="E896" s="22" t="s">
        <v>8140</v>
      </c>
      <c r="F896" s="22" t="s">
        <v>8121</v>
      </c>
      <c r="G896" s="25"/>
      <c r="H896" s="22">
        <v>3.2769475412291E13</v>
      </c>
      <c r="I896" s="25"/>
      <c r="J896" s="25"/>
      <c r="K896" s="22">
        <v>4.2085703581939E13</v>
      </c>
      <c r="L896" s="25"/>
      <c r="M896" s="25"/>
      <c r="N896" s="22" t="s">
        <v>11073</v>
      </c>
      <c r="O896" s="22" t="s">
        <v>11074</v>
      </c>
      <c r="P896" s="22" t="s">
        <v>11073</v>
      </c>
      <c r="Q896" s="22" t="s">
        <v>11074</v>
      </c>
      <c r="R896" s="22" t="s">
        <v>11075</v>
      </c>
      <c r="S896" s="25"/>
      <c r="T896" s="40" t="s">
        <v>11076</v>
      </c>
      <c r="U896" s="22" t="s">
        <v>11077</v>
      </c>
      <c r="V896" s="25"/>
      <c r="W896" s="22" t="s">
        <v>11078</v>
      </c>
      <c r="X896" s="22" t="s">
        <v>8289</v>
      </c>
      <c r="Y896" s="25"/>
      <c r="Z896" s="25"/>
      <c r="AA896" s="22" t="s">
        <v>8129</v>
      </c>
      <c r="AB896" s="22" t="s">
        <v>8130</v>
      </c>
      <c r="AC896" s="25"/>
      <c r="AD896" s="22" t="s">
        <v>8131</v>
      </c>
      <c r="AE896" s="22" t="s">
        <v>8132</v>
      </c>
      <c r="AF896" s="25"/>
      <c r="AG896" s="22">
        <v>1.0467042722115E13</v>
      </c>
      <c r="AH896" s="22" t="s">
        <v>90</v>
      </c>
      <c r="AI896" s="22">
        <v>2.3434452238659E13</v>
      </c>
      <c r="AJ896" s="25"/>
      <c r="AK896" s="25"/>
      <c r="AL896" s="22" t="s">
        <v>8134</v>
      </c>
      <c r="AQ896" s="32" t="s">
        <v>8150</v>
      </c>
      <c r="AR896" s="32" t="b">
        <v>0</v>
      </c>
      <c r="AS896" s="32" t="b">
        <v>0</v>
      </c>
    </row>
    <row r="897">
      <c r="A897" s="21" t="s">
        <v>11072</v>
      </c>
      <c r="B897" s="25"/>
      <c r="C897" s="25"/>
      <c r="D897" s="22" t="s">
        <v>8501</v>
      </c>
      <c r="E897" s="25"/>
      <c r="F897" s="22" t="s">
        <v>8136</v>
      </c>
      <c r="G897" s="25"/>
      <c r="H897" s="22">
        <v>9.521395859779E12</v>
      </c>
      <c r="I897" s="25"/>
      <c r="J897" s="25"/>
      <c r="K897" s="25"/>
      <c r="L897" s="25"/>
      <c r="M897" s="25"/>
      <c r="N897" s="22" t="s">
        <v>11073</v>
      </c>
      <c r="O897" s="22" t="s">
        <v>11074</v>
      </c>
      <c r="P897" s="22" t="s">
        <v>11073</v>
      </c>
      <c r="Q897" s="22" t="s">
        <v>11074</v>
      </c>
      <c r="R897" s="22" t="s">
        <v>11075</v>
      </c>
      <c r="S897" s="25"/>
      <c r="T897" s="40" t="s">
        <v>11076</v>
      </c>
      <c r="U897" s="22" t="s">
        <v>11077</v>
      </c>
      <c r="V897" s="25"/>
      <c r="W897" s="22" t="s">
        <v>11078</v>
      </c>
      <c r="X897" s="22" t="s">
        <v>8289</v>
      </c>
      <c r="Y897" s="25"/>
      <c r="Z897" s="25"/>
      <c r="AA897" s="22" t="s">
        <v>8129</v>
      </c>
      <c r="AB897" s="22" t="s">
        <v>8130</v>
      </c>
      <c r="AC897" s="25"/>
      <c r="AD897" s="25"/>
      <c r="AE897" s="22" t="s">
        <v>8132</v>
      </c>
      <c r="AF897" s="25"/>
      <c r="AG897" s="22">
        <v>1.0467042722115E13</v>
      </c>
      <c r="AH897" s="22" t="s">
        <v>8137</v>
      </c>
      <c r="AI897" s="22">
        <v>2.3434452238659E13</v>
      </c>
      <c r="AJ897" s="25"/>
      <c r="AK897" s="25"/>
      <c r="AL897" s="22" t="s">
        <v>8136</v>
      </c>
      <c r="AR897" s="32" t="b">
        <v>0</v>
      </c>
      <c r="AS897" s="32" t="b">
        <v>0</v>
      </c>
    </row>
    <row r="898">
      <c r="A898" s="21" t="s">
        <v>11079</v>
      </c>
      <c r="B898" s="22" t="s">
        <v>8140</v>
      </c>
      <c r="C898" s="22">
        <v>1.0</v>
      </c>
      <c r="D898" s="22" t="s">
        <v>8141</v>
      </c>
      <c r="E898" s="22" t="s">
        <v>8140</v>
      </c>
      <c r="F898" s="22" t="s">
        <v>8121</v>
      </c>
      <c r="G898" s="25"/>
      <c r="H898" s="22">
        <v>3.2769513652547E13</v>
      </c>
      <c r="I898" s="25"/>
      <c r="J898" s="25"/>
      <c r="K898" s="22">
        <v>4.2085703581939E13</v>
      </c>
      <c r="L898" s="25"/>
      <c r="M898" s="25"/>
      <c r="N898" s="22" t="s">
        <v>6293</v>
      </c>
      <c r="O898" s="22" t="s">
        <v>11080</v>
      </c>
      <c r="P898" s="22" t="s">
        <v>6293</v>
      </c>
      <c r="Q898" s="22" t="s">
        <v>11080</v>
      </c>
      <c r="R898" s="22" t="s">
        <v>11081</v>
      </c>
      <c r="S898" s="25"/>
      <c r="T898" s="40" t="s">
        <v>11082</v>
      </c>
      <c r="U898" s="22" t="s">
        <v>11083</v>
      </c>
      <c r="V898" s="25"/>
      <c r="W898" s="22" t="s">
        <v>11084</v>
      </c>
      <c r="X898" s="22" t="s">
        <v>9573</v>
      </c>
      <c r="Y898" s="25"/>
      <c r="Z898" s="25"/>
      <c r="AA898" s="22" t="s">
        <v>8129</v>
      </c>
      <c r="AB898" s="22" t="s">
        <v>8130</v>
      </c>
      <c r="AC898" s="25"/>
      <c r="AD898" s="22" t="s">
        <v>8131</v>
      </c>
      <c r="AE898" s="22" t="s">
        <v>8132</v>
      </c>
      <c r="AF898" s="25"/>
      <c r="AG898" s="22">
        <v>1.0467061629251E13</v>
      </c>
      <c r="AH898" s="22" t="s">
        <v>90</v>
      </c>
      <c r="AI898" s="22">
        <v>2.3434480845123E13</v>
      </c>
      <c r="AJ898" s="25"/>
      <c r="AK898" s="25"/>
      <c r="AL898" s="22" t="s">
        <v>8134</v>
      </c>
      <c r="AQ898" s="32" t="s">
        <v>8150</v>
      </c>
      <c r="AR898" s="32" t="b">
        <v>0</v>
      </c>
      <c r="AS898" s="32" t="b">
        <v>0</v>
      </c>
    </row>
    <row r="899">
      <c r="A899" s="21" t="s">
        <v>11079</v>
      </c>
      <c r="B899" s="25"/>
      <c r="C899" s="25"/>
      <c r="D899" s="22" t="s">
        <v>8141</v>
      </c>
      <c r="E899" s="25"/>
      <c r="F899" s="22" t="s">
        <v>8136</v>
      </c>
      <c r="G899" s="25"/>
      <c r="H899" s="22">
        <v>9.521414078787E12</v>
      </c>
      <c r="I899" s="25"/>
      <c r="J899" s="25"/>
      <c r="K899" s="25"/>
      <c r="L899" s="25"/>
      <c r="M899" s="25"/>
      <c r="N899" s="22" t="s">
        <v>6293</v>
      </c>
      <c r="O899" s="22" t="s">
        <v>11080</v>
      </c>
      <c r="P899" s="22" t="s">
        <v>6293</v>
      </c>
      <c r="Q899" s="22" t="s">
        <v>11080</v>
      </c>
      <c r="R899" s="22" t="s">
        <v>11081</v>
      </c>
      <c r="S899" s="25"/>
      <c r="T899" s="40" t="s">
        <v>11082</v>
      </c>
      <c r="U899" s="22" t="s">
        <v>11083</v>
      </c>
      <c r="V899" s="25"/>
      <c r="W899" s="22" t="s">
        <v>11084</v>
      </c>
      <c r="X899" s="22" t="s">
        <v>9573</v>
      </c>
      <c r="Y899" s="25"/>
      <c r="Z899" s="25"/>
      <c r="AA899" s="22" t="s">
        <v>8129</v>
      </c>
      <c r="AB899" s="22" t="s">
        <v>8130</v>
      </c>
      <c r="AC899" s="25"/>
      <c r="AD899" s="25"/>
      <c r="AE899" s="22" t="s">
        <v>8132</v>
      </c>
      <c r="AF899" s="25"/>
      <c r="AG899" s="22">
        <v>1.0467061629251E13</v>
      </c>
      <c r="AH899" s="22" t="s">
        <v>8137</v>
      </c>
      <c r="AI899" s="22">
        <v>2.3434480845123E13</v>
      </c>
      <c r="AJ899" s="25"/>
      <c r="AK899" s="25"/>
      <c r="AL899" s="22" t="s">
        <v>8136</v>
      </c>
      <c r="AR899" s="32" t="b">
        <v>0</v>
      </c>
      <c r="AS899" s="32" t="b">
        <v>0</v>
      </c>
    </row>
    <row r="900">
      <c r="A900" s="21" t="s">
        <v>11085</v>
      </c>
      <c r="B900" s="22" t="s">
        <v>8140</v>
      </c>
      <c r="C900" s="22">
        <v>1.0</v>
      </c>
      <c r="D900" s="22" t="s">
        <v>8221</v>
      </c>
      <c r="E900" s="22" t="s">
        <v>8140</v>
      </c>
      <c r="F900" s="22" t="s">
        <v>8121</v>
      </c>
      <c r="G900" s="25"/>
      <c r="H900" s="22">
        <v>3.2769627455811E13</v>
      </c>
      <c r="I900" s="25"/>
      <c r="J900" s="25"/>
      <c r="K900" s="22">
        <v>4.2085703581939E13</v>
      </c>
      <c r="L900" s="25"/>
      <c r="M900" s="25"/>
      <c r="N900" s="22" t="s">
        <v>11086</v>
      </c>
      <c r="O900" s="22" t="s">
        <v>11087</v>
      </c>
      <c r="P900" s="22" t="s">
        <v>11086</v>
      </c>
      <c r="Q900" s="22" t="s">
        <v>11087</v>
      </c>
      <c r="R900" s="22" t="s">
        <v>11088</v>
      </c>
      <c r="S900" s="25"/>
      <c r="T900" s="40" t="s">
        <v>11089</v>
      </c>
      <c r="U900" s="22" t="s">
        <v>11090</v>
      </c>
      <c r="V900" s="25"/>
      <c r="W900" s="22" t="s">
        <v>11091</v>
      </c>
      <c r="X900" s="22" t="s">
        <v>8671</v>
      </c>
      <c r="Y900" s="25"/>
      <c r="Z900" s="25"/>
      <c r="AA900" s="22" t="s">
        <v>8129</v>
      </c>
      <c r="AB900" s="22" t="s">
        <v>8130</v>
      </c>
      <c r="AC900" s="25"/>
      <c r="AD900" s="22" t="s">
        <v>8131</v>
      </c>
      <c r="AE900" s="22" t="s">
        <v>8132</v>
      </c>
      <c r="AF900" s="25"/>
      <c r="AG900" s="22">
        <v>1.0467115336003E13</v>
      </c>
      <c r="AH900" s="22" t="s">
        <v>90</v>
      </c>
      <c r="AI900" s="22">
        <v>2.3434554802499E13</v>
      </c>
      <c r="AJ900" s="25"/>
      <c r="AK900" s="25"/>
      <c r="AL900" s="22" t="s">
        <v>8134</v>
      </c>
      <c r="AQ900" s="32" t="s">
        <v>8150</v>
      </c>
      <c r="AR900" s="32" t="b">
        <v>0</v>
      </c>
      <c r="AS900" s="32" t="b">
        <v>0</v>
      </c>
    </row>
    <row r="901">
      <c r="A901" s="21" t="s">
        <v>11085</v>
      </c>
      <c r="B901" s="25"/>
      <c r="C901" s="25"/>
      <c r="D901" s="22" t="s">
        <v>8221</v>
      </c>
      <c r="E901" s="25"/>
      <c r="F901" s="22" t="s">
        <v>8136</v>
      </c>
      <c r="G901" s="25"/>
      <c r="H901" s="22">
        <v>9.521466376515E12</v>
      </c>
      <c r="I901" s="25"/>
      <c r="J901" s="25"/>
      <c r="K901" s="25"/>
      <c r="L901" s="25"/>
      <c r="M901" s="25"/>
      <c r="N901" s="22" t="s">
        <v>11086</v>
      </c>
      <c r="O901" s="22" t="s">
        <v>11087</v>
      </c>
      <c r="P901" s="22" t="s">
        <v>11086</v>
      </c>
      <c r="Q901" s="22" t="s">
        <v>11087</v>
      </c>
      <c r="R901" s="22" t="s">
        <v>11088</v>
      </c>
      <c r="S901" s="25"/>
      <c r="T901" s="40" t="s">
        <v>11089</v>
      </c>
      <c r="U901" s="22" t="s">
        <v>11090</v>
      </c>
      <c r="V901" s="25"/>
      <c r="W901" s="22" t="s">
        <v>11091</v>
      </c>
      <c r="X901" s="22" t="s">
        <v>8671</v>
      </c>
      <c r="Y901" s="25"/>
      <c r="Z901" s="25"/>
      <c r="AA901" s="22" t="s">
        <v>8129</v>
      </c>
      <c r="AB901" s="22" t="s">
        <v>8130</v>
      </c>
      <c r="AC901" s="25"/>
      <c r="AD901" s="25"/>
      <c r="AE901" s="22" t="s">
        <v>8132</v>
      </c>
      <c r="AF901" s="25"/>
      <c r="AG901" s="22">
        <v>1.0467115336003E13</v>
      </c>
      <c r="AH901" s="22" t="s">
        <v>8137</v>
      </c>
      <c r="AI901" s="22">
        <v>2.3434554802499E13</v>
      </c>
      <c r="AJ901" s="25"/>
      <c r="AK901" s="25"/>
      <c r="AL901" s="22" t="s">
        <v>8136</v>
      </c>
      <c r="AR901" s="32" t="b">
        <v>0</v>
      </c>
      <c r="AS901" s="32" t="b">
        <v>0</v>
      </c>
    </row>
    <row r="902">
      <c r="A902" s="21" t="s">
        <v>11092</v>
      </c>
      <c r="B902" s="22" t="s">
        <v>8119</v>
      </c>
      <c r="C902" s="22">
        <v>1.0</v>
      </c>
      <c r="D902" s="22" t="s">
        <v>8212</v>
      </c>
      <c r="E902" s="22" t="s">
        <v>8119</v>
      </c>
      <c r="F902" s="22" t="s">
        <v>8121</v>
      </c>
      <c r="G902" s="25"/>
      <c r="H902" s="22">
        <v>3.2769714356547E13</v>
      </c>
      <c r="I902" s="25"/>
      <c r="J902" s="25"/>
      <c r="K902" s="22">
        <v>4.2085703549171E13</v>
      </c>
      <c r="L902" s="25"/>
      <c r="M902" s="25"/>
      <c r="N902" s="22" t="s">
        <v>11093</v>
      </c>
      <c r="O902" s="22" t="s">
        <v>11094</v>
      </c>
      <c r="P902" s="22" t="s">
        <v>11093</v>
      </c>
      <c r="Q902" s="22" t="s">
        <v>11094</v>
      </c>
      <c r="R902" s="22" t="s">
        <v>11095</v>
      </c>
      <c r="S902" s="25"/>
      <c r="T902" s="40" t="s">
        <v>11096</v>
      </c>
      <c r="U902" s="22" t="s">
        <v>11097</v>
      </c>
      <c r="V902" s="25"/>
      <c r="W902" s="22" t="s">
        <v>11098</v>
      </c>
      <c r="X902" s="22" t="s">
        <v>11099</v>
      </c>
      <c r="Y902" s="25"/>
      <c r="Z902" s="25"/>
      <c r="AA902" s="22" t="s">
        <v>8129</v>
      </c>
      <c r="AB902" s="22" t="s">
        <v>8130</v>
      </c>
      <c r="AC902" s="25"/>
      <c r="AD902" s="22" t="s">
        <v>8131</v>
      </c>
      <c r="AE902" s="22" t="s">
        <v>8132</v>
      </c>
      <c r="AF902" s="25"/>
      <c r="AG902" s="22">
        <v>1.0467154100547E13</v>
      </c>
      <c r="AH902" s="22" t="s">
        <v>90</v>
      </c>
      <c r="AI902" s="22">
        <v>7.476052951363E12</v>
      </c>
      <c r="AJ902" s="25"/>
      <c r="AK902" s="25"/>
      <c r="AL902" s="22" t="s">
        <v>8133</v>
      </c>
      <c r="AQ902" s="32" t="s">
        <v>8135</v>
      </c>
      <c r="AR902" s="32" t="b">
        <v>0</v>
      </c>
      <c r="AS902" s="32" t="b">
        <v>0</v>
      </c>
    </row>
    <row r="903">
      <c r="A903" s="21" t="s">
        <v>11092</v>
      </c>
      <c r="B903" s="25"/>
      <c r="C903" s="25"/>
      <c r="D903" s="22" t="s">
        <v>8212</v>
      </c>
      <c r="E903" s="25"/>
      <c r="F903" s="22" t="s">
        <v>8136</v>
      </c>
      <c r="G903" s="25"/>
      <c r="H903" s="22">
        <v>9.521504616771E12</v>
      </c>
      <c r="I903" s="25"/>
      <c r="J903" s="25"/>
      <c r="K903" s="25"/>
      <c r="L903" s="25"/>
      <c r="M903" s="25"/>
      <c r="N903" s="22" t="s">
        <v>11093</v>
      </c>
      <c r="O903" s="22" t="s">
        <v>11094</v>
      </c>
      <c r="P903" s="22" t="s">
        <v>11093</v>
      </c>
      <c r="Q903" s="22" t="s">
        <v>11094</v>
      </c>
      <c r="R903" s="22" t="s">
        <v>11095</v>
      </c>
      <c r="S903" s="25"/>
      <c r="T903" s="40" t="s">
        <v>11096</v>
      </c>
      <c r="U903" s="22" t="s">
        <v>11097</v>
      </c>
      <c r="V903" s="25"/>
      <c r="W903" s="22" t="s">
        <v>11098</v>
      </c>
      <c r="X903" s="22" t="s">
        <v>11099</v>
      </c>
      <c r="Y903" s="25"/>
      <c r="Z903" s="25"/>
      <c r="AA903" s="22" t="s">
        <v>8129</v>
      </c>
      <c r="AB903" s="22" t="s">
        <v>8130</v>
      </c>
      <c r="AC903" s="25"/>
      <c r="AD903" s="25"/>
      <c r="AE903" s="22" t="s">
        <v>8132</v>
      </c>
      <c r="AF903" s="25"/>
      <c r="AG903" s="22">
        <v>1.0467154100547E13</v>
      </c>
      <c r="AH903" s="22" t="s">
        <v>8137</v>
      </c>
      <c r="AI903" s="22">
        <v>7.476052951363E12</v>
      </c>
      <c r="AJ903" s="25"/>
      <c r="AK903" s="25"/>
      <c r="AL903" s="22" t="s">
        <v>8136</v>
      </c>
      <c r="AR903" s="32" t="b">
        <v>0</v>
      </c>
      <c r="AS903" s="32" t="b">
        <v>0</v>
      </c>
    </row>
    <row r="904">
      <c r="A904" s="21" t="s">
        <v>11100</v>
      </c>
      <c r="B904" s="22" t="s">
        <v>8119</v>
      </c>
      <c r="C904" s="22">
        <v>1.0</v>
      </c>
      <c r="D904" s="22" t="s">
        <v>8141</v>
      </c>
      <c r="E904" s="22" t="s">
        <v>8119</v>
      </c>
      <c r="F904" s="22" t="s">
        <v>8121</v>
      </c>
      <c r="G904" s="25"/>
      <c r="H904" s="22">
        <v>3.2769885765955E13</v>
      </c>
      <c r="I904" s="25"/>
      <c r="J904" s="25"/>
      <c r="K904" s="22">
        <v>4.2085703549171E13</v>
      </c>
      <c r="L904" s="25"/>
      <c r="M904" s="25"/>
      <c r="N904" s="22" t="s">
        <v>11101</v>
      </c>
      <c r="O904" s="22" t="s">
        <v>11102</v>
      </c>
      <c r="P904" s="22" t="s">
        <v>11101</v>
      </c>
      <c r="Q904" s="22" t="s">
        <v>11102</v>
      </c>
      <c r="R904" s="22" t="s">
        <v>11103</v>
      </c>
      <c r="S904" s="25"/>
      <c r="T904" s="40" t="s">
        <v>11104</v>
      </c>
      <c r="U904" s="22" t="s">
        <v>11105</v>
      </c>
      <c r="V904" s="25"/>
      <c r="W904" s="22" t="s">
        <v>11106</v>
      </c>
      <c r="X904" s="22" t="s">
        <v>8242</v>
      </c>
      <c r="Y904" s="25"/>
      <c r="Z904" s="25"/>
      <c r="AA904" s="22" t="s">
        <v>8129</v>
      </c>
      <c r="AB904" s="22" t="s">
        <v>8130</v>
      </c>
      <c r="AC904" s="25"/>
      <c r="AD904" s="22" t="s">
        <v>8131</v>
      </c>
      <c r="AE904" s="22" t="s">
        <v>8132</v>
      </c>
      <c r="AF904" s="25"/>
      <c r="AG904" s="22">
        <v>1.0467231138115E13</v>
      </c>
      <c r="AH904" s="22" t="s">
        <v>90</v>
      </c>
      <c r="AI904" s="22">
        <v>8.603555299651E12</v>
      </c>
      <c r="AJ904" s="25"/>
      <c r="AK904" s="25"/>
      <c r="AL904" s="22" t="s">
        <v>8133</v>
      </c>
      <c r="AQ904" s="32" t="s">
        <v>8135</v>
      </c>
      <c r="AR904" s="32" t="b">
        <v>0</v>
      </c>
      <c r="AS904" s="32" t="b">
        <v>0</v>
      </c>
    </row>
    <row r="905">
      <c r="A905" s="21" t="s">
        <v>11100</v>
      </c>
      <c r="B905" s="25"/>
      <c r="C905" s="25"/>
      <c r="D905" s="22" t="s">
        <v>8141</v>
      </c>
      <c r="E905" s="25"/>
      <c r="F905" s="22" t="s">
        <v>8136</v>
      </c>
      <c r="G905" s="25"/>
      <c r="H905" s="22">
        <v>9.521579196739E12</v>
      </c>
      <c r="I905" s="25"/>
      <c r="J905" s="25"/>
      <c r="K905" s="25"/>
      <c r="L905" s="25"/>
      <c r="M905" s="25"/>
      <c r="N905" s="22" t="s">
        <v>11101</v>
      </c>
      <c r="O905" s="22" t="s">
        <v>11102</v>
      </c>
      <c r="P905" s="22" t="s">
        <v>11101</v>
      </c>
      <c r="Q905" s="22" t="s">
        <v>11102</v>
      </c>
      <c r="R905" s="22" t="s">
        <v>11103</v>
      </c>
      <c r="S905" s="25"/>
      <c r="T905" s="40" t="s">
        <v>11104</v>
      </c>
      <c r="U905" s="22" t="s">
        <v>11105</v>
      </c>
      <c r="V905" s="25"/>
      <c r="W905" s="22" t="s">
        <v>11106</v>
      </c>
      <c r="X905" s="22" t="s">
        <v>8242</v>
      </c>
      <c r="Y905" s="25"/>
      <c r="Z905" s="25"/>
      <c r="AA905" s="22" t="s">
        <v>8129</v>
      </c>
      <c r="AB905" s="22" t="s">
        <v>8130</v>
      </c>
      <c r="AC905" s="25"/>
      <c r="AD905" s="25"/>
      <c r="AE905" s="22" t="s">
        <v>8132</v>
      </c>
      <c r="AF905" s="25"/>
      <c r="AG905" s="22">
        <v>1.0467231138115E13</v>
      </c>
      <c r="AH905" s="22" t="s">
        <v>8137</v>
      </c>
      <c r="AI905" s="22">
        <v>8.603555299651E12</v>
      </c>
      <c r="AJ905" s="25"/>
      <c r="AK905" s="25"/>
      <c r="AL905" s="22" t="s">
        <v>8136</v>
      </c>
      <c r="AR905" s="32" t="b">
        <v>0</v>
      </c>
      <c r="AS905" s="32" t="b">
        <v>0</v>
      </c>
    </row>
    <row r="906">
      <c r="A906" s="21" t="s">
        <v>11107</v>
      </c>
      <c r="B906" s="22" t="s">
        <v>8140</v>
      </c>
      <c r="C906" s="22">
        <v>1.0</v>
      </c>
      <c r="D906" s="22" t="s">
        <v>8141</v>
      </c>
      <c r="E906" s="22" t="s">
        <v>8140</v>
      </c>
      <c r="F906" s="22" t="s">
        <v>8121</v>
      </c>
      <c r="G906" s="25"/>
      <c r="H906" s="22">
        <v>3.2769951498563E13</v>
      </c>
      <c r="I906" s="25"/>
      <c r="J906" s="25"/>
      <c r="K906" s="22">
        <v>4.2085703581939E13</v>
      </c>
      <c r="L906" s="25"/>
      <c r="M906" s="25"/>
      <c r="N906" s="22" t="s">
        <v>11108</v>
      </c>
      <c r="O906" s="22" t="s">
        <v>11109</v>
      </c>
      <c r="P906" s="22" t="s">
        <v>11108</v>
      </c>
      <c r="Q906" s="22" t="s">
        <v>11109</v>
      </c>
      <c r="R906" s="22" t="s">
        <v>11110</v>
      </c>
      <c r="S906" s="25"/>
      <c r="T906" s="40" t="s">
        <v>11111</v>
      </c>
      <c r="U906" s="22" t="s">
        <v>11112</v>
      </c>
      <c r="V906" s="22">
        <v>1.0</v>
      </c>
      <c r="W906" s="22" t="s">
        <v>11113</v>
      </c>
      <c r="X906" s="22" t="s">
        <v>8251</v>
      </c>
      <c r="Y906" s="25"/>
      <c r="Z906" s="25"/>
      <c r="AA906" s="22" t="s">
        <v>8129</v>
      </c>
      <c r="AB906" s="22" t="s">
        <v>8130</v>
      </c>
      <c r="AC906" s="25"/>
      <c r="AD906" s="22" t="s">
        <v>8131</v>
      </c>
      <c r="AE906" s="22" t="s">
        <v>8132</v>
      </c>
      <c r="AF906" s="25"/>
      <c r="AG906" s="22">
        <v>1.0467260498243E13</v>
      </c>
      <c r="AH906" s="22" t="s">
        <v>90</v>
      </c>
      <c r="AI906" s="22">
        <v>2.3434730668355E13</v>
      </c>
      <c r="AJ906" s="25"/>
      <c r="AK906" s="25"/>
      <c r="AL906" s="22" t="s">
        <v>8134</v>
      </c>
      <c r="AQ906" s="32" t="s">
        <v>8150</v>
      </c>
      <c r="AR906" s="32" t="b">
        <v>0</v>
      </c>
      <c r="AS906" s="32" t="b">
        <v>0</v>
      </c>
    </row>
    <row r="907">
      <c r="A907" s="21" t="s">
        <v>11107</v>
      </c>
      <c r="B907" s="25"/>
      <c r="C907" s="25"/>
      <c r="D907" s="22" t="s">
        <v>8141</v>
      </c>
      <c r="E907" s="25"/>
      <c r="F907" s="22" t="s">
        <v>8136</v>
      </c>
      <c r="G907" s="25"/>
      <c r="H907" s="22">
        <v>9.521607639363E12</v>
      </c>
      <c r="I907" s="25"/>
      <c r="J907" s="25"/>
      <c r="K907" s="25"/>
      <c r="L907" s="25"/>
      <c r="M907" s="25"/>
      <c r="N907" s="22" t="s">
        <v>11108</v>
      </c>
      <c r="O907" s="22" t="s">
        <v>11109</v>
      </c>
      <c r="P907" s="22" t="s">
        <v>11108</v>
      </c>
      <c r="Q907" s="22" t="s">
        <v>11109</v>
      </c>
      <c r="R907" s="22" t="s">
        <v>11110</v>
      </c>
      <c r="S907" s="25"/>
      <c r="T907" s="40" t="s">
        <v>11111</v>
      </c>
      <c r="U907" s="22" t="s">
        <v>11112</v>
      </c>
      <c r="V907" s="22">
        <v>1.0</v>
      </c>
      <c r="W907" s="22" t="s">
        <v>11113</v>
      </c>
      <c r="X907" s="22" t="s">
        <v>8251</v>
      </c>
      <c r="Y907" s="25"/>
      <c r="Z907" s="25"/>
      <c r="AA907" s="22" t="s">
        <v>8129</v>
      </c>
      <c r="AB907" s="22" t="s">
        <v>8130</v>
      </c>
      <c r="AC907" s="25"/>
      <c r="AD907" s="25"/>
      <c r="AE907" s="22" t="s">
        <v>8132</v>
      </c>
      <c r="AF907" s="25"/>
      <c r="AG907" s="22">
        <v>1.0467260498243E13</v>
      </c>
      <c r="AH907" s="22" t="s">
        <v>8137</v>
      </c>
      <c r="AI907" s="22">
        <v>2.3434730668355E13</v>
      </c>
      <c r="AJ907" s="25"/>
      <c r="AK907" s="25"/>
      <c r="AL907" s="22" t="s">
        <v>8136</v>
      </c>
      <c r="AR907" s="32" t="b">
        <v>0</v>
      </c>
      <c r="AS907" s="32" t="b">
        <v>0</v>
      </c>
    </row>
    <row r="908">
      <c r="A908" s="21" t="s">
        <v>11114</v>
      </c>
      <c r="B908" s="22" t="s">
        <v>8119</v>
      </c>
      <c r="C908" s="22">
        <v>1.0</v>
      </c>
      <c r="D908" s="22" t="s">
        <v>8221</v>
      </c>
      <c r="E908" s="22" t="s">
        <v>8119</v>
      </c>
      <c r="F908" s="22" t="s">
        <v>8121</v>
      </c>
      <c r="G908" s="25"/>
      <c r="H908" s="22">
        <v>3.2770107834691E13</v>
      </c>
      <c r="I908" s="25"/>
      <c r="J908" s="25"/>
      <c r="K908" s="22">
        <v>4.2085703549171E13</v>
      </c>
      <c r="L908" s="25"/>
      <c r="M908" s="25"/>
      <c r="N908" s="22" t="s">
        <v>3909</v>
      </c>
      <c r="O908" s="22" t="s">
        <v>4841</v>
      </c>
      <c r="P908" s="22" t="s">
        <v>3909</v>
      </c>
      <c r="Q908" s="22" t="s">
        <v>4841</v>
      </c>
      <c r="R908" s="22" t="s">
        <v>11115</v>
      </c>
      <c r="S908" s="25"/>
      <c r="T908" s="40" t="s">
        <v>11116</v>
      </c>
      <c r="U908" s="22" t="s">
        <v>11117</v>
      </c>
      <c r="V908" s="25"/>
      <c r="W908" s="22" t="s">
        <v>11118</v>
      </c>
      <c r="X908" s="22" t="s">
        <v>8380</v>
      </c>
      <c r="Y908" s="25"/>
      <c r="Z908" s="25"/>
      <c r="AA908" s="22" t="s">
        <v>8129</v>
      </c>
      <c r="AB908" s="22" t="s">
        <v>8130</v>
      </c>
      <c r="AC908" s="25"/>
      <c r="AD908" s="22" t="s">
        <v>8131</v>
      </c>
      <c r="AE908" s="22" t="s">
        <v>8132</v>
      </c>
      <c r="AF908" s="25"/>
      <c r="AG908" s="22">
        <v>1.0467329999171E13</v>
      </c>
      <c r="AH908" s="22" t="s">
        <v>90</v>
      </c>
      <c r="AI908" s="22">
        <v>6.477081313523E12</v>
      </c>
      <c r="AJ908" s="25"/>
      <c r="AK908" s="25"/>
      <c r="AL908" s="22" t="s">
        <v>8133</v>
      </c>
      <c r="AQ908" s="32" t="s">
        <v>8135</v>
      </c>
      <c r="AR908" s="32" t="b">
        <v>0</v>
      </c>
      <c r="AS908" s="32" t="b">
        <v>0</v>
      </c>
    </row>
    <row r="909">
      <c r="A909" s="21" t="s">
        <v>11114</v>
      </c>
      <c r="B909" s="25"/>
      <c r="C909" s="25"/>
      <c r="D909" s="22" t="s">
        <v>8221</v>
      </c>
      <c r="E909" s="25"/>
      <c r="F909" s="22" t="s">
        <v>8136</v>
      </c>
      <c r="G909" s="25"/>
      <c r="H909" s="22">
        <v>9.521674715459E12</v>
      </c>
      <c r="I909" s="25"/>
      <c r="J909" s="25"/>
      <c r="K909" s="25"/>
      <c r="L909" s="25"/>
      <c r="M909" s="25"/>
      <c r="N909" s="22" t="s">
        <v>3909</v>
      </c>
      <c r="O909" s="22" t="s">
        <v>4841</v>
      </c>
      <c r="P909" s="22" t="s">
        <v>3909</v>
      </c>
      <c r="Q909" s="22" t="s">
        <v>4841</v>
      </c>
      <c r="R909" s="22" t="s">
        <v>11115</v>
      </c>
      <c r="S909" s="25"/>
      <c r="T909" s="40" t="s">
        <v>11116</v>
      </c>
      <c r="U909" s="22" t="s">
        <v>11117</v>
      </c>
      <c r="V909" s="25"/>
      <c r="W909" s="22" t="s">
        <v>11118</v>
      </c>
      <c r="X909" s="22" t="s">
        <v>8380</v>
      </c>
      <c r="Y909" s="25"/>
      <c r="Z909" s="25"/>
      <c r="AA909" s="22" t="s">
        <v>8129</v>
      </c>
      <c r="AB909" s="22" t="s">
        <v>8130</v>
      </c>
      <c r="AC909" s="25"/>
      <c r="AD909" s="25"/>
      <c r="AE909" s="22" t="s">
        <v>8132</v>
      </c>
      <c r="AF909" s="25"/>
      <c r="AG909" s="22">
        <v>1.0467329999171E13</v>
      </c>
      <c r="AH909" s="22" t="s">
        <v>8137</v>
      </c>
      <c r="AI909" s="22">
        <v>6.477081313523E12</v>
      </c>
      <c r="AJ909" s="25"/>
      <c r="AK909" s="25"/>
      <c r="AL909" s="22" t="s">
        <v>8136</v>
      </c>
      <c r="AR909" s="32" t="b">
        <v>0</v>
      </c>
      <c r="AS909" s="32" t="b">
        <v>0</v>
      </c>
    </row>
    <row r="910">
      <c r="A910" s="21" t="s">
        <v>11119</v>
      </c>
      <c r="B910" s="22" t="s">
        <v>8403</v>
      </c>
      <c r="C910" s="22">
        <v>1.0</v>
      </c>
      <c r="D910" s="22" t="s">
        <v>8141</v>
      </c>
      <c r="E910" s="22" t="s">
        <v>8403</v>
      </c>
      <c r="F910" s="22" t="s">
        <v>8155</v>
      </c>
      <c r="G910" s="25"/>
      <c r="H910" s="22">
        <v>3.2770213314883E13</v>
      </c>
      <c r="I910" s="25"/>
      <c r="J910" s="25"/>
      <c r="K910" s="22">
        <v>4.7338059825475E13</v>
      </c>
      <c r="L910" s="25"/>
      <c r="M910" s="25"/>
      <c r="N910" s="22" t="s">
        <v>9186</v>
      </c>
      <c r="O910" s="22" t="s">
        <v>11120</v>
      </c>
      <c r="P910" s="22" t="s">
        <v>9186</v>
      </c>
      <c r="Q910" s="22" t="s">
        <v>11120</v>
      </c>
      <c r="R910" s="22" t="s">
        <v>11121</v>
      </c>
      <c r="S910" s="25"/>
      <c r="T910" s="40" t="s">
        <v>11122</v>
      </c>
      <c r="U910" s="22" t="s">
        <v>11123</v>
      </c>
      <c r="V910" s="25"/>
      <c r="W910" s="22" t="s">
        <v>11124</v>
      </c>
      <c r="X910" s="22" t="s">
        <v>8319</v>
      </c>
      <c r="Y910" s="25"/>
      <c r="Z910" s="25"/>
      <c r="AA910" s="22" t="s">
        <v>8129</v>
      </c>
      <c r="AB910" s="22" t="s">
        <v>8130</v>
      </c>
      <c r="AC910" s="25"/>
      <c r="AD910" s="22" t="s">
        <v>8161</v>
      </c>
      <c r="AE910" s="22" t="s">
        <v>8132</v>
      </c>
      <c r="AF910" s="25"/>
      <c r="AG910" s="22">
        <v>1.0467376333123E13</v>
      </c>
      <c r="AH910" s="22" t="s">
        <v>90</v>
      </c>
      <c r="AI910" s="22">
        <v>2.3434862133571E13</v>
      </c>
      <c r="AJ910" s="25"/>
      <c r="AK910" s="25"/>
      <c r="AL910" s="22" t="s">
        <v>8243</v>
      </c>
      <c r="AQ910" s="32" t="s">
        <v>95</v>
      </c>
      <c r="AR910" s="32" t="b">
        <v>0</v>
      </c>
      <c r="AS910" s="32" t="b">
        <v>0</v>
      </c>
    </row>
    <row r="911">
      <c r="A911" s="21" t="s">
        <v>11119</v>
      </c>
      <c r="B911" s="25"/>
      <c r="C911" s="25"/>
      <c r="D911" s="22" t="s">
        <v>8141</v>
      </c>
      <c r="E911" s="25"/>
      <c r="F911" s="22" t="s">
        <v>8149</v>
      </c>
      <c r="G911" s="25"/>
      <c r="H911" s="22">
        <v>9.521719345475E12</v>
      </c>
      <c r="I911" s="25"/>
      <c r="J911" s="25"/>
      <c r="K911" s="25"/>
      <c r="L911" s="25"/>
      <c r="M911" s="25"/>
      <c r="N911" s="22" t="s">
        <v>9186</v>
      </c>
      <c r="O911" s="22" t="s">
        <v>11120</v>
      </c>
      <c r="P911" s="22" t="s">
        <v>9186</v>
      </c>
      <c r="Q911" s="22" t="s">
        <v>11120</v>
      </c>
      <c r="R911" s="22" t="s">
        <v>11121</v>
      </c>
      <c r="S911" s="25"/>
      <c r="T911" s="40" t="s">
        <v>11122</v>
      </c>
      <c r="U911" s="22" t="s">
        <v>11123</v>
      </c>
      <c r="V911" s="25"/>
      <c r="W911" s="22" t="s">
        <v>11124</v>
      </c>
      <c r="X911" s="22" t="s">
        <v>8319</v>
      </c>
      <c r="Y911" s="25"/>
      <c r="Z911" s="25"/>
      <c r="AA911" s="22" t="s">
        <v>8129</v>
      </c>
      <c r="AB911" s="22" t="s">
        <v>8130</v>
      </c>
      <c r="AC911" s="25"/>
      <c r="AD911" s="25"/>
      <c r="AE911" s="22" t="s">
        <v>8132</v>
      </c>
      <c r="AF911" s="25"/>
      <c r="AG911" s="22">
        <v>1.0467376333123E13</v>
      </c>
      <c r="AH911" s="22" t="s">
        <v>8137</v>
      </c>
      <c r="AI911" s="22">
        <v>2.3434862133571E13</v>
      </c>
      <c r="AJ911" s="25"/>
      <c r="AK911" s="25"/>
      <c r="AL911" s="22" t="s">
        <v>8149</v>
      </c>
      <c r="AR911" s="32" t="b">
        <v>0</v>
      </c>
      <c r="AS911" s="32" t="b">
        <v>0</v>
      </c>
    </row>
    <row r="912">
      <c r="A912" s="21" t="s">
        <v>11125</v>
      </c>
      <c r="B912" s="22" t="s">
        <v>8119</v>
      </c>
      <c r="C912" s="22">
        <v>1.0</v>
      </c>
      <c r="D912" s="22" t="s">
        <v>8371</v>
      </c>
      <c r="E912" s="22" t="s">
        <v>8119</v>
      </c>
      <c r="F912" s="22" t="s">
        <v>8121</v>
      </c>
      <c r="G912" s="25"/>
      <c r="H912" s="22">
        <v>3.2770276229443E13</v>
      </c>
      <c r="I912" s="25"/>
      <c r="J912" s="25"/>
      <c r="K912" s="22">
        <v>4.2085703549171E13</v>
      </c>
      <c r="L912" s="25"/>
      <c r="M912" s="25"/>
      <c r="N912" s="22" t="s">
        <v>4467</v>
      </c>
      <c r="O912" s="22" t="s">
        <v>11126</v>
      </c>
      <c r="P912" s="22" t="s">
        <v>4467</v>
      </c>
      <c r="Q912" s="22" t="s">
        <v>11126</v>
      </c>
      <c r="R912" s="22" t="s">
        <v>11127</v>
      </c>
      <c r="S912" s="25"/>
      <c r="T912" s="40" t="s">
        <v>11128</v>
      </c>
      <c r="U912" s="22" t="s">
        <v>11129</v>
      </c>
      <c r="V912" s="25"/>
      <c r="W912" s="22" t="s">
        <v>11130</v>
      </c>
      <c r="X912" s="22" t="s">
        <v>11131</v>
      </c>
      <c r="Y912" s="25"/>
      <c r="Z912" s="25"/>
      <c r="AA912" s="22" t="s">
        <v>8129</v>
      </c>
      <c r="AB912" s="22" t="s">
        <v>8130</v>
      </c>
      <c r="AC912" s="25"/>
      <c r="AD912" s="22" t="s">
        <v>8131</v>
      </c>
      <c r="AE912" s="22" t="s">
        <v>8132</v>
      </c>
      <c r="AF912" s="25"/>
      <c r="AG912" s="22">
        <v>1.0467405136195E13</v>
      </c>
      <c r="AH912" s="22" t="s">
        <v>90</v>
      </c>
      <c r="AI912" s="22">
        <v>8.681003843907E12</v>
      </c>
      <c r="AJ912" s="25"/>
      <c r="AK912" s="25"/>
      <c r="AL912" s="22" t="s">
        <v>8133</v>
      </c>
      <c r="AQ912" s="32" t="s">
        <v>8135</v>
      </c>
      <c r="AR912" s="32" t="b">
        <v>0</v>
      </c>
      <c r="AS912" s="32" t="b">
        <v>0</v>
      </c>
    </row>
    <row r="913">
      <c r="A913" s="21" t="s">
        <v>11125</v>
      </c>
      <c r="B913" s="25"/>
      <c r="C913" s="25"/>
      <c r="D913" s="22" t="s">
        <v>8371</v>
      </c>
      <c r="E913" s="25"/>
      <c r="F913" s="22" t="s">
        <v>8136</v>
      </c>
      <c r="G913" s="25"/>
      <c r="H913" s="22">
        <v>9.521747231043E12</v>
      </c>
      <c r="I913" s="25"/>
      <c r="J913" s="25"/>
      <c r="K913" s="25"/>
      <c r="L913" s="25"/>
      <c r="M913" s="25"/>
      <c r="N913" s="22" t="s">
        <v>4467</v>
      </c>
      <c r="O913" s="22" t="s">
        <v>11126</v>
      </c>
      <c r="P913" s="22" t="s">
        <v>4467</v>
      </c>
      <c r="Q913" s="22" t="s">
        <v>11126</v>
      </c>
      <c r="R913" s="22" t="s">
        <v>11127</v>
      </c>
      <c r="S913" s="25"/>
      <c r="T913" s="40" t="s">
        <v>11128</v>
      </c>
      <c r="U913" s="22" t="s">
        <v>11129</v>
      </c>
      <c r="V913" s="25"/>
      <c r="W913" s="22" t="s">
        <v>11130</v>
      </c>
      <c r="X913" s="22" t="s">
        <v>11131</v>
      </c>
      <c r="Y913" s="25"/>
      <c r="Z913" s="25"/>
      <c r="AA913" s="22" t="s">
        <v>8129</v>
      </c>
      <c r="AB913" s="22" t="s">
        <v>8130</v>
      </c>
      <c r="AC913" s="25"/>
      <c r="AD913" s="25"/>
      <c r="AE913" s="22" t="s">
        <v>8132</v>
      </c>
      <c r="AF913" s="25"/>
      <c r="AG913" s="22">
        <v>1.0467405136195E13</v>
      </c>
      <c r="AH913" s="22" t="s">
        <v>8137</v>
      </c>
      <c r="AI913" s="22">
        <v>8.681003843907E12</v>
      </c>
      <c r="AJ913" s="25"/>
      <c r="AK913" s="25"/>
      <c r="AL913" s="22" t="s">
        <v>8136</v>
      </c>
      <c r="AR913" s="32" t="b">
        <v>0</v>
      </c>
      <c r="AS913" s="32" t="b">
        <v>0</v>
      </c>
    </row>
    <row r="914">
      <c r="A914" s="21" t="s">
        <v>11132</v>
      </c>
      <c r="B914" s="22" t="s">
        <v>8262</v>
      </c>
      <c r="C914" s="22">
        <v>1.0</v>
      </c>
      <c r="D914" s="22" t="s">
        <v>8212</v>
      </c>
      <c r="E914" s="22" t="s">
        <v>8262</v>
      </c>
      <c r="F914" s="22" t="s">
        <v>8155</v>
      </c>
      <c r="G914" s="25"/>
      <c r="H914" s="22">
        <v>3.2766543692099E13</v>
      </c>
      <c r="I914" s="25"/>
      <c r="J914" s="25"/>
      <c r="K914" s="22">
        <v>4.7338059792707E13</v>
      </c>
      <c r="L914" s="25"/>
      <c r="M914" s="25"/>
      <c r="N914" s="22" t="s">
        <v>3959</v>
      </c>
      <c r="O914" s="22" t="s">
        <v>11133</v>
      </c>
      <c r="P914" s="22" t="s">
        <v>3959</v>
      </c>
      <c r="Q914" s="22" t="s">
        <v>11133</v>
      </c>
      <c r="R914" s="22" t="s">
        <v>11134</v>
      </c>
      <c r="S914" s="25"/>
      <c r="T914" s="40" t="s">
        <v>11135</v>
      </c>
      <c r="U914" s="22" t="s">
        <v>11136</v>
      </c>
      <c r="V914" s="25"/>
      <c r="W914" s="22" t="s">
        <v>11137</v>
      </c>
      <c r="X914" s="22" t="s">
        <v>8289</v>
      </c>
      <c r="Y914" s="25"/>
      <c r="Z914" s="25"/>
      <c r="AA914" s="22" t="s">
        <v>8129</v>
      </c>
      <c r="AB914" s="22" t="s">
        <v>8130</v>
      </c>
      <c r="AC914" s="25"/>
      <c r="AD914" s="22" t="s">
        <v>8161</v>
      </c>
      <c r="AE914" s="22" t="s">
        <v>8132</v>
      </c>
      <c r="AF914" s="25"/>
      <c r="AG914" s="22">
        <v>1.0465690845507E13</v>
      </c>
      <c r="AH914" s="22" t="s">
        <v>90</v>
      </c>
      <c r="AI914" s="22">
        <v>2.3433026666819E13</v>
      </c>
      <c r="AJ914" s="25"/>
      <c r="AK914" s="25"/>
      <c r="AL914" s="22" t="s">
        <v>8269</v>
      </c>
      <c r="AQ914" s="32" t="s">
        <v>91</v>
      </c>
      <c r="AR914" s="32" t="b">
        <v>0</v>
      </c>
      <c r="AS914" s="32" t="b">
        <v>0</v>
      </c>
    </row>
    <row r="915">
      <c r="A915" s="21" t="s">
        <v>11132</v>
      </c>
      <c r="B915" s="25"/>
      <c r="C915" s="25"/>
      <c r="D915" s="22" t="s">
        <v>8212</v>
      </c>
      <c r="E915" s="25"/>
      <c r="F915" s="22" t="s">
        <v>8149</v>
      </c>
      <c r="G915" s="25"/>
      <c r="H915" s="22">
        <v>9.520308453699E12</v>
      </c>
      <c r="I915" s="25"/>
      <c r="J915" s="25"/>
      <c r="K915" s="25"/>
      <c r="L915" s="25"/>
      <c r="M915" s="25"/>
      <c r="N915" s="22" t="s">
        <v>3959</v>
      </c>
      <c r="O915" s="22" t="s">
        <v>11133</v>
      </c>
      <c r="P915" s="22" t="s">
        <v>3959</v>
      </c>
      <c r="Q915" s="22" t="s">
        <v>11133</v>
      </c>
      <c r="R915" s="22" t="s">
        <v>11134</v>
      </c>
      <c r="S915" s="25"/>
      <c r="T915" s="40" t="s">
        <v>11135</v>
      </c>
      <c r="U915" s="22" t="s">
        <v>11136</v>
      </c>
      <c r="V915" s="25"/>
      <c r="W915" s="22" t="s">
        <v>11137</v>
      </c>
      <c r="X915" s="22" t="s">
        <v>8289</v>
      </c>
      <c r="Y915" s="25"/>
      <c r="Z915" s="25"/>
      <c r="AA915" s="22" t="s">
        <v>8129</v>
      </c>
      <c r="AB915" s="22" t="s">
        <v>8130</v>
      </c>
      <c r="AC915" s="25"/>
      <c r="AD915" s="25"/>
      <c r="AE915" s="22" t="s">
        <v>8132</v>
      </c>
      <c r="AF915" s="25"/>
      <c r="AG915" s="22">
        <v>1.0465690845507E13</v>
      </c>
      <c r="AH915" s="22" t="s">
        <v>8137</v>
      </c>
      <c r="AI915" s="22">
        <v>2.3433026666819E13</v>
      </c>
      <c r="AJ915" s="25"/>
      <c r="AK915" s="25"/>
      <c r="AL915" s="22" t="s">
        <v>8149</v>
      </c>
      <c r="AR915" s="32" t="b">
        <v>0</v>
      </c>
      <c r="AS915" s="32" t="b">
        <v>0</v>
      </c>
    </row>
    <row r="916">
      <c r="A916" s="21" t="s">
        <v>11138</v>
      </c>
      <c r="B916" s="22" t="s">
        <v>8140</v>
      </c>
      <c r="C916" s="22">
        <v>1.0</v>
      </c>
      <c r="D916" s="22" t="s">
        <v>8221</v>
      </c>
      <c r="E916" s="22" t="s">
        <v>8140</v>
      </c>
      <c r="F916" s="22" t="s">
        <v>8121</v>
      </c>
      <c r="G916" s="25"/>
      <c r="H916" s="22">
        <v>3.2766544642371E13</v>
      </c>
      <c r="I916" s="25"/>
      <c r="J916" s="25"/>
      <c r="K916" s="22">
        <v>4.2085703581939E13</v>
      </c>
      <c r="L916" s="25"/>
      <c r="M916" s="25"/>
      <c r="N916" s="22" t="s">
        <v>11139</v>
      </c>
      <c r="O916" s="22" t="s">
        <v>4622</v>
      </c>
      <c r="P916" s="22" t="s">
        <v>11139</v>
      </c>
      <c r="Q916" s="22" t="s">
        <v>3963</v>
      </c>
      <c r="R916" s="22" t="s">
        <v>11140</v>
      </c>
      <c r="S916" s="25"/>
      <c r="T916" s="40" t="s">
        <v>11141</v>
      </c>
      <c r="U916" s="22" t="s">
        <v>11142</v>
      </c>
      <c r="V916" s="25"/>
      <c r="W916" s="22" t="s">
        <v>11143</v>
      </c>
      <c r="X916" s="22" t="s">
        <v>9996</v>
      </c>
      <c r="Y916" s="25"/>
      <c r="Z916" s="25"/>
      <c r="AA916" s="22" t="s">
        <v>8129</v>
      </c>
      <c r="AB916" s="22" t="s">
        <v>8130</v>
      </c>
      <c r="AC916" s="25"/>
      <c r="AD916" s="22" t="s">
        <v>8131</v>
      </c>
      <c r="AE916" s="22" t="s">
        <v>8132</v>
      </c>
      <c r="AF916" s="25"/>
      <c r="AG916" s="22">
        <v>1.0465691238723E13</v>
      </c>
      <c r="AH916" s="22" t="s">
        <v>90</v>
      </c>
      <c r="AI916" s="22">
        <v>8.627020136771E12</v>
      </c>
      <c r="AJ916" s="25"/>
      <c r="AK916" s="25"/>
      <c r="AL916" s="22" t="s">
        <v>8134</v>
      </c>
      <c r="AQ916" s="32" t="s">
        <v>8150</v>
      </c>
      <c r="AR916" s="32" t="b">
        <v>0</v>
      </c>
      <c r="AS916" s="32" t="b">
        <v>0</v>
      </c>
    </row>
    <row r="917">
      <c r="A917" s="21" t="s">
        <v>11138</v>
      </c>
      <c r="B917" s="25"/>
      <c r="C917" s="25"/>
      <c r="D917" s="22" t="s">
        <v>8221</v>
      </c>
      <c r="E917" s="25"/>
      <c r="F917" s="22" t="s">
        <v>8136</v>
      </c>
      <c r="G917" s="25"/>
      <c r="H917" s="22">
        <v>9.520308781379E12</v>
      </c>
      <c r="I917" s="25"/>
      <c r="J917" s="25"/>
      <c r="K917" s="25"/>
      <c r="L917" s="25"/>
      <c r="M917" s="25"/>
      <c r="N917" s="22" t="s">
        <v>11139</v>
      </c>
      <c r="O917" s="22" t="s">
        <v>4622</v>
      </c>
      <c r="P917" s="22" t="s">
        <v>11139</v>
      </c>
      <c r="Q917" s="22" t="s">
        <v>3963</v>
      </c>
      <c r="R917" s="22" t="s">
        <v>11140</v>
      </c>
      <c r="S917" s="25"/>
      <c r="T917" s="40" t="s">
        <v>11141</v>
      </c>
      <c r="U917" s="22" t="s">
        <v>11142</v>
      </c>
      <c r="V917" s="25"/>
      <c r="W917" s="22" t="s">
        <v>11143</v>
      </c>
      <c r="X917" s="22" t="s">
        <v>9996</v>
      </c>
      <c r="Y917" s="25"/>
      <c r="Z917" s="25"/>
      <c r="AA917" s="22" t="s">
        <v>8129</v>
      </c>
      <c r="AB917" s="22" t="s">
        <v>8130</v>
      </c>
      <c r="AC917" s="25"/>
      <c r="AD917" s="25"/>
      <c r="AE917" s="22" t="s">
        <v>8132</v>
      </c>
      <c r="AF917" s="25"/>
      <c r="AG917" s="22">
        <v>1.0465691238723E13</v>
      </c>
      <c r="AH917" s="22" t="s">
        <v>8137</v>
      </c>
      <c r="AI917" s="22">
        <v>8.627020136771E12</v>
      </c>
      <c r="AJ917" s="25"/>
      <c r="AK917" s="25"/>
      <c r="AL917" s="22" t="s">
        <v>8136</v>
      </c>
      <c r="AR917" s="32" t="b">
        <v>0</v>
      </c>
      <c r="AS917" s="32" t="b">
        <v>0</v>
      </c>
    </row>
    <row r="918">
      <c r="A918" s="21" t="s">
        <v>11144</v>
      </c>
      <c r="B918" s="22" t="s">
        <v>8370</v>
      </c>
      <c r="C918" s="22">
        <v>1.0</v>
      </c>
      <c r="D918" s="22" t="s">
        <v>8203</v>
      </c>
      <c r="E918" s="22" t="s">
        <v>8370</v>
      </c>
      <c r="F918" s="22" t="s">
        <v>8155</v>
      </c>
      <c r="G918" s="25"/>
      <c r="H918" s="22">
        <v>3.2767287787843E13</v>
      </c>
      <c r="I918" s="25"/>
      <c r="J918" s="25"/>
      <c r="K918" s="22">
        <v>4.9521175494979E13</v>
      </c>
      <c r="L918" s="25"/>
      <c r="M918" s="25"/>
      <c r="N918" s="22" t="s">
        <v>4424</v>
      </c>
      <c r="O918" s="22" t="s">
        <v>11145</v>
      </c>
      <c r="P918" s="22" t="s">
        <v>4424</v>
      </c>
      <c r="Q918" s="22" t="s">
        <v>11146</v>
      </c>
      <c r="R918" s="22" t="s">
        <v>11147</v>
      </c>
      <c r="S918" s="25"/>
      <c r="T918" s="40" t="s">
        <v>11148</v>
      </c>
      <c r="U918" s="22" t="s">
        <v>11149</v>
      </c>
      <c r="V918" s="25"/>
      <c r="W918" s="22" t="s">
        <v>11150</v>
      </c>
      <c r="X918" s="22" t="s">
        <v>8380</v>
      </c>
      <c r="Y918" s="25"/>
      <c r="Z918" s="25"/>
      <c r="AA918" s="22" t="s">
        <v>8129</v>
      </c>
      <c r="AB918" s="22" t="s">
        <v>8130</v>
      </c>
      <c r="AC918" s="25"/>
      <c r="AD918" s="22" t="s">
        <v>8161</v>
      </c>
      <c r="AE918" s="22" t="s">
        <v>8132</v>
      </c>
      <c r="AF918" s="25"/>
      <c r="AG918" s="22">
        <v>1.0466047000899E13</v>
      </c>
      <c r="AH918" s="22" t="s">
        <v>90</v>
      </c>
      <c r="AI918" s="22">
        <v>8.550291177795E12</v>
      </c>
      <c r="AJ918" s="25"/>
      <c r="AK918" s="25"/>
      <c r="AL918" s="22" t="s">
        <v>8138</v>
      </c>
      <c r="AQ918" s="32" t="s">
        <v>91</v>
      </c>
      <c r="AR918" s="32" t="b">
        <v>0</v>
      </c>
      <c r="AS918" s="32" t="b">
        <v>1</v>
      </c>
    </row>
    <row r="919">
      <c r="A919" s="21" t="s">
        <v>11144</v>
      </c>
      <c r="B919" s="25"/>
      <c r="C919" s="25"/>
      <c r="D919" s="22" t="s">
        <v>8203</v>
      </c>
      <c r="E919" s="25"/>
      <c r="F919" s="22" t="s">
        <v>8149</v>
      </c>
      <c r="G919" s="25"/>
      <c r="H919" s="22">
        <v>9.520545988931E12</v>
      </c>
      <c r="I919" s="25"/>
      <c r="J919" s="25"/>
      <c r="K919" s="25"/>
      <c r="L919" s="25"/>
      <c r="M919" s="25"/>
      <c r="N919" s="22" t="s">
        <v>4424</v>
      </c>
      <c r="O919" s="22" t="s">
        <v>11145</v>
      </c>
      <c r="P919" s="22" t="s">
        <v>4424</v>
      </c>
      <c r="Q919" s="22" t="s">
        <v>11146</v>
      </c>
      <c r="R919" s="22" t="s">
        <v>11147</v>
      </c>
      <c r="S919" s="25"/>
      <c r="T919" s="40" t="s">
        <v>11148</v>
      </c>
      <c r="U919" s="22" t="s">
        <v>11149</v>
      </c>
      <c r="V919" s="25"/>
      <c r="W919" s="22" t="s">
        <v>11150</v>
      </c>
      <c r="X919" s="22" t="s">
        <v>8380</v>
      </c>
      <c r="Y919" s="25"/>
      <c r="Z919" s="25"/>
      <c r="AA919" s="22" t="s">
        <v>8129</v>
      </c>
      <c r="AB919" s="22" t="s">
        <v>8130</v>
      </c>
      <c r="AC919" s="25"/>
      <c r="AD919" s="25"/>
      <c r="AE919" s="22" t="s">
        <v>8132</v>
      </c>
      <c r="AF919" s="25"/>
      <c r="AG919" s="22">
        <v>1.0466047000899E13</v>
      </c>
      <c r="AH919" s="22" t="s">
        <v>8137</v>
      </c>
      <c r="AI919" s="22">
        <v>8.550291177795E12</v>
      </c>
      <c r="AJ919" s="25"/>
      <c r="AK919" s="25"/>
      <c r="AL919" s="22" t="s">
        <v>8149</v>
      </c>
      <c r="AR919" s="32" t="b">
        <v>0</v>
      </c>
      <c r="AS919" s="32" t="b">
        <v>0</v>
      </c>
    </row>
    <row r="920">
      <c r="A920" s="21" t="s">
        <v>11151</v>
      </c>
      <c r="B920" s="22" t="s">
        <v>8370</v>
      </c>
      <c r="C920" s="22">
        <v>1.0</v>
      </c>
      <c r="D920" s="22" t="s">
        <v>8305</v>
      </c>
      <c r="E920" s="22" t="s">
        <v>8370</v>
      </c>
      <c r="F920" s="22" t="s">
        <v>8155</v>
      </c>
      <c r="G920" s="25"/>
      <c r="H920" s="22">
        <v>3.2770287403331E13</v>
      </c>
      <c r="I920" s="25"/>
      <c r="J920" s="25"/>
      <c r="K920" s="22">
        <v>4.9521175494979E13</v>
      </c>
      <c r="L920" s="25"/>
      <c r="M920" s="25"/>
      <c r="N920" s="22" t="s">
        <v>3671</v>
      </c>
      <c r="O920" s="22" t="s">
        <v>11152</v>
      </c>
      <c r="P920" s="22" t="s">
        <v>3671</v>
      </c>
      <c r="Q920" s="22" t="s">
        <v>11152</v>
      </c>
      <c r="R920" s="22" t="s">
        <v>11153</v>
      </c>
      <c r="S920" s="25"/>
      <c r="T920" s="40" t="s">
        <v>11154</v>
      </c>
      <c r="U920" s="22" t="s">
        <v>11155</v>
      </c>
      <c r="V920" s="25"/>
      <c r="W920" s="22" t="s">
        <v>11156</v>
      </c>
      <c r="X920" s="22" t="s">
        <v>11157</v>
      </c>
      <c r="Y920" s="25"/>
      <c r="Z920" s="25"/>
      <c r="AA920" s="22" t="s">
        <v>8129</v>
      </c>
      <c r="AB920" s="22" t="s">
        <v>8130</v>
      </c>
      <c r="AC920" s="25"/>
      <c r="AD920" s="22" t="s">
        <v>8161</v>
      </c>
      <c r="AE920" s="22" t="s">
        <v>8132</v>
      </c>
      <c r="AF920" s="25"/>
      <c r="AG920" s="22">
        <v>1.0467410248003E13</v>
      </c>
      <c r="AH920" s="22" t="s">
        <v>90</v>
      </c>
      <c r="AI920" s="22">
        <v>8.545969766723E12</v>
      </c>
      <c r="AJ920" s="25"/>
      <c r="AK920" s="25"/>
      <c r="AL920" s="22" t="s">
        <v>8138</v>
      </c>
      <c r="AQ920" s="32" t="s">
        <v>91</v>
      </c>
      <c r="AR920" s="32" t="b">
        <v>0</v>
      </c>
      <c r="AS920" s="32" t="b">
        <v>1</v>
      </c>
    </row>
    <row r="921">
      <c r="A921" s="21" t="s">
        <v>11151</v>
      </c>
      <c r="B921" s="25"/>
      <c r="C921" s="25"/>
      <c r="D921" s="22" t="s">
        <v>8305</v>
      </c>
      <c r="E921" s="25"/>
      <c r="F921" s="22" t="s">
        <v>8149</v>
      </c>
      <c r="G921" s="25"/>
      <c r="H921" s="22">
        <v>9.521752342851E12</v>
      </c>
      <c r="I921" s="25"/>
      <c r="J921" s="25"/>
      <c r="K921" s="25"/>
      <c r="L921" s="25"/>
      <c r="M921" s="25"/>
      <c r="N921" s="22" t="s">
        <v>3671</v>
      </c>
      <c r="O921" s="22" t="s">
        <v>11152</v>
      </c>
      <c r="P921" s="22" t="s">
        <v>3671</v>
      </c>
      <c r="Q921" s="22" t="s">
        <v>11152</v>
      </c>
      <c r="R921" s="22" t="s">
        <v>11153</v>
      </c>
      <c r="S921" s="25"/>
      <c r="T921" s="40" t="s">
        <v>11154</v>
      </c>
      <c r="U921" s="22" t="s">
        <v>11155</v>
      </c>
      <c r="V921" s="25"/>
      <c r="W921" s="22" t="s">
        <v>11156</v>
      </c>
      <c r="X921" s="22" t="s">
        <v>11157</v>
      </c>
      <c r="Y921" s="25"/>
      <c r="Z921" s="25"/>
      <c r="AA921" s="22" t="s">
        <v>8129</v>
      </c>
      <c r="AB921" s="22" t="s">
        <v>8130</v>
      </c>
      <c r="AC921" s="25"/>
      <c r="AD921" s="25"/>
      <c r="AE921" s="22" t="s">
        <v>8132</v>
      </c>
      <c r="AF921" s="25"/>
      <c r="AG921" s="22">
        <v>1.0467410248003E13</v>
      </c>
      <c r="AH921" s="22" t="s">
        <v>8137</v>
      </c>
      <c r="AI921" s="22">
        <v>8.545969766723E12</v>
      </c>
      <c r="AJ921" s="25"/>
      <c r="AK921" s="25"/>
      <c r="AL921" s="22" t="s">
        <v>8149</v>
      </c>
      <c r="AR921" s="32" t="b">
        <v>0</v>
      </c>
      <c r="AS921" s="32" t="b">
        <v>0</v>
      </c>
    </row>
    <row r="922">
      <c r="A922" s="21" t="s">
        <v>11158</v>
      </c>
      <c r="B922" s="22" t="s">
        <v>8119</v>
      </c>
      <c r="C922" s="22">
        <v>1.0</v>
      </c>
      <c r="D922" s="22" t="s">
        <v>8203</v>
      </c>
      <c r="E922" s="22" t="s">
        <v>8119</v>
      </c>
      <c r="F922" s="22" t="s">
        <v>8121</v>
      </c>
      <c r="G922" s="25"/>
      <c r="H922" s="22">
        <v>3.2770788393283E13</v>
      </c>
      <c r="I922" s="25"/>
      <c r="J922" s="25"/>
      <c r="K922" s="22">
        <v>4.2085703549171E13</v>
      </c>
      <c r="L922" s="25"/>
      <c r="M922" s="25"/>
      <c r="N922" s="22" t="s">
        <v>8460</v>
      </c>
      <c r="O922" s="22" t="s">
        <v>11159</v>
      </c>
      <c r="P922" s="22" t="s">
        <v>8460</v>
      </c>
      <c r="Q922" s="22" t="s">
        <v>11159</v>
      </c>
      <c r="R922" s="22" t="s">
        <v>11160</v>
      </c>
      <c r="S922" s="25"/>
      <c r="T922" s="40" t="s">
        <v>11161</v>
      </c>
      <c r="U922" s="22" t="s">
        <v>11162</v>
      </c>
      <c r="V922" s="25"/>
      <c r="W922" s="22" t="s">
        <v>11163</v>
      </c>
      <c r="X922" s="22" t="s">
        <v>8242</v>
      </c>
      <c r="Y922" s="25"/>
      <c r="Z922" s="25"/>
      <c r="AA922" s="22" t="s">
        <v>8129</v>
      </c>
      <c r="AB922" s="22" t="s">
        <v>8130</v>
      </c>
      <c r="AC922" s="25"/>
      <c r="AD922" s="22" t="s">
        <v>8131</v>
      </c>
      <c r="AE922" s="22" t="s">
        <v>8132</v>
      </c>
      <c r="AF922" s="25"/>
      <c r="AG922" s="22">
        <v>1.0467638149443E13</v>
      </c>
      <c r="AH922" s="22" t="s">
        <v>90</v>
      </c>
      <c r="AI922" s="22">
        <v>6.481073307891E12</v>
      </c>
      <c r="AJ922" s="25"/>
      <c r="AK922" s="25"/>
      <c r="AL922" s="22" t="s">
        <v>8133</v>
      </c>
      <c r="AQ922" s="32" t="s">
        <v>8135</v>
      </c>
      <c r="AR922" s="32" t="b">
        <v>0</v>
      </c>
      <c r="AS922" s="32" t="b">
        <v>0</v>
      </c>
    </row>
    <row r="923">
      <c r="A923" s="21" t="s">
        <v>11158</v>
      </c>
      <c r="B923" s="25"/>
      <c r="C923" s="25"/>
      <c r="D923" s="22" t="s">
        <v>8203</v>
      </c>
      <c r="E923" s="25"/>
      <c r="F923" s="22" t="s">
        <v>8136</v>
      </c>
      <c r="G923" s="25"/>
      <c r="H923" s="22">
        <v>9.521962090819E12</v>
      </c>
      <c r="I923" s="25"/>
      <c r="J923" s="25"/>
      <c r="K923" s="25"/>
      <c r="L923" s="25"/>
      <c r="M923" s="25"/>
      <c r="N923" s="22" t="s">
        <v>8460</v>
      </c>
      <c r="O923" s="22" t="s">
        <v>11159</v>
      </c>
      <c r="P923" s="22" t="s">
        <v>8460</v>
      </c>
      <c r="Q923" s="22" t="s">
        <v>11159</v>
      </c>
      <c r="R923" s="22" t="s">
        <v>11160</v>
      </c>
      <c r="S923" s="25"/>
      <c r="T923" s="40" t="s">
        <v>11161</v>
      </c>
      <c r="U923" s="22" t="s">
        <v>11162</v>
      </c>
      <c r="V923" s="25"/>
      <c r="W923" s="22" t="s">
        <v>11163</v>
      </c>
      <c r="X923" s="22" t="s">
        <v>8242</v>
      </c>
      <c r="Y923" s="25"/>
      <c r="Z923" s="25"/>
      <c r="AA923" s="22" t="s">
        <v>8129</v>
      </c>
      <c r="AB923" s="22" t="s">
        <v>8130</v>
      </c>
      <c r="AC923" s="25"/>
      <c r="AD923" s="25"/>
      <c r="AE923" s="22" t="s">
        <v>8132</v>
      </c>
      <c r="AF923" s="25"/>
      <c r="AG923" s="22">
        <v>1.0467638149443E13</v>
      </c>
      <c r="AH923" s="22" t="s">
        <v>8137</v>
      </c>
      <c r="AI923" s="22">
        <v>6.481073307891E12</v>
      </c>
      <c r="AJ923" s="25"/>
      <c r="AK923" s="25"/>
      <c r="AL923" s="22" t="s">
        <v>8136</v>
      </c>
      <c r="AR923" s="32" t="b">
        <v>0</v>
      </c>
      <c r="AS923" s="32" t="b">
        <v>0</v>
      </c>
    </row>
    <row r="924">
      <c r="A924" s="21" t="s">
        <v>11164</v>
      </c>
      <c r="B924" s="22" t="s">
        <v>8140</v>
      </c>
      <c r="C924" s="22">
        <v>1.0</v>
      </c>
      <c r="D924" s="22" t="s">
        <v>8371</v>
      </c>
      <c r="E924" s="22" t="s">
        <v>8140</v>
      </c>
      <c r="F924" s="22" t="s">
        <v>8121</v>
      </c>
      <c r="G924" s="25"/>
      <c r="H924" s="22">
        <v>3.2770805432643E13</v>
      </c>
      <c r="I924" s="25"/>
      <c r="J924" s="25"/>
      <c r="K924" s="22">
        <v>4.2085703581939E13</v>
      </c>
      <c r="L924" s="25"/>
      <c r="M924" s="25"/>
      <c r="N924" s="22" t="s">
        <v>11165</v>
      </c>
      <c r="O924" s="22" t="s">
        <v>11166</v>
      </c>
      <c r="P924" s="22" t="s">
        <v>11165</v>
      </c>
      <c r="Q924" s="22" t="s">
        <v>11166</v>
      </c>
      <c r="R924" s="22" t="s">
        <v>11167</v>
      </c>
      <c r="S924" s="25"/>
      <c r="T924" s="40" t="s">
        <v>11168</v>
      </c>
      <c r="U924" s="22" t="s">
        <v>11169</v>
      </c>
      <c r="V924" s="25"/>
      <c r="W924" s="22" t="s">
        <v>11170</v>
      </c>
      <c r="X924" s="22" t="s">
        <v>8128</v>
      </c>
      <c r="Y924" s="25"/>
      <c r="Z924" s="25"/>
      <c r="AA924" s="22" t="s">
        <v>8129</v>
      </c>
      <c r="AB924" s="22" t="s">
        <v>8130</v>
      </c>
      <c r="AC924" s="25"/>
      <c r="AD924" s="22" t="s">
        <v>8131</v>
      </c>
      <c r="AE924" s="22" t="s">
        <v>8132</v>
      </c>
      <c r="AF924" s="25"/>
      <c r="AG924" s="22">
        <v>1.0467647062339E13</v>
      </c>
      <c r="AH924" s="22" t="s">
        <v>90</v>
      </c>
      <c r="AI924" s="22">
        <v>2.3435163763011E13</v>
      </c>
      <c r="AJ924" s="25"/>
      <c r="AK924" s="25"/>
      <c r="AL924" s="22" t="s">
        <v>8134</v>
      </c>
      <c r="AQ924" s="32" t="s">
        <v>8150</v>
      </c>
      <c r="AR924" s="32" t="b">
        <v>0</v>
      </c>
      <c r="AS924" s="32" t="b">
        <v>0</v>
      </c>
    </row>
    <row r="925">
      <c r="A925" s="21" t="s">
        <v>11164</v>
      </c>
      <c r="B925" s="25"/>
      <c r="C925" s="25"/>
      <c r="D925" s="22" t="s">
        <v>8371</v>
      </c>
      <c r="E925" s="25"/>
      <c r="F925" s="22" t="s">
        <v>8136</v>
      </c>
      <c r="G925" s="25"/>
      <c r="H925" s="22">
        <v>9.521970086211E12</v>
      </c>
      <c r="I925" s="25"/>
      <c r="J925" s="25"/>
      <c r="K925" s="25"/>
      <c r="L925" s="25"/>
      <c r="M925" s="25"/>
      <c r="N925" s="22" t="s">
        <v>11165</v>
      </c>
      <c r="O925" s="22" t="s">
        <v>11166</v>
      </c>
      <c r="P925" s="22" t="s">
        <v>11165</v>
      </c>
      <c r="Q925" s="22" t="s">
        <v>11166</v>
      </c>
      <c r="R925" s="22" t="s">
        <v>11167</v>
      </c>
      <c r="S925" s="25"/>
      <c r="T925" s="40" t="s">
        <v>11168</v>
      </c>
      <c r="U925" s="22" t="s">
        <v>11169</v>
      </c>
      <c r="V925" s="25"/>
      <c r="W925" s="22" t="s">
        <v>11170</v>
      </c>
      <c r="X925" s="22" t="s">
        <v>8128</v>
      </c>
      <c r="Y925" s="25"/>
      <c r="Z925" s="25"/>
      <c r="AA925" s="22" t="s">
        <v>8129</v>
      </c>
      <c r="AB925" s="22" t="s">
        <v>8130</v>
      </c>
      <c r="AC925" s="25"/>
      <c r="AD925" s="25"/>
      <c r="AE925" s="22" t="s">
        <v>8132</v>
      </c>
      <c r="AF925" s="25"/>
      <c r="AG925" s="22">
        <v>1.0467647062339E13</v>
      </c>
      <c r="AH925" s="22" t="s">
        <v>8137</v>
      </c>
      <c r="AI925" s="22">
        <v>2.3435163763011E13</v>
      </c>
      <c r="AJ925" s="25"/>
      <c r="AK925" s="25"/>
      <c r="AL925" s="22" t="s">
        <v>8136</v>
      </c>
      <c r="AR925" s="32" t="b">
        <v>0</v>
      </c>
      <c r="AS925" s="32" t="b">
        <v>0</v>
      </c>
    </row>
    <row r="926">
      <c r="A926" s="21" t="s">
        <v>11171</v>
      </c>
      <c r="B926" s="22" t="s">
        <v>8119</v>
      </c>
      <c r="C926" s="22">
        <v>1.0</v>
      </c>
      <c r="D926" s="22" t="s">
        <v>8212</v>
      </c>
      <c r="E926" s="22" t="s">
        <v>8119</v>
      </c>
      <c r="F926" s="22" t="s">
        <v>8121</v>
      </c>
      <c r="G926" s="25"/>
      <c r="H926" s="22">
        <v>3.2770853437763E13</v>
      </c>
      <c r="I926" s="25"/>
      <c r="J926" s="25"/>
      <c r="K926" s="22">
        <v>4.2085703549171E13</v>
      </c>
      <c r="L926" s="25"/>
      <c r="M926" s="25"/>
      <c r="N926" s="22" t="s">
        <v>11172</v>
      </c>
      <c r="O926" s="22" t="s">
        <v>7504</v>
      </c>
      <c r="P926" s="22" t="s">
        <v>11172</v>
      </c>
      <c r="Q926" s="22" t="s">
        <v>7504</v>
      </c>
      <c r="R926" s="22" t="s">
        <v>11173</v>
      </c>
      <c r="S926" s="25"/>
      <c r="T926" s="40" t="s">
        <v>11174</v>
      </c>
      <c r="U926" s="22" t="s">
        <v>11175</v>
      </c>
      <c r="V926" s="25"/>
      <c r="W926" s="22" t="s">
        <v>11176</v>
      </c>
      <c r="X926" s="22" t="s">
        <v>8289</v>
      </c>
      <c r="Y926" s="25"/>
      <c r="Z926" s="25"/>
      <c r="AA926" s="22" t="s">
        <v>8129</v>
      </c>
      <c r="AB926" s="22" t="s">
        <v>8130</v>
      </c>
      <c r="AC926" s="25"/>
      <c r="AD926" s="22" t="s">
        <v>8131</v>
      </c>
      <c r="AE926" s="22" t="s">
        <v>8132</v>
      </c>
      <c r="AF926" s="25"/>
      <c r="AG926" s="22">
        <v>1.0467667968323E13</v>
      </c>
      <c r="AH926" s="22" t="s">
        <v>90</v>
      </c>
      <c r="AI926" s="22">
        <v>2.3435183259971E13</v>
      </c>
      <c r="AJ926" s="25"/>
      <c r="AK926" s="25"/>
      <c r="AL926" s="22" t="s">
        <v>8133</v>
      </c>
      <c r="AQ926" s="32" t="s">
        <v>8135</v>
      </c>
      <c r="AR926" s="32" t="b">
        <v>0</v>
      </c>
      <c r="AS926" s="32" t="b">
        <v>0</v>
      </c>
    </row>
    <row r="927">
      <c r="A927" s="21" t="s">
        <v>11171</v>
      </c>
      <c r="B927" s="25"/>
      <c r="C927" s="25"/>
      <c r="D927" s="22" t="s">
        <v>8212</v>
      </c>
      <c r="E927" s="25"/>
      <c r="F927" s="22" t="s">
        <v>8136</v>
      </c>
      <c r="G927" s="25"/>
      <c r="H927" s="22">
        <v>9.521989189955E12</v>
      </c>
      <c r="I927" s="25"/>
      <c r="J927" s="25"/>
      <c r="K927" s="25"/>
      <c r="L927" s="25"/>
      <c r="M927" s="25"/>
      <c r="N927" s="22" t="s">
        <v>11172</v>
      </c>
      <c r="O927" s="22" t="s">
        <v>7504</v>
      </c>
      <c r="P927" s="22" t="s">
        <v>11172</v>
      </c>
      <c r="Q927" s="22" t="s">
        <v>7504</v>
      </c>
      <c r="R927" s="22" t="s">
        <v>11173</v>
      </c>
      <c r="S927" s="25"/>
      <c r="T927" s="40" t="s">
        <v>11174</v>
      </c>
      <c r="U927" s="22" t="s">
        <v>11175</v>
      </c>
      <c r="V927" s="25"/>
      <c r="W927" s="22" t="s">
        <v>11176</v>
      </c>
      <c r="X927" s="22" t="s">
        <v>8289</v>
      </c>
      <c r="Y927" s="25"/>
      <c r="Z927" s="25"/>
      <c r="AA927" s="22" t="s">
        <v>8129</v>
      </c>
      <c r="AB927" s="22" t="s">
        <v>8130</v>
      </c>
      <c r="AC927" s="25"/>
      <c r="AD927" s="25"/>
      <c r="AE927" s="22" t="s">
        <v>8132</v>
      </c>
      <c r="AF927" s="25"/>
      <c r="AG927" s="22">
        <v>1.0467667968323E13</v>
      </c>
      <c r="AH927" s="22" t="s">
        <v>8137</v>
      </c>
      <c r="AI927" s="22">
        <v>2.3435183259971E13</v>
      </c>
      <c r="AJ927" s="25"/>
      <c r="AK927" s="25"/>
      <c r="AL927" s="22" t="s">
        <v>8136</v>
      </c>
      <c r="AR927" s="32" t="b">
        <v>0</v>
      </c>
      <c r="AS927" s="32" t="b">
        <v>0</v>
      </c>
    </row>
    <row r="928">
      <c r="A928" s="21" t="s">
        <v>11177</v>
      </c>
      <c r="B928" s="22" t="s">
        <v>8140</v>
      </c>
      <c r="C928" s="22">
        <v>1.0</v>
      </c>
      <c r="D928" s="22" t="s">
        <v>8221</v>
      </c>
      <c r="E928" s="22" t="s">
        <v>8140</v>
      </c>
      <c r="F928" s="22" t="s">
        <v>8121</v>
      </c>
      <c r="G928" s="25"/>
      <c r="H928" s="22">
        <v>3.2770872082755E13</v>
      </c>
      <c r="I928" s="25"/>
      <c r="J928" s="25"/>
      <c r="K928" s="22">
        <v>4.2085703581939E13</v>
      </c>
      <c r="L928" s="25"/>
      <c r="M928" s="25"/>
      <c r="N928" s="22" t="s">
        <v>8055</v>
      </c>
      <c r="O928" s="22" t="s">
        <v>11178</v>
      </c>
      <c r="P928" s="22" t="s">
        <v>11179</v>
      </c>
      <c r="Q928" s="22" t="s">
        <v>11178</v>
      </c>
      <c r="R928" s="22" t="s">
        <v>11180</v>
      </c>
      <c r="S928" s="25"/>
      <c r="T928" s="40" t="s">
        <v>11181</v>
      </c>
      <c r="U928" s="22" t="s">
        <v>11182</v>
      </c>
      <c r="V928" s="25"/>
      <c r="W928" s="22" t="s">
        <v>11183</v>
      </c>
      <c r="X928" s="22" t="s">
        <v>8289</v>
      </c>
      <c r="Y928" s="25"/>
      <c r="Z928" s="25"/>
      <c r="AA928" s="22" t="s">
        <v>8129</v>
      </c>
      <c r="AB928" s="22" t="s">
        <v>8130</v>
      </c>
      <c r="AC928" s="25"/>
      <c r="AD928" s="22" t="s">
        <v>8131</v>
      </c>
      <c r="AE928" s="22" t="s">
        <v>8132</v>
      </c>
      <c r="AF928" s="25"/>
      <c r="AG928" s="22">
        <v>1.0467676127555E13</v>
      </c>
      <c r="AH928" s="22" t="s">
        <v>90</v>
      </c>
      <c r="AI928" s="22">
        <v>8.545009074499E12</v>
      </c>
      <c r="AJ928" s="25"/>
      <c r="AK928" s="25"/>
      <c r="AL928" s="22" t="s">
        <v>8134</v>
      </c>
      <c r="AQ928" s="32" t="s">
        <v>8150</v>
      </c>
      <c r="AR928" s="32" t="b">
        <v>0</v>
      </c>
      <c r="AS928" s="32" t="b">
        <v>0</v>
      </c>
    </row>
    <row r="929">
      <c r="A929" s="21" t="s">
        <v>11177</v>
      </c>
      <c r="B929" s="25"/>
      <c r="C929" s="25"/>
      <c r="D929" s="22" t="s">
        <v>8221</v>
      </c>
      <c r="E929" s="25"/>
      <c r="F929" s="22" t="s">
        <v>8136</v>
      </c>
      <c r="G929" s="25"/>
      <c r="H929" s="22">
        <v>9.521996333379E12</v>
      </c>
      <c r="I929" s="25"/>
      <c r="J929" s="25"/>
      <c r="K929" s="25"/>
      <c r="L929" s="25"/>
      <c r="M929" s="25"/>
      <c r="N929" s="22" t="s">
        <v>8055</v>
      </c>
      <c r="O929" s="22" t="s">
        <v>11178</v>
      </c>
      <c r="P929" s="22" t="s">
        <v>11179</v>
      </c>
      <c r="Q929" s="22" t="s">
        <v>11178</v>
      </c>
      <c r="R929" s="22" t="s">
        <v>11180</v>
      </c>
      <c r="S929" s="25"/>
      <c r="T929" s="40" t="s">
        <v>11181</v>
      </c>
      <c r="U929" s="22" t="s">
        <v>11182</v>
      </c>
      <c r="V929" s="25"/>
      <c r="W929" s="22" t="s">
        <v>11183</v>
      </c>
      <c r="X929" s="22" t="s">
        <v>8289</v>
      </c>
      <c r="Y929" s="25"/>
      <c r="Z929" s="25"/>
      <c r="AA929" s="22" t="s">
        <v>8129</v>
      </c>
      <c r="AB929" s="22" t="s">
        <v>8130</v>
      </c>
      <c r="AC929" s="25"/>
      <c r="AD929" s="25"/>
      <c r="AE929" s="22" t="s">
        <v>8132</v>
      </c>
      <c r="AF929" s="25"/>
      <c r="AG929" s="22">
        <v>1.0467676127555E13</v>
      </c>
      <c r="AH929" s="22" t="s">
        <v>8137</v>
      </c>
      <c r="AI929" s="22">
        <v>8.545009074499E12</v>
      </c>
      <c r="AJ929" s="25"/>
      <c r="AK929" s="25"/>
      <c r="AL929" s="22" t="s">
        <v>8136</v>
      </c>
      <c r="AR929" s="32" t="b">
        <v>0</v>
      </c>
      <c r="AS929" s="32" t="b">
        <v>0</v>
      </c>
    </row>
    <row r="930">
      <c r="A930" s="21" t="s">
        <v>11184</v>
      </c>
      <c r="B930" s="22" t="s">
        <v>8119</v>
      </c>
      <c r="C930" s="22">
        <v>1.0</v>
      </c>
      <c r="D930" s="22" t="s">
        <v>8141</v>
      </c>
      <c r="E930" s="22" t="s">
        <v>8119</v>
      </c>
      <c r="F930" s="22" t="s">
        <v>8121</v>
      </c>
      <c r="G930" s="25"/>
      <c r="H930" s="22">
        <v>3.2770969108803E13</v>
      </c>
      <c r="I930" s="25"/>
      <c r="J930" s="25"/>
      <c r="K930" s="22">
        <v>4.2085703549171E13</v>
      </c>
      <c r="L930" s="25"/>
      <c r="M930" s="25"/>
      <c r="N930" s="22" t="s">
        <v>3674</v>
      </c>
      <c r="O930" s="22" t="s">
        <v>6635</v>
      </c>
      <c r="P930" s="22" t="s">
        <v>3674</v>
      </c>
      <c r="Q930" s="22" t="s">
        <v>6635</v>
      </c>
      <c r="R930" s="22" t="s">
        <v>11185</v>
      </c>
      <c r="S930" s="25"/>
      <c r="T930" s="40" t="s">
        <v>11186</v>
      </c>
      <c r="U930" s="22" t="s">
        <v>11187</v>
      </c>
      <c r="V930" s="25"/>
      <c r="W930" s="22" t="s">
        <v>11188</v>
      </c>
      <c r="X930" s="22" t="s">
        <v>8747</v>
      </c>
      <c r="Y930" s="25"/>
      <c r="Z930" s="25"/>
      <c r="AA930" s="22" t="s">
        <v>8129</v>
      </c>
      <c r="AB930" s="22" t="s">
        <v>8130</v>
      </c>
      <c r="AC930" s="25"/>
      <c r="AD930" s="22" t="s">
        <v>8131</v>
      </c>
      <c r="AE930" s="22" t="s">
        <v>8132</v>
      </c>
      <c r="AF930" s="25"/>
      <c r="AG930" s="22">
        <v>1.0467719479619E13</v>
      </c>
      <c r="AH930" s="22" t="s">
        <v>90</v>
      </c>
      <c r="AI930" s="22">
        <v>2.3435233427779E13</v>
      </c>
      <c r="AJ930" s="25"/>
      <c r="AK930" s="25"/>
      <c r="AL930" s="22" t="s">
        <v>8133</v>
      </c>
      <c r="AQ930" s="32" t="s">
        <v>8135</v>
      </c>
      <c r="AR930" s="32" t="b">
        <v>0</v>
      </c>
      <c r="AS930" s="32" t="b">
        <v>0</v>
      </c>
    </row>
    <row r="931">
      <c r="A931" s="21" t="s">
        <v>11184</v>
      </c>
      <c r="B931" s="25"/>
      <c r="C931" s="25"/>
      <c r="D931" s="22" t="s">
        <v>8141</v>
      </c>
      <c r="E931" s="25"/>
      <c r="F931" s="22" t="s">
        <v>8136</v>
      </c>
      <c r="G931" s="25"/>
      <c r="H931" s="22">
        <v>9.522034737475E12</v>
      </c>
      <c r="I931" s="25"/>
      <c r="J931" s="25"/>
      <c r="K931" s="25"/>
      <c r="L931" s="25"/>
      <c r="M931" s="25"/>
      <c r="N931" s="22" t="s">
        <v>3674</v>
      </c>
      <c r="O931" s="22" t="s">
        <v>6635</v>
      </c>
      <c r="P931" s="22" t="s">
        <v>3674</v>
      </c>
      <c r="Q931" s="22" t="s">
        <v>6635</v>
      </c>
      <c r="R931" s="22" t="s">
        <v>11185</v>
      </c>
      <c r="S931" s="25"/>
      <c r="T931" s="40" t="s">
        <v>11186</v>
      </c>
      <c r="U931" s="22" t="s">
        <v>11187</v>
      </c>
      <c r="V931" s="25"/>
      <c r="W931" s="22" t="s">
        <v>11188</v>
      </c>
      <c r="X931" s="22" t="s">
        <v>8747</v>
      </c>
      <c r="Y931" s="25"/>
      <c r="Z931" s="25"/>
      <c r="AA931" s="22" t="s">
        <v>8129</v>
      </c>
      <c r="AB931" s="22" t="s">
        <v>8130</v>
      </c>
      <c r="AC931" s="25"/>
      <c r="AD931" s="25"/>
      <c r="AE931" s="22" t="s">
        <v>8132</v>
      </c>
      <c r="AF931" s="25"/>
      <c r="AG931" s="22">
        <v>1.0467719479619E13</v>
      </c>
      <c r="AH931" s="22" t="s">
        <v>8137</v>
      </c>
      <c r="AI931" s="22">
        <v>2.3435233427779E13</v>
      </c>
      <c r="AJ931" s="25"/>
      <c r="AK931" s="25"/>
      <c r="AL931" s="22" t="s">
        <v>8136</v>
      </c>
      <c r="AR931" s="32" t="b">
        <v>0</v>
      </c>
      <c r="AS931" s="32" t="b">
        <v>0</v>
      </c>
    </row>
    <row r="932">
      <c r="A932" s="21" t="s">
        <v>11189</v>
      </c>
      <c r="B932" s="22" t="s">
        <v>8119</v>
      </c>
      <c r="C932" s="22">
        <v>1.0</v>
      </c>
      <c r="D932" s="22" t="s">
        <v>8221</v>
      </c>
      <c r="E932" s="22" t="s">
        <v>8119</v>
      </c>
      <c r="F932" s="22" t="s">
        <v>8121</v>
      </c>
      <c r="G932" s="25"/>
      <c r="H932" s="22">
        <v>3.2770991751491E13</v>
      </c>
      <c r="I932" s="25"/>
      <c r="J932" s="25"/>
      <c r="K932" s="22">
        <v>4.2085703549171E13</v>
      </c>
      <c r="L932" s="25"/>
      <c r="M932" s="25"/>
      <c r="N932" s="22" t="s">
        <v>11190</v>
      </c>
      <c r="O932" s="22" t="s">
        <v>11191</v>
      </c>
      <c r="P932" s="22" t="s">
        <v>11190</v>
      </c>
      <c r="Q932" s="22" t="s">
        <v>11191</v>
      </c>
      <c r="R932" s="22" t="s">
        <v>11192</v>
      </c>
      <c r="S932" s="25"/>
      <c r="T932" s="40" t="s">
        <v>11193</v>
      </c>
      <c r="U932" s="22" t="s">
        <v>11194</v>
      </c>
      <c r="V932" s="25"/>
      <c r="W932" s="22" t="s">
        <v>11195</v>
      </c>
      <c r="X932" s="22" t="s">
        <v>8380</v>
      </c>
      <c r="Y932" s="25"/>
      <c r="Z932" s="25"/>
      <c r="AA932" s="22" t="s">
        <v>8129</v>
      </c>
      <c r="AB932" s="22" t="s">
        <v>8130</v>
      </c>
      <c r="AC932" s="25"/>
      <c r="AD932" s="22" t="s">
        <v>8131</v>
      </c>
      <c r="AE932" s="22" t="s">
        <v>8132</v>
      </c>
      <c r="AF932" s="25"/>
      <c r="AG932" s="22">
        <v>1.0467730850115E13</v>
      </c>
      <c r="AH932" s="22" t="s">
        <v>90</v>
      </c>
      <c r="AI932" s="22">
        <v>7.393761722691E12</v>
      </c>
      <c r="AJ932" s="25"/>
      <c r="AK932" s="25"/>
      <c r="AL932" s="22" t="s">
        <v>8133</v>
      </c>
      <c r="AQ932" s="32" t="s">
        <v>8135</v>
      </c>
      <c r="AR932" s="32" t="b">
        <v>0</v>
      </c>
      <c r="AS932" s="32" t="b">
        <v>0</v>
      </c>
    </row>
    <row r="933">
      <c r="A933" s="21" t="s">
        <v>11189</v>
      </c>
      <c r="B933" s="25"/>
      <c r="C933" s="25"/>
      <c r="D933" s="22" t="s">
        <v>8221</v>
      </c>
      <c r="E933" s="25"/>
      <c r="F933" s="22" t="s">
        <v>8136</v>
      </c>
      <c r="G933" s="25"/>
      <c r="H933" s="22">
        <v>9.522044731715E12</v>
      </c>
      <c r="I933" s="25"/>
      <c r="J933" s="25"/>
      <c r="K933" s="25"/>
      <c r="L933" s="25"/>
      <c r="M933" s="25"/>
      <c r="N933" s="22" t="s">
        <v>11190</v>
      </c>
      <c r="O933" s="22" t="s">
        <v>11191</v>
      </c>
      <c r="P933" s="22" t="s">
        <v>11190</v>
      </c>
      <c r="Q933" s="22" t="s">
        <v>11191</v>
      </c>
      <c r="R933" s="22" t="s">
        <v>11192</v>
      </c>
      <c r="S933" s="25"/>
      <c r="T933" s="40" t="s">
        <v>11193</v>
      </c>
      <c r="U933" s="22" t="s">
        <v>11194</v>
      </c>
      <c r="V933" s="25"/>
      <c r="W933" s="22" t="s">
        <v>11195</v>
      </c>
      <c r="X933" s="22" t="s">
        <v>8380</v>
      </c>
      <c r="Y933" s="25"/>
      <c r="Z933" s="25"/>
      <c r="AA933" s="22" t="s">
        <v>8129</v>
      </c>
      <c r="AB933" s="22" t="s">
        <v>8130</v>
      </c>
      <c r="AC933" s="25"/>
      <c r="AD933" s="25"/>
      <c r="AE933" s="22" t="s">
        <v>8132</v>
      </c>
      <c r="AF933" s="25"/>
      <c r="AG933" s="22">
        <v>1.0467730850115E13</v>
      </c>
      <c r="AH933" s="22" t="s">
        <v>8137</v>
      </c>
      <c r="AI933" s="22">
        <v>7.393761722691E12</v>
      </c>
      <c r="AJ933" s="25"/>
      <c r="AK933" s="25"/>
      <c r="AL933" s="22" t="s">
        <v>8136</v>
      </c>
      <c r="AR933" s="32" t="b">
        <v>0</v>
      </c>
      <c r="AS933" s="32" t="b">
        <v>0</v>
      </c>
    </row>
    <row r="934">
      <c r="A934" s="21" t="s">
        <v>11196</v>
      </c>
      <c r="B934" s="22" t="s">
        <v>8211</v>
      </c>
      <c r="C934" s="22">
        <v>1.0</v>
      </c>
      <c r="D934" s="22" t="s">
        <v>8581</v>
      </c>
      <c r="E934" s="22" t="s">
        <v>8211</v>
      </c>
      <c r="F934" s="22" t="s">
        <v>8155</v>
      </c>
      <c r="G934" s="25"/>
      <c r="H934" s="22">
        <v>3.2771017605443E13</v>
      </c>
      <c r="I934" s="25"/>
      <c r="J934" s="25"/>
      <c r="K934" s="22">
        <v>4.7338059727171E13</v>
      </c>
      <c r="L934" s="25"/>
      <c r="M934" s="25"/>
      <c r="N934" s="22" t="s">
        <v>3808</v>
      </c>
      <c r="O934" s="22" t="s">
        <v>4841</v>
      </c>
      <c r="P934" s="22" t="s">
        <v>3808</v>
      </c>
      <c r="Q934" s="22" t="s">
        <v>4841</v>
      </c>
      <c r="R934" s="22" t="s">
        <v>11197</v>
      </c>
      <c r="S934" s="25"/>
      <c r="T934" s="40" t="s">
        <v>11198</v>
      </c>
      <c r="U934" s="22" t="s">
        <v>11199</v>
      </c>
      <c r="V934" s="25"/>
      <c r="W934" s="22" t="s">
        <v>11200</v>
      </c>
      <c r="X934" s="22" t="s">
        <v>11201</v>
      </c>
      <c r="Y934" s="25"/>
      <c r="Z934" s="25"/>
      <c r="AA934" s="22" t="s">
        <v>8129</v>
      </c>
      <c r="AB934" s="22" t="s">
        <v>8130</v>
      </c>
      <c r="AC934" s="25"/>
      <c r="AD934" s="22" t="s">
        <v>8161</v>
      </c>
      <c r="AE934" s="22" t="s">
        <v>8132</v>
      </c>
      <c r="AF934" s="25"/>
      <c r="AG934" s="22">
        <v>1.0467743203651E13</v>
      </c>
      <c r="AH934" s="22" t="s">
        <v>90</v>
      </c>
      <c r="AI934" s="22">
        <v>6.480047538419E12</v>
      </c>
      <c r="AJ934" s="25"/>
      <c r="AK934" s="25"/>
      <c r="AL934" s="22" t="s">
        <v>8151</v>
      </c>
      <c r="AQ934" s="32" t="s">
        <v>54</v>
      </c>
      <c r="AR934" s="32" t="b">
        <v>0</v>
      </c>
      <c r="AS934" s="32" t="b">
        <v>0</v>
      </c>
    </row>
    <row r="935">
      <c r="A935" s="21" t="s">
        <v>11196</v>
      </c>
      <c r="B935" s="25"/>
      <c r="C935" s="25"/>
      <c r="D935" s="22" t="s">
        <v>8581</v>
      </c>
      <c r="E935" s="25"/>
      <c r="F935" s="22" t="s">
        <v>8149</v>
      </c>
      <c r="G935" s="25"/>
      <c r="H935" s="22">
        <v>9.522055217475E12</v>
      </c>
      <c r="I935" s="25"/>
      <c r="J935" s="25"/>
      <c r="K935" s="25"/>
      <c r="L935" s="25"/>
      <c r="M935" s="25"/>
      <c r="N935" s="22" t="s">
        <v>3808</v>
      </c>
      <c r="O935" s="22" t="s">
        <v>4841</v>
      </c>
      <c r="P935" s="22" t="s">
        <v>3808</v>
      </c>
      <c r="Q935" s="22" t="s">
        <v>4841</v>
      </c>
      <c r="R935" s="22" t="s">
        <v>11197</v>
      </c>
      <c r="S935" s="25"/>
      <c r="T935" s="40" t="s">
        <v>11198</v>
      </c>
      <c r="U935" s="22" t="s">
        <v>11199</v>
      </c>
      <c r="V935" s="25"/>
      <c r="W935" s="22" t="s">
        <v>11200</v>
      </c>
      <c r="X935" s="22" t="s">
        <v>11201</v>
      </c>
      <c r="Y935" s="25"/>
      <c r="Z935" s="25"/>
      <c r="AA935" s="22" t="s">
        <v>8129</v>
      </c>
      <c r="AB935" s="22" t="s">
        <v>8130</v>
      </c>
      <c r="AC935" s="25"/>
      <c r="AD935" s="25"/>
      <c r="AE935" s="22" t="s">
        <v>8132</v>
      </c>
      <c r="AF935" s="25"/>
      <c r="AG935" s="22">
        <v>1.0467743203651E13</v>
      </c>
      <c r="AH935" s="22" t="s">
        <v>8137</v>
      </c>
      <c r="AI935" s="22">
        <v>6.480047538419E12</v>
      </c>
      <c r="AJ935" s="25"/>
      <c r="AK935" s="25"/>
      <c r="AL935" s="22" t="s">
        <v>8149</v>
      </c>
      <c r="AR935" s="32" t="b">
        <v>0</v>
      </c>
      <c r="AS935" s="32" t="b">
        <v>0</v>
      </c>
    </row>
    <row r="936">
      <c r="A936" s="21" t="s">
        <v>11202</v>
      </c>
      <c r="B936" s="22" t="s">
        <v>8119</v>
      </c>
      <c r="C936" s="22">
        <v>1.0</v>
      </c>
      <c r="D936" s="22" t="s">
        <v>8245</v>
      </c>
      <c r="E936" s="22" t="s">
        <v>8119</v>
      </c>
      <c r="F936" s="22" t="s">
        <v>8121</v>
      </c>
      <c r="G936" s="25"/>
      <c r="H936" s="22">
        <v>3.2771203629379E13</v>
      </c>
      <c r="I936" s="25"/>
      <c r="J936" s="25"/>
      <c r="K936" s="22">
        <v>4.2085703549171E13</v>
      </c>
      <c r="L936" s="25"/>
      <c r="M936" s="25"/>
      <c r="N936" s="22" t="s">
        <v>11203</v>
      </c>
      <c r="O936" s="22" t="s">
        <v>11204</v>
      </c>
      <c r="P936" s="22" t="s">
        <v>11205</v>
      </c>
      <c r="Q936" s="22" t="s">
        <v>11206</v>
      </c>
      <c r="R936" s="22" t="s">
        <v>11207</v>
      </c>
      <c r="S936" s="25"/>
      <c r="T936" s="40" t="s">
        <v>11208</v>
      </c>
      <c r="U936" s="22" t="s">
        <v>11209</v>
      </c>
      <c r="V936" s="25"/>
      <c r="W936" s="22" t="s">
        <v>11210</v>
      </c>
      <c r="X936" s="22" t="s">
        <v>11211</v>
      </c>
      <c r="Y936" s="25"/>
      <c r="Z936" s="25"/>
      <c r="AA936" s="22" t="s">
        <v>8129</v>
      </c>
      <c r="AB936" s="22" t="s">
        <v>8130</v>
      </c>
      <c r="AC936" s="25"/>
      <c r="AD936" s="22" t="s">
        <v>8131</v>
      </c>
      <c r="AE936" s="22" t="s">
        <v>8132</v>
      </c>
      <c r="AF936" s="25"/>
      <c r="AG936" s="22">
        <v>1.0467830628675E13</v>
      </c>
      <c r="AH936" s="22" t="s">
        <v>90</v>
      </c>
      <c r="AI936" s="22">
        <v>8.504269242691E12</v>
      </c>
      <c r="AJ936" s="25"/>
      <c r="AK936" s="25"/>
      <c r="AL936" s="22" t="s">
        <v>8133</v>
      </c>
      <c r="AQ936" s="32" t="s">
        <v>8135</v>
      </c>
      <c r="AR936" s="32" t="b">
        <v>0</v>
      </c>
      <c r="AS936" s="32" t="b">
        <v>0</v>
      </c>
    </row>
    <row r="937">
      <c r="A937" s="21" t="s">
        <v>11202</v>
      </c>
      <c r="B937" s="25"/>
      <c r="C937" s="25"/>
      <c r="D937" s="22" t="s">
        <v>8245</v>
      </c>
      <c r="E937" s="25"/>
      <c r="F937" s="22" t="s">
        <v>8136</v>
      </c>
      <c r="G937" s="25"/>
      <c r="H937" s="22">
        <v>9.522131468611E12</v>
      </c>
      <c r="I937" s="25"/>
      <c r="J937" s="25"/>
      <c r="K937" s="25"/>
      <c r="L937" s="25"/>
      <c r="M937" s="25"/>
      <c r="N937" s="22" t="s">
        <v>11203</v>
      </c>
      <c r="O937" s="22" t="s">
        <v>11204</v>
      </c>
      <c r="P937" s="22" t="s">
        <v>11205</v>
      </c>
      <c r="Q937" s="22" t="s">
        <v>11206</v>
      </c>
      <c r="R937" s="22" t="s">
        <v>11207</v>
      </c>
      <c r="S937" s="25"/>
      <c r="T937" s="40" t="s">
        <v>11208</v>
      </c>
      <c r="U937" s="22" t="s">
        <v>11209</v>
      </c>
      <c r="V937" s="25"/>
      <c r="W937" s="22" t="s">
        <v>11210</v>
      </c>
      <c r="X937" s="22" t="s">
        <v>11211</v>
      </c>
      <c r="Y937" s="25"/>
      <c r="Z937" s="25"/>
      <c r="AA937" s="22" t="s">
        <v>8129</v>
      </c>
      <c r="AB937" s="22" t="s">
        <v>8130</v>
      </c>
      <c r="AC937" s="25"/>
      <c r="AD937" s="25"/>
      <c r="AE937" s="22" t="s">
        <v>8132</v>
      </c>
      <c r="AF937" s="25"/>
      <c r="AG937" s="22">
        <v>1.0467830628675E13</v>
      </c>
      <c r="AH937" s="22" t="s">
        <v>8137</v>
      </c>
      <c r="AI937" s="22">
        <v>8.504269242691E12</v>
      </c>
      <c r="AJ937" s="25"/>
      <c r="AK937" s="25"/>
      <c r="AL937" s="22" t="s">
        <v>8136</v>
      </c>
      <c r="AR937" s="32" t="b">
        <v>0</v>
      </c>
      <c r="AS937" s="32" t="b">
        <v>0</v>
      </c>
    </row>
    <row r="938">
      <c r="A938" s="21" t="s">
        <v>11212</v>
      </c>
      <c r="B938" s="22" t="s">
        <v>8119</v>
      </c>
      <c r="C938" s="22">
        <v>1.0</v>
      </c>
      <c r="D938" s="22" t="s">
        <v>8203</v>
      </c>
      <c r="E938" s="22" t="s">
        <v>8119</v>
      </c>
      <c r="F938" s="22" t="s">
        <v>8121</v>
      </c>
      <c r="G938" s="25"/>
      <c r="H938" s="22">
        <v>3.2771231220035E13</v>
      </c>
      <c r="I938" s="25"/>
      <c r="J938" s="25"/>
      <c r="K938" s="22">
        <v>4.2085703549171E13</v>
      </c>
      <c r="L938" s="25"/>
      <c r="M938" s="25"/>
      <c r="N938" s="22" t="s">
        <v>3892</v>
      </c>
      <c r="O938" s="22" t="s">
        <v>11213</v>
      </c>
      <c r="P938" s="22" t="s">
        <v>3892</v>
      </c>
      <c r="Q938" s="22" t="s">
        <v>11213</v>
      </c>
      <c r="R938" s="22" t="s">
        <v>11214</v>
      </c>
      <c r="S938" s="25"/>
      <c r="T938" s="40" t="s">
        <v>11215</v>
      </c>
      <c r="U938" s="22" t="s">
        <v>11216</v>
      </c>
      <c r="V938" s="25"/>
      <c r="W938" s="22" t="s">
        <v>11217</v>
      </c>
      <c r="X938" s="22" t="s">
        <v>11218</v>
      </c>
      <c r="Y938" s="25"/>
      <c r="Z938" s="25"/>
      <c r="AA938" s="22" t="s">
        <v>8129</v>
      </c>
      <c r="AB938" s="22" t="s">
        <v>8130</v>
      </c>
      <c r="AC938" s="25"/>
      <c r="AD938" s="22" t="s">
        <v>8131</v>
      </c>
      <c r="AE938" s="22" t="s">
        <v>8132</v>
      </c>
      <c r="AF938" s="25"/>
      <c r="AG938" s="22">
        <v>1.0467843703107E13</v>
      </c>
      <c r="AH938" s="22" t="s">
        <v>90</v>
      </c>
      <c r="AI938" s="22">
        <v>8.668432302403E12</v>
      </c>
      <c r="AJ938" s="25"/>
      <c r="AK938" s="25"/>
      <c r="AL938" s="22" t="s">
        <v>8133</v>
      </c>
      <c r="AQ938" s="32" t="s">
        <v>8135</v>
      </c>
      <c r="AR938" s="32" t="b">
        <v>0</v>
      </c>
      <c r="AS938" s="32" t="b">
        <v>0</v>
      </c>
    </row>
    <row r="939">
      <c r="A939" s="21" t="s">
        <v>11212</v>
      </c>
      <c r="B939" s="25"/>
      <c r="C939" s="25"/>
      <c r="D939" s="22" t="s">
        <v>8203</v>
      </c>
      <c r="E939" s="25"/>
      <c r="F939" s="22" t="s">
        <v>8136</v>
      </c>
      <c r="G939" s="25"/>
      <c r="H939" s="22">
        <v>9.522142675267E12</v>
      </c>
      <c r="I939" s="25"/>
      <c r="J939" s="25"/>
      <c r="K939" s="25"/>
      <c r="L939" s="25"/>
      <c r="M939" s="25"/>
      <c r="N939" s="22" t="s">
        <v>3892</v>
      </c>
      <c r="O939" s="22" t="s">
        <v>11213</v>
      </c>
      <c r="P939" s="22" t="s">
        <v>3892</v>
      </c>
      <c r="Q939" s="22" t="s">
        <v>11213</v>
      </c>
      <c r="R939" s="22" t="s">
        <v>11214</v>
      </c>
      <c r="S939" s="25"/>
      <c r="T939" s="40" t="s">
        <v>11215</v>
      </c>
      <c r="U939" s="22" t="s">
        <v>11216</v>
      </c>
      <c r="V939" s="25"/>
      <c r="W939" s="22" t="s">
        <v>11217</v>
      </c>
      <c r="X939" s="22" t="s">
        <v>11218</v>
      </c>
      <c r="Y939" s="25"/>
      <c r="Z939" s="25"/>
      <c r="AA939" s="22" t="s">
        <v>8129</v>
      </c>
      <c r="AB939" s="22" t="s">
        <v>8130</v>
      </c>
      <c r="AC939" s="25"/>
      <c r="AD939" s="25"/>
      <c r="AE939" s="22" t="s">
        <v>8132</v>
      </c>
      <c r="AF939" s="25"/>
      <c r="AG939" s="22">
        <v>1.0467843703107E13</v>
      </c>
      <c r="AH939" s="22" t="s">
        <v>8137</v>
      </c>
      <c r="AI939" s="22">
        <v>8.668432302403E12</v>
      </c>
      <c r="AJ939" s="25"/>
      <c r="AK939" s="25"/>
      <c r="AL939" s="22" t="s">
        <v>8136</v>
      </c>
      <c r="AR939" s="32" t="b">
        <v>0</v>
      </c>
      <c r="AS939" s="32" t="b">
        <v>0</v>
      </c>
    </row>
    <row r="940">
      <c r="A940" s="21" t="s">
        <v>11219</v>
      </c>
      <c r="B940" s="22" t="s">
        <v>8119</v>
      </c>
      <c r="C940" s="22">
        <v>1.0</v>
      </c>
      <c r="D940" s="22" t="s">
        <v>8968</v>
      </c>
      <c r="E940" s="22" t="s">
        <v>8119</v>
      </c>
      <c r="F940" s="22" t="s">
        <v>8121</v>
      </c>
      <c r="G940" s="25"/>
      <c r="H940" s="22">
        <v>3.2771267166531E13</v>
      </c>
      <c r="I940" s="25"/>
      <c r="J940" s="25"/>
      <c r="K940" s="22">
        <v>4.2085703549171E13</v>
      </c>
      <c r="L940" s="25"/>
      <c r="M940" s="25"/>
      <c r="N940" s="22" t="s">
        <v>3906</v>
      </c>
      <c r="O940" s="22" t="s">
        <v>11220</v>
      </c>
      <c r="P940" s="22" t="s">
        <v>3906</v>
      </c>
      <c r="Q940" s="22" t="s">
        <v>11220</v>
      </c>
      <c r="R940" s="22" t="s">
        <v>11221</v>
      </c>
      <c r="S940" s="25"/>
      <c r="T940" s="40" t="s">
        <v>11222</v>
      </c>
      <c r="U940" s="22" t="s">
        <v>11223</v>
      </c>
      <c r="V940" s="25"/>
      <c r="W940" s="22" t="s">
        <v>11224</v>
      </c>
      <c r="X940" s="22" t="s">
        <v>8128</v>
      </c>
      <c r="Y940" s="25"/>
      <c r="Z940" s="25"/>
      <c r="AA940" s="22" t="s">
        <v>8129</v>
      </c>
      <c r="AB940" s="22" t="s">
        <v>8130</v>
      </c>
      <c r="AC940" s="25"/>
      <c r="AD940" s="22" t="s">
        <v>8131</v>
      </c>
      <c r="AE940" s="22" t="s">
        <v>8132</v>
      </c>
      <c r="AF940" s="25"/>
      <c r="AG940" s="22">
        <v>1.0467861233987E13</v>
      </c>
      <c r="AH940" s="22" t="s">
        <v>90</v>
      </c>
      <c r="AI940" s="22">
        <v>7.436440338755E12</v>
      </c>
      <c r="AJ940" s="25"/>
      <c r="AK940" s="25"/>
      <c r="AL940" s="22" t="s">
        <v>8133</v>
      </c>
      <c r="AQ940" s="32" t="s">
        <v>8135</v>
      </c>
      <c r="AR940" s="32" t="b">
        <v>0</v>
      </c>
      <c r="AS940" s="32" t="b">
        <v>0</v>
      </c>
    </row>
    <row r="941">
      <c r="A941" s="21" t="s">
        <v>11219</v>
      </c>
      <c r="B941" s="25"/>
      <c r="C941" s="25"/>
      <c r="D941" s="22" t="s">
        <v>8968</v>
      </c>
      <c r="E941" s="25"/>
      <c r="F941" s="22" t="s">
        <v>8136</v>
      </c>
      <c r="G941" s="25"/>
      <c r="H941" s="22">
        <v>9.522157846851E12</v>
      </c>
      <c r="I941" s="25"/>
      <c r="J941" s="25"/>
      <c r="K941" s="25"/>
      <c r="L941" s="25"/>
      <c r="M941" s="25"/>
      <c r="N941" s="22" t="s">
        <v>3906</v>
      </c>
      <c r="O941" s="22" t="s">
        <v>11220</v>
      </c>
      <c r="P941" s="22" t="s">
        <v>3906</v>
      </c>
      <c r="Q941" s="22" t="s">
        <v>11220</v>
      </c>
      <c r="R941" s="22" t="s">
        <v>11221</v>
      </c>
      <c r="S941" s="25"/>
      <c r="T941" s="40" t="s">
        <v>11222</v>
      </c>
      <c r="U941" s="22" t="s">
        <v>11223</v>
      </c>
      <c r="V941" s="25"/>
      <c r="W941" s="22" t="s">
        <v>11224</v>
      </c>
      <c r="X941" s="22" t="s">
        <v>8128</v>
      </c>
      <c r="Y941" s="25"/>
      <c r="Z941" s="25"/>
      <c r="AA941" s="22" t="s">
        <v>8129</v>
      </c>
      <c r="AB941" s="22" t="s">
        <v>8130</v>
      </c>
      <c r="AC941" s="25"/>
      <c r="AD941" s="25"/>
      <c r="AE941" s="22" t="s">
        <v>8132</v>
      </c>
      <c r="AF941" s="25"/>
      <c r="AG941" s="22">
        <v>1.0467861233987E13</v>
      </c>
      <c r="AH941" s="22" t="s">
        <v>8137</v>
      </c>
      <c r="AI941" s="22">
        <v>7.436440338755E12</v>
      </c>
      <c r="AJ941" s="25"/>
      <c r="AK941" s="25"/>
      <c r="AL941" s="22" t="s">
        <v>8136</v>
      </c>
      <c r="AR941" s="32" t="b">
        <v>0</v>
      </c>
      <c r="AS941" s="32" t="b">
        <v>0</v>
      </c>
    </row>
    <row r="942">
      <c r="A942" s="21" t="s">
        <v>11225</v>
      </c>
      <c r="B942" s="22" t="s">
        <v>8140</v>
      </c>
      <c r="C942" s="22">
        <v>1.0</v>
      </c>
      <c r="D942" s="22" t="s">
        <v>8221</v>
      </c>
      <c r="E942" s="22" t="s">
        <v>8140</v>
      </c>
      <c r="F942" s="22" t="s">
        <v>8121</v>
      </c>
      <c r="G942" s="25"/>
      <c r="H942" s="22">
        <v>3.2771342303555E13</v>
      </c>
      <c r="I942" s="25"/>
      <c r="J942" s="25"/>
      <c r="K942" s="22">
        <v>4.2085703581939E13</v>
      </c>
      <c r="L942" s="25"/>
      <c r="M942" s="25"/>
      <c r="N942" s="22" t="s">
        <v>3828</v>
      </c>
      <c r="O942" s="22" t="s">
        <v>11226</v>
      </c>
      <c r="P942" s="22" t="s">
        <v>3828</v>
      </c>
      <c r="Q942" s="22" t="s">
        <v>11227</v>
      </c>
      <c r="R942" s="22" t="s">
        <v>11228</v>
      </c>
      <c r="S942" s="25"/>
      <c r="T942" s="40" t="s">
        <v>11229</v>
      </c>
      <c r="U942" s="22" t="s">
        <v>11230</v>
      </c>
      <c r="V942" s="25"/>
      <c r="W942" s="22" t="s">
        <v>11231</v>
      </c>
      <c r="X942" s="22" t="s">
        <v>8289</v>
      </c>
      <c r="Y942" s="25"/>
      <c r="Z942" s="25"/>
      <c r="AA942" s="22" t="s">
        <v>8129</v>
      </c>
      <c r="AB942" s="22" t="s">
        <v>8130</v>
      </c>
      <c r="AC942" s="25"/>
      <c r="AD942" s="22" t="s">
        <v>8131</v>
      </c>
      <c r="AE942" s="22" t="s">
        <v>8132</v>
      </c>
      <c r="AF942" s="25"/>
      <c r="AG942" s="22">
        <v>1.0467894919491E13</v>
      </c>
      <c r="AH942" s="22" t="s">
        <v>90</v>
      </c>
      <c r="AI942" s="22">
        <v>5.957932876019E12</v>
      </c>
      <c r="AJ942" s="25"/>
      <c r="AK942" s="25"/>
      <c r="AL942" s="22" t="s">
        <v>8134</v>
      </c>
      <c r="AQ942" s="32" t="s">
        <v>8150</v>
      </c>
      <c r="AR942" s="32" t="b">
        <v>0</v>
      </c>
      <c r="AS942" s="32" t="b">
        <v>0</v>
      </c>
    </row>
    <row r="943">
      <c r="A943" s="21" t="s">
        <v>11225</v>
      </c>
      <c r="B943" s="25"/>
      <c r="C943" s="25"/>
      <c r="D943" s="22" t="s">
        <v>8221</v>
      </c>
      <c r="E943" s="25"/>
      <c r="F943" s="22" t="s">
        <v>8136</v>
      </c>
      <c r="G943" s="25"/>
      <c r="H943" s="22">
        <v>9.522187370819E12</v>
      </c>
      <c r="I943" s="25"/>
      <c r="J943" s="25"/>
      <c r="K943" s="25"/>
      <c r="L943" s="25"/>
      <c r="M943" s="25"/>
      <c r="N943" s="22" t="s">
        <v>3828</v>
      </c>
      <c r="O943" s="22" t="s">
        <v>11226</v>
      </c>
      <c r="P943" s="22" t="s">
        <v>3828</v>
      </c>
      <c r="Q943" s="22" t="s">
        <v>11227</v>
      </c>
      <c r="R943" s="22" t="s">
        <v>11228</v>
      </c>
      <c r="S943" s="25"/>
      <c r="T943" s="40" t="s">
        <v>11229</v>
      </c>
      <c r="U943" s="22" t="s">
        <v>11230</v>
      </c>
      <c r="V943" s="25"/>
      <c r="W943" s="22" t="s">
        <v>11231</v>
      </c>
      <c r="X943" s="22" t="s">
        <v>8289</v>
      </c>
      <c r="Y943" s="25"/>
      <c r="Z943" s="25"/>
      <c r="AA943" s="22" t="s">
        <v>8129</v>
      </c>
      <c r="AB943" s="22" t="s">
        <v>8130</v>
      </c>
      <c r="AC943" s="25"/>
      <c r="AD943" s="25"/>
      <c r="AE943" s="22" t="s">
        <v>8132</v>
      </c>
      <c r="AF943" s="25"/>
      <c r="AG943" s="22">
        <v>1.0467894919491E13</v>
      </c>
      <c r="AH943" s="22" t="s">
        <v>8137</v>
      </c>
      <c r="AI943" s="22">
        <v>5.957932876019E12</v>
      </c>
      <c r="AJ943" s="25"/>
      <c r="AK943" s="25"/>
      <c r="AL943" s="22" t="s">
        <v>8136</v>
      </c>
      <c r="AR943" s="32" t="b">
        <v>0</v>
      </c>
      <c r="AS943" s="32" t="b">
        <v>0</v>
      </c>
    </row>
    <row r="944">
      <c r="A944" s="21" t="s">
        <v>11232</v>
      </c>
      <c r="B944" s="22" t="s">
        <v>8707</v>
      </c>
      <c r="C944" s="22">
        <v>1.0</v>
      </c>
      <c r="D944" s="22" t="s">
        <v>11233</v>
      </c>
      <c r="E944" s="22" t="s">
        <v>8707</v>
      </c>
      <c r="F944" s="22" t="s">
        <v>8155</v>
      </c>
      <c r="G944" s="25"/>
      <c r="H944" s="22">
        <v>3.2771550085443E13</v>
      </c>
      <c r="I944" s="25"/>
      <c r="J944" s="25"/>
      <c r="K944" s="22">
        <v>4.9521175429443E13</v>
      </c>
      <c r="L944" s="25"/>
      <c r="M944" s="25"/>
      <c r="N944" s="22" t="s">
        <v>3895</v>
      </c>
      <c r="O944" s="22" t="s">
        <v>11234</v>
      </c>
      <c r="P944" s="22" t="s">
        <v>3895</v>
      </c>
      <c r="Q944" s="22" t="s">
        <v>11234</v>
      </c>
      <c r="R944" s="22" t="s">
        <v>11235</v>
      </c>
      <c r="S944" s="25"/>
      <c r="T944" s="40" t="s">
        <v>11236</v>
      </c>
      <c r="U944" s="22" t="s">
        <v>11237</v>
      </c>
      <c r="V944" s="25"/>
      <c r="W944" s="22" t="s">
        <v>11238</v>
      </c>
      <c r="X944" s="22" t="s">
        <v>9415</v>
      </c>
      <c r="Y944" s="25"/>
      <c r="Z944" s="25"/>
      <c r="AA944" s="22" t="s">
        <v>8129</v>
      </c>
      <c r="AB944" s="22" t="s">
        <v>8130</v>
      </c>
      <c r="AC944" s="25"/>
      <c r="AD944" s="22" t="s">
        <v>8161</v>
      </c>
      <c r="AE944" s="22" t="s">
        <v>8132</v>
      </c>
      <c r="AF944" s="25"/>
      <c r="AG944" s="22">
        <v>1.0467990536515E13</v>
      </c>
      <c r="AH944" s="22" t="s">
        <v>90</v>
      </c>
      <c r="AI944" s="22">
        <v>2.3435505598787E13</v>
      </c>
      <c r="AJ944" s="25"/>
      <c r="AK944" s="25"/>
      <c r="AL944" s="22" t="s">
        <v>8336</v>
      </c>
      <c r="AQ944" s="32" t="s">
        <v>54</v>
      </c>
      <c r="AR944" s="32" t="b">
        <v>0</v>
      </c>
      <c r="AS944" s="32" t="b">
        <v>1</v>
      </c>
    </row>
    <row r="945">
      <c r="A945" s="21" t="s">
        <v>11232</v>
      </c>
      <c r="B945" s="25"/>
      <c r="C945" s="25"/>
      <c r="D945" s="22" t="s">
        <v>11233</v>
      </c>
      <c r="E945" s="25"/>
      <c r="F945" s="22" t="s">
        <v>8149</v>
      </c>
      <c r="G945" s="25"/>
      <c r="H945" s="22">
        <v>9.522271846723E12</v>
      </c>
      <c r="I945" s="25"/>
      <c r="J945" s="25"/>
      <c r="K945" s="25"/>
      <c r="L945" s="25"/>
      <c r="M945" s="25"/>
      <c r="N945" s="22" t="s">
        <v>3895</v>
      </c>
      <c r="O945" s="22" t="s">
        <v>11234</v>
      </c>
      <c r="P945" s="22" t="s">
        <v>3895</v>
      </c>
      <c r="Q945" s="22" t="s">
        <v>11234</v>
      </c>
      <c r="R945" s="22" t="s">
        <v>11235</v>
      </c>
      <c r="S945" s="25"/>
      <c r="T945" s="40" t="s">
        <v>11236</v>
      </c>
      <c r="U945" s="22" t="s">
        <v>11237</v>
      </c>
      <c r="V945" s="25"/>
      <c r="W945" s="22" t="s">
        <v>11238</v>
      </c>
      <c r="X945" s="22" t="s">
        <v>9415</v>
      </c>
      <c r="Y945" s="25"/>
      <c r="Z945" s="25"/>
      <c r="AA945" s="22" t="s">
        <v>8129</v>
      </c>
      <c r="AB945" s="22" t="s">
        <v>8130</v>
      </c>
      <c r="AC945" s="25"/>
      <c r="AD945" s="25"/>
      <c r="AE945" s="22" t="s">
        <v>8132</v>
      </c>
      <c r="AF945" s="25"/>
      <c r="AG945" s="22">
        <v>1.0467990536515E13</v>
      </c>
      <c r="AH945" s="22" t="s">
        <v>8137</v>
      </c>
      <c r="AI945" s="22">
        <v>2.3435505598787E13</v>
      </c>
      <c r="AJ945" s="25"/>
      <c r="AK945" s="25"/>
      <c r="AL945" s="22" t="s">
        <v>8149</v>
      </c>
      <c r="AR945" s="32" t="b">
        <v>0</v>
      </c>
      <c r="AS945" s="32" t="b">
        <v>0</v>
      </c>
    </row>
    <row r="946">
      <c r="A946" s="21" t="s">
        <v>11239</v>
      </c>
      <c r="B946" s="22" t="s">
        <v>8119</v>
      </c>
      <c r="C946" s="22">
        <v>1.0</v>
      </c>
      <c r="D946" s="22" t="s">
        <v>8203</v>
      </c>
      <c r="E946" s="22" t="s">
        <v>8119</v>
      </c>
      <c r="F946" s="22" t="s">
        <v>8121</v>
      </c>
      <c r="G946" s="25"/>
      <c r="H946" s="22">
        <v>3.2771603857731E13</v>
      </c>
      <c r="I946" s="25"/>
      <c r="J946" s="25"/>
      <c r="K946" s="22">
        <v>4.2085703549171E13</v>
      </c>
      <c r="L946" s="25"/>
      <c r="M946" s="25"/>
      <c r="N946" s="22" t="s">
        <v>11240</v>
      </c>
      <c r="O946" s="22" t="s">
        <v>11241</v>
      </c>
      <c r="P946" s="22" t="s">
        <v>11240</v>
      </c>
      <c r="Q946" s="22" t="s">
        <v>11241</v>
      </c>
      <c r="R946" s="22" t="s">
        <v>11242</v>
      </c>
      <c r="S946" s="25"/>
      <c r="T946" s="40" t="s">
        <v>11243</v>
      </c>
      <c r="U946" s="22" t="s">
        <v>11244</v>
      </c>
      <c r="V946" s="22">
        <v>13.0</v>
      </c>
      <c r="W946" s="22" t="s">
        <v>11245</v>
      </c>
      <c r="X946" s="22" t="s">
        <v>8128</v>
      </c>
      <c r="Y946" s="25"/>
      <c r="Z946" s="25"/>
      <c r="AA946" s="22" t="s">
        <v>8129</v>
      </c>
      <c r="AB946" s="22" t="s">
        <v>8130</v>
      </c>
      <c r="AC946" s="25"/>
      <c r="AD946" s="22" t="s">
        <v>8131</v>
      </c>
      <c r="AE946" s="22" t="s">
        <v>8132</v>
      </c>
      <c r="AF946" s="25"/>
      <c r="AG946" s="22">
        <v>1.0468013900099E13</v>
      </c>
      <c r="AH946" s="22" t="s">
        <v>90</v>
      </c>
      <c r="AI946" s="22">
        <v>2.3435529126211E13</v>
      </c>
      <c r="AJ946" s="25"/>
      <c r="AK946" s="25"/>
      <c r="AL946" s="22" t="s">
        <v>8133</v>
      </c>
      <c r="AQ946" s="32" t="s">
        <v>8135</v>
      </c>
      <c r="AR946" s="32" t="b">
        <v>0</v>
      </c>
      <c r="AS946" s="32" t="b">
        <v>0</v>
      </c>
    </row>
    <row r="947">
      <c r="A947" s="21" t="s">
        <v>11239</v>
      </c>
      <c r="B947" s="25"/>
      <c r="C947" s="25"/>
      <c r="D947" s="22" t="s">
        <v>8203</v>
      </c>
      <c r="E947" s="25"/>
      <c r="F947" s="22" t="s">
        <v>8136</v>
      </c>
      <c r="G947" s="25"/>
      <c r="H947" s="22">
        <v>9.522292556099E12</v>
      </c>
      <c r="I947" s="25"/>
      <c r="J947" s="25"/>
      <c r="K947" s="25"/>
      <c r="L947" s="25"/>
      <c r="M947" s="25"/>
      <c r="N947" s="22" t="s">
        <v>11240</v>
      </c>
      <c r="O947" s="22" t="s">
        <v>11241</v>
      </c>
      <c r="P947" s="22" t="s">
        <v>11240</v>
      </c>
      <c r="Q947" s="22" t="s">
        <v>11241</v>
      </c>
      <c r="R947" s="22" t="s">
        <v>11242</v>
      </c>
      <c r="S947" s="25"/>
      <c r="T947" s="40" t="s">
        <v>11243</v>
      </c>
      <c r="U947" s="22" t="s">
        <v>11244</v>
      </c>
      <c r="V947" s="22">
        <v>13.0</v>
      </c>
      <c r="W947" s="22" t="s">
        <v>11245</v>
      </c>
      <c r="X947" s="22" t="s">
        <v>8128</v>
      </c>
      <c r="Y947" s="25"/>
      <c r="Z947" s="25"/>
      <c r="AA947" s="22" t="s">
        <v>8129</v>
      </c>
      <c r="AB947" s="22" t="s">
        <v>8130</v>
      </c>
      <c r="AC947" s="25"/>
      <c r="AD947" s="25"/>
      <c r="AE947" s="22" t="s">
        <v>8132</v>
      </c>
      <c r="AF947" s="25"/>
      <c r="AG947" s="22">
        <v>1.0468013900099E13</v>
      </c>
      <c r="AH947" s="22" t="s">
        <v>8137</v>
      </c>
      <c r="AI947" s="22">
        <v>2.3435529126211E13</v>
      </c>
      <c r="AJ947" s="25"/>
      <c r="AK947" s="25"/>
      <c r="AL947" s="22" t="s">
        <v>8136</v>
      </c>
      <c r="AR947" s="32" t="b">
        <v>0</v>
      </c>
      <c r="AS947" s="32" t="b">
        <v>0</v>
      </c>
    </row>
    <row r="948">
      <c r="A948" s="21" t="s">
        <v>11246</v>
      </c>
      <c r="B948" s="22" t="s">
        <v>8467</v>
      </c>
      <c r="C948" s="22">
        <v>1.0</v>
      </c>
      <c r="D948" s="22" t="s">
        <v>8371</v>
      </c>
      <c r="E948" s="22" t="s">
        <v>8467</v>
      </c>
      <c r="F948" s="22" t="s">
        <v>8155</v>
      </c>
      <c r="G948" s="25"/>
      <c r="H948" s="22">
        <v>3.2771665035587E13</v>
      </c>
      <c r="I948" s="25"/>
      <c r="J948" s="25"/>
      <c r="K948" s="22">
        <v>4.9521175462211E13</v>
      </c>
      <c r="L948" s="25"/>
      <c r="M948" s="25"/>
      <c r="N948" s="22" t="s">
        <v>3808</v>
      </c>
      <c r="O948" s="22" t="s">
        <v>11247</v>
      </c>
      <c r="P948" s="22" t="s">
        <v>3808</v>
      </c>
      <c r="Q948" s="22" t="s">
        <v>11247</v>
      </c>
      <c r="R948" s="22" t="s">
        <v>11248</v>
      </c>
      <c r="S948" s="25"/>
      <c r="T948" s="40" t="s">
        <v>11249</v>
      </c>
      <c r="U948" s="22" t="s">
        <v>11250</v>
      </c>
      <c r="V948" s="25"/>
      <c r="W948" s="22" t="s">
        <v>11251</v>
      </c>
      <c r="X948" s="22" t="s">
        <v>8251</v>
      </c>
      <c r="Y948" s="25"/>
      <c r="Z948" s="25"/>
      <c r="AA948" s="22" t="s">
        <v>8129</v>
      </c>
      <c r="AB948" s="22" t="s">
        <v>8130</v>
      </c>
      <c r="AC948" s="25"/>
      <c r="AD948" s="22" t="s">
        <v>8161</v>
      </c>
      <c r="AE948" s="22" t="s">
        <v>8132</v>
      </c>
      <c r="AF948" s="25"/>
      <c r="AG948" s="22">
        <v>1.0468043686211E13</v>
      </c>
      <c r="AH948" s="22" t="s">
        <v>90</v>
      </c>
      <c r="AI948" s="22">
        <v>2.3435314233667E13</v>
      </c>
      <c r="AJ948" s="25"/>
      <c r="AK948" s="25"/>
      <c r="AL948" s="22" t="s">
        <v>8173</v>
      </c>
      <c r="AQ948" s="32" t="s">
        <v>55</v>
      </c>
      <c r="AR948" s="32" t="b">
        <v>0</v>
      </c>
      <c r="AS948" s="32" t="b">
        <v>1</v>
      </c>
    </row>
    <row r="949">
      <c r="A949" s="21" t="s">
        <v>11246</v>
      </c>
      <c r="B949" s="25"/>
      <c r="C949" s="25"/>
      <c r="D949" s="22" t="s">
        <v>8371</v>
      </c>
      <c r="E949" s="25"/>
      <c r="F949" s="22" t="s">
        <v>8149</v>
      </c>
      <c r="G949" s="25"/>
      <c r="H949" s="22">
        <v>9.522318901571E12</v>
      </c>
      <c r="I949" s="25"/>
      <c r="J949" s="25"/>
      <c r="K949" s="25"/>
      <c r="L949" s="25"/>
      <c r="M949" s="25"/>
      <c r="N949" s="22" t="s">
        <v>3808</v>
      </c>
      <c r="O949" s="22" t="s">
        <v>11247</v>
      </c>
      <c r="P949" s="22" t="s">
        <v>3808</v>
      </c>
      <c r="Q949" s="22" t="s">
        <v>11247</v>
      </c>
      <c r="R949" s="22" t="s">
        <v>11248</v>
      </c>
      <c r="S949" s="25"/>
      <c r="T949" s="40" t="s">
        <v>11249</v>
      </c>
      <c r="U949" s="22" t="s">
        <v>11250</v>
      </c>
      <c r="V949" s="25"/>
      <c r="W949" s="22" t="s">
        <v>11251</v>
      </c>
      <c r="X949" s="22" t="s">
        <v>8251</v>
      </c>
      <c r="Y949" s="25"/>
      <c r="Z949" s="25"/>
      <c r="AA949" s="22" t="s">
        <v>8129</v>
      </c>
      <c r="AB949" s="22" t="s">
        <v>8130</v>
      </c>
      <c r="AC949" s="25"/>
      <c r="AD949" s="25"/>
      <c r="AE949" s="22" t="s">
        <v>8132</v>
      </c>
      <c r="AF949" s="25"/>
      <c r="AG949" s="22">
        <v>1.0468043686211E13</v>
      </c>
      <c r="AH949" s="22" t="s">
        <v>8137</v>
      </c>
      <c r="AI949" s="22">
        <v>2.3435314233667E13</v>
      </c>
      <c r="AJ949" s="25"/>
      <c r="AK949" s="25"/>
      <c r="AL949" s="22" t="s">
        <v>8149</v>
      </c>
      <c r="AR949" s="32" t="b">
        <v>0</v>
      </c>
      <c r="AS949" s="32" t="b">
        <v>0</v>
      </c>
    </row>
    <row r="950">
      <c r="A950" s="21" t="s">
        <v>11252</v>
      </c>
      <c r="B950" s="22" t="s">
        <v>8140</v>
      </c>
      <c r="C950" s="22">
        <v>1.0</v>
      </c>
      <c r="D950" s="22" t="s">
        <v>8221</v>
      </c>
      <c r="E950" s="22" t="s">
        <v>8140</v>
      </c>
      <c r="F950" s="22" t="s">
        <v>8121</v>
      </c>
      <c r="G950" s="25"/>
      <c r="H950" s="22">
        <v>3.2772119593283E13</v>
      </c>
      <c r="I950" s="25"/>
      <c r="J950" s="25"/>
      <c r="K950" s="22">
        <v>4.2085703581939E13</v>
      </c>
      <c r="L950" s="25"/>
      <c r="M950" s="25"/>
      <c r="N950" s="22" t="s">
        <v>6481</v>
      </c>
      <c r="O950" s="22" t="s">
        <v>11253</v>
      </c>
      <c r="P950" s="22" t="s">
        <v>6481</v>
      </c>
      <c r="Q950" s="22" t="s">
        <v>11253</v>
      </c>
      <c r="R950" s="22" t="s">
        <v>11254</v>
      </c>
      <c r="S950" s="25"/>
      <c r="T950" s="40" t="s">
        <v>11255</v>
      </c>
      <c r="U950" s="22" t="s">
        <v>11256</v>
      </c>
      <c r="V950" s="25"/>
      <c r="W950" s="22" t="s">
        <v>11257</v>
      </c>
      <c r="X950" s="22" t="s">
        <v>8289</v>
      </c>
      <c r="Y950" s="25"/>
      <c r="Z950" s="25"/>
      <c r="AA950" s="22" t="s">
        <v>8129</v>
      </c>
      <c r="AB950" s="22" t="s">
        <v>8130</v>
      </c>
      <c r="AC950" s="25"/>
      <c r="AD950" s="22" t="s">
        <v>8131</v>
      </c>
      <c r="AE950" s="22" t="s">
        <v>8132</v>
      </c>
      <c r="AF950" s="25"/>
      <c r="AG950" s="22">
        <v>1.0468250976579E13</v>
      </c>
      <c r="AH950" s="22" t="s">
        <v>90</v>
      </c>
      <c r="AI950" s="22">
        <v>2.3435766530371E13</v>
      </c>
      <c r="AJ950" s="25"/>
      <c r="AK950" s="25"/>
      <c r="AL950" s="22" t="s">
        <v>8134</v>
      </c>
      <c r="AQ950" s="32" t="s">
        <v>8150</v>
      </c>
      <c r="AR950" s="32" t="b">
        <v>0</v>
      </c>
      <c r="AS950" s="32" t="b">
        <v>0</v>
      </c>
    </row>
    <row r="951">
      <c r="A951" s="21" t="s">
        <v>11252</v>
      </c>
      <c r="B951" s="25"/>
      <c r="C951" s="25"/>
      <c r="D951" s="22" t="s">
        <v>8221</v>
      </c>
      <c r="E951" s="25"/>
      <c r="F951" s="22" t="s">
        <v>8136</v>
      </c>
      <c r="G951" s="25"/>
      <c r="H951" s="22">
        <v>9.522498273603E12</v>
      </c>
      <c r="I951" s="25"/>
      <c r="J951" s="25"/>
      <c r="K951" s="25"/>
      <c r="L951" s="25"/>
      <c r="M951" s="25"/>
      <c r="N951" s="22" t="s">
        <v>6481</v>
      </c>
      <c r="O951" s="22" t="s">
        <v>11253</v>
      </c>
      <c r="P951" s="22" t="s">
        <v>6481</v>
      </c>
      <c r="Q951" s="22" t="s">
        <v>11253</v>
      </c>
      <c r="R951" s="22" t="s">
        <v>11254</v>
      </c>
      <c r="S951" s="25"/>
      <c r="T951" s="40" t="s">
        <v>11255</v>
      </c>
      <c r="U951" s="22" t="s">
        <v>11256</v>
      </c>
      <c r="V951" s="25"/>
      <c r="W951" s="22" t="s">
        <v>11257</v>
      </c>
      <c r="X951" s="22" t="s">
        <v>8289</v>
      </c>
      <c r="Y951" s="25"/>
      <c r="Z951" s="25"/>
      <c r="AA951" s="22" t="s">
        <v>8129</v>
      </c>
      <c r="AB951" s="22" t="s">
        <v>8130</v>
      </c>
      <c r="AC951" s="25"/>
      <c r="AD951" s="25"/>
      <c r="AE951" s="22" t="s">
        <v>8132</v>
      </c>
      <c r="AF951" s="25"/>
      <c r="AG951" s="22">
        <v>1.0468250976579E13</v>
      </c>
      <c r="AH951" s="22" t="s">
        <v>8137</v>
      </c>
      <c r="AI951" s="22">
        <v>2.3435766530371E13</v>
      </c>
      <c r="AJ951" s="25"/>
      <c r="AK951" s="25"/>
      <c r="AL951" s="22" t="s">
        <v>8136</v>
      </c>
      <c r="AR951" s="32" t="b">
        <v>0</v>
      </c>
      <c r="AS951" s="32" t="b">
        <v>0</v>
      </c>
    </row>
    <row r="952">
      <c r="A952" s="21" t="s">
        <v>11258</v>
      </c>
      <c r="B952" s="22" t="s">
        <v>8119</v>
      </c>
      <c r="C952" s="22">
        <v>1.0</v>
      </c>
      <c r="D952" s="22" t="s">
        <v>8212</v>
      </c>
      <c r="E952" s="22" t="s">
        <v>8119</v>
      </c>
      <c r="F952" s="22" t="s">
        <v>8121</v>
      </c>
      <c r="G952" s="25"/>
      <c r="H952" s="22">
        <v>3.2772238836035E13</v>
      </c>
      <c r="I952" s="25"/>
      <c r="J952" s="25"/>
      <c r="K952" s="22">
        <v>4.2085703549171E13</v>
      </c>
      <c r="L952" s="25"/>
      <c r="M952" s="25"/>
      <c r="N952" s="22" t="s">
        <v>11259</v>
      </c>
      <c r="O952" s="22" t="s">
        <v>11260</v>
      </c>
      <c r="P952" s="22" t="s">
        <v>11259</v>
      </c>
      <c r="Q952" s="22" t="s">
        <v>11260</v>
      </c>
      <c r="R952" s="22" t="s">
        <v>11261</v>
      </c>
      <c r="S952" s="25"/>
      <c r="T952" s="40" t="s">
        <v>11262</v>
      </c>
      <c r="U952" s="22" t="s">
        <v>11263</v>
      </c>
      <c r="V952" s="25"/>
      <c r="W952" s="22" t="s">
        <v>11264</v>
      </c>
      <c r="X952" s="22" t="s">
        <v>8380</v>
      </c>
      <c r="Y952" s="25"/>
      <c r="Z952" s="25"/>
      <c r="AA952" s="22" t="s">
        <v>8129</v>
      </c>
      <c r="AB952" s="22" t="s">
        <v>8130</v>
      </c>
      <c r="AC952" s="25"/>
      <c r="AD952" s="22" t="s">
        <v>8131</v>
      </c>
      <c r="AE952" s="22" t="s">
        <v>8132</v>
      </c>
      <c r="AF952" s="25"/>
      <c r="AG952" s="22">
        <v>1.0468303208771E13</v>
      </c>
      <c r="AH952" s="22" t="s">
        <v>90</v>
      </c>
      <c r="AI952" s="22">
        <v>7.467959845187E12</v>
      </c>
      <c r="AJ952" s="25"/>
      <c r="AK952" s="25"/>
      <c r="AL952" s="22" t="s">
        <v>8133</v>
      </c>
      <c r="AQ952" s="32" t="s">
        <v>8135</v>
      </c>
      <c r="AR952" s="32" t="b">
        <v>0</v>
      </c>
      <c r="AS952" s="32" t="b">
        <v>0</v>
      </c>
    </row>
    <row r="953">
      <c r="A953" s="21" t="s">
        <v>11258</v>
      </c>
      <c r="B953" s="25"/>
      <c r="C953" s="25"/>
      <c r="D953" s="22" t="s">
        <v>8212</v>
      </c>
      <c r="E953" s="25"/>
      <c r="F953" s="22" t="s">
        <v>8136</v>
      </c>
      <c r="G953" s="25"/>
      <c r="H953" s="22">
        <v>9.522544148803E12</v>
      </c>
      <c r="I953" s="25"/>
      <c r="J953" s="25"/>
      <c r="K953" s="25"/>
      <c r="L953" s="25"/>
      <c r="M953" s="25"/>
      <c r="N953" s="22" t="s">
        <v>11259</v>
      </c>
      <c r="O953" s="22" t="s">
        <v>11260</v>
      </c>
      <c r="P953" s="22" t="s">
        <v>11259</v>
      </c>
      <c r="Q953" s="22" t="s">
        <v>11260</v>
      </c>
      <c r="R953" s="22" t="s">
        <v>11261</v>
      </c>
      <c r="S953" s="25"/>
      <c r="T953" s="40" t="s">
        <v>11262</v>
      </c>
      <c r="U953" s="22" t="s">
        <v>11263</v>
      </c>
      <c r="V953" s="25"/>
      <c r="W953" s="22" t="s">
        <v>11264</v>
      </c>
      <c r="X953" s="22" t="s">
        <v>8380</v>
      </c>
      <c r="Y953" s="25"/>
      <c r="Z953" s="25"/>
      <c r="AA953" s="22" t="s">
        <v>8129</v>
      </c>
      <c r="AB953" s="22" t="s">
        <v>8130</v>
      </c>
      <c r="AC953" s="25"/>
      <c r="AD953" s="25"/>
      <c r="AE953" s="22" t="s">
        <v>8132</v>
      </c>
      <c r="AF953" s="25"/>
      <c r="AG953" s="22">
        <v>1.0468303208771E13</v>
      </c>
      <c r="AH953" s="22" t="s">
        <v>8137</v>
      </c>
      <c r="AI953" s="22">
        <v>7.467959845187E12</v>
      </c>
      <c r="AJ953" s="25"/>
      <c r="AK953" s="25"/>
      <c r="AL953" s="22" t="s">
        <v>8136</v>
      </c>
      <c r="AR953" s="32" t="b">
        <v>0</v>
      </c>
      <c r="AS953" s="32" t="b">
        <v>0</v>
      </c>
    </row>
    <row r="954">
      <c r="A954" s="21" t="s">
        <v>11265</v>
      </c>
      <c r="B954" s="22" t="s">
        <v>8467</v>
      </c>
      <c r="C954" s="22">
        <v>1.0</v>
      </c>
      <c r="D954" s="22" t="s">
        <v>8175</v>
      </c>
      <c r="E954" s="22" t="s">
        <v>8467</v>
      </c>
      <c r="F954" s="22" t="s">
        <v>8155</v>
      </c>
      <c r="G954" s="25"/>
      <c r="H954" s="22">
        <v>3.2770616230211E13</v>
      </c>
      <c r="I954" s="25"/>
      <c r="J954" s="25"/>
      <c r="K954" s="22">
        <v>4.9521175462211E13</v>
      </c>
      <c r="L954" s="25"/>
      <c r="M954" s="25"/>
      <c r="N954" s="22" t="s">
        <v>5220</v>
      </c>
      <c r="O954" s="22" t="s">
        <v>11266</v>
      </c>
      <c r="P954" s="22" t="s">
        <v>5220</v>
      </c>
      <c r="Q954" s="22" t="s">
        <v>11266</v>
      </c>
      <c r="R954" s="22" t="s">
        <v>11267</v>
      </c>
      <c r="S954" s="25"/>
      <c r="T954" s="40" t="s">
        <v>11268</v>
      </c>
      <c r="U954" s="22" t="s">
        <v>11269</v>
      </c>
      <c r="V954" s="25"/>
      <c r="W954" s="22" t="s">
        <v>11270</v>
      </c>
      <c r="X954" s="40" t="s">
        <v>9763</v>
      </c>
      <c r="Y954" s="25"/>
      <c r="Z954" s="25"/>
      <c r="AA954" s="22" t="s">
        <v>8129</v>
      </c>
      <c r="AB954" s="22" t="s">
        <v>8130</v>
      </c>
      <c r="AC954" s="25"/>
      <c r="AD954" s="22" t="s">
        <v>8161</v>
      </c>
      <c r="AE954" s="22" t="s">
        <v>8132</v>
      </c>
      <c r="AF954" s="25"/>
      <c r="AG954" s="22">
        <v>1.0467557638467E13</v>
      </c>
      <c r="AH954" s="22" t="s">
        <v>90</v>
      </c>
      <c r="AI954" s="22">
        <v>2.3435071127875E13</v>
      </c>
      <c r="AJ954" s="25"/>
      <c r="AK954" s="25"/>
      <c r="AL954" s="22" t="s">
        <v>8173</v>
      </c>
      <c r="AQ954" s="32" t="s">
        <v>55</v>
      </c>
      <c r="AR954" s="32" t="b">
        <v>0</v>
      </c>
      <c r="AS954" s="32" t="b">
        <v>1</v>
      </c>
    </row>
    <row r="955">
      <c r="A955" s="21" t="s">
        <v>11265</v>
      </c>
      <c r="B955" s="25"/>
      <c r="C955" s="25"/>
      <c r="D955" s="22" t="s">
        <v>8175</v>
      </c>
      <c r="E955" s="25"/>
      <c r="F955" s="22" t="s">
        <v>8149</v>
      </c>
      <c r="G955" s="25"/>
      <c r="H955" s="22">
        <v>9.521889870147E12</v>
      </c>
      <c r="I955" s="25"/>
      <c r="J955" s="25"/>
      <c r="K955" s="25"/>
      <c r="L955" s="25"/>
      <c r="M955" s="25"/>
      <c r="N955" s="22" t="s">
        <v>5220</v>
      </c>
      <c r="O955" s="22" t="s">
        <v>11266</v>
      </c>
      <c r="P955" s="22" t="s">
        <v>5220</v>
      </c>
      <c r="Q955" s="22" t="s">
        <v>11266</v>
      </c>
      <c r="R955" s="22" t="s">
        <v>11267</v>
      </c>
      <c r="S955" s="25"/>
      <c r="T955" s="40" t="s">
        <v>11268</v>
      </c>
      <c r="U955" s="22" t="s">
        <v>11269</v>
      </c>
      <c r="V955" s="25"/>
      <c r="W955" s="22" t="s">
        <v>11270</v>
      </c>
      <c r="X955" s="40" t="s">
        <v>9763</v>
      </c>
      <c r="Y955" s="25"/>
      <c r="Z955" s="25"/>
      <c r="AA955" s="22" t="s">
        <v>8129</v>
      </c>
      <c r="AB955" s="22" t="s">
        <v>8130</v>
      </c>
      <c r="AC955" s="25"/>
      <c r="AD955" s="25"/>
      <c r="AE955" s="22" t="s">
        <v>8132</v>
      </c>
      <c r="AF955" s="25"/>
      <c r="AG955" s="22">
        <v>1.0467557638467E13</v>
      </c>
      <c r="AH955" s="22" t="s">
        <v>8137</v>
      </c>
      <c r="AI955" s="22">
        <v>2.3435071127875E13</v>
      </c>
      <c r="AJ955" s="25"/>
      <c r="AK955" s="25"/>
      <c r="AL955" s="22" t="s">
        <v>8149</v>
      </c>
      <c r="AR955" s="32" t="b">
        <v>0</v>
      </c>
      <c r="AS955" s="32" t="b">
        <v>0</v>
      </c>
    </row>
    <row r="956">
      <c r="A956" s="21" t="s">
        <v>11271</v>
      </c>
      <c r="B956" s="22" t="s">
        <v>8140</v>
      </c>
      <c r="C956" s="22">
        <v>1.0</v>
      </c>
      <c r="D956" s="22" t="s">
        <v>8501</v>
      </c>
      <c r="E956" s="22" t="s">
        <v>8140</v>
      </c>
      <c r="F956" s="22" t="s">
        <v>8121</v>
      </c>
      <c r="G956" s="25"/>
      <c r="H956" s="22">
        <v>3.2772289495363E13</v>
      </c>
      <c r="I956" s="25"/>
      <c r="J956" s="25"/>
      <c r="K956" s="22">
        <v>4.2085703581939E13</v>
      </c>
      <c r="L956" s="25"/>
      <c r="M956" s="25"/>
      <c r="N956" s="22" t="s">
        <v>4081</v>
      </c>
      <c r="O956" s="22" t="s">
        <v>11272</v>
      </c>
      <c r="P956" s="22" t="s">
        <v>4081</v>
      </c>
      <c r="Q956" s="22" t="s">
        <v>11272</v>
      </c>
      <c r="R956" s="22" t="s">
        <v>11273</v>
      </c>
      <c r="S956" s="25"/>
      <c r="T956" s="40" t="s">
        <v>11274</v>
      </c>
      <c r="U956" s="22" t="s">
        <v>11275</v>
      </c>
      <c r="V956" s="25"/>
      <c r="W956" s="22" t="s">
        <v>11276</v>
      </c>
      <c r="X956" s="22" t="s">
        <v>8227</v>
      </c>
      <c r="Y956" s="25"/>
      <c r="Z956" s="25"/>
      <c r="AA956" s="22" t="s">
        <v>8129</v>
      </c>
      <c r="AB956" s="22" t="s">
        <v>8130</v>
      </c>
      <c r="AC956" s="25"/>
      <c r="AD956" s="22" t="s">
        <v>8131</v>
      </c>
      <c r="AE956" s="22" t="s">
        <v>8132</v>
      </c>
      <c r="AF956" s="25"/>
      <c r="AG956" s="22">
        <v>1.0468325851459E13</v>
      </c>
      <c r="AH956" s="22" t="s">
        <v>90</v>
      </c>
      <c r="AI956" s="22">
        <v>8.627349717315E12</v>
      </c>
      <c r="AJ956" s="25"/>
      <c r="AK956" s="25"/>
      <c r="AL956" s="22" t="s">
        <v>8134</v>
      </c>
      <c r="AQ956" s="32" t="s">
        <v>8150</v>
      </c>
      <c r="AR956" s="32" t="b">
        <v>0</v>
      </c>
      <c r="AS956" s="32" t="b">
        <v>0</v>
      </c>
    </row>
    <row r="957">
      <c r="A957" s="21" t="s">
        <v>11271</v>
      </c>
      <c r="B957" s="25"/>
      <c r="C957" s="25"/>
      <c r="D957" s="22" t="s">
        <v>8501</v>
      </c>
      <c r="E957" s="25"/>
      <c r="F957" s="22" t="s">
        <v>8136</v>
      </c>
      <c r="G957" s="25"/>
      <c r="H957" s="22">
        <v>9.522563776835E12</v>
      </c>
      <c r="I957" s="25"/>
      <c r="J957" s="25"/>
      <c r="K957" s="25"/>
      <c r="L957" s="25"/>
      <c r="M957" s="25"/>
      <c r="N957" s="22" t="s">
        <v>4081</v>
      </c>
      <c r="O957" s="22" t="s">
        <v>11272</v>
      </c>
      <c r="P957" s="22" t="s">
        <v>4081</v>
      </c>
      <c r="Q957" s="22" t="s">
        <v>11272</v>
      </c>
      <c r="R957" s="22" t="s">
        <v>11273</v>
      </c>
      <c r="S957" s="25"/>
      <c r="T957" s="40" t="s">
        <v>11274</v>
      </c>
      <c r="U957" s="22" t="s">
        <v>11275</v>
      </c>
      <c r="V957" s="25"/>
      <c r="W957" s="22" t="s">
        <v>11276</v>
      </c>
      <c r="X957" s="22" t="s">
        <v>8227</v>
      </c>
      <c r="Y957" s="25"/>
      <c r="Z957" s="25"/>
      <c r="AA957" s="22" t="s">
        <v>8129</v>
      </c>
      <c r="AB957" s="22" t="s">
        <v>8130</v>
      </c>
      <c r="AC957" s="25"/>
      <c r="AD957" s="25"/>
      <c r="AE957" s="22" t="s">
        <v>8132</v>
      </c>
      <c r="AF957" s="25"/>
      <c r="AG957" s="22">
        <v>1.0468325851459E13</v>
      </c>
      <c r="AH957" s="22" t="s">
        <v>8137</v>
      </c>
      <c r="AI957" s="22">
        <v>8.627349717315E12</v>
      </c>
      <c r="AJ957" s="25"/>
      <c r="AK957" s="25"/>
      <c r="AL957" s="22" t="s">
        <v>8136</v>
      </c>
      <c r="AR957" s="32" t="b">
        <v>0</v>
      </c>
      <c r="AS957" s="32" t="b">
        <v>0</v>
      </c>
    </row>
    <row r="958">
      <c r="A958" s="21" t="s">
        <v>11277</v>
      </c>
      <c r="B958" s="22" t="s">
        <v>8140</v>
      </c>
      <c r="C958" s="22">
        <v>1.0</v>
      </c>
      <c r="D958" s="22" t="s">
        <v>8419</v>
      </c>
      <c r="E958" s="22" t="s">
        <v>8140</v>
      </c>
      <c r="F958" s="22" t="s">
        <v>8121</v>
      </c>
      <c r="G958" s="25"/>
      <c r="H958" s="22">
        <v>3.2772322722115E13</v>
      </c>
      <c r="I958" s="25"/>
      <c r="J958" s="25"/>
      <c r="K958" s="22">
        <v>4.2085703581939E13</v>
      </c>
      <c r="L958" s="25"/>
      <c r="M958" s="25"/>
      <c r="N958" s="22" t="s">
        <v>11278</v>
      </c>
      <c r="O958" s="22" t="s">
        <v>11279</v>
      </c>
      <c r="P958" s="22" t="s">
        <v>10389</v>
      </c>
      <c r="Q958" s="22" t="s">
        <v>11280</v>
      </c>
      <c r="R958" s="22" t="s">
        <v>11281</v>
      </c>
      <c r="S958" s="25"/>
      <c r="T958" s="40" t="s">
        <v>11282</v>
      </c>
      <c r="U958" s="22" t="s">
        <v>11283</v>
      </c>
      <c r="V958" s="22">
        <v>3.0</v>
      </c>
      <c r="W958" s="22" t="s">
        <v>11284</v>
      </c>
      <c r="X958" s="22" t="s">
        <v>11285</v>
      </c>
      <c r="Y958" s="25"/>
      <c r="Z958" s="25"/>
      <c r="AA958" s="22" t="s">
        <v>8129</v>
      </c>
      <c r="AB958" s="22" t="s">
        <v>8130</v>
      </c>
      <c r="AC958" s="25"/>
      <c r="AD958" s="22" t="s">
        <v>8131</v>
      </c>
      <c r="AE958" s="22" t="s">
        <v>8132</v>
      </c>
      <c r="AF958" s="25"/>
      <c r="AG958" s="22">
        <v>1.0468341088579E13</v>
      </c>
      <c r="AH958" s="22" t="s">
        <v>90</v>
      </c>
      <c r="AI958" s="22">
        <v>8.578125955395E12</v>
      </c>
      <c r="AJ958" s="25"/>
      <c r="AK958" s="25"/>
      <c r="AL958" s="22" t="s">
        <v>8134</v>
      </c>
      <c r="AQ958" s="32" t="s">
        <v>8150</v>
      </c>
      <c r="AR958" s="32" t="b">
        <v>0</v>
      </c>
      <c r="AS958" s="32" t="b">
        <v>0</v>
      </c>
    </row>
    <row r="959">
      <c r="A959" s="21" t="s">
        <v>11277</v>
      </c>
      <c r="B959" s="25"/>
      <c r="C959" s="25"/>
      <c r="D959" s="22" t="s">
        <v>8419</v>
      </c>
      <c r="E959" s="25"/>
      <c r="F959" s="22" t="s">
        <v>8136</v>
      </c>
      <c r="G959" s="25"/>
      <c r="H959" s="22">
        <v>9.522577146179E12</v>
      </c>
      <c r="I959" s="25"/>
      <c r="J959" s="25"/>
      <c r="K959" s="25"/>
      <c r="L959" s="25"/>
      <c r="M959" s="25"/>
      <c r="N959" s="22" t="s">
        <v>11278</v>
      </c>
      <c r="O959" s="22" t="s">
        <v>11279</v>
      </c>
      <c r="P959" s="22" t="s">
        <v>10389</v>
      </c>
      <c r="Q959" s="22" t="s">
        <v>11280</v>
      </c>
      <c r="R959" s="22" t="s">
        <v>11281</v>
      </c>
      <c r="S959" s="25"/>
      <c r="T959" s="40" t="s">
        <v>11282</v>
      </c>
      <c r="U959" s="22" t="s">
        <v>11283</v>
      </c>
      <c r="V959" s="22">
        <v>3.0</v>
      </c>
      <c r="W959" s="22" t="s">
        <v>11284</v>
      </c>
      <c r="X959" s="22" t="s">
        <v>11285</v>
      </c>
      <c r="Y959" s="25"/>
      <c r="Z959" s="25"/>
      <c r="AA959" s="22" t="s">
        <v>8129</v>
      </c>
      <c r="AB959" s="22" t="s">
        <v>8130</v>
      </c>
      <c r="AC959" s="25"/>
      <c r="AD959" s="25"/>
      <c r="AE959" s="22" t="s">
        <v>8132</v>
      </c>
      <c r="AF959" s="25"/>
      <c r="AG959" s="22">
        <v>1.0468341088579E13</v>
      </c>
      <c r="AH959" s="22" t="s">
        <v>8137</v>
      </c>
      <c r="AI959" s="22">
        <v>8.578125955395E12</v>
      </c>
      <c r="AJ959" s="25"/>
      <c r="AK959" s="25"/>
      <c r="AL959" s="22" t="s">
        <v>8136</v>
      </c>
      <c r="AR959" s="32" t="b">
        <v>0</v>
      </c>
      <c r="AS959" s="32" t="b">
        <v>0</v>
      </c>
    </row>
    <row r="960">
      <c r="A960" s="21" t="s">
        <v>11286</v>
      </c>
      <c r="B960" s="22" t="s">
        <v>8140</v>
      </c>
      <c r="C960" s="22">
        <v>1.0</v>
      </c>
      <c r="D960" s="22" t="s">
        <v>8203</v>
      </c>
      <c r="E960" s="22" t="s">
        <v>8140</v>
      </c>
      <c r="F960" s="22" t="s">
        <v>8121</v>
      </c>
      <c r="G960" s="25"/>
      <c r="H960" s="22">
        <v>3.2772539810115E13</v>
      </c>
      <c r="I960" s="25"/>
      <c r="J960" s="25"/>
      <c r="K960" s="22">
        <v>4.2085703581939E13</v>
      </c>
      <c r="L960" s="25"/>
      <c r="M960" s="25"/>
      <c r="N960" s="22" t="s">
        <v>5130</v>
      </c>
      <c r="O960" s="22" t="s">
        <v>11287</v>
      </c>
      <c r="P960" s="22" t="s">
        <v>5130</v>
      </c>
      <c r="Q960" s="22" t="s">
        <v>11287</v>
      </c>
      <c r="R960" s="22" t="s">
        <v>11288</v>
      </c>
      <c r="S960" s="25"/>
      <c r="T960" s="40" t="s">
        <v>11289</v>
      </c>
      <c r="U960" s="22" t="s">
        <v>11290</v>
      </c>
      <c r="V960" s="25"/>
      <c r="W960" s="22" t="s">
        <v>11291</v>
      </c>
      <c r="X960" s="22" t="s">
        <v>9508</v>
      </c>
      <c r="Y960" s="25"/>
      <c r="Z960" s="25"/>
      <c r="AA960" s="22" t="s">
        <v>8129</v>
      </c>
      <c r="AB960" s="22" t="s">
        <v>8130</v>
      </c>
      <c r="AC960" s="25"/>
      <c r="AD960" s="22" t="s">
        <v>8131</v>
      </c>
      <c r="AE960" s="22" t="s">
        <v>8132</v>
      </c>
      <c r="AF960" s="25"/>
      <c r="AG960" s="22">
        <v>1.0468438376771E13</v>
      </c>
      <c r="AH960" s="22" t="s">
        <v>90</v>
      </c>
      <c r="AI960" s="22">
        <v>7.468390842691E12</v>
      </c>
      <c r="AJ960" s="25"/>
      <c r="AK960" s="25"/>
      <c r="AL960" s="22" t="s">
        <v>8134</v>
      </c>
      <c r="AQ960" s="32" t="s">
        <v>8150</v>
      </c>
      <c r="AR960" s="32" t="b">
        <v>0</v>
      </c>
      <c r="AS960" s="32" t="b">
        <v>0</v>
      </c>
    </row>
    <row r="961">
      <c r="A961" s="21" t="s">
        <v>11286</v>
      </c>
      <c r="B961" s="25"/>
      <c r="C961" s="25"/>
      <c r="D961" s="22" t="s">
        <v>8203</v>
      </c>
      <c r="E961" s="25"/>
      <c r="F961" s="22" t="s">
        <v>8136</v>
      </c>
      <c r="G961" s="25"/>
      <c r="H961" s="22">
        <v>9.522664177987E12</v>
      </c>
      <c r="I961" s="25"/>
      <c r="J961" s="25"/>
      <c r="K961" s="25"/>
      <c r="L961" s="25"/>
      <c r="M961" s="25"/>
      <c r="N961" s="22" t="s">
        <v>5130</v>
      </c>
      <c r="O961" s="22" t="s">
        <v>11287</v>
      </c>
      <c r="P961" s="22" t="s">
        <v>5130</v>
      </c>
      <c r="Q961" s="22" t="s">
        <v>11287</v>
      </c>
      <c r="R961" s="22" t="s">
        <v>11288</v>
      </c>
      <c r="S961" s="25"/>
      <c r="T961" s="40" t="s">
        <v>11289</v>
      </c>
      <c r="U961" s="22" t="s">
        <v>11290</v>
      </c>
      <c r="V961" s="25"/>
      <c r="W961" s="22" t="s">
        <v>11291</v>
      </c>
      <c r="X961" s="22" t="s">
        <v>9508</v>
      </c>
      <c r="Y961" s="25"/>
      <c r="Z961" s="25"/>
      <c r="AA961" s="22" t="s">
        <v>8129</v>
      </c>
      <c r="AB961" s="22" t="s">
        <v>8130</v>
      </c>
      <c r="AC961" s="25"/>
      <c r="AD961" s="25"/>
      <c r="AE961" s="22" t="s">
        <v>8132</v>
      </c>
      <c r="AF961" s="25"/>
      <c r="AG961" s="22">
        <v>1.0468438376771E13</v>
      </c>
      <c r="AH961" s="22" t="s">
        <v>8137</v>
      </c>
      <c r="AI961" s="22">
        <v>7.468390842691E12</v>
      </c>
      <c r="AJ961" s="25"/>
      <c r="AK961" s="25"/>
      <c r="AL961" s="22" t="s">
        <v>8136</v>
      </c>
      <c r="AR961" s="32" t="b">
        <v>0</v>
      </c>
      <c r="AS961" s="32" t="b">
        <v>0</v>
      </c>
    </row>
    <row r="962">
      <c r="A962" s="21" t="s">
        <v>11292</v>
      </c>
      <c r="B962" s="22" t="s">
        <v>8140</v>
      </c>
      <c r="C962" s="22">
        <v>1.0</v>
      </c>
      <c r="D962" s="22" t="s">
        <v>8501</v>
      </c>
      <c r="E962" s="22" t="s">
        <v>8140</v>
      </c>
      <c r="F962" s="22" t="s">
        <v>8121</v>
      </c>
      <c r="G962" s="25"/>
      <c r="H962" s="22">
        <v>3.2772581622083E13</v>
      </c>
      <c r="I962" s="25"/>
      <c r="J962" s="25"/>
      <c r="K962" s="22">
        <v>4.2085703581939E13</v>
      </c>
      <c r="L962" s="25"/>
      <c r="M962" s="25"/>
      <c r="N962" s="22" t="s">
        <v>11293</v>
      </c>
      <c r="O962" s="22" t="s">
        <v>11294</v>
      </c>
      <c r="P962" s="22" t="s">
        <v>11293</v>
      </c>
      <c r="Q962" s="22" t="s">
        <v>11294</v>
      </c>
      <c r="R962" s="22" t="s">
        <v>11295</v>
      </c>
      <c r="S962" s="25"/>
      <c r="T962" s="40" t="s">
        <v>11296</v>
      </c>
      <c r="U962" s="22" t="s">
        <v>11297</v>
      </c>
      <c r="V962" s="25"/>
      <c r="W962" s="22" t="s">
        <v>11298</v>
      </c>
      <c r="X962" s="22" t="s">
        <v>11299</v>
      </c>
      <c r="Y962" s="25"/>
      <c r="Z962" s="25"/>
      <c r="AA962" s="22" t="s">
        <v>8129</v>
      </c>
      <c r="AB962" s="22" t="s">
        <v>8130</v>
      </c>
      <c r="AC962" s="25"/>
      <c r="AD962" s="22" t="s">
        <v>8131</v>
      </c>
      <c r="AE962" s="22" t="s">
        <v>8132</v>
      </c>
      <c r="AF962" s="25"/>
      <c r="AG962" s="22">
        <v>1.0468456792387E13</v>
      </c>
      <c r="AH962" s="22" t="s">
        <v>90</v>
      </c>
      <c r="AI962" s="22">
        <v>8.652135465283E12</v>
      </c>
      <c r="AJ962" s="25"/>
      <c r="AK962" s="25"/>
      <c r="AL962" s="22" t="s">
        <v>8134</v>
      </c>
      <c r="AQ962" s="32" t="s">
        <v>8150</v>
      </c>
      <c r="AR962" s="32" t="b">
        <v>0</v>
      </c>
      <c r="AS962" s="32" t="b">
        <v>0</v>
      </c>
    </row>
    <row r="963">
      <c r="A963" s="21" t="s">
        <v>11292</v>
      </c>
      <c r="B963" s="25"/>
      <c r="C963" s="25"/>
      <c r="D963" s="22" t="s">
        <v>8501</v>
      </c>
      <c r="E963" s="25"/>
      <c r="F963" s="22" t="s">
        <v>8136</v>
      </c>
      <c r="G963" s="25"/>
      <c r="H963" s="22">
        <v>9.522680660291E12</v>
      </c>
      <c r="I963" s="25"/>
      <c r="J963" s="25"/>
      <c r="K963" s="25"/>
      <c r="L963" s="25"/>
      <c r="M963" s="25"/>
      <c r="N963" s="22" t="s">
        <v>11293</v>
      </c>
      <c r="O963" s="22" t="s">
        <v>11294</v>
      </c>
      <c r="P963" s="22" t="s">
        <v>11293</v>
      </c>
      <c r="Q963" s="22" t="s">
        <v>11294</v>
      </c>
      <c r="R963" s="22" t="s">
        <v>11295</v>
      </c>
      <c r="S963" s="25"/>
      <c r="T963" s="40" t="s">
        <v>11296</v>
      </c>
      <c r="U963" s="22" t="s">
        <v>11297</v>
      </c>
      <c r="V963" s="25"/>
      <c r="W963" s="22" t="s">
        <v>11298</v>
      </c>
      <c r="X963" s="22" t="s">
        <v>11299</v>
      </c>
      <c r="Y963" s="25"/>
      <c r="Z963" s="25"/>
      <c r="AA963" s="22" t="s">
        <v>8129</v>
      </c>
      <c r="AB963" s="22" t="s">
        <v>8130</v>
      </c>
      <c r="AC963" s="25"/>
      <c r="AD963" s="25"/>
      <c r="AE963" s="22" t="s">
        <v>8132</v>
      </c>
      <c r="AF963" s="25"/>
      <c r="AG963" s="22">
        <v>1.0468456792387E13</v>
      </c>
      <c r="AH963" s="22" t="s">
        <v>8137</v>
      </c>
      <c r="AI963" s="22">
        <v>8.652135465283E12</v>
      </c>
      <c r="AJ963" s="25"/>
      <c r="AK963" s="25"/>
      <c r="AL963" s="22" t="s">
        <v>8136</v>
      </c>
      <c r="AR963" s="32" t="b">
        <v>0</v>
      </c>
      <c r="AS963" s="32" t="b">
        <v>0</v>
      </c>
    </row>
    <row r="964">
      <c r="A964" s="21" t="s">
        <v>11300</v>
      </c>
      <c r="B964" s="22" t="s">
        <v>8140</v>
      </c>
      <c r="C964" s="22">
        <v>1.0</v>
      </c>
      <c r="D964" s="22" t="s">
        <v>8501</v>
      </c>
      <c r="E964" s="22" t="s">
        <v>8140</v>
      </c>
      <c r="F964" s="22" t="s">
        <v>8121</v>
      </c>
      <c r="G964" s="25"/>
      <c r="H964" s="22">
        <v>3.2772687561027E13</v>
      </c>
      <c r="I964" s="25"/>
      <c r="J964" s="25"/>
      <c r="K964" s="22">
        <v>4.2085703581939E13</v>
      </c>
      <c r="L964" s="25"/>
      <c r="M964" s="25"/>
      <c r="N964" s="22" t="s">
        <v>11301</v>
      </c>
      <c r="O964" s="22" t="s">
        <v>11302</v>
      </c>
      <c r="P964" s="22" t="s">
        <v>11301</v>
      </c>
      <c r="Q964" s="22" t="s">
        <v>11302</v>
      </c>
      <c r="R964" s="22" t="s">
        <v>11303</v>
      </c>
      <c r="S964" s="22" t="s">
        <v>11304</v>
      </c>
      <c r="T964" s="40" t="s">
        <v>11305</v>
      </c>
      <c r="U964" s="22" t="s">
        <v>11306</v>
      </c>
      <c r="V964" s="25"/>
      <c r="W964" s="22" t="s">
        <v>11307</v>
      </c>
      <c r="X964" s="22" t="s">
        <v>8663</v>
      </c>
      <c r="Y964" s="25"/>
      <c r="Z964" s="25"/>
      <c r="AA964" s="22" t="s">
        <v>8129</v>
      </c>
      <c r="AB964" s="22" t="s">
        <v>8130</v>
      </c>
      <c r="AC964" s="25"/>
      <c r="AD964" s="22" t="s">
        <v>8131</v>
      </c>
      <c r="AE964" s="22" t="s">
        <v>8132</v>
      </c>
      <c r="AF964" s="25"/>
      <c r="AG964" s="22">
        <v>1.0468502208835E13</v>
      </c>
      <c r="AH964" s="22" t="s">
        <v>90</v>
      </c>
      <c r="AI964" s="22">
        <v>8.533519073603E12</v>
      </c>
      <c r="AJ964" s="25"/>
      <c r="AK964" s="25"/>
      <c r="AL964" s="22" t="s">
        <v>8134</v>
      </c>
      <c r="AQ964" s="32" t="s">
        <v>8150</v>
      </c>
      <c r="AR964" s="32" t="b">
        <v>0</v>
      </c>
      <c r="AS964" s="32" t="b">
        <v>0</v>
      </c>
    </row>
    <row r="965">
      <c r="A965" s="21" t="s">
        <v>11300</v>
      </c>
      <c r="B965" s="25"/>
      <c r="C965" s="25"/>
      <c r="D965" s="22" t="s">
        <v>8501</v>
      </c>
      <c r="E965" s="25"/>
      <c r="F965" s="22" t="s">
        <v>8136</v>
      </c>
      <c r="G965" s="25"/>
      <c r="H965" s="22">
        <v>9.522721587523E12</v>
      </c>
      <c r="I965" s="25"/>
      <c r="J965" s="25"/>
      <c r="K965" s="25"/>
      <c r="L965" s="25"/>
      <c r="M965" s="25"/>
      <c r="N965" s="22" t="s">
        <v>11301</v>
      </c>
      <c r="O965" s="22" t="s">
        <v>11302</v>
      </c>
      <c r="P965" s="22" t="s">
        <v>11301</v>
      </c>
      <c r="Q965" s="22" t="s">
        <v>11302</v>
      </c>
      <c r="R965" s="22" t="s">
        <v>11303</v>
      </c>
      <c r="S965" s="22" t="s">
        <v>11304</v>
      </c>
      <c r="T965" s="40" t="s">
        <v>11305</v>
      </c>
      <c r="U965" s="22" t="s">
        <v>11306</v>
      </c>
      <c r="V965" s="25"/>
      <c r="W965" s="22" t="s">
        <v>11307</v>
      </c>
      <c r="X965" s="22" t="s">
        <v>8663</v>
      </c>
      <c r="Y965" s="25"/>
      <c r="Z965" s="25"/>
      <c r="AA965" s="22" t="s">
        <v>8129</v>
      </c>
      <c r="AB965" s="22" t="s">
        <v>8130</v>
      </c>
      <c r="AC965" s="25"/>
      <c r="AD965" s="25"/>
      <c r="AE965" s="22" t="s">
        <v>8132</v>
      </c>
      <c r="AF965" s="25"/>
      <c r="AG965" s="22">
        <v>1.0468502208835E13</v>
      </c>
      <c r="AH965" s="22" t="s">
        <v>8137</v>
      </c>
      <c r="AI965" s="22">
        <v>8.533519073603E12</v>
      </c>
      <c r="AJ965" s="25"/>
      <c r="AK965" s="25"/>
      <c r="AL965" s="22" t="s">
        <v>8136</v>
      </c>
      <c r="AR965" s="32" t="b">
        <v>0</v>
      </c>
      <c r="AS965" s="32" t="b">
        <v>0</v>
      </c>
    </row>
    <row r="966">
      <c r="A966" s="21" t="s">
        <v>11308</v>
      </c>
      <c r="B966" s="22" t="s">
        <v>8140</v>
      </c>
      <c r="C966" s="22">
        <v>1.0</v>
      </c>
      <c r="D966" s="22" t="s">
        <v>8968</v>
      </c>
      <c r="E966" s="22" t="s">
        <v>8140</v>
      </c>
      <c r="F966" s="22" t="s">
        <v>8121</v>
      </c>
      <c r="G966" s="25"/>
      <c r="H966" s="22">
        <v>3.2772905795907E13</v>
      </c>
      <c r="I966" s="25"/>
      <c r="J966" s="25"/>
      <c r="K966" s="22">
        <v>4.2085703581939E13</v>
      </c>
      <c r="L966" s="25"/>
      <c r="M966" s="25"/>
      <c r="N966" s="22" t="s">
        <v>3984</v>
      </c>
      <c r="O966" s="22" t="s">
        <v>11309</v>
      </c>
      <c r="P966" s="22" t="s">
        <v>3984</v>
      </c>
      <c r="Q966" s="22" t="s">
        <v>11309</v>
      </c>
      <c r="R966" s="22" t="s">
        <v>11310</v>
      </c>
      <c r="S966" s="25"/>
      <c r="T966" s="40" t="s">
        <v>11311</v>
      </c>
      <c r="U966" s="22" t="s">
        <v>11312</v>
      </c>
      <c r="V966" s="25"/>
      <c r="W966" s="22" t="s">
        <v>11313</v>
      </c>
      <c r="X966" s="22" t="s">
        <v>8128</v>
      </c>
      <c r="Y966" s="25"/>
      <c r="Z966" s="25"/>
      <c r="AA966" s="22" t="s">
        <v>8129</v>
      </c>
      <c r="AB966" s="22" t="s">
        <v>8130</v>
      </c>
      <c r="AC966" s="25"/>
      <c r="AD966" s="22" t="s">
        <v>8131</v>
      </c>
      <c r="AE966" s="22" t="s">
        <v>8132</v>
      </c>
      <c r="AF966" s="25"/>
      <c r="AG966" s="22">
        <v>1.0468603396419E13</v>
      </c>
      <c r="AH966" s="22" t="s">
        <v>90</v>
      </c>
      <c r="AI966" s="22">
        <v>2.3436118065475E13</v>
      </c>
      <c r="AJ966" s="25"/>
      <c r="AK966" s="25"/>
      <c r="AL966" s="22" t="s">
        <v>8134</v>
      </c>
      <c r="AQ966" s="32" t="s">
        <v>8150</v>
      </c>
      <c r="AR966" s="32" t="b">
        <v>0</v>
      </c>
      <c r="AS966" s="32" t="b">
        <v>0</v>
      </c>
    </row>
    <row r="967">
      <c r="A967" s="21" t="s">
        <v>11308</v>
      </c>
      <c r="B967" s="25"/>
      <c r="C967" s="25"/>
      <c r="D967" s="22" t="s">
        <v>8968</v>
      </c>
      <c r="E967" s="25"/>
      <c r="F967" s="22" t="s">
        <v>8136</v>
      </c>
      <c r="G967" s="25"/>
      <c r="H967" s="22">
        <v>9.522814648643E12</v>
      </c>
      <c r="I967" s="25"/>
      <c r="J967" s="25"/>
      <c r="K967" s="25"/>
      <c r="L967" s="25"/>
      <c r="M967" s="25"/>
      <c r="N967" s="22" t="s">
        <v>3984</v>
      </c>
      <c r="O967" s="22" t="s">
        <v>11309</v>
      </c>
      <c r="P967" s="22" t="s">
        <v>3984</v>
      </c>
      <c r="Q967" s="22" t="s">
        <v>11309</v>
      </c>
      <c r="R967" s="22" t="s">
        <v>11310</v>
      </c>
      <c r="S967" s="25"/>
      <c r="T967" s="40" t="s">
        <v>11311</v>
      </c>
      <c r="U967" s="22" t="s">
        <v>11312</v>
      </c>
      <c r="V967" s="25"/>
      <c r="W967" s="22" t="s">
        <v>11313</v>
      </c>
      <c r="X967" s="22" t="s">
        <v>8128</v>
      </c>
      <c r="Y967" s="25"/>
      <c r="Z967" s="25"/>
      <c r="AA967" s="22" t="s">
        <v>8129</v>
      </c>
      <c r="AB967" s="22" t="s">
        <v>8130</v>
      </c>
      <c r="AC967" s="25"/>
      <c r="AD967" s="25"/>
      <c r="AE967" s="22" t="s">
        <v>8132</v>
      </c>
      <c r="AF967" s="25"/>
      <c r="AG967" s="22">
        <v>1.0468603396419E13</v>
      </c>
      <c r="AH967" s="22" t="s">
        <v>8137</v>
      </c>
      <c r="AI967" s="22">
        <v>2.3436118065475E13</v>
      </c>
      <c r="AJ967" s="25"/>
      <c r="AK967" s="25"/>
      <c r="AL967" s="22" t="s">
        <v>8136</v>
      </c>
      <c r="AR967" s="32" t="b">
        <v>0</v>
      </c>
      <c r="AS967" s="32" t="b">
        <v>0</v>
      </c>
    </row>
    <row r="968">
      <c r="A968" s="21" t="s">
        <v>11314</v>
      </c>
      <c r="B968" s="22" t="s">
        <v>8153</v>
      </c>
      <c r="C968" s="22">
        <v>1.0</v>
      </c>
      <c r="D968" s="22" t="s">
        <v>8305</v>
      </c>
      <c r="E968" s="22" t="s">
        <v>8153</v>
      </c>
      <c r="F968" s="22" t="s">
        <v>8155</v>
      </c>
      <c r="G968" s="25"/>
      <c r="H968" s="22">
        <v>3.2772934730051E13</v>
      </c>
      <c r="I968" s="25"/>
      <c r="J968" s="25"/>
      <c r="K968" s="22">
        <v>4.7338059759939E13</v>
      </c>
      <c r="L968" s="25"/>
      <c r="M968" s="25"/>
      <c r="N968" s="22" t="s">
        <v>3921</v>
      </c>
      <c r="O968" s="22" t="s">
        <v>5466</v>
      </c>
      <c r="P968" s="22" t="s">
        <v>3921</v>
      </c>
      <c r="Q968" s="22" t="s">
        <v>5466</v>
      </c>
      <c r="R968" s="22" t="s">
        <v>11315</v>
      </c>
      <c r="S968" s="25"/>
      <c r="T968" s="40" t="s">
        <v>11316</v>
      </c>
      <c r="U968" s="22" t="s">
        <v>11317</v>
      </c>
      <c r="V968" s="25"/>
      <c r="W968" s="22" t="s">
        <v>11318</v>
      </c>
      <c r="X968" s="22" t="s">
        <v>8276</v>
      </c>
      <c r="Y968" s="25"/>
      <c r="Z968" s="25"/>
      <c r="AA968" s="22" t="s">
        <v>8129</v>
      </c>
      <c r="AB968" s="22" t="s">
        <v>8130</v>
      </c>
      <c r="AC968" s="25"/>
      <c r="AD968" s="22" t="s">
        <v>8161</v>
      </c>
      <c r="AE968" s="22" t="s">
        <v>8132</v>
      </c>
      <c r="AF968" s="25"/>
      <c r="AG968" s="22">
        <v>1.0468617027907E13</v>
      </c>
      <c r="AH968" s="22" t="s">
        <v>90</v>
      </c>
      <c r="AI968" s="22">
        <v>2.3436131369283E13</v>
      </c>
      <c r="AJ968" s="25"/>
      <c r="AK968" s="25"/>
      <c r="AL968" s="22" t="s">
        <v>8162</v>
      </c>
      <c r="AQ968" s="32" t="s">
        <v>55</v>
      </c>
      <c r="AR968" s="32" t="b">
        <v>0</v>
      </c>
      <c r="AS968" s="32" t="b">
        <v>0</v>
      </c>
    </row>
    <row r="969">
      <c r="A969" s="21" t="s">
        <v>11314</v>
      </c>
      <c r="B969" s="25"/>
      <c r="C969" s="25"/>
      <c r="D969" s="22" t="s">
        <v>8305</v>
      </c>
      <c r="E969" s="25"/>
      <c r="F969" s="22" t="s">
        <v>8149</v>
      </c>
      <c r="G969" s="25"/>
      <c r="H969" s="22">
        <v>9.522827198787E12</v>
      </c>
      <c r="I969" s="25"/>
      <c r="J969" s="25"/>
      <c r="K969" s="25"/>
      <c r="L969" s="25"/>
      <c r="M969" s="25"/>
      <c r="N969" s="22" t="s">
        <v>3921</v>
      </c>
      <c r="O969" s="22" t="s">
        <v>5466</v>
      </c>
      <c r="P969" s="22" t="s">
        <v>3921</v>
      </c>
      <c r="Q969" s="22" t="s">
        <v>5466</v>
      </c>
      <c r="R969" s="22" t="s">
        <v>11315</v>
      </c>
      <c r="S969" s="25"/>
      <c r="T969" s="40" t="s">
        <v>11316</v>
      </c>
      <c r="U969" s="22" t="s">
        <v>11317</v>
      </c>
      <c r="V969" s="25"/>
      <c r="W969" s="22" t="s">
        <v>11318</v>
      </c>
      <c r="X969" s="22" t="s">
        <v>8276</v>
      </c>
      <c r="Y969" s="25"/>
      <c r="Z969" s="25"/>
      <c r="AA969" s="22" t="s">
        <v>8129</v>
      </c>
      <c r="AB969" s="22" t="s">
        <v>8130</v>
      </c>
      <c r="AC969" s="25"/>
      <c r="AD969" s="25"/>
      <c r="AE969" s="22" t="s">
        <v>8132</v>
      </c>
      <c r="AF969" s="25"/>
      <c r="AG969" s="22">
        <v>1.0468617027907E13</v>
      </c>
      <c r="AH969" s="22" t="s">
        <v>8137</v>
      </c>
      <c r="AI969" s="22">
        <v>2.3436131369283E13</v>
      </c>
      <c r="AJ969" s="25"/>
      <c r="AK969" s="25"/>
      <c r="AL969" s="22" t="s">
        <v>8149</v>
      </c>
      <c r="AR969" s="32" t="b">
        <v>0</v>
      </c>
      <c r="AS969" s="32" t="b">
        <v>0</v>
      </c>
    </row>
    <row r="970">
      <c r="A970" s="21" t="s">
        <v>11319</v>
      </c>
      <c r="B970" s="22" t="s">
        <v>8140</v>
      </c>
      <c r="C970" s="22">
        <v>1.0</v>
      </c>
      <c r="D970" s="22" t="s">
        <v>8212</v>
      </c>
      <c r="E970" s="22" t="s">
        <v>8140</v>
      </c>
      <c r="F970" s="22" t="s">
        <v>8121</v>
      </c>
      <c r="G970" s="25"/>
      <c r="H970" s="22">
        <v>3.2772961239363E13</v>
      </c>
      <c r="I970" s="25"/>
      <c r="J970" s="25"/>
      <c r="K970" s="22">
        <v>4.2085703581939E13</v>
      </c>
      <c r="L970" s="25"/>
      <c r="M970" s="25"/>
      <c r="N970" s="22" t="s">
        <v>4866</v>
      </c>
      <c r="O970" s="22" t="s">
        <v>11320</v>
      </c>
      <c r="P970" s="22" t="s">
        <v>4866</v>
      </c>
      <c r="Q970" s="22" t="s">
        <v>11320</v>
      </c>
      <c r="R970" s="22" t="s">
        <v>11321</v>
      </c>
      <c r="S970" s="25"/>
      <c r="T970" s="40" t="s">
        <v>11322</v>
      </c>
      <c r="U970" s="22" t="s">
        <v>11323</v>
      </c>
      <c r="V970" s="25"/>
      <c r="W970" s="22" t="s">
        <v>11324</v>
      </c>
      <c r="X970" s="22" t="s">
        <v>11325</v>
      </c>
      <c r="Y970" s="25"/>
      <c r="Z970" s="25"/>
      <c r="AA970" s="22" t="s">
        <v>8129</v>
      </c>
      <c r="AB970" s="22" t="s">
        <v>8130</v>
      </c>
      <c r="AC970" s="25"/>
      <c r="AD970" s="22" t="s">
        <v>8131</v>
      </c>
      <c r="AE970" s="22" t="s">
        <v>8132</v>
      </c>
      <c r="AF970" s="25"/>
      <c r="AG970" s="22">
        <v>1.0468630200643E13</v>
      </c>
      <c r="AH970" s="22" t="s">
        <v>90</v>
      </c>
      <c r="AI970" s="22">
        <v>5.962112631027E12</v>
      </c>
      <c r="AJ970" s="25"/>
      <c r="AK970" s="25"/>
      <c r="AL970" s="22" t="s">
        <v>8134</v>
      </c>
      <c r="AQ970" s="32" t="s">
        <v>8150</v>
      </c>
      <c r="AR970" s="32" t="b">
        <v>0</v>
      </c>
      <c r="AS970" s="32" t="b">
        <v>0</v>
      </c>
    </row>
    <row r="971">
      <c r="A971" s="21" t="s">
        <v>11319</v>
      </c>
      <c r="B971" s="25"/>
      <c r="C971" s="25"/>
      <c r="D971" s="22" t="s">
        <v>8212</v>
      </c>
      <c r="E971" s="25"/>
      <c r="F971" s="22" t="s">
        <v>8136</v>
      </c>
      <c r="G971" s="25"/>
      <c r="H971" s="22">
        <v>9.522839716163E12</v>
      </c>
      <c r="I971" s="25"/>
      <c r="J971" s="25"/>
      <c r="K971" s="25"/>
      <c r="L971" s="25"/>
      <c r="M971" s="25"/>
      <c r="N971" s="22" t="s">
        <v>4866</v>
      </c>
      <c r="O971" s="22" t="s">
        <v>11320</v>
      </c>
      <c r="P971" s="22" t="s">
        <v>4866</v>
      </c>
      <c r="Q971" s="22" t="s">
        <v>11320</v>
      </c>
      <c r="R971" s="22" t="s">
        <v>11321</v>
      </c>
      <c r="S971" s="25"/>
      <c r="T971" s="40" t="s">
        <v>11322</v>
      </c>
      <c r="U971" s="22" t="s">
        <v>11323</v>
      </c>
      <c r="V971" s="25"/>
      <c r="W971" s="22" t="s">
        <v>11324</v>
      </c>
      <c r="X971" s="22" t="s">
        <v>11325</v>
      </c>
      <c r="Y971" s="25"/>
      <c r="Z971" s="25"/>
      <c r="AA971" s="22" t="s">
        <v>8129</v>
      </c>
      <c r="AB971" s="22" t="s">
        <v>8130</v>
      </c>
      <c r="AC971" s="25"/>
      <c r="AD971" s="25"/>
      <c r="AE971" s="22" t="s">
        <v>8132</v>
      </c>
      <c r="AF971" s="25"/>
      <c r="AG971" s="22">
        <v>1.0468630200643E13</v>
      </c>
      <c r="AH971" s="22" t="s">
        <v>8137</v>
      </c>
      <c r="AI971" s="22">
        <v>5.962112631027E12</v>
      </c>
      <c r="AJ971" s="25"/>
      <c r="AK971" s="25"/>
      <c r="AL971" s="22" t="s">
        <v>8136</v>
      </c>
      <c r="AR971" s="32" t="b">
        <v>0</v>
      </c>
      <c r="AS971" s="32" t="b">
        <v>0</v>
      </c>
    </row>
    <row r="972">
      <c r="A972" s="21" t="s">
        <v>11326</v>
      </c>
      <c r="B972" s="22" t="s">
        <v>8370</v>
      </c>
      <c r="C972" s="22">
        <v>1.0</v>
      </c>
      <c r="D972" s="22" t="s">
        <v>8175</v>
      </c>
      <c r="E972" s="22" t="s">
        <v>8370</v>
      </c>
      <c r="F972" s="22" t="s">
        <v>8155</v>
      </c>
      <c r="G972" s="25"/>
      <c r="H972" s="22">
        <v>3.2770701230403E13</v>
      </c>
      <c r="I972" s="25"/>
      <c r="J972" s="25"/>
      <c r="K972" s="22">
        <v>4.9521175494979E13</v>
      </c>
      <c r="L972" s="25"/>
      <c r="M972" s="25"/>
      <c r="N972" s="22" t="s">
        <v>5061</v>
      </c>
      <c r="O972" s="22" t="s">
        <v>11327</v>
      </c>
      <c r="P972" s="22" t="s">
        <v>5061</v>
      </c>
      <c r="Q972" s="22" t="s">
        <v>11327</v>
      </c>
      <c r="R972" s="22" t="s">
        <v>11328</v>
      </c>
      <c r="S972" s="25"/>
      <c r="T972" s="40" t="s">
        <v>11329</v>
      </c>
      <c r="U972" s="22" t="s">
        <v>11330</v>
      </c>
      <c r="V972" s="25"/>
      <c r="W972" s="22" t="s">
        <v>11331</v>
      </c>
      <c r="X972" s="22" t="s">
        <v>8251</v>
      </c>
      <c r="Y972" s="25"/>
      <c r="Z972" s="25"/>
      <c r="AA972" s="22" t="s">
        <v>8129</v>
      </c>
      <c r="AB972" s="22" t="s">
        <v>8130</v>
      </c>
      <c r="AC972" s="25"/>
      <c r="AD972" s="22" t="s">
        <v>8161</v>
      </c>
      <c r="AE972" s="22" t="s">
        <v>8132</v>
      </c>
      <c r="AF972" s="25"/>
      <c r="AG972" s="22">
        <v>1.0467597254979E13</v>
      </c>
      <c r="AH972" s="22" t="s">
        <v>90</v>
      </c>
      <c r="AI972" s="22">
        <v>2.3435113169219E13</v>
      </c>
      <c r="AJ972" s="25"/>
      <c r="AK972" s="25"/>
      <c r="AL972" s="22" t="s">
        <v>8138</v>
      </c>
      <c r="AQ972" s="32" t="s">
        <v>91</v>
      </c>
      <c r="AR972" s="32" t="b">
        <v>0</v>
      </c>
      <c r="AS972" s="32" t="b">
        <v>1</v>
      </c>
    </row>
    <row r="973">
      <c r="A973" s="21" t="s">
        <v>11326</v>
      </c>
      <c r="B973" s="25"/>
      <c r="C973" s="25"/>
      <c r="D973" s="22" t="s">
        <v>8175</v>
      </c>
      <c r="E973" s="25"/>
      <c r="F973" s="22" t="s">
        <v>1806</v>
      </c>
      <c r="G973" s="25"/>
      <c r="H973" s="25"/>
      <c r="I973" s="25"/>
      <c r="J973" s="25"/>
      <c r="K973" s="25"/>
      <c r="L973" s="25"/>
      <c r="M973" s="25"/>
      <c r="N973" s="22" t="s">
        <v>5061</v>
      </c>
      <c r="O973" s="22" t="s">
        <v>11327</v>
      </c>
      <c r="P973" s="22" t="s">
        <v>5061</v>
      </c>
      <c r="Q973" s="22" t="s">
        <v>11327</v>
      </c>
      <c r="R973" s="22" t="s">
        <v>11328</v>
      </c>
      <c r="S973" s="25"/>
      <c r="T973" s="40" t="s">
        <v>11329</v>
      </c>
      <c r="U973" s="22" t="s">
        <v>11330</v>
      </c>
      <c r="V973" s="25"/>
      <c r="W973" s="22" t="s">
        <v>11331</v>
      </c>
      <c r="X973" s="22" t="s">
        <v>8251</v>
      </c>
      <c r="Y973" s="25"/>
      <c r="Z973" s="25"/>
      <c r="AA973" s="22" t="s">
        <v>8129</v>
      </c>
      <c r="AB973" s="22" t="s">
        <v>8130</v>
      </c>
      <c r="AC973" s="25"/>
      <c r="AD973" s="25"/>
      <c r="AE973" s="22" t="s">
        <v>8132</v>
      </c>
      <c r="AF973" s="25"/>
      <c r="AG973" s="22">
        <v>1.0467597254979E13</v>
      </c>
      <c r="AH973" s="22" t="s">
        <v>769</v>
      </c>
      <c r="AI973" s="22">
        <v>2.3435113169219E13</v>
      </c>
      <c r="AJ973" s="25"/>
      <c r="AK973" s="25"/>
      <c r="AL973" s="22" t="s">
        <v>11332</v>
      </c>
      <c r="AR973" s="32" t="b">
        <v>0</v>
      </c>
      <c r="AS973" s="32" t="b">
        <v>0</v>
      </c>
    </row>
    <row r="974">
      <c r="A974" s="21" t="s">
        <v>11326</v>
      </c>
      <c r="B974" s="25"/>
      <c r="C974" s="25"/>
      <c r="D974" s="22" t="s">
        <v>8175</v>
      </c>
      <c r="E974" s="25"/>
      <c r="F974" s="22" t="s">
        <v>8149</v>
      </c>
      <c r="G974" s="25"/>
      <c r="H974" s="22">
        <v>9.521925095747E12</v>
      </c>
      <c r="I974" s="25"/>
      <c r="J974" s="25"/>
      <c r="K974" s="25"/>
      <c r="L974" s="25"/>
      <c r="M974" s="25"/>
      <c r="N974" s="22" t="s">
        <v>5061</v>
      </c>
      <c r="O974" s="22" t="s">
        <v>11327</v>
      </c>
      <c r="P974" s="22" t="s">
        <v>5061</v>
      </c>
      <c r="Q974" s="22" t="s">
        <v>11327</v>
      </c>
      <c r="R974" s="22" t="s">
        <v>11328</v>
      </c>
      <c r="S974" s="25"/>
      <c r="T974" s="40" t="s">
        <v>11329</v>
      </c>
      <c r="U974" s="22" t="s">
        <v>11330</v>
      </c>
      <c r="V974" s="25"/>
      <c r="W974" s="22" t="s">
        <v>11331</v>
      </c>
      <c r="X974" s="22" t="s">
        <v>8251</v>
      </c>
      <c r="Y974" s="25"/>
      <c r="Z974" s="25"/>
      <c r="AA974" s="22" t="s">
        <v>8129</v>
      </c>
      <c r="AB974" s="22" t="s">
        <v>8130</v>
      </c>
      <c r="AC974" s="25"/>
      <c r="AD974" s="25"/>
      <c r="AE974" s="22" t="s">
        <v>8132</v>
      </c>
      <c r="AF974" s="25"/>
      <c r="AG974" s="22">
        <v>1.0467597254979E13</v>
      </c>
      <c r="AH974" s="22" t="s">
        <v>8137</v>
      </c>
      <c r="AI974" s="22">
        <v>2.3435113169219E13</v>
      </c>
      <c r="AJ974" s="25"/>
      <c r="AK974" s="25"/>
      <c r="AL974" s="22" t="s">
        <v>8149</v>
      </c>
      <c r="AR974" s="32" t="b">
        <v>0</v>
      </c>
      <c r="AS974" s="32" t="b">
        <v>0</v>
      </c>
    </row>
    <row r="975">
      <c r="A975" s="21" t="s">
        <v>11333</v>
      </c>
      <c r="B975" s="22" t="s">
        <v>8153</v>
      </c>
      <c r="C975" s="22">
        <v>1.0</v>
      </c>
      <c r="D975" s="22" t="s">
        <v>8278</v>
      </c>
      <c r="E975" s="22" t="s">
        <v>8153</v>
      </c>
      <c r="F975" s="22" t="s">
        <v>8155</v>
      </c>
      <c r="G975" s="25"/>
      <c r="H975" s="22">
        <v>3.2770784887107E13</v>
      </c>
      <c r="I975" s="25"/>
      <c r="J975" s="25"/>
      <c r="K975" s="22">
        <v>4.7338059759939E13</v>
      </c>
      <c r="L975" s="25"/>
      <c r="M975" s="25"/>
      <c r="N975" s="22" t="s">
        <v>11334</v>
      </c>
      <c r="O975" s="22" t="s">
        <v>5281</v>
      </c>
      <c r="P975" s="22" t="s">
        <v>11334</v>
      </c>
      <c r="Q975" s="22" t="s">
        <v>5281</v>
      </c>
      <c r="R975" s="22" t="s">
        <v>11335</v>
      </c>
      <c r="S975" s="25"/>
      <c r="T975" s="40" t="s">
        <v>11336</v>
      </c>
      <c r="U975" s="22" t="s">
        <v>11337</v>
      </c>
      <c r="V975" s="25"/>
      <c r="W975" s="22" t="s">
        <v>11338</v>
      </c>
      <c r="X975" s="22" t="s">
        <v>8671</v>
      </c>
      <c r="Y975" s="25"/>
      <c r="Z975" s="25"/>
      <c r="AA975" s="22" t="s">
        <v>8129</v>
      </c>
      <c r="AB975" s="22" t="s">
        <v>8130</v>
      </c>
      <c r="AC975" s="25"/>
      <c r="AD975" s="22" t="s">
        <v>8161</v>
      </c>
      <c r="AE975" s="22" t="s">
        <v>8132</v>
      </c>
      <c r="AF975" s="25"/>
      <c r="AG975" s="22">
        <v>1.0467636052291E13</v>
      </c>
      <c r="AH975" s="22" t="s">
        <v>90</v>
      </c>
      <c r="AI975" s="22">
        <v>5.971385516275E12</v>
      </c>
      <c r="AJ975" s="25"/>
      <c r="AK975" s="25"/>
      <c r="AL975" s="22" t="s">
        <v>8162</v>
      </c>
      <c r="AQ975" s="32" t="s">
        <v>55</v>
      </c>
      <c r="AR975" s="32" t="b">
        <v>0</v>
      </c>
      <c r="AS975" s="32" t="b">
        <v>0</v>
      </c>
    </row>
    <row r="976">
      <c r="A976" s="21" t="s">
        <v>11333</v>
      </c>
      <c r="B976" s="25"/>
      <c r="C976" s="25"/>
      <c r="D976" s="22" t="s">
        <v>8278</v>
      </c>
      <c r="E976" s="25"/>
      <c r="F976" s="22" t="s">
        <v>8149</v>
      </c>
      <c r="G976" s="25"/>
      <c r="H976" s="22">
        <v>9.521960223043E12</v>
      </c>
      <c r="I976" s="25"/>
      <c r="J976" s="25"/>
      <c r="K976" s="25"/>
      <c r="L976" s="25"/>
      <c r="M976" s="25"/>
      <c r="N976" s="22" t="s">
        <v>11334</v>
      </c>
      <c r="O976" s="22" t="s">
        <v>5281</v>
      </c>
      <c r="P976" s="22" t="s">
        <v>11334</v>
      </c>
      <c r="Q976" s="22" t="s">
        <v>5281</v>
      </c>
      <c r="R976" s="22" t="s">
        <v>11335</v>
      </c>
      <c r="S976" s="25"/>
      <c r="T976" s="40" t="s">
        <v>11336</v>
      </c>
      <c r="U976" s="22" t="s">
        <v>11337</v>
      </c>
      <c r="V976" s="25"/>
      <c r="W976" s="22" t="s">
        <v>11338</v>
      </c>
      <c r="X976" s="22" t="s">
        <v>8671</v>
      </c>
      <c r="Y976" s="25"/>
      <c r="Z976" s="25"/>
      <c r="AA976" s="22" t="s">
        <v>8129</v>
      </c>
      <c r="AB976" s="22" t="s">
        <v>8130</v>
      </c>
      <c r="AC976" s="25"/>
      <c r="AD976" s="25"/>
      <c r="AE976" s="22" t="s">
        <v>8132</v>
      </c>
      <c r="AF976" s="25"/>
      <c r="AG976" s="22">
        <v>1.0467636052291E13</v>
      </c>
      <c r="AH976" s="22" t="s">
        <v>8137</v>
      </c>
      <c r="AI976" s="22">
        <v>5.971385516275E12</v>
      </c>
      <c r="AJ976" s="25"/>
      <c r="AK976" s="25"/>
      <c r="AL976" s="22" t="s">
        <v>8149</v>
      </c>
      <c r="AR976" s="32" t="b">
        <v>0</v>
      </c>
      <c r="AS976" s="32" t="b">
        <v>0</v>
      </c>
    </row>
    <row r="977">
      <c r="A977" s="21" t="s">
        <v>11339</v>
      </c>
      <c r="B977" s="22" t="s">
        <v>8370</v>
      </c>
      <c r="C977" s="22">
        <v>1.0</v>
      </c>
      <c r="D977" s="22" t="s">
        <v>8419</v>
      </c>
      <c r="E977" s="22" t="s">
        <v>8370</v>
      </c>
      <c r="F977" s="22" t="s">
        <v>8155</v>
      </c>
      <c r="G977" s="25"/>
      <c r="H977" s="22">
        <v>3.2772254662979E13</v>
      </c>
      <c r="I977" s="25"/>
      <c r="J977" s="25"/>
      <c r="K977" s="22">
        <v>4.9521175494979E13</v>
      </c>
      <c r="L977" s="25"/>
      <c r="M977" s="25"/>
      <c r="N977" s="22" t="s">
        <v>3866</v>
      </c>
      <c r="O977" s="22" t="s">
        <v>11340</v>
      </c>
      <c r="P977" s="22" t="s">
        <v>3866</v>
      </c>
      <c r="Q977" s="22" t="s">
        <v>11340</v>
      </c>
      <c r="R977" s="22" t="s">
        <v>11341</v>
      </c>
      <c r="S977" s="25"/>
      <c r="T977" s="40" t="s">
        <v>11342</v>
      </c>
      <c r="U977" s="22" t="s">
        <v>11343</v>
      </c>
      <c r="V977" s="25"/>
      <c r="W977" s="22" t="s">
        <v>11344</v>
      </c>
      <c r="X977" s="22" t="s">
        <v>4148</v>
      </c>
      <c r="Y977" s="25"/>
      <c r="Z977" s="25"/>
      <c r="AA977" s="22" t="s">
        <v>8129</v>
      </c>
      <c r="AB977" s="22" t="s">
        <v>8130</v>
      </c>
      <c r="AC977" s="25"/>
      <c r="AD977" s="22" t="s">
        <v>8161</v>
      </c>
      <c r="AE977" s="22" t="s">
        <v>8132</v>
      </c>
      <c r="AF977" s="25"/>
      <c r="AG977" s="22">
        <v>1.0468309827907E13</v>
      </c>
      <c r="AH977" s="22" t="s">
        <v>90</v>
      </c>
      <c r="AI977" s="22">
        <v>2.3435824693571E13</v>
      </c>
      <c r="AJ977" s="25"/>
      <c r="AK977" s="25"/>
      <c r="AL977" s="22" t="s">
        <v>8138</v>
      </c>
      <c r="AQ977" s="32" t="s">
        <v>91</v>
      </c>
      <c r="AR977" s="32" t="b">
        <v>0</v>
      </c>
      <c r="AS977" s="32" t="b">
        <v>1</v>
      </c>
    </row>
    <row r="978">
      <c r="A978" s="21" t="s">
        <v>11339</v>
      </c>
      <c r="B978" s="25"/>
      <c r="C978" s="25"/>
      <c r="D978" s="22" t="s">
        <v>8419</v>
      </c>
      <c r="E978" s="25"/>
      <c r="F978" s="22" t="s">
        <v>8149</v>
      </c>
      <c r="G978" s="25"/>
      <c r="H978" s="22">
        <v>9.522550014275E12</v>
      </c>
      <c r="I978" s="25"/>
      <c r="J978" s="25"/>
      <c r="K978" s="25"/>
      <c r="L978" s="25"/>
      <c r="M978" s="25"/>
      <c r="N978" s="22" t="s">
        <v>3866</v>
      </c>
      <c r="O978" s="22" t="s">
        <v>11340</v>
      </c>
      <c r="P978" s="22" t="s">
        <v>3866</v>
      </c>
      <c r="Q978" s="22" t="s">
        <v>11340</v>
      </c>
      <c r="R978" s="22" t="s">
        <v>11341</v>
      </c>
      <c r="S978" s="25"/>
      <c r="T978" s="40" t="s">
        <v>11342</v>
      </c>
      <c r="U978" s="22" t="s">
        <v>11343</v>
      </c>
      <c r="V978" s="25"/>
      <c r="W978" s="22" t="s">
        <v>11344</v>
      </c>
      <c r="X978" s="22" t="s">
        <v>4148</v>
      </c>
      <c r="Y978" s="25"/>
      <c r="Z978" s="25"/>
      <c r="AA978" s="22" t="s">
        <v>8129</v>
      </c>
      <c r="AB978" s="22" t="s">
        <v>8130</v>
      </c>
      <c r="AC978" s="25"/>
      <c r="AD978" s="25"/>
      <c r="AE978" s="22" t="s">
        <v>8132</v>
      </c>
      <c r="AF978" s="25"/>
      <c r="AG978" s="22">
        <v>1.0468309827907E13</v>
      </c>
      <c r="AH978" s="22" t="s">
        <v>8137</v>
      </c>
      <c r="AI978" s="22">
        <v>2.3435824693571E13</v>
      </c>
      <c r="AJ978" s="25"/>
      <c r="AK978" s="25"/>
      <c r="AL978" s="22" t="s">
        <v>8149</v>
      </c>
      <c r="AR978" s="32" t="b">
        <v>0</v>
      </c>
      <c r="AS978" s="32" t="b">
        <v>0</v>
      </c>
    </row>
    <row r="979">
      <c r="A979" s="21" t="s">
        <v>11345</v>
      </c>
      <c r="B979" s="22" t="s">
        <v>8140</v>
      </c>
      <c r="C979" s="22">
        <v>1.0</v>
      </c>
      <c r="D979" s="22" t="s">
        <v>8245</v>
      </c>
      <c r="E979" s="22" t="s">
        <v>8140</v>
      </c>
      <c r="F979" s="22" t="s">
        <v>8121</v>
      </c>
      <c r="G979" s="25"/>
      <c r="H979" s="22">
        <v>3.2773706907971E13</v>
      </c>
      <c r="I979" s="25"/>
      <c r="J979" s="25"/>
      <c r="K979" s="22">
        <v>4.2085703581939E13</v>
      </c>
      <c r="L979" s="25"/>
      <c r="M979" s="25"/>
      <c r="N979" s="22" t="s">
        <v>4042</v>
      </c>
      <c r="O979" s="22" t="s">
        <v>11346</v>
      </c>
      <c r="P979" s="22" t="s">
        <v>4042</v>
      </c>
      <c r="Q979" s="22" t="s">
        <v>11346</v>
      </c>
      <c r="R979" s="22" t="s">
        <v>11347</v>
      </c>
      <c r="S979" s="25"/>
      <c r="T979" s="40" t="s">
        <v>11348</v>
      </c>
      <c r="U979" s="22" t="s">
        <v>11349</v>
      </c>
      <c r="V979" s="25"/>
      <c r="W979" s="22" t="s">
        <v>11350</v>
      </c>
      <c r="X979" s="22" t="s">
        <v>11351</v>
      </c>
      <c r="Y979" s="25"/>
      <c r="Z979" s="25"/>
      <c r="AA979" s="22" t="s">
        <v>8129</v>
      </c>
      <c r="AB979" s="22" t="s">
        <v>8130</v>
      </c>
      <c r="AC979" s="25"/>
      <c r="AD979" s="22" t="s">
        <v>8131</v>
      </c>
      <c r="AE979" s="22" t="s">
        <v>8132</v>
      </c>
      <c r="AF979" s="25"/>
      <c r="AG979" s="22">
        <v>1.0468971905347E13</v>
      </c>
      <c r="AH979" s="22" t="s">
        <v>90</v>
      </c>
      <c r="AI979" s="22">
        <v>2.3436501549379E13</v>
      </c>
      <c r="AJ979" s="25"/>
      <c r="AK979" s="25"/>
      <c r="AL979" s="22" t="s">
        <v>8134</v>
      </c>
      <c r="AQ979" s="32" t="s">
        <v>8150</v>
      </c>
      <c r="AR979" s="32" t="b">
        <v>0</v>
      </c>
      <c r="AS979" s="32" t="b">
        <v>0</v>
      </c>
    </row>
    <row r="980">
      <c r="A980" s="21" t="s">
        <v>11345</v>
      </c>
      <c r="B980" s="25"/>
      <c r="C980" s="25"/>
      <c r="D980" s="22" t="s">
        <v>8245</v>
      </c>
      <c r="E980" s="25"/>
      <c r="F980" s="22" t="s">
        <v>8136</v>
      </c>
      <c r="G980" s="25"/>
      <c r="H980" s="22">
        <v>9.523167560003E12</v>
      </c>
      <c r="I980" s="25"/>
      <c r="J980" s="25"/>
      <c r="K980" s="25"/>
      <c r="L980" s="25"/>
      <c r="M980" s="25"/>
      <c r="N980" s="22" t="s">
        <v>4042</v>
      </c>
      <c r="O980" s="22" t="s">
        <v>11346</v>
      </c>
      <c r="P980" s="22" t="s">
        <v>4042</v>
      </c>
      <c r="Q980" s="22" t="s">
        <v>11346</v>
      </c>
      <c r="R980" s="22" t="s">
        <v>11347</v>
      </c>
      <c r="S980" s="25"/>
      <c r="T980" s="40" t="s">
        <v>11348</v>
      </c>
      <c r="U980" s="22" t="s">
        <v>11349</v>
      </c>
      <c r="V980" s="25"/>
      <c r="W980" s="22" t="s">
        <v>11350</v>
      </c>
      <c r="X980" s="22" t="s">
        <v>11351</v>
      </c>
      <c r="Y980" s="25"/>
      <c r="Z980" s="25"/>
      <c r="AA980" s="22" t="s">
        <v>8129</v>
      </c>
      <c r="AB980" s="22" t="s">
        <v>8130</v>
      </c>
      <c r="AC980" s="25"/>
      <c r="AD980" s="25"/>
      <c r="AE980" s="22" t="s">
        <v>8132</v>
      </c>
      <c r="AF980" s="25"/>
      <c r="AG980" s="22">
        <v>1.0468971905347E13</v>
      </c>
      <c r="AH980" s="22" t="s">
        <v>8137</v>
      </c>
      <c r="AI980" s="22">
        <v>2.3436501549379E13</v>
      </c>
      <c r="AJ980" s="25"/>
      <c r="AK980" s="25"/>
      <c r="AL980" s="22" t="s">
        <v>8136</v>
      </c>
      <c r="AR980" s="32" t="b">
        <v>0</v>
      </c>
      <c r="AS980" s="32" t="b">
        <v>0</v>
      </c>
    </row>
    <row r="981">
      <c r="A981" s="21" t="s">
        <v>11352</v>
      </c>
      <c r="B981" s="22" t="s">
        <v>8140</v>
      </c>
      <c r="C981" s="22">
        <v>1.0</v>
      </c>
      <c r="D981" s="22" t="s">
        <v>8501</v>
      </c>
      <c r="E981" s="22" t="s">
        <v>8140</v>
      </c>
      <c r="F981" s="22" t="s">
        <v>8121</v>
      </c>
      <c r="G981" s="25"/>
      <c r="H981" s="22">
        <v>3.2773739708739E13</v>
      </c>
      <c r="I981" s="25"/>
      <c r="J981" s="25"/>
      <c r="K981" s="22">
        <v>4.2085703581939E13</v>
      </c>
      <c r="L981" s="25"/>
      <c r="M981" s="25"/>
      <c r="N981" s="22" t="s">
        <v>4240</v>
      </c>
      <c r="O981" s="22" t="s">
        <v>11353</v>
      </c>
      <c r="P981" s="22" t="s">
        <v>4240</v>
      </c>
      <c r="Q981" s="22" t="s">
        <v>11353</v>
      </c>
      <c r="R981" s="22" t="s">
        <v>11354</v>
      </c>
      <c r="S981" s="25"/>
      <c r="T981" s="40" t="s">
        <v>11355</v>
      </c>
      <c r="U981" s="22" t="s">
        <v>11356</v>
      </c>
      <c r="V981" s="25"/>
      <c r="W981" s="22" t="s">
        <v>11357</v>
      </c>
      <c r="X981" s="22" t="s">
        <v>8128</v>
      </c>
      <c r="Y981" s="25"/>
      <c r="Z981" s="25"/>
      <c r="AA981" s="22" t="s">
        <v>8129</v>
      </c>
      <c r="AB981" s="22" t="s">
        <v>8130</v>
      </c>
      <c r="AC981" s="25"/>
      <c r="AD981" s="22" t="s">
        <v>8131</v>
      </c>
      <c r="AE981" s="22" t="s">
        <v>8132</v>
      </c>
      <c r="AF981" s="25"/>
      <c r="AG981" s="22">
        <v>1.0468986945859E13</v>
      </c>
      <c r="AH981" s="22" t="s">
        <v>90</v>
      </c>
      <c r="AI981" s="22">
        <v>2.3436512559427E13</v>
      </c>
      <c r="AJ981" s="25"/>
      <c r="AK981" s="25"/>
      <c r="AL981" s="22" t="s">
        <v>8134</v>
      </c>
      <c r="AQ981" s="32" t="s">
        <v>8150</v>
      </c>
      <c r="AR981" s="32" t="b">
        <v>0</v>
      </c>
      <c r="AS981" s="32" t="b">
        <v>0</v>
      </c>
    </row>
    <row r="982">
      <c r="A982" s="21" t="s">
        <v>11352</v>
      </c>
      <c r="B982" s="25"/>
      <c r="C982" s="25"/>
      <c r="D982" s="22" t="s">
        <v>8501</v>
      </c>
      <c r="E982" s="25"/>
      <c r="F982" s="22" t="s">
        <v>8136</v>
      </c>
      <c r="G982" s="25"/>
      <c r="H982" s="22">
        <v>9.523182108995E12</v>
      </c>
      <c r="I982" s="25"/>
      <c r="J982" s="25"/>
      <c r="K982" s="25"/>
      <c r="L982" s="25"/>
      <c r="M982" s="25"/>
      <c r="N982" s="22" t="s">
        <v>4240</v>
      </c>
      <c r="O982" s="22" t="s">
        <v>11353</v>
      </c>
      <c r="P982" s="22" t="s">
        <v>4240</v>
      </c>
      <c r="Q982" s="22" t="s">
        <v>11353</v>
      </c>
      <c r="R982" s="22" t="s">
        <v>11354</v>
      </c>
      <c r="S982" s="25"/>
      <c r="T982" s="40" t="s">
        <v>11355</v>
      </c>
      <c r="U982" s="22" t="s">
        <v>11356</v>
      </c>
      <c r="V982" s="25"/>
      <c r="W982" s="22" t="s">
        <v>11357</v>
      </c>
      <c r="X982" s="22" t="s">
        <v>8128</v>
      </c>
      <c r="Y982" s="25"/>
      <c r="Z982" s="25"/>
      <c r="AA982" s="22" t="s">
        <v>8129</v>
      </c>
      <c r="AB982" s="22" t="s">
        <v>8130</v>
      </c>
      <c r="AC982" s="25"/>
      <c r="AD982" s="25"/>
      <c r="AE982" s="22" t="s">
        <v>8132</v>
      </c>
      <c r="AF982" s="25"/>
      <c r="AG982" s="22">
        <v>1.0468986945859E13</v>
      </c>
      <c r="AH982" s="22" t="s">
        <v>8137</v>
      </c>
      <c r="AI982" s="22">
        <v>2.3436512559427E13</v>
      </c>
      <c r="AJ982" s="25"/>
      <c r="AK982" s="25"/>
      <c r="AL982" s="22" t="s">
        <v>8136</v>
      </c>
      <c r="AR982" s="32" t="b">
        <v>0</v>
      </c>
      <c r="AS982" s="32" t="b">
        <v>0</v>
      </c>
    </row>
    <row r="983">
      <c r="A983" s="21" t="s">
        <v>11358</v>
      </c>
      <c r="B983" s="22" t="s">
        <v>8429</v>
      </c>
      <c r="C983" s="22">
        <v>1.0</v>
      </c>
      <c r="D983" s="22" t="s">
        <v>8419</v>
      </c>
      <c r="E983" s="22" t="s">
        <v>8429</v>
      </c>
      <c r="F983" s="22" t="s">
        <v>8155</v>
      </c>
      <c r="G983" s="25"/>
      <c r="H983" s="22">
        <v>3.2773769265475E13</v>
      </c>
      <c r="I983" s="25"/>
      <c r="J983" s="25"/>
      <c r="K983" s="22">
        <v>4.9521175527747E13</v>
      </c>
      <c r="L983" s="25"/>
      <c r="M983" s="25"/>
      <c r="N983" s="22" t="s">
        <v>11359</v>
      </c>
      <c r="O983" s="22" t="s">
        <v>11360</v>
      </c>
      <c r="P983" s="22" t="s">
        <v>11359</v>
      </c>
      <c r="Q983" s="22" t="s">
        <v>11360</v>
      </c>
      <c r="R983" s="22" t="s">
        <v>11361</v>
      </c>
      <c r="S983" s="25"/>
      <c r="T983" s="40" t="s">
        <v>11362</v>
      </c>
      <c r="U983" s="22" t="s">
        <v>11363</v>
      </c>
      <c r="V983" s="25"/>
      <c r="W983" s="22" t="s">
        <v>11364</v>
      </c>
      <c r="X983" s="22" t="s">
        <v>8289</v>
      </c>
      <c r="Y983" s="25"/>
      <c r="Z983" s="25"/>
      <c r="AA983" s="22" t="s">
        <v>8129</v>
      </c>
      <c r="AB983" s="22" t="s">
        <v>8130</v>
      </c>
      <c r="AC983" s="25"/>
      <c r="AD983" s="22" t="s">
        <v>8161</v>
      </c>
      <c r="AE983" s="22" t="s">
        <v>8132</v>
      </c>
      <c r="AF983" s="25"/>
      <c r="AG983" s="22">
        <v>1.0468999627075E13</v>
      </c>
      <c r="AH983" s="22" t="s">
        <v>90</v>
      </c>
      <c r="AI983" s="22">
        <v>2.3436530483523E13</v>
      </c>
      <c r="AJ983" s="25"/>
      <c r="AK983" s="25"/>
      <c r="AL983" s="22" t="s">
        <v>8201</v>
      </c>
      <c r="AQ983" s="32" t="s">
        <v>95</v>
      </c>
      <c r="AR983" s="32" t="b">
        <v>0</v>
      </c>
      <c r="AS983" s="32" t="b">
        <v>1</v>
      </c>
    </row>
    <row r="984">
      <c r="A984" s="21" t="s">
        <v>11358</v>
      </c>
      <c r="B984" s="25"/>
      <c r="C984" s="25"/>
      <c r="D984" s="22" t="s">
        <v>8419</v>
      </c>
      <c r="E984" s="25"/>
      <c r="F984" s="22" t="s">
        <v>8149</v>
      </c>
      <c r="G984" s="25"/>
      <c r="H984" s="22">
        <v>9.523194331459E12</v>
      </c>
      <c r="I984" s="25"/>
      <c r="J984" s="25"/>
      <c r="K984" s="25"/>
      <c r="L984" s="25"/>
      <c r="M984" s="25"/>
      <c r="N984" s="22" t="s">
        <v>11359</v>
      </c>
      <c r="O984" s="22" t="s">
        <v>11360</v>
      </c>
      <c r="P984" s="22" t="s">
        <v>11359</v>
      </c>
      <c r="Q984" s="22" t="s">
        <v>11360</v>
      </c>
      <c r="R984" s="22" t="s">
        <v>11361</v>
      </c>
      <c r="S984" s="25"/>
      <c r="T984" s="40" t="s">
        <v>11362</v>
      </c>
      <c r="U984" s="22" t="s">
        <v>11363</v>
      </c>
      <c r="V984" s="25"/>
      <c r="W984" s="22" t="s">
        <v>11364</v>
      </c>
      <c r="X984" s="22" t="s">
        <v>8289</v>
      </c>
      <c r="Y984" s="25"/>
      <c r="Z984" s="25"/>
      <c r="AA984" s="22" t="s">
        <v>8129</v>
      </c>
      <c r="AB984" s="22" t="s">
        <v>8130</v>
      </c>
      <c r="AC984" s="25"/>
      <c r="AD984" s="25"/>
      <c r="AE984" s="22" t="s">
        <v>8132</v>
      </c>
      <c r="AF984" s="25"/>
      <c r="AG984" s="22">
        <v>1.0468999627075E13</v>
      </c>
      <c r="AH984" s="22" t="s">
        <v>8137</v>
      </c>
      <c r="AI984" s="22">
        <v>2.3436530483523E13</v>
      </c>
      <c r="AJ984" s="25"/>
      <c r="AK984" s="25"/>
      <c r="AL984" s="22" t="s">
        <v>8149</v>
      </c>
      <c r="AR984" s="32" t="b">
        <v>0</v>
      </c>
      <c r="AS984" s="32" t="b">
        <v>0</v>
      </c>
    </row>
    <row r="985">
      <c r="A985" s="21" t="s">
        <v>11365</v>
      </c>
      <c r="B985" s="22" t="s">
        <v>8140</v>
      </c>
      <c r="C985" s="22">
        <v>1.0</v>
      </c>
      <c r="D985" s="22" t="s">
        <v>8766</v>
      </c>
      <c r="E985" s="22" t="s">
        <v>8140</v>
      </c>
      <c r="F985" s="22" t="s">
        <v>8121</v>
      </c>
      <c r="G985" s="25"/>
      <c r="H985" s="22">
        <v>3.2773819924803E13</v>
      </c>
      <c r="I985" s="25"/>
      <c r="J985" s="25"/>
      <c r="K985" s="22">
        <v>4.2085703581939E13</v>
      </c>
      <c r="L985" s="25"/>
      <c r="M985" s="25"/>
      <c r="N985" s="22" t="s">
        <v>11366</v>
      </c>
      <c r="O985" s="22" t="s">
        <v>11367</v>
      </c>
      <c r="P985" s="22" t="s">
        <v>11366</v>
      </c>
      <c r="Q985" s="22" t="s">
        <v>11367</v>
      </c>
      <c r="R985" s="22" t="s">
        <v>11368</v>
      </c>
      <c r="S985" s="25"/>
      <c r="T985" s="40" t="s">
        <v>11369</v>
      </c>
      <c r="U985" s="22" t="s">
        <v>11370</v>
      </c>
      <c r="V985" s="25"/>
      <c r="W985" s="22" t="s">
        <v>11371</v>
      </c>
      <c r="X985" s="22" t="s">
        <v>8663</v>
      </c>
      <c r="Y985" s="25"/>
      <c r="Z985" s="25"/>
      <c r="AA985" s="22" t="s">
        <v>8129</v>
      </c>
      <c r="AB985" s="22" t="s">
        <v>8130</v>
      </c>
      <c r="AC985" s="25"/>
      <c r="AD985" s="22" t="s">
        <v>8131</v>
      </c>
      <c r="AE985" s="22" t="s">
        <v>8132</v>
      </c>
      <c r="AF985" s="25"/>
      <c r="AG985" s="22">
        <v>1.0469021974851E13</v>
      </c>
      <c r="AH985" s="22" t="s">
        <v>90</v>
      </c>
      <c r="AI985" s="22">
        <v>7.467608441155E12</v>
      </c>
      <c r="AJ985" s="25"/>
      <c r="AK985" s="25"/>
      <c r="AL985" s="22" t="s">
        <v>8134</v>
      </c>
      <c r="AQ985" s="32" t="s">
        <v>8150</v>
      </c>
      <c r="AR985" s="32" t="b">
        <v>0</v>
      </c>
      <c r="AS985" s="32" t="b">
        <v>0</v>
      </c>
    </row>
    <row r="986">
      <c r="A986" s="21" t="s">
        <v>11365</v>
      </c>
      <c r="B986" s="25"/>
      <c r="C986" s="25"/>
      <c r="D986" s="22" t="s">
        <v>8766</v>
      </c>
      <c r="E986" s="25"/>
      <c r="F986" s="22" t="s">
        <v>8136</v>
      </c>
      <c r="G986" s="25"/>
      <c r="H986" s="22">
        <v>9.523215696195E12</v>
      </c>
      <c r="I986" s="25"/>
      <c r="J986" s="25"/>
      <c r="K986" s="25"/>
      <c r="L986" s="25"/>
      <c r="M986" s="25"/>
      <c r="N986" s="22" t="s">
        <v>11366</v>
      </c>
      <c r="O986" s="22" t="s">
        <v>11367</v>
      </c>
      <c r="P986" s="22" t="s">
        <v>11366</v>
      </c>
      <c r="Q986" s="22" t="s">
        <v>11367</v>
      </c>
      <c r="R986" s="22" t="s">
        <v>11368</v>
      </c>
      <c r="S986" s="25"/>
      <c r="T986" s="40" t="s">
        <v>11369</v>
      </c>
      <c r="U986" s="22" t="s">
        <v>11370</v>
      </c>
      <c r="V986" s="25"/>
      <c r="W986" s="22" t="s">
        <v>11371</v>
      </c>
      <c r="X986" s="22" t="s">
        <v>8663</v>
      </c>
      <c r="Y986" s="25"/>
      <c r="Z986" s="25"/>
      <c r="AA986" s="22" t="s">
        <v>8129</v>
      </c>
      <c r="AB986" s="22" t="s">
        <v>8130</v>
      </c>
      <c r="AC986" s="25"/>
      <c r="AD986" s="25"/>
      <c r="AE986" s="22" t="s">
        <v>8132</v>
      </c>
      <c r="AF986" s="25"/>
      <c r="AG986" s="22">
        <v>1.0469021974851E13</v>
      </c>
      <c r="AH986" s="22" t="s">
        <v>8137</v>
      </c>
      <c r="AI986" s="22">
        <v>7.467608441155E12</v>
      </c>
      <c r="AJ986" s="25"/>
      <c r="AK986" s="25"/>
      <c r="AL986" s="22" t="s">
        <v>8136</v>
      </c>
      <c r="AR986" s="32" t="b">
        <v>0</v>
      </c>
      <c r="AS986" s="32" t="b">
        <v>0</v>
      </c>
    </row>
    <row r="987">
      <c r="A987" s="21" t="s">
        <v>11372</v>
      </c>
      <c r="B987" s="22" t="s">
        <v>8140</v>
      </c>
      <c r="C987" s="22">
        <v>1.0</v>
      </c>
      <c r="D987" s="22" t="s">
        <v>11233</v>
      </c>
      <c r="E987" s="22" t="s">
        <v>8140</v>
      </c>
      <c r="F987" s="22" t="s">
        <v>8121</v>
      </c>
      <c r="G987" s="25"/>
      <c r="H987" s="22">
        <v>3.2773847744835E13</v>
      </c>
      <c r="I987" s="25"/>
      <c r="J987" s="25"/>
      <c r="K987" s="22">
        <v>4.2085703581939E13</v>
      </c>
      <c r="L987" s="25"/>
      <c r="M987" s="25"/>
      <c r="N987" s="22" t="s">
        <v>11373</v>
      </c>
      <c r="O987" s="22" t="s">
        <v>11374</v>
      </c>
      <c r="P987" s="22" t="s">
        <v>11373</v>
      </c>
      <c r="Q987" s="22" t="s">
        <v>11374</v>
      </c>
      <c r="R987" s="22" t="s">
        <v>11375</v>
      </c>
      <c r="S987" s="25"/>
      <c r="T987" s="40" t="s">
        <v>11376</v>
      </c>
      <c r="U987" s="22" t="s">
        <v>11377</v>
      </c>
      <c r="V987" s="25"/>
      <c r="W987" s="22" t="s">
        <v>11378</v>
      </c>
      <c r="X987" s="22" t="s">
        <v>8242</v>
      </c>
      <c r="Y987" s="25"/>
      <c r="Z987" s="25"/>
      <c r="AA987" s="22" t="s">
        <v>8129</v>
      </c>
      <c r="AB987" s="22" t="s">
        <v>8130</v>
      </c>
      <c r="AC987" s="25"/>
      <c r="AD987" s="22" t="s">
        <v>8131</v>
      </c>
      <c r="AE987" s="22" t="s">
        <v>8132</v>
      </c>
      <c r="AF987" s="25"/>
      <c r="AG987" s="22">
        <v>1.0469033902403E13</v>
      </c>
      <c r="AH987" s="22" t="s">
        <v>90</v>
      </c>
      <c r="AI987" s="22">
        <v>8.520931377475E12</v>
      </c>
      <c r="AJ987" s="25"/>
      <c r="AK987" s="25"/>
      <c r="AL987" s="22" t="s">
        <v>8134</v>
      </c>
      <c r="AQ987" s="32" t="s">
        <v>8150</v>
      </c>
      <c r="AR987" s="32" t="b">
        <v>0</v>
      </c>
      <c r="AS987" s="32" t="b">
        <v>0</v>
      </c>
    </row>
    <row r="988">
      <c r="A988" s="21" t="s">
        <v>11372</v>
      </c>
      <c r="B988" s="25"/>
      <c r="C988" s="25"/>
      <c r="D988" s="22" t="s">
        <v>11233</v>
      </c>
      <c r="E988" s="25"/>
      <c r="F988" s="22" t="s">
        <v>8136</v>
      </c>
      <c r="G988" s="25"/>
      <c r="H988" s="22">
        <v>9.523226870083E12</v>
      </c>
      <c r="I988" s="25"/>
      <c r="J988" s="25"/>
      <c r="K988" s="25"/>
      <c r="L988" s="25"/>
      <c r="M988" s="25"/>
      <c r="N988" s="22" t="s">
        <v>11373</v>
      </c>
      <c r="O988" s="22" t="s">
        <v>11374</v>
      </c>
      <c r="P988" s="22" t="s">
        <v>11373</v>
      </c>
      <c r="Q988" s="22" t="s">
        <v>11374</v>
      </c>
      <c r="R988" s="22" t="s">
        <v>11375</v>
      </c>
      <c r="S988" s="25"/>
      <c r="T988" s="40" t="s">
        <v>11376</v>
      </c>
      <c r="U988" s="22" t="s">
        <v>11377</v>
      </c>
      <c r="V988" s="25"/>
      <c r="W988" s="22" t="s">
        <v>11378</v>
      </c>
      <c r="X988" s="22" t="s">
        <v>8242</v>
      </c>
      <c r="Y988" s="25"/>
      <c r="Z988" s="25"/>
      <c r="AA988" s="22" t="s">
        <v>8129</v>
      </c>
      <c r="AB988" s="22" t="s">
        <v>8130</v>
      </c>
      <c r="AC988" s="25"/>
      <c r="AD988" s="25"/>
      <c r="AE988" s="22" t="s">
        <v>8132</v>
      </c>
      <c r="AF988" s="25"/>
      <c r="AG988" s="22">
        <v>1.0469033902403E13</v>
      </c>
      <c r="AH988" s="22" t="s">
        <v>8137</v>
      </c>
      <c r="AI988" s="22">
        <v>8.520931377475E12</v>
      </c>
      <c r="AJ988" s="25"/>
      <c r="AK988" s="25"/>
      <c r="AL988" s="22" t="s">
        <v>8136</v>
      </c>
      <c r="AR988" s="32" t="b">
        <v>0</v>
      </c>
      <c r="AS988" s="32" t="b">
        <v>0</v>
      </c>
    </row>
    <row r="989">
      <c r="A989" s="21" t="s">
        <v>11379</v>
      </c>
      <c r="B989" s="22" t="s">
        <v>8707</v>
      </c>
      <c r="C989" s="22">
        <v>1.0</v>
      </c>
      <c r="D989" s="22" t="s">
        <v>8278</v>
      </c>
      <c r="E989" s="22" t="s">
        <v>8707</v>
      </c>
      <c r="F989" s="22" t="s">
        <v>8155</v>
      </c>
      <c r="G989" s="25"/>
      <c r="H989" s="22">
        <v>3.2773994021187E13</v>
      </c>
      <c r="I989" s="25"/>
      <c r="J989" s="25"/>
      <c r="K989" s="22">
        <v>4.9521175429443E13</v>
      </c>
      <c r="L989" s="25"/>
      <c r="M989" s="25"/>
      <c r="N989" s="22" t="s">
        <v>4509</v>
      </c>
      <c r="O989" s="22" t="s">
        <v>11380</v>
      </c>
      <c r="P989" s="22" t="s">
        <v>4509</v>
      </c>
      <c r="Q989" s="22" t="s">
        <v>11380</v>
      </c>
      <c r="R989" s="22" t="s">
        <v>11381</v>
      </c>
      <c r="S989" s="25"/>
      <c r="T989" s="40" t="s">
        <v>11382</v>
      </c>
      <c r="U989" s="22" t="s">
        <v>11383</v>
      </c>
      <c r="V989" s="25"/>
      <c r="W989" s="22" t="s">
        <v>11384</v>
      </c>
      <c r="X989" s="22" t="s">
        <v>8289</v>
      </c>
      <c r="Y989" s="25"/>
      <c r="Z989" s="25"/>
      <c r="AA989" s="22" t="s">
        <v>8129</v>
      </c>
      <c r="AB989" s="22" t="s">
        <v>8130</v>
      </c>
      <c r="AC989" s="25"/>
      <c r="AD989" s="22" t="s">
        <v>8161</v>
      </c>
      <c r="AE989" s="22" t="s">
        <v>8132</v>
      </c>
      <c r="AF989" s="25"/>
      <c r="AG989" s="22">
        <v>1.0469094293827E13</v>
      </c>
      <c r="AH989" s="22" t="s">
        <v>90</v>
      </c>
      <c r="AI989" s="22">
        <v>2.3436626493763E13</v>
      </c>
      <c r="AJ989" s="25"/>
      <c r="AK989" s="25"/>
      <c r="AL989" s="22" t="s">
        <v>8336</v>
      </c>
      <c r="AQ989" s="32" t="s">
        <v>54</v>
      </c>
      <c r="AR989" s="32" t="b">
        <v>0</v>
      </c>
      <c r="AS989" s="32" t="b">
        <v>1</v>
      </c>
    </row>
    <row r="990">
      <c r="A990" s="21" t="s">
        <v>11379</v>
      </c>
      <c r="B990" s="25"/>
      <c r="C990" s="25"/>
      <c r="D990" s="22" t="s">
        <v>8278</v>
      </c>
      <c r="E990" s="25"/>
      <c r="F990" s="22" t="s">
        <v>8149</v>
      </c>
      <c r="G990" s="25"/>
      <c r="H990" s="22">
        <v>9.523284640067E12</v>
      </c>
      <c r="I990" s="25"/>
      <c r="J990" s="25"/>
      <c r="K990" s="25"/>
      <c r="L990" s="25"/>
      <c r="M990" s="25"/>
      <c r="N990" s="22" t="s">
        <v>4509</v>
      </c>
      <c r="O990" s="22" t="s">
        <v>11380</v>
      </c>
      <c r="P990" s="22" t="s">
        <v>4509</v>
      </c>
      <c r="Q990" s="22" t="s">
        <v>11380</v>
      </c>
      <c r="R990" s="22" t="s">
        <v>11381</v>
      </c>
      <c r="S990" s="25"/>
      <c r="T990" s="40" t="s">
        <v>11382</v>
      </c>
      <c r="U990" s="22" t="s">
        <v>11383</v>
      </c>
      <c r="V990" s="25"/>
      <c r="W990" s="22" t="s">
        <v>11384</v>
      </c>
      <c r="X990" s="22" t="s">
        <v>8289</v>
      </c>
      <c r="Y990" s="25"/>
      <c r="Z990" s="25"/>
      <c r="AA990" s="22" t="s">
        <v>8129</v>
      </c>
      <c r="AB990" s="22" t="s">
        <v>8130</v>
      </c>
      <c r="AC990" s="25"/>
      <c r="AD990" s="25"/>
      <c r="AE990" s="22" t="s">
        <v>8132</v>
      </c>
      <c r="AF990" s="25"/>
      <c r="AG990" s="22">
        <v>1.0469094293827E13</v>
      </c>
      <c r="AH990" s="22" t="s">
        <v>8137</v>
      </c>
      <c r="AI990" s="22">
        <v>2.3436626493763E13</v>
      </c>
      <c r="AJ990" s="25"/>
      <c r="AK990" s="25"/>
      <c r="AL990" s="22" t="s">
        <v>8149</v>
      </c>
      <c r="AR990" s="32" t="b">
        <v>0</v>
      </c>
      <c r="AS990" s="32" t="b">
        <v>0</v>
      </c>
    </row>
    <row r="991">
      <c r="A991" s="21" t="s">
        <v>11385</v>
      </c>
      <c r="B991" s="22" t="s">
        <v>8140</v>
      </c>
      <c r="C991" s="22">
        <v>1.0</v>
      </c>
      <c r="D991" s="22" t="s">
        <v>8221</v>
      </c>
      <c r="E991" s="22" t="s">
        <v>8140</v>
      </c>
      <c r="F991" s="22" t="s">
        <v>8121</v>
      </c>
      <c r="G991" s="25"/>
      <c r="H991" s="22">
        <v>3.2774135972163E13</v>
      </c>
      <c r="I991" s="25"/>
      <c r="J991" s="25"/>
      <c r="K991" s="22">
        <v>4.2085703581939E13</v>
      </c>
      <c r="L991" s="25"/>
      <c r="M991" s="25"/>
      <c r="N991" s="22" t="s">
        <v>3959</v>
      </c>
      <c r="O991" s="22" t="s">
        <v>11386</v>
      </c>
      <c r="P991" s="22" t="s">
        <v>3959</v>
      </c>
      <c r="Q991" s="22" t="s">
        <v>11386</v>
      </c>
      <c r="R991" s="22" t="s">
        <v>11387</v>
      </c>
      <c r="S991" s="25"/>
      <c r="T991" s="40" t="s">
        <v>11388</v>
      </c>
      <c r="U991" s="22" t="s">
        <v>11389</v>
      </c>
      <c r="V991" s="22" t="s">
        <v>11390</v>
      </c>
      <c r="W991" s="22" t="s">
        <v>11391</v>
      </c>
      <c r="X991" s="22" t="s">
        <v>8289</v>
      </c>
      <c r="Y991" s="25"/>
      <c r="Z991" s="25"/>
      <c r="AA991" s="22" t="s">
        <v>8129</v>
      </c>
      <c r="AB991" s="22" t="s">
        <v>8130</v>
      </c>
      <c r="AC991" s="25"/>
      <c r="AD991" s="22" t="s">
        <v>8131</v>
      </c>
      <c r="AE991" s="22" t="s">
        <v>8132</v>
      </c>
      <c r="AF991" s="25"/>
      <c r="AG991" s="22">
        <v>1.0469153374531E13</v>
      </c>
      <c r="AH991" s="22" t="s">
        <v>90</v>
      </c>
      <c r="AI991" s="22">
        <v>6.473194307827E12</v>
      </c>
      <c r="AJ991" s="25"/>
      <c r="AK991" s="25"/>
      <c r="AL991" s="22" t="s">
        <v>8134</v>
      </c>
      <c r="AQ991" s="32" t="s">
        <v>8150</v>
      </c>
      <c r="AR991" s="32" t="b">
        <v>0</v>
      </c>
      <c r="AS991" s="32" t="b">
        <v>0</v>
      </c>
    </row>
    <row r="992">
      <c r="A992" s="21" t="s">
        <v>11385</v>
      </c>
      <c r="B992" s="25"/>
      <c r="C992" s="25"/>
      <c r="D992" s="22" t="s">
        <v>8221</v>
      </c>
      <c r="E992" s="25"/>
      <c r="F992" s="22" t="s">
        <v>8136</v>
      </c>
      <c r="G992" s="25"/>
      <c r="H992" s="22">
        <v>9.523341656387E12</v>
      </c>
      <c r="I992" s="25"/>
      <c r="J992" s="25"/>
      <c r="K992" s="25"/>
      <c r="L992" s="25"/>
      <c r="M992" s="25"/>
      <c r="N992" s="22" t="s">
        <v>3959</v>
      </c>
      <c r="O992" s="22" t="s">
        <v>11386</v>
      </c>
      <c r="P992" s="22" t="s">
        <v>3959</v>
      </c>
      <c r="Q992" s="22" t="s">
        <v>11386</v>
      </c>
      <c r="R992" s="22" t="s">
        <v>11387</v>
      </c>
      <c r="S992" s="25"/>
      <c r="T992" s="40" t="s">
        <v>11388</v>
      </c>
      <c r="U992" s="22" t="s">
        <v>11389</v>
      </c>
      <c r="V992" s="22" t="s">
        <v>11390</v>
      </c>
      <c r="W992" s="22" t="s">
        <v>11391</v>
      </c>
      <c r="X992" s="22" t="s">
        <v>8289</v>
      </c>
      <c r="Y992" s="25"/>
      <c r="Z992" s="25"/>
      <c r="AA992" s="22" t="s">
        <v>8129</v>
      </c>
      <c r="AB992" s="22" t="s">
        <v>8130</v>
      </c>
      <c r="AC992" s="25"/>
      <c r="AD992" s="25"/>
      <c r="AE992" s="22" t="s">
        <v>8132</v>
      </c>
      <c r="AF992" s="25"/>
      <c r="AG992" s="22">
        <v>1.0469153374531E13</v>
      </c>
      <c r="AH992" s="22" t="s">
        <v>8137</v>
      </c>
      <c r="AI992" s="22">
        <v>6.473194307827E12</v>
      </c>
      <c r="AJ992" s="25"/>
      <c r="AK992" s="25"/>
      <c r="AL992" s="22" t="s">
        <v>8136</v>
      </c>
      <c r="AR992" s="32" t="b">
        <v>0</v>
      </c>
      <c r="AS992" s="32" t="b">
        <v>0</v>
      </c>
    </row>
    <row r="993">
      <c r="A993" s="21" t="s">
        <v>11392</v>
      </c>
      <c r="B993" s="22" t="s">
        <v>8467</v>
      </c>
      <c r="C993" s="22">
        <v>1.0</v>
      </c>
      <c r="D993" s="22" t="s">
        <v>8195</v>
      </c>
      <c r="E993" s="22" t="s">
        <v>8467</v>
      </c>
      <c r="F993" s="22" t="s">
        <v>8155</v>
      </c>
      <c r="G993" s="25"/>
      <c r="H993" s="22">
        <v>3.2774171656515E13</v>
      </c>
      <c r="I993" s="25"/>
      <c r="J993" s="25"/>
      <c r="K993" s="22">
        <v>4.9521175462211E13</v>
      </c>
      <c r="L993" s="25"/>
      <c r="M993" s="25"/>
      <c r="N993" s="22" t="s">
        <v>7746</v>
      </c>
      <c r="O993" s="22" t="s">
        <v>11393</v>
      </c>
      <c r="P993" s="22" t="s">
        <v>7746</v>
      </c>
      <c r="Q993" s="22" t="s">
        <v>11393</v>
      </c>
      <c r="R993" s="22" t="s">
        <v>11394</v>
      </c>
      <c r="S993" s="25"/>
      <c r="T993" s="40" t="s">
        <v>11395</v>
      </c>
      <c r="U993" s="22" t="s">
        <v>11396</v>
      </c>
      <c r="V993" s="25"/>
      <c r="W993" s="22" t="s">
        <v>11397</v>
      </c>
      <c r="X993" s="22" t="s">
        <v>8289</v>
      </c>
      <c r="Y993" s="25"/>
      <c r="Z993" s="25"/>
      <c r="AA993" s="22" t="s">
        <v>8129</v>
      </c>
      <c r="AB993" s="22" t="s">
        <v>8130</v>
      </c>
      <c r="AC993" s="25"/>
      <c r="AD993" s="22" t="s">
        <v>8161</v>
      </c>
      <c r="AE993" s="22" t="s">
        <v>8132</v>
      </c>
      <c r="AF993" s="25"/>
      <c r="AG993" s="22">
        <v>1.0469167989059E13</v>
      </c>
      <c r="AH993" s="22" t="s">
        <v>90</v>
      </c>
      <c r="AI993" s="22">
        <v>2.3436702712131E13</v>
      </c>
      <c r="AJ993" s="25"/>
      <c r="AK993" s="25"/>
      <c r="AL993" s="22" t="s">
        <v>8173</v>
      </c>
      <c r="AQ993" s="32" t="s">
        <v>55</v>
      </c>
      <c r="AR993" s="32" t="b">
        <v>0</v>
      </c>
      <c r="AS993" s="32" t="b">
        <v>1</v>
      </c>
    </row>
    <row r="994">
      <c r="A994" s="21" t="s">
        <v>11392</v>
      </c>
      <c r="B994" s="25"/>
      <c r="C994" s="25"/>
      <c r="D994" s="22" t="s">
        <v>8195</v>
      </c>
      <c r="E994" s="25"/>
      <c r="F994" s="22" t="s">
        <v>8149</v>
      </c>
      <c r="G994" s="25"/>
      <c r="H994" s="22">
        <v>9.523355418947E12</v>
      </c>
      <c r="I994" s="25"/>
      <c r="J994" s="25"/>
      <c r="K994" s="25"/>
      <c r="L994" s="25"/>
      <c r="M994" s="25"/>
      <c r="N994" s="22" t="s">
        <v>7746</v>
      </c>
      <c r="O994" s="22" t="s">
        <v>11393</v>
      </c>
      <c r="P994" s="22" t="s">
        <v>7746</v>
      </c>
      <c r="Q994" s="22" t="s">
        <v>11393</v>
      </c>
      <c r="R994" s="22" t="s">
        <v>11394</v>
      </c>
      <c r="S994" s="25"/>
      <c r="T994" s="40" t="s">
        <v>11395</v>
      </c>
      <c r="U994" s="22" t="s">
        <v>11396</v>
      </c>
      <c r="V994" s="25"/>
      <c r="W994" s="22" t="s">
        <v>11397</v>
      </c>
      <c r="X994" s="22" t="s">
        <v>8289</v>
      </c>
      <c r="Y994" s="25"/>
      <c r="Z994" s="25"/>
      <c r="AA994" s="22" t="s">
        <v>8129</v>
      </c>
      <c r="AB994" s="22" t="s">
        <v>8130</v>
      </c>
      <c r="AC994" s="25"/>
      <c r="AD994" s="25"/>
      <c r="AE994" s="22" t="s">
        <v>8132</v>
      </c>
      <c r="AF994" s="25"/>
      <c r="AG994" s="22">
        <v>1.0469167989059E13</v>
      </c>
      <c r="AH994" s="22" t="s">
        <v>8137</v>
      </c>
      <c r="AI994" s="22">
        <v>2.3436702712131E13</v>
      </c>
      <c r="AJ994" s="25"/>
      <c r="AK994" s="25"/>
      <c r="AL994" s="22" t="s">
        <v>8149</v>
      </c>
      <c r="AR994" s="32" t="b">
        <v>0</v>
      </c>
      <c r="AS994" s="32" t="b">
        <v>0</v>
      </c>
    </row>
    <row r="995">
      <c r="A995" s="21" t="s">
        <v>11398</v>
      </c>
      <c r="B995" s="22" t="s">
        <v>8467</v>
      </c>
      <c r="C995" s="22">
        <v>1.0</v>
      </c>
      <c r="D995" s="22" t="s">
        <v>8175</v>
      </c>
      <c r="E995" s="22" t="s">
        <v>8467</v>
      </c>
      <c r="F995" s="22" t="s">
        <v>8155</v>
      </c>
      <c r="G995" s="25"/>
      <c r="H995" s="22">
        <v>3.2774236897603E13</v>
      </c>
      <c r="I995" s="25"/>
      <c r="J995" s="25"/>
      <c r="K995" s="22">
        <v>4.9521175462211E13</v>
      </c>
      <c r="L995" s="25"/>
      <c r="M995" s="25"/>
      <c r="N995" s="22" t="s">
        <v>4509</v>
      </c>
      <c r="O995" s="22" t="s">
        <v>11399</v>
      </c>
      <c r="P995" s="22" t="s">
        <v>4509</v>
      </c>
      <c r="Q995" s="22" t="s">
        <v>11399</v>
      </c>
      <c r="R995" s="22" t="s">
        <v>11400</v>
      </c>
      <c r="S995" s="25"/>
      <c r="T995" s="40" t="s">
        <v>11401</v>
      </c>
      <c r="U995" s="22" t="s">
        <v>11402</v>
      </c>
      <c r="V995" s="25"/>
      <c r="W995" s="22" t="s">
        <v>11403</v>
      </c>
      <c r="X995" s="22" t="s">
        <v>8289</v>
      </c>
      <c r="Y995" s="25"/>
      <c r="Z995" s="25"/>
      <c r="AA995" s="22" t="s">
        <v>8129</v>
      </c>
      <c r="AB995" s="22" t="s">
        <v>8130</v>
      </c>
      <c r="AC995" s="25"/>
      <c r="AD995" s="22" t="s">
        <v>8161</v>
      </c>
      <c r="AE995" s="22" t="s">
        <v>8132</v>
      </c>
      <c r="AF995" s="25"/>
      <c r="AG995" s="22">
        <v>1.0469194596675E13</v>
      </c>
      <c r="AH995" s="22" t="s">
        <v>90</v>
      </c>
      <c r="AI995" s="22">
        <v>2.3436730564931E13</v>
      </c>
      <c r="AJ995" s="25"/>
      <c r="AK995" s="25"/>
      <c r="AL995" s="22" t="s">
        <v>8173</v>
      </c>
      <c r="AQ995" s="32" t="s">
        <v>55</v>
      </c>
      <c r="AR995" s="32" t="b">
        <v>0</v>
      </c>
      <c r="AS995" s="32" t="b">
        <v>1</v>
      </c>
    </row>
    <row r="996">
      <c r="A996" s="21" t="s">
        <v>11398</v>
      </c>
      <c r="B996" s="25"/>
      <c r="C996" s="25"/>
      <c r="D996" s="22" t="s">
        <v>8175</v>
      </c>
      <c r="E996" s="25"/>
      <c r="F996" s="22" t="s">
        <v>8149</v>
      </c>
      <c r="G996" s="25"/>
      <c r="H996" s="22">
        <v>9.523381207363E12</v>
      </c>
      <c r="I996" s="25"/>
      <c r="J996" s="25"/>
      <c r="K996" s="25"/>
      <c r="L996" s="25"/>
      <c r="M996" s="25"/>
      <c r="N996" s="22" t="s">
        <v>4509</v>
      </c>
      <c r="O996" s="22" t="s">
        <v>11399</v>
      </c>
      <c r="P996" s="22" t="s">
        <v>4509</v>
      </c>
      <c r="Q996" s="22" t="s">
        <v>11399</v>
      </c>
      <c r="R996" s="22" t="s">
        <v>11400</v>
      </c>
      <c r="S996" s="25"/>
      <c r="T996" s="40" t="s">
        <v>11401</v>
      </c>
      <c r="U996" s="22" t="s">
        <v>11402</v>
      </c>
      <c r="V996" s="25"/>
      <c r="W996" s="22" t="s">
        <v>11403</v>
      </c>
      <c r="X996" s="22" t="s">
        <v>8289</v>
      </c>
      <c r="Y996" s="25"/>
      <c r="Z996" s="25"/>
      <c r="AA996" s="22" t="s">
        <v>8129</v>
      </c>
      <c r="AB996" s="22" t="s">
        <v>8130</v>
      </c>
      <c r="AC996" s="25"/>
      <c r="AD996" s="25"/>
      <c r="AE996" s="22" t="s">
        <v>8132</v>
      </c>
      <c r="AF996" s="25"/>
      <c r="AG996" s="22">
        <v>1.0469194596675E13</v>
      </c>
      <c r="AH996" s="22" t="s">
        <v>8137</v>
      </c>
      <c r="AI996" s="22">
        <v>2.3436730564931E13</v>
      </c>
      <c r="AJ996" s="25"/>
      <c r="AK996" s="25"/>
      <c r="AL996" s="22" t="s">
        <v>8149</v>
      </c>
      <c r="AR996" s="32" t="b">
        <v>0</v>
      </c>
      <c r="AS996" s="32" t="b">
        <v>0</v>
      </c>
    </row>
    <row r="997">
      <c r="A997" s="21" t="s">
        <v>11404</v>
      </c>
      <c r="B997" s="22" t="s">
        <v>8119</v>
      </c>
      <c r="C997" s="22">
        <v>1.0</v>
      </c>
      <c r="D997" s="22" t="s">
        <v>8371</v>
      </c>
      <c r="E997" s="22" t="s">
        <v>8119</v>
      </c>
      <c r="F997" s="22" t="s">
        <v>8121</v>
      </c>
      <c r="G997" s="25"/>
      <c r="H997" s="22">
        <v>3.2774343393603E13</v>
      </c>
      <c r="I997" s="25"/>
      <c r="J997" s="25"/>
      <c r="K997" s="22">
        <v>4.2085703549171E13</v>
      </c>
      <c r="L997" s="25"/>
      <c r="M997" s="25"/>
      <c r="N997" s="22" t="s">
        <v>4228</v>
      </c>
      <c r="O997" s="22" t="s">
        <v>11405</v>
      </c>
      <c r="P997" s="22" t="s">
        <v>4228</v>
      </c>
      <c r="Q997" s="22" t="s">
        <v>11405</v>
      </c>
      <c r="R997" s="22" t="s">
        <v>11406</v>
      </c>
      <c r="S997" s="25"/>
      <c r="T997" s="40" t="s">
        <v>11407</v>
      </c>
      <c r="U997" s="22" t="s">
        <v>11408</v>
      </c>
      <c r="V997" s="25"/>
      <c r="W997" s="22" t="s">
        <v>11409</v>
      </c>
      <c r="X997" s="22" t="s">
        <v>8289</v>
      </c>
      <c r="Y997" s="25"/>
      <c r="Z997" s="25"/>
      <c r="AA997" s="22" t="s">
        <v>8129</v>
      </c>
      <c r="AB997" s="22" t="s">
        <v>8130</v>
      </c>
      <c r="AC997" s="25"/>
      <c r="AD997" s="22" t="s">
        <v>8131</v>
      </c>
      <c r="AE997" s="22" t="s">
        <v>8132</v>
      </c>
      <c r="AF997" s="25"/>
      <c r="AG997" s="22">
        <v>1.0469237555523E13</v>
      </c>
      <c r="AH997" s="22" t="s">
        <v>90</v>
      </c>
      <c r="AI997" s="22">
        <v>2.3436771098947E13</v>
      </c>
      <c r="AJ997" s="25"/>
      <c r="AK997" s="25"/>
      <c r="AL997" s="22" t="s">
        <v>8133</v>
      </c>
      <c r="AQ997" s="32" t="s">
        <v>8135</v>
      </c>
      <c r="AR997" s="32" t="b">
        <v>0</v>
      </c>
      <c r="AS997" s="32" t="b">
        <v>0</v>
      </c>
    </row>
    <row r="998">
      <c r="A998" s="21" t="s">
        <v>11404</v>
      </c>
      <c r="B998" s="25"/>
      <c r="C998" s="25"/>
      <c r="D998" s="22" t="s">
        <v>8371</v>
      </c>
      <c r="E998" s="25"/>
      <c r="F998" s="22" t="s">
        <v>8136</v>
      </c>
      <c r="G998" s="25"/>
      <c r="H998" s="22">
        <v>9.523422527811E12</v>
      </c>
      <c r="I998" s="25"/>
      <c r="J998" s="25"/>
      <c r="K998" s="25"/>
      <c r="L998" s="25"/>
      <c r="M998" s="25"/>
      <c r="N998" s="22" t="s">
        <v>4228</v>
      </c>
      <c r="O998" s="22" t="s">
        <v>11405</v>
      </c>
      <c r="P998" s="22" t="s">
        <v>4228</v>
      </c>
      <c r="Q998" s="22" t="s">
        <v>11405</v>
      </c>
      <c r="R998" s="22" t="s">
        <v>11406</v>
      </c>
      <c r="S998" s="25"/>
      <c r="T998" s="40" t="s">
        <v>11407</v>
      </c>
      <c r="U998" s="22" t="s">
        <v>11408</v>
      </c>
      <c r="V998" s="25"/>
      <c r="W998" s="22" t="s">
        <v>11409</v>
      </c>
      <c r="X998" s="22" t="s">
        <v>8289</v>
      </c>
      <c r="Y998" s="25"/>
      <c r="Z998" s="25"/>
      <c r="AA998" s="22" t="s">
        <v>8129</v>
      </c>
      <c r="AB998" s="22" t="s">
        <v>8130</v>
      </c>
      <c r="AC998" s="25"/>
      <c r="AD998" s="25"/>
      <c r="AE998" s="22" t="s">
        <v>8132</v>
      </c>
      <c r="AF998" s="25"/>
      <c r="AG998" s="22">
        <v>1.0469237555523E13</v>
      </c>
      <c r="AH998" s="22" t="s">
        <v>8137</v>
      </c>
      <c r="AI998" s="22">
        <v>2.3436771098947E13</v>
      </c>
      <c r="AJ998" s="25"/>
      <c r="AK998" s="25"/>
      <c r="AL998" s="22" t="s">
        <v>8136</v>
      </c>
      <c r="AR998" s="32" t="b">
        <v>0</v>
      </c>
      <c r="AS998" s="32" t="b">
        <v>0</v>
      </c>
    </row>
    <row r="999">
      <c r="A999" s="21" t="s">
        <v>11410</v>
      </c>
      <c r="B999" s="22" t="s">
        <v>8467</v>
      </c>
      <c r="C999" s="22">
        <v>1.0</v>
      </c>
      <c r="D999" s="22" t="s">
        <v>8371</v>
      </c>
      <c r="E999" s="22" t="s">
        <v>8467</v>
      </c>
      <c r="F999" s="22" t="s">
        <v>8155</v>
      </c>
      <c r="G999" s="25"/>
      <c r="H999" s="22">
        <v>3.2774392447299E13</v>
      </c>
      <c r="I999" s="25"/>
      <c r="J999" s="25"/>
      <c r="K999" s="22">
        <v>4.9521175462211E13</v>
      </c>
      <c r="L999" s="25"/>
      <c r="M999" s="25"/>
      <c r="N999" s="22" t="s">
        <v>11411</v>
      </c>
      <c r="O999" s="22" t="s">
        <v>11412</v>
      </c>
      <c r="P999" s="22" t="s">
        <v>11411</v>
      </c>
      <c r="Q999" s="22" t="s">
        <v>11412</v>
      </c>
      <c r="R999" s="22" t="s">
        <v>11413</v>
      </c>
      <c r="S999" s="25"/>
      <c r="T999" s="40" t="s">
        <v>11414</v>
      </c>
      <c r="U999" s="22" t="s">
        <v>11415</v>
      </c>
      <c r="V999" s="25"/>
      <c r="W999" s="22" t="s">
        <v>11416</v>
      </c>
      <c r="X999" s="22" t="s">
        <v>8289</v>
      </c>
      <c r="Y999" s="25"/>
      <c r="Z999" s="25"/>
      <c r="AA999" s="22" t="s">
        <v>8129</v>
      </c>
      <c r="AB999" s="22" t="s">
        <v>8130</v>
      </c>
      <c r="AC999" s="25"/>
      <c r="AD999" s="22" t="s">
        <v>8161</v>
      </c>
      <c r="AE999" s="22" t="s">
        <v>8132</v>
      </c>
      <c r="AF999" s="25"/>
      <c r="AG999" s="22">
        <v>1.0469258199363E13</v>
      </c>
      <c r="AH999" s="22" t="s">
        <v>90</v>
      </c>
      <c r="AI999" s="22">
        <v>8.414942658883E12</v>
      </c>
      <c r="AJ999" s="25"/>
      <c r="AK999" s="25"/>
      <c r="AL999" s="22" t="s">
        <v>8173</v>
      </c>
      <c r="AQ999" s="32" t="s">
        <v>55</v>
      </c>
      <c r="AR999" s="32" t="b">
        <v>0</v>
      </c>
      <c r="AS999" s="32" t="b">
        <v>1</v>
      </c>
    </row>
    <row r="1000">
      <c r="A1000" s="21" t="s">
        <v>11410</v>
      </c>
      <c r="B1000" s="25"/>
      <c r="C1000" s="25"/>
      <c r="D1000" s="22" t="s">
        <v>8371</v>
      </c>
      <c r="E1000" s="25"/>
      <c r="F1000" s="22" t="s">
        <v>8149</v>
      </c>
      <c r="G1000" s="25"/>
      <c r="H1000" s="22">
        <v>9.523442450755E12</v>
      </c>
      <c r="I1000" s="25"/>
      <c r="J1000" s="25"/>
      <c r="K1000" s="25"/>
      <c r="L1000" s="25"/>
      <c r="M1000" s="25"/>
      <c r="N1000" s="22" t="s">
        <v>11411</v>
      </c>
      <c r="O1000" s="22" t="s">
        <v>11412</v>
      </c>
      <c r="P1000" s="22" t="s">
        <v>11411</v>
      </c>
      <c r="Q1000" s="22" t="s">
        <v>11412</v>
      </c>
      <c r="R1000" s="22" t="s">
        <v>11413</v>
      </c>
      <c r="S1000" s="25"/>
      <c r="T1000" s="40" t="s">
        <v>11414</v>
      </c>
      <c r="U1000" s="22" t="s">
        <v>11415</v>
      </c>
      <c r="V1000" s="25"/>
      <c r="W1000" s="22" t="s">
        <v>11416</v>
      </c>
      <c r="X1000" s="22" t="s">
        <v>8289</v>
      </c>
      <c r="Y1000" s="25"/>
      <c r="Z1000" s="25"/>
      <c r="AA1000" s="22" t="s">
        <v>8129</v>
      </c>
      <c r="AB1000" s="22" t="s">
        <v>8130</v>
      </c>
      <c r="AC1000" s="25"/>
      <c r="AD1000" s="25"/>
      <c r="AE1000" s="22" t="s">
        <v>8132</v>
      </c>
      <c r="AF1000" s="25"/>
      <c r="AG1000" s="22">
        <v>1.0469258199363E13</v>
      </c>
      <c r="AH1000" s="22" t="s">
        <v>8137</v>
      </c>
      <c r="AI1000" s="22">
        <v>8.414942658883E12</v>
      </c>
      <c r="AJ1000" s="25"/>
      <c r="AK1000" s="25"/>
      <c r="AL1000" s="22" t="s">
        <v>8149</v>
      </c>
      <c r="AR1000" s="32" t="b">
        <v>0</v>
      </c>
      <c r="AS1000" s="32" t="b">
        <v>0</v>
      </c>
    </row>
    <row r="1001">
      <c r="A1001" s="21" t="s">
        <v>11417</v>
      </c>
      <c r="B1001" s="22" t="s">
        <v>8153</v>
      </c>
      <c r="C1001" s="22">
        <v>1.0</v>
      </c>
      <c r="D1001" s="22" t="s">
        <v>8968</v>
      </c>
      <c r="E1001" s="22" t="s">
        <v>8153</v>
      </c>
      <c r="F1001" s="22" t="s">
        <v>8155</v>
      </c>
      <c r="G1001" s="25"/>
      <c r="H1001" s="22">
        <v>3.2774703972675E13</v>
      </c>
      <c r="I1001" s="25"/>
      <c r="J1001" s="25"/>
      <c r="K1001" s="22">
        <v>4.7338059759939E13</v>
      </c>
      <c r="L1001" s="25"/>
      <c r="M1001" s="25"/>
      <c r="N1001" s="22" t="s">
        <v>4283</v>
      </c>
      <c r="O1001" s="22" t="s">
        <v>11418</v>
      </c>
      <c r="P1001" s="22" t="s">
        <v>4283</v>
      </c>
      <c r="Q1001" s="22" t="s">
        <v>11418</v>
      </c>
      <c r="R1001" s="22" t="s">
        <v>11419</v>
      </c>
      <c r="S1001" s="25"/>
      <c r="T1001" s="40" t="s">
        <v>11420</v>
      </c>
      <c r="U1001" s="22" t="s">
        <v>11421</v>
      </c>
      <c r="V1001" s="25"/>
      <c r="W1001" s="22" t="s">
        <v>11422</v>
      </c>
      <c r="X1001" s="22" t="s">
        <v>8200</v>
      </c>
      <c r="Y1001" s="25"/>
      <c r="Z1001" s="25"/>
      <c r="AA1001" s="22" t="s">
        <v>8129</v>
      </c>
      <c r="AB1001" s="22" t="s">
        <v>8130</v>
      </c>
      <c r="AC1001" s="25"/>
      <c r="AD1001" s="22" t="s">
        <v>8161</v>
      </c>
      <c r="AE1001" s="22" t="s">
        <v>8132</v>
      </c>
      <c r="AF1001" s="25"/>
      <c r="AG1001" s="22">
        <v>1.0469386682691E13</v>
      </c>
      <c r="AH1001" s="22" t="s">
        <v>90</v>
      </c>
      <c r="AI1001" s="22">
        <v>2.3436934906179E13</v>
      </c>
      <c r="AJ1001" s="25"/>
      <c r="AK1001" s="25"/>
      <c r="AL1001" s="22" t="s">
        <v>8162</v>
      </c>
      <c r="AQ1001" s="32" t="s">
        <v>55</v>
      </c>
      <c r="AR1001" s="32" t="b">
        <v>0</v>
      </c>
      <c r="AS1001" s="32" t="b">
        <v>0</v>
      </c>
    </row>
    <row r="1002">
      <c r="A1002" s="21" t="s">
        <v>11417</v>
      </c>
      <c r="B1002" s="25"/>
      <c r="C1002" s="25"/>
      <c r="D1002" s="22" t="s">
        <v>8968</v>
      </c>
      <c r="E1002" s="25"/>
      <c r="F1002" s="22" t="s">
        <v>8149</v>
      </c>
      <c r="G1002" s="25"/>
      <c r="H1002" s="22">
        <v>9.523567231299E12</v>
      </c>
      <c r="I1002" s="25"/>
      <c r="J1002" s="25"/>
      <c r="K1002" s="25"/>
      <c r="L1002" s="25"/>
      <c r="M1002" s="25"/>
      <c r="N1002" s="22" t="s">
        <v>4283</v>
      </c>
      <c r="O1002" s="22" t="s">
        <v>11418</v>
      </c>
      <c r="P1002" s="22" t="s">
        <v>4283</v>
      </c>
      <c r="Q1002" s="22" t="s">
        <v>11418</v>
      </c>
      <c r="R1002" s="22" t="s">
        <v>11419</v>
      </c>
      <c r="S1002" s="25"/>
      <c r="T1002" s="40" t="s">
        <v>11420</v>
      </c>
      <c r="U1002" s="22" t="s">
        <v>11421</v>
      </c>
      <c r="V1002" s="25"/>
      <c r="W1002" s="22" t="s">
        <v>11422</v>
      </c>
      <c r="X1002" s="22" t="s">
        <v>8200</v>
      </c>
      <c r="Y1002" s="25"/>
      <c r="Z1002" s="25"/>
      <c r="AA1002" s="22" t="s">
        <v>8129</v>
      </c>
      <c r="AB1002" s="22" t="s">
        <v>8130</v>
      </c>
      <c r="AC1002" s="25"/>
      <c r="AD1002" s="25"/>
      <c r="AE1002" s="22" t="s">
        <v>8132</v>
      </c>
      <c r="AF1002" s="25"/>
      <c r="AG1002" s="22">
        <v>1.0469386682691E13</v>
      </c>
      <c r="AH1002" s="22" t="s">
        <v>8137</v>
      </c>
      <c r="AI1002" s="22">
        <v>2.3436934906179E13</v>
      </c>
      <c r="AJ1002" s="25"/>
      <c r="AK1002" s="25"/>
      <c r="AL1002" s="22" t="s">
        <v>8149</v>
      </c>
      <c r="AR1002" s="32" t="b">
        <v>0</v>
      </c>
      <c r="AS1002" s="32" t="b">
        <v>0</v>
      </c>
    </row>
    <row r="1003">
      <c r="A1003" s="21" t="s">
        <v>11423</v>
      </c>
      <c r="B1003" s="22" t="s">
        <v>8119</v>
      </c>
      <c r="C1003" s="22">
        <v>1.0</v>
      </c>
      <c r="D1003" s="22" t="s">
        <v>8278</v>
      </c>
      <c r="E1003" s="22" t="s">
        <v>8119</v>
      </c>
      <c r="F1003" s="22" t="s">
        <v>8121</v>
      </c>
      <c r="G1003" s="25"/>
      <c r="H1003" s="22">
        <v>3.2774907625795E13</v>
      </c>
      <c r="I1003" s="25"/>
      <c r="J1003" s="25"/>
      <c r="K1003" s="22">
        <v>4.2085703549171E13</v>
      </c>
      <c r="L1003" s="25"/>
      <c r="M1003" s="25"/>
      <c r="N1003" s="22" t="s">
        <v>11424</v>
      </c>
      <c r="O1003" s="22" t="s">
        <v>11425</v>
      </c>
      <c r="P1003" s="22" t="s">
        <v>11424</v>
      </c>
      <c r="Q1003" s="22" t="s">
        <v>11425</v>
      </c>
      <c r="R1003" s="22" t="s">
        <v>11426</v>
      </c>
      <c r="S1003" s="25"/>
      <c r="T1003" s="40" t="s">
        <v>11427</v>
      </c>
      <c r="U1003" s="22" t="s">
        <v>11428</v>
      </c>
      <c r="V1003" s="25"/>
      <c r="W1003" s="22" t="s">
        <v>11429</v>
      </c>
      <c r="X1003" s="22" t="s">
        <v>8289</v>
      </c>
      <c r="Y1003" s="25"/>
      <c r="Z1003" s="25"/>
      <c r="AA1003" s="22" t="s">
        <v>8129</v>
      </c>
      <c r="AB1003" s="22" t="s">
        <v>8130</v>
      </c>
      <c r="AC1003" s="25"/>
      <c r="AD1003" s="22" t="s">
        <v>8131</v>
      </c>
      <c r="AE1003" s="22" t="s">
        <v>8132</v>
      </c>
      <c r="AF1003" s="25"/>
      <c r="AG1003" s="22">
        <v>1.0469463556419E13</v>
      </c>
      <c r="AH1003" s="22" t="s">
        <v>90</v>
      </c>
      <c r="AI1003" s="22">
        <v>2.2486123774275E13</v>
      </c>
      <c r="AJ1003" s="25"/>
      <c r="AK1003" s="25"/>
      <c r="AL1003" s="22" t="s">
        <v>8133</v>
      </c>
      <c r="AQ1003" s="32" t="s">
        <v>8135</v>
      </c>
      <c r="AR1003" s="32" t="b">
        <v>0</v>
      </c>
      <c r="AS1003" s="32" t="b">
        <v>0</v>
      </c>
    </row>
    <row r="1004">
      <c r="A1004" s="21" t="s">
        <v>11423</v>
      </c>
      <c r="B1004" s="25"/>
      <c r="C1004" s="25"/>
      <c r="D1004" s="22" t="s">
        <v>8278</v>
      </c>
      <c r="E1004" s="25"/>
      <c r="F1004" s="22" t="s">
        <v>8136</v>
      </c>
      <c r="G1004" s="25"/>
      <c r="H1004" s="22">
        <v>9.523641745731E12</v>
      </c>
      <c r="I1004" s="25"/>
      <c r="J1004" s="25"/>
      <c r="K1004" s="25"/>
      <c r="L1004" s="25"/>
      <c r="M1004" s="25"/>
      <c r="N1004" s="22" t="s">
        <v>11424</v>
      </c>
      <c r="O1004" s="22" t="s">
        <v>11425</v>
      </c>
      <c r="P1004" s="22" t="s">
        <v>11424</v>
      </c>
      <c r="Q1004" s="22" t="s">
        <v>11425</v>
      </c>
      <c r="R1004" s="22" t="s">
        <v>11426</v>
      </c>
      <c r="S1004" s="25"/>
      <c r="T1004" s="40" t="s">
        <v>11427</v>
      </c>
      <c r="U1004" s="22" t="s">
        <v>11428</v>
      </c>
      <c r="V1004" s="25"/>
      <c r="W1004" s="22" t="s">
        <v>11429</v>
      </c>
      <c r="X1004" s="22" t="s">
        <v>8289</v>
      </c>
      <c r="Y1004" s="25"/>
      <c r="Z1004" s="25"/>
      <c r="AA1004" s="22" t="s">
        <v>8129</v>
      </c>
      <c r="AB1004" s="22" t="s">
        <v>8130</v>
      </c>
      <c r="AC1004" s="25"/>
      <c r="AD1004" s="25"/>
      <c r="AE1004" s="22" t="s">
        <v>8132</v>
      </c>
      <c r="AF1004" s="25"/>
      <c r="AG1004" s="22">
        <v>1.0469463556419E13</v>
      </c>
      <c r="AH1004" s="22" t="s">
        <v>8137</v>
      </c>
      <c r="AI1004" s="22">
        <v>2.2486123774275E13</v>
      </c>
      <c r="AJ1004" s="25"/>
      <c r="AK1004" s="25"/>
      <c r="AL1004" s="22" t="s">
        <v>8136</v>
      </c>
      <c r="AR1004" s="32" t="b">
        <v>0</v>
      </c>
      <c r="AS1004" s="32" t="b">
        <v>0</v>
      </c>
    </row>
    <row r="1005">
      <c r="A1005" s="21" t="s">
        <v>11430</v>
      </c>
      <c r="B1005" s="22" t="s">
        <v>8370</v>
      </c>
      <c r="C1005" s="22">
        <v>1.0</v>
      </c>
      <c r="D1005" s="22" t="s">
        <v>10254</v>
      </c>
      <c r="E1005" s="22" t="s">
        <v>8370</v>
      </c>
      <c r="F1005" s="22" t="s">
        <v>8155</v>
      </c>
      <c r="G1005" s="25"/>
      <c r="H1005" s="22">
        <v>3.2775859831107E13</v>
      </c>
      <c r="I1005" s="25"/>
      <c r="J1005" s="25"/>
      <c r="K1005" s="22">
        <v>4.9521175494979E13</v>
      </c>
      <c r="L1005" s="25"/>
      <c r="M1005" s="25"/>
      <c r="N1005" s="22" t="s">
        <v>11431</v>
      </c>
      <c r="O1005" s="22" t="s">
        <v>11432</v>
      </c>
      <c r="P1005" s="22" t="s">
        <v>11431</v>
      </c>
      <c r="Q1005" s="22" t="s">
        <v>11432</v>
      </c>
      <c r="R1005" s="22" t="s">
        <v>11433</v>
      </c>
      <c r="S1005" s="25"/>
      <c r="T1005" s="40" t="s">
        <v>11434</v>
      </c>
      <c r="U1005" s="22" t="s">
        <v>11435</v>
      </c>
      <c r="V1005" s="25"/>
      <c r="W1005" s="22" t="s">
        <v>11436</v>
      </c>
      <c r="X1005" s="22" t="s">
        <v>11437</v>
      </c>
      <c r="Y1005" s="25"/>
      <c r="Z1005" s="25"/>
      <c r="AA1005" s="22" t="s">
        <v>8129</v>
      </c>
      <c r="AB1005" s="22" t="s">
        <v>8130</v>
      </c>
      <c r="AC1005" s="25"/>
      <c r="AD1005" s="22" t="s">
        <v>8161</v>
      </c>
      <c r="AE1005" s="22" t="s">
        <v>8132</v>
      </c>
      <c r="AF1005" s="25"/>
      <c r="AG1005" s="22">
        <v>1.0469898125635E13</v>
      </c>
      <c r="AH1005" s="22" t="s">
        <v>90</v>
      </c>
      <c r="AI1005" s="22">
        <v>2.3437559071043E13</v>
      </c>
      <c r="AJ1005" s="25"/>
      <c r="AK1005" s="25"/>
      <c r="AL1005" s="22" t="s">
        <v>8138</v>
      </c>
      <c r="AQ1005" s="32" t="s">
        <v>91</v>
      </c>
      <c r="AR1005" s="32" t="b">
        <v>0</v>
      </c>
      <c r="AS1005" s="32" t="b">
        <v>1</v>
      </c>
    </row>
    <row r="1006">
      <c r="A1006" s="21" t="s">
        <v>11430</v>
      </c>
      <c r="B1006" s="25"/>
      <c r="C1006" s="25"/>
      <c r="D1006" s="22" t="s">
        <v>10254</v>
      </c>
      <c r="E1006" s="25"/>
      <c r="F1006" s="22" t="s">
        <v>8149</v>
      </c>
      <c r="G1006" s="25"/>
      <c r="H1006" s="22">
        <v>9.524030931267E12</v>
      </c>
      <c r="I1006" s="25"/>
      <c r="J1006" s="25"/>
      <c r="K1006" s="25"/>
      <c r="L1006" s="25"/>
      <c r="M1006" s="25"/>
      <c r="N1006" s="22" t="s">
        <v>11431</v>
      </c>
      <c r="O1006" s="22" t="s">
        <v>11432</v>
      </c>
      <c r="P1006" s="22" t="s">
        <v>11431</v>
      </c>
      <c r="Q1006" s="22" t="s">
        <v>11432</v>
      </c>
      <c r="R1006" s="22" t="s">
        <v>11433</v>
      </c>
      <c r="S1006" s="25"/>
      <c r="T1006" s="40" t="s">
        <v>11434</v>
      </c>
      <c r="U1006" s="22" t="s">
        <v>11435</v>
      </c>
      <c r="V1006" s="25"/>
      <c r="W1006" s="22" t="s">
        <v>11436</v>
      </c>
      <c r="X1006" s="22" t="s">
        <v>11437</v>
      </c>
      <c r="Y1006" s="25"/>
      <c r="Z1006" s="25"/>
      <c r="AA1006" s="22" t="s">
        <v>8129</v>
      </c>
      <c r="AB1006" s="22" t="s">
        <v>8130</v>
      </c>
      <c r="AC1006" s="25"/>
      <c r="AD1006" s="25"/>
      <c r="AE1006" s="22" t="s">
        <v>8132</v>
      </c>
      <c r="AF1006" s="25"/>
      <c r="AG1006" s="22">
        <v>1.0469898125635E13</v>
      </c>
      <c r="AH1006" s="22" t="s">
        <v>8137</v>
      </c>
      <c r="AI1006" s="22">
        <v>2.3437559071043E13</v>
      </c>
      <c r="AJ1006" s="25"/>
      <c r="AK1006" s="25"/>
      <c r="AL1006" s="22" t="s">
        <v>8149</v>
      </c>
      <c r="AR1006" s="32" t="b">
        <v>0</v>
      </c>
      <c r="AS1006" s="32" t="b">
        <v>0</v>
      </c>
    </row>
    <row r="1007">
      <c r="A1007" s="21" t="s">
        <v>11438</v>
      </c>
      <c r="B1007" s="22" t="s">
        <v>8119</v>
      </c>
      <c r="C1007" s="22">
        <v>1.0</v>
      </c>
      <c r="D1007" s="22" t="s">
        <v>8371</v>
      </c>
      <c r="E1007" s="22" t="s">
        <v>8119</v>
      </c>
      <c r="F1007" s="22" t="s">
        <v>8121</v>
      </c>
      <c r="G1007" s="25"/>
      <c r="H1007" s="22">
        <v>3.2776213430595E13</v>
      </c>
      <c r="I1007" s="25"/>
      <c r="J1007" s="25"/>
      <c r="K1007" s="22">
        <v>4.2085703549171E13</v>
      </c>
      <c r="L1007" s="25"/>
      <c r="M1007" s="25"/>
      <c r="N1007" s="22" t="s">
        <v>6045</v>
      </c>
      <c r="O1007" s="22" t="s">
        <v>11439</v>
      </c>
      <c r="P1007" s="22" t="s">
        <v>6045</v>
      </c>
      <c r="Q1007" s="22" t="s">
        <v>11439</v>
      </c>
      <c r="R1007" s="22" t="s">
        <v>11440</v>
      </c>
      <c r="S1007" s="25"/>
      <c r="T1007" s="40" t="s">
        <v>11441</v>
      </c>
      <c r="U1007" s="22" t="s">
        <v>11442</v>
      </c>
      <c r="V1007" s="25"/>
      <c r="W1007" s="22" t="s">
        <v>11443</v>
      </c>
      <c r="X1007" s="22" t="s">
        <v>8251</v>
      </c>
      <c r="Y1007" s="25"/>
      <c r="Z1007" s="25"/>
      <c r="AA1007" s="22" t="s">
        <v>8129</v>
      </c>
      <c r="AB1007" s="22" t="s">
        <v>8130</v>
      </c>
      <c r="AC1007" s="25"/>
      <c r="AD1007" s="22" t="s">
        <v>8131</v>
      </c>
      <c r="AE1007" s="22" t="s">
        <v>8132</v>
      </c>
      <c r="AF1007" s="25"/>
      <c r="AG1007" s="22">
        <v>1.0470055084355E13</v>
      </c>
      <c r="AH1007" s="22" t="s">
        <v>90</v>
      </c>
      <c r="AI1007" s="22">
        <v>5.973778497779E12</v>
      </c>
      <c r="AJ1007" s="25"/>
      <c r="AK1007" s="25"/>
      <c r="AL1007" s="22" t="s">
        <v>8133</v>
      </c>
      <c r="AQ1007" s="32" t="s">
        <v>8135</v>
      </c>
      <c r="AR1007" s="32" t="b">
        <v>0</v>
      </c>
      <c r="AS1007" s="32" t="b">
        <v>0</v>
      </c>
    </row>
    <row r="1008">
      <c r="A1008" s="21" t="s">
        <v>11438</v>
      </c>
      <c r="B1008" s="25"/>
      <c r="C1008" s="25"/>
      <c r="D1008" s="22" t="s">
        <v>8371</v>
      </c>
      <c r="E1008" s="25"/>
      <c r="F1008" s="22" t="s">
        <v>8136</v>
      </c>
      <c r="G1008" s="25"/>
      <c r="H1008" s="22">
        <v>9.524178878787E12</v>
      </c>
      <c r="I1008" s="25"/>
      <c r="J1008" s="25"/>
      <c r="K1008" s="25"/>
      <c r="L1008" s="25"/>
      <c r="M1008" s="25"/>
      <c r="N1008" s="22" t="s">
        <v>6045</v>
      </c>
      <c r="O1008" s="22" t="s">
        <v>11439</v>
      </c>
      <c r="P1008" s="22" t="s">
        <v>6045</v>
      </c>
      <c r="Q1008" s="22" t="s">
        <v>11439</v>
      </c>
      <c r="R1008" s="22" t="s">
        <v>11440</v>
      </c>
      <c r="S1008" s="25"/>
      <c r="T1008" s="40" t="s">
        <v>11441</v>
      </c>
      <c r="U1008" s="22" t="s">
        <v>11442</v>
      </c>
      <c r="V1008" s="25"/>
      <c r="W1008" s="22" t="s">
        <v>11443</v>
      </c>
      <c r="X1008" s="22" t="s">
        <v>8251</v>
      </c>
      <c r="Y1008" s="25"/>
      <c r="Z1008" s="25"/>
      <c r="AA1008" s="22" t="s">
        <v>8129</v>
      </c>
      <c r="AB1008" s="22" t="s">
        <v>8130</v>
      </c>
      <c r="AC1008" s="25"/>
      <c r="AD1008" s="25"/>
      <c r="AE1008" s="22" t="s">
        <v>8132</v>
      </c>
      <c r="AF1008" s="25"/>
      <c r="AG1008" s="22">
        <v>1.0470055084355E13</v>
      </c>
      <c r="AH1008" s="22" t="s">
        <v>8137</v>
      </c>
      <c r="AI1008" s="22">
        <v>5.973778497779E12</v>
      </c>
      <c r="AJ1008" s="25"/>
      <c r="AK1008" s="25"/>
      <c r="AL1008" s="22" t="s">
        <v>8136</v>
      </c>
      <c r="AR1008" s="32" t="b">
        <v>0</v>
      </c>
      <c r="AS1008" s="32" t="b">
        <v>0</v>
      </c>
    </row>
    <row r="1009">
      <c r="A1009" s="21" t="s">
        <v>11444</v>
      </c>
      <c r="B1009" s="22" t="s">
        <v>8707</v>
      </c>
      <c r="C1009" s="22">
        <v>1.0</v>
      </c>
      <c r="D1009" s="22" t="s">
        <v>8221</v>
      </c>
      <c r="E1009" s="22" t="s">
        <v>8707</v>
      </c>
      <c r="F1009" s="22" t="s">
        <v>8155</v>
      </c>
      <c r="G1009" s="25"/>
      <c r="H1009" s="22">
        <v>3.2776623423811E13</v>
      </c>
      <c r="I1009" s="25"/>
      <c r="J1009" s="25"/>
      <c r="K1009" s="22">
        <v>4.9521175429443E13</v>
      </c>
      <c r="L1009" s="25"/>
      <c r="M1009" s="25"/>
      <c r="N1009" s="22" t="s">
        <v>4074</v>
      </c>
      <c r="O1009" s="22" t="s">
        <v>11445</v>
      </c>
      <c r="P1009" s="22" t="s">
        <v>4074</v>
      </c>
      <c r="Q1009" s="22" t="s">
        <v>11445</v>
      </c>
      <c r="R1009" s="22" t="s">
        <v>11446</v>
      </c>
      <c r="S1009" s="25"/>
      <c r="T1009" s="40" t="s">
        <v>11447</v>
      </c>
      <c r="U1009" s="22" t="s">
        <v>11448</v>
      </c>
      <c r="V1009" s="25"/>
      <c r="W1009" s="22" t="s">
        <v>11449</v>
      </c>
      <c r="X1009" s="22" t="s">
        <v>8200</v>
      </c>
      <c r="Y1009" s="25"/>
      <c r="Z1009" s="25"/>
      <c r="AA1009" s="22" t="s">
        <v>8129</v>
      </c>
      <c r="AB1009" s="22" t="s">
        <v>8130</v>
      </c>
      <c r="AC1009" s="25"/>
      <c r="AD1009" s="22" t="s">
        <v>8161</v>
      </c>
      <c r="AE1009" s="22" t="s">
        <v>8132</v>
      </c>
      <c r="AF1009" s="25"/>
      <c r="AG1009" s="22">
        <v>1.0470238781763E13</v>
      </c>
      <c r="AH1009" s="22" t="s">
        <v>90</v>
      </c>
      <c r="AI1009" s="22">
        <v>8.583355597123E12</v>
      </c>
      <c r="AJ1009" s="25"/>
      <c r="AK1009" s="25"/>
      <c r="AL1009" s="22" t="s">
        <v>8336</v>
      </c>
      <c r="AQ1009" s="32" t="s">
        <v>54</v>
      </c>
      <c r="AR1009" s="32" t="b">
        <v>0</v>
      </c>
      <c r="AS1009" s="32" t="b">
        <v>1</v>
      </c>
    </row>
    <row r="1010">
      <c r="A1010" s="21" t="s">
        <v>11444</v>
      </c>
      <c r="B1010" s="25"/>
      <c r="C1010" s="25"/>
      <c r="D1010" s="22" t="s">
        <v>8221</v>
      </c>
      <c r="E1010" s="25"/>
      <c r="F1010" s="22" t="s">
        <v>8149</v>
      </c>
      <c r="G1010" s="25"/>
      <c r="H1010" s="22">
        <v>9.524346749251E12</v>
      </c>
      <c r="I1010" s="25"/>
      <c r="J1010" s="25"/>
      <c r="K1010" s="25"/>
      <c r="L1010" s="25"/>
      <c r="M1010" s="25"/>
      <c r="N1010" s="22" t="s">
        <v>4074</v>
      </c>
      <c r="O1010" s="22" t="s">
        <v>11445</v>
      </c>
      <c r="P1010" s="22" t="s">
        <v>4074</v>
      </c>
      <c r="Q1010" s="22" t="s">
        <v>11445</v>
      </c>
      <c r="R1010" s="22" t="s">
        <v>11446</v>
      </c>
      <c r="S1010" s="25"/>
      <c r="T1010" s="40" t="s">
        <v>11447</v>
      </c>
      <c r="U1010" s="22" t="s">
        <v>11448</v>
      </c>
      <c r="V1010" s="25"/>
      <c r="W1010" s="22" t="s">
        <v>11449</v>
      </c>
      <c r="X1010" s="22" t="s">
        <v>8200</v>
      </c>
      <c r="Y1010" s="25"/>
      <c r="Z1010" s="25"/>
      <c r="AA1010" s="22" t="s">
        <v>8129</v>
      </c>
      <c r="AB1010" s="22" t="s">
        <v>8130</v>
      </c>
      <c r="AC1010" s="25"/>
      <c r="AD1010" s="25"/>
      <c r="AE1010" s="22" t="s">
        <v>8132</v>
      </c>
      <c r="AF1010" s="25"/>
      <c r="AG1010" s="22">
        <v>1.0470238781763E13</v>
      </c>
      <c r="AH1010" s="22" t="s">
        <v>8137</v>
      </c>
      <c r="AI1010" s="22">
        <v>8.583355597123E12</v>
      </c>
      <c r="AJ1010" s="25"/>
      <c r="AK1010" s="25"/>
      <c r="AL1010" s="22" t="s">
        <v>8149</v>
      </c>
      <c r="AR1010" s="32" t="b">
        <v>0</v>
      </c>
      <c r="AS1010" s="32" t="b">
        <v>0</v>
      </c>
    </row>
    <row r="1011">
      <c r="A1011" s="21" t="s">
        <v>11450</v>
      </c>
      <c r="B1011" s="22" t="s">
        <v>8707</v>
      </c>
      <c r="C1011" s="22">
        <v>1.0</v>
      </c>
      <c r="D1011" s="22" t="s">
        <v>8501</v>
      </c>
      <c r="E1011" s="22" t="s">
        <v>8707</v>
      </c>
      <c r="F1011" s="22" t="s">
        <v>8155</v>
      </c>
      <c r="G1011" s="25"/>
      <c r="H1011" s="22">
        <v>3.2776809054531E13</v>
      </c>
      <c r="I1011" s="25"/>
      <c r="J1011" s="25"/>
      <c r="K1011" s="22">
        <v>4.9521175429443E13</v>
      </c>
      <c r="L1011" s="25"/>
      <c r="M1011" s="25"/>
      <c r="N1011" s="22" t="s">
        <v>6435</v>
      </c>
      <c r="O1011" s="22" t="s">
        <v>11451</v>
      </c>
      <c r="P1011" s="22" t="s">
        <v>6435</v>
      </c>
      <c r="Q1011" s="22" t="s">
        <v>11451</v>
      </c>
      <c r="R1011" s="22" t="s">
        <v>11452</v>
      </c>
      <c r="S1011" s="25"/>
      <c r="T1011" s="40" t="s">
        <v>11453</v>
      </c>
      <c r="U1011" s="22" t="s">
        <v>11454</v>
      </c>
      <c r="V1011" s="25"/>
      <c r="W1011" s="22" t="s">
        <v>11455</v>
      </c>
      <c r="X1011" s="22" t="s">
        <v>8289</v>
      </c>
      <c r="Y1011" s="25"/>
      <c r="Z1011" s="25"/>
      <c r="AA1011" s="22" t="s">
        <v>8129</v>
      </c>
      <c r="AB1011" s="22" t="s">
        <v>8130</v>
      </c>
      <c r="AC1011" s="25"/>
      <c r="AD1011" s="22" t="s">
        <v>8161</v>
      </c>
      <c r="AE1011" s="22" t="s">
        <v>8132</v>
      </c>
      <c r="AF1011" s="25"/>
      <c r="AG1011" s="22">
        <v>1.0470326108483E13</v>
      </c>
      <c r="AH1011" s="22" t="s">
        <v>90</v>
      </c>
      <c r="AI1011" s="22">
        <v>2.3438089355587E13</v>
      </c>
      <c r="AJ1011" s="25"/>
      <c r="AK1011" s="25"/>
      <c r="AL1011" s="22" t="s">
        <v>8336</v>
      </c>
      <c r="AQ1011" s="32" t="s">
        <v>54</v>
      </c>
      <c r="AR1011" s="32" t="b">
        <v>0</v>
      </c>
      <c r="AS1011" s="32" t="b">
        <v>1</v>
      </c>
    </row>
    <row r="1012">
      <c r="A1012" s="21" t="s">
        <v>11450</v>
      </c>
      <c r="B1012" s="25"/>
      <c r="C1012" s="25"/>
      <c r="D1012" s="22" t="s">
        <v>8501</v>
      </c>
      <c r="E1012" s="25"/>
      <c r="F1012" s="22" t="s">
        <v>8149</v>
      </c>
      <c r="G1012" s="25"/>
      <c r="H1012" s="22">
        <v>9.524424802627E12</v>
      </c>
      <c r="I1012" s="25"/>
      <c r="J1012" s="25"/>
      <c r="K1012" s="25"/>
      <c r="L1012" s="25"/>
      <c r="M1012" s="25"/>
      <c r="N1012" s="22" t="s">
        <v>6435</v>
      </c>
      <c r="O1012" s="22" t="s">
        <v>11451</v>
      </c>
      <c r="P1012" s="22" t="s">
        <v>6435</v>
      </c>
      <c r="Q1012" s="22" t="s">
        <v>11451</v>
      </c>
      <c r="R1012" s="22" t="s">
        <v>11452</v>
      </c>
      <c r="S1012" s="25"/>
      <c r="T1012" s="40" t="s">
        <v>11453</v>
      </c>
      <c r="U1012" s="22" t="s">
        <v>11454</v>
      </c>
      <c r="V1012" s="25"/>
      <c r="W1012" s="22" t="s">
        <v>11455</v>
      </c>
      <c r="X1012" s="22" t="s">
        <v>8289</v>
      </c>
      <c r="Y1012" s="25"/>
      <c r="Z1012" s="25"/>
      <c r="AA1012" s="22" t="s">
        <v>8129</v>
      </c>
      <c r="AB1012" s="22" t="s">
        <v>8130</v>
      </c>
      <c r="AC1012" s="25"/>
      <c r="AD1012" s="25"/>
      <c r="AE1012" s="22" t="s">
        <v>8132</v>
      </c>
      <c r="AF1012" s="25"/>
      <c r="AG1012" s="22">
        <v>1.0470326108483E13</v>
      </c>
      <c r="AH1012" s="22" t="s">
        <v>8137</v>
      </c>
      <c r="AI1012" s="22">
        <v>2.3438089355587E13</v>
      </c>
      <c r="AJ1012" s="25"/>
      <c r="AK1012" s="25"/>
      <c r="AL1012" s="22" t="s">
        <v>8149</v>
      </c>
      <c r="AR1012" s="32" t="b">
        <v>0</v>
      </c>
      <c r="AS1012" s="32" t="b">
        <v>0</v>
      </c>
    </row>
    <row r="1013">
      <c r="A1013" s="21" t="s">
        <v>11456</v>
      </c>
      <c r="B1013" s="22" t="s">
        <v>8262</v>
      </c>
      <c r="C1013" s="22">
        <v>1.0</v>
      </c>
      <c r="D1013" s="22" t="s">
        <v>8501</v>
      </c>
      <c r="E1013" s="22" t="s">
        <v>8262</v>
      </c>
      <c r="F1013" s="22" t="s">
        <v>8155</v>
      </c>
      <c r="G1013" s="25"/>
      <c r="H1013" s="22">
        <v>3.2776829993283E13</v>
      </c>
      <c r="I1013" s="25"/>
      <c r="J1013" s="25"/>
      <c r="K1013" s="22">
        <v>4.7338059792707E13</v>
      </c>
      <c r="L1013" s="25"/>
      <c r="M1013" s="25"/>
      <c r="N1013" s="22" t="s">
        <v>5516</v>
      </c>
      <c r="O1013" s="22" t="s">
        <v>11457</v>
      </c>
      <c r="P1013" s="22" t="s">
        <v>5516</v>
      </c>
      <c r="Q1013" s="22" t="s">
        <v>11457</v>
      </c>
      <c r="R1013" s="22" t="s">
        <v>11458</v>
      </c>
      <c r="S1013" s="25"/>
      <c r="T1013" s="40" t="s">
        <v>11459</v>
      </c>
      <c r="U1013" s="22" t="s">
        <v>11460</v>
      </c>
      <c r="V1013" s="25"/>
      <c r="W1013" s="22" t="s">
        <v>11461</v>
      </c>
      <c r="X1013" s="22" t="s">
        <v>11462</v>
      </c>
      <c r="Y1013" s="25"/>
      <c r="Z1013" s="25"/>
      <c r="AA1013" s="22" t="s">
        <v>8129</v>
      </c>
      <c r="AB1013" s="22" t="s">
        <v>8130</v>
      </c>
      <c r="AC1013" s="25"/>
      <c r="AD1013" s="22" t="s">
        <v>8161</v>
      </c>
      <c r="AE1013" s="22" t="s">
        <v>8132</v>
      </c>
      <c r="AF1013" s="25"/>
      <c r="AG1013" s="22">
        <v>1.0470335611203E13</v>
      </c>
      <c r="AH1013" s="22" t="s">
        <v>90</v>
      </c>
      <c r="AI1013" s="22">
        <v>2.3438096859459E13</v>
      </c>
      <c r="AJ1013" s="25"/>
      <c r="AK1013" s="25"/>
      <c r="AL1013" s="22" t="s">
        <v>8269</v>
      </c>
      <c r="AQ1013" s="32" t="s">
        <v>91</v>
      </c>
      <c r="AR1013" s="32" t="b">
        <v>0</v>
      </c>
      <c r="AS1013" s="32" t="b">
        <v>0</v>
      </c>
    </row>
    <row r="1014">
      <c r="A1014" s="21" t="s">
        <v>11456</v>
      </c>
      <c r="B1014" s="25"/>
      <c r="C1014" s="25"/>
      <c r="D1014" s="22" t="s">
        <v>8501</v>
      </c>
      <c r="E1014" s="25"/>
      <c r="F1014" s="22" t="s">
        <v>1806</v>
      </c>
      <c r="G1014" s="25"/>
      <c r="H1014" s="25"/>
      <c r="I1014" s="25"/>
      <c r="J1014" s="25"/>
      <c r="K1014" s="25"/>
      <c r="L1014" s="25"/>
      <c r="M1014" s="25"/>
      <c r="N1014" s="22" t="s">
        <v>5516</v>
      </c>
      <c r="O1014" s="22" t="s">
        <v>11457</v>
      </c>
      <c r="P1014" s="22" t="s">
        <v>5516</v>
      </c>
      <c r="Q1014" s="22" t="s">
        <v>11457</v>
      </c>
      <c r="R1014" s="22" t="s">
        <v>11458</v>
      </c>
      <c r="S1014" s="25"/>
      <c r="T1014" s="40" t="s">
        <v>11459</v>
      </c>
      <c r="U1014" s="22" t="s">
        <v>11460</v>
      </c>
      <c r="V1014" s="25"/>
      <c r="W1014" s="22" t="s">
        <v>11461</v>
      </c>
      <c r="X1014" s="22" t="s">
        <v>11462</v>
      </c>
      <c r="Y1014" s="25"/>
      <c r="Z1014" s="25"/>
      <c r="AA1014" s="22" t="s">
        <v>8129</v>
      </c>
      <c r="AB1014" s="22" t="s">
        <v>8130</v>
      </c>
      <c r="AC1014" s="25"/>
      <c r="AD1014" s="25"/>
      <c r="AE1014" s="22" t="s">
        <v>8132</v>
      </c>
      <c r="AF1014" s="25"/>
      <c r="AG1014" s="22">
        <v>1.0470335611203E13</v>
      </c>
      <c r="AH1014" s="22" t="s">
        <v>769</v>
      </c>
      <c r="AI1014" s="22">
        <v>2.3438096859459E13</v>
      </c>
      <c r="AJ1014" s="25"/>
      <c r="AK1014" s="25"/>
      <c r="AL1014" s="22" t="s">
        <v>11463</v>
      </c>
      <c r="AR1014" s="32" t="b">
        <v>0</v>
      </c>
      <c r="AS1014" s="32" t="b">
        <v>0</v>
      </c>
    </row>
    <row r="1015">
      <c r="A1015" s="21" t="s">
        <v>11456</v>
      </c>
      <c r="B1015" s="25"/>
      <c r="C1015" s="25"/>
      <c r="D1015" s="22" t="s">
        <v>8501</v>
      </c>
      <c r="E1015" s="25"/>
      <c r="F1015" s="22" t="s">
        <v>8149</v>
      </c>
      <c r="G1015" s="25"/>
      <c r="H1015" s="22">
        <v>9.524433387843E12</v>
      </c>
      <c r="I1015" s="25"/>
      <c r="J1015" s="25"/>
      <c r="K1015" s="25"/>
      <c r="L1015" s="25"/>
      <c r="M1015" s="25"/>
      <c r="N1015" s="22" t="s">
        <v>5516</v>
      </c>
      <c r="O1015" s="22" t="s">
        <v>11457</v>
      </c>
      <c r="P1015" s="22" t="s">
        <v>5516</v>
      </c>
      <c r="Q1015" s="22" t="s">
        <v>11457</v>
      </c>
      <c r="R1015" s="22" t="s">
        <v>11458</v>
      </c>
      <c r="S1015" s="25"/>
      <c r="T1015" s="40" t="s">
        <v>11459</v>
      </c>
      <c r="U1015" s="22" t="s">
        <v>11460</v>
      </c>
      <c r="V1015" s="25"/>
      <c r="W1015" s="22" t="s">
        <v>11461</v>
      </c>
      <c r="X1015" s="22" t="s">
        <v>11462</v>
      </c>
      <c r="Y1015" s="25"/>
      <c r="Z1015" s="25"/>
      <c r="AA1015" s="22" t="s">
        <v>8129</v>
      </c>
      <c r="AB1015" s="22" t="s">
        <v>8130</v>
      </c>
      <c r="AC1015" s="25"/>
      <c r="AD1015" s="25"/>
      <c r="AE1015" s="22" t="s">
        <v>8132</v>
      </c>
      <c r="AF1015" s="25"/>
      <c r="AG1015" s="22">
        <v>1.0470335611203E13</v>
      </c>
      <c r="AH1015" s="22" t="s">
        <v>8137</v>
      </c>
      <c r="AI1015" s="22">
        <v>2.3438096859459E13</v>
      </c>
      <c r="AJ1015" s="25"/>
      <c r="AK1015" s="25"/>
      <c r="AL1015" s="22" t="s">
        <v>8149</v>
      </c>
      <c r="AR1015" s="32" t="b">
        <v>0</v>
      </c>
      <c r="AS1015" s="32" t="b">
        <v>0</v>
      </c>
    </row>
    <row r="1016">
      <c r="A1016" s="21" t="s">
        <v>11464</v>
      </c>
      <c r="B1016" s="22" t="s">
        <v>8370</v>
      </c>
      <c r="C1016" s="22">
        <v>1.0</v>
      </c>
      <c r="D1016" s="22" t="s">
        <v>9395</v>
      </c>
      <c r="E1016" s="22" t="s">
        <v>8370</v>
      </c>
      <c r="F1016" s="22" t="s">
        <v>8155</v>
      </c>
      <c r="G1016" s="25"/>
      <c r="H1016" s="22">
        <v>3.2776946909507E13</v>
      </c>
      <c r="I1016" s="25"/>
      <c r="J1016" s="25"/>
      <c r="K1016" s="22">
        <v>4.9521175494979E13</v>
      </c>
      <c r="L1016" s="25"/>
      <c r="M1016" s="25"/>
      <c r="N1016" s="22" t="s">
        <v>4784</v>
      </c>
      <c r="O1016" s="22" t="s">
        <v>11465</v>
      </c>
      <c r="P1016" s="22" t="s">
        <v>4784</v>
      </c>
      <c r="Q1016" s="22" t="s">
        <v>11465</v>
      </c>
      <c r="R1016" s="22" t="s">
        <v>11466</v>
      </c>
      <c r="S1016" s="25"/>
      <c r="T1016" s="40" t="s">
        <v>11467</v>
      </c>
      <c r="U1016" s="22" t="s">
        <v>11468</v>
      </c>
      <c r="V1016" s="25"/>
      <c r="W1016" s="22" t="s">
        <v>11469</v>
      </c>
      <c r="X1016" s="22" t="s">
        <v>8289</v>
      </c>
      <c r="Y1016" s="25"/>
      <c r="Z1016" s="25"/>
      <c r="AA1016" s="22" t="s">
        <v>8129</v>
      </c>
      <c r="AB1016" s="22" t="s">
        <v>8130</v>
      </c>
      <c r="AC1016" s="25"/>
      <c r="AD1016" s="22" t="s">
        <v>8161</v>
      </c>
      <c r="AE1016" s="22" t="s">
        <v>8132</v>
      </c>
      <c r="AF1016" s="25"/>
      <c r="AG1016" s="22">
        <v>1.0470387188035E13</v>
      </c>
      <c r="AH1016" s="22" t="s">
        <v>90</v>
      </c>
      <c r="AI1016" s="22">
        <v>2.3438150435139E13</v>
      </c>
      <c r="AJ1016" s="25"/>
      <c r="AK1016" s="25"/>
      <c r="AL1016" s="22" t="s">
        <v>8138</v>
      </c>
      <c r="AQ1016" s="32" t="s">
        <v>91</v>
      </c>
      <c r="AR1016" s="32" t="b">
        <v>0</v>
      </c>
      <c r="AS1016" s="32" t="b">
        <v>1</v>
      </c>
    </row>
    <row r="1017">
      <c r="A1017" s="21" t="s">
        <v>11464</v>
      </c>
      <c r="B1017" s="25"/>
      <c r="C1017" s="25"/>
      <c r="D1017" s="22" t="s">
        <v>9395</v>
      </c>
      <c r="E1017" s="25"/>
      <c r="F1017" s="22" t="s">
        <v>8149</v>
      </c>
      <c r="G1017" s="25"/>
      <c r="H1017" s="22">
        <v>9.524479033667E12</v>
      </c>
      <c r="I1017" s="25"/>
      <c r="J1017" s="25"/>
      <c r="K1017" s="25"/>
      <c r="L1017" s="25"/>
      <c r="M1017" s="25"/>
      <c r="N1017" s="22" t="s">
        <v>4784</v>
      </c>
      <c r="O1017" s="22" t="s">
        <v>11465</v>
      </c>
      <c r="P1017" s="22" t="s">
        <v>4784</v>
      </c>
      <c r="Q1017" s="22" t="s">
        <v>11465</v>
      </c>
      <c r="R1017" s="22" t="s">
        <v>11466</v>
      </c>
      <c r="S1017" s="25"/>
      <c r="T1017" s="40" t="s">
        <v>11467</v>
      </c>
      <c r="U1017" s="22" t="s">
        <v>11468</v>
      </c>
      <c r="V1017" s="25"/>
      <c r="W1017" s="22" t="s">
        <v>11469</v>
      </c>
      <c r="X1017" s="22" t="s">
        <v>8289</v>
      </c>
      <c r="Y1017" s="25"/>
      <c r="Z1017" s="25"/>
      <c r="AA1017" s="22" t="s">
        <v>8129</v>
      </c>
      <c r="AB1017" s="22" t="s">
        <v>8130</v>
      </c>
      <c r="AC1017" s="25"/>
      <c r="AD1017" s="25"/>
      <c r="AE1017" s="22" t="s">
        <v>8132</v>
      </c>
      <c r="AF1017" s="25"/>
      <c r="AG1017" s="22">
        <v>1.0470387188035E13</v>
      </c>
      <c r="AH1017" s="22" t="s">
        <v>8137</v>
      </c>
      <c r="AI1017" s="22">
        <v>2.3438150435139E13</v>
      </c>
      <c r="AJ1017" s="25"/>
      <c r="AK1017" s="25"/>
      <c r="AL1017" s="22" t="s">
        <v>8149</v>
      </c>
      <c r="AR1017" s="32" t="b">
        <v>0</v>
      </c>
      <c r="AS1017" s="32" t="b">
        <v>0</v>
      </c>
    </row>
    <row r="1018">
      <c r="A1018" s="21" t="s">
        <v>11470</v>
      </c>
      <c r="B1018" s="22" t="s">
        <v>8140</v>
      </c>
      <c r="C1018" s="22">
        <v>1.0</v>
      </c>
      <c r="D1018" s="22" t="s">
        <v>8419</v>
      </c>
      <c r="E1018" s="22" t="s">
        <v>8140</v>
      </c>
      <c r="F1018" s="22" t="s">
        <v>8121</v>
      </c>
      <c r="G1018" s="25"/>
      <c r="H1018" s="22">
        <v>3.2773722538307E13</v>
      </c>
      <c r="I1018" s="25"/>
      <c r="J1018" s="25"/>
      <c r="K1018" s="22">
        <v>4.2085703581939E13</v>
      </c>
      <c r="L1018" s="25"/>
      <c r="M1018" s="25"/>
      <c r="N1018" s="22" t="s">
        <v>4473</v>
      </c>
      <c r="O1018" s="22" t="s">
        <v>11471</v>
      </c>
      <c r="P1018" s="22" t="s">
        <v>4473</v>
      </c>
      <c r="Q1018" s="22" t="s">
        <v>11471</v>
      </c>
      <c r="R1018" s="22" t="s">
        <v>11472</v>
      </c>
      <c r="S1018" s="25"/>
      <c r="T1018" s="40" t="s">
        <v>11473</v>
      </c>
      <c r="U1018" s="22" t="s">
        <v>11474</v>
      </c>
      <c r="V1018" s="25"/>
      <c r="W1018" s="22" t="s">
        <v>11475</v>
      </c>
      <c r="X1018" s="22" t="s">
        <v>10032</v>
      </c>
      <c r="Y1018" s="25"/>
      <c r="Z1018" s="25"/>
      <c r="AA1018" s="22" t="s">
        <v>8129</v>
      </c>
      <c r="AB1018" s="22" t="s">
        <v>8130</v>
      </c>
      <c r="AC1018" s="25"/>
      <c r="AD1018" s="22" t="s">
        <v>8131</v>
      </c>
      <c r="AE1018" s="22" t="s">
        <v>8132</v>
      </c>
      <c r="AF1018" s="25"/>
      <c r="AG1018" s="22">
        <v>1.0468979147075E13</v>
      </c>
      <c r="AH1018" s="22" t="s">
        <v>90</v>
      </c>
      <c r="AI1018" s="22">
        <v>2.3436507218243E13</v>
      </c>
      <c r="AJ1018" s="25"/>
      <c r="AK1018" s="25"/>
      <c r="AL1018" s="22" t="s">
        <v>8134</v>
      </c>
      <c r="AQ1018" s="32" t="s">
        <v>8150</v>
      </c>
      <c r="AR1018" s="32" t="b">
        <v>0</v>
      </c>
      <c r="AS1018" s="32" t="b">
        <v>0</v>
      </c>
    </row>
    <row r="1019">
      <c r="A1019" s="21" t="s">
        <v>11470</v>
      </c>
      <c r="B1019" s="25"/>
      <c r="C1019" s="25"/>
      <c r="D1019" s="22" t="s">
        <v>8419</v>
      </c>
      <c r="E1019" s="25"/>
      <c r="F1019" s="22" t="s">
        <v>8136</v>
      </c>
      <c r="G1019" s="25"/>
      <c r="H1019" s="22">
        <v>9.523174572355E12</v>
      </c>
      <c r="I1019" s="25"/>
      <c r="J1019" s="25"/>
      <c r="K1019" s="25"/>
      <c r="L1019" s="25"/>
      <c r="M1019" s="25"/>
      <c r="N1019" s="22" t="s">
        <v>4473</v>
      </c>
      <c r="O1019" s="22" t="s">
        <v>11471</v>
      </c>
      <c r="P1019" s="22" t="s">
        <v>4473</v>
      </c>
      <c r="Q1019" s="22" t="s">
        <v>11471</v>
      </c>
      <c r="R1019" s="22" t="s">
        <v>11472</v>
      </c>
      <c r="S1019" s="25"/>
      <c r="T1019" s="40" t="s">
        <v>11473</v>
      </c>
      <c r="U1019" s="22" t="s">
        <v>11474</v>
      </c>
      <c r="V1019" s="25"/>
      <c r="W1019" s="22" t="s">
        <v>11475</v>
      </c>
      <c r="X1019" s="22" t="s">
        <v>10032</v>
      </c>
      <c r="Y1019" s="25"/>
      <c r="Z1019" s="25"/>
      <c r="AA1019" s="22" t="s">
        <v>8129</v>
      </c>
      <c r="AB1019" s="22" t="s">
        <v>8130</v>
      </c>
      <c r="AC1019" s="25"/>
      <c r="AD1019" s="25"/>
      <c r="AE1019" s="22" t="s">
        <v>8132</v>
      </c>
      <c r="AF1019" s="25"/>
      <c r="AG1019" s="22">
        <v>1.0468979147075E13</v>
      </c>
      <c r="AH1019" s="22" t="s">
        <v>8137</v>
      </c>
      <c r="AI1019" s="22">
        <v>2.3436507218243E13</v>
      </c>
      <c r="AJ1019" s="25"/>
      <c r="AK1019" s="25"/>
      <c r="AL1019" s="22" t="s">
        <v>8136</v>
      </c>
      <c r="AR1019" s="32" t="b">
        <v>0</v>
      </c>
      <c r="AS1019" s="32" t="b">
        <v>0</v>
      </c>
    </row>
    <row r="1020">
      <c r="A1020" s="21" t="s">
        <v>11476</v>
      </c>
      <c r="B1020" s="22" t="s">
        <v>8119</v>
      </c>
      <c r="C1020" s="22">
        <v>1.0</v>
      </c>
      <c r="D1020" s="22" t="s">
        <v>8278</v>
      </c>
      <c r="E1020" s="22" t="s">
        <v>8119</v>
      </c>
      <c r="F1020" s="22" t="s">
        <v>8121</v>
      </c>
      <c r="G1020" s="25"/>
      <c r="H1020" s="22">
        <v>3.2777606889795E13</v>
      </c>
      <c r="I1020" s="25"/>
      <c r="J1020" s="25"/>
      <c r="K1020" s="22">
        <v>4.2085703549171E13</v>
      </c>
      <c r="L1020" s="25"/>
      <c r="M1020" s="25"/>
      <c r="N1020" s="22" t="s">
        <v>3912</v>
      </c>
      <c r="O1020" s="22" t="s">
        <v>11477</v>
      </c>
      <c r="P1020" s="22" t="s">
        <v>3912</v>
      </c>
      <c r="Q1020" s="22" t="s">
        <v>11477</v>
      </c>
      <c r="R1020" s="22" t="s">
        <v>11478</v>
      </c>
      <c r="S1020" s="25"/>
      <c r="T1020" s="40" t="s">
        <v>11479</v>
      </c>
      <c r="U1020" s="22" t="s">
        <v>11480</v>
      </c>
      <c r="V1020" s="25"/>
      <c r="W1020" s="22" t="s">
        <v>11481</v>
      </c>
      <c r="X1020" s="40" t="s">
        <v>9763</v>
      </c>
      <c r="Y1020" s="25"/>
      <c r="Z1020" s="25"/>
      <c r="AA1020" s="22" t="s">
        <v>8129</v>
      </c>
      <c r="AB1020" s="22" t="s">
        <v>8130</v>
      </c>
      <c r="AC1020" s="25"/>
      <c r="AD1020" s="22" t="s">
        <v>8131</v>
      </c>
      <c r="AE1020" s="22" t="s">
        <v>8132</v>
      </c>
      <c r="AF1020" s="25"/>
      <c r="AG1020" s="22">
        <v>1.0470687637827E13</v>
      </c>
      <c r="AH1020" s="22" t="s">
        <v>90</v>
      </c>
      <c r="AI1020" s="22">
        <v>6.471153025267E12</v>
      </c>
      <c r="AJ1020" s="25"/>
      <c r="AK1020" s="25"/>
      <c r="AL1020" s="22" t="s">
        <v>8133</v>
      </c>
      <c r="AQ1020" s="32" t="s">
        <v>8135</v>
      </c>
      <c r="AR1020" s="32" t="b">
        <v>0</v>
      </c>
      <c r="AS1020" s="32" t="b">
        <v>0</v>
      </c>
    </row>
    <row r="1021">
      <c r="A1021" s="21" t="s">
        <v>11476</v>
      </c>
      <c r="B1021" s="25"/>
      <c r="C1021" s="25"/>
      <c r="D1021" s="22" t="s">
        <v>8278</v>
      </c>
      <c r="E1021" s="25"/>
      <c r="F1021" s="22" t="s">
        <v>8136</v>
      </c>
      <c r="G1021" s="25"/>
      <c r="H1021" s="22">
        <v>9.524746092867E12</v>
      </c>
      <c r="I1021" s="25"/>
      <c r="J1021" s="25"/>
      <c r="K1021" s="25"/>
      <c r="L1021" s="25"/>
      <c r="M1021" s="25"/>
      <c r="N1021" s="22" t="s">
        <v>3912</v>
      </c>
      <c r="O1021" s="22" t="s">
        <v>11477</v>
      </c>
      <c r="P1021" s="22" t="s">
        <v>3912</v>
      </c>
      <c r="Q1021" s="22" t="s">
        <v>11477</v>
      </c>
      <c r="R1021" s="22" t="s">
        <v>11478</v>
      </c>
      <c r="S1021" s="25"/>
      <c r="T1021" s="40" t="s">
        <v>11479</v>
      </c>
      <c r="U1021" s="22" t="s">
        <v>11480</v>
      </c>
      <c r="V1021" s="25"/>
      <c r="W1021" s="22" t="s">
        <v>11481</v>
      </c>
      <c r="X1021" s="40" t="s">
        <v>9763</v>
      </c>
      <c r="Y1021" s="25"/>
      <c r="Z1021" s="25"/>
      <c r="AA1021" s="22" t="s">
        <v>8129</v>
      </c>
      <c r="AB1021" s="22" t="s">
        <v>8130</v>
      </c>
      <c r="AC1021" s="25"/>
      <c r="AD1021" s="25"/>
      <c r="AE1021" s="22" t="s">
        <v>8132</v>
      </c>
      <c r="AF1021" s="25"/>
      <c r="AG1021" s="22">
        <v>1.0470687637827E13</v>
      </c>
      <c r="AH1021" s="22" t="s">
        <v>8137</v>
      </c>
      <c r="AI1021" s="22">
        <v>6.471153025267E12</v>
      </c>
      <c r="AJ1021" s="25"/>
      <c r="AK1021" s="25"/>
      <c r="AL1021" s="22" t="s">
        <v>8136</v>
      </c>
      <c r="AR1021" s="32" t="b">
        <v>0</v>
      </c>
      <c r="AS1021" s="32" t="b">
        <v>0</v>
      </c>
    </row>
    <row r="1022">
      <c r="A1022" s="21" t="s">
        <v>11482</v>
      </c>
      <c r="B1022" s="22" t="s">
        <v>8211</v>
      </c>
      <c r="C1022" s="22">
        <v>1.0</v>
      </c>
      <c r="D1022" s="22" t="s">
        <v>8175</v>
      </c>
      <c r="E1022" s="22" t="s">
        <v>8211</v>
      </c>
      <c r="F1022" s="22" t="s">
        <v>8155</v>
      </c>
      <c r="G1022" s="25"/>
      <c r="H1022" s="22">
        <v>3.2778077208899E13</v>
      </c>
      <c r="I1022" s="25"/>
      <c r="J1022" s="25"/>
      <c r="K1022" s="22">
        <v>4.7338059727171E13</v>
      </c>
      <c r="L1022" s="25"/>
      <c r="M1022" s="25"/>
      <c r="N1022" s="22" t="s">
        <v>7456</v>
      </c>
      <c r="O1022" s="22" t="s">
        <v>11483</v>
      </c>
      <c r="P1022" s="22" t="s">
        <v>7456</v>
      </c>
      <c r="Q1022" s="22" t="s">
        <v>11483</v>
      </c>
      <c r="R1022" s="22" t="s">
        <v>11484</v>
      </c>
      <c r="S1022" s="25"/>
      <c r="T1022" s="40" t="s">
        <v>11485</v>
      </c>
      <c r="U1022" s="22" t="s">
        <v>11486</v>
      </c>
      <c r="V1022" s="22">
        <v>83.0</v>
      </c>
      <c r="W1022" s="22" t="s">
        <v>11487</v>
      </c>
      <c r="X1022" s="22" t="s">
        <v>11488</v>
      </c>
      <c r="Y1022" s="25"/>
      <c r="Z1022" s="25"/>
      <c r="AA1022" s="22" t="s">
        <v>8129</v>
      </c>
      <c r="AB1022" s="22" t="s">
        <v>8130</v>
      </c>
      <c r="AC1022" s="25"/>
      <c r="AD1022" s="22" t="s">
        <v>8161</v>
      </c>
      <c r="AE1022" s="22" t="s">
        <v>8132</v>
      </c>
      <c r="AF1022" s="25"/>
      <c r="AG1022" s="22">
        <v>1.0470910492995E13</v>
      </c>
      <c r="AH1022" s="22" t="s">
        <v>90</v>
      </c>
      <c r="AI1022" s="22">
        <v>2.3438679900483E13</v>
      </c>
      <c r="AJ1022" s="25"/>
      <c r="AK1022" s="25"/>
      <c r="AL1022" s="22" t="s">
        <v>8151</v>
      </c>
      <c r="AQ1022" s="32" t="s">
        <v>54</v>
      </c>
      <c r="AR1022" s="32" t="b">
        <v>0</v>
      </c>
      <c r="AS1022" s="32" t="b">
        <v>0</v>
      </c>
    </row>
    <row r="1023">
      <c r="A1023" s="21" t="s">
        <v>11482</v>
      </c>
      <c r="B1023" s="25"/>
      <c r="C1023" s="25"/>
      <c r="D1023" s="22" t="s">
        <v>8175</v>
      </c>
      <c r="E1023" s="25"/>
      <c r="F1023" s="22" t="s">
        <v>8149</v>
      </c>
      <c r="G1023" s="25"/>
      <c r="H1023" s="22">
        <v>9.524941979971E12</v>
      </c>
      <c r="I1023" s="25"/>
      <c r="J1023" s="25"/>
      <c r="K1023" s="25"/>
      <c r="L1023" s="25"/>
      <c r="M1023" s="25"/>
      <c r="N1023" s="22" t="s">
        <v>7456</v>
      </c>
      <c r="O1023" s="22" t="s">
        <v>11483</v>
      </c>
      <c r="P1023" s="22" t="s">
        <v>7456</v>
      </c>
      <c r="Q1023" s="22" t="s">
        <v>11483</v>
      </c>
      <c r="R1023" s="22" t="s">
        <v>11484</v>
      </c>
      <c r="S1023" s="25"/>
      <c r="T1023" s="40" t="s">
        <v>11485</v>
      </c>
      <c r="U1023" s="22" t="s">
        <v>11486</v>
      </c>
      <c r="V1023" s="22">
        <v>83.0</v>
      </c>
      <c r="W1023" s="22" t="s">
        <v>11487</v>
      </c>
      <c r="X1023" s="22" t="s">
        <v>11488</v>
      </c>
      <c r="Y1023" s="25"/>
      <c r="Z1023" s="25"/>
      <c r="AA1023" s="22" t="s">
        <v>8129</v>
      </c>
      <c r="AB1023" s="22" t="s">
        <v>8130</v>
      </c>
      <c r="AC1023" s="25"/>
      <c r="AD1023" s="25"/>
      <c r="AE1023" s="22" t="s">
        <v>8132</v>
      </c>
      <c r="AF1023" s="25"/>
      <c r="AG1023" s="22">
        <v>1.0470910492995E13</v>
      </c>
      <c r="AH1023" s="22" t="s">
        <v>8137</v>
      </c>
      <c r="AI1023" s="22">
        <v>2.3438679900483E13</v>
      </c>
      <c r="AJ1023" s="25"/>
      <c r="AK1023" s="25"/>
      <c r="AL1023" s="22" t="s">
        <v>8149</v>
      </c>
      <c r="AR1023" s="32" t="b">
        <v>0</v>
      </c>
      <c r="AS1023" s="32" t="b">
        <v>0</v>
      </c>
    </row>
    <row r="1024">
      <c r="A1024" s="21" t="s">
        <v>11489</v>
      </c>
      <c r="B1024" s="22" t="s">
        <v>8403</v>
      </c>
      <c r="C1024" s="22">
        <v>3.0</v>
      </c>
      <c r="D1024" s="22" t="s">
        <v>11490</v>
      </c>
      <c r="E1024" s="22" t="s">
        <v>8403</v>
      </c>
      <c r="F1024" s="22" t="s">
        <v>8155</v>
      </c>
      <c r="G1024" s="25"/>
      <c r="H1024" s="22">
        <v>3.2778083991875E13</v>
      </c>
      <c r="I1024" s="25"/>
      <c r="J1024" s="25"/>
      <c r="K1024" s="22">
        <v>4.7338059825475E13</v>
      </c>
      <c r="L1024" s="25"/>
      <c r="M1024" s="25"/>
      <c r="N1024" s="22" t="s">
        <v>4706</v>
      </c>
      <c r="O1024" s="22" t="s">
        <v>11491</v>
      </c>
      <c r="P1024" s="22" t="s">
        <v>4706</v>
      </c>
      <c r="Q1024" s="22" t="s">
        <v>11491</v>
      </c>
      <c r="R1024" s="22" t="s">
        <v>11492</v>
      </c>
      <c r="S1024" s="22" t="s">
        <v>11493</v>
      </c>
      <c r="T1024" s="40" t="s">
        <v>11494</v>
      </c>
      <c r="U1024" s="22" t="s">
        <v>11495</v>
      </c>
      <c r="V1024" s="25"/>
      <c r="W1024" s="22" t="s">
        <v>11496</v>
      </c>
      <c r="X1024" s="22" t="s">
        <v>8251</v>
      </c>
      <c r="Y1024" s="25"/>
      <c r="Z1024" s="25"/>
      <c r="AA1024" s="22" t="s">
        <v>8129</v>
      </c>
      <c r="AB1024" s="22" t="s">
        <v>8130</v>
      </c>
      <c r="AC1024" s="25"/>
      <c r="AD1024" s="22" t="s">
        <v>8161</v>
      </c>
      <c r="AE1024" s="22" t="s">
        <v>8132</v>
      </c>
      <c r="AF1024" s="25"/>
      <c r="AG1024" s="22">
        <v>1.0470913507651E13</v>
      </c>
      <c r="AH1024" s="22" t="s">
        <v>90</v>
      </c>
      <c r="AI1024" s="22">
        <v>2.3438668071235E13</v>
      </c>
      <c r="AJ1024" s="25"/>
      <c r="AK1024" s="25"/>
      <c r="AL1024" s="22" t="s">
        <v>8243</v>
      </c>
      <c r="AQ1024" s="32" t="s">
        <v>95</v>
      </c>
      <c r="AR1024" s="32" t="b">
        <v>0</v>
      </c>
      <c r="AS1024" s="32" t="b">
        <v>0</v>
      </c>
    </row>
    <row r="1025">
      <c r="A1025" s="21" t="s">
        <v>11489</v>
      </c>
      <c r="B1025" s="25"/>
      <c r="C1025" s="25"/>
      <c r="D1025" s="22" t="s">
        <v>11490</v>
      </c>
      <c r="E1025" s="25"/>
      <c r="F1025" s="22" t="s">
        <v>11497</v>
      </c>
      <c r="G1025" s="25"/>
      <c r="H1025" s="22">
        <v>9.524944765251E12</v>
      </c>
      <c r="I1025" s="25"/>
      <c r="J1025" s="25"/>
      <c r="K1025" s="25"/>
      <c r="L1025" s="25"/>
      <c r="M1025" s="25"/>
      <c r="N1025" s="22" t="s">
        <v>4706</v>
      </c>
      <c r="O1025" s="22" t="s">
        <v>11491</v>
      </c>
      <c r="P1025" s="22" t="s">
        <v>4706</v>
      </c>
      <c r="Q1025" s="22" t="s">
        <v>11491</v>
      </c>
      <c r="R1025" s="22" t="s">
        <v>11492</v>
      </c>
      <c r="S1025" s="22" t="s">
        <v>11493</v>
      </c>
      <c r="T1025" s="40" t="s">
        <v>11494</v>
      </c>
      <c r="U1025" s="22" t="s">
        <v>11495</v>
      </c>
      <c r="V1025" s="25"/>
      <c r="W1025" s="22" t="s">
        <v>11496</v>
      </c>
      <c r="X1025" s="22" t="s">
        <v>8251</v>
      </c>
      <c r="Y1025" s="25"/>
      <c r="Z1025" s="25"/>
      <c r="AA1025" s="22" t="s">
        <v>8129</v>
      </c>
      <c r="AB1025" s="22" t="s">
        <v>8130</v>
      </c>
      <c r="AC1025" s="25"/>
      <c r="AD1025" s="25"/>
      <c r="AE1025" s="22" t="s">
        <v>8132</v>
      </c>
      <c r="AF1025" s="25"/>
      <c r="AG1025" s="22">
        <v>1.0470913507651E13</v>
      </c>
      <c r="AH1025" s="22" t="s">
        <v>8137</v>
      </c>
      <c r="AI1025" s="22">
        <v>2.3438668071235E13</v>
      </c>
      <c r="AJ1025" s="25"/>
      <c r="AK1025" s="25"/>
      <c r="AL1025" s="22" t="s">
        <v>11498</v>
      </c>
      <c r="AR1025" s="32" t="b">
        <v>0</v>
      </c>
      <c r="AS1025" s="32" t="b">
        <v>0</v>
      </c>
    </row>
    <row r="1026">
      <c r="A1026" s="21" t="s">
        <v>11489</v>
      </c>
      <c r="B1026" s="25"/>
      <c r="C1026" s="25"/>
      <c r="D1026" s="22" t="s">
        <v>11490</v>
      </c>
      <c r="E1026" s="25"/>
      <c r="F1026" s="22" t="s">
        <v>8136</v>
      </c>
      <c r="G1026" s="25"/>
      <c r="H1026" s="22">
        <v>9.524970094915E12</v>
      </c>
      <c r="I1026" s="25"/>
      <c r="J1026" s="25"/>
      <c r="K1026" s="25"/>
      <c r="L1026" s="25"/>
      <c r="M1026" s="25"/>
      <c r="N1026" s="22" t="s">
        <v>4706</v>
      </c>
      <c r="O1026" s="22" t="s">
        <v>11491</v>
      </c>
      <c r="P1026" s="22" t="s">
        <v>4706</v>
      </c>
      <c r="Q1026" s="22" t="s">
        <v>11491</v>
      </c>
      <c r="R1026" s="22" t="s">
        <v>11492</v>
      </c>
      <c r="S1026" s="22" t="s">
        <v>11493</v>
      </c>
      <c r="T1026" s="40" t="s">
        <v>11494</v>
      </c>
      <c r="U1026" s="22" t="s">
        <v>11495</v>
      </c>
      <c r="V1026" s="25"/>
      <c r="W1026" s="22" t="s">
        <v>11496</v>
      </c>
      <c r="X1026" s="22" t="s">
        <v>8251</v>
      </c>
      <c r="Y1026" s="25"/>
      <c r="Z1026" s="25"/>
      <c r="AA1026" s="22" t="s">
        <v>8129</v>
      </c>
      <c r="AB1026" s="22" t="s">
        <v>8130</v>
      </c>
      <c r="AC1026" s="25"/>
      <c r="AD1026" s="25"/>
      <c r="AE1026" s="22" t="s">
        <v>8132</v>
      </c>
      <c r="AF1026" s="25"/>
      <c r="AG1026" s="22">
        <v>1.0470913507651E13</v>
      </c>
      <c r="AH1026" s="22" t="s">
        <v>8137</v>
      </c>
      <c r="AI1026" s="22">
        <v>2.3438668071235E13</v>
      </c>
      <c r="AJ1026" s="25"/>
      <c r="AK1026" s="25"/>
      <c r="AL1026" s="22" t="s">
        <v>11498</v>
      </c>
      <c r="AR1026" s="32" t="b">
        <v>0</v>
      </c>
      <c r="AS1026" s="32" t="b">
        <v>0</v>
      </c>
    </row>
    <row r="1027">
      <c r="A1027" s="21" t="s">
        <v>11489</v>
      </c>
      <c r="B1027" s="25"/>
      <c r="C1027" s="25"/>
      <c r="D1027" s="22" t="s">
        <v>11490</v>
      </c>
      <c r="E1027" s="25"/>
      <c r="F1027" s="25"/>
      <c r="G1027" s="25"/>
      <c r="H1027" s="25"/>
      <c r="I1027" s="25"/>
      <c r="J1027" s="25"/>
      <c r="K1027" s="25"/>
      <c r="L1027" s="25"/>
      <c r="M1027" s="25"/>
      <c r="N1027" s="22" t="s">
        <v>4706</v>
      </c>
      <c r="O1027" s="22" t="s">
        <v>11491</v>
      </c>
      <c r="P1027" s="22" t="s">
        <v>4706</v>
      </c>
      <c r="Q1027" s="22" t="s">
        <v>11491</v>
      </c>
      <c r="R1027" s="22" t="s">
        <v>11492</v>
      </c>
      <c r="S1027" s="22" t="s">
        <v>11493</v>
      </c>
      <c r="T1027" s="40" t="s">
        <v>11494</v>
      </c>
      <c r="U1027" s="22" t="s">
        <v>11495</v>
      </c>
      <c r="V1027" s="25"/>
      <c r="W1027" s="22" t="s">
        <v>11496</v>
      </c>
      <c r="X1027" s="22" t="s">
        <v>8251</v>
      </c>
      <c r="Y1027" s="25"/>
      <c r="Z1027" s="25"/>
      <c r="AA1027" s="22" t="s">
        <v>8129</v>
      </c>
      <c r="AB1027" s="22" t="s">
        <v>8130</v>
      </c>
      <c r="AC1027" s="25"/>
      <c r="AD1027" s="25"/>
      <c r="AE1027" s="22" t="s">
        <v>8132</v>
      </c>
      <c r="AF1027" s="22" t="b">
        <v>0</v>
      </c>
      <c r="AG1027" s="22">
        <v>1.0470913507651E13</v>
      </c>
      <c r="AH1027" s="22" t="s">
        <v>9236</v>
      </c>
      <c r="AI1027" s="22">
        <v>2.3438668071235E13</v>
      </c>
      <c r="AJ1027" s="22">
        <v>1.081777717571E12</v>
      </c>
      <c r="AK1027" s="25"/>
      <c r="AL1027" s="25"/>
      <c r="AR1027" s="32" t="b">
        <v>0</v>
      </c>
      <c r="AS1027" s="32" t="b">
        <v>0</v>
      </c>
    </row>
    <row r="1028">
      <c r="A1028" s="21" t="s">
        <v>11499</v>
      </c>
      <c r="B1028" s="22" t="s">
        <v>8119</v>
      </c>
      <c r="C1028" s="22">
        <v>1.0</v>
      </c>
      <c r="D1028" s="22" t="s">
        <v>8141</v>
      </c>
      <c r="E1028" s="22" t="s">
        <v>8119</v>
      </c>
      <c r="F1028" s="22" t="s">
        <v>8121</v>
      </c>
      <c r="G1028" s="25"/>
      <c r="H1028" s="22">
        <v>3.2778094936387E13</v>
      </c>
      <c r="I1028" s="25"/>
      <c r="J1028" s="25"/>
      <c r="K1028" s="22">
        <v>4.2085703549171E13</v>
      </c>
      <c r="L1028" s="25"/>
      <c r="M1028" s="25"/>
      <c r="N1028" s="22" t="s">
        <v>5613</v>
      </c>
      <c r="O1028" s="22" t="s">
        <v>11500</v>
      </c>
      <c r="P1028" s="22" t="s">
        <v>5613</v>
      </c>
      <c r="Q1028" s="22" t="s">
        <v>11500</v>
      </c>
      <c r="R1028" s="22" t="s">
        <v>11501</v>
      </c>
      <c r="S1028" s="25"/>
      <c r="T1028" s="40" t="s">
        <v>11502</v>
      </c>
      <c r="U1028" s="22" t="s">
        <v>11503</v>
      </c>
      <c r="V1028" s="25"/>
      <c r="W1028" s="22" t="s">
        <v>11504</v>
      </c>
      <c r="X1028" s="40" t="s">
        <v>8974</v>
      </c>
      <c r="Y1028" s="25"/>
      <c r="Z1028" s="25"/>
      <c r="AA1028" s="22" t="s">
        <v>8129</v>
      </c>
      <c r="AB1028" s="22" t="s">
        <v>8130</v>
      </c>
      <c r="AC1028" s="25"/>
      <c r="AD1028" s="22" t="s">
        <v>8131</v>
      </c>
      <c r="AE1028" s="22" t="s">
        <v>8132</v>
      </c>
      <c r="AF1028" s="25"/>
      <c r="AG1028" s="22">
        <v>1.0470918717763E13</v>
      </c>
      <c r="AH1028" s="22" t="s">
        <v>90</v>
      </c>
      <c r="AI1028" s="22">
        <v>6.466716238067E12</v>
      </c>
      <c r="AJ1028" s="25"/>
      <c r="AK1028" s="25"/>
      <c r="AL1028" s="22" t="s">
        <v>8133</v>
      </c>
      <c r="AQ1028" s="32" t="s">
        <v>8135</v>
      </c>
      <c r="AR1028" s="32" t="b">
        <v>0</v>
      </c>
      <c r="AS1028" s="32" t="b">
        <v>0</v>
      </c>
    </row>
    <row r="1029">
      <c r="A1029" s="21" t="s">
        <v>11499</v>
      </c>
      <c r="B1029" s="25"/>
      <c r="C1029" s="25"/>
      <c r="D1029" s="22" t="s">
        <v>8141</v>
      </c>
      <c r="E1029" s="25"/>
      <c r="F1029" s="22" t="s">
        <v>8136</v>
      </c>
      <c r="G1029" s="25"/>
      <c r="H1029" s="22">
        <v>9.524949123395E12</v>
      </c>
      <c r="I1029" s="25"/>
      <c r="J1029" s="25"/>
      <c r="K1029" s="25"/>
      <c r="L1029" s="25"/>
      <c r="M1029" s="25"/>
      <c r="N1029" s="22" t="s">
        <v>5613</v>
      </c>
      <c r="O1029" s="22" t="s">
        <v>11500</v>
      </c>
      <c r="P1029" s="22" t="s">
        <v>5613</v>
      </c>
      <c r="Q1029" s="22" t="s">
        <v>11500</v>
      </c>
      <c r="R1029" s="22" t="s">
        <v>11501</v>
      </c>
      <c r="S1029" s="25"/>
      <c r="T1029" s="40" t="s">
        <v>11502</v>
      </c>
      <c r="U1029" s="22" t="s">
        <v>11503</v>
      </c>
      <c r="V1029" s="25"/>
      <c r="W1029" s="22" t="s">
        <v>11504</v>
      </c>
      <c r="X1029" s="40" t="s">
        <v>8974</v>
      </c>
      <c r="Y1029" s="25"/>
      <c r="Z1029" s="25"/>
      <c r="AA1029" s="22" t="s">
        <v>8129</v>
      </c>
      <c r="AB1029" s="22" t="s">
        <v>8130</v>
      </c>
      <c r="AC1029" s="25"/>
      <c r="AD1029" s="25"/>
      <c r="AE1029" s="22" t="s">
        <v>8132</v>
      </c>
      <c r="AF1029" s="25"/>
      <c r="AG1029" s="22">
        <v>1.0470918717763E13</v>
      </c>
      <c r="AH1029" s="22" t="s">
        <v>8137</v>
      </c>
      <c r="AI1029" s="22">
        <v>6.466716238067E12</v>
      </c>
      <c r="AJ1029" s="25"/>
      <c r="AK1029" s="25"/>
      <c r="AL1029" s="22" t="s">
        <v>8136</v>
      </c>
      <c r="AR1029" s="32" t="b">
        <v>0</v>
      </c>
      <c r="AS1029" s="32" t="b">
        <v>0</v>
      </c>
    </row>
    <row r="1030">
      <c r="A1030" s="21" t="s">
        <v>11505</v>
      </c>
      <c r="B1030" s="22" t="s">
        <v>8467</v>
      </c>
      <c r="C1030" s="22">
        <v>1.0</v>
      </c>
      <c r="D1030" s="22" t="s">
        <v>8203</v>
      </c>
      <c r="E1030" s="22" t="s">
        <v>8467</v>
      </c>
      <c r="F1030" s="22" t="s">
        <v>8155</v>
      </c>
      <c r="G1030" s="25"/>
      <c r="H1030" s="22">
        <v>3.2773731123523E13</v>
      </c>
      <c r="I1030" s="25"/>
      <c r="J1030" s="25"/>
      <c r="K1030" s="22">
        <v>4.9521175462211E13</v>
      </c>
      <c r="L1030" s="25"/>
      <c r="M1030" s="25"/>
      <c r="N1030" s="22" t="s">
        <v>11506</v>
      </c>
      <c r="O1030" s="22" t="s">
        <v>11507</v>
      </c>
      <c r="P1030" s="22" t="s">
        <v>11506</v>
      </c>
      <c r="Q1030" s="22" t="s">
        <v>11507</v>
      </c>
      <c r="R1030" s="22" t="s">
        <v>11508</v>
      </c>
      <c r="S1030" s="25"/>
      <c r="T1030" s="40" t="s">
        <v>11509</v>
      </c>
      <c r="U1030" s="22" t="s">
        <v>11510</v>
      </c>
      <c r="V1030" s="25"/>
      <c r="W1030" s="22" t="s">
        <v>11511</v>
      </c>
      <c r="X1030" s="22" t="s">
        <v>11512</v>
      </c>
      <c r="Y1030" s="25"/>
      <c r="Z1030" s="25"/>
      <c r="AA1030" s="22" t="s">
        <v>8129</v>
      </c>
      <c r="AB1030" s="22" t="s">
        <v>8130</v>
      </c>
      <c r="AC1030" s="25"/>
      <c r="AD1030" s="22" t="s">
        <v>8161</v>
      </c>
      <c r="AE1030" s="22" t="s">
        <v>8132</v>
      </c>
      <c r="AF1030" s="25"/>
      <c r="AG1030" s="22">
        <v>1.0468982817091E13</v>
      </c>
      <c r="AH1030" s="22" t="s">
        <v>90</v>
      </c>
      <c r="AI1030" s="22">
        <v>7.488780435779E12</v>
      </c>
      <c r="AJ1030" s="25"/>
      <c r="AK1030" s="25"/>
      <c r="AL1030" s="22" t="s">
        <v>8173</v>
      </c>
      <c r="AQ1030" s="32" t="s">
        <v>55</v>
      </c>
      <c r="AR1030" s="32" t="b">
        <v>0</v>
      </c>
      <c r="AS1030" s="32" t="b">
        <v>1</v>
      </c>
    </row>
    <row r="1031">
      <c r="A1031" s="21" t="s">
        <v>11505</v>
      </c>
      <c r="B1031" s="25"/>
      <c r="C1031" s="25"/>
      <c r="D1031" s="22" t="s">
        <v>8203</v>
      </c>
      <c r="E1031" s="25"/>
      <c r="F1031" s="22" t="s">
        <v>8149</v>
      </c>
      <c r="G1031" s="25"/>
      <c r="H1031" s="22">
        <v>9.523178012995E12</v>
      </c>
      <c r="I1031" s="25"/>
      <c r="J1031" s="25"/>
      <c r="K1031" s="25"/>
      <c r="L1031" s="25"/>
      <c r="M1031" s="25"/>
      <c r="N1031" s="22" t="s">
        <v>11506</v>
      </c>
      <c r="O1031" s="22" t="s">
        <v>11507</v>
      </c>
      <c r="P1031" s="22" t="s">
        <v>11506</v>
      </c>
      <c r="Q1031" s="22" t="s">
        <v>11507</v>
      </c>
      <c r="R1031" s="22" t="s">
        <v>11508</v>
      </c>
      <c r="S1031" s="25"/>
      <c r="T1031" s="40" t="s">
        <v>11509</v>
      </c>
      <c r="U1031" s="22" t="s">
        <v>11510</v>
      </c>
      <c r="V1031" s="25"/>
      <c r="W1031" s="22" t="s">
        <v>11511</v>
      </c>
      <c r="X1031" s="22" t="s">
        <v>11512</v>
      </c>
      <c r="Y1031" s="25"/>
      <c r="Z1031" s="25"/>
      <c r="AA1031" s="22" t="s">
        <v>8129</v>
      </c>
      <c r="AB1031" s="22" t="s">
        <v>8130</v>
      </c>
      <c r="AC1031" s="25"/>
      <c r="AD1031" s="25"/>
      <c r="AE1031" s="22" t="s">
        <v>8132</v>
      </c>
      <c r="AF1031" s="25"/>
      <c r="AG1031" s="22">
        <v>1.0468982817091E13</v>
      </c>
      <c r="AH1031" s="22" t="s">
        <v>8137</v>
      </c>
      <c r="AI1031" s="22">
        <v>7.488780435779E12</v>
      </c>
      <c r="AJ1031" s="25"/>
      <c r="AK1031" s="25"/>
      <c r="AL1031" s="22" t="s">
        <v>8149</v>
      </c>
      <c r="AR1031" s="32" t="b">
        <v>0</v>
      </c>
      <c r="AS1031" s="32" t="b">
        <v>0</v>
      </c>
    </row>
    <row r="1032">
      <c r="A1032" s="21" t="s">
        <v>11513</v>
      </c>
      <c r="B1032" s="22" t="s">
        <v>8370</v>
      </c>
      <c r="C1032" s="22">
        <v>1.0</v>
      </c>
      <c r="D1032" s="22" t="s">
        <v>8371</v>
      </c>
      <c r="E1032" s="22" t="s">
        <v>8370</v>
      </c>
      <c r="F1032" s="22" t="s">
        <v>8155</v>
      </c>
      <c r="G1032" s="25"/>
      <c r="H1032" s="22">
        <v>3.2778165715267E13</v>
      </c>
      <c r="I1032" s="25"/>
      <c r="J1032" s="25"/>
      <c r="K1032" s="22">
        <v>4.9521175494979E13</v>
      </c>
      <c r="L1032" s="25"/>
      <c r="M1032" s="25"/>
      <c r="N1032" s="22" t="s">
        <v>11514</v>
      </c>
      <c r="O1032" s="22" t="s">
        <v>11515</v>
      </c>
      <c r="P1032" s="22" t="s">
        <v>11514</v>
      </c>
      <c r="Q1032" s="22" t="s">
        <v>11515</v>
      </c>
      <c r="R1032" s="22" t="s">
        <v>11516</v>
      </c>
      <c r="S1032" s="25"/>
      <c r="T1032" s="40" t="s">
        <v>11517</v>
      </c>
      <c r="U1032" s="22" t="s">
        <v>11518</v>
      </c>
      <c r="V1032" s="25"/>
      <c r="W1032" s="22" t="s">
        <v>11519</v>
      </c>
      <c r="X1032" s="22" t="s">
        <v>8849</v>
      </c>
      <c r="Y1032" s="25"/>
      <c r="Z1032" s="25"/>
      <c r="AA1032" s="22" t="s">
        <v>8129</v>
      </c>
      <c r="AB1032" s="22" t="s">
        <v>8130</v>
      </c>
      <c r="AC1032" s="25"/>
      <c r="AD1032" s="22" t="s">
        <v>8161</v>
      </c>
      <c r="AE1032" s="22" t="s">
        <v>8132</v>
      </c>
      <c r="AF1032" s="25"/>
      <c r="AG1032" s="22">
        <v>1.0470954467651E13</v>
      </c>
      <c r="AH1032" s="22" t="s">
        <v>90</v>
      </c>
      <c r="AI1032" s="22">
        <v>2.3438722892099E13</v>
      </c>
      <c r="AJ1032" s="25"/>
      <c r="AK1032" s="25"/>
      <c r="AL1032" s="22" t="s">
        <v>8138</v>
      </c>
      <c r="AQ1032" s="32" t="s">
        <v>91</v>
      </c>
      <c r="AR1032" s="32" t="b">
        <v>0</v>
      </c>
      <c r="AS1032" s="32" t="b">
        <v>1</v>
      </c>
    </row>
    <row r="1033">
      <c r="A1033" s="21" t="s">
        <v>11513</v>
      </c>
      <c r="B1033" s="25"/>
      <c r="C1033" s="25"/>
      <c r="D1033" s="22" t="s">
        <v>8371</v>
      </c>
      <c r="E1033" s="25"/>
      <c r="F1033" s="22" t="s">
        <v>8149</v>
      </c>
      <c r="G1033" s="25"/>
      <c r="H1033" s="22">
        <v>9.524980580675E12</v>
      </c>
      <c r="I1033" s="25"/>
      <c r="J1033" s="25"/>
      <c r="K1033" s="25"/>
      <c r="L1033" s="25"/>
      <c r="M1033" s="25"/>
      <c r="N1033" s="22" t="s">
        <v>11514</v>
      </c>
      <c r="O1033" s="22" t="s">
        <v>11515</v>
      </c>
      <c r="P1033" s="22" t="s">
        <v>11514</v>
      </c>
      <c r="Q1033" s="22" t="s">
        <v>11515</v>
      </c>
      <c r="R1033" s="22" t="s">
        <v>11516</v>
      </c>
      <c r="S1033" s="25"/>
      <c r="T1033" s="40" t="s">
        <v>11517</v>
      </c>
      <c r="U1033" s="22" t="s">
        <v>11518</v>
      </c>
      <c r="V1033" s="25"/>
      <c r="W1033" s="22" t="s">
        <v>11519</v>
      </c>
      <c r="X1033" s="22" t="s">
        <v>8849</v>
      </c>
      <c r="Y1033" s="25"/>
      <c r="Z1033" s="25"/>
      <c r="AA1033" s="22" t="s">
        <v>8129</v>
      </c>
      <c r="AB1033" s="22" t="s">
        <v>8130</v>
      </c>
      <c r="AC1033" s="25"/>
      <c r="AD1033" s="25"/>
      <c r="AE1033" s="22" t="s">
        <v>8132</v>
      </c>
      <c r="AF1033" s="25"/>
      <c r="AG1033" s="22">
        <v>1.0470954467651E13</v>
      </c>
      <c r="AH1033" s="22" t="s">
        <v>8137</v>
      </c>
      <c r="AI1033" s="22">
        <v>2.3438722892099E13</v>
      </c>
      <c r="AJ1033" s="25"/>
      <c r="AK1033" s="25"/>
      <c r="AL1033" s="22" t="s">
        <v>8149</v>
      </c>
      <c r="AR1033" s="32" t="b">
        <v>0</v>
      </c>
      <c r="AS1033" s="32" t="b">
        <v>0</v>
      </c>
    </row>
    <row r="1034">
      <c r="A1034" s="21" t="s">
        <v>11520</v>
      </c>
      <c r="B1034" s="22" t="s">
        <v>8119</v>
      </c>
      <c r="C1034" s="22">
        <v>1.0</v>
      </c>
      <c r="D1034" s="22" t="s">
        <v>8278</v>
      </c>
      <c r="E1034" s="22" t="s">
        <v>8119</v>
      </c>
      <c r="F1034" s="22" t="s">
        <v>8121</v>
      </c>
      <c r="G1034" s="25"/>
      <c r="H1034" s="22">
        <v>3.2778299998531E13</v>
      </c>
      <c r="I1034" s="25"/>
      <c r="J1034" s="25"/>
      <c r="K1034" s="22">
        <v>4.2085703549171E13</v>
      </c>
      <c r="L1034" s="25"/>
      <c r="M1034" s="25"/>
      <c r="N1034" s="22" t="s">
        <v>4806</v>
      </c>
      <c r="O1034" s="22" t="s">
        <v>11521</v>
      </c>
      <c r="P1034" s="22" t="s">
        <v>11522</v>
      </c>
      <c r="Q1034" s="22" t="s">
        <v>11523</v>
      </c>
      <c r="R1034" s="22" t="s">
        <v>11524</v>
      </c>
      <c r="S1034" s="25"/>
      <c r="T1034" s="40" t="s">
        <v>11525</v>
      </c>
      <c r="U1034" s="22" t="s">
        <v>11526</v>
      </c>
      <c r="V1034" s="22" t="s">
        <v>11527</v>
      </c>
      <c r="W1034" s="22" t="s">
        <v>11528</v>
      </c>
      <c r="X1034" s="22" t="s">
        <v>8380</v>
      </c>
      <c r="Y1034" s="25"/>
      <c r="Z1034" s="25"/>
      <c r="AA1034" s="22" t="s">
        <v>8129</v>
      </c>
      <c r="AB1034" s="22" t="s">
        <v>8130</v>
      </c>
      <c r="AC1034" s="25"/>
      <c r="AD1034" s="22" t="s">
        <v>8131</v>
      </c>
      <c r="AE1034" s="22" t="s">
        <v>8132</v>
      </c>
      <c r="AF1034" s="25"/>
      <c r="AG1034" s="22">
        <v>1.0471017873731E13</v>
      </c>
      <c r="AH1034" s="22" t="s">
        <v>90</v>
      </c>
      <c r="AI1034" s="22">
        <v>8.486880837955E12</v>
      </c>
      <c r="AJ1034" s="25"/>
      <c r="AK1034" s="25"/>
      <c r="AL1034" s="22" t="s">
        <v>8133</v>
      </c>
      <c r="AQ1034" s="32" t="s">
        <v>8135</v>
      </c>
      <c r="AR1034" s="32" t="b">
        <v>0</v>
      </c>
      <c r="AS1034" s="32" t="b">
        <v>0</v>
      </c>
    </row>
    <row r="1035">
      <c r="A1035" s="21" t="s">
        <v>11520</v>
      </c>
      <c r="B1035" s="25"/>
      <c r="C1035" s="25"/>
      <c r="D1035" s="22" t="s">
        <v>8278</v>
      </c>
      <c r="E1035" s="25"/>
      <c r="F1035" s="22" t="s">
        <v>8136</v>
      </c>
      <c r="G1035" s="25"/>
      <c r="H1035" s="22">
        <v>9.525037236547E12</v>
      </c>
      <c r="I1035" s="25"/>
      <c r="J1035" s="25"/>
      <c r="K1035" s="25"/>
      <c r="L1035" s="25"/>
      <c r="M1035" s="25"/>
      <c r="N1035" s="22" t="s">
        <v>4806</v>
      </c>
      <c r="O1035" s="22" t="s">
        <v>11521</v>
      </c>
      <c r="P1035" s="22" t="s">
        <v>11522</v>
      </c>
      <c r="Q1035" s="22" t="s">
        <v>11523</v>
      </c>
      <c r="R1035" s="22" t="s">
        <v>11524</v>
      </c>
      <c r="S1035" s="25"/>
      <c r="T1035" s="40" t="s">
        <v>11525</v>
      </c>
      <c r="U1035" s="22" t="s">
        <v>11526</v>
      </c>
      <c r="V1035" s="22" t="s">
        <v>11527</v>
      </c>
      <c r="W1035" s="22" t="s">
        <v>11528</v>
      </c>
      <c r="X1035" s="22" t="s">
        <v>8380</v>
      </c>
      <c r="Y1035" s="25"/>
      <c r="Z1035" s="25"/>
      <c r="AA1035" s="22" t="s">
        <v>8129</v>
      </c>
      <c r="AB1035" s="22" t="s">
        <v>8130</v>
      </c>
      <c r="AC1035" s="25"/>
      <c r="AD1035" s="25"/>
      <c r="AE1035" s="22" t="s">
        <v>8132</v>
      </c>
      <c r="AF1035" s="25"/>
      <c r="AG1035" s="22">
        <v>1.0471017873731E13</v>
      </c>
      <c r="AH1035" s="22" t="s">
        <v>8137</v>
      </c>
      <c r="AI1035" s="22">
        <v>8.486880837955E12</v>
      </c>
      <c r="AJ1035" s="25"/>
      <c r="AK1035" s="25"/>
      <c r="AL1035" s="22" t="s">
        <v>8136</v>
      </c>
      <c r="AR1035" s="32" t="b">
        <v>0</v>
      </c>
      <c r="AS1035" s="32" t="b">
        <v>0</v>
      </c>
    </row>
    <row r="1036">
      <c r="A1036" s="21" t="s">
        <v>11529</v>
      </c>
      <c r="B1036" s="22" t="s">
        <v>8140</v>
      </c>
      <c r="C1036" s="22">
        <v>1.0</v>
      </c>
      <c r="D1036" s="22" t="s">
        <v>8581</v>
      </c>
      <c r="E1036" s="22" t="s">
        <v>8140</v>
      </c>
      <c r="F1036" s="22" t="s">
        <v>8121</v>
      </c>
      <c r="G1036" s="25"/>
      <c r="H1036" s="22">
        <v>3.2778524197187E13</v>
      </c>
      <c r="I1036" s="25"/>
      <c r="J1036" s="25"/>
      <c r="K1036" s="22">
        <v>4.2085703581939E13</v>
      </c>
      <c r="L1036" s="25"/>
      <c r="M1036" s="25"/>
      <c r="N1036" s="22" t="s">
        <v>5508</v>
      </c>
      <c r="O1036" s="22" t="s">
        <v>11530</v>
      </c>
      <c r="P1036" s="22" t="s">
        <v>5508</v>
      </c>
      <c r="Q1036" s="22" t="s">
        <v>11530</v>
      </c>
      <c r="R1036" s="22" t="s">
        <v>11531</v>
      </c>
      <c r="S1036" s="25"/>
      <c r="T1036" s="40" t="s">
        <v>11532</v>
      </c>
      <c r="U1036" s="22" t="s">
        <v>11533</v>
      </c>
      <c r="V1036" s="25"/>
      <c r="W1036" s="22" t="s">
        <v>11534</v>
      </c>
      <c r="X1036" s="22" t="s">
        <v>9415</v>
      </c>
      <c r="Y1036" s="25"/>
      <c r="Z1036" s="25"/>
      <c r="AA1036" s="22" t="s">
        <v>8129</v>
      </c>
      <c r="AB1036" s="22" t="s">
        <v>8130</v>
      </c>
      <c r="AC1036" s="25"/>
      <c r="AD1036" s="22" t="s">
        <v>8131</v>
      </c>
      <c r="AE1036" s="22" t="s">
        <v>8132</v>
      </c>
      <c r="AF1036" s="25"/>
      <c r="AG1036" s="22">
        <v>1.0471124795715E13</v>
      </c>
      <c r="AH1036" s="22" t="s">
        <v>90</v>
      </c>
      <c r="AI1036" s="22">
        <v>2.3438888665411E13</v>
      </c>
      <c r="AJ1036" s="25"/>
      <c r="AK1036" s="25"/>
      <c r="AL1036" s="22" t="s">
        <v>8134</v>
      </c>
      <c r="AQ1036" s="32" t="s">
        <v>8150</v>
      </c>
      <c r="AR1036" s="32" t="b">
        <v>0</v>
      </c>
      <c r="AS1036" s="32" t="b">
        <v>0</v>
      </c>
    </row>
    <row r="1037">
      <c r="A1037" s="21" t="s">
        <v>11529</v>
      </c>
      <c r="B1037" s="25"/>
      <c r="C1037" s="25"/>
      <c r="D1037" s="22" t="s">
        <v>8581</v>
      </c>
      <c r="E1037" s="25"/>
      <c r="F1037" s="22" t="s">
        <v>8136</v>
      </c>
      <c r="G1037" s="25"/>
      <c r="H1037" s="22">
        <v>9.525131018563E12</v>
      </c>
      <c r="I1037" s="25"/>
      <c r="J1037" s="25"/>
      <c r="K1037" s="25"/>
      <c r="L1037" s="25"/>
      <c r="M1037" s="25"/>
      <c r="N1037" s="22" t="s">
        <v>5508</v>
      </c>
      <c r="O1037" s="22" t="s">
        <v>11530</v>
      </c>
      <c r="P1037" s="22" t="s">
        <v>5508</v>
      </c>
      <c r="Q1037" s="22" t="s">
        <v>11530</v>
      </c>
      <c r="R1037" s="22" t="s">
        <v>11531</v>
      </c>
      <c r="S1037" s="25"/>
      <c r="T1037" s="40" t="s">
        <v>11532</v>
      </c>
      <c r="U1037" s="22" t="s">
        <v>11533</v>
      </c>
      <c r="V1037" s="25"/>
      <c r="W1037" s="22" t="s">
        <v>11534</v>
      </c>
      <c r="X1037" s="22" t="s">
        <v>9415</v>
      </c>
      <c r="Y1037" s="25"/>
      <c r="Z1037" s="25"/>
      <c r="AA1037" s="22" t="s">
        <v>8129</v>
      </c>
      <c r="AB1037" s="22" t="s">
        <v>8130</v>
      </c>
      <c r="AC1037" s="25"/>
      <c r="AD1037" s="25"/>
      <c r="AE1037" s="22" t="s">
        <v>8132</v>
      </c>
      <c r="AF1037" s="25"/>
      <c r="AG1037" s="22">
        <v>1.0471124795715E13</v>
      </c>
      <c r="AH1037" s="22" t="s">
        <v>8137</v>
      </c>
      <c r="AI1037" s="22">
        <v>2.3438888665411E13</v>
      </c>
      <c r="AJ1037" s="25"/>
      <c r="AK1037" s="25"/>
      <c r="AL1037" s="22" t="s">
        <v>8136</v>
      </c>
      <c r="AR1037" s="32" t="b">
        <v>0</v>
      </c>
      <c r="AS1037" s="32" t="b">
        <v>0</v>
      </c>
    </row>
    <row r="1038">
      <c r="A1038" s="21" t="s">
        <v>11535</v>
      </c>
      <c r="B1038" s="22" t="s">
        <v>8370</v>
      </c>
      <c r="C1038" s="22">
        <v>1.0</v>
      </c>
      <c r="D1038" s="22" t="s">
        <v>8175</v>
      </c>
      <c r="E1038" s="22" t="s">
        <v>8370</v>
      </c>
      <c r="F1038" s="22" t="s">
        <v>8155</v>
      </c>
      <c r="G1038" s="25"/>
      <c r="H1038" s="22">
        <v>3.2778861412675E13</v>
      </c>
      <c r="I1038" s="25"/>
      <c r="J1038" s="25"/>
      <c r="K1038" s="22">
        <v>4.9521175494979E13</v>
      </c>
      <c r="L1038" s="25"/>
      <c r="M1038" s="25"/>
      <c r="N1038" s="22" t="s">
        <v>11536</v>
      </c>
      <c r="O1038" s="22" t="s">
        <v>3725</v>
      </c>
      <c r="P1038" s="22" t="s">
        <v>11536</v>
      </c>
      <c r="Q1038" s="22" t="s">
        <v>3725</v>
      </c>
      <c r="R1038" s="22" t="s">
        <v>11537</v>
      </c>
      <c r="S1038" s="25"/>
      <c r="T1038" s="40" t="s">
        <v>11538</v>
      </c>
      <c r="U1038" s="22" t="s">
        <v>11539</v>
      </c>
      <c r="V1038" s="25"/>
      <c r="W1038" s="22" t="s">
        <v>11540</v>
      </c>
      <c r="X1038" s="22" t="s">
        <v>8663</v>
      </c>
      <c r="Y1038" s="25"/>
      <c r="Z1038" s="25"/>
      <c r="AA1038" s="22" t="s">
        <v>8129</v>
      </c>
      <c r="AB1038" s="22" t="s">
        <v>8130</v>
      </c>
      <c r="AC1038" s="25"/>
      <c r="AD1038" s="22" t="s">
        <v>8161</v>
      </c>
      <c r="AE1038" s="22" t="s">
        <v>8132</v>
      </c>
      <c r="AF1038" s="25"/>
      <c r="AG1038" s="22">
        <v>1.0471289553219E13</v>
      </c>
      <c r="AH1038" s="22" t="s">
        <v>90</v>
      </c>
      <c r="AI1038" s="22">
        <v>2.3439072461123E13</v>
      </c>
      <c r="AJ1038" s="25"/>
      <c r="AK1038" s="25"/>
      <c r="AL1038" s="22" t="s">
        <v>8138</v>
      </c>
      <c r="AQ1038" s="32" t="s">
        <v>91</v>
      </c>
      <c r="AR1038" s="32" t="b">
        <v>0</v>
      </c>
      <c r="AS1038" s="32" t="b">
        <v>1</v>
      </c>
    </row>
    <row r="1039">
      <c r="A1039" s="21" t="s">
        <v>11535</v>
      </c>
      <c r="B1039" s="25"/>
      <c r="C1039" s="25"/>
      <c r="D1039" s="22" t="s">
        <v>8175</v>
      </c>
      <c r="E1039" s="25"/>
      <c r="F1039" s="22" t="s">
        <v>8149</v>
      </c>
      <c r="G1039" s="25"/>
      <c r="H1039" s="22">
        <v>9.525280014659E12</v>
      </c>
      <c r="I1039" s="25"/>
      <c r="J1039" s="25"/>
      <c r="K1039" s="25"/>
      <c r="L1039" s="25"/>
      <c r="M1039" s="25"/>
      <c r="N1039" s="22" t="s">
        <v>11536</v>
      </c>
      <c r="O1039" s="22" t="s">
        <v>3725</v>
      </c>
      <c r="P1039" s="22" t="s">
        <v>11536</v>
      </c>
      <c r="Q1039" s="22" t="s">
        <v>3725</v>
      </c>
      <c r="R1039" s="22" t="s">
        <v>11537</v>
      </c>
      <c r="S1039" s="25"/>
      <c r="T1039" s="40" t="s">
        <v>11538</v>
      </c>
      <c r="U1039" s="22" t="s">
        <v>11539</v>
      </c>
      <c r="V1039" s="25"/>
      <c r="W1039" s="22" t="s">
        <v>11540</v>
      </c>
      <c r="X1039" s="22" t="s">
        <v>8663</v>
      </c>
      <c r="Y1039" s="25"/>
      <c r="Z1039" s="25"/>
      <c r="AA1039" s="22" t="s">
        <v>8129</v>
      </c>
      <c r="AB1039" s="22" t="s">
        <v>8130</v>
      </c>
      <c r="AC1039" s="25"/>
      <c r="AD1039" s="25"/>
      <c r="AE1039" s="22" t="s">
        <v>8132</v>
      </c>
      <c r="AF1039" s="25"/>
      <c r="AG1039" s="22">
        <v>1.0471289553219E13</v>
      </c>
      <c r="AH1039" s="22" t="s">
        <v>8137</v>
      </c>
      <c r="AI1039" s="22">
        <v>2.3439072461123E13</v>
      </c>
      <c r="AJ1039" s="25"/>
      <c r="AK1039" s="25"/>
      <c r="AL1039" s="22" t="s">
        <v>8149</v>
      </c>
      <c r="AR1039" s="32" t="b">
        <v>0</v>
      </c>
      <c r="AS1039" s="32" t="b">
        <v>0</v>
      </c>
    </row>
    <row r="1040">
      <c r="A1040" s="21" t="s">
        <v>11541</v>
      </c>
      <c r="B1040" s="22" t="s">
        <v>8140</v>
      </c>
      <c r="C1040" s="22">
        <v>1.0</v>
      </c>
      <c r="D1040" s="22" t="s">
        <v>8221</v>
      </c>
      <c r="E1040" s="22" t="s">
        <v>8140</v>
      </c>
      <c r="F1040" s="22" t="s">
        <v>8121</v>
      </c>
      <c r="G1040" s="25"/>
      <c r="H1040" s="22">
        <v>3.2778899620163E13</v>
      </c>
      <c r="I1040" s="25"/>
      <c r="J1040" s="25"/>
      <c r="K1040" s="22">
        <v>4.2085703581939E13</v>
      </c>
      <c r="L1040" s="25"/>
      <c r="M1040" s="25"/>
      <c r="N1040" s="22" t="s">
        <v>7585</v>
      </c>
      <c r="O1040" s="22" t="s">
        <v>11542</v>
      </c>
      <c r="P1040" s="22" t="s">
        <v>7585</v>
      </c>
      <c r="Q1040" s="22" t="s">
        <v>11542</v>
      </c>
      <c r="R1040" s="22" t="s">
        <v>11543</v>
      </c>
      <c r="S1040" s="25"/>
      <c r="T1040" s="40" t="s">
        <v>11544</v>
      </c>
      <c r="U1040" s="22" t="s">
        <v>11545</v>
      </c>
      <c r="V1040" s="25"/>
      <c r="W1040" s="22" t="s">
        <v>11546</v>
      </c>
      <c r="X1040" s="22" t="s">
        <v>8242</v>
      </c>
      <c r="Y1040" s="25"/>
      <c r="Z1040" s="25"/>
      <c r="AA1040" s="22" t="s">
        <v>8129</v>
      </c>
      <c r="AB1040" s="22" t="s">
        <v>8130</v>
      </c>
      <c r="AC1040" s="25"/>
      <c r="AD1040" s="22" t="s">
        <v>8131</v>
      </c>
      <c r="AE1040" s="22" t="s">
        <v>8132</v>
      </c>
      <c r="AF1040" s="25"/>
      <c r="AG1040" s="22">
        <v>1.0471307936067E13</v>
      </c>
      <c r="AH1040" s="22" t="s">
        <v>90</v>
      </c>
      <c r="AI1040" s="22">
        <v>7.455427363139E12</v>
      </c>
      <c r="AJ1040" s="25"/>
      <c r="AK1040" s="25"/>
      <c r="AL1040" s="22" t="s">
        <v>8134</v>
      </c>
      <c r="AQ1040" s="32" t="s">
        <v>8150</v>
      </c>
      <c r="AR1040" s="32" t="b">
        <v>0</v>
      </c>
      <c r="AS1040" s="32" t="b">
        <v>0</v>
      </c>
    </row>
    <row r="1041">
      <c r="A1041" s="21" t="s">
        <v>11541</v>
      </c>
      <c r="B1041" s="25"/>
      <c r="C1041" s="25"/>
      <c r="D1041" s="22" t="s">
        <v>8221</v>
      </c>
      <c r="E1041" s="25"/>
      <c r="F1041" s="22" t="s">
        <v>8136</v>
      </c>
      <c r="G1041" s="25"/>
      <c r="H1041" s="22">
        <v>9.525296988483E12</v>
      </c>
      <c r="I1041" s="25"/>
      <c r="J1041" s="25"/>
      <c r="K1041" s="25"/>
      <c r="L1041" s="25"/>
      <c r="M1041" s="25"/>
      <c r="N1041" s="22" t="s">
        <v>7585</v>
      </c>
      <c r="O1041" s="22" t="s">
        <v>11542</v>
      </c>
      <c r="P1041" s="22" t="s">
        <v>7585</v>
      </c>
      <c r="Q1041" s="22" t="s">
        <v>11542</v>
      </c>
      <c r="R1041" s="22" t="s">
        <v>11543</v>
      </c>
      <c r="S1041" s="25"/>
      <c r="T1041" s="40" t="s">
        <v>11544</v>
      </c>
      <c r="U1041" s="22" t="s">
        <v>11545</v>
      </c>
      <c r="V1041" s="25"/>
      <c r="W1041" s="22" t="s">
        <v>11546</v>
      </c>
      <c r="X1041" s="22" t="s">
        <v>8242</v>
      </c>
      <c r="Y1041" s="25"/>
      <c r="Z1041" s="25"/>
      <c r="AA1041" s="22" t="s">
        <v>8129</v>
      </c>
      <c r="AB1041" s="22" t="s">
        <v>8130</v>
      </c>
      <c r="AC1041" s="25"/>
      <c r="AD1041" s="25"/>
      <c r="AE1041" s="22" t="s">
        <v>8132</v>
      </c>
      <c r="AF1041" s="25"/>
      <c r="AG1041" s="22">
        <v>1.0471307936067E13</v>
      </c>
      <c r="AH1041" s="22" t="s">
        <v>8137</v>
      </c>
      <c r="AI1041" s="22">
        <v>7.455427363139E12</v>
      </c>
      <c r="AJ1041" s="25"/>
      <c r="AK1041" s="25"/>
      <c r="AL1041" s="22" t="s">
        <v>8136</v>
      </c>
      <c r="AR1041" s="32" t="b">
        <v>0</v>
      </c>
      <c r="AS1041" s="32" t="b">
        <v>0</v>
      </c>
    </row>
    <row r="1042">
      <c r="A1042" s="21" t="s">
        <v>11547</v>
      </c>
      <c r="B1042" s="22" t="s">
        <v>8370</v>
      </c>
      <c r="C1042" s="22">
        <v>1.0</v>
      </c>
      <c r="D1042" s="22" t="s">
        <v>8212</v>
      </c>
      <c r="E1042" s="22" t="s">
        <v>8370</v>
      </c>
      <c r="F1042" s="22" t="s">
        <v>8155</v>
      </c>
      <c r="G1042" s="25"/>
      <c r="H1042" s="22">
        <v>3.2778962731331E13</v>
      </c>
      <c r="I1042" s="25"/>
      <c r="J1042" s="25"/>
      <c r="K1042" s="22">
        <v>4.9521175494979E13</v>
      </c>
      <c r="L1042" s="25"/>
      <c r="M1042" s="25"/>
      <c r="N1042" s="22" t="s">
        <v>4504</v>
      </c>
      <c r="O1042" s="22" t="s">
        <v>11548</v>
      </c>
      <c r="P1042" s="22" t="s">
        <v>4504</v>
      </c>
      <c r="Q1042" s="22" t="s">
        <v>11548</v>
      </c>
      <c r="R1042" s="22" t="s">
        <v>11549</v>
      </c>
      <c r="S1042" s="25"/>
      <c r="T1042" s="40" t="s">
        <v>11550</v>
      </c>
      <c r="U1042" s="22" t="s">
        <v>11551</v>
      </c>
      <c r="V1042" s="25"/>
      <c r="W1042" s="22" t="s">
        <v>11552</v>
      </c>
      <c r="X1042" s="22" t="s">
        <v>8289</v>
      </c>
      <c r="Y1042" s="25"/>
      <c r="Z1042" s="25"/>
      <c r="AA1042" s="22" t="s">
        <v>8129</v>
      </c>
      <c r="AB1042" s="22" t="s">
        <v>8130</v>
      </c>
      <c r="AC1042" s="25"/>
      <c r="AD1042" s="22" t="s">
        <v>8161</v>
      </c>
      <c r="AE1042" s="22" t="s">
        <v>8132</v>
      </c>
      <c r="AF1042" s="25"/>
      <c r="AG1042" s="22">
        <v>1.0471337787715E13</v>
      </c>
      <c r="AH1042" s="22" t="s">
        <v>90</v>
      </c>
      <c r="AI1042" s="22">
        <v>2.3439122268483E13</v>
      </c>
      <c r="AJ1042" s="25"/>
      <c r="AK1042" s="25"/>
      <c r="AL1042" s="22" t="s">
        <v>8138</v>
      </c>
      <c r="AQ1042" s="32" t="s">
        <v>91</v>
      </c>
      <c r="AR1042" s="32" t="b">
        <v>0</v>
      </c>
      <c r="AS1042" s="32" t="b">
        <v>1</v>
      </c>
    </row>
    <row r="1043">
      <c r="A1043" s="21" t="s">
        <v>11547</v>
      </c>
      <c r="B1043" s="25"/>
      <c r="C1043" s="25"/>
      <c r="D1043" s="22" t="s">
        <v>8212</v>
      </c>
      <c r="E1043" s="25"/>
      <c r="F1043" s="22" t="s">
        <v>8149</v>
      </c>
      <c r="G1043" s="25"/>
      <c r="H1043" s="22">
        <v>9.525324546371E12</v>
      </c>
      <c r="I1043" s="25"/>
      <c r="J1043" s="25"/>
      <c r="K1043" s="25"/>
      <c r="L1043" s="25"/>
      <c r="M1043" s="25"/>
      <c r="N1043" s="22" t="s">
        <v>4504</v>
      </c>
      <c r="O1043" s="22" t="s">
        <v>11548</v>
      </c>
      <c r="P1043" s="22" t="s">
        <v>4504</v>
      </c>
      <c r="Q1043" s="22" t="s">
        <v>11548</v>
      </c>
      <c r="R1043" s="22" t="s">
        <v>11549</v>
      </c>
      <c r="S1043" s="25"/>
      <c r="T1043" s="40" t="s">
        <v>11550</v>
      </c>
      <c r="U1043" s="22" t="s">
        <v>11551</v>
      </c>
      <c r="V1043" s="25"/>
      <c r="W1043" s="22" t="s">
        <v>11552</v>
      </c>
      <c r="X1043" s="22" t="s">
        <v>8289</v>
      </c>
      <c r="Y1043" s="25"/>
      <c r="Z1043" s="25"/>
      <c r="AA1043" s="22" t="s">
        <v>8129</v>
      </c>
      <c r="AB1043" s="22" t="s">
        <v>8130</v>
      </c>
      <c r="AC1043" s="25"/>
      <c r="AD1043" s="25"/>
      <c r="AE1043" s="22" t="s">
        <v>8132</v>
      </c>
      <c r="AF1043" s="25"/>
      <c r="AG1043" s="22">
        <v>1.0471337787715E13</v>
      </c>
      <c r="AH1043" s="22" t="s">
        <v>8137</v>
      </c>
      <c r="AI1043" s="22">
        <v>2.3439122268483E13</v>
      </c>
      <c r="AJ1043" s="25"/>
      <c r="AK1043" s="25"/>
      <c r="AL1043" s="22" t="s">
        <v>8149</v>
      </c>
      <c r="AR1043" s="32" t="b">
        <v>0</v>
      </c>
      <c r="AS1043" s="32" t="b">
        <v>0</v>
      </c>
    </row>
    <row r="1044">
      <c r="A1044" s="21" t="s">
        <v>11553</v>
      </c>
      <c r="B1044" s="22" t="s">
        <v>8211</v>
      </c>
      <c r="C1044" s="22">
        <v>1.0</v>
      </c>
      <c r="D1044" s="22" t="s">
        <v>8175</v>
      </c>
      <c r="E1044" s="22" t="s">
        <v>8211</v>
      </c>
      <c r="F1044" s="22" t="s">
        <v>8155</v>
      </c>
      <c r="G1044" s="25"/>
      <c r="H1044" s="22">
        <v>3.2778982850883E13</v>
      </c>
      <c r="I1044" s="25"/>
      <c r="J1044" s="25"/>
      <c r="K1044" s="22">
        <v>4.7338059727171E13</v>
      </c>
      <c r="L1044" s="25"/>
      <c r="M1044" s="25"/>
      <c r="N1044" s="22" t="s">
        <v>6137</v>
      </c>
      <c r="O1044" s="22" t="s">
        <v>11554</v>
      </c>
      <c r="P1044" s="22" t="s">
        <v>6137</v>
      </c>
      <c r="Q1044" s="22" t="s">
        <v>11554</v>
      </c>
      <c r="R1044" s="22" t="s">
        <v>11555</v>
      </c>
      <c r="S1044" s="25"/>
      <c r="T1044" s="40" t="s">
        <v>11556</v>
      </c>
      <c r="U1044" s="22" t="s">
        <v>11557</v>
      </c>
      <c r="V1044" s="25"/>
      <c r="W1044" s="22" t="s">
        <v>11558</v>
      </c>
      <c r="X1044" s="22" t="s">
        <v>11559</v>
      </c>
      <c r="Y1044" s="25"/>
      <c r="Z1044" s="25"/>
      <c r="AA1044" s="22" t="s">
        <v>8129</v>
      </c>
      <c r="AB1044" s="22" t="s">
        <v>8130</v>
      </c>
      <c r="AC1044" s="25"/>
      <c r="AD1044" s="22" t="s">
        <v>8161</v>
      </c>
      <c r="AE1044" s="22" t="s">
        <v>8132</v>
      </c>
      <c r="AF1044" s="25"/>
      <c r="AG1044" s="22">
        <v>1.0471347454275E13</v>
      </c>
      <c r="AH1044" s="22" t="s">
        <v>90</v>
      </c>
      <c r="AI1044" s="22">
        <v>2.3439036449091E13</v>
      </c>
      <c r="AJ1044" s="25"/>
      <c r="AK1044" s="25"/>
      <c r="AL1044" s="22" t="s">
        <v>8151</v>
      </c>
      <c r="AQ1044" s="32" t="s">
        <v>54</v>
      </c>
      <c r="AR1044" s="32" t="b">
        <v>0</v>
      </c>
      <c r="AS1044" s="32" t="b">
        <v>0</v>
      </c>
    </row>
    <row r="1045">
      <c r="A1045" s="21" t="s">
        <v>11553</v>
      </c>
      <c r="B1045" s="25"/>
      <c r="C1045" s="25"/>
      <c r="D1045" s="22" t="s">
        <v>8175</v>
      </c>
      <c r="E1045" s="25"/>
      <c r="F1045" s="22" t="s">
        <v>8149</v>
      </c>
      <c r="G1045" s="25"/>
      <c r="H1045" s="22">
        <v>9.525333426499E12</v>
      </c>
      <c r="I1045" s="25"/>
      <c r="J1045" s="25"/>
      <c r="K1045" s="25"/>
      <c r="L1045" s="25"/>
      <c r="M1045" s="25"/>
      <c r="N1045" s="22" t="s">
        <v>6137</v>
      </c>
      <c r="O1045" s="22" t="s">
        <v>11554</v>
      </c>
      <c r="P1045" s="22" t="s">
        <v>6137</v>
      </c>
      <c r="Q1045" s="22" t="s">
        <v>11554</v>
      </c>
      <c r="R1045" s="22" t="s">
        <v>11555</v>
      </c>
      <c r="S1045" s="25"/>
      <c r="T1045" s="40" t="s">
        <v>11556</v>
      </c>
      <c r="U1045" s="22" t="s">
        <v>11557</v>
      </c>
      <c r="V1045" s="25"/>
      <c r="W1045" s="22" t="s">
        <v>11558</v>
      </c>
      <c r="X1045" s="22" t="s">
        <v>11559</v>
      </c>
      <c r="Y1045" s="25"/>
      <c r="Z1045" s="25"/>
      <c r="AA1045" s="22" t="s">
        <v>8129</v>
      </c>
      <c r="AB1045" s="22" t="s">
        <v>8130</v>
      </c>
      <c r="AC1045" s="25"/>
      <c r="AD1045" s="25"/>
      <c r="AE1045" s="22" t="s">
        <v>8132</v>
      </c>
      <c r="AF1045" s="25"/>
      <c r="AG1045" s="22">
        <v>1.0471347454275E13</v>
      </c>
      <c r="AH1045" s="22" t="s">
        <v>8137</v>
      </c>
      <c r="AI1045" s="22">
        <v>2.3439036449091E13</v>
      </c>
      <c r="AJ1045" s="25"/>
      <c r="AK1045" s="25"/>
      <c r="AL1045" s="22" t="s">
        <v>8149</v>
      </c>
      <c r="AR1045" s="32" t="b">
        <v>0</v>
      </c>
      <c r="AS1045" s="32" t="b">
        <v>0</v>
      </c>
    </row>
    <row r="1046">
      <c r="A1046" s="21" t="s">
        <v>11560</v>
      </c>
      <c r="B1046" s="22" t="s">
        <v>8140</v>
      </c>
      <c r="C1046" s="22">
        <v>1.0</v>
      </c>
      <c r="D1046" s="22" t="s">
        <v>8212</v>
      </c>
      <c r="E1046" s="22" t="s">
        <v>8140</v>
      </c>
      <c r="F1046" s="22" t="s">
        <v>8121</v>
      </c>
      <c r="G1046" s="25"/>
      <c r="H1046" s="22">
        <v>3.2773737873731E13</v>
      </c>
      <c r="I1046" s="25"/>
      <c r="J1046" s="25"/>
      <c r="K1046" s="22">
        <v>4.2085703581939E13</v>
      </c>
      <c r="L1046" s="25"/>
      <c r="M1046" s="25"/>
      <c r="N1046" s="22" t="s">
        <v>7992</v>
      </c>
      <c r="O1046" s="22" t="s">
        <v>11561</v>
      </c>
      <c r="P1046" s="22" t="s">
        <v>7992</v>
      </c>
      <c r="Q1046" s="22" t="s">
        <v>11561</v>
      </c>
      <c r="R1046" s="22" t="s">
        <v>11562</v>
      </c>
      <c r="S1046" s="25"/>
      <c r="T1046" s="40" t="s">
        <v>11563</v>
      </c>
      <c r="U1046" s="22" t="s">
        <v>11564</v>
      </c>
      <c r="V1046" s="25"/>
      <c r="W1046" s="22" t="s">
        <v>11565</v>
      </c>
      <c r="X1046" s="22" t="s">
        <v>8128</v>
      </c>
      <c r="Y1046" s="25"/>
      <c r="Z1046" s="25"/>
      <c r="AA1046" s="22" t="s">
        <v>8129</v>
      </c>
      <c r="AB1046" s="22" t="s">
        <v>8130</v>
      </c>
      <c r="AC1046" s="25"/>
      <c r="AD1046" s="22" t="s">
        <v>8131</v>
      </c>
      <c r="AE1046" s="22" t="s">
        <v>8132</v>
      </c>
      <c r="AF1046" s="25"/>
      <c r="AG1046" s="22">
        <v>1.0468985995587E13</v>
      </c>
      <c r="AH1046" s="22" t="s">
        <v>90</v>
      </c>
      <c r="AI1046" s="22">
        <v>2.3436514394435E13</v>
      </c>
      <c r="AJ1046" s="25"/>
      <c r="AK1046" s="25"/>
      <c r="AL1046" s="22" t="s">
        <v>8134</v>
      </c>
      <c r="AQ1046" s="32" t="s">
        <v>8150</v>
      </c>
      <c r="AR1046" s="32" t="b">
        <v>0</v>
      </c>
      <c r="AS1046" s="32" t="b">
        <v>0</v>
      </c>
    </row>
    <row r="1047">
      <c r="A1047" s="21" t="s">
        <v>11560</v>
      </c>
      <c r="B1047" s="25"/>
      <c r="C1047" s="25"/>
      <c r="D1047" s="22" t="s">
        <v>8212</v>
      </c>
      <c r="E1047" s="25"/>
      <c r="F1047" s="22" t="s">
        <v>8136</v>
      </c>
      <c r="G1047" s="25"/>
      <c r="H1047" s="22">
        <v>9.523181224259E12</v>
      </c>
      <c r="I1047" s="25"/>
      <c r="J1047" s="25"/>
      <c r="K1047" s="25"/>
      <c r="L1047" s="25"/>
      <c r="M1047" s="25"/>
      <c r="N1047" s="22" t="s">
        <v>7992</v>
      </c>
      <c r="O1047" s="22" t="s">
        <v>11561</v>
      </c>
      <c r="P1047" s="22" t="s">
        <v>7992</v>
      </c>
      <c r="Q1047" s="22" t="s">
        <v>11561</v>
      </c>
      <c r="R1047" s="22" t="s">
        <v>11562</v>
      </c>
      <c r="S1047" s="25"/>
      <c r="T1047" s="40" t="s">
        <v>11563</v>
      </c>
      <c r="U1047" s="22" t="s">
        <v>11564</v>
      </c>
      <c r="V1047" s="25"/>
      <c r="W1047" s="22" t="s">
        <v>11565</v>
      </c>
      <c r="X1047" s="22" t="s">
        <v>8128</v>
      </c>
      <c r="Y1047" s="25"/>
      <c r="Z1047" s="25"/>
      <c r="AA1047" s="22" t="s">
        <v>8129</v>
      </c>
      <c r="AB1047" s="22" t="s">
        <v>8130</v>
      </c>
      <c r="AC1047" s="25"/>
      <c r="AD1047" s="25"/>
      <c r="AE1047" s="22" t="s">
        <v>8132</v>
      </c>
      <c r="AF1047" s="25"/>
      <c r="AG1047" s="22">
        <v>1.0468985995587E13</v>
      </c>
      <c r="AH1047" s="22" t="s">
        <v>8137</v>
      </c>
      <c r="AI1047" s="22">
        <v>2.3436514394435E13</v>
      </c>
      <c r="AJ1047" s="25"/>
      <c r="AK1047" s="25"/>
      <c r="AL1047" s="22" t="s">
        <v>8136</v>
      </c>
      <c r="AR1047" s="32" t="b">
        <v>0</v>
      </c>
      <c r="AS1047" s="32" t="b">
        <v>0</v>
      </c>
    </row>
    <row r="1048">
      <c r="A1048" s="21" t="s">
        <v>11566</v>
      </c>
      <c r="B1048" s="22" t="s">
        <v>8119</v>
      </c>
      <c r="C1048" s="22">
        <v>1.0</v>
      </c>
      <c r="D1048" s="22" t="s">
        <v>8254</v>
      </c>
      <c r="E1048" s="22" t="s">
        <v>8119</v>
      </c>
      <c r="F1048" s="22" t="s">
        <v>8121</v>
      </c>
      <c r="G1048" s="25"/>
      <c r="H1048" s="22">
        <v>3.2777488269635E13</v>
      </c>
      <c r="I1048" s="25"/>
      <c r="J1048" s="25"/>
      <c r="K1048" s="22">
        <v>4.2085703549171E13</v>
      </c>
      <c r="L1048" s="25"/>
      <c r="M1048" s="25"/>
      <c r="N1048" s="22" t="s">
        <v>3674</v>
      </c>
      <c r="O1048" s="22" t="s">
        <v>5890</v>
      </c>
      <c r="P1048" s="22" t="s">
        <v>4328</v>
      </c>
      <c r="Q1048" s="22" t="s">
        <v>5890</v>
      </c>
      <c r="R1048" s="22" t="s">
        <v>11567</v>
      </c>
      <c r="S1048" s="25"/>
      <c r="T1048" s="40" t="s">
        <v>11568</v>
      </c>
      <c r="U1048" s="22" t="s">
        <v>11569</v>
      </c>
      <c r="V1048" s="25"/>
      <c r="W1048" s="22" t="s">
        <v>11570</v>
      </c>
      <c r="X1048" s="22" t="s">
        <v>11571</v>
      </c>
      <c r="Y1048" s="25"/>
      <c r="Z1048" s="25"/>
      <c r="AA1048" s="22" t="s">
        <v>8129</v>
      </c>
      <c r="AB1048" s="22" t="s">
        <v>8130</v>
      </c>
      <c r="AC1048" s="25"/>
      <c r="AD1048" s="22" t="s">
        <v>8131</v>
      </c>
      <c r="AE1048" s="22" t="s">
        <v>8132</v>
      </c>
      <c r="AF1048" s="25"/>
      <c r="AG1048" s="22">
        <v>1.0470632554819E13</v>
      </c>
      <c r="AH1048" s="22" t="s">
        <v>90</v>
      </c>
      <c r="AI1048" s="22">
        <v>6.486272966899E12</v>
      </c>
      <c r="AJ1048" s="25"/>
      <c r="AK1048" s="25"/>
      <c r="AL1048" s="22" t="s">
        <v>8133</v>
      </c>
      <c r="AQ1048" s="32" t="s">
        <v>8135</v>
      </c>
      <c r="AR1048" s="32" t="b">
        <v>0</v>
      </c>
      <c r="AS1048" s="32" t="b">
        <v>0</v>
      </c>
    </row>
    <row r="1049">
      <c r="A1049" s="21" t="s">
        <v>11566</v>
      </c>
      <c r="B1049" s="25"/>
      <c r="C1049" s="25"/>
      <c r="D1049" s="22" t="s">
        <v>8254</v>
      </c>
      <c r="E1049" s="25"/>
      <c r="F1049" s="22" t="s">
        <v>8136</v>
      </c>
      <c r="G1049" s="25"/>
      <c r="H1049" s="22">
        <v>9.524697825603E12</v>
      </c>
      <c r="I1049" s="25"/>
      <c r="J1049" s="25"/>
      <c r="K1049" s="25"/>
      <c r="L1049" s="25"/>
      <c r="M1049" s="25"/>
      <c r="N1049" s="22" t="s">
        <v>3674</v>
      </c>
      <c r="O1049" s="22" t="s">
        <v>5890</v>
      </c>
      <c r="P1049" s="22" t="s">
        <v>4328</v>
      </c>
      <c r="Q1049" s="22" t="s">
        <v>5890</v>
      </c>
      <c r="R1049" s="22" t="s">
        <v>11567</v>
      </c>
      <c r="S1049" s="25"/>
      <c r="T1049" s="40" t="s">
        <v>11568</v>
      </c>
      <c r="U1049" s="22" t="s">
        <v>11569</v>
      </c>
      <c r="V1049" s="25"/>
      <c r="W1049" s="22" t="s">
        <v>11570</v>
      </c>
      <c r="X1049" s="22" t="s">
        <v>11571</v>
      </c>
      <c r="Y1049" s="25"/>
      <c r="Z1049" s="25"/>
      <c r="AA1049" s="22" t="s">
        <v>8129</v>
      </c>
      <c r="AB1049" s="22" t="s">
        <v>8130</v>
      </c>
      <c r="AC1049" s="25"/>
      <c r="AD1049" s="25"/>
      <c r="AE1049" s="22" t="s">
        <v>8132</v>
      </c>
      <c r="AF1049" s="25"/>
      <c r="AG1049" s="22">
        <v>1.0470632554819E13</v>
      </c>
      <c r="AH1049" s="22" t="s">
        <v>8137</v>
      </c>
      <c r="AI1049" s="22">
        <v>6.486272966899E12</v>
      </c>
      <c r="AJ1049" s="25"/>
      <c r="AK1049" s="25"/>
      <c r="AL1049" s="22" t="s">
        <v>8136</v>
      </c>
      <c r="AR1049" s="32" t="b">
        <v>0</v>
      </c>
      <c r="AS1049" s="32" t="b">
        <v>0</v>
      </c>
    </row>
    <row r="1050">
      <c r="A1050" s="21" t="s">
        <v>11572</v>
      </c>
      <c r="B1050" s="22" t="s">
        <v>8140</v>
      </c>
      <c r="C1050" s="22">
        <v>1.0</v>
      </c>
      <c r="D1050" s="22" t="s">
        <v>8141</v>
      </c>
      <c r="E1050" s="22" t="s">
        <v>8140</v>
      </c>
      <c r="F1050" s="22" t="s">
        <v>8121</v>
      </c>
      <c r="G1050" s="25"/>
      <c r="H1050" s="22">
        <v>3.2778095886659E13</v>
      </c>
      <c r="I1050" s="25"/>
      <c r="J1050" s="25"/>
      <c r="K1050" s="22">
        <v>4.2085703581939E13</v>
      </c>
      <c r="L1050" s="25"/>
      <c r="M1050" s="25"/>
      <c r="N1050" s="22" t="s">
        <v>3707</v>
      </c>
      <c r="O1050" s="22" t="s">
        <v>8555</v>
      </c>
      <c r="P1050" s="22" t="s">
        <v>3707</v>
      </c>
      <c r="Q1050" s="22" t="s">
        <v>8555</v>
      </c>
      <c r="R1050" s="22" t="s">
        <v>11573</v>
      </c>
      <c r="S1050" s="25"/>
      <c r="T1050" s="40" t="s">
        <v>11574</v>
      </c>
      <c r="U1050" s="22" t="s">
        <v>11575</v>
      </c>
      <c r="V1050" s="25"/>
      <c r="W1050" s="22" t="s">
        <v>11576</v>
      </c>
      <c r="X1050" s="22" t="s">
        <v>11577</v>
      </c>
      <c r="Y1050" s="25"/>
      <c r="Z1050" s="25"/>
      <c r="AA1050" s="22" t="s">
        <v>8129</v>
      </c>
      <c r="AB1050" s="22" t="s">
        <v>8130</v>
      </c>
      <c r="AC1050" s="25"/>
      <c r="AD1050" s="22" t="s">
        <v>8131</v>
      </c>
      <c r="AE1050" s="22" t="s">
        <v>8132</v>
      </c>
      <c r="AF1050" s="25"/>
      <c r="AG1050" s="22">
        <v>1.0470919078211E13</v>
      </c>
      <c r="AH1050" s="22" t="s">
        <v>90</v>
      </c>
      <c r="AI1050" s="22">
        <v>7.436773032259E12</v>
      </c>
      <c r="AJ1050" s="25"/>
      <c r="AK1050" s="25"/>
      <c r="AL1050" s="22" t="s">
        <v>8134</v>
      </c>
      <c r="AQ1050" s="32" t="s">
        <v>8150</v>
      </c>
      <c r="AR1050" s="32" t="b">
        <v>0</v>
      </c>
      <c r="AS1050" s="32" t="b">
        <v>0</v>
      </c>
    </row>
    <row r="1051">
      <c r="A1051" s="21" t="s">
        <v>11572</v>
      </c>
      <c r="B1051" s="25"/>
      <c r="C1051" s="25"/>
      <c r="D1051" s="22" t="s">
        <v>8141</v>
      </c>
      <c r="E1051" s="25"/>
      <c r="F1051" s="22" t="s">
        <v>8136</v>
      </c>
      <c r="G1051" s="25"/>
      <c r="H1051" s="22">
        <v>9.524949451075E12</v>
      </c>
      <c r="I1051" s="25"/>
      <c r="J1051" s="25"/>
      <c r="K1051" s="25"/>
      <c r="L1051" s="25"/>
      <c r="M1051" s="25"/>
      <c r="N1051" s="22" t="s">
        <v>3707</v>
      </c>
      <c r="O1051" s="22" t="s">
        <v>8555</v>
      </c>
      <c r="P1051" s="22" t="s">
        <v>3707</v>
      </c>
      <c r="Q1051" s="22" t="s">
        <v>8555</v>
      </c>
      <c r="R1051" s="22" t="s">
        <v>11573</v>
      </c>
      <c r="S1051" s="25"/>
      <c r="T1051" s="40" t="s">
        <v>11574</v>
      </c>
      <c r="U1051" s="22" t="s">
        <v>11575</v>
      </c>
      <c r="V1051" s="25"/>
      <c r="W1051" s="22" t="s">
        <v>11576</v>
      </c>
      <c r="X1051" s="22" t="s">
        <v>11577</v>
      </c>
      <c r="Y1051" s="25"/>
      <c r="Z1051" s="25"/>
      <c r="AA1051" s="22" t="s">
        <v>8129</v>
      </c>
      <c r="AB1051" s="22" t="s">
        <v>8130</v>
      </c>
      <c r="AC1051" s="25"/>
      <c r="AD1051" s="25"/>
      <c r="AE1051" s="22" t="s">
        <v>8132</v>
      </c>
      <c r="AF1051" s="25"/>
      <c r="AG1051" s="22">
        <v>1.0470919078211E13</v>
      </c>
      <c r="AH1051" s="22" t="s">
        <v>8137</v>
      </c>
      <c r="AI1051" s="22">
        <v>7.436773032259E12</v>
      </c>
      <c r="AJ1051" s="25"/>
      <c r="AK1051" s="25"/>
      <c r="AL1051" s="22" t="s">
        <v>8136</v>
      </c>
      <c r="AR1051" s="32" t="b">
        <v>0</v>
      </c>
      <c r="AS1051" s="32" t="b">
        <v>0</v>
      </c>
    </row>
    <row r="1052">
      <c r="A1052" s="21" t="s">
        <v>11578</v>
      </c>
      <c r="B1052" s="22" t="s">
        <v>8119</v>
      </c>
      <c r="C1052" s="22">
        <v>1.0</v>
      </c>
      <c r="D1052" s="22" t="s">
        <v>10254</v>
      </c>
      <c r="E1052" s="22" t="s">
        <v>8119</v>
      </c>
      <c r="F1052" s="22" t="s">
        <v>8121</v>
      </c>
      <c r="G1052" s="25"/>
      <c r="H1052" s="22">
        <v>3.2779421811011E13</v>
      </c>
      <c r="I1052" s="25"/>
      <c r="J1052" s="25"/>
      <c r="K1052" s="22">
        <v>4.2085703549171E13</v>
      </c>
      <c r="L1052" s="25"/>
      <c r="M1052" s="25"/>
      <c r="N1052" s="22" t="s">
        <v>4237</v>
      </c>
      <c r="O1052" s="22" t="s">
        <v>6286</v>
      </c>
      <c r="P1052" s="22" t="s">
        <v>4237</v>
      </c>
      <c r="Q1052" s="22" t="s">
        <v>6286</v>
      </c>
      <c r="R1052" s="22" t="s">
        <v>11579</v>
      </c>
      <c r="S1052" s="25"/>
      <c r="T1052" s="40" t="s">
        <v>11580</v>
      </c>
      <c r="U1052" s="22" t="s">
        <v>11581</v>
      </c>
      <c r="V1052" s="25"/>
      <c r="W1052" s="22" t="s">
        <v>11582</v>
      </c>
      <c r="X1052" s="22" t="s">
        <v>8276</v>
      </c>
      <c r="Y1052" s="25"/>
      <c r="Z1052" s="25"/>
      <c r="AA1052" s="22" t="s">
        <v>8129</v>
      </c>
      <c r="AB1052" s="22" t="s">
        <v>8130</v>
      </c>
      <c r="AC1052" s="25"/>
      <c r="AD1052" s="22" t="s">
        <v>8131</v>
      </c>
      <c r="AE1052" s="22" t="s">
        <v>8132</v>
      </c>
      <c r="AF1052" s="25"/>
      <c r="AG1052" s="22">
        <v>1.0471545209155E13</v>
      </c>
      <c r="AH1052" s="22" t="s">
        <v>90</v>
      </c>
      <c r="AI1052" s="22">
        <v>2.3439332573507E13</v>
      </c>
      <c r="AJ1052" s="25"/>
      <c r="AK1052" s="25"/>
      <c r="AL1052" s="22" t="s">
        <v>8133</v>
      </c>
      <c r="AQ1052" s="32" t="s">
        <v>8135</v>
      </c>
      <c r="AR1052" s="32" t="b">
        <v>0</v>
      </c>
      <c r="AS1052" s="32" t="b">
        <v>0</v>
      </c>
    </row>
    <row r="1053">
      <c r="A1053" s="21" t="s">
        <v>11578</v>
      </c>
      <c r="B1053" s="25"/>
      <c r="C1053" s="25"/>
      <c r="D1053" s="22" t="s">
        <v>10254</v>
      </c>
      <c r="E1053" s="25"/>
      <c r="F1053" s="22" t="s">
        <v>8136</v>
      </c>
      <c r="G1053" s="25"/>
      <c r="H1053" s="22">
        <v>9.525517746499E12</v>
      </c>
      <c r="I1053" s="25"/>
      <c r="J1053" s="25"/>
      <c r="K1053" s="25"/>
      <c r="L1053" s="25"/>
      <c r="M1053" s="25"/>
      <c r="N1053" s="22" t="s">
        <v>4237</v>
      </c>
      <c r="O1053" s="22" t="s">
        <v>6286</v>
      </c>
      <c r="P1053" s="22" t="s">
        <v>4237</v>
      </c>
      <c r="Q1053" s="22" t="s">
        <v>6286</v>
      </c>
      <c r="R1053" s="22" t="s">
        <v>11579</v>
      </c>
      <c r="S1053" s="25"/>
      <c r="T1053" s="40" t="s">
        <v>11580</v>
      </c>
      <c r="U1053" s="22" t="s">
        <v>11581</v>
      </c>
      <c r="V1053" s="25"/>
      <c r="W1053" s="22" t="s">
        <v>11582</v>
      </c>
      <c r="X1053" s="22" t="s">
        <v>8276</v>
      </c>
      <c r="Y1053" s="25"/>
      <c r="Z1053" s="25"/>
      <c r="AA1053" s="22" t="s">
        <v>8129</v>
      </c>
      <c r="AB1053" s="22" t="s">
        <v>8130</v>
      </c>
      <c r="AC1053" s="25"/>
      <c r="AD1053" s="25"/>
      <c r="AE1053" s="22" t="s">
        <v>8132</v>
      </c>
      <c r="AF1053" s="25"/>
      <c r="AG1053" s="22">
        <v>1.0471545209155E13</v>
      </c>
      <c r="AH1053" s="22" t="s">
        <v>8137</v>
      </c>
      <c r="AI1053" s="22">
        <v>2.3439332573507E13</v>
      </c>
      <c r="AJ1053" s="25"/>
      <c r="AK1053" s="25"/>
      <c r="AL1053" s="22" t="s">
        <v>8136</v>
      </c>
      <c r="AR1053" s="32" t="b">
        <v>0</v>
      </c>
      <c r="AS1053" s="32" t="b">
        <v>0</v>
      </c>
    </row>
    <row r="1054">
      <c r="A1054" s="21" t="s">
        <v>11583</v>
      </c>
      <c r="B1054" s="22" t="s">
        <v>8370</v>
      </c>
      <c r="C1054" s="22">
        <v>1.0</v>
      </c>
      <c r="D1054" s="22" t="s">
        <v>8141</v>
      </c>
      <c r="E1054" s="22" t="s">
        <v>8370</v>
      </c>
      <c r="F1054" s="22" t="s">
        <v>8155</v>
      </c>
      <c r="G1054" s="25"/>
      <c r="H1054" s="22">
        <v>3.2779587682627E13</v>
      </c>
      <c r="I1054" s="25"/>
      <c r="J1054" s="25"/>
      <c r="K1054" s="22">
        <v>4.9521175494979E13</v>
      </c>
      <c r="L1054" s="25"/>
      <c r="M1054" s="25"/>
      <c r="N1054" s="22" t="s">
        <v>5443</v>
      </c>
      <c r="O1054" s="22" t="s">
        <v>11584</v>
      </c>
      <c r="P1054" s="22" t="s">
        <v>5443</v>
      </c>
      <c r="Q1054" s="22" t="s">
        <v>11584</v>
      </c>
      <c r="R1054" s="22" t="s">
        <v>11585</v>
      </c>
      <c r="S1054" s="25"/>
      <c r="T1054" s="40" t="s">
        <v>11586</v>
      </c>
      <c r="U1054" s="22" t="s">
        <v>11587</v>
      </c>
      <c r="V1054" s="25"/>
      <c r="W1054" s="22" t="s">
        <v>11588</v>
      </c>
      <c r="X1054" s="22" t="s">
        <v>8251</v>
      </c>
      <c r="Y1054" s="25"/>
      <c r="Z1054" s="25"/>
      <c r="AA1054" s="22" t="s">
        <v>8129</v>
      </c>
      <c r="AB1054" s="22" t="s">
        <v>8130</v>
      </c>
      <c r="AC1054" s="25"/>
      <c r="AD1054" s="22" t="s">
        <v>8161</v>
      </c>
      <c r="AE1054" s="22" t="s">
        <v>8132</v>
      </c>
      <c r="AF1054" s="25"/>
      <c r="AG1054" s="22">
        <v>1.0471620608323E13</v>
      </c>
      <c r="AH1054" s="22" t="s">
        <v>90</v>
      </c>
      <c r="AI1054" s="22">
        <v>2.3439411806531E13</v>
      </c>
      <c r="AJ1054" s="25"/>
      <c r="AK1054" s="25"/>
      <c r="AL1054" s="22" t="s">
        <v>8138</v>
      </c>
      <c r="AQ1054" s="32" t="s">
        <v>91</v>
      </c>
      <c r="AR1054" s="32" t="b">
        <v>0</v>
      </c>
      <c r="AS1054" s="32" t="b">
        <v>1</v>
      </c>
    </row>
    <row r="1055">
      <c r="A1055" s="21" t="s">
        <v>11583</v>
      </c>
      <c r="B1055" s="25"/>
      <c r="C1055" s="25"/>
      <c r="D1055" s="22" t="s">
        <v>8141</v>
      </c>
      <c r="E1055" s="25"/>
      <c r="F1055" s="22" t="s">
        <v>8149</v>
      </c>
      <c r="G1055" s="25"/>
      <c r="H1055" s="22">
        <v>9.525589016899E12</v>
      </c>
      <c r="I1055" s="25"/>
      <c r="J1055" s="25"/>
      <c r="K1055" s="25"/>
      <c r="L1055" s="25"/>
      <c r="M1055" s="25"/>
      <c r="N1055" s="22" t="s">
        <v>5443</v>
      </c>
      <c r="O1055" s="22" t="s">
        <v>11584</v>
      </c>
      <c r="P1055" s="22" t="s">
        <v>5443</v>
      </c>
      <c r="Q1055" s="22" t="s">
        <v>11584</v>
      </c>
      <c r="R1055" s="22" t="s">
        <v>11585</v>
      </c>
      <c r="S1055" s="25"/>
      <c r="T1055" s="40" t="s">
        <v>11586</v>
      </c>
      <c r="U1055" s="22" t="s">
        <v>11587</v>
      </c>
      <c r="V1055" s="25"/>
      <c r="W1055" s="22" t="s">
        <v>11588</v>
      </c>
      <c r="X1055" s="22" t="s">
        <v>8251</v>
      </c>
      <c r="Y1055" s="25"/>
      <c r="Z1055" s="25"/>
      <c r="AA1055" s="22" t="s">
        <v>8129</v>
      </c>
      <c r="AB1055" s="22" t="s">
        <v>8130</v>
      </c>
      <c r="AC1055" s="25"/>
      <c r="AD1055" s="25"/>
      <c r="AE1055" s="22" t="s">
        <v>8132</v>
      </c>
      <c r="AF1055" s="25"/>
      <c r="AG1055" s="22">
        <v>1.0471620608323E13</v>
      </c>
      <c r="AH1055" s="22" t="s">
        <v>8137</v>
      </c>
      <c r="AI1055" s="22">
        <v>2.3439411806531E13</v>
      </c>
      <c r="AJ1055" s="25"/>
      <c r="AK1055" s="25"/>
      <c r="AL1055" s="22" t="s">
        <v>8149</v>
      </c>
      <c r="AR1055" s="32" t="b">
        <v>0</v>
      </c>
      <c r="AS1055" s="32" t="b">
        <v>0</v>
      </c>
    </row>
    <row r="1056">
      <c r="A1056" s="21" t="s">
        <v>11589</v>
      </c>
      <c r="B1056" s="22" t="s">
        <v>8467</v>
      </c>
      <c r="C1056" s="22">
        <v>1.0</v>
      </c>
      <c r="D1056" s="22" t="s">
        <v>8212</v>
      </c>
      <c r="E1056" s="22" t="s">
        <v>8467</v>
      </c>
      <c r="F1056" s="22" t="s">
        <v>8155</v>
      </c>
      <c r="G1056" s="25"/>
      <c r="H1056" s="22">
        <v>3.2779659608387E13</v>
      </c>
      <c r="I1056" s="25"/>
      <c r="J1056" s="25"/>
      <c r="K1056" s="22">
        <v>4.9521175462211E13</v>
      </c>
      <c r="L1056" s="25"/>
      <c r="M1056" s="25"/>
      <c r="N1056" s="22" t="s">
        <v>3802</v>
      </c>
      <c r="O1056" s="22" t="s">
        <v>11590</v>
      </c>
      <c r="P1056" s="22" t="s">
        <v>3802</v>
      </c>
      <c r="Q1056" s="22" t="s">
        <v>11590</v>
      </c>
      <c r="R1056" s="22" t="s">
        <v>11591</v>
      </c>
      <c r="S1056" s="25"/>
      <c r="T1056" s="40" t="s">
        <v>11592</v>
      </c>
      <c r="U1056" s="22" t="s">
        <v>11593</v>
      </c>
      <c r="V1056" s="25"/>
      <c r="W1056" s="22" t="s">
        <v>11594</v>
      </c>
      <c r="X1056" s="40" t="s">
        <v>9763</v>
      </c>
      <c r="Y1056" s="25"/>
      <c r="Z1056" s="25"/>
      <c r="AA1056" s="22" t="s">
        <v>8129</v>
      </c>
      <c r="AB1056" s="22" t="s">
        <v>8130</v>
      </c>
      <c r="AC1056" s="25"/>
      <c r="AD1056" s="22" t="s">
        <v>8161</v>
      </c>
      <c r="AE1056" s="22" t="s">
        <v>8132</v>
      </c>
      <c r="AF1056" s="25"/>
      <c r="AG1056" s="22">
        <v>1.0471650984259E13</v>
      </c>
      <c r="AH1056" s="22" t="s">
        <v>90</v>
      </c>
      <c r="AI1056" s="22">
        <v>2.3439444967747E13</v>
      </c>
      <c r="AJ1056" s="25"/>
      <c r="AK1056" s="25"/>
      <c r="AL1056" s="22" t="s">
        <v>8173</v>
      </c>
      <c r="AQ1056" s="32" t="s">
        <v>55</v>
      </c>
      <c r="AR1056" s="32" t="b">
        <v>0</v>
      </c>
      <c r="AS1056" s="32" t="b">
        <v>1</v>
      </c>
    </row>
    <row r="1057">
      <c r="A1057" s="21" t="s">
        <v>11589</v>
      </c>
      <c r="B1057" s="25"/>
      <c r="C1057" s="25"/>
      <c r="D1057" s="22" t="s">
        <v>8212</v>
      </c>
      <c r="E1057" s="25"/>
      <c r="F1057" s="22" t="s">
        <v>8149</v>
      </c>
      <c r="G1057" s="25"/>
      <c r="H1057" s="22">
        <v>9.525617885507E12</v>
      </c>
      <c r="I1057" s="25"/>
      <c r="J1057" s="25"/>
      <c r="K1057" s="25"/>
      <c r="L1057" s="25"/>
      <c r="M1057" s="25"/>
      <c r="N1057" s="22" t="s">
        <v>3802</v>
      </c>
      <c r="O1057" s="22" t="s">
        <v>11590</v>
      </c>
      <c r="P1057" s="22" t="s">
        <v>3802</v>
      </c>
      <c r="Q1057" s="22" t="s">
        <v>11590</v>
      </c>
      <c r="R1057" s="22" t="s">
        <v>11591</v>
      </c>
      <c r="S1057" s="25"/>
      <c r="T1057" s="40" t="s">
        <v>11592</v>
      </c>
      <c r="U1057" s="22" t="s">
        <v>11593</v>
      </c>
      <c r="V1057" s="25"/>
      <c r="W1057" s="22" t="s">
        <v>11594</v>
      </c>
      <c r="X1057" s="40" t="s">
        <v>9763</v>
      </c>
      <c r="Y1057" s="25"/>
      <c r="Z1057" s="25"/>
      <c r="AA1057" s="22" t="s">
        <v>8129</v>
      </c>
      <c r="AB1057" s="22" t="s">
        <v>8130</v>
      </c>
      <c r="AC1057" s="25"/>
      <c r="AD1057" s="25"/>
      <c r="AE1057" s="22" t="s">
        <v>8132</v>
      </c>
      <c r="AF1057" s="25"/>
      <c r="AG1057" s="22">
        <v>1.0471650984259E13</v>
      </c>
      <c r="AH1057" s="22" t="s">
        <v>8137</v>
      </c>
      <c r="AI1057" s="22">
        <v>2.3439444967747E13</v>
      </c>
      <c r="AJ1057" s="25"/>
      <c r="AK1057" s="25"/>
      <c r="AL1057" s="22" t="s">
        <v>8149</v>
      </c>
      <c r="AR1057" s="32" t="b">
        <v>0</v>
      </c>
      <c r="AS1057" s="32" t="b">
        <v>0</v>
      </c>
    </row>
    <row r="1058">
      <c r="A1058" s="21" t="s">
        <v>11595</v>
      </c>
      <c r="B1058" s="22" t="s">
        <v>8140</v>
      </c>
      <c r="C1058" s="22">
        <v>1.0</v>
      </c>
      <c r="D1058" s="22" t="s">
        <v>8141</v>
      </c>
      <c r="E1058" s="22" t="s">
        <v>8140</v>
      </c>
      <c r="F1058" s="22" t="s">
        <v>8121</v>
      </c>
      <c r="G1058" s="25"/>
      <c r="H1058" s="22">
        <v>3.2779743723843E13</v>
      </c>
      <c r="I1058" s="25"/>
      <c r="J1058" s="25"/>
      <c r="K1058" s="22">
        <v>4.2085703581939E13</v>
      </c>
      <c r="L1058" s="25"/>
      <c r="M1058" s="25"/>
      <c r="N1058" s="22" t="s">
        <v>5175</v>
      </c>
      <c r="O1058" s="22" t="s">
        <v>11596</v>
      </c>
      <c r="P1058" s="22" t="s">
        <v>5175</v>
      </c>
      <c r="Q1058" s="22" t="s">
        <v>11596</v>
      </c>
      <c r="R1058" s="22" t="s">
        <v>11597</v>
      </c>
      <c r="S1058" s="25"/>
      <c r="T1058" s="40" t="s">
        <v>11598</v>
      </c>
      <c r="U1058" s="22" t="s">
        <v>11599</v>
      </c>
      <c r="V1058" s="25"/>
      <c r="W1058" s="22" t="s">
        <v>11600</v>
      </c>
      <c r="X1058" s="22" t="s">
        <v>10268</v>
      </c>
      <c r="Y1058" s="25"/>
      <c r="Z1058" s="25"/>
      <c r="AA1058" s="22" t="s">
        <v>8129</v>
      </c>
      <c r="AB1058" s="22" t="s">
        <v>8130</v>
      </c>
      <c r="AC1058" s="25"/>
      <c r="AD1058" s="22" t="s">
        <v>8131</v>
      </c>
      <c r="AE1058" s="22" t="s">
        <v>8132</v>
      </c>
      <c r="AF1058" s="25"/>
      <c r="AG1058" s="22">
        <v>1.0471687192899E13</v>
      </c>
      <c r="AH1058" s="22" t="s">
        <v>90</v>
      </c>
      <c r="AI1058" s="22">
        <v>7.468262064451E12</v>
      </c>
      <c r="AJ1058" s="25"/>
      <c r="AK1058" s="25"/>
      <c r="AL1058" s="22" t="s">
        <v>8134</v>
      </c>
      <c r="AQ1058" s="32" t="s">
        <v>8150</v>
      </c>
      <c r="AR1058" s="32" t="b">
        <v>0</v>
      </c>
      <c r="AS1058" s="32" t="b">
        <v>0</v>
      </c>
    </row>
    <row r="1059">
      <c r="A1059" s="21" t="s">
        <v>11595</v>
      </c>
      <c r="B1059" s="25"/>
      <c r="C1059" s="25"/>
      <c r="D1059" s="22" t="s">
        <v>8141</v>
      </c>
      <c r="E1059" s="25"/>
      <c r="F1059" s="22" t="s">
        <v>8136</v>
      </c>
      <c r="G1059" s="25"/>
      <c r="H1059" s="22">
        <v>9.525652422979E12</v>
      </c>
      <c r="I1059" s="25"/>
      <c r="J1059" s="25"/>
      <c r="K1059" s="25"/>
      <c r="L1059" s="25"/>
      <c r="M1059" s="25"/>
      <c r="N1059" s="22" t="s">
        <v>5175</v>
      </c>
      <c r="O1059" s="22" t="s">
        <v>11596</v>
      </c>
      <c r="P1059" s="22" t="s">
        <v>5175</v>
      </c>
      <c r="Q1059" s="22" t="s">
        <v>11596</v>
      </c>
      <c r="R1059" s="22" t="s">
        <v>11597</v>
      </c>
      <c r="S1059" s="25"/>
      <c r="T1059" s="40" t="s">
        <v>11598</v>
      </c>
      <c r="U1059" s="22" t="s">
        <v>11599</v>
      </c>
      <c r="V1059" s="25"/>
      <c r="W1059" s="22" t="s">
        <v>11600</v>
      </c>
      <c r="X1059" s="22" t="s">
        <v>10268</v>
      </c>
      <c r="Y1059" s="25"/>
      <c r="Z1059" s="25"/>
      <c r="AA1059" s="22" t="s">
        <v>8129</v>
      </c>
      <c r="AB1059" s="22" t="s">
        <v>8130</v>
      </c>
      <c r="AC1059" s="25"/>
      <c r="AD1059" s="25"/>
      <c r="AE1059" s="22" t="s">
        <v>8132</v>
      </c>
      <c r="AF1059" s="25"/>
      <c r="AG1059" s="22">
        <v>1.0471687192899E13</v>
      </c>
      <c r="AH1059" s="22" t="s">
        <v>8137</v>
      </c>
      <c r="AI1059" s="22">
        <v>7.468262064451E12</v>
      </c>
      <c r="AJ1059" s="25"/>
      <c r="AK1059" s="25"/>
      <c r="AL1059" s="22" t="s">
        <v>8136</v>
      </c>
      <c r="AR1059" s="32" t="b">
        <v>0</v>
      </c>
      <c r="AS1059" s="32" t="b">
        <v>0</v>
      </c>
    </row>
    <row r="1060">
      <c r="A1060" s="21" t="s">
        <v>11601</v>
      </c>
      <c r="B1060" s="22" t="s">
        <v>8211</v>
      </c>
      <c r="C1060" s="22">
        <v>1.0</v>
      </c>
      <c r="D1060" s="22" t="s">
        <v>8203</v>
      </c>
      <c r="E1060" s="22" t="s">
        <v>8211</v>
      </c>
      <c r="F1060" s="22" t="s">
        <v>8155</v>
      </c>
      <c r="G1060" s="25"/>
      <c r="H1060" s="22">
        <v>3.2780237275459E13</v>
      </c>
      <c r="I1060" s="25"/>
      <c r="J1060" s="25"/>
      <c r="K1060" s="22">
        <v>4.7338059727171E13</v>
      </c>
      <c r="L1060" s="25"/>
      <c r="M1060" s="25"/>
      <c r="N1060" s="22" t="s">
        <v>5699</v>
      </c>
      <c r="O1060" s="22" t="s">
        <v>11602</v>
      </c>
      <c r="P1060" s="22" t="s">
        <v>5699</v>
      </c>
      <c r="Q1060" s="22" t="s">
        <v>11602</v>
      </c>
      <c r="R1060" s="22" t="s">
        <v>11603</v>
      </c>
      <c r="S1060" s="25"/>
      <c r="T1060" s="40" t="s">
        <v>11604</v>
      </c>
      <c r="U1060" s="22" t="s">
        <v>11605</v>
      </c>
      <c r="V1060" s="25"/>
      <c r="W1060" s="22" t="s">
        <v>11606</v>
      </c>
      <c r="X1060" s="22" t="s">
        <v>11607</v>
      </c>
      <c r="Y1060" s="25"/>
      <c r="Z1060" s="25"/>
      <c r="AA1060" s="22" t="s">
        <v>8129</v>
      </c>
      <c r="AB1060" s="22" t="s">
        <v>8130</v>
      </c>
      <c r="AC1060" s="25"/>
      <c r="AD1060" s="22" t="s">
        <v>8161</v>
      </c>
      <c r="AE1060" s="22" t="s">
        <v>8132</v>
      </c>
      <c r="AF1060" s="25"/>
      <c r="AG1060" s="22">
        <v>1.0471898743107E13</v>
      </c>
      <c r="AH1060" s="22" t="s">
        <v>90</v>
      </c>
      <c r="AI1060" s="22">
        <v>2.3439726838083E13</v>
      </c>
      <c r="AJ1060" s="25"/>
      <c r="AK1060" s="25"/>
      <c r="AL1060" s="22" t="s">
        <v>8151</v>
      </c>
      <c r="AQ1060" s="32" t="s">
        <v>54</v>
      </c>
      <c r="AR1060" s="32" t="b">
        <v>0</v>
      </c>
      <c r="AS1060" s="32" t="b">
        <v>0</v>
      </c>
    </row>
    <row r="1061">
      <c r="A1061" s="21" t="s">
        <v>11601</v>
      </c>
      <c r="B1061" s="25"/>
      <c r="C1061" s="25"/>
      <c r="D1061" s="22" t="s">
        <v>8203</v>
      </c>
      <c r="E1061" s="25"/>
      <c r="F1061" s="22" t="s">
        <v>8149</v>
      </c>
      <c r="G1061" s="25"/>
      <c r="H1061" s="22">
        <v>9.525855191363E12</v>
      </c>
      <c r="I1061" s="25"/>
      <c r="J1061" s="25"/>
      <c r="K1061" s="25"/>
      <c r="L1061" s="25"/>
      <c r="M1061" s="25"/>
      <c r="N1061" s="22" t="s">
        <v>5699</v>
      </c>
      <c r="O1061" s="22" t="s">
        <v>11602</v>
      </c>
      <c r="P1061" s="22" t="s">
        <v>5699</v>
      </c>
      <c r="Q1061" s="22" t="s">
        <v>11602</v>
      </c>
      <c r="R1061" s="22" t="s">
        <v>11603</v>
      </c>
      <c r="S1061" s="25"/>
      <c r="T1061" s="40" t="s">
        <v>11604</v>
      </c>
      <c r="U1061" s="22" t="s">
        <v>11605</v>
      </c>
      <c r="V1061" s="25"/>
      <c r="W1061" s="22" t="s">
        <v>11606</v>
      </c>
      <c r="X1061" s="22" t="s">
        <v>11607</v>
      </c>
      <c r="Y1061" s="25"/>
      <c r="Z1061" s="25"/>
      <c r="AA1061" s="22" t="s">
        <v>8129</v>
      </c>
      <c r="AB1061" s="22" t="s">
        <v>8130</v>
      </c>
      <c r="AC1061" s="25"/>
      <c r="AD1061" s="25"/>
      <c r="AE1061" s="22" t="s">
        <v>8132</v>
      </c>
      <c r="AF1061" s="25"/>
      <c r="AG1061" s="22">
        <v>1.0471898743107E13</v>
      </c>
      <c r="AH1061" s="22" t="s">
        <v>8137</v>
      </c>
      <c r="AI1061" s="22">
        <v>2.3439726838083E13</v>
      </c>
      <c r="AJ1061" s="25"/>
      <c r="AK1061" s="25"/>
      <c r="AL1061" s="22" t="s">
        <v>8149</v>
      </c>
      <c r="AR1061" s="32" t="b">
        <v>0</v>
      </c>
      <c r="AS1061" s="32" t="b">
        <v>0</v>
      </c>
    </row>
    <row r="1062">
      <c r="A1062" s="21" t="s">
        <v>11608</v>
      </c>
      <c r="B1062" s="22" t="s">
        <v>8467</v>
      </c>
      <c r="C1062" s="22">
        <v>1.0</v>
      </c>
      <c r="D1062" s="22" t="s">
        <v>8501</v>
      </c>
      <c r="E1062" s="22" t="s">
        <v>8467</v>
      </c>
      <c r="F1062" s="22" t="s">
        <v>8155</v>
      </c>
      <c r="G1062" s="25"/>
      <c r="H1062" s="22">
        <v>3.2780265750851E13</v>
      </c>
      <c r="I1062" s="25"/>
      <c r="J1062" s="25"/>
      <c r="K1062" s="22">
        <v>4.9521175462211E13</v>
      </c>
      <c r="L1062" s="25"/>
      <c r="M1062" s="25"/>
      <c r="N1062" s="22" t="s">
        <v>11609</v>
      </c>
      <c r="O1062" s="22" t="s">
        <v>11610</v>
      </c>
      <c r="P1062" s="22" t="s">
        <v>11609</v>
      </c>
      <c r="Q1062" s="22" t="s">
        <v>11610</v>
      </c>
      <c r="R1062" s="22" t="s">
        <v>11611</v>
      </c>
      <c r="S1062" s="25"/>
      <c r="T1062" s="40" t="s">
        <v>11612</v>
      </c>
      <c r="U1062" s="22" t="s">
        <v>11613</v>
      </c>
      <c r="V1062" s="22">
        <v>3.0</v>
      </c>
      <c r="W1062" s="22" t="s">
        <v>11614</v>
      </c>
      <c r="X1062" s="22" t="s">
        <v>8289</v>
      </c>
      <c r="Y1062" s="25"/>
      <c r="Z1062" s="25"/>
      <c r="AA1062" s="22" t="s">
        <v>8129</v>
      </c>
      <c r="AB1062" s="22" t="s">
        <v>8130</v>
      </c>
      <c r="AC1062" s="25"/>
      <c r="AD1062" s="22" t="s">
        <v>8161</v>
      </c>
      <c r="AE1062" s="22" t="s">
        <v>8132</v>
      </c>
      <c r="AF1062" s="25"/>
      <c r="AG1062" s="22">
        <v>1.0471910900035E13</v>
      </c>
      <c r="AH1062" s="22" t="s">
        <v>90</v>
      </c>
      <c r="AI1062" s="22">
        <v>2.3439743222083E13</v>
      </c>
      <c r="AJ1062" s="25"/>
      <c r="AK1062" s="25"/>
      <c r="AL1062" s="22" t="s">
        <v>8173</v>
      </c>
      <c r="AQ1062" s="32" t="s">
        <v>55</v>
      </c>
      <c r="AR1062" s="32" t="b">
        <v>0</v>
      </c>
      <c r="AS1062" s="32" t="b">
        <v>1</v>
      </c>
    </row>
    <row r="1063">
      <c r="A1063" s="21" t="s">
        <v>11608</v>
      </c>
      <c r="B1063" s="25"/>
      <c r="C1063" s="25"/>
      <c r="D1063" s="22" t="s">
        <v>8501</v>
      </c>
      <c r="E1063" s="25"/>
      <c r="F1063" s="22" t="s">
        <v>8149</v>
      </c>
      <c r="G1063" s="25"/>
      <c r="H1063" s="22">
        <v>9.525866332483E12</v>
      </c>
      <c r="I1063" s="25"/>
      <c r="J1063" s="25"/>
      <c r="K1063" s="25"/>
      <c r="L1063" s="25"/>
      <c r="M1063" s="25"/>
      <c r="N1063" s="22" t="s">
        <v>11609</v>
      </c>
      <c r="O1063" s="22" t="s">
        <v>11610</v>
      </c>
      <c r="P1063" s="22" t="s">
        <v>11609</v>
      </c>
      <c r="Q1063" s="22" t="s">
        <v>11610</v>
      </c>
      <c r="R1063" s="22" t="s">
        <v>11611</v>
      </c>
      <c r="S1063" s="25"/>
      <c r="T1063" s="40" t="s">
        <v>11612</v>
      </c>
      <c r="U1063" s="22" t="s">
        <v>11613</v>
      </c>
      <c r="V1063" s="22">
        <v>3.0</v>
      </c>
      <c r="W1063" s="22" t="s">
        <v>11614</v>
      </c>
      <c r="X1063" s="22" t="s">
        <v>8289</v>
      </c>
      <c r="Y1063" s="25"/>
      <c r="Z1063" s="25"/>
      <c r="AA1063" s="22" t="s">
        <v>8129</v>
      </c>
      <c r="AB1063" s="22" t="s">
        <v>8130</v>
      </c>
      <c r="AC1063" s="25"/>
      <c r="AD1063" s="25"/>
      <c r="AE1063" s="22" t="s">
        <v>8132</v>
      </c>
      <c r="AF1063" s="25"/>
      <c r="AG1063" s="22">
        <v>1.0471910900035E13</v>
      </c>
      <c r="AH1063" s="22" t="s">
        <v>8137</v>
      </c>
      <c r="AI1063" s="22">
        <v>2.3439743222083E13</v>
      </c>
      <c r="AJ1063" s="25"/>
      <c r="AK1063" s="25"/>
      <c r="AL1063" s="22" t="s">
        <v>8149</v>
      </c>
      <c r="AR1063" s="32" t="b">
        <v>0</v>
      </c>
      <c r="AS1063" s="32" t="b">
        <v>0</v>
      </c>
    </row>
    <row r="1064">
      <c r="A1064" s="21" t="s">
        <v>11615</v>
      </c>
      <c r="B1064" s="22" t="s">
        <v>8153</v>
      </c>
      <c r="C1064" s="22">
        <v>1.0</v>
      </c>
      <c r="D1064" s="22" t="s">
        <v>8212</v>
      </c>
      <c r="E1064" s="22" t="s">
        <v>8153</v>
      </c>
      <c r="F1064" s="22" t="s">
        <v>8155</v>
      </c>
      <c r="G1064" s="25"/>
      <c r="H1064" s="22">
        <v>3.2780351996227E13</v>
      </c>
      <c r="I1064" s="25"/>
      <c r="J1064" s="25"/>
      <c r="K1064" s="22">
        <v>4.7338059759939E13</v>
      </c>
      <c r="L1064" s="25"/>
      <c r="M1064" s="25"/>
      <c r="N1064" s="22" t="s">
        <v>7146</v>
      </c>
      <c r="O1064" s="22" t="s">
        <v>11616</v>
      </c>
      <c r="P1064" s="22" t="s">
        <v>7146</v>
      </c>
      <c r="Q1064" s="22" t="s">
        <v>11616</v>
      </c>
      <c r="R1064" s="22" t="s">
        <v>11617</v>
      </c>
      <c r="S1064" s="25"/>
      <c r="T1064" s="40" t="s">
        <v>11618</v>
      </c>
      <c r="U1064" s="22" t="s">
        <v>11619</v>
      </c>
      <c r="V1064" s="25"/>
      <c r="W1064" s="22" t="s">
        <v>11620</v>
      </c>
      <c r="X1064" s="22" t="s">
        <v>8289</v>
      </c>
      <c r="Y1064" s="25"/>
      <c r="Z1064" s="25"/>
      <c r="AA1064" s="22" t="s">
        <v>8129</v>
      </c>
      <c r="AB1064" s="22" t="s">
        <v>8130</v>
      </c>
      <c r="AC1064" s="25"/>
      <c r="AD1064" s="22" t="s">
        <v>8161</v>
      </c>
      <c r="AE1064" s="22" t="s">
        <v>8132</v>
      </c>
      <c r="AF1064" s="25"/>
      <c r="AG1064" s="22">
        <v>1.0471948190019E13</v>
      </c>
      <c r="AH1064" s="22" t="s">
        <v>90</v>
      </c>
      <c r="AI1064" s="22">
        <v>2.3439791849795E13</v>
      </c>
      <c r="AJ1064" s="25"/>
      <c r="AK1064" s="25"/>
      <c r="AL1064" s="22" t="s">
        <v>8162</v>
      </c>
      <c r="AQ1064" s="32" t="s">
        <v>55</v>
      </c>
      <c r="AR1064" s="32" t="b">
        <v>0</v>
      </c>
      <c r="AS1064" s="32" t="b">
        <v>0</v>
      </c>
    </row>
    <row r="1065">
      <c r="A1065" s="21" t="s">
        <v>11615</v>
      </c>
      <c r="B1065" s="25"/>
      <c r="C1065" s="25"/>
      <c r="D1065" s="22" t="s">
        <v>8212</v>
      </c>
      <c r="E1065" s="25"/>
      <c r="F1065" s="22" t="s">
        <v>8149</v>
      </c>
      <c r="G1065" s="25"/>
      <c r="H1065" s="22">
        <v>9.525901689155E12</v>
      </c>
      <c r="I1065" s="25"/>
      <c r="J1065" s="25"/>
      <c r="K1065" s="25"/>
      <c r="L1065" s="25"/>
      <c r="M1065" s="25"/>
      <c r="N1065" s="22" t="s">
        <v>7146</v>
      </c>
      <c r="O1065" s="22" t="s">
        <v>11616</v>
      </c>
      <c r="P1065" s="22" t="s">
        <v>7146</v>
      </c>
      <c r="Q1065" s="22" t="s">
        <v>11616</v>
      </c>
      <c r="R1065" s="22" t="s">
        <v>11617</v>
      </c>
      <c r="S1065" s="25"/>
      <c r="T1065" s="40" t="s">
        <v>11618</v>
      </c>
      <c r="U1065" s="22" t="s">
        <v>11619</v>
      </c>
      <c r="V1065" s="25"/>
      <c r="W1065" s="22" t="s">
        <v>11620</v>
      </c>
      <c r="X1065" s="22" t="s">
        <v>8289</v>
      </c>
      <c r="Y1065" s="25"/>
      <c r="Z1065" s="25"/>
      <c r="AA1065" s="22" t="s">
        <v>8129</v>
      </c>
      <c r="AB1065" s="22" t="s">
        <v>8130</v>
      </c>
      <c r="AC1065" s="25"/>
      <c r="AD1065" s="25"/>
      <c r="AE1065" s="22" t="s">
        <v>8132</v>
      </c>
      <c r="AF1065" s="25"/>
      <c r="AG1065" s="22">
        <v>1.0471948190019E13</v>
      </c>
      <c r="AH1065" s="22" t="s">
        <v>8137</v>
      </c>
      <c r="AI1065" s="22">
        <v>2.3439791849795E13</v>
      </c>
      <c r="AJ1065" s="25"/>
      <c r="AK1065" s="25"/>
      <c r="AL1065" s="22" t="s">
        <v>8149</v>
      </c>
      <c r="AR1065" s="32" t="b">
        <v>0</v>
      </c>
      <c r="AS1065" s="32" t="b">
        <v>0</v>
      </c>
    </row>
    <row r="1066">
      <c r="A1066" s="21" t="s">
        <v>11621</v>
      </c>
      <c r="B1066" s="22" t="s">
        <v>8707</v>
      </c>
      <c r="C1066" s="22">
        <v>1.0</v>
      </c>
      <c r="D1066" s="22" t="s">
        <v>8212</v>
      </c>
      <c r="E1066" s="22" t="s">
        <v>8707</v>
      </c>
      <c r="F1066" s="22" t="s">
        <v>8155</v>
      </c>
      <c r="G1066" s="25"/>
      <c r="H1066" s="22">
        <v>3.2780384502083E13</v>
      </c>
      <c r="I1066" s="25"/>
      <c r="J1066" s="25"/>
      <c r="K1066" s="22">
        <v>4.9521175429443E13</v>
      </c>
      <c r="L1066" s="25"/>
      <c r="M1066" s="25"/>
      <c r="N1066" s="22" t="s">
        <v>3820</v>
      </c>
      <c r="O1066" s="22" t="s">
        <v>11622</v>
      </c>
      <c r="P1066" s="22" t="s">
        <v>3820</v>
      </c>
      <c r="Q1066" s="22" t="s">
        <v>11622</v>
      </c>
      <c r="R1066" s="22" t="s">
        <v>11623</v>
      </c>
      <c r="S1066" s="25"/>
      <c r="T1066" s="40" t="s">
        <v>11624</v>
      </c>
      <c r="U1066" s="22" t="s">
        <v>11625</v>
      </c>
      <c r="V1066" s="25"/>
      <c r="W1066" s="22" t="s">
        <v>11626</v>
      </c>
      <c r="X1066" s="22" t="s">
        <v>8128</v>
      </c>
      <c r="Y1066" s="25"/>
      <c r="Z1066" s="25"/>
      <c r="AA1066" s="22" t="s">
        <v>8129</v>
      </c>
      <c r="AB1066" s="22" t="s">
        <v>8130</v>
      </c>
      <c r="AC1066" s="25"/>
      <c r="AD1066" s="22" t="s">
        <v>8161</v>
      </c>
      <c r="AE1066" s="22" t="s">
        <v>8132</v>
      </c>
      <c r="AF1066" s="25"/>
      <c r="AG1066" s="22">
        <v>1.0471963230531E13</v>
      </c>
      <c r="AH1066" s="22" t="s">
        <v>90</v>
      </c>
      <c r="AI1066" s="22">
        <v>2.3439811150147E13</v>
      </c>
      <c r="AJ1066" s="25"/>
      <c r="AK1066" s="25"/>
      <c r="AL1066" s="22" t="s">
        <v>8336</v>
      </c>
      <c r="AQ1066" s="32" t="s">
        <v>54</v>
      </c>
      <c r="AR1066" s="32" t="b">
        <v>0</v>
      </c>
      <c r="AS1066" s="32" t="b">
        <v>1</v>
      </c>
    </row>
    <row r="1067">
      <c r="A1067" s="21" t="s">
        <v>11621</v>
      </c>
      <c r="B1067" s="25"/>
      <c r="C1067" s="25"/>
      <c r="D1067" s="22" t="s">
        <v>8212</v>
      </c>
      <c r="E1067" s="25"/>
      <c r="F1067" s="22" t="s">
        <v>8149</v>
      </c>
      <c r="G1067" s="25"/>
      <c r="H1067" s="22">
        <v>9.525915877699E12</v>
      </c>
      <c r="I1067" s="25"/>
      <c r="J1067" s="25"/>
      <c r="K1067" s="25"/>
      <c r="L1067" s="25"/>
      <c r="M1067" s="25"/>
      <c r="N1067" s="22" t="s">
        <v>3820</v>
      </c>
      <c r="O1067" s="22" t="s">
        <v>11622</v>
      </c>
      <c r="P1067" s="22" t="s">
        <v>3820</v>
      </c>
      <c r="Q1067" s="22" t="s">
        <v>11622</v>
      </c>
      <c r="R1067" s="22" t="s">
        <v>11623</v>
      </c>
      <c r="S1067" s="25"/>
      <c r="T1067" s="40" t="s">
        <v>11624</v>
      </c>
      <c r="U1067" s="22" t="s">
        <v>11625</v>
      </c>
      <c r="V1067" s="25"/>
      <c r="W1067" s="22" t="s">
        <v>11626</v>
      </c>
      <c r="X1067" s="22" t="s">
        <v>8128</v>
      </c>
      <c r="Y1067" s="25"/>
      <c r="Z1067" s="25"/>
      <c r="AA1067" s="22" t="s">
        <v>8129</v>
      </c>
      <c r="AB1067" s="22" t="s">
        <v>8130</v>
      </c>
      <c r="AC1067" s="25"/>
      <c r="AD1067" s="25"/>
      <c r="AE1067" s="22" t="s">
        <v>8132</v>
      </c>
      <c r="AF1067" s="25"/>
      <c r="AG1067" s="22">
        <v>1.0471963230531E13</v>
      </c>
      <c r="AH1067" s="22" t="s">
        <v>8137</v>
      </c>
      <c r="AI1067" s="22">
        <v>2.3439811150147E13</v>
      </c>
      <c r="AJ1067" s="25"/>
      <c r="AK1067" s="25"/>
      <c r="AL1067" s="22" t="s">
        <v>8149</v>
      </c>
      <c r="AR1067" s="32" t="b">
        <v>0</v>
      </c>
      <c r="AS1067" s="32" t="b">
        <v>0</v>
      </c>
    </row>
    <row r="1068">
      <c r="A1068" s="21" t="s">
        <v>11627</v>
      </c>
      <c r="B1068" s="22" t="s">
        <v>8140</v>
      </c>
      <c r="C1068" s="22">
        <v>1.0</v>
      </c>
      <c r="D1068" s="22" t="s">
        <v>8305</v>
      </c>
      <c r="E1068" s="22" t="s">
        <v>8140</v>
      </c>
      <c r="F1068" s="22" t="s">
        <v>8121</v>
      </c>
      <c r="G1068" s="25"/>
      <c r="H1068" s="22">
        <v>3.2780658049347E13</v>
      </c>
      <c r="I1068" s="25"/>
      <c r="J1068" s="25"/>
      <c r="K1068" s="22">
        <v>4.2085703581939E13</v>
      </c>
      <c r="L1068" s="25"/>
      <c r="M1068" s="25"/>
      <c r="N1068" s="22" t="s">
        <v>6698</v>
      </c>
      <c r="O1068" s="22" t="s">
        <v>11628</v>
      </c>
      <c r="P1068" s="22" t="s">
        <v>6698</v>
      </c>
      <c r="Q1068" s="22" t="s">
        <v>11628</v>
      </c>
      <c r="R1068" s="22" t="s">
        <v>11629</v>
      </c>
      <c r="S1068" s="25"/>
      <c r="T1068" s="40" t="s">
        <v>11630</v>
      </c>
      <c r="U1068" s="22" t="s">
        <v>11631</v>
      </c>
      <c r="V1068" s="25"/>
      <c r="W1068" s="22" t="s">
        <v>11632</v>
      </c>
      <c r="X1068" s="22" t="s">
        <v>8289</v>
      </c>
      <c r="Y1068" s="25"/>
      <c r="Z1068" s="25"/>
      <c r="AA1068" s="22" t="s">
        <v>8129</v>
      </c>
      <c r="AB1068" s="22" t="s">
        <v>8130</v>
      </c>
      <c r="AC1068" s="25"/>
      <c r="AD1068" s="22" t="s">
        <v>8131</v>
      </c>
      <c r="AE1068" s="22" t="s">
        <v>8132</v>
      </c>
      <c r="AF1068" s="25"/>
      <c r="AG1068" s="22">
        <v>1.0472105181507E13</v>
      </c>
      <c r="AH1068" s="22" t="s">
        <v>90</v>
      </c>
      <c r="AI1068" s="22">
        <v>8.551450378563E12</v>
      </c>
      <c r="AJ1068" s="25"/>
      <c r="AK1068" s="25"/>
      <c r="AL1068" s="22" t="s">
        <v>8134</v>
      </c>
      <c r="AQ1068" s="32" t="s">
        <v>8150</v>
      </c>
      <c r="AR1068" s="32" t="b">
        <v>0</v>
      </c>
      <c r="AS1068" s="32" t="b">
        <v>0</v>
      </c>
    </row>
    <row r="1069">
      <c r="A1069" s="21" t="s">
        <v>11627</v>
      </c>
      <c r="B1069" s="25"/>
      <c r="C1069" s="25"/>
      <c r="D1069" s="22" t="s">
        <v>8305</v>
      </c>
      <c r="E1069" s="25"/>
      <c r="F1069" s="22" t="s">
        <v>8136</v>
      </c>
      <c r="G1069" s="25"/>
      <c r="H1069" s="22">
        <v>9.526024274243E12</v>
      </c>
      <c r="I1069" s="25"/>
      <c r="J1069" s="25"/>
      <c r="K1069" s="25"/>
      <c r="L1069" s="25"/>
      <c r="M1069" s="25"/>
      <c r="N1069" s="22" t="s">
        <v>6698</v>
      </c>
      <c r="O1069" s="22" t="s">
        <v>11628</v>
      </c>
      <c r="P1069" s="22" t="s">
        <v>6698</v>
      </c>
      <c r="Q1069" s="22" t="s">
        <v>11628</v>
      </c>
      <c r="R1069" s="22" t="s">
        <v>11629</v>
      </c>
      <c r="S1069" s="25"/>
      <c r="T1069" s="40" t="s">
        <v>11630</v>
      </c>
      <c r="U1069" s="22" t="s">
        <v>11631</v>
      </c>
      <c r="V1069" s="25"/>
      <c r="W1069" s="22" t="s">
        <v>11632</v>
      </c>
      <c r="X1069" s="22" t="s">
        <v>8289</v>
      </c>
      <c r="Y1069" s="25"/>
      <c r="Z1069" s="25"/>
      <c r="AA1069" s="22" t="s">
        <v>8129</v>
      </c>
      <c r="AB1069" s="22" t="s">
        <v>8130</v>
      </c>
      <c r="AC1069" s="25"/>
      <c r="AD1069" s="25"/>
      <c r="AE1069" s="22" t="s">
        <v>8132</v>
      </c>
      <c r="AF1069" s="25"/>
      <c r="AG1069" s="22">
        <v>1.0472105181507E13</v>
      </c>
      <c r="AH1069" s="22" t="s">
        <v>8137</v>
      </c>
      <c r="AI1069" s="22">
        <v>8.551450378563E12</v>
      </c>
      <c r="AJ1069" s="25"/>
      <c r="AK1069" s="25"/>
      <c r="AL1069" s="22" t="s">
        <v>8136</v>
      </c>
      <c r="AR1069" s="32" t="b">
        <v>0</v>
      </c>
      <c r="AS1069" s="32" t="b">
        <v>0</v>
      </c>
    </row>
    <row r="1070">
      <c r="A1070" s="21" t="s">
        <v>11633</v>
      </c>
      <c r="B1070" s="22" t="s">
        <v>8140</v>
      </c>
      <c r="C1070" s="22">
        <v>1.0</v>
      </c>
      <c r="D1070" s="22" t="s">
        <v>8141</v>
      </c>
      <c r="E1070" s="22" t="s">
        <v>8140</v>
      </c>
      <c r="F1070" s="22" t="s">
        <v>8121</v>
      </c>
      <c r="G1070" s="25"/>
      <c r="H1070" s="22">
        <v>3.2780846530883E13</v>
      </c>
      <c r="I1070" s="25"/>
      <c r="J1070" s="25"/>
      <c r="K1070" s="22">
        <v>4.2085703581939E13</v>
      </c>
      <c r="L1070" s="25"/>
      <c r="M1070" s="25"/>
      <c r="N1070" s="22" t="s">
        <v>11190</v>
      </c>
      <c r="O1070" s="22" t="s">
        <v>6625</v>
      </c>
      <c r="P1070" s="22" t="s">
        <v>11190</v>
      </c>
      <c r="Q1070" s="22" t="s">
        <v>6625</v>
      </c>
      <c r="R1070" s="22" t="s">
        <v>11634</v>
      </c>
      <c r="S1070" s="25"/>
      <c r="T1070" s="40" t="s">
        <v>11635</v>
      </c>
      <c r="U1070" s="22" t="s">
        <v>11636</v>
      </c>
      <c r="V1070" s="25"/>
      <c r="W1070" s="22" t="s">
        <v>11637</v>
      </c>
      <c r="X1070" s="22" t="s">
        <v>8671</v>
      </c>
      <c r="Y1070" s="25"/>
      <c r="Z1070" s="25"/>
      <c r="AA1070" s="22" t="s">
        <v>8129</v>
      </c>
      <c r="AB1070" s="22" t="s">
        <v>8130</v>
      </c>
      <c r="AC1070" s="25"/>
      <c r="AD1070" s="22" t="s">
        <v>8131</v>
      </c>
      <c r="AE1070" s="22" t="s">
        <v>8132</v>
      </c>
      <c r="AF1070" s="25"/>
      <c r="AG1070" s="22">
        <v>1.0472196735299E13</v>
      </c>
      <c r="AH1070" s="22" t="s">
        <v>90</v>
      </c>
      <c r="AI1070" s="22">
        <v>2.3440079847747E13</v>
      </c>
      <c r="AJ1070" s="25"/>
      <c r="AK1070" s="25"/>
      <c r="AL1070" s="22" t="s">
        <v>8134</v>
      </c>
      <c r="AQ1070" s="32" t="s">
        <v>8150</v>
      </c>
      <c r="AR1070" s="32" t="b">
        <v>0</v>
      </c>
      <c r="AS1070" s="32" t="b">
        <v>0</v>
      </c>
    </row>
    <row r="1071">
      <c r="A1071" s="21" t="s">
        <v>11633</v>
      </c>
      <c r="B1071" s="25"/>
      <c r="C1071" s="25"/>
      <c r="D1071" s="22" t="s">
        <v>8141</v>
      </c>
      <c r="E1071" s="25"/>
      <c r="F1071" s="22" t="s">
        <v>8136</v>
      </c>
      <c r="G1071" s="25"/>
      <c r="H1071" s="22">
        <v>9.526111600963E12</v>
      </c>
      <c r="I1071" s="25"/>
      <c r="J1071" s="25"/>
      <c r="K1071" s="25"/>
      <c r="L1071" s="25"/>
      <c r="M1071" s="25"/>
      <c r="N1071" s="22" t="s">
        <v>11190</v>
      </c>
      <c r="O1071" s="22" t="s">
        <v>6625</v>
      </c>
      <c r="P1071" s="22" t="s">
        <v>11190</v>
      </c>
      <c r="Q1071" s="22" t="s">
        <v>6625</v>
      </c>
      <c r="R1071" s="22" t="s">
        <v>11634</v>
      </c>
      <c r="S1071" s="25"/>
      <c r="T1071" s="40" t="s">
        <v>11635</v>
      </c>
      <c r="U1071" s="22" t="s">
        <v>11636</v>
      </c>
      <c r="V1071" s="25"/>
      <c r="W1071" s="22" t="s">
        <v>11637</v>
      </c>
      <c r="X1071" s="22" t="s">
        <v>8671</v>
      </c>
      <c r="Y1071" s="25"/>
      <c r="Z1071" s="25"/>
      <c r="AA1071" s="22" t="s">
        <v>8129</v>
      </c>
      <c r="AB1071" s="22" t="s">
        <v>8130</v>
      </c>
      <c r="AC1071" s="25"/>
      <c r="AD1071" s="25"/>
      <c r="AE1071" s="22" t="s">
        <v>8132</v>
      </c>
      <c r="AF1071" s="25"/>
      <c r="AG1071" s="22">
        <v>1.0472196735299E13</v>
      </c>
      <c r="AH1071" s="22" t="s">
        <v>8137</v>
      </c>
      <c r="AI1071" s="22">
        <v>2.3440079847747E13</v>
      </c>
      <c r="AJ1071" s="25"/>
      <c r="AK1071" s="25"/>
      <c r="AL1071" s="22" t="s">
        <v>8136</v>
      </c>
      <c r="AR1071" s="32" t="b">
        <v>0</v>
      </c>
      <c r="AS1071" s="32" t="b">
        <v>0</v>
      </c>
    </row>
    <row r="1072">
      <c r="A1072" s="21" t="s">
        <v>11638</v>
      </c>
      <c r="B1072" s="22" t="s">
        <v>8153</v>
      </c>
      <c r="C1072" s="22">
        <v>1.0</v>
      </c>
      <c r="D1072" s="22" t="s">
        <v>8212</v>
      </c>
      <c r="E1072" s="22" t="s">
        <v>8153</v>
      </c>
      <c r="F1072" s="22" t="s">
        <v>8155</v>
      </c>
      <c r="G1072" s="25"/>
      <c r="H1072" s="22">
        <v>3.2780863865155E13</v>
      </c>
      <c r="I1072" s="25"/>
      <c r="J1072" s="25"/>
      <c r="K1072" s="22">
        <v>4.7338059759939E13</v>
      </c>
      <c r="L1072" s="25"/>
      <c r="M1072" s="25"/>
      <c r="N1072" s="22" t="s">
        <v>11639</v>
      </c>
      <c r="O1072" s="22" t="s">
        <v>11640</v>
      </c>
      <c r="P1072" s="22" t="s">
        <v>11639</v>
      </c>
      <c r="Q1072" s="22" t="s">
        <v>11640</v>
      </c>
      <c r="R1072" s="22" t="s">
        <v>11641</v>
      </c>
      <c r="S1072" s="25"/>
      <c r="T1072" s="40" t="s">
        <v>11642</v>
      </c>
      <c r="U1072" s="22" t="s">
        <v>11643</v>
      </c>
      <c r="V1072" s="25"/>
      <c r="W1072" s="22" t="s">
        <v>11644</v>
      </c>
      <c r="X1072" s="22" t="s">
        <v>8685</v>
      </c>
      <c r="Y1072" s="25"/>
      <c r="Z1072" s="25"/>
      <c r="AA1072" s="22" t="s">
        <v>8129</v>
      </c>
      <c r="AB1072" s="22" t="s">
        <v>8130</v>
      </c>
      <c r="AC1072" s="25"/>
      <c r="AD1072" s="22" t="s">
        <v>8161</v>
      </c>
      <c r="AE1072" s="22" t="s">
        <v>8132</v>
      </c>
      <c r="AF1072" s="25"/>
      <c r="AG1072" s="22">
        <v>1.0472205156675E13</v>
      </c>
      <c r="AH1072" s="22" t="s">
        <v>90</v>
      </c>
      <c r="AI1072" s="22">
        <v>2.3440089416003E13</v>
      </c>
      <c r="AJ1072" s="25"/>
      <c r="AK1072" s="25"/>
      <c r="AL1072" s="22" t="s">
        <v>8162</v>
      </c>
      <c r="AQ1072" s="32" t="s">
        <v>55</v>
      </c>
      <c r="AR1072" s="32" t="b">
        <v>0</v>
      </c>
      <c r="AS1072" s="32" t="b">
        <v>0</v>
      </c>
    </row>
    <row r="1073">
      <c r="A1073" s="21" t="s">
        <v>11638</v>
      </c>
      <c r="B1073" s="25"/>
      <c r="C1073" s="25"/>
      <c r="D1073" s="22" t="s">
        <v>8212</v>
      </c>
      <c r="E1073" s="25"/>
      <c r="F1073" s="22" t="s">
        <v>8149</v>
      </c>
      <c r="G1073" s="25"/>
      <c r="H1073" s="22">
        <v>9.526119432515E12</v>
      </c>
      <c r="I1073" s="25"/>
      <c r="J1073" s="25"/>
      <c r="K1073" s="25"/>
      <c r="L1073" s="25"/>
      <c r="M1073" s="25"/>
      <c r="N1073" s="22" t="s">
        <v>11639</v>
      </c>
      <c r="O1073" s="22" t="s">
        <v>11640</v>
      </c>
      <c r="P1073" s="22" t="s">
        <v>11639</v>
      </c>
      <c r="Q1073" s="22" t="s">
        <v>11640</v>
      </c>
      <c r="R1073" s="22" t="s">
        <v>11641</v>
      </c>
      <c r="S1073" s="25"/>
      <c r="T1073" s="40" t="s">
        <v>11642</v>
      </c>
      <c r="U1073" s="22" t="s">
        <v>11643</v>
      </c>
      <c r="V1073" s="25"/>
      <c r="W1073" s="22" t="s">
        <v>11644</v>
      </c>
      <c r="X1073" s="22" t="s">
        <v>8685</v>
      </c>
      <c r="Y1073" s="25"/>
      <c r="Z1073" s="25"/>
      <c r="AA1073" s="22" t="s">
        <v>8129</v>
      </c>
      <c r="AB1073" s="22" t="s">
        <v>8130</v>
      </c>
      <c r="AC1073" s="25"/>
      <c r="AD1073" s="25"/>
      <c r="AE1073" s="22" t="s">
        <v>8132</v>
      </c>
      <c r="AF1073" s="25"/>
      <c r="AG1073" s="22">
        <v>1.0472205156675E13</v>
      </c>
      <c r="AH1073" s="22" t="s">
        <v>8137</v>
      </c>
      <c r="AI1073" s="22">
        <v>2.3440089416003E13</v>
      </c>
      <c r="AJ1073" s="25"/>
      <c r="AK1073" s="25"/>
      <c r="AL1073" s="22" t="s">
        <v>8149</v>
      </c>
      <c r="AR1073" s="32" t="b">
        <v>0</v>
      </c>
      <c r="AS1073" s="32" t="b">
        <v>0</v>
      </c>
    </row>
    <row r="1074">
      <c r="A1074" s="21" t="s">
        <v>11645</v>
      </c>
      <c r="B1074" s="22" t="s">
        <v>8140</v>
      </c>
      <c r="C1074" s="22">
        <v>1.0</v>
      </c>
      <c r="D1074" s="22" t="s">
        <v>8221</v>
      </c>
      <c r="E1074" s="22" t="s">
        <v>8140</v>
      </c>
      <c r="F1074" s="22" t="s">
        <v>8121</v>
      </c>
      <c r="G1074" s="25"/>
      <c r="H1074" s="22">
        <v>3.2780867961155E13</v>
      </c>
      <c r="I1074" s="25"/>
      <c r="J1074" s="25"/>
      <c r="K1074" s="22">
        <v>4.2085703581939E13</v>
      </c>
      <c r="L1074" s="25"/>
      <c r="M1074" s="25"/>
      <c r="N1074" s="22" t="s">
        <v>11646</v>
      </c>
      <c r="O1074" s="22" t="s">
        <v>11647</v>
      </c>
      <c r="P1074" s="22" t="s">
        <v>11646</v>
      </c>
      <c r="Q1074" s="22" t="s">
        <v>11647</v>
      </c>
      <c r="R1074" s="22" t="s">
        <v>11648</v>
      </c>
      <c r="S1074" s="25"/>
      <c r="T1074" s="40" t="s">
        <v>11649</v>
      </c>
      <c r="U1074" s="22" t="s">
        <v>11650</v>
      </c>
      <c r="V1074" s="25"/>
      <c r="W1074" s="22" t="s">
        <v>11651</v>
      </c>
      <c r="X1074" s="22" t="s">
        <v>8289</v>
      </c>
      <c r="Y1074" s="25"/>
      <c r="Z1074" s="25"/>
      <c r="AA1074" s="22" t="s">
        <v>8129</v>
      </c>
      <c r="AB1074" s="22" t="s">
        <v>8130</v>
      </c>
      <c r="AC1074" s="25"/>
      <c r="AD1074" s="22" t="s">
        <v>8131</v>
      </c>
      <c r="AE1074" s="22" t="s">
        <v>8132</v>
      </c>
      <c r="AF1074" s="25"/>
      <c r="AG1074" s="22">
        <v>1.0472207352131E13</v>
      </c>
      <c r="AH1074" s="22" t="s">
        <v>90</v>
      </c>
      <c r="AI1074" s="22">
        <v>2.3440092332355E13</v>
      </c>
      <c r="AJ1074" s="25"/>
      <c r="AK1074" s="25"/>
      <c r="AL1074" s="22" t="s">
        <v>8134</v>
      </c>
      <c r="AQ1074" s="32" t="s">
        <v>8150</v>
      </c>
      <c r="AR1074" s="32" t="b">
        <v>0</v>
      </c>
      <c r="AS1074" s="32" t="b">
        <v>0</v>
      </c>
    </row>
    <row r="1075">
      <c r="A1075" s="21" t="s">
        <v>11645</v>
      </c>
      <c r="B1075" s="25"/>
      <c r="C1075" s="25"/>
      <c r="D1075" s="22" t="s">
        <v>8221</v>
      </c>
      <c r="E1075" s="25"/>
      <c r="F1075" s="22" t="s">
        <v>8136</v>
      </c>
      <c r="G1075" s="25"/>
      <c r="H1075" s="22">
        <v>9.526121627971E12</v>
      </c>
      <c r="I1075" s="25"/>
      <c r="J1075" s="25"/>
      <c r="K1075" s="25"/>
      <c r="L1075" s="25"/>
      <c r="M1075" s="25"/>
      <c r="N1075" s="22" t="s">
        <v>11646</v>
      </c>
      <c r="O1075" s="22" t="s">
        <v>11647</v>
      </c>
      <c r="P1075" s="22" t="s">
        <v>11646</v>
      </c>
      <c r="Q1075" s="22" t="s">
        <v>11647</v>
      </c>
      <c r="R1075" s="22" t="s">
        <v>11648</v>
      </c>
      <c r="S1075" s="25"/>
      <c r="T1075" s="40" t="s">
        <v>11649</v>
      </c>
      <c r="U1075" s="22" t="s">
        <v>11650</v>
      </c>
      <c r="V1075" s="25"/>
      <c r="W1075" s="22" t="s">
        <v>11651</v>
      </c>
      <c r="X1075" s="22" t="s">
        <v>8289</v>
      </c>
      <c r="Y1075" s="25"/>
      <c r="Z1075" s="25"/>
      <c r="AA1075" s="22" t="s">
        <v>8129</v>
      </c>
      <c r="AB1075" s="22" t="s">
        <v>8130</v>
      </c>
      <c r="AC1075" s="25"/>
      <c r="AD1075" s="25"/>
      <c r="AE1075" s="22" t="s">
        <v>8132</v>
      </c>
      <c r="AF1075" s="25"/>
      <c r="AG1075" s="22">
        <v>1.0472207352131E13</v>
      </c>
      <c r="AH1075" s="22" t="s">
        <v>8137</v>
      </c>
      <c r="AI1075" s="22">
        <v>2.3440092332355E13</v>
      </c>
      <c r="AJ1075" s="25"/>
      <c r="AK1075" s="25"/>
      <c r="AL1075" s="22" t="s">
        <v>8136</v>
      </c>
      <c r="AR1075" s="32" t="b">
        <v>0</v>
      </c>
      <c r="AS1075" s="32" t="b">
        <v>0</v>
      </c>
    </row>
    <row r="1076">
      <c r="A1076" s="21" t="s">
        <v>11652</v>
      </c>
      <c r="B1076" s="22" t="s">
        <v>8119</v>
      </c>
      <c r="C1076" s="22">
        <v>1.0</v>
      </c>
      <c r="D1076" s="22" t="s">
        <v>8501</v>
      </c>
      <c r="E1076" s="22" t="s">
        <v>8119</v>
      </c>
      <c r="F1076" s="22" t="s">
        <v>8121</v>
      </c>
      <c r="G1076" s="25"/>
      <c r="H1076" s="22">
        <v>3.2780903088451E13</v>
      </c>
      <c r="I1076" s="25"/>
      <c r="J1076" s="25"/>
      <c r="K1076" s="22">
        <v>4.2085703549171E13</v>
      </c>
      <c r="L1076" s="25"/>
      <c r="M1076" s="25"/>
      <c r="N1076" s="22" t="s">
        <v>5089</v>
      </c>
      <c r="O1076" s="22" t="s">
        <v>11653</v>
      </c>
      <c r="P1076" s="22" t="s">
        <v>5089</v>
      </c>
      <c r="Q1076" s="22" t="s">
        <v>11653</v>
      </c>
      <c r="R1076" s="22" t="s">
        <v>11654</v>
      </c>
      <c r="S1076" s="25"/>
      <c r="T1076" s="40" t="s">
        <v>11655</v>
      </c>
      <c r="U1076" s="22" t="s">
        <v>11656</v>
      </c>
      <c r="V1076" s="25"/>
      <c r="W1076" s="22" t="s">
        <v>11657</v>
      </c>
      <c r="X1076" s="22" t="s">
        <v>8242</v>
      </c>
      <c r="Y1076" s="25"/>
      <c r="Z1076" s="25"/>
      <c r="AA1076" s="22" t="s">
        <v>8129</v>
      </c>
      <c r="AB1076" s="22" t="s">
        <v>8130</v>
      </c>
      <c r="AC1076" s="25"/>
      <c r="AD1076" s="22" t="s">
        <v>8131</v>
      </c>
      <c r="AE1076" s="22" t="s">
        <v>8132</v>
      </c>
      <c r="AF1076" s="25"/>
      <c r="AG1076" s="22">
        <v>1.0472225145155E13</v>
      </c>
      <c r="AH1076" s="22" t="s">
        <v>90</v>
      </c>
      <c r="AI1076" s="22">
        <v>2.3440113303875E13</v>
      </c>
      <c r="AJ1076" s="25"/>
      <c r="AK1076" s="25"/>
      <c r="AL1076" s="22" t="s">
        <v>8133</v>
      </c>
      <c r="AQ1076" s="32" t="s">
        <v>8135</v>
      </c>
      <c r="AR1076" s="32" t="b">
        <v>0</v>
      </c>
      <c r="AS1076" s="32" t="b">
        <v>0</v>
      </c>
    </row>
    <row r="1077">
      <c r="A1077" s="21" t="s">
        <v>11652</v>
      </c>
      <c r="B1077" s="25"/>
      <c r="C1077" s="25"/>
      <c r="D1077" s="22" t="s">
        <v>8501</v>
      </c>
      <c r="E1077" s="25"/>
      <c r="F1077" s="22" t="s">
        <v>8136</v>
      </c>
      <c r="G1077" s="25"/>
      <c r="H1077" s="22">
        <v>9.526138110275E12</v>
      </c>
      <c r="I1077" s="25"/>
      <c r="J1077" s="25"/>
      <c r="K1077" s="25"/>
      <c r="L1077" s="25"/>
      <c r="M1077" s="25"/>
      <c r="N1077" s="22" t="s">
        <v>5089</v>
      </c>
      <c r="O1077" s="22" t="s">
        <v>11653</v>
      </c>
      <c r="P1077" s="22" t="s">
        <v>5089</v>
      </c>
      <c r="Q1077" s="22" t="s">
        <v>11653</v>
      </c>
      <c r="R1077" s="22" t="s">
        <v>11654</v>
      </c>
      <c r="S1077" s="25"/>
      <c r="T1077" s="40" t="s">
        <v>11655</v>
      </c>
      <c r="U1077" s="22" t="s">
        <v>11656</v>
      </c>
      <c r="V1077" s="25"/>
      <c r="W1077" s="22" t="s">
        <v>11657</v>
      </c>
      <c r="X1077" s="22" t="s">
        <v>8242</v>
      </c>
      <c r="Y1077" s="25"/>
      <c r="Z1077" s="25"/>
      <c r="AA1077" s="22" t="s">
        <v>8129</v>
      </c>
      <c r="AB1077" s="22" t="s">
        <v>8130</v>
      </c>
      <c r="AC1077" s="25"/>
      <c r="AD1077" s="25"/>
      <c r="AE1077" s="22" t="s">
        <v>8132</v>
      </c>
      <c r="AF1077" s="25"/>
      <c r="AG1077" s="22">
        <v>1.0472225145155E13</v>
      </c>
      <c r="AH1077" s="22" t="s">
        <v>8137</v>
      </c>
      <c r="AI1077" s="22">
        <v>2.3440113303875E13</v>
      </c>
      <c r="AJ1077" s="25"/>
      <c r="AK1077" s="25"/>
      <c r="AL1077" s="22" t="s">
        <v>8136</v>
      </c>
      <c r="AR1077" s="32" t="b">
        <v>0</v>
      </c>
      <c r="AS1077" s="32" t="b">
        <v>0</v>
      </c>
    </row>
    <row r="1078">
      <c r="A1078" s="21" t="s">
        <v>11658</v>
      </c>
      <c r="B1078" s="22" t="s">
        <v>8119</v>
      </c>
      <c r="C1078" s="22">
        <v>1.0</v>
      </c>
      <c r="D1078" s="22" t="s">
        <v>8221</v>
      </c>
      <c r="E1078" s="22" t="s">
        <v>8119</v>
      </c>
      <c r="F1078" s="22" t="s">
        <v>8121</v>
      </c>
      <c r="G1078" s="25"/>
      <c r="H1078" s="22">
        <v>3.2780911378755E13</v>
      </c>
      <c r="I1078" s="25"/>
      <c r="J1078" s="25"/>
      <c r="K1078" s="22">
        <v>4.2085703549171E13</v>
      </c>
      <c r="L1078" s="25"/>
      <c r="M1078" s="25"/>
      <c r="N1078" s="22" t="s">
        <v>11659</v>
      </c>
      <c r="O1078" s="22" t="s">
        <v>11660</v>
      </c>
      <c r="P1078" s="22" t="s">
        <v>11659</v>
      </c>
      <c r="Q1078" s="22" t="s">
        <v>11660</v>
      </c>
      <c r="R1078" s="22" t="s">
        <v>11661</v>
      </c>
      <c r="S1078" s="25"/>
      <c r="T1078" s="40" t="s">
        <v>11662</v>
      </c>
      <c r="U1078" s="22" t="s">
        <v>11663</v>
      </c>
      <c r="V1078" s="22" t="s">
        <v>11663</v>
      </c>
      <c r="W1078" s="22" t="s">
        <v>11664</v>
      </c>
      <c r="X1078" s="22" t="s">
        <v>8289</v>
      </c>
      <c r="Y1078" s="25"/>
      <c r="Z1078" s="25"/>
      <c r="AA1078" s="22" t="s">
        <v>8129</v>
      </c>
      <c r="AB1078" s="22" t="s">
        <v>8130</v>
      </c>
      <c r="AC1078" s="25"/>
      <c r="AD1078" s="22" t="s">
        <v>8131</v>
      </c>
      <c r="AE1078" s="22" t="s">
        <v>8132</v>
      </c>
      <c r="AF1078" s="25"/>
      <c r="AG1078" s="22">
        <v>1.0472229306691E13</v>
      </c>
      <c r="AH1078" s="22" t="s">
        <v>90</v>
      </c>
      <c r="AI1078" s="22">
        <v>2.3440119038275E13</v>
      </c>
      <c r="AJ1078" s="25"/>
      <c r="AK1078" s="25"/>
      <c r="AL1078" s="22" t="s">
        <v>8133</v>
      </c>
      <c r="AQ1078" s="32" t="s">
        <v>8135</v>
      </c>
      <c r="AR1078" s="32" t="b">
        <v>0</v>
      </c>
      <c r="AS1078" s="32" t="b">
        <v>0</v>
      </c>
    </row>
    <row r="1079">
      <c r="A1079" s="21" t="s">
        <v>11658</v>
      </c>
      <c r="B1079" s="25"/>
      <c r="C1079" s="25"/>
      <c r="D1079" s="22" t="s">
        <v>8221</v>
      </c>
      <c r="E1079" s="25"/>
      <c r="F1079" s="22" t="s">
        <v>8136</v>
      </c>
      <c r="G1079" s="25"/>
      <c r="H1079" s="22">
        <v>9.526141845827E12</v>
      </c>
      <c r="I1079" s="25"/>
      <c r="J1079" s="25"/>
      <c r="K1079" s="25"/>
      <c r="L1079" s="25"/>
      <c r="M1079" s="25"/>
      <c r="N1079" s="22" t="s">
        <v>11659</v>
      </c>
      <c r="O1079" s="22" t="s">
        <v>11660</v>
      </c>
      <c r="P1079" s="22" t="s">
        <v>11659</v>
      </c>
      <c r="Q1079" s="22" t="s">
        <v>11660</v>
      </c>
      <c r="R1079" s="22" t="s">
        <v>11661</v>
      </c>
      <c r="S1079" s="25"/>
      <c r="T1079" s="40" t="s">
        <v>11662</v>
      </c>
      <c r="U1079" s="22" t="s">
        <v>11663</v>
      </c>
      <c r="V1079" s="22" t="s">
        <v>11663</v>
      </c>
      <c r="W1079" s="22" t="s">
        <v>11664</v>
      </c>
      <c r="X1079" s="22" t="s">
        <v>8289</v>
      </c>
      <c r="Y1079" s="25"/>
      <c r="Z1079" s="25"/>
      <c r="AA1079" s="22" t="s">
        <v>8129</v>
      </c>
      <c r="AB1079" s="22" t="s">
        <v>8130</v>
      </c>
      <c r="AC1079" s="25"/>
      <c r="AD1079" s="25"/>
      <c r="AE1079" s="22" t="s">
        <v>8132</v>
      </c>
      <c r="AF1079" s="25"/>
      <c r="AG1079" s="22">
        <v>1.0472229306691E13</v>
      </c>
      <c r="AH1079" s="22" t="s">
        <v>8137</v>
      </c>
      <c r="AI1079" s="22">
        <v>2.3440119038275E13</v>
      </c>
      <c r="AJ1079" s="25"/>
      <c r="AK1079" s="25"/>
      <c r="AL1079" s="22" t="s">
        <v>8136</v>
      </c>
      <c r="AR1079" s="32" t="b">
        <v>0</v>
      </c>
      <c r="AS1079" s="32" t="b">
        <v>0</v>
      </c>
    </row>
    <row r="1080">
      <c r="A1080" s="21" t="s">
        <v>11665</v>
      </c>
      <c r="B1080" s="22" t="s">
        <v>8262</v>
      </c>
      <c r="C1080" s="22">
        <v>1.0</v>
      </c>
      <c r="D1080" s="22" t="s">
        <v>8371</v>
      </c>
      <c r="E1080" s="22" t="s">
        <v>8262</v>
      </c>
      <c r="F1080" s="22" t="s">
        <v>8155</v>
      </c>
      <c r="G1080" s="25"/>
      <c r="H1080" s="22">
        <v>3.2780921471299E13</v>
      </c>
      <c r="I1080" s="25"/>
      <c r="J1080" s="25"/>
      <c r="K1080" s="22">
        <v>4.7338059792707E13</v>
      </c>
      <c r="L1080" s="25"/>
      <c r="M1080" s="25"/>
      <c r="N1080" s="22" t="s">
        <v>11666</v>
      </c>
      <c r="O1080" s="22" t="s">
        <v>11667</v>
      </c>
      <c r="P1080" s="22" t="s">
        <v>11666</v>
      </c>
      <c r="Q1080" s="22" t="s">
        <v>11667</v>
      </c>
      <c r="R1080" s="22" t="s">
        <v>11668</v>
      </c>
      <c r="S1080" s="25"/>
      <c r="T1080" s="40" t="s">
        <v>11669</v>
      </c>
      <c r="U1080" s="22" t="s">
        <v>11670</v>
      </c>
      <c r="V1080" s="25"/>
      <c r="W1080" s="22" t="s">
        <v>11671</v>
      </c>
      <c r="X1080" s="22" t="s">
        <v>11672</v>
      </c>
      <c r="Y1080" s="25"/>
      <c r="Z1080" s="25"/>
      <c r="AA1080" s="22" t="s">
        <v>8129</v>
      </c>
      <c r="AB1080" s="22" t="s">
        <v>8130</v>
      </c>
      <c r="AC1080" s="25"/>
      <c r="AD1080" s="22" t="s">
        <v>8161</v>
      </c>
      <c r="AE1080" s="22" t="s">
        <v>8132</v>
      </c>
      <c r="AF1080" s="25"/>
      <c r="AG1080" s="22">
        <v>1.0472233500995E13</v>
      </c>
      <c r="AH1080" s="22" t="s">
        <v>90</v>
      </c>
      <c r="AI1080" s="22">
        <v>2.3440121692483E13</v>
      </c>
      <c r="AJ1080" s="25"/>
      <c r="AK1080" s="25"/>
      <c r="AL1080" s="22" t="s">
        <v>8269</v>
      </c>
      <c r="AQ1080" s="32" t="s">
        <v>91</v>
      </c>
      <c r="AR1080" s="32" t="b">
        <v>0</v>
      </c>
      <c r="AS1080" s="32" t="b">
        <v>0</v>
      </c>
    </row>
    <row r="1081">
      <c r="A1081" s="21" t="s">
        <v>11665</v>
      </c>
      <c r="B1081" s="25"/>
      <c r="C1081" s="25"/>
      <c r="D1081" s="22" t="s">
        <v>8371</v>
      </c>
      <c r="E1081" s="25"/>
      <c r="F1081" s="22" t="s">
        <v>8149</v>
      </c>
      <c r="G1081" s="25"/>
      <c r="H1081" s="22">
        <v>9.526145909059E12</v>
      </c>
      <c r="I1081" s="25"/>
      <c r="J1081" s="25"/>
      <c r="K1081" s="25"/>
      <c r="L1081" s="25"/>
      <c r="M1081" s="25"/>
      <c r="N1081" s="22" t="s">
        <v>11666</v>
      </c>
      <c r="O1081" s="22" t="s">
        <v>11667</v>
      </c>
      <c r="P1081" s="22" t="s">
        <v>11666</v>
      </c>
      <c r="Q1081" s="22" t="s">
        <v>11667</v>
      </c>
      <c r="R1081" s="22" t="s">
        <v>11668</v>
      </c>
      <c r="S1081" s="25"/>
      <c r="T1081" s="40" t="s">
        <v>11669</v>
      </c>
      <c r="U1081" s="22" t="s">
        <v>11670</v>
      </c>
      <c r="V1081" s="25"/>
      <c r="W1081" s="22" t="s">
        <v>11671</v>
      </c>
      <c r="X1081" s="22" t="s">
        <v>11672</v>
      </c>
      <c r="Y1081" s="25"/>
      <c r="Z1081" s="25"/>
      <c r="AA1081" s="22" t="s">
        <v>8129</v>
      </c>
      <c r="AB1081" s="22" t="s">
        <v>8130</v>
      </c>
      <c r="AC1081" s="25"/>
      <c r="AD1081" s="25"/>
      <c r="AE1081" s="22" t="s">
        <v>8132</v>
      </c>
      <c r="AF1081" s="25"/>
      <c r="AG1081" s="22">
        <v>1.0472233500995E13</v>
      </c>
      <c r="AH1081" s="22" t="s">
        <v>8137</v>
      </c>
      <c r="AI1081" s="22">
        <v>2.3440121692483E13</v>
      </c>
      <c r="AJ1081" s="25"/>
      <c r="AK1081" s="25"/>
      <c r="AL1081" s="22" t="s">
        <v>8149</v>
      </c>
      <c r="AR1081" s="32" t="b">
        <v>0</v>
      </c>
      <c r="AS1081" s="32" t="b">
        <v>0</v>
      </c>
    </row>
    <row r="1082">
      <c r="A1082" s="21" t="s">
        <v>11673</v>
      </c>
      <c r="B1082" s="22" t="s">
        <v>8119</v>
      </c>
      <c r="C1082" s="22">
        <v>1.0</v>
      </c>
      <c r="D1082" s="22" t="s">
        <v>8203</v>
      </c>
      <c r="E1082" s="22" t="s">
        <v>8119</v>
      </c>
      <c r="F1082" s="22" t="s">
        <v>8121</v>
      </c>
      <c r="G1082" s="25"/>
      <c r="H1082" s="22">
        <v>3.2780928713027E13</v>
      </c>
      <c r="I1082" s="25"/>
      <c r="J1082" s="25"/>
      <c r="K1082" s="22">
        <v>4.2085703549171E13</v>
      </c>
      <c r="L1082" s="25"/>
      <c r="M1082" s="25"/>
      <c r="N1082" s="22" t="s">
        <v>11674</v>
      </c>
      <c r="O1082" s="22" t="s">
        <v>7586</v>
      </c>
      <c r="P1082" s="22" t="s">
        <v>11674</v>
      </c>
      <c r="Q1082" s="22" t="s">
        <v>7586</v>
      </c>
      <c r="R1082" s="22" t="s">
        <v>11675</v>
      </c>
      <c r="S1082" s="25"/>
      <c r="T1082" s="40" t="s">
        <v>11676</v>
      </c>
      <c r="U1082" s="22" t="s">
        <v>11677</v>
      </c>
      <c r="V1082" s="25"/>
      <c r="W1082" s="22" t="s">
        <v>11678</v>
      </c>
      <c r="X1082" s="22" t="s">
        <v>8685</v>
      </c>
      <c r="Y1082" s="25"/>
      <c r="Z1082" s="25"/>
      <c r="AA1082" s="22" t="s">
        <v>8129</v>
      </c>
      <c r="AB1082" s="22" t="s">
        <v>8130</v>
      </c>
      <c r="AC1082" s="25"/>
      <c r="AD1082" s="22" t="s">
        <v>8131</v>
      </c>
      <c r="AE1082" s="22" t="s">
        <v>8132</v>
      </c>
      <c r="AF1082" s="25"/>
      <c r="AG1082" s="22">
        <v>1.0472235991363E13</v>
      </c>
      <c r="AH1082" s="22" t="s">
        <v>90</v>
      </c>
      <c r="AI1082" s="22">
        <v>2.3440126443843E13</v>
      </c>
      <c r="AJ1082" s="25"/>
      <c r="AK1082" s="25"/>
      <c r="AL1082" s="22" t="s">
        <v>8133</v>
      </c>
      <c r="AQ1082" s="32" t="s">
        <v>8135</v>
      </c>
      <c r="AR1082" s="32" t="b">
        <v>0</v>
      </c>
      <c r="AS1082" s="32" t="b">
        <v>0</v>
      </c>
    </row>
    <row r="1083">
      <c r="A1083" s="21" t="s">
        <v>11673</v>
      </c>
      <c r="B1083" s="25"/>
      <c r="C1083" s="25"/>
      <c r="D1083" s="22" t="s">
        <v>8203</v>
      </c>
      <c r="E1083" s="25"/>
      <c r="F1083" s="22" t="s">
        <v>8136</v>
      </c>
      <c r="G1083" s="25"/>
      <c r="H1083" s="22">
        <v>9.526148235587E12</v>
      </c>
      <c r="I1083" s="25"/>
      <c r="J1083" s="25"/>
      <c r="K1083" s="25"/>
      <c r="L1083" s="25"/>
      <c r="M1083" s="25"/>
      <c r="N1083" s="22" t="s">
        <v>11674</v>
      </c>
      <c r="O1083" s="22" t="s">
        <v>7586</v>
      </c>
      <c r="P1083" s="22" t="s">
        <v>11674</v>
      </c>
      <c r="Q1083" s="22" t="s">
        <v>7586</v>
      </c>
      <c r="R1083" s="22" t="s">
        <v>11675</v>
      </c>
      <c r="S1083" s="25"/>
      <c r="T1083" s="40" t="s">
        <v>11676</v>
      </c>
      <c r="U1083" s="22" t="s">
        <v>11677</v>
      </c>
      <c r="V1083" s="25"/>
      <c r="W1083" s="22" t="s">
        <v>11678</v>
      </c>
      <c r="X1083" s="22" t="s">
        <v>8685</v>
      </c>
      <c r="Y1083" s="25"/>
      <c r="Z1083" s="25"/>
      <c r="AA1083" s="22" t="s">
        <v>8129</v>
      </c>
      <c r="AB1083" s="22" t="s">
        <v>8130</v>
      </c>
      <c r="AC1083" s="25"/>
      <c r="AD1083" s="25"/>
      <c r="AE1083" s="22" t="s">
        <v>8132</v>
      </c>
      <c r="AF1083" s="25"/>
      <c r="AG1083" s="22">
        <v>1.0472235991363E13</v>
      </c>
      <c r="AH1083" s="22" t="s">
        <v>8137</v>
      </c>
      <c r="AI1083" s="22">
        <v>2.3440126443843E13</v>
      </c>
      <c r="AJ1083" s="25"/>
      <c r="AK1083" s="25"/>
      <c r="AL1083" s="22" t="s">
        <v>8136</v>
      </c>
      <c r="AR1083" s="32" t="b">
        <v>0</v>
      </c>
      <c r="AS1083" s="32" t="b">
        <v>0</v>
      </c>
    </row>
    <row r="1084">
      <c r="A1084" s="21" t="s">
        <v>11679</v>
      </c>
      <c r="B1084" s="22" t="s">
        <v>8140</v>
      </c>
      <c r="C1084" s="22">
        <v>1.0</v>
      </c>
      <c r="D1084" s="22" t="s">
        <v>8203</v>
      </c>
      <c r="E1084" s="22" t="s">
        <v>8140</v>
      </c>
      <c r="F1084" s="22" t="s">
        <v>8121</v>
      </c>
      <c r="G1084" s="25"/>
      <c r="H1084" s="22">
        <v>3.2781100810563E13</v>
      </c>
      <c r="I1084" s="25"/>
      <c r="J1084" s="25"/>
      <c r="K1084" s="22">
        <v>4.2085703581939E13</v>
      </c>
      <c r="L1084" s="25"/>
      <c r="M1084" s="25"/>
      <c r="N1084" s="22" t="s">
        <v>4866</v>
      </c>
      <c r="O1084" s="22" t="s">
        <v>11680</v>
      </c>
      <c r="P1084" s="22" t="s">
        <v>4866</v>
      </c>
      <c r="Q1084" s="22" t="s">
        <v>11680</v>
      </c>
      <c r="R1084" s="22" t="s">
        <v>11681</v>
      </c>
      <c r="S1084" s="25"/>
      <c r="T1084" s="40" t="s">
        <v>11682</v>
      </c>
      <c r="U1084" s="22" t="s">
        <v>11683</v>
      </c>
      <c r="V1084" s="25"/>
      <c r="W1084" s="22" t="s">
        <v>11684</v>
      </c>
      <c r="X1084" s="22" t="s">
        <v>8380</v>
      </c>
      <c r="Y1084" s="25"/>
      <c r="Z1084" s="25"/>
      <c r="AA1084" s="22" t="s">
        <v>8129</v>
      </c>
      <c r="AB1084" s="22" t="s">
        <v>8130</v>
      </c>
      <c r="AC1084" s="25"/>
      <c r="AD1084" s="22" t="s">
        <v>8131</v>
      </c>
      <c r="AE1084" s="22" t="s">
        <v>8132</v>
      </c>
      <c r="AF1084" s="25"/>
      <c r="AG1084" s="22">
        <v>1.0472302805315E13</v>
      </c>
      <c r="AH1084" s="22" t="s">
        <v>90</v>
      </c>
      <c r="AI1084" s="22">
        <v>2.3440184639811E13</v>
      </c>
      <c r="AJ1084" s="25"/>
      <c r="AK1084" s="25"/>
      <c r="AL1084" s="22" t="s">
        <v>8134</v>
      </c>
      <c r="AQ1084" s="32" t="s">
        <v>8150</v>
      </c>
      <c r="AR1084" s="32" t="b">
        <v>0</v>
      </c>
      <c r="AS1084" s="32" t="b">
        <v>0</v>
      </c>
    </row>
    <row r="1085">
      <c r="A1085" s="21" t="s">
        <v>11679</v>
      </c>
      <c r="B1085" s="25"/>
      <c r="C1085" s="25"/>
      <c r="D1085" s="22" t="s">
        <v>8203</v>
      </c>
      <c r="E1085" s="25"/>
      <c r="F1085" s="22" t="s">
        <v>8136</v>
      </c>
      <c r="G1085" s="25"/>
      <c r="H1085" s="22">
        <v>9.526212919619E12</v>
      </c>
      <c r="I1085" s="25"/>
      <c r="J1085" s="25"/>
      <c r="K1085" s="25"/>
      <c r="L1085" s="25"/>
      <c r="M1085" s="25"/>
      <c r="N1085" s="22" t="s">
        <v>4866</v>
      </c>
      <c r="O1085" s="22" t="s">
        <v>11680</v>
      </c>
      <c r="P1085" s="22" t="s">
        <v>4866</v>
      </c>
      <c r="Q1085" s="22" t="s">
        <v>11680</v>
      </c>
      <c r="R1085" s="22" t="s">
        <v>11681</v>
      </c>
      <c r="S1085" s="25"/>
      <c r="T1085" s="40" t="s">
        <v>11682</v>
      </c>
      <c r="U1085" s="22" t="s">
        <v>11683</v>
      </c>
      <c r="V1085" s="25"/>
      <c r="W1085" s="22" t="s">
        <v>11684</v>
      </c>
      <c r="X1085" s="22" t="s">
        <v>8380</v>
      </c>
      <c r="Y1085" s="25"/>
      <c r="Z1085" s="25"/>
      <c r="AA1085" s="22" t="s">
        <v>8129</v>
      </c>
      <c r="AB1085" s="22" t="s">
        <v>8130</v>
      </c>
      <c r="AC1085" s="25"/>
      <c r="AD1085" s="25"/>
      <c r="AE1085" s="22" t="s">
        <v>8132</v>
      </c>
      <c r="AF1085" s="25"/>
      <c r="AG1085" s="22">
        <v>1.0472302805315E13</v>
      </c>
      <c r="AH1085" s="22" t="s">
        <v>8137</v>
      </c>
      <c r="AI1085" s="22">
        <v>2.3440184639811E13</v>
      </c>
      <c r="AJ1085" s="25"/>
      <c r="AK1085" s="25"/>
      <c r="AL1085" s="22" t="s">
        <v>8136</v>
      </c>
      <c r="AR1085" s="32" t="b">
        <v>0</v>
      </c>
      <c r="AS1085" s="32" t="b">
        <v>0</v>
      </c>
    </row>
    <row r="1086">
      <c r="A1086" s="21" t="s">
        <v>11685</v>
      </c>
      <c r="B1086" s="22" t="s">
        <v>8153</v>
      </c>
      <c r="C1086" s="22">
        <v>1.0</v>
      </c>
      <c r="D1086" s="22" t="s">
        <v>8581</v>
      </c>
      <c r="E1086" s="22" t="s">
        <v>8153</v>
      </c>
      <c r="F1086" s="22" t="s">
        <v>8155</v>
      </c>
      <c r="G1086" s="25"/>
      <c r="H1086" s="22">
        <v>3.2781149602115E13</v>
      </c>
      <c r="I1086" s="25"/>
      <c r="J1086" s="25"/>
      <c r="K1086" s="22">
        <v>4.7338059759939E13</v>
      </c>
      <c r="L1086" s="25"/>
      <c r="M1086" s="25"/>
      <c r="N1086" s="22" t="s">
        <v>11686</v>
      </c>
      <c r="O1086" s="22" t="s">
        <v>11687</v>
      </c>
      <c r="P1086" s="22" t="s">
        <v>11686</v>
      </c>
      <c r="Q1086" s="22" t="s">
        <v>11687</v>
      </c>
      <c r="R1086" s="22" t="s">
        <v>11688</v>
      </c>
      <c r="S1086" s="25"/>
      <c r="T1086" s="40" t="s">
        <v>11689</v>
      </c>
      <c r="U1086" s="22" t="s">
        <v>11690</v>
      </c>
      <c r="V1086" s="25"/>
      <c r="W1086" s="22" t="s">
        <v>11691</v>
      </c>
      <c r="X1086" s="22" t="s">
        <v>8380</v>
      </c>
      <c r="Y1086" s="25"/>
      <c r="Z1086" s="25"/>
      <c r="AA1086" s="22" t="s">
        <v>8129</v>
      </c>
      <c r="AB1086" s="22" t="s">
        <v>8130</v>
      </c>
      <c r="AC1086" s="25"/>
      <c r="AD1086" s="22" t="s">
        <v>8161</v>
      </c>
      <c r="AE1086" s="22" t="s">
        <v>8132</v>
      </c>
      <c r="AF1086" s="25"/>
      <c r="AG1086" s="22">
        <v>1.0472324071747E13</v>
      </c>
      <c r="AH1086" s="22" t="s">
        <v>90</v>
      </c>
      <c r="AI1086" s="22">
        <v>8.610580431171E12</v>
      </c>
      <c r="AJ1086" s="25"/>
      <c r="AK1086" s="25"/>
      <c r="AL1086" s="22" t="s">
        <v>8162</v>
      </c>
      <c r="AQ1086" s="32" t="s">
        <v>55</v>
      </c>
      <c r="AR1086" s="32" t="b">
        <v>0</v>
      </c>
      <c r="AS1086" s="32" t="b">
        <v>0</v>
      </c>
    </row>
    <row r="1087">
      <c r="A1087" s="21" t="s">
        <v>11685</v>
      </c>
      <c r="B1087" s="25"/>
      <c r="C1087" s="25"/>
      <c r="D1087" s="22" t="s">
        <v>8581</v>
      </c>
      <c r="E1087" s="25"/>
      <c r="F1087" s="22" t="s">
        <v>8149</v>
      </c>
      <c r="G1087" s="25"/>
      <c r="H1087" s="22">
        <v>9.526233366851E12</v>
      </c>
      <c r="I1087" s="25"/>
      <c r="J1087" s="25"/>
      <c r="K1087" s="25"/>
      <c r="L1087" s="25"/>
      <c r="M1087" s="25"/>
      <c r="N1087" s="22" t="s">
        <v>11686</v>
      </c>
      <c r="O1087" s="22" t="s">
        <v>11687</v>
      </c>
      <c r="P1087" s="22" t="s">
        <v>11686</v>
      </c>
      <c r="Q1087" s="22" t="s">
        <v>11687</v>
      </c>
      <c r="R1087" s="22" t="s">
        <v>11688</v>
      </c>
      <c r="S1087" s="25"/>
      <c r="T1087" s="40" t="s">
        <v>11689</v>
      </c>
      <c r="U1087" s="22" t="s">
        <v>11690</v>
      </c>
      <c r="V1087" s="25"/>
      <c r="W1087" s="22" t="s">
        <v>11691</v>
      </c>
      <c r="X1087" s="22" t="s">
        <v>8380</v>
      </c>
      <c r="Y1087" s="25"/>
      <c r="Z1087" s="25"/>
      <c r="AA1087" s="22" t="s">
        <v>8129</v>
      </c>
      <c r="AB1087" s="22" t="s">
        <v>8130</v>
      </c>
      <c r="AC1087" s="25"/>
      <c r="AD1087" s="25"/>
      <c r="AE1087" s="22" t="s">
        <v>8132</v>
      </c>
      <c r="AF1087" s="25"/>
      <c r="AG1087" s="22">
        <v>1.0472324071747E13</v>
      </c>
      <c r="AH1087" s="22" t="s">
        <v>8137</v>
      </c>
      <c r="AI1087" s="22">
        <v>8.610580431171E12</v>
      </c>
      <c r="AJ1087" s="25"/>
      <c r="AK1087" s="25"/>
      <c r="AL1087" s="22" t="s">
        <v>8149</v>
      </c>
      <c r="AR1087" s="32" t="b">
        <v>0</v>
      </c>
      <c r="AS1087" s="32" t="b">
        <v>0</v>
      </c>
    </row>
    <row r="1088">
      <c r="A1088" s="21" t="s">
        <v>11692</v>
      </c>
      <c r="B1088" s="22" t="s">
        <v>8262</v>
      </c>
      <c r="C1088" s="22">
        <v>1.0</v>
      </c>
      <c r="D1088" s="22" t="s">
        <v>8221</v>
      </c>
      <c r="E1088" s="22" t="s">
        <v>8262</v>
      </c>
      <c r="F1088" s="22" t="s">
        <v>8155</v>
      </c>
      <c r="G1088" s="25"/>
      <c r="H1088" s="22">
        <v>3.2781153599811E13</v>
      </c>
      <c r="I1088" s="25"/>
      <c r="J1088" s="25"/>
      <c r="K1088" s="22">
        <v>4.7338059792707E13</v>
      </c>
      <c r="L1088" s="25"/>
      <c r="M1088" s="25"/>
      <c r="N1088" s="22" t="s">
        <v>11693</v>
      </c>
      <c r="O1088" s="22" t="s">
        <v>11694</v>
      </c>
      <c r="P1088" s="22" t="s">
        <v>11693</v>
      </c>
      <c r="Q1088" s="22" t="s">
        <v>11694</v>
      </c>
      <c r="R1088" s="22" t="s">
        <v>11695</v>
      </c>
      <c r="S1088" s="25"/>
      <c r="T1088" s="40" t="s">
        <v>11696</v>
      </c>
      <c r="U1088" s="22" t="s">
        <v>11697</v>
      </c>
      <c r="V1088" s="25"/>
      <c r="W1088" s="22" t="s">
        <v>11698</v>
      </c>
      <c r="X1088" s="22" t="s">
        <v>8380</v>
      </c>
      <c r="Y1088" s="25"/>
      <c r="Z1088" s="25"/>
      <c r="AA1088" s="22" t="s">
        <v>8129</v>
      </c>
      <c r="AB1088" s="22" t="s">
        <v>8130</v>
      </c>
      <c r="AC1088" s="25"/>
      <c r="AD1088" s="22" t="s">
        <v>8161</v>
      </c>
      <c r="AE1088" s="22" t="s">
        <v>8132</v>
      </c>
      <c r="AF1088" s="25"/>
      <c r="AG1088" s="22">
        <v>1.0472325775683E13</v>
      </c>
      <c r="AH1088" s="22" t="s">
        <v>90</v>
      </c>
      <c r="AI1088" s="22">
        <v>2.3440207413571E13</v>
      </c>
      <c r="AJ1088" s="25"/>
      <c r="AK1088" s="25"/>
      <c r="AL1088" s="22" t="s">
        <v>8269</v>
      </c>
      <c r="AQ1088" s="32" t="s">
        <v>91</v>
      </c>
      <c r="AR1088" s="32" t="b">
        <v>0</v>
      </c>
      <c r="AS1088" s="32" t="b">
        <v>0</v>
      </c>
    </row>
    <row r="1089">
      <c r="A1089" s="21" t="s">
        <v>11692</v>
      </c>
      <c r="B1089" s="25"/>
      <c r="C1089" s="25"/>
      <c r="D1089" s="22" t="s">
        <v>8221</v>
      </c>
      <c r="E1089" s="25"/>
      <c r="F1089" s="22" t="s">
        <v>8149</v>
      </c>
      <c r="G1089" s="25"/>
      <c r="H1089" s="22">
        <v>9.526235005251E12</v>
      </c>
      <c r="I1089" s="25"/>
      <c r="J1089" s="25"/>
      <c r="K1089" s="25"/>
      <c r="L1089" s="25"/>
      <c r="M1089" s="25"/>
      <c r="N1089" s="22" t="s">
        <v>11693</v>
      </c>
      <c r="O1089" s="22" t="s">
        <v>11694</v>
      </c>
      <c r="P1089" s="22" t="s">
        <v>11693</v>
      </c>
      <c r="Q1089" s="22" t="s">
        <v>11694</v>
      </c>
      <c r="R1089" s="22" t="s">
        <v>11695</v>
      </c>
      <c r="S1089" s="25"/>
      <c r="T1089" s="40" t="s">
        <v>11696</v>
      </c>
      <c r="U1089" s="22" t="s">
        <v>11697</v>
      </c>
      <c r="V1089" s="25"/>
      <c r="W1089" s="22" t="s">
        <v>11698</v>
      </c>
      <c r="X1089" s="22" t="s">
        <v>8380</v>
      </c>
      <c r="Y1089" s="25"/>
      <c r="Z1089" s="25"/>
      <c r="AA1089" s="22" t="s">
        <v>8129</v>
      </c>
      <c r="AB1089" s="22" t="s">
        <v>8130</v>
      </c>
      <c r="AC1089" s="25"/>
      <c r="AD1089" s="25"/>
      <c r="AE1089" s="22" t="s">
        <v>8132</v>
      </c>
      <c r="AF1089" s="25"/>
      <c r="AG1089" s="22">
        <v>1.0472325775683E13</v>
      </c>
      <c r="AH1089" s="22" t="s">
        <v>8137</v>
      </c>
      <c r="AI1089" s="22">
        <v>2.3440207413571E13</v>
      </c>
      <c r="AJ1089" s="25"/>
      <c r="AK1089" s="25"/>
      <c r="AL1089" s="22" t="s">
        <v>8149</v>
      </c>
      <c r="AR1089" s="32" t="b">
        <v>0</v>
      </c>
      <c r="AS1089" s="32" t="b">
        <v>0</v>
      </c>
    </row>
    <row r="1090">
      <c r="A1090" s="21" t="s">
        <v>11699</v>
      </c>
      <c r="B1090" s="22" t="s">
        <v>8119</v>
      </c>
      <c r="C1090" s="22">
        <v>1.0</v>
      </c>
      <c r="D1090" s="22" t="s">
        <v>8501</v>
      </c>
      <c r="E1090" s="22" t="s">
        <v>8119</v>
      </c>
      <c r="F1090" s="22" t="s">
        <v>8121</v>
      </c>
      <c r="G1090" s="25"/>
      <c r="H1090" s="22">
        <v>3.2781290504515E13</v>
      </c>
      <c r="I1090" s="25"/>
      <c r="J1090" s="25"/>
      <c r="K1090" s="22">
        <v>4.2085703549171E13</v>
      </c>
      <c r="L1090" s="25"/>
      <c r="M1090" s="25"/>
      <c r="N1090" s="22" t="s">
        <v>4023</v>
      </c>
      <c r="O1090" s="22" t="s">
        <v>11700</v>
      </c>
      <c r="P1090" s="22" t="s">
        <v>4023</v>
      </c>
      <c r="Q1090" s="22" t="s">
        <v>11700</v>
      </c>
      <c r="R1090" s="22" t="s">
        <v>11701</v>
      </c>
      <c r="S1090" s="25"/>
      <c r="T1090" s="40" t="s">
        <v>11702</v>
      </c>
      <c r="U1090" s="22" t="s">
        <v>11703</v>
      </c>
      <c r="V1090" s="45">
        <v>45674.0</v>
      </c>
      <c r="W1090" s="22" t="s">
        <v>11704</v>
      </c>
      <c r="X1090" s="22" t="s">
        <v>8289</v>
      </c>
      <c r="Y1090" s="25"/>
      <c r="Z1090" s="25"/>
      <c r="AA1090" s="22" t="s">
        <v>8129</v>
      </c>
      <c r="AB1090" s="22" t="s">
        <v>8130</v>
      </c>
      <c r="AC1090" s="25"/>
      <c r="AD1090" s="22" t="s">
        <v>8131</v>
      </c>
      <c r="AE1090" s="22" t="s">
        <v>8132</v>
      </c>
      <c r="AF1090" s="25"/>
      <c r="AG1090" s="22">
        <v>1.0472386396483E13</v>
      </c>
      <c r="AH1090" s="22" t="s">
        <v>90</v>
      </c>
      <c r="AI1090" s="22">
        <v>2.3440269377859E13</v>
      </c>
      <c r="AJ1090" s="25"/>
      <c r="AK1090" s="25"/>
      <c r="AL1090" s="22" t="s">
        <v>8133</v>
      </c>
      <c r="AQ1090" s="32" t="s">
        <v>8135</v>
      </c>
      <c r="AR1090" s="32" t="b">
        <v>0</v>
      </c>
      <c r="AS1090" s="32" t="b">
        <v>0</v>
      </c>
    </row>
    <row r="1091">
      <c r="A1091" s="21" t="s">
        <v>11699</v>
      </c>
      <c r="B1091" s="25"/>
      <c r="C1091" s="25"/>
      <c r="D1091" s="22" t="s">
        <v>8501</v>
      </c>
      <c r="E1091" s="25"/>
      <c r="F1091" s="22" t="s">
        <v>8136</v>
      </c>
      <c r="G1091" s="25"/>
      <c r="H1091" s="22">
        <v>9.526292480323E12</v>
      </c>
      <c r="I1091" s="25"/>
      <c r="J1091" s="25"/>
      <c r="K1091" s="25"/>
      <c r="L1091" s="25"/>
      <c r="M1091" s="25"/>
      <c r="N1091" s="22" t="s">
        <v>4023</v>
      </c>
      <c r="O1091" s="22" t="s">
        <v>11700</v>
      </c>
      <c r="P1091" s="22" t="s">
        <v>4023</v>
      </c>
      <c r="Q1091" s="22" t="s">
        <v>11700</v>
      </c>
      <c r="R1091" s="22" t="s">
        <v>11701</v>
      </c>
      <c r="S1091" s="25"/>
      <c r="T1091" s="40" t="s">
        <v>11702</v>
      </c>
      <c r="U1091" s="22" t="s">
        <v>11703</v>
      </c>
      <c r="V1091" s="45">
        <v>45674.0</v>
      </c>
      <c r="W1091" s="22" t="s">
        <v>11704</v>
      </c>
      <c r="X1091" s="22" t="s">
        <v>8289</v>
      </c>
      <c r="Y1091" s="25"/>
      <c r="Z1091" s="25"/>
      <c r="AA1091" s="22" t="s">
        <v>8129</v>
      </c>
      <c r="AB1091" s="22" t="s">
        <v>8130</v>
      </c>
      <c r="AC1091" s="25"/>
      <c r="AD1091" s="25"/>
      <c r="AE1091" s="22" t="s">
        <v>8132</v>
      </c>
      <c r="AF1091" s="25"/>
      <c r="AG1091" s="22">
        <v>1.0472386396483E13</v>
      </c>
      <c r="AH1091" s="22" t="s">
        <v>8137</v>
      </c>
      <c r="AI1091" s="22">
        <v>2.3440269377859E13</v>
      </c>
      <c r="AJ1091" s="25"/>
      <c r="AK1091" s="25"/>
      <c r="AL1091" s="22" t="s">
        <v>8136</v>
      </c>
      <c r="AR1091" s="32" t="b">
        <v>0</v>
      </c>
      <c r="AS1091" s="32" t="b">
        <v>0</v>
      </c>
    </row>
    <row r="1092">
      <c r="A1092" s="21" t="s">
        <v>11705</v>
      </c>
      <c r="B1092" s="22" t="s">
        <v>8119</v>
      </c>
      <c r="C1092" s="22">
        <v>1.0</v>
      </c>
      <c r="D1092" s="22" t="s">
        <v>8254</v>
      </c>
      <c r="E1092" s="22" t="s">
        <v>8119</v>
      </c>
      <c r="F1092" s="22" t="s">
        <v>8121</v>
      </c>
      <c r="G1092" s="25"/>
      <c r="H1092" s="22">
        <v>3.2781301973315E13</v>
      </c>
      <c r="I1092" s="25"/>
      <c r="J1092" s="25"/>
      <c r="K1092" s="22">
        <v>4.2085703549171E13</v>
      </c>
      <c r="L1092" s="25"/>
      <c r="M1092" s="25"/>
      <c r="N1092" s="22" t="s">
        <v>11706</v>
      </c>
      <c r="O1092" s="22" t="s">
        <v>11707</v>
      </c>
      <c r="P1092" s="22" t="s">
        <v>11706</v>
      </c>
      <c r="Q1092" s="22" t="s">
        <v>11707</v>
      </c>
      <c r="R1092" s="22" t="s">
        <v>11708</v>
      </c>
      <c r="S1092" s="22" t="s">
        <v>11709</v>
      </c>
      <c r="T1092" s="40" t="s">
        <v>11710</v>
      </c>
      <c r="U1092" s="22" t="s">
        <v>11711</v>
      </c>
      <c r="V1092" s="25"/>
      <c r="W1092" s="22" t="s">
        <v>11712</v>
      </c>
      <c r="X1092" s="22" t="s">
        <v>8289</v>
      </c>
      <c r="Y1092" s="25"/>
      <c r="Z1092" s="25"/>
      <c r="AA1092" s="22" t="s">
        <v>8129</v>
      </c>
      <c r="AB1092" s="22" t="s">
        <v>8130</v>
      </c>
      <c r="AC1092" s="25"/>
      <c r="AD1092" s="22" t="s">
        <v>8131</v>
      </c>
      <c r="AE1092" s="22" t="s">
        <v>8132</v>
      </c>
      <c r="AF1092" s="25"/>
      <c r="AG1092" s="22">
        <v>1.0472391147843E13</v>
      </c>
      <c r="AH1092" s="22" t="s">
        <v>90</v>
      </c>
      <c r="AI1092" s="22">
        <v>7.452676161859E12</v>
      </c>
      <c r="AJ1092" s="25"/>
      <c r="AK1092" s="25"/>
      <c r="AL1092" s="22" t="s">
        <v>8133</v>
      </c>
      <c r="AQ1092" s="32" t="s">
        <v>8135</v>
      </c>
      <c r="AR1092" s="32" t="b">
        <v>0</v>
      </c>
      <c r="AS1092" s="32" t="b">
        <v>0</v>
      </c>
    </row>
    <row r="1093">
      <c r="A1093" s="21" t="s">
        <v>11705</v>
      </c>
      <c r="B1093" s="25"/>
      <c r="C1093" s="25"/>
      <c r="D1093" s="22" t="s">
        <v>8254</v>
      </c>
      <c r="E1093" s="25"/>
      <c r="F1093" s="22" t="s">
        <v>8136</v>
      </c>
      <c r="G1093" s="25"/>
      <c r="H1093" s="22">
        <v>9.526297067843E12</v>
      </c>
      <c r="I1093" s="25"/>
      <c r="J1093" s="25"/>
      <c r="K1093" s="25"/>
      <c r="L1093" s="25"/>
      <c r="M1093" s="25"/>
      <c r="N1093" s="22" t="s">
        <v>11706</v>
      </c>
      <c r="O1093" s="22" t="s">
        <v>11707</v>
      </c>
      <c r="P1093" s="22" t="s">
        <v>11706</v>
      </c>
      <c r="Q1093" s="22" t="s">
        <v>11707</v>
      </c>
      <c r="R1093" s="22" t="s">
        <v>11708</v>
      </c>
      <c r="S1093" s="22" t="s">
        <v>11709</v>
      </c>
      <c r="T1093" s="40" t="s">
        <v>11710</v>
      </c>
      <c r="U1093" s="22" t="s">
        <v>11711</v>
      </c>
      <c r="V1093" s="25"/>
      <c r="W1093" s="22" t="s">
        <v>11712</v>
      </c>
      <c r="X1093" s="22" t="s">
        <v>8289</v>
      </c>
      <c r="Y1093" s="25"/>
      <c r="Z1093" s="25"/>
      <c r="AA1093" s="22" t="s">
        <v>8129</v>
      </c>
      <c r="AB1093" s="22" t="s">
        <v>8130</v>
      </c>
      <c r="AC1093" s="25"/>
      <c r="AD1093" s="25"/>
      <c r="AE1093" s="22" t="s">
        <v>8132</v>
      </c>
      <c r="AF1093" s="25"/>
      <c r="AG1093" s="22">
        <v>1.0472391147843E13</v>
      </c>
      <c r="AH1093" s="22" t="s">
        <v>8137</v>
      </c>
      <c r="AI1093" s="22">
        <v>7.452676161859E12</v>
      </c>
      <c r="AJ1093" s="25"/>
      <c r="AK1093" s="25"/>
      <c r="AL1093" s="22" t="s">
        <v>8136</v>
      </c>
      <c r="AR1093" s="32" t="b">
        <v>0</v>
      </c>
      <c r="AS1093" s="32" t="b">
        <v>0</v>
      </c>
    </row>
    <row r="1094">
      <c r="A1094" s="21" t="s">
        <v>11713</v>
      </c>
      <c r="B1094" s="22" t="s">
        <v>8140</v>
      </c>
      <c r="C1094" s="22">
        <v>1.0</v>
      </c>
      <c r="D1094" s="22" t="s">
        <v>8141</v>
      </c>
      <c r="E1094" s="22" t="s">
        <v>8140</v>
      </c>
      <c r="F1094" s="22" t="s">
        <v>8121</v>
      </c>
      <c r="G1094" s="25"/>
      <c r="H1094" s="22">
        <v>3.2779462803779E13</v>
      </c>
      <c r="I1094" s="25"/>
      <c r="J1094" s="25"/>
      <c r="K1094" s="22">
        <v>4.2085703581939E13</v>
      </c>
      <c r="L1094" s="25"/>
      <c r="M1094" s="25"/>
      <c r="N1094" s="22" t="s">
        <v>11714</v>
      </c>
      <c r="O1094" s="22" t="s">
        <v>11715</v>
      </c>
      <c r="P1094" s="22" t="s">
        <v>11714</v>
      </c>
      <c r="Q1094" s="22" t="s">
        <v>11715</v>
      </c>
      <c r="R1094" s="22" t="s">
        <v>11716</v>
      </c>
      <c r="S1094" s="25"/>
      <c r="T1094" s="40" t="s">
        <v>11717</v>
      </c>
      <c r="U1094" s="22" t="s">
        <v>11718</v>
      </c>
      <c r="V1094" s="25"/>
      <c r="W1094" s="22" t="s">
        <v>11719</v>
      </c>
      <c r="X1094" s="22" t="s">
        <v>8242</v>
      </c>
      <c r="Y1094" s="25"/>
      <c r="Z1094" s="25"/>
      <c r="AA1094" s="22" t="s">
        <v>8129</v>
      </c>
      <c r="AB1094" s="22" t="s">
        <v>8130</v>
      </c>
      <c r="AC1094" s="25"/>
      <c r="AD1094" s="22" t="s">
        <v>8131</v>
      </c>
      <c r="AE1094" s="22" t="s">
        <v>8132</v>
      </c>
      <c r="AF1094" s="25"/>
      <c r="AG1094" s="22">
        <v>1.0471565164867E13</v>
      </c>
      <c r="AH1094" s="22" t="s">
        <v>90</v>
      </c>
      <c r="AI1094" s="22">
        <v>7.409951179075E12</v>
      </c>
      <c r="AJ1094" s="25"/>
      <c r="AK1094" s="25"/>
      <c r="AL1094" s="22" t="s">
        <v>8134</v>
      </c>
      <c r="AQ1094" s="32" t="s">
        <v>8150</v>
      </c>
      <c r="AR1094" s="32" t="b">
        <v>0</v>
      </c>
      <c r="AS1094" s="32" t="b">
        <v>0</v>
      </c>
    </row>
    <row r="1095">
      <c r="A1095" s="21" t="s">
        <v>11713</v>
      </c>
      <c r="B1095" s="25"/>
      <c r="C1095" s="25"/>
      <c r="D1095" s="22" t="s">
        <v>8141</v>
      </c>
      <c r="E1095" s="25"/>
      <c r="F1095" s="22" t="s">
        <v>8136</v>
      </c>
      <c r="G1095" s="25"/>
      <c r="H1095" s="22">
        <v>9.525536620867E12</v>
      </c>
      <c r="I1095" s="25"/>
      <c r="J1095" s="25"/>
      <c r="K1095" s="25"/>
      <c r="L1095" s="25"/>
      <c r="M1095" s="25"/>
      <c r="N1095" s="22" t="s">
        <v>11714</v>
      </c>
      <c r="O1095" s="22" t="s">
        <v>11715</v>
      </c>
      <c r="P1095" s="22" t="s">
        <v>11714</v>
      </c>
      <c r="Q1095" s="22" t="s">
        <v>11715</v>
      </c>
      <c r="R1095" s="22" t="s">
        <v>11716</v>
      </c>
      <c r="S1095" s="25"/>
      <c r="T1095" s="40" t="s">
        <v>11717</v>
      </c>
      <c r="U1095" s="22" t="s">
        <v>11718</v>
      </c>
      <c r="V1095" s="25"/>
      <c r="W1095" s="22" t="s">
        <v>11719</v>
      </c>
      <c r="X1095" s="22" t="s">
        <v>8242</v>
      </c>
      <c r="Y1095" s="25"/>
      <c r="Z1095" s="25"/>
      <c r="AA1095" s="22" t="s">
        <v>8129</v>
      </c>
      <c r="AB1095" s="22" t="s">
        <v>8130</v>
      </c>
      <c r="AC1095" s="25"/>
      <c r="AD1095" s="25"/>
      <c r="AE1095" s="22" t="s">
        <v>8132</v>
      </c>
      <c r="AF1095" s="25"/>
      <c r="AG1095" s="22">
        <v>1.0471565164867E13</v>
      </c>
      <c r="AH1095" s="22" t="s">
        <v>8137</v>
      </c>
      <c r="AI1095" s="22">
        <v>7.409951179075E12</v>
      </c>
      <c r="AJ1095" s="25"/>
      <c r="AK1095" s="25"/>
      <c r="AL1095" s="22" t="s">
        <v>8136</v>
      </c>
      <c r="AR1095" s="32" t="b">
        <v>0</v>
      </c>
      <c r="AS1095" s="32" t="b">
        <v>0</v>
      </c>
    </row>
    <row r="1096">
      <c r="A1096" s="21" t="s">
        <v>11720</v>
      </c>
      <c r="B1096" s="22" t="s">
        <v>8140</v>
      </c>
      <c r="C1096" s="22">
        <v>1.0</v>
      </c>
      <c r="D1096" s="22" t="s">
        <v>8229</v>
      </c>
      <c r="E1096" s="22" t="s">
        <v>8140</v>
      </c>
      <c r="F1096" s="22" t="s">
        <v>8121</v>
      </c>
      <c r="G1096" s="25"/>
      <c r="H1096" s="22">
        <v>3.2781479674179E13</v>
      </c>
      <c r="I1096" s="25"/>
      <c r="J1096" s="25"/>
      <c r="K1096" s="22">
        <v>4.2085703581939E13</v>
      </c>
      <c r="L1096" s="25"/>
      <c r="M1096" s="25"/>
      <c r="N1096" s="22" t="s">
        <v>3992</v>
      </c>
      <c r="O1096" s="22" t="s">
        <v>11721</v>
      </c>
      <c r="P1096" s="22" t="s">
        <v>3992</v>
      </c>
      <c r="Q1096" s="22" t="s">
        <v>11721</v>
      </c>
      <c r="R1096" s="22" t="s">
        <v>11722</v>
      </c>
      <c r="S1096" s="22" t="s">
        <v>11723</v>
      </c>
      <c r="T1096" s="40" t="s">
        <v>11724</v>
      </c>
      <c r="U1096" s="22" t="s">
        <v>11725</v>
      </c>
      <c r="V1096" s="22" t="s">
        <v>11726</v>
      </c>
      <c r="W1096" s="22" t="s">
        <v>11727</v>
      </c>
      <c r="X1096" s="22" t="s">
        <v>8276</v>
      </c>
      <c r="Y1096" s="25"/>
      <c r="Z1096" s="25"/>
      <c r="AA1096" s="22" t="s">
        <v>8129</v>
      </c>
      <c r="AB1096" s="22" t="s">
        <v>8130</v>
      </c>
      <c r="AC1096" s="25"/>
      <c r="AD1096" s="22" t="s">
        <v>8131</v>
      </c>
      <c r="AE1096" s="22" t="s">
        <v>8132</v>
      </c>
      <c r="AF1096" s="25"/>
      <c r="AG1096" s="22">
        <v>1.0472471363907E13</v>
      </c>
      <c r="AH1096" s="22" t="s">
        <v>90</v>
      </c>
      <c r="AI1096" s="22">
        <v>2.3440353952067E13</v>
      </c>
      <c r="AJ1096" s="25"/>
      <c r="AK1096" s="25"/>
      <c r="AL1096" s="22" t="s">
        <v>8134</v>
      </c>
      <c r="AQ1096" s="32" t="s">
        <v>8150</v>
      </c>
      <c r="AR1096" s="32" t="b">
        <v>0</v>
      </c>
      <c r="AS1096" s="32" t="b">
        <v>0</v>
      </c>
    </row>
    <row r="1097">
      <c r="A1097" s="21" t="s">
        <v>11720</v>
      </c>
      <c r="B1097" s="25"/>
      <c r="C1097" s="25"/>
      <c r="D1097" s="22" t="s">
        <v>8229</v>
      </c>
      <c r="E1097" s="25"/>
      <c r="F1097" s="22" t="s">
        <v>8136</v>
      </c>
      <c r="G1097" s="25"/>
      <c r="H1097" s="22">
        <v>9.526372827459E12</v>
      </c>
      <c r="I1097" s="25"/>
      <c r="J1097" s="25"/>
      <c r="K1097" s="25"/>
      <c r="L1097" s="25"/>
      <c r="M1097" s="25"/>
      <c r="N1097" s="22" t="s">
        <v>3992</v>
      </c>
      <c r="O1097" s="22" t="s">
        <v>11721</v>
      </c>
      <c r="P1097" s="22" t="s">
        <v>3992</v>
      </c>
      <c r="Q1097" s="22" t="s">
        <v>11721</v>
      </c>
      <c r="R1097" s="22" t="s">
        <v>11722</v>
      </c>
      <c r="S1097" s="22" t="s">
        <v>11723</v>
      </c>
      <c r="T1097" s="40" t="s">
        <v>11724</v>
      </c>
      <c r="U1097" s="22" t="s">
        <v>11725</v>
      </c>
      <c r="V1097" s="22" t="s">
        <v>11726</v>
      </c>
      <c r="W1097" s="22" t="s">
        <v>11727</v>
      </c>
      <c r="X1097" s="22" t="s">
        <v>8276</v>
      </c>
      <c r="Y1097" s="25"/>
      <c r="Z1097" s="25"/>
      <c r="AA1097" s="22" t="s">
        <v>8129</v>
      </c>
      <c r="AB1097" s="22" t="s">
        <v>8130</v>
      </c>
      <c r="AC1097" s="25"/>
      <c r="AD1097" s="25"/>
      <c r="AE1097" s="22" t="s">
        <v>8132</v>
      </c>
      <c r="AF1097" s="25"/>
      <c r="AG1097" s="22">
        <v>1.0472471363907E13</v>
      </c>
      <c r="AH1097" s="22" t="s">
        <v>8137</v>
      </c>
      <c r="AI1097" s="22">
        <v>2.3440353952067E13</v>
      </c>
      <c r="AJ1097" s="25"/>
      <c r="AK1097" s="25"/>
      <c r="AL1097" s="22" t="s">
        <v>8136</v>
      </c>
      <c r="AR1097" s="32" t="b">
        <v>0</v>
      </c>
      <c r="AS1097" s="32" t="b">
        <v>0</v>
      </c>
    </row>
    <row r="1098">
      <c r="A1098" s="21" t="s">
        <v>11728</v>
      </c>
      <c r="B1098" s="22" t="s">
        <v>8707</v>
      </c>
      <c r="C1098" s="22">
        <v>1.0</v>
      </c>
      <c r="D1098" s="22" t="s">
        <v>8221</v>
      </c>
      <c r="E1098" s="22" t="s">
        <v>8707</v>
      </c>
      <c r="F1098" s="22" t="s">
        <v>8155</v>
      </c>
      <c r="G1098" s="25"/>
      <c r="H1098" s="22">
        <v>3.2781668745539E13</v>
      </c>
      <c r="I1098" s="25"/>
      <c r="J1098" s="25"/>
      <c r="K1098" s="22">
        <v>4.9521175429443E13</v>
      </c>
      <c r="L1098" s="25"/>
      <c r="M1098" s="25"/>
      <c r="N1098" s="22" t="s">
        <v>4473</v>
      </c>
      <c r="O1098" s="22" t="s">
        <v>11729</v>
      </c>
      <c r="P1098" s="22" t="s">
        <v>4473</v>
      </c>
      <c r="Q1098" s="22" t="s">
        <v>11729</v>
      </c>
      <c r="R1098" s="22" t="s">
        <v>11730</v>
      </c>
      <c r="S1098" s="25"/>
      <c r="T1098" s="40" t="s">
        <v>11731</v>
      </c>
      <c r="U1098" s="22" t="s">
        <v>11732</v>
      </c>
      <c r="V1098" s="25"/>
      <c r="W1098" s="22" t="s">
        <v>11733</v>
      </c>
      <c r="X1098" s="22" t="s">
        <v>11734</v>
      </c>
      <c r="Y1098" s="25"/>
      <c r="Z1098" s="25"/>
      <c r="AA1098" s="22" t="s">
        <v>8129</v>
      </c>
      <c r="AB1098" s="22" t="s">
        <v>8130</v>
      </c>
      <c r="AC1098" s="25"/>
      <c r="AD1098" s="22" t="s">
        <v>8161</v>
      </c>
      <c r="AE1098" s="22" t="s">
        <v>8132</v>
      </c>
      <c r="AF1098" s="25"/>
      <c r="AG1098" s="22">
        <v>1.0472557543747E13</v>
      </c>
      <c r="AH1098" s="22" t="s">
        <v>90</v>
      </c>
      <c r="AI1098" s="22">
        <v>7.476071530819E12</v>
      </c>
      <c r="AJ1098" s="25"/>
      <c r="AK1098" s="25"/>
      <c r="AL1098" s="22" t="s">
        <v>8336</v>
      </c>
      <c r="AQ1098" s="32" t="s">
        <v>54</v>
      </c>
      <c r="AR1098" s="32" t="b">
        <v>0</v>
      </c>
      <c r="AS1098" s="32" t="b">
        <v>1</v>
      </c>
    </row>
    <row r="1099">
      <c r="A1099" s="21" t="s">
        <v>11728</v>
      </c>
      <c r="B1099" s="25"/>
      <c r="C1099" s="25"/>
      <c r="D1099" s="22" t="s">
        <v>8221</v>
      </c>
      <c r="E1099" s="25"/>
      <c r="F1099" s="22" t="s">
        <v>8149</v>
      </c>
      <c r="G1099" s="25"/>
      <c r="H1099" s="22">
        <v>9.526453043523E12</v>
      </c>
      <c r="I1099" s="25"/>
      <c r="J1099" s="25"/>
      <c r="K1099" s="25"/>
      <c r="L1099" s="25"/>
      <c r="M1099" s="25"/>
      <c r="N1099" s="22" t="s">
        <v>4473</v>
      </c>
      <c r="O1099" s="22" t="s">
        <v>11729</v>
      </c>
      <c r="P1099" s="22" t="s">
        <v>4473</v>
      </c>
      <c r="Q1099" s="22" t="s">
        <v>11729</v>
      </c>
      <c r="R1099" s="22" t="s">
        <v>11730</v>
      </c>
      <c r="S1099" s="25"/>
      <c r="T1099" s="40" t="s">
        <v>11731</v>
      </c>
      <c r="U1099" s="22" t="s">
        <v>11732</v>
      </c>
      <c r="V1099" s="25"/>
      <c r="W1099" s="22" t="s">
        <v>11733</v>
      </c>
      <c r="X1099" s="22" t="s">
        <v>11734</v>
      </c>
      <c r="Y1099" s="25"/>
      <c r="Z1099" s="25"/>
      <c r="AA1099" s="22" t="s">
        <v>8129</v>
      </c>
      <c r="AB1099" s="22" t="s">
        <v>8130</v>
      </c>
      <c r="AC1099" s="25"/>
      <c r="AD1099" s="25"/>
      <c r="AE1099" s="22" t="s">
        <v>8132</v>
      </c>
      <c r="AF1099" s="25"/>
      <c r="AG1099" s="22">
        <v>1.0472557543747E13</v>
      </c>
      <c r="AH1099" s="22" t="s">
        <v>8137</v>
      </c>
      <c r="AI1099" s="22">
        <v>7.476071530819E12</v>
      </c>
      <c r="AJ1099" s="25"/>
      <c r="AK1099" s="25"/>
      <c r="AL1099" s="22" t="s">
        <v>8149</v>
      </c>
      <c r="AR1099" s="32" t="b">
        <v>0</v>
      </c>
      <c r="AS1099" s="32" t="b">
        <v>0</v>
      </c>
    </row>
    <row r="1100">
      <c r="A1100" s="21" t="s">
        <v>11735</v>
      </c>
      <c r="B1100" s="22" t="s">
        <v>8262</v>
      </c>
      <c r="C1100" s="22">
        <v>1.0</v>
      </c>
      <c r="D1100" s="22" t="s">
        <v>8175</v>
      </c>
      <c r="E1100" s="22" t="s">
        <v>8262</v>
      </c>
      <c r="F1100" s="22" t="s">
        <v>8155</v>
      </c>
      <c r="G1100" s="25"/>
      <c r="H1100" s="22">
        <v>3.2782228226371E13</v>
      </c>
      <c r="I1100" s="25"/>
      <c r="J1100" s="25"/>
      <c r="K1100" s="22">
        <v>4.7338059792707E13</v>
      </c>
      <c r="L1100" s="25"/>
      <c r="M1100" s="25"/>
      <c r="N1100" s="22" t="s">
        <v>11736</v>
      </c>
      <c r="O1100" s="22" t="s">
        <v>11737</v>
      </c>
      <c r="P1100" s="22" t="s">
        <v>11736</v>
      </c>
      <c r="Q1100" s="22" t="s">
        <v>11737</v>
      </c>
      <c r="R1100" s="22" t="s">
        <v>11738</v>
      </c>
      <c r="S1100" s="25"/>
      <c r="T1100" s="40" t="s">
        <v>11739</v>
      </c>
      <c r="U1100" s="22" t="s">
        <v>11740</v>
      </c>
      <c r="V1100" s="25"/>
      <c r="W1100" s="22" t="s">
        <v>11741</v>
      </c>
      <c r="X1100" s="22" t="s">
        <v>8128</v>
      </c>
      <c r="Y1100" s="25"/>
      <c r="Z1100" s="25"/>
      <c r="AA1100" s="22" t="s">
        <v>8129</v>
      </c>
      <c r="AB1100" s="22" t="s">
        <v>8130</v>
      </c>
      <c r="AC1100" s="25"/>
      <c r="AD1100" s="22" t="s">
        <v>8161</v>
      </c>
      <c r="AE1100" s="22" t="s">
        <v>8132</v>
      </c>
      <c r="AF1100" s="25"/>
      <c r="AG1100" s="22">
        <v>1.0472809529667E13</v>
      </c>
      <c r="AH1100" s="22" t="s">
        <v>90</v>
      </c>
      <c r="AI1100" s="22">
        <v>2.3440673767747E13</v>
      </c>
      <c r="AJ1100" s="25"/>
      <c r="AK1100" s="25"/>
      <c r="AL1100" s="22" t="s">
        <v>8269</v>
      </c>
      <c r="AQ1100" s="32" t="s">
        <v>91</v>
      </c>
      <c r="AR1100" s="32" t="b">
        <v>0</v>
      </c>
      <c r="AS1100" s="32" t="b">
        <v>0</v>
      </c>
    </row>
    <row r="1101">
      <c r="A1101" s="21" t="s">
        <v>11735</v>
      </c>
      <c r="B1101" s="25"/>
      <c r="C1101" s="25"/>
      <c r="D1101" s="22" t="s">
        <v>8175</v>
      </c>
      <c r="E1101" s="25"/>
      <c r="F1101" s="22" t="s">
        <v>8149</v>
      </c>
      <c r="G1101" s="25"/>
      <c r="H1101" s="22">
        <v>9.526677373251E12</v>
      </c>
      <c r="I1101" s="25"/>
      <c r="J1101" s="25"/>
      <c r="K1101" s="25"/>
      <c r="L1101" s="25"/>
      <c r="M1101" s="25"/>
      <c r="N1101" s="22" t="s">
        <v>11736</v>
      </c>
      <c r="O1101" s="22" t="s">
        <v>11737</v>
      </c>
      <c r="P1101" s="22" t="s">
        <v>11736</v>
      </c>
      <c r="Q1101" s="22" t="s">
        <v>11737</v>
      </c>
      <c r="R1101" s="22" t="s">
        <v>11738</v>
      </c>
      <c r="S1101" s="25"/>
      <c r="T1101" s="40" t="s">
        <v>11739</v>
      </c>
      <c r="U1101" s="22" t="s">
        <v>11740</v>
      </c>
      <c r="V1101" s="25"/>
      <c r="W1101" s="22" t="s">
        <v>11741</v>
      </c>
      <c r="X1101" s="22" t="s">
        <v>8128</v>
      </c>
      <c r="Y1101" s="25"/>
      <c r="Z1101" s="25"/>
      <c r="AA1101" s="22" t="s">
        <v>8129</v>
      </c>
      <c r="AB1101" s="22" t="s">
        <v>8130</v>
      </c>
      <c r="AC1101" s="25"/>
      <c r="AD1101" s="25"/>
      <c r="AE1101" s="22" t="s">
        <v>8132</v>
      </c>
      <c r="AF1101" s="25"/>
      <c r="AG1101" s="22">
        <v>1.0472809529667E13</v>
      </c>
      <c r="AH1101" s="22" t="s">
        <v>8137</v>
      </c>
      <c r="AI1101" s="22">
        <v>2.3440673767747E13</v>
      </c>
      <c r="AJ1101" s="25"/>
      <c r="AK1101" s="25"/>
      <c r="AL1101" s="22" t="s">
        <v>8149</v>
      </c>
      <c r="AR1101" s="32" t="b">
        <v>0</v>
      </c>
      <c r="AS1101" s="32" t="b">
        <v>0</v>
      </c>
    </row>
    <row r="1102">
      <c r="A1102" s="21" t="s">
        <v>11742</v>
      </c>
      <c r="B1102" s="22" t="s">
        <v>8119</v>
      </c>
      <c r="C1102" s="22">
        <v>1.0</v>
      </c>
      <c r="D1102" s="22" t="s">
        <v>8501</v>
      </c>
      <c r="E1102" s="22" t="s">
        <v>8119</v>
      </c>
      <c r="F1102" s="22" t="s">
        <v>8121</v>
      </c>
      <c r="G1102" s="25"/>
      <c r="H1102" s="22">
        <v>3.2782269382979E13</v>
      </c>
      <c r="I1102" s="25"/>
      <c r="J1102" s="25"/>
      <c r="K1102" s="22">
        <v>4.2085703549171E13</v>
      </c>
      <c r="L1102" s="25"/>
      <c r="M1102" s="25"/>
      <c r="N1102" s="22" t="s">
        <v>4492</v>
      </c>
      <c r="O1102" s="22" t="s">
        <v>11743</v>
      </c>
      <c r="P1102" s="22" t="s">
        <v>4492</v>
      </c>
      <c r="Q1102" s="22" t="s">
        <v>11743</v>
      </c>
      <c r="R1102" s="22" t="s">
        <v>11744</v>
      </c>
      <c r="S1102" s="22" t="s">
        <v>11745</v>
      </c>
      <c r="T1102" s="40" t="s">
        <v>11746</v>
      </c>
      <c r="U1102" s="22" t="s">
        <v>11747</v>
      </c>
      <c r="V1102" s="25"/>
      <c r="W1102" s="22" t="s">
        <v>11748</v>
      </c>
      <c r="X1102" s="22" t="s">
        <v>8251</v>
      </c>
      <c r="Y1102" s="25"/>
      <c r="Z1102" s="25"/>
      <c r="AA1102" s="22" t="s">
        <v>8129</v>
      </c>
      <c r="AB1102" s="22" t="s">
        <v>8130</v>
      </c>
      <c r="AC1102" s="25"/>
      <c r="AD1102" s="22" t="s">
        <v>8131</v>
      </c>
      <c r="AE1102" s="22" t="s">
        <v>8132</v>
      </c>
      <c r="AF1102" s="25"/>
      <c r="AG1102" s="22">
        <v>1.0472828502339E13</v>
      </c>
      <c r="AH1102" s="22" t="s">
        <v>90</v>
      </c>
      <c r="AI1102" s="22">
        <v>2.3440692445507E13</v>
      </c>
      <c r="AJ1102" s="25"/>
      <c r="AK1102" s="25"/>
      <c r="AL1102" s="22" t="s">
        <v>8133</v>
      </c>
      <c r="AQ1102" s="32" t="s">
        <v>8135</v>
      </c>
      <c r="AR1102" s="32" t="b">
        <v>0</v>
      </c>
      <c r="AS1102" s="32" t="b">
        <v>0</v>
      </c>
    </row>
    <row r="1103">
      <c r="A1103" s="21" t="s">
        <v>11742</v>
      </c>
      <c r="B1103" s="25"/>
      <c r="C1103" s="25"/>
      <c r="D1103" s="22" t="s">
        <v>8501</v>
      </c>
      <c r="E1103" s="25"/>
      <c r="F1103" s="22" t="s">
        <v>8136</v>
      </c>
      <c r="G1103" s="25"/>
      <c r="H1103" s="22">
        <v>9.526693658947E12</v>
      </c>
      <c r="I1103" s="25"/>
      <c r="J1103" s="25"/>
      <c r="K1103" s="25"/>
      <c r="L1103" s="25"/>
      <c r="M1103" s="25"/>
      <c r="N1103" s="22" t="s">
        <v>4492</v>
      </c>
      <c r="O1103" s="22" t="s">
        <v>11743</v>
      </c>
      <c r="P1103" s="22" t="s">
        <v>4492</v>
      </c>
      <c r="Q1103" s="22" t="s">
        <v>11743</v>
      </c>
      <c r="R1103" s="22" t="s">
        <v>11744</v>
      </c>
      <c r="S1103" s="22" t="s">
        <v>11745</v>
      </c>
      <c r="T1103" s="40" t="s">
        <v>11746</v>
      </c>
      <c r="U1103" s="22" t="s">
        <v>11747</v>
      </c>
      <c r="V1103" s="25"/>
      <c r="W1103" s="22" t="s">
        <v>11748</v>
      </c>
      <c r="X1103" s="22" t="s">
        <v>8251</v>
      </c>
      <c r="Y1103" s="25"/>
      <c r="Z1103" s="25"/>
      <c r="AA1103" s="22" t="s">
        <v>8129</v>
      </c>
      <c r="AB1103" s="22" t="s">
        <v>8130</v>
      </c>
      <c r="AC1103" s="25"/>
      <c r="AD1103" s="25"/>
      <c r="AE1103" s="22" t="s">
        <v>8132</v>
      </c>
      <c r="AF1103" s="25"/>
      <c r="AG1103" s="22">
        <v>1.0472828502339E13</v>
      </c>
      <c r="AH1103" s="22" t="s">
        <v>8137</v>
      </c>
      <c r="AI1103" s="22">
        <v>2.3440692445507E13</v>
      </c>
      <c r="AJ1103" s="25"/>
      <c r="AK1103" s="25"/>
      <c r="AL1103" s="22" t="s">
        <v>8136</v>
      </c>
      <c r="AR1103" s="32" t="b">
        <v>0</v>
      </c>
      <c r="AS1103" s="32" t="b">
        <v>0</v>
      </c>
    </row>
    <row r="1104">
      <c r="A1104" s="21" t="s">
        <v>11749</v>
      </c>
      <c r="B1104" s="22" t="s">
        <v>8119</v>
      </c>
      <c r="C1104" s="22">
        <v>1.0</v>
      </c>
      <c r="D1104" s="22" t="s">
        <v>8371</v>
      </c>
      <c r="E1104" s="22" t="s">
        <v>8119</v>
      </c>
      <c r="F1104" s="22" t="s">
        <v>8121</v>
      </c>
      <c r="G1104" s="25"/>
      <c r="H1104" s="22">
        <v>3.2782377943363E13</v>
      </c>
      <c r="I1104" s="25"/>
      <c r="J1104" s="25"/>
      <c r="K1104" s="22">
        <v>4.2085703549171E13</v>
      </c>
      <c r="L1104" s="25"/>
      <c r="M1104" s="25"/>
      <c r="N1104" s="22" t="s">
        <v>3814</v>
      </c>
      <c r="O1104" s="22" t="s">
        <v>3705</v>
      </c>
      <c r="P1104" s="22" t="s">
        <v>3814</v>
      </c>
      <c r="Q1104" s="22" t="s">
        <v>3705</v>
      </c>
      <c r="R1104" s="22" t="s">
        <v>11750</v>
      </c>
      <c r="S1104" s="22" t="s">
        <v>11751</v>
      </c>
      <c r="T1104" s="40" t="s">
        <v>11752</v>
      </c>
      <c r="U1104" s="22" t="s">
        <v>11753</v>
      </c>
      <c r="V1104" s="22" t="s">
        <v>11754</v>
      </c>
      <c r="W1104" s="22" t="s">
        <v>11755</v>
      </c>
      <c r="X1104" s="22" t="s">
        <v>8289</v>
      </c>
      <c r="Y1104" s="25"/>
      <c r="Z1104" s="25"/>
      <c r="AA1104" s="22" t="s">
        <v>8129</v>
      </c>
      <c r="AB1104" s="22" t="s">
        <v>8130</v>
      </c>
      <c r="AC1104" s="25"/>
      <c r="AD1104" s="22" t="s">
        <v>8131</v>
      </c>
      <c r="AE1104" s="22" t="s">
        <v>8132</v>
      </c>
      <c r="AF1104" s="25"/>
      <c r="AG1104" s="22">
        <v>1.0472878080323E13</v>
      </c>
      <c r="AH1104" s="22" t="s">
        <v>90</v>
      </c>
      <c r="AI1104" s="22">
        <v>2.3440739729731E13</v>
      </c>
      <c r="AJ1104" s="25"/>
      <c r="AK1104" s="25"/>
      <c r="AL1104" s="22" t="s">
        <v>8133</v>
      </c>
      <c r="AQ1104" s="32" t="s">
        <v>8135</v>
      </c>
      <c r="AR1104" s="32" t="b">
        <v>0</v>
      </c>
      <c r="AS1104" s="32" t="b">
        <v>0</v>
      </c>
    </row>
    <row r="1105">
      <c r="A1105" s="21" t="s">
        <v>11749</v>
      </c>
      <c r="B1105" s="25"/>
      <c r="C1105" s="25"/>
      <c r="D1105" s="22" t="s">
        <v>8371</v>
      </c>
      <c r="E1105" s="25"/>
      <c r="F1105" s="22" t="s">
        <v>8136</v>
      </c>
      <c r="G1105" s="25"/>
      <c r="H1105" s="22">
        <v>9.526737338691E12</v>
      </c>
      <c r="I1105" s="25"/>
      <c r="J1105" s="25"/>
      <c r="K1105" s="25"/>
      <c r="L1105" s="25"/>
      <c r="M1105" s="25"/>
      <c r="N1105" s="22" t="s">
        <v>3814</v>
      </c>
      <c r="O1105" s="22" t="s">
        <v>3705</v>
      </c>
      <c r="P1105" s="22" t="s">
        <v>3814</v>
      </c>
      <c r="Q1105" s="22" t="s">
        <v>3705</v>
      </c>
      <c r="R1105" s="22" t="s">
        <v>11750</v>
      </c>
      <c r="S1105" s="22" t="s">
        <v>11751</v>
      </c>
      <c r="T1105" s="40" t="s">
        <v>11752</v>
      </c>
      <c r="U1105" s="22" t="s">
        <v>11753</v>
      </c>
      <c r="V1105" s="22" t="s">
        <v>11754</v>
      </c>
      <c r="W1105" s="22" t="s">
        <v>11755</v>
      </c>
      <c r="X1105" s="22" t="s">
        <v>8289</v>
      </c>
      <c r="Y1105" s="25"/>
      <c r="Z1105" s="25"/>
      <c r="AA1105" s="22" t="s">
        <v>8129</v>
      </c>
      <c r="AB1105" s="22" t="s">
        <v>8130</v>
      </c>
      <c r="AC1105" s="25"/>
      <c r="AD1105" s="25"/>
      <c r="AE1105" s="22" t="s">
        <v>8132</v>
      </c>
      <c r="AF1105" s="25"/>
      <c r="AG1105" s="22">
        <v>1.0472878080323E13</v>
      </c>
      <c r="AH1105" s="22" t="s">
        <v>8137</v>
      </c>
      <c r="AI1105" s="22">
        <v>2.3440739729731E13</v>
      </c>
      <c r="AJ1105" s="25"/>
      <c r="AK1105" s="25"/>
      <c r="AL1105" s="22" t="s">
        <v>8136</v>
      </c>
      <c r="AR1105" s="32" t="b">
        <v>0</v>
      </c>
      <c r="AS1105" s="32" t="b">
        <v>0</v>
      </c>
    </row>
    <row r="1106">
      <c r="A1106" s="21" t="s">
        <v>11756</v>
      </c>
      <c r="B1106" s="22" t="s">
        <v>8140</v>
      </c>
      <c r="C1106" s="22">
        <v>1.0</v>
      </c>
      <c r="D1106" s="22" t="s">
        <v>8371</v>
      </c>
      <c r="E1106" s="22" t="s">
        <v>8140</v>
      </c>
      <c r="F1106" s="22" t="s">
        <v>8121</v>
      </c>
      <c r="G1106" s="25"/>
      <c r="H1106" s="22">
        <v>3.2782468710723E13</v>
      </c>
      <c r="I1106" s="25"/>
      <c r="J1106" s="25"/>
      <c r="K1106" s="22">
        <v>4.2085703581939E13</v>
      </c>
      <c r="L1106" s="25"/>
      <c r="M1106" s="25"/>
      <c r="N1106" s="22" t="s">
        <v>11757</v>
      </c>
      <c r="O1106" s="22" t="s">
        <v>11758</v>
      </c>
      <c r="P1106" s="22" t="s">
        <v>11757</v>
      </c>
      <c r="Q1106" s="22" t="s">
        <v>11758</v>
      </c>
      <c r="R1106" s="22" t="s">
        <v>11759</v>
      </c>
      <c r="S1106" s="25"/>
      <c r="T1106" s="40" t="s">
        <v>11760</v>
      </c>
      <c r="U1106" s="22" t="s">
        <v>11761</v>
      </c>
      <c r="V1106" s="25"/>
      <c r="W1106" s="22" t="s">
        <v>11762</v>
      </c>
      <c r="X1106" s="22" t="s">
        <v>8128</v>
      </c>
      <c r="Y1106" s="25"/>
      <c r="Z1106" s="25"/>
      <c r="AA1106" s="22" t="s">
        <v>8129</v>
      </c>
      <c r="AB1106" s="22" t="s">
        <v>8130</v>
      </c>
      <c r="AC1106" s="25"/>
      <c r="AD1106" s="22" t="s">
        <v>8131</v>
      </c>
      <c r="AE1106" s="22" t="s">
        <v>8132</v>
      </c>
      <c r="AF1106" s="25"/>
      <c r="AG1106" s="22">
        <v>1.0472917205315E13</v>
      </c>
      <c r="AH1106" s="22" t="s">
        <v>90</v>
      </c>
      <c r="AI1106" s="22">
        <v>2.3440776397123E13</v>
      </c>
      <c r="AJ1106" s="25"/>
      <c r="AK1106" s="25"/>
      <c r="AL1106" s="22" t="s">
        <v>8134</v>
      </c>
      <c r="AQ1106" s="32" t="s">
        <v>8150</v>
      </c>
      <c r="AR1106" s="32" t="b">
        <v>0</v>
      </c>
      <c r="AS1106" s="32" t="b">
        <v>0</v>
      </c>
    </row>
    <row r="1107">
      <c r="A1107" s="21" t="s">
        <v>11756</v>
      </c>
      <c r="B1107" s="25"/>
      <c r="C1107" s="25"/>
      <c r="D1107" s="22" t="s">
        <v>8371</v>
      </c>
      <c r="E1107" s="25"/>
      <c r="F1107" s="22" t="s">
        <v>8136</v>
      </c>
      <c r="G1107" s="25"/>
      <c r="H1107" s="22">
        <v>9.526770827587E12</v>
      </c>
      <c r="I1107" s="25"/>
      <c r="J1107" s="25"/>
      <c r="K1107" s="25"/>
      <c r="L1107" s="25"/>
      <c r="M1107" s="25"/>
      <c r="N1107" s="22" t="s">
        <v>11757</v>
      </c>
      <c r="O1107" s="22" t="s">
        <v>11758</v>
      </c>
      <c r="P1107" s="22" t="s">
        <v>11757</v>
      </c>
      <c r="Q1107" s="22" t="s">
        <v>11758</v>
      </c>
      <c r="R1107" s="22" t="s">
        <v>11759</v>
      </c>
      <c r="S1107" s="25"/>
      <c r="T1107" s="40" t="s">
        <v>11760</v>
      </c>
      <c r="U1107" s="22" t="s">
        <v>11761</v>
      </c>
      <c r="V1107" s="25"/>
      <c r="W1107" s="22" t="s">
        <v>11762</v>
      </c>
      <c r="X1107" s="22" t="s">
        <v>8128</v>
      </c>
      <c r="Y1107" s="25"/>
      <c r="Z1107" s="25"/>
      <c r="AA1107" s="22" t="s">
        <v>8129</v>
      </c>
      <c r="AB1107" s="22" t="s">
        <v>8130</v>
      </c>
      <c r="AC1107" s="25"/>
      <c r="AD1107" s="25"/>
      <c r="AE1107" s="22" t="s">
        <v>8132</v>
      </c>
      <c r="AF1107" s="25"/>
      <c r="AG1107" s="22">
        <v>1.0472917205315E13</v>
      </c>
      <c r="AH1107" s="22" t="s">
        <v>8137</v>
      </c>
      <c r="AI1107" s="22">
        <v>2.3440776397123E13</v>
      </c>
      <c r="AJ1107" s="25"/>
      <c r="AK1107" s="25"/>
      <c r="AL1107" s="22" t="s">
        <v>8136</v>
      </c>
      <c r="AR1107" s="32" t="b">
        <v>0</v>
      </c>
      <c r="AS1107" s="32" t="b">
        <v>0</v>
      </c>
    </row>
    <row r="1108">
      <c r="A1108" s="21" t="s">
        <v>11763</v>
      </c>
      <c r="B1108" s="22" t="s">
        <v>8140</v>
      </c>
      <c r="C1108" s="22">
        <v>1.0</v>
      </c>
      <c r="D1108" s="22" t="s">
        <v>8419</v>
      </c>
      <c r="E1108" s="22" t="s">
        <v>8140</v>
      </c>
      <c r="F1108" s="22" t="s">
        <v>8121</v>
      </c>
      <c r="G1108" s="25"/>
      <c r="H1108" s="22">
        <v>3.2782579532099E13</v>
      </c>
      <c r="I1108" s="25"/>
      <c r="J1108" s="25"/>
      <c r="K1108" s="22">
        <v>4.2085703581939E13</v>
      </c>
      <c r="L1108" s="25"/>
      <c r="M1108" s="25"/>
      <c r="N1108" s="22" t="s">
        <v>4042</v>
      </c>
      <c r="O1108" s="22" t="s">
        <v>11764</v>
      </c>
      <c r="P1108" s="22" t="s">
        <v>4042</v>
      </c>
      <c r="Q1108" s="22" t="s">
        <v>11764</v>
      </c>
      <c r="R1108" s="22" t="s">
        <v>11765</v>
      </c>
      <c r="S1108" s="25"/>
      <c r="T1108" s="40" t="s">
        <v>11766</v>
      </c>
      <c r="U1108" s="22" t="s">
        <v>11767</v>
      </c>
      <c r="V1108" s="25"/>
      <c r="W1108" s="22" t="s">
        <v>11768</v>
      </c>
      <c r="X1108" s="22" t="s">
        <v>8380</v>
      </c>
      <c r="Y1108" s="25"/>
      <c r="Z1108" s="25"/>
      <c r="AA1108" s="22" t="s">
        <v>8129</v>
      </c>
      <c r="AB1108" s="22" t="s">
        <v>8130</v>
      </c>
      <c r="AC1108" s="25"/>
      <c r="AD1108" s="22" t="s">
        <v>8131</v>
      </c>
      <c r="AE1108" s="22" t="s">
        <v>8132</v>
      </c>
      <c r="AF1108" s="25"/>
      <c r="AG1108" s="22">
        <v>1.0472969044291E13</v>
      </c>
      <c r="AH1108" s="22" t="s">
        <v>90</v>
      </c>
      <c r="AI1108" s="22">
        <v>7.428824498499E12</v>
      </c>
      <c r="AJ1108" s="25"/>
      <c r="AK1108" s="25"/>
      <c r="AL1108" s="22" t="s">
        <v>8134</v>
      </c>
      <c r="AQ1108" s="32" t="s">
        <v>8150</v>
      </c>
      <c r="AR1108" s="32" t="b">
        <v>0</v>
      </c>
      <c r="AS1108" s="32" t="b">
        <v>0</v>
      </c>
    </row>
    <row r="1109">
      <c r="A1109" s="21" t="s">
        <v>11763</v>
      </c>
      <c r="B1109" s="25"/>
      <c r="C1109" s="25"/>
      <c r="D1109" s="22" t="s">
        <v>8419</v>
      </c>
      <c r="E1109" s="25"/>
      <c r="F1109" s="22" t="s">
        <v>8136</v>
      </c>
      <c r="G1109" s="25"/>
      <c r="H1109" s="22">
        <v>9.526814441795E12</v>
      </c>
      <c r="I1109" s="25"/>
      <c r="J1109" s="25"/>
      <c r="K1109" s="25"/>
      <c r="L1109" s="25"/>
      <c r="M1109" s="25"/>
      <c r="N1109" s="22" t="s">
        <v>4042</v>
      </c>
      <c r="O1109" s="22" t="s">
        <v>11764</v>
      </c>
      <c r="P1109" s="22" t="s">
        <v>4042</v>
      </c>
      <c r="Q1109" s="22" t="s">
        <v>11764</v>
      </c>
      <c r="R1109" s="22" t="s">
        <v>11765</v>
      </c>
      <c r="S1109" s="25"/>
      <c r="T1109" s="40" t="s">
        <v>11766</v>
      </c>
      <c r="U1109" s="22" t="s">
        <v>11767</v>
      </c>
      <c r="V1109" s="25"/>
      <c r="W1109" s="22" t="s">
        <v>11768</v>
      </c>
      <c r="X1109" s="22" t="s">
        <v>8380</v>
      </c>
      <c r="Y1109" s="25"/>
      <c r="Z1109" s="25"/>
      <c r="AA1109" s="22" t="s">
        <v>8129</v>
      </c>
      <c r="AB1109" s="22" t="s">
        <v>8130</v>
      </c>
      <c r="AC1109" s="25"/>
      <c r="AD1109" s="25"/>
      <c r="AE1109" s="22" t="s">
        <v>8132</v>
      </c>
      <c r="AF1109" s="25"/>
      <c r="AG1109" s="22">
        <v>1.0472969044291E13</v>
      </c>
      <c r="AH1109" s="22" t="s">
        <v>8137</v>
      </c>
      <c r="AI1109" s="22">
        <v>7.428824498499E12</v>
      </c>
      <c r="AJ1109" s="25"/>
      <c r="AK1109" s="25"/>
      <c r="AL1109" s="22" t="s">
        <v>8136</v>
      </c>
      <c r="AR1109" s="32" t="b">
        <v>0</v>
      </c>
      <c r="AS1109" s="32" t="b">
        <v>0</v>
      </c>
    </row>
    <row r="1110">
      <c r="A1110" s="21" t="s">
        <v>11769</v>
      </c>
      <c r="B1110" s="22" t="s">
        <v>8119</v>
      </c>
      <c r="C1110" s="22">
        <v>1.0</v>
      </c>
      <c r="D1110" s="22" t="s">
        <v>8175</v>
      </c>
      <c r="E1110" s="22" t="s">
        <v>8119</v>
      </c>
      <c r="F1110" s="22" t="s">
        <v>8121</v>
      </c>
      <c r="G1110" s="25"/>
      <c r="H1110" s="22">
        <v>3.2782617805123E13</v>
      </c>
      <c r="I1110" s="25"/>
      <c r="J1110" s="25"/>
      <c r="K1110" s="22">
        <v>4.2085703549171E13</v>
      </c>
      <c r="L1110" s="25"/>
      <c r="M1110" s="25"/>
      <c r="N1110" s="22" t="s">
        <v>11770</v>
      </c>
      <c r="O1110" s="22" t="s">
        <v>11771</v>
      </c>
      <c r="P1110" s="22" t="s">
        <v>11770</v>
      </c>
      <c r="Q1110" s="22" t="s">
        <v>11771</v>
      </c>
      <c r="R1110" s="22" t="s">
        <v>11772</v>
      </c>
      <c r="S1110" s="25"/>
      <c r="T1110" s="40" t="s">
        <v>11773</v>
      </c>
      <c r="U1110" s="22" t="s">
        <v>11774</v>
      </c>
      <c r="V1110" s="25"/>
      <c r="W1110" s="22" t="s">
        <v>11775</v>
      </c>
      <c r="X1110" s="22" t="s">
        <v>8289</v>
      </c>
      <c r="Y1110" s="25"/>
      <c r="Z1110" s="25"/>
      <c r="AA1110" s="22" t="s">
        <v>8129</v>
      </c>
      <c r="AB1110" s="22" t="s">
        <v>8130</v>
      </c>
      <c r="AC1110" s="25"/>
      <c r="AD1110" s="22" t="s">
        <v>8131</v>
      </c>
      <c r="AE1110" s="22" t="s">
        <v>8132</v>
      </c>
      <c r="AF1110" s="25"/>
      <c r="AG1110" s="22">
        <v>1.0472987656515E13</v>
      </c>
      <c r="AH1110" s="22" t="s">
        <v>90</v>
      </c>
      <c r="AI1110" s="22">
        <v>2.3440843407683E13</v>
      </c>
      <c r="AJ1110" s="25"/>
      <c r="AK1110" s="25"/>
      <c r="AL1110" s="22" t="s">
        <v>8133</v>
      </c>
      <c r="AQ1110" s="32" t="s">
        <v>8135</v>
      </c>
      <c r="AR1110" s="32" t="b">
        <v>0</v>
      </c>
      <c r="AS1110" s="32" t="b">
        <v>0</v>
      </c>
    </row>
    <row r="1111">
      <c r="A1111" s="21" t="s">
        <v>11769</v>
      </c>
      <c r="B1111" s="25"/>
      <c r="C1111" s="25"/>
      <c r="D1111" s="22" t="s">
        <v>8175</v>
      </c>
      <c r="E1111" s="25"/>
      <c r="F1111" s="22" t="s">
        <v>8136</v>
      </c>
      <c r="G1111" s="25"/>
      <c r="H1111" s="22">
        <v>9.526830825795E12</v>
      </c>
      <c r="I1111" s="25"/>
      <c r="J1111" s="25"/>
      <c r="K1111" s="25"/>
      <c r="L1111" s="25"/>
      <c r="M1111" s="25"/>
      <c r="N1111" s="22" t="s">
        <v>11770</v>
      </c>
      <c r="O1111" s="22" t="s">
        <v>11771</v>
      </c>
      <c r="P1111" s="22" t="s">
        <v>11770</v>
      </c>
      <c r="Q1111" s="22" t="s">
        <v>11771</v>
      </c>
      <c r="R1111" s="22" t="s">
        <v>11772</v>
      </c>
      <c r="S1111" s="25"/>
      <c r="T1111" s="40" t="s">
        <v>11773</v>
      </c>
      <c r="U1111" s="22" t="s">
        <v>11774</v>
      </c>
      <c r="V1111" s="25"/>
      <c r="W1111" s="22" t="s">
        <v>11775</v>
      </c>
      <c r="X1111" s="22" t="s">
        <v>8289</v>
      </c>
      <c r="Y1111" s="25"/>
      <c r="Z1111" s="25"/>
      <c r="AA1111" s="22" t="s">
        <v>8129</v>
      </c>
      <c r="AB1111" s="22" t="s">
        <v>8130</v>
      </c>
      <c r="AC1111" s="25"/>
      <c r="AD1111" s="25"/>
      <c r="AE1111" s="22" t="s">
        <v>8132</v>
      </c>
      <c r="AF1111" s="25"/>
      <c r="AG1111" s="22">
        <v>1.0472987656515E13</v>
      </c>
      <c r="AH1111" s="22" t="s">
        <v>8137</v>
      </c>
      <c r="AI1111" s="22">
        <v>2.3440843407683E13</v>
      </c>
      <c r="AJ1111" s="25"/>
      <c r="AK1111" s="25"/>
      <c r="AL1111" s="22" t="s">
        <v>8136</v>
      </c>
      <c r="AR1111" s="32" t="b">
        <v>0</v>
      </c>
      <c r="AS1111" s="32" t="b">
        <v>0</v>
      </c>
    </row>
    <row r="1112">
      <c r="A1112" s="21" t="s">
        <v>11776</v>
      </c>
      <c r="B1112" s="22" t="s">
        <v>8140</v>
      </c>
      <c r="C1112" s="22">
        <v>1.0</v>
      </c>
      <c r="D1112" s="22" t="s">
        <v>10170</v>
      </c>
      <c r="E1112" s="22" t="s">
        <v>8140</v>
      </c>
      <c r="F1112" s="22" t="s">
        <v>8121</v>
      </c>
      <c r="G1112" s="25"/>
      <c r="H1112" s="22">
        <v>3.2782768800067E13</v>
      </c>
      <c r="I1112" s="25"/>
      <c r="J1112" s="25"/>
      <c r="K1112" s="22">
        <v>4.2085703581939E13</v>
      </c>
      <c r="L1112" s="25"/>
      <c r="M1112" s="25"/>
      <c r="N1112" s="22" t="s">
        <v>4297</v>
      </c>
      <c r="O1112" s="22" t="s">
        <v>11777</v>
      </c>
      <c r="P1112" s="22" t="s">
        <v>4297</v>
      </c>
      <c r="Q1112" s="22" t="s">
        <v>11777</v>
      </c>
      <c r="R1112" s="22" t="s">
        <v>11778</v>
      </c>
      <c r="S1112" s="25"/>
      <c r="T1112" s="40" t="s">
        <v>11779</v>
      </c>
      <c r="U1112" s="22" t="s">
        <v>11780</v>
      </c>
      <c r="V1112" s="25"/>
      <c r="W1112" s="22" t="s">
        <v>11781</v>
      </c>
      <c r="X1112" s="22" t="s">
        <v>10092</v>
      </c>
      <c r="Y1112" s="25"/>
      <c r="Z1112" s="25"/>
      <c r="AA1112" s="22" t="s">
        <v>8129</v>
      </c>
      <c r="AB1112" s="22" t="s">
        <v>8130</v>
      </c>
      <c r="AC1112" s="25"/>
      <c r="AD1112" s="22" t="s">
        <v>8131</v>
      </c>
      <c r="AE1112" s="22" t="s">
        <v>8132</v>
      </c>
      <c r="AF1112" s="25"/>
      <c r="AG1112" s="22">
        <v>1.0473060467011E13</v>
      </c>
      <c r="AH1112" s="22" t="s">
        <v>90</v>
      </c>
      <c r="AI1112" s="22">
        <v>8.577945829699E12</v>
      </c>
      <c r="AJ1112" s="25"/>
      <c r="AK1112" s="25"/>
      <c r="AL1112" s="22" t="s">
        <v>8134</v>
      </c>
      <c r="AQ1112" s="32" t="s">
        <v>8150</v>
      </c>
      <c r="AR1112" s="32" t="b">
        <v>0</v>
      </c>
      <c r="AS1112" s="32" t="b">
        <v>0</v>
      </c>
    </row>
    <row r="1113">
      <c r="A1113" s="21" t="s">
        <v>11776</v>
      </c>
      <c r="B1113" s="25"/>
      <c r="C1113" s="25"/>
      <c r="D1113" s="22" t="s">
        <v>10170</v>
      </c>
      <c r="E1113" s="25"/>
      <c r="F1113" s="22" t="s">
        <v>8136</v>
      </c>
      <c r="G1113" s="25"/>
      <c r="H1113" s="22">
        <v>9.526893084995E12</v>
      </c>
      <c r="I1113" s="25"/>
      <c r="J1113" s="25"/>
      <c r="K1113" s="25"/>
      <c r="L1113" s="25"/>
      <c r="M1113" s="25"/>
      <c r="N1113" s="22" t="s">
        <v>4297</v>
      </c>
      <c r="O1113" s="22" t="s">
        <v>11777</v>
      </c>
      <c r="P1113" s="22" t="s">
        <v>4297</v>
      </c>
      <c r="Q1113" s="22" t="s">
        <v>11777</v>
      </c>
      <c r="R1113" s="22" t="s">
        <v>11778</v>
      </c>
      <c r="S1113" s="25"/>
      <c r="T1113" s="40" t="s">
        <v>11779</v>
      </c>
      <c r="U1113" s="22" t="s">
        <v>11780</v>
      </c>
      <c r="V1113" s="25"/>
      <c r="W1113" s="22" t="s">
        <v>11781</v>
      </c>
      <c r="X1113" s="22" t="s">
        <v>10092</v>
      </c>
      <c r="Y1113" s="25"/>
      <c r="Z1113" s="25"/>
      <c r="AA1113" s="22" t="s">
        <v>8129</v>
      </c>
      <c r="AB1113" s="22" t="s">
        <v>8130</v>
      </c>
      <c r="AC1113" s="25"/>
      <c r="AD1113" s="25"/>
      <c r="AE1113" s="22" t="s">
        <v>8132</v>
      </c>
      <c r="AF1113" s="25"/>
      <c r="AG1113" s="22">
        <v>1.0473060467011E13</v>
      </c>
      <c r="AH1113" s="22" t="s">
        <v>8137</v>
      </c>
      <c r="AI1113" s="22">
        <v>8.577945829699E12</v>
      </c>
      <c r="AJ1113" s="25"/>
      <c r="AK1113" s="25"/>
      <c r="AL1113" s="22" t="s">
        <v>8136</v>
      </c>
      <c r="AR1113" s="32" t="b">
        <v>0</v>
      </c>
      <c r="AS1113" s="32" t="b">
        <v>0</v>
      </c>
    </row>
    <row r="1114">
      <c r="A1114" s="21" t="s">
        <v>11782</v>
      </c>
      <c r="B1114" s="22" t="s">
        <v>8707</v>
      </c>
      <c r="C1114" s="22">
        <v>1.0</v>
      </c>
      <c r="D1114" s="22" t="s">
        <v>8175</v>
      </c>
      <c r="E1114" s="22" t="s">
        <v>8707</v>
      </c>
      <c r="F1114" s="22" t="s">
        <v>8155</v>
      </c>
      <c r="G1114" s="25"/>
      <c r="H1114" s="22">
        <v>3.2782879490371E13</v>
      </c>
      <c r="I1114" s="25"/>
      <c r="J1114" s="25"/>
      <c r="K1114" s="22">
        <v>4.9521175429443E13</v>
      </c>
      <c r="L1114" s="25"/>
      <c r="M1114" s="25"/>
      <c r="N1114" s="22" t="s">
        <v>11783</v>
      </c>
      <c r="O1114" s="22" t="s">
        <v>11784</v>
      </c>
      <c r="P1114" s="22" t="s">
        <v>11783</v>
      </c>
      <c r="Q1114" s="22" t="s">
        <v>11784</v>
      </c>
      <c r="R1114" s="22" t="s">
        <v>11785</v>
      </c>
      <c r="S1114" s="25"/>
      <c r="T1114" s="40" t="s">
        <v>11786</v>
      </c>
      <c r="U1114" s="22" t="s">
        <v>11787</v>
      </c>
      <c r="V1114" s="25"/>
      <c r="W1114" s="22" t="s">
        <v>11788</v>
      </c>
      <c r="X1114" s="22" t="s">
        <v>8289</v>
      </c>
      <c r="Y1114" s="25"/>
      <c r="Z1114" s="25"/>
      <c r="AA1114" s="22" t="s">
        <v>8129</v>
      </c>
      <c r="AB1114" s="22" t="s">
        <v>8130</v>
      </c>
      <c r="AC1114" s="25"/>
      <c r="AD1114" s="22" t="s">
        <v>8161</v>
      </c>
      <c r="AE1114" s="22" t="s">
        <v>8132</v>
      </c>
      <c r="AF1114" s="25"/>
      <c r="AG1114" s="22">
        <v>1.0473111257411E13</v>
      </c>
      <c r="AH1114" s="22" t="s">
        <v>90</v>
      </c>
      <c r="AI1114" s="22">
        <v>2.3440970350915E13</v>
      </c>
      <c r="AJ1114" s="25"/>
      <c r="AK1114" s="25"/>
      <c r="AL1114" s="22" t="s">
        <v>8336</v>
      </c>
      <c r="AQ1114" s="32" t="s">
        <v>54</v>
      </c>
      <c r="AR1114" s="32" t="b">
        <v>0</v>
      </c>
      <c r="AS1114" s="32" t="b">
        <v>1</v>
      </c>
    </row>
    <row r="1115">
      <c r="A1115" s="21" t="s">
        <v>11782</v>
      </c>
      <c r="B1115" s="25"/>
      <c r="C1115" s="25"/>
      <c r="D1115" s="22" t="s">
        <v>8175</v>
      </c>
      <c r="E1115" s="25"/>
      <c r="F1115" s="22" t="s">
        <v>8149</v>
      </c>
      <c r="G1115" s="25"/>
      <c r="H1115" s="22">
        <v>9.526936764739E12</v>
      </c>
      <c r="I1115" s="25"/>
      <c r="J1115" s="25"/>
      <c r="K1115" s="25"/>
      <c r="L1115" s="25"/>
      <c r="M1115" s="25"/>
      <c r="N1115" s="22" t="s">
        <v>11783</v>
      </c>
      <c r="O1115" s="22" t="s">
        <v>11784</v>
      </c>
      <c r="P1115" s="22" t="s">
        <v>11783</v>
      </c>
      <c r="Q1115" s="22" t="s">
        <v>11784</v>
      </c>
      <c r="R1115" s="22" t="s">
        <v>11785</v>
      </c>
      <c r="S1115" s="25"/>
      <c r="T1115" s="40" t="s">
        <v>11786</v>
      </c>
      <c r="U1115" s="22" t="s">
        <v>11787</v>
      </c>
      <c r="V1115" s="25"/>
      <c r="W1115" s="22" t="s">
        <v>11788</v>
      </c>
      <c r="X1115" s="22" t="s">
        <v>8289</v>
      </c>
      <c r="Y1115" s="25"/>
      <c r="Z1115" s="25"/>
      <c r="AA1115" s="22" t="s">
        <v>8129</v>
      </c>
      <c r="AB1115" s="22" t="s">
        <v>8130</v>
      </c>
      <c r="AC1115" s="25"/>
      <c r="AD1115" s="25"/>
      <c r="AE1115" s="22" t="s">
        <v>8132</v>
      </c>
      <c r="AF1115" s="25"/>
      <c r="AG1115" s="22">
        <v>1.0473111257411E13</v>
      </c>
      <c r="AH1115" s="22" t="s">
        <v>8137</v>
      </c>
      <c r="AI1115" s="22">
        <v>2.3440970350915E13</v>
      </c>
      <c r="AJ1115" s="25"/>
      <c r="AK1115" s="25"/>
      <c r="AL1115" s="22" t="s">
        <v>8149</v>
      </c>
      <c r="AR1115" s="32" t="b">
        <v>0</v>
      </c>
      <c r="AS1115" s="32" t="b">
        <v>0</v>
      </c>
    </row>
    <row r="1116">
      <c r="A1116" s="21" t="s">
        <v>11789</v>
      </c>
      <c r="B1116" s="22" t="s">
        <v>8119</v>
      </c>
      <c r="C1116" s="22">
        <v>1.0</v>
      </c>
      <c r="D1116" s="22" t="s">
        <v>8254</v>
      </c>
      <c r="E1116" s="22" t="s">
        <v>8119</v>
      </c>
      <c r="F1116" s="22" t="s">
        <v>8121</v>
      </c>
      <c r="G1116" s="25"/>
      <c r="H1116" s="22">
        <v>3.2783059222851E13</v>
      </c>
      <c r="I1116" s="25"/>
      <c r="J1116" s="25"/>
      <c r="K1116" s="22">
        <v>4.2085703549171E13</v>
      </c>
      <c r="L1116" s="25"/>
      <c r="M1116" s="25"/>
      <c r="N1116" s="22" t="s">
        <v>11790</v>
      </c>
      <c r="O1116" s="22" t="s">
        <v>11791</v>
      </c>
      <c r="P1116" s="22" t="s">
        <v>4866</v>
      </c>
      <c r="Q1116" s="22" t="s">
        <v>11792</v>
      </c>
      <c r="R1116" s="22" t="s">
        <v>11793</v>
      </c>
      <c r="S1116" s="25"/>
      <c r="T1116" s="40" t="s">
        <v>11794</v>
      </c>
      <c r="U1116" s="22" t="s">
        <v>11795</v>
      </c>
      <c r="V1116" s="25"/>
      <c r="W1116" s="22" t="s">
        <v>11796</v>
      </c>
      <c r="X1116" s="22" t="s">
        <v>10268</v>
      </c>
      <c r="Y1116" s="25"/>
      <c r="Z1116" s="25"/>
      <c r="AA1116" s="22" t="s">
        <v>8129</v>
      </c>
      <c r="AB1116" s="22" t="s">
        <v>8130</v>
      </c>
      <c r="AC1116" s="25"/>
      <c r="AD1116" s="22" t="s">
        <v>8131</v>
      </c>
      <c r="AE1116" s="22" t="s">
        <v>8132</v>
      </c>
      <c r="AF1116" s="25"/>
      <c r="AG1116" s="22">
        <v>1.0473195307331E13</v>
      </c>
      <c r="AH1116" s="22" t="s">
        <v>90</v>
      </c>
      <c r="AI1116" s="22">
        <v>7.475146359107E12</v>
      </c>
      <c r="AJ1116" s="25"/>
      <c r="AK1116" s="25"/>
      <c r="AL1116" s="22" t="s">
        <v>8133</v>
      </c>
      <c r="AQ1116" s="32" t="s">
        <v>8135</v>
      </c>
      <c r="AR1116" s="32" t="b">
        <v>0</v>
      </c>
      <c r="AS1116" s="32" t="b">
        <v>0</v>
      </c>
    </row>
    <row r="1117">
      <c r="A1117" s="21" t="s">
        <v>11789</v>
      </c>
      <c r="B1117" s="25"/>
      <c r="C1117" s="25"/>
      <c r="D1117" s="22" t="s">
        <v>8254</v>
      </c>
      <c r="E1117" s="25"/>
      <c r="F1117" s="22" t="s">
        <v>8136</v>
      </c>
      <c r="G1117" s="25"/>
      <c r="H1117" s="22">
        <v>9.527009018179E12</v>
      </c>
      <c r="I1117" s="25"/>
      <c r="J1117" s="25"/>
      <c r="K1117" s="25"/>
      <c r="L1117" s="25"/>
      <c r="M1117" s="25"/>
      <c r="N1117" s="22" t="s">
        <v>11790</v>
      </c>
      <c r="O1117" s="22" t="s">
        <v>11791</v>
      </c>
      <c r="P1117" s="22" t="s">
        <v>4866</v>
      </c>
      <c r="Q1117" s="22" t="s">
        <v>11792</v>
      </c>
      <c r="R1117" s="22" t="s">
        <v>11793</v>
      </c>
      <c r="S1117" s="25"/>
      <c r="T1117" s="40" t="s">
        <v>11794</v>
      </c>
      <c r="U1117" s="22" t="s">
        <v>11795</v>
      </c>
      <c r="V1117" s="25"/>
      <c r="W1117" s="22" t="s">
        <v>11796</v>
      </c>
      <c r="X1117" s="22" t="s">
        <v>10268</v>
      </c>
      <c r="Y1117" s="25"/>
      <c r="Z1117" s="25"/>
      <c r="AA1117" s="22" t="s">
        <v>8129</v>
      </c>
      <c r="AB1117" s="22" t="s">
        <v>8130</v>
      </c>
      <c r="AC1117" s="25"/>
      <c r="AD1117" s="25"/>
      <c r="AE1117" s="22" t="s">
        <v>8132</v>
      </c>
      <c r="AF1117" s="25"/>
      <c r="AG1117" s="22">
        <v>1.0473195307331E13</v>
      </c>
      <c r="AH1117" s="22" t="s">
        <v>8137</v>
      </c>
      <c r="AI1117" s="22">
        <v>7.475146359107E12</v>
      </c>
      <c r="AJ1117" s="25"/>
      <c r="AK1117" s="25"/>
      <c r="AL1117" s="22" t="s">
        <v>8136</v>
      </c>
      <c r="AR1117" s="32" t="b">
        <v>0</v>
      </c>
      <c r="AS1117" s="32" t="b">
        <v>0</v>
      </c>
    </row>
    <row r="1118">
      <c r="A1118" s="21" t="s">
        <v>11797</v>
      </c>
      <c r="B1118" s="22" t="s">
        <v>8707</v>
      </c>
      <c r="C1118" s="22">
        <v>1.0</v>
      </c>
      <c r="D1118" s="22" t="s">
        <v>8229</v>
      </c>
      <c r="E1118" s="22" t="s">
        <v>8707</v>
      </c>
      <c r="F1118" s="22" t="s">
        <v>8155</v>
      </c>
      <c r="G1118" s="25"/>
      <c r="H1118" s="22">
        <v>3.2783118238019E13</v>
      </c>
      <c r="I1118" s="25"/>
      <c r="J1118" s="25"/>
      <c r="K1118" s="22">
        <v>4.9521175429443E13</v>
      </c>
      <c r="L1118" s="25"/>
      <c r="M1118" s="25"/>
      <c r="N1118" s="22" t="s">
        <v>11798</v>
      </c>
      <c r="O1118" s="22" t="s">
        <v>4138</v>
      </c>
      <c r="P1118" s="22" t="s">
        <v>11798</v>
      </c>
      <c r="Q1118" s="22" t="s">
        <v>4138</v>
      </c>
      <c r="R1118" s="22" t="s">
        <v>11799</v>
      </c>
      <c r="S1118" s="25"/>
      <c r="T1118" s="40" t="s">
        <v>11800</v>
      </c>
      <c r="U1118" s="22" t="s">
        <v>11801</v>
      </c>
      <c r="V1118" s="25"/>
      <c r="W1118" s="22" t="s">
        <v>11802</v>
      </c>
      <c r="X1118" s="22" t="s">
        <v>11803</v>
      </c>
      <c r="Y1118" s="25"/>
      <c r="Z1118" s="25"/>
      <c r="AA1118" s="22" t="s">
        <v>8129</v>
      </c>
      <c r="AB1118" s="22" t="s">
        <v>8130</v>
      </c>
      <c r="AC1118" s="25"/>
      <c r="AD1118" s="22" t="s">
        <v>8161</v>
      </c>
      <c r="AE1118" s="22" t="s">
        <v>8132</v>
      </c>
      <c r="AF1118" s="25"/>
      <c r="AG1118" s="22">
        <v>1.0473218834755E13</v>
      </c>
      <c r="AH1118" s="22" t="s">
        <v>90</v>
      </c>
      <c r="AI1118" s="22">
        <v>2.3441077600579E13</v>
      </c>
      <c r="AJ1118" s="25"/>
      <c r="AK1118" s="25"/>
      <c r="AL1118" s="22" t="s">
        <v>8336</v>
      </c>
      <c r="AQ1118" s="32" t="s">
        <v>54</v>
      </c>
      <c r="AR1118" s="32" t="b">
        <v>0</v>
      </c>
      <c r="AS1118" s="32" t="b">
        <v>1</v>
      </c>
    </row>
    <row r="1119">
      <c r="A1119" s="21" t="s">
        <v>11797</v>
      </c>
      <c r="B1119" s="25"/>
      <c r="C1119" s="25"/>
      <c r="D1119" s="22" t="s">
        <v>8229</v>
      </c>
      <c r="E1119" s="25"/>
      <c r="F1119" s="22" t="s">
        <v>8149</v>
      </c>
      <c r="G1119" s="25"/>
      <c r="H1119" s="22">
        <v>9.527028941123E12</v>
      </c>
      <c r="I1119" s="25"/>
      <c r="J1119" s="25"/>
      <c r="K1119" s="25"/>
      <c r="L1119" s="25"/>
      <c r="M1119" s="25"/>
      <c r="N1119" s="22" t="s">
        <v>11798</v>
      </c>
      <c r="O1119" s="22" t="s">
        <v>4138</v>
      </c>
      <c r="P1119" s="22" t="s">
        <v>11798</v>
      </c>
      <c r="Q1119" s="22" t="s">
        <v>4138</v>
      </c>
      <c r="R1119" s="22" t="s">
        <v>11799</v>
      </c>
      <c r="S1119" s="25"/>
      <c r="T1119" s="40" t="s">
        <v>11800</v>
      </c>
      <c r="U1119" s="22" t="s">
        <v>11801</v>
      </c>
      <c r="V1119" s="25"/>
      <c r="W1119" s="22" t="s">
        <v>11802</v>
      </c>
      <c r="X1119" s="22" t="s">
        <v>11803</v>
      </c>
      <c r="Y1119" s="25"/>
      <c r="Z1119" s="25"/>
      <c r="AA1119" s="22" t="s">
        <v>8129</v>
      </c>
      <c r="AB1119" s="22" t="s">
        <v>8130</v>
      </c>
      <c r="AC1119" s="25"/>
      <c r="AD1119" s="25"/>
      <c r="AE1119" s="22" t="s">
        <v>8132</v>
      </c>
      <c r="AF1119" s="25"/>
      <c r="AG1119" s="22">
        <v>1.0473218834755E13</v>
      </c>
      <c r="AH1119" s="22" t="s">
        <v>8137</v>
      </c>
      <c r="AI1119" s="22">
        <v>2.3441077600579E13</v>
      </c>
      <c r="AJ1119" s="25"/>
      <c r="AK1119" s="25"/>
      <c r="AL1119" s="22" t="s">
        <v>8149</v>
      </c>
      <c r="AR1119" s="32" t="b">
        <v>0</v>
      </c>
      <c r="AS1119" s="32" t="b">
        <v>0</v>
      </c>
    </row>
    <row r="1120">
      <c r="A1120" s="21" t="s">
        <v>11804</v>
      </c>
      <c r="B1120" s="22" t="s">
        <v>8140</v>
      </c>
      <c r="C1120" s="22">
        <v>1.0</v>
      </c>
      <c r="D1120" s="22" t="s">
        <v>8419</v>
      </c>
      <c r="E1120" s="22" t="s">
        <v>8140</v>
      </c>
      <c r="F1120" s="22" t="s">
        <v>8121</v>
      </c>
      <c r="G1120" s="25"/>
      <c r="H1120" s="22">
        <v>3.2783648522563E13</v>
      </c>
      <c r="I1120" s="25"/>
      <c r="J1120" s="25"/>
      <c r="K1120" s="22">
        <v>4.2085703581939E13</v>
      </c>
      <c r="L1120" s="25"/>
      <c r="M1120" s="25"/>
      <c r="N1120" s="22" t="s">
        <v>11805</v>
      </c>
      <c r="O1120" s="22" t="s">
        <v>11806</v>
      </c>
      <c r="P1120" s="22" t="s">
        <v>11805</v>
      </c>
      <c r="Q1120" s="22" t="s">
        <v>11806</v>
      </c>
      <c r="R1120" s="22" t="s">
        <v>11807</v>
      </c>
      <c r="S1120" s="25"/>
      <c r="T1120" s="40" t="s">
        <v>11808</v>
      </c>
      <c r="U1120" s="22" t="s">
        <v>11809</v>
      </c>
      <c r="V1120" s="25"/>
      <c r="W1120" s="22" t="s">
        <v>11810</v>
      </c>
      <c r="X1120" s="22" t="s">
        <v>8276</v>
      </c>
      <c r="Y1120" s="25"/>
      <c r="Z1120" s="25"/>
      <c r="AA1120" s="22" t="s">
        <v>8129</v>
      </c>
      <c r="AB1120" s="22" t="s">
        <v>8130</v>
      </c>
      <c r="AC1120" s="25"/>
      <c r="AD1120" s="22" t="s">
        <v>8131</v>
      </c>
      <c r="AE1120" s="22" t="s">
        <v>8132</v>
      </c>
      <c r="AF1120" s="25"/>
      <c r="AG1120" s="22">
        <v>1.0473472360771E13</v>
      </c>
      <c r="AH1120" s="22" t="s">
        <v>90</v>
      </c>
      <c r="AI1120" s="22">
        <v>2.3441138417987E13</v>
      </c>
      <c r="AJ1120" s="25"/>
      <c r="AK1120" s="25"/>
      <c r="AL1120" s="22" t="s">
        <v>8134</v>
      </c>
      <c r="AQ1120" s="32" t="s">
        <v>8150</v>
      </c>
      <c r="AR1120" s="32" t="b">
        <v>0</v>
      </c>
      <c r="AS1120" s="32" t="b">
        <v>0</v>
      </c>
    </row>
    <row r="1121">
      <c r="A1121" s="21" t="s">
        <v>11804</v>
      </c>
      <c r="B1121" s="25"/>
      <c r="C1121" s="25"/>
      <c r="D1121" s="22" t="s">
        <v>8419</v>
      </c>
      <c r="E1121" s="25"/>
      <c r="F1121" s="22" t="s">
        <v>8136</v>
      </c>
      <c r="G1121" s="25"/>
      <c r="H1121" s="22">
        <v>9.527241900355E12</v>
      </c>
      <c r="I1121" s="25"/>
      <c r="J1121" s="25"/>
      <c r="K1121" s="25"/>
      <c r="L1121" s="25"/>
      <c r="M1121" s="25"/>
      <c r="N1121" s="22" t="s">
        <v>11805</v>
      </c>
      <c r="O1121" s="22" t="s">
        <v>11806</v>
      </c>
      <c r="P1121" s="22" t="s">
        <v>11805</v>
      </c>
      <c r="Q1121" s="22" t="s">
        <v>11806</v>
      </c>
      <c r="R1121" s="22" t="s">
        <v>11807</v>
      </c>
      <c r="S1121" s="25"/>
      <c r="T1121" s="40" t="s">
        <v>11808</v>
      </c>
      <c r="U1121" s="22" t="s">
        <v>11809</v>
      </c>
      <c r="V1121" s="25"/>
      <c r="W1121" s="22" t="s">
        <v>11810</v>
      </c>
      <c r="X1121" s="22" t="s">
        <v>8276</v>
      </c>
      <c r="Y1121" s="25"/>
      <c r="Z1121" s="25"/>
      <c r="AA1121" s="22" t="s">
        <v>8129</v>
      </c>
      <c r="AB1121" s="22" t="s">
        <v>8130</v>
      </c>
      <c r="AC1121" s="25"/>
      <c r="AD1121" s="25"/>
      <c r="AE1121" s="22" t="s">
        <v>8132</v>
      </c>
      <c r="AF1121" s="25"/>
      <c r="AG1121" s="22">
        <v>1.0473472360771E13</v>
      </c>
      <c r="AH1121" s="22" t="s">
        <v>8137</v>
      </c>
      <c r="AI1121" s="22">
        <v>2.3441138417987E13</v>
      </c>
      <c r="AJ1121" s="25"/>
      <c r="AK1121" s="25"/>
      <c r="AL1121" s="22" t="s">
        <v>8136</v>
      </c>
      <c r="AR1121" s="32" t="b">
        <v>0</v>
      </c>
      <c r="AS1121" s="32" t="b">
        <v>0</v>
      </c>
    </row>
    <row r="1122">
      <c r="A1122" s="21" t="s">
        <v>11811</v>
      </c>
      <c r="B1122" s="22" t="s">
        <v>8262</v>
      </c>
      <c r="C1122" s="22">
        <v>1.0</v>
      </c>
      <c r="D1122" s="22" t="s">
        <v>8212</v>
      </c>
      <c r="E1122" s="22" t="s">
        <v>8262</v>
      </c>
      <c r="F1122" s="22" t="s">
        <v>8155</v>
      </c>
      <c r="G1122" s="25"/>
      <c r="H1122" s="22">
        <v>3.2783661302083E13</v>
      </c>
      <c r="I1122" s="25"/>
      <c r="J1122" s="25"/>
      <c r="K1122" s="22">
        <v>4.7338059792707E13</v>
      </c>
      <c r="L1122" s="25"/>
      <c r="M1122" s="25"/>
      <c r="N1122" s="22" t="s">
        <v>9273</v>
      </c>
      <c r="O1122" s="22" t="s">
        <v>11812</v>
      </c>
      <c r="P1122" s="22" t="s">
        <v>9273</v>
      </c>
      <c r="Q1122" s="22" t="s">
        <v>11812</v>
      </c>
      <c r="R1122" s="22" t="s">
        <v>11813</v>
      </c>
      <c r="S1122" s="25"/>
      <c r="T1122" s="40" t="s">
        <v>11814</v>
      </c>
      <c r="U1122" s="22" t="s">
        <v>11815</v>
      </c>
      <c r="V1122" s="25"/>
      <c r="W1122" s="22" t="s">
        <v>11816</v>
      </c>
      <c r="X1122" s="22" t="s">
        <v>8242</v>
      </c>
      <c r="Y1122" s="25"/>
      <c r="Z1122" s="25"/>
      <c r="AA1122" s="22" t="s">
        <v>8129</v>
      </c>
      <c r="AB1122" s="22" t="s">
        <v>8130</v>
      </c>
      <c r="AC1122" s="25"/>
      <c r="AD1122" s="22" t="s">
        <v>8161</v>
      </c>
      <c r="AE1122" s="22" t="s">
        <v>8132</v>
      </c>
      <c r="AF1122" s="25"/>
      <c r="AG1122" s="22">
        <v>1.0473478816067E13</v>
      </c>
      <c r="AH1122" s="22" t="s">
        <v>90</v>
      </c>
      <c r="AI1122" s="22">
        <v>2.3441335976259E13</v>
      </c>
      <c r="AJ1122" s="25"/>
      <c r="AK1122" s="25"/>
      <c r="AL1122" s="22" t="s">
        <v>8269</v>
      </c>
      <c r="AQ1122" s="32" t="s">
        <v>91</v>
      </c>
      <c r="AR1122" s="32" t="b">
        <v>0</v>
      </c>
      <c r="AS1122" s="32" t="b">
        <v>0</v>
      </c>
    </row>
    <row r="1123">
      <c r="A1123" s="21" t="s">
        <v>11811</v>
      </c>
      <c r="B1123" s="25"/>
      <c r="C1123" s="25"/>
      <c r="D1123" s="22" t="s">
        <v>8212</v>
      </c>
      <c r="E1123" s="25"/>
      <c r="F1123" s="22" t="s">
        <v>8149</v>
      </c>
      <c r="G1123" s="25"/>
      <c r="H1123" s="22">
        <v>9.527247634755E12</v>
      </c>
      <c r="I1123" s="25"/>
      <c r="J1123" s="25"/>
      <c r="K1123" s="25"/>
      <c r="L1123" s="25"/>
      <c r="M1123" s="25"/>
      <c r="N1123" s="22" t="s">
        <v>9273</v>
      </c>
      <c r="O1123" s="22" t="s">
        <v>11812</v>
      </c>
      <c r="P1123" s="22" t="s">
        <v>9273</v>
      </c>
      <c r="Q1123" s="22" t="s">
        <v>11812</v>
      </c>
      <c r="R1123" s="22" t="s">
        <v>11813</v>
      </c>
      <c r="S1123" s="25"/>
      <c r="T1123" s="40" t="s">
        <v>11814</v>
      </c>
      <c r="U1123" s="22" t="s">
        <v>11815</v>
      </c>
      <c r="V1123" s="25"/>
      <c r="W1123" s="22" t="s">
        <v>11816</v>
      </c>
      <c r="X1123" s="22" t="s">
        <v>8242</v>
      </c>
      <c r="Y1123" s="25"/>
      <c r="Z1123" s="25"/>
      <c r="AA1123" s="22" t="s">
        <v>8129</v>
      </c>
      <c r="AB1123" s="22" t="s">
        <v>8130</v>
      </c>
      <c r="AC1123" s="25"/>
      <c r="AD1123" s="25"/>
      <c r="AE1123" s="22" t="s">
        <v>8132</v>
      </c>
      <c r="AF1123" s="25"/>
      <c r="AG1123" s="22">
        <v>1.0473478816067E13</v>
      </c>
      <c r="AH1123" s="22" t="s">
        <v>8137</v>
      </c>
      <c r="AI1123" s="22">
        <v>2.3441335976259E13</v>
      </c>
      <c r="AJ1123" s="25"/>
      <c r="AK1123" s="25"/>
      <c r="AL1123" s="22" t="s">
        <v>8149</v>
      </c>
      <c r="AR1123" s="32" t="b">
        <v>0</v>
      </c>
      <c r="AS1123" s="32" t="b">
        <v>0</v>
      </c>
    </row>
    <row r="1124">
      <c r="A1124" s="21" t="s">
        <v>11817</v>
      </c>
      <c r="B1124" s="22" t="s">
        <v>8262</v>
      </c>
      <c r="C1124" s="22">
        <v>1.0</v>
      </c>
      <c r="D1124" s="22" t="s">
        <v>8203</v>
      </c>
      <c r="E1124" s="22" t="s">
        <v>8262</v>
      </c>
      <c r="F1124" s="22" t="s">
        <v>8155</v>
      </c>
      <c r="G1124" s="25"/>
      <c r="H1124" s="22">
        <v>3.2783763013955E13</v>
      </c>
      <c r="I1124" s="25"/>
      <c r="J1124" s="25"/>
      <c r="K1124" s="22">
        <v>4.7338059792707E13</v>
      </c>
      <c r="L1124" s="25"/>
      <c r="M1124" s="25"/>
      <c r="N1124" s="22" t="s">
        <v>4228</v>
      </c>
      <c r="O1124" s="22" t="s">
        <v>11818</v>
      </c>
      <c r="P1124" s="22" t="s">
        <v>4228</v>
      </c>
      <c r="Q1124" s="22" t="s">
        <v>11818</v>
      </c>
      <c r="R1124" s="22" t="s">
        <v>11819</v>
      </c>
      <c r="S1124" s="22" t="s">
        <v>11820</v>
      </c>
      <c r="T1124" s="40" t="s">
        <v>11821</v>
      </c>
      <c r="U1124" s="22" t="s">
        <v>11822</v>
      </c>
      <c r="V1124" s="25"/>
      <c r="W1124" s="22" t="s">
        <v>11823</v>
      </c>
      <c r="X1124" s="22" t="s">
        <v>8128</v>
      </c>
      <c r="Y1124" s="25"/>
      <c r="Z1124" s="25"/>
      <c r="AA1124" s="22" t="s">
        <v>8129</v>
      </c>
      <c r="AB1124" s="22" t="s">
        <v>8130</v>
      </c>
      <c r="AC1124" s="25"/>
      <c r="AD1124" s="22" t="s">
        <v>8161</v>
      </c>
      <c r="AE1124" s="22" t="s">
        <v>8132</v>
      </c>
      <c r="AF1124" s="25"/>
      <c r="AG1124" s="22">
        <v>1.0473529999683E13</v>
      </c>
      <c r="AH1124" s="22" t="s">
        <v>90</v>
      </c>
      <c r="AI1124" s="22">
        <v>2.3441441685827E13</v>
      </c>
      <c r="AJ1124" s="25"/>
      <c r="AK1124" s="25"/>
      <c r="AL1124" s="22" t="s">
        <v>8269</v>
      </c>
      <c r="AQ1124" s="32" t="s">
        <v>91</v>
      </c>
      <c r="AR1124" s="32" t="b">
        <v>0</v>
      </c>
      <c r="AS1124" s="32" t="b">
        <v>0</v>
      </c>
    </row>
    <row r="1125">
      <c r="A1125" s="21" t="s">
        <v>11817</v>
      </c>
      <c r="B1125" s="25"/>
      <c r="C1125" s="25"/>
      <c r="D1125" s="22" t="s">
        <v>8203</v>
      </c>
      <c r="E1125" s="25"/>
      <c r="F1125" s="22" t="s">
        <v>8149</v>
      </c>
      <c r="G1125" s="25"/>
      <c r="H1125" s="22">
        <v>9.527282237763E12</v>
      </c>
      <c r="I1125" s="25"/>
      <c r="J1125" s="25"/>
      <c r="K1125" s="25"/>
      <c r="L1125" s="25"/>
      <c r="M1125" s="25"/>
      <c r="N1125" s="22" t="s">
        <v>4228</v>
      </c>
      <c r="O1125" s="22" t="s">
        <v>11818</v>
      </c>
      <c r="P1125" s="22" t="s">
        <v>4228</v>
      </c>
      <c r="Q1125" s="22" t="s">
        <v>11818</v>
      </c>
      <c r="R1125" s="22" t="s">
        <v>11819</v>
      </c>
      <c r="S1125" s="22" t="s">
        <v>11820</v>
      </c>
      <c r="T1125" s="40" t="s">
        <v>11821</v>
      </c>
      <c r="U1125" s="22" t="s">
        <v>11822</v>
      </c>
      <c r="V1125" s="25"/>
      <c r="W1125" s="22" t="s">
        <v>11823</v>
      </c>
      <c r="X1125" s="22" t="s">
        <v>8128</v>
      </c>
      <c r="Y1125" s="25"/>
      <c r="Z1125" s="25"/>
      <c r="AA1125" s="22" t="s">
        <v>8129</v>
      </c>
      <c r="AB1125" s="22" t="s">
        <v>8130</v>
      </c>
      <c r="AC1125" s="25"/>
      <c r="AD1125" s="25"/>
      <c r="AE1125" s="22" t="s">
        <v>8132</v>
      </c>
      <c r="AF1125" s="25"/>
      <c r="AG1125" s="22">
        <v>1.0473529999683E13</v>
      </c>
      <c r="AH1125" s="22" t="s">
        <v>8137</v>
      </c>
      <c r="AI1125" s="22">
        <v>2.3441441685827E13</v>
      </c>
      <c r="AJ1125" s="25"/>
      <c r="AK1125" s="25"/>
      <c r="AL1125" s="22" t="s">
        <v>8149</v>
      </c>
      <c r="AR1125" s="32" t="b">
        <v>0</v>
      </c>
      <c r="AS1125" s="32" t="b">
        <v>0</v>
      </c>
    </row>
    <row r="1126">
      <c r="A1126" s="21" t="s">
        <v>11824</v>
      </c>
      <c r="B1126" s="22" t="s">
        <v>8119</v>
      </c>
      <c r="C1126" s="22">
        <v>1.0</v>
      </c>
      <c r="D1126" s="22" t="s">
        <v>8581</v>
      </c>
      <c r="E1126" s="22" t="s">
        <v>8119</v>
      </c>
      <c r="F1126" s="22" t="s">
        <v>8121</v>
      </c>
      <c r="G1126" s="25"/>
      <c r="H1126" s="22">
        <v>3.2779485839683E13</v>
      </c>
      <c r="I1126" s="25"/>
      <c r="J1126" s="25"/>
      <c r="K1126" s="22">
        <v>4.2085703549171E13</v>
      </c>
      <c r="L1126" s="25"/>
      <c r="M1126" s="25"/>
      <c r="N1126" s="22" t="s">
        <v>4827</v>
      </c>
      <c r="O1126" s="22" t="s">
        <v>11825</v>
      </c>
      <c r="P1126" s="22" t="s">
        <v>4827</v>
      </c>
      <c r="Q1126" s="22" t="s">
        <v>11825</v>
      </c>
      <c r="R1126" s="22" t="s">
        <v>11826</v>
      </c>
      <c r="S1126" s="25"/>
      <c r="T1126" s="40" t="s">
        <v>11827</v>
      </c>
      <c r="U1126" s="22" t="s">
        <v>11828</v>
      </c>
      <c r="V1126" s="25"/>
      <c r="W1126" s="22" t="s">
        <v>11829</v>
      </c>
      <c r="X1126" s="22" t="s">
        <v>8289</v>
      </c>
      <c r="Y1126" s="25"/>
      <c r="Z1126" s="25"/>
      <c r="AA1126" s="22" t="s">
        <v>8129</v>
      </c>
      <c r="AB1126" s="22" t="s">
        <v>8130</v>
      </c>
      <c r="AC1126" s="25"/>
      <c r="AD1126" s="22" t="s">
        <v>8131</v>
      </c>
      <c r="AE1126" s="22" t="s">
        <v>8132</v>
      </c>
      <c r="AF1126" s="25"/>
      <c r="AG1126" s="22">
        <v>1.0471575617859E13</v>
      </c>
      <c r="AH1126" s="22" t="s">
        <v>90</v>
      </c>
      <c r="AI1126" s="22">
        <v>2.3439365734723E13</v>
      </c>
      <c r="AJ1126" s="25"/>
      <c r="AK1126" s="25"/>
      <c r="AL1126" s="22" t="s">
        <v>8133</v>
      </c>
      <c r="AQ1126" s="32" t="s">
        <v>8135</v>
      </c>
      <c r="AR1126" s="32" t="b">
        <v>0</v>
      </c>
      <c r="AS1126" s="32" t="b">
        <v>0</v>
      </c>
    </row>
    <row r="1127">
      <c r="A1127" s="21" t="s">
        <v>11824</v>
      </c>
      <c r="B1127" s="25"/>
      <c r="C1127" s="25"/>
      <c r="D1127" s="22" t="s">
        <v>8581</v>
      </c>
      <c r="E1127" s="25"/>
      <c r="F1127" s="22" t="s">
        <v>8136</v>
      </c>
      <c r="G1127" s="25"/>
      <c r="H1127" s="22">
        <v>9.525546221891E12</v>
      </c>
      <c r="I1127" s="25"/>
      <c r="J1127" s="25"/>
      <c r="K1127" s="25"/>
      <c r="L1127" s="25"/>
      <c r="M1127" s="25"/>
      <c r="N1127" s="22" t="s">
        <v>4827</v>
      </c>
      <c r="O1127" s="22" t="s">
        <v>11825</v>
      </c>
      <c r="P1127" s="22" t="s">
        <v>4827</v>
      </c>
      <c r="Q1127" s="22" t="s">
        <v>11825</v>
      </c>
      <c r="R1127" s="22" t="s">
        <v>11826</v>
      </c>
      <c r="S1127" s="25"/>
      <c r="T1127" s="40" t="s">
        <v>11827</v>
      </c>
      <c r="U1127" s="22" t="s">
        <v>11828</v>
      </c>
      <c r="V1127" s="25"/>
      <c r="W1127" s="22" t="s">
        <v>11829</v>
      </c>
      <c r="X1127" s="22" t="s">
        <v>8289</v>
      </c>
      <c r="Y1127" s="25"/>
      <c r="Z1127" s="25"/>
      <c r="AA1127" s="22" t="s">
        <v>8129</v>
      </c>
      <c r="AB1127" s="22" t="s">
        <v>8130</v>
      </c>
      <c r="AC1127" s="25"/>
      <c r="AD1127" s="25"/>
      <c r="AE1127" s="22" t="s">
        <v>8132</v>
      </c>
      <c r="AF1127" s="25"/>
      <c r="AG1127" s="22">
        <v>1.0471575617859E13</v>
      </c>
      <c r="AH1127" s="22" t="s">
        <v>8137</v>
      </c>
      <c r="AI1127" s="22">
        <v>2.3439365734723E13</v>
      </c>
      <c r="AJ1127" s="25"/>
      <c r="AK1127" s="25"/>
      <c r="AL1127" s="22" t="s">
        <v>8136</v>
      </c>
      <c r="AR1127" s="32" t="b">
        <v>0</v>
      </c>
      <c r="AS1127" s="32" t="b">
        <v>0</v>
      </c>
    </row>
    <row r="1128">
      <c r="A1128" s="21" t="s">
        <v>11830</v>
      </c>
      <c r="B1128" s="22" t="s">
        <v>8119</v>
      </c>
      <c r="C1128" s="22">
        <v>1.0</v>
      </c>
      <c r="D1128" s="22" t="s">
        <v>8212</v>
      </c>
      <c r="E1128" s="22" t="s">
        <v>8119</v>
      </c>
      <c r="F1128" s="22" t="s">
        <v>8121</v>
      </c>
      <c r="G1128" s="25"/>
      <c r="H1128" s="22">
        <v>3.2784134472003E13</v>
      </c>
      <c r="I1128" s="25"/>
      <c r="J1128" s="25"/>
      <c r="K1128" s="22">
        <v>4.2085703549171E13</v>
      </c>
      <c r="L1128" s="25"/>
      <c r="M1128" s="25"/>
      <c r="N1128" s="22" t="s">
        <v>11831</v>
      </c>
      <c r="O1128" s="22" t="s">
        <v>11832</v>
      </c>
      <c r="P1128" s="22" t="s">
        <v>6666</v>
      </c>
      <c r="Q1128" s="22" t="s">
        <v>11832</v>
      </c>
      <c r="R1128" s="22" t="s">
        <v>11833</v>
      </c>
      <c r="S1128" s="25"/>
      <c r="T1128" s="40" t="s">
        <v>11834</v>
      </c>
      <c r="U1128" s="22" t="s">
        <v>11835</v>
      </c>
      <c r="V1128" s="25"/>
      <c r="W1128" s="22" t="s">
        <v>11836</v>
      </c>
      <c r="X1128" s="22" t="s">
        <v>8251</v>
      </c>
      <c r="Y1128" s="25"/>
      <c r="Z1128" s="25"/>
      <c r="AA1128" s="22" t="s">
        <v>8129</v>
      </c>
      <c r="AB1128" s="22" t="s">
        <v>8130</v>
      </c>
      <c r="AC1128" s="25"/>
      <c r="AD1128" s="22" t="s">
        <v>8131</v>
      </c>
      <c r="AE1128" s="22" t="s">
        <v>8132</v>
      </c>
      <c r="AF1128" s="25"/>
      <c r="AG1128" s="22">
        <v>1.0473724641603E13</v>
      </c>
      <c r="AH1128" s="22" t="s">
        <v>90</v>
      </c>
      <c r="AI1128" s="22">
        <v>5.958543212787E12</v>
      </c>
      <c r="AJ1128" s="25"/>
      <c r="AK1128" s="25"/>
      <c r="AL1128" s="22" t="s">
        <v>8133</v>
      </c>
      <c r="AQ1128" s="32" t="s">
        <v>8135</v>
      </c>
      <c r="AR1128" s="32" t="b">
        <v>0</v>
      </c>
      <c r="AS1128" s="32" t="b">
        <v>0</v>
      </c>
    </row>
    <row r="1129">
      <c r="A1129" s="21" t="s">
        <v>11830</v>
      </c>
      <c r="B1129" s="25"/>
      <c r="C1129" s="25"/>
      <c r="D1129" s="22" t="s">
        <v>8212</v>
      </c>
      <c r="E1129" s="25"/>
      <c r="F1129" s="22" t="s">
        <v>8136</v>
      </c>
      <c r="G1129" s="25"/>
      <c r="H1129" s="22">
        <v>9.527409410371E12</v>
      </c>
      <c r="I1129" s="25"/>
      <c r="J1129" s="25"/>
      <c r="K1129" s="25"/>
      <c r="L1129" s="25"/>
      <c r="M1129" s="25"/>
      <c r="N1129" s="22" t="s">
        <v>11831</v>
      </c>
      <c r="O1129" s="22" t="s">
        <v>11832</v>
      </c>
      <c r="P1129" s="22" t="s">
        <v>6666</v>
      </c>
      <c r="Q1129" s="22" t="s">
        <v>11832</v>
      </c>
      <c r="R1129" s="22" t="s">
        <v>11833</v>
      </c>
      <c r="S1129" s="25"/>
      <c r="T1129" s="40" t="s">
        <v>11834</v>
      </c>
      <c r="U1129" s="22" t="s">
        <v>11835</v>
      </c>
      <c r="V1129" s="25"/>
      <c r="W1129" s="22" t="s">
        <v>11836</v>
      </c>
      <c r="X1129" s="22" t="s">
        <v>8251</v>
      </c>
      <c r="Y1129" s="25"/>
      <c r="Z1129" s="25"/>
      <c r="AA1129" s="22" t="s">
        <v>8129</v>
      </c>
      <c r="AB1129" s="22" t="s">
        <v>8130</v>
      </c>
      <c r="AC1129" s="25"/>
      <c r="AD1129" s="25"/>
      <c r="AE1129" s="22" t="s">
        <v>8132</v>
      </c>
      <c r="AF1129" s="25"/>
      <c r="AG1129" s="22">
        <v>1.0473724641603E13</v>
      </c>
      <c r="AH1129" s="22" t="s">
        <v>8137</v>
      </c>
      <c r="AI1129" s="22">
        <v>5.958543212787E12</v>
      </c>
      <c r="AJ1129" s="25"/>
      <c r="AK1129" s="25"/>
      <c r="AL1129" s="22" t="s">
        <v>8136</v>
      </c>
      <c r="AR1129" s="32" t="b">
        <v>0</v>
      </c>
      <c r="AS1129" s="32" t="b">
        <v>0</v>
      </c>
    </row>
    <row r="1130">
      <c r="A1130" s="21" t="s">
        <v>11837</v>
      </c>
      <c r="B1130" s="22" t="s">
        <v>8211</v>
      </c>
      <c r="C1130" s="22">
        <v>1.0</v>
      </c>
      <c r="D1130" s="22" t="s">
        <v>8175</v>
      </c>
      <c r="E1130" s="22" t="s">
        <v>8211</v>
      </c>
      <c r="F1130" s="22" t="s">
        <v>8155</v>
      </c>
      <c r="G1130" s="25"/>
      <c r="H1130" s="22">
        <v>3.2784227893571E13</v>
      </c>
      <c r="I1130" s="25"/>
      <c r="J1130" s="25"/>
      <c r="K1130" s="22">
        <v>4.7338059727171E13</v>
      </c>
      <c r="L1130" s="25"/>
      <c r="M1130" s="25"/>
      <c r="N1130" s="22" t="s">
        <v>3828</v>
      </c>
      <c r="O1130" s="22" t="s">
        <v>11838</v>
      </c>
      <c r="P1130" s="22" t="s">
        <v>3828</v>
      </c>
      <c r="Q1130" s="22" t="s">
        <v>11838</v>
      </c>
      <c r="R1130" s="22" t="s">
        <v>11839</v>
      </c>
      <c r="S1130" s="25"/>
      <c r="T1130" s="40" t="s">
        <v>11840</v>
      </c>
      <c r="U1130" s="22" t="s">
        <v>11841</v>
      </c>
      <c r="V1130" s="25"/>
      <c r="W1130" s="22" t="s">
        <v>11842</v>
      </c>
      <c r="X1130" s="22" t="s">
        <v>8289</v>
      </c>
      <c r="Y1130" s="25"/>
      <c r="Z1130" s="25"/>
      <c r="AA1130" s="22" t="s">
        <v>8129</v>
      </c>
      <c r="AB1130" s="22" t="s">
        <v>8130</v>
      </c>
      <c r="AC1130" s="25"/>
      <c r="AD1130" s="22" t="s">
        <v>8161</v>
      </c>
      <c r="AE1130" s="22" t="s">
        <v>8132</v>
      </c>
      <c r="AF1130" s="25"/>
      <c r="AG1130" s="22">
        <v>1.0473768255811E13</v>
      </c>
      <c r="AH1130" s="22" t="s">
        <v>90</v>
      </c>
      <c r="AI1130" s="22">
        <v>8.648241971523E12</v>
      </c>
      <c r="AJ1130" s="25"/>
      <c r="AK1130" s="25"/>
      <c r="AL1130" s="22" t="s">
        <v>8151</v>
      </c>
      <c r="AQ1130" s="32" t="s">
        <v>54</v>
      </c>
      <c r="AR1130" s="32" t="b">
        <v>0</v>
      </c>
      <c r="AS1130" s="32" t="b">
        <v>0</v>
      </c>
    </row>
    <row r="1131">
      <c r="A1131" s="21" t="s">
        <v>11837</v>
      </c>
      <c r="B1131" s="25"/>
      <c r="C1131" s="25"/>
      <c r="D1131" s="22" t="s">
        <v>8175</v>
      </c>
      <c r="E1131" s="25"/>
      <c r="F1131" s="22" t="s">
        <v>8149</v>
      </c>
      <c r="G1131" s="25"/>
      <c r="H1131" s="22">
        <v>9.527447126339E12</v>
      </c>
      <c r="I1131" s="25"/>
      <c r="J1131" s="25"/>
      <c r="K1131" s="25"/>
      <c r="L1131" s="25"/>
      <c r="M1131" s="25"/>
      <c r="N1131" s="22" t="s">
        <v>3828</v>
      </c>
      <c r="O1131" s="22" t="s">
        <v>11838</v>
      </c>
      <c r="P1131" s="22" t="s">
        <v>3828</v>
      </c>
      <c r="Q1131" s="22" t="s">
        <v>11838</v>
      </c>
      <c r="R1131" s="22" t="s">
        <v>11839</v>
      </c>
      <c r="S1131" s="25"/>
      <c r="T1131" s="40" t="s">
        <v>11840</v>
      </c>
      <c r="U1131" s="22" t="s">
        <v>11841</v>
      </c>
      <c r="V1131" s="25"/>
      <c r="W1131" s="22" t="s">
        <v>11842</v>
      </c>
      <c r="X1131" s="22" t="s">
        <v>8289</v>
      </c>
      <c r="Y1131" s="25"/>
      <c r="Z1131" s="25"/>
      <c r="AA1131" s="22" t="s">
        <v>8129</v>
      </c>
      <c r="AB1131" s="22" t="s">
        <v>8130</v>
      </c>
      <c r="AC1131" s="25"/>
      <c r="AD1131" s="25"/>
      <c r="AE1131" s="22" t="s">
        <v>8132</v>
      </c>
      <c r="AF1131" s="25"/>
      <c r="AG1131" s="22">
        <v>1.0473768255811E13</v>
      </c>
      <c r="AH1131" s="22" t="s">
        <v>8137</v>
      </c>
      <c r="AI1131" s="22">
        <v>8.648241971523E12</v>
      </c>
      <c r="AJ1131" s="25"/>
      <c r="AK1131" s="25"/>
      <c r="AL1131" s="22" t="s">
        <v>8149</v>
      </c>
      <c r="AR1131" s="32" t="b">
        <v>0</v>
      </c>
      <c r="AS1131" s="32" t="b">
        <v>0</v>
      </c>
    </row>
    <row r="1132">
      <c r="A1132" s="21" t="s">
        <v>11843</v>
      </c>
      <c r="B1132" s="22" t="s">
        <v>8140</v>
      </c>
      <c r="C1132" s="22">
        <v>1.0</v>
      </c>
      <c r="D1132" s="22" t="s">
        <v>8581</v>
      </c>
      <c r="E1132" s="22" t="s">
        <v>8140</v>
      </c>
      <c r="F1132" s="22" t="s">
        <v>8121</v>
      </c>
      <c r="G1132" s="25"/>
      <c r="H1132" s="22">
        <v>3.2784350609731E13</v>
      </c>
      <c r="I1132" s="25"/>
      <c r="J1132" s="25"/>
      <c r="K1132" s="22">
        <v>4.2085703581939E13</v>
      </c>
      <c r="L1132" s="25"/>
      <c r="M1132" s="25"/>
      <c r="N1132" s="22" t="s">
        <v>10019</v>
      </c>
      <c r="O1132" s="22" t="s">
        <v>11844</v>
      </c>
      <c r="P1132" s="22" t="s">
        <v>10019</v>
      </c>
      <c r="Q1132" s="22" t="s">
        <v>11844</v>
      </c>
      <c r="R1132" s="22" t="s">
        <v>11845</v>
      </c>
      <c r="S1132" s="25"/>
      <c r="T1132" s="40" t="s">
        <v>11846</v>
      </c>
      <c r="U1132" s="22" t="s">
        <v>11847</v>
      </c>
      <c r="V1132" s="25"/>
      <c r="W1132" s="22" t="s">
        <v>11848</v>
      </c>
      <c r="X1132" s="22" t="s">
        <v>8779</v>
      </c>
      <c r="Y1132" s="25"/>
      <c r="Z1132" s="25"/>
      <c r="AA1132" s="22" t="s">
        <v>8129</v>
      </c>
      <c r="AB1132" s="22" t="s">
        <v>8130</v>
      </c>
      <c r="AC1132" s="25"/>
      <c r="AD1132" s="22" t="s">
        <v>8131</v>
      </c>
      <c r="AE1132" s="22" t="s">
        <v>8132</v>
      </c>
      <c r="AF1132" s="25"/>
      <c r="AG1132" s="22">
        <v>1.0473831334211E13</v>
      </c>
      <c r="AH1132" s="22" t="s">
        <v>90</v>
      </c>
      <c r="AI1132" s="22">
        <v>7.407313027395E12</v>
      </c>
      <c r="AJ1132" s="25"/>
      <c r="AK1132" s="25"/>
      <c r="AL1132" s="22" t="s">
        <v>8134</v>
      </c>
      <c r="AQ1132" s="32" t="s">
        <v>8150</v>
      </c>
      <c r="AR1132" s="32" t="b">
        <v>0</v>
      </c>
      <c r="AS1132" s="32" t="b">
        <v>0</v>
      </c>
    </row>
    <row r="1133">
      <c r="A1133" s="21" t="s">
        <v>11843</v>
      </c>
      <c r="B1133" s="25"/>
      <c r="C1133" s="25"/>
      <c r="D1133" s="22" t="s">
        <v>8581</v>
      </c>
      <c r="E1133" s="25"/>
      <c r="F1133" s="22" t="s">
        <v>8136</v>
      </c>
      <c r="G1133" s="25"/>
      <c r="H1133" s="22">
        <v>9.527493919043E12</v>
      </c>
      <c r="I1133" s="25"/>
      <c r="J1133" s="25"/>
      <c r="K1133" s="25"/>
      <c r="L1133" s="25"/>
      <c r="M1133" s="25"/>
      <c r="N1133" s="22" t="s">
        <v>10019</v>
      </c>
      <c r="O1133" s="22" t="s">
        <v>11844</v>
      </c>
      <c r="P1133" s="22" t="s">
        <v>10019</v>
      </c>
      <c r="Q1133" s="22" t="s">
        <v>11844</v>
      </c>
      <c r="R1133" s="22" t="s">
        <v>11845</v>
      </c>
      <c r="S1133" s="25"/>
      <c r="T1133" s="40" t="s">
        <v>11846</v>
      </c>
      <c r="U1133" s="22" t="s">
        <v>11847</v>
      </c>
      <c r="V1133" s="25"/>
      <c r="W1133" s="22" t="s">
        <v>11848</v>
      </c>
      <c r="X1133" s="22" t="s">
        <v>8779</v>
      </c>
      <c r="Y1133" s="25"/>
      <c r="Z1133" s="25"/>
      <c r="AA1133" s="22" t="s">
        <v>8129</v>
      </c>
      <c r="AB1133" s="22" t="s">
        <v>8130</v>
      </c>
      <c r="AC1133" s="25"/>
      <c r="AD1133" s="25"/>
      <c r="AE1133" s="22" t="s">
        <v>8132</v>
      </c>
      <c r="AF1133" s="25"/>
      <c r="AG1133" s="22">
        <v>1.0473831334211E13</v>
      </c>
      <c r="AH1133" s="22" t="s">
        <v>8137</v>
      </c>
      <c r="AI1133" s="22">
        <v>7.407313027395E12</v>
      </c>
      <c r="AJ1133" s="25"/>
      <c r="AK1133" s="25"/>
      <c r="AL1133" s="22" t="s">
        <v>8136</v>
      </c>
      <c r="AR1133" s="32" t="b">
        <v>0</v>
      </c>
      <c r="AS1133" s="32" t="b">
        <v>0</v>
      </c>
    </row>
    <row r="1134">
      <c r="A1134" s="21" t="s">
        <v>11849</v>
      </c>
      <c r="B1134" s="22" t="s">
        <v>8262</v>
      </c>
      <c r="C1134" s="22">
        <v>1.0</v>
      </c>
      <c r="D1134" s="22" t="s">
        <v>8212</v>
      </c>
      <c r="E1134" s="22" t="s">
        <v>8262</v>
      </c>
      <c r="F1134" s="22" t="s">
        <v>8155</v>
      </c>
      <c r="G1134" s="25"/>
      <c r="H1134" s="22">
        <v>3.2784633200963E13</v>
      </c>
      <c r="I1134" s="25"/>
      <c r="J1134" s="25"/>
      <c r="K1134" s="22">
        <v>4.7338059792707E13</v>
      </c>
      <c r="L1134" s="25"/>
      <c r="M1134" s="25"/>
      <c r="N1134" s="22" t="s">
        <v>5364</v>
      </c>
      <c r="O1134" s="22" t="s">
        <v>11850</v>
      </c>
      <c r="P1134" s="22" t="s">
        <v>5364</v>
      </c>
      <c r="Q1134" s="22" t="s">
        <v>11850</v>
      </c>
      <c r="R1134" s="22" t="s">
        <v>11851</v>
      </c>
      <c r="S1134" s="25"/>
      <c r="T1134" s="40" t="s">
        <v>11852</v>
      </c>
      <c r="U1134" s="22" t="s">
        <v>11853</v>
      </c>
      <c r="V1134" s="25"/>
      <c r="W1134" s="22" t="s">
        <v>11854</v>
      </c>
      <c r="X1134" s="22" t="s">
        <v>8200</v>
      </c>
      <c r="Y1134" s="25"/>
      <c r="Z1134" s="25"/>
      <c r="AA1134" s="22" t="s">
        <v>8129</v>
      </c>
      <c r="AB1134" s="22" t="s">
        <v>8130</v>
      </c>
      <c r="AC1134" s="25"/>
      <c r="AD1134" s="22" t="s">
        <v>8161</v>
      </c>
      <c r="AE1134" s="22" t="s">
        <v>8132</v>
      </c>
      <c r="AF1134" s="25"/>
      <c r="AG1134" s="22">
        <v>1.0473974006083E13</v>
      </c>
      <c r="AH1134" s="22" t="s">
        <v>90</v>
      </c>
      <c r="AI1134" s="22">
        <v>2.3441935171907E13</v>
      </c>
      <c r="AJ1134" s="25"/>
      <c r="AK1134" s="25"/>
      <c r="AL1134" s="22" t="s">
        <v>8269</v>
      </c>
      <c r="AQ1134" s="32" t="s">
        <v>91</v>
      </c>
      <c r="AR1134" s="32" t="b">
        <v>0</v>
      </c>
      <c r="AS1134" s="32" t="b">
        <v>0</v>
      </c>
    </row>
    <row r="1135">
      <c r="A1135" s="21" t="s">
        <v>11849</v>
      </c>
      <c r="B1135" s="22" t="s">
        <v>8116</v>
      </c>
      <c r="C1135" s="22">
        <v>1.0</v>
      </c>
      <c r="D1135" s="22" t="s">
        <v>8212</v>
      </c>
      <c r="E1135" s="22" t="s">
        <v>8116</v>
      </c>
      <c r="F1135" s="22" t="s">
        <v>8117</v>
      </c>
      <c r="G1135" s="25"/>
      <c r="H1135" s="22">
        <v>3.2784633233731E13</v>
      </c>
      <c r="I1135" s="25"/>
      <c r="J1135" s="25"/>
      <c r="K1135" s="22">
        <v>4.9664170623299E13</v>
      </c>
      <c r="L1135" s="25"/>
      <c r="M1135" s="25"/>
      <c r="N1135" s="22" t="s">
        <v>5364</v>
      </c>
      <c r="O1135" s="22" t="s">
        <v>11850</v>
      </c>
      <c r="P1135" s="22" t="s">
        <v>5364</v>
      </c>
      <c r="Q1135" s="22" t="s">
        <v>11850</v>
      </c>
      <c r="R1135" s="22" t="s">
        <v>11851</v>
      </c>
      <c r="S1135" s="25"/>
      <c r="T1135" s="40" t="s">
        <v>11852</v>
      </c>
      <c r="U1135" s="22" t="s">
        <v>11853</v>
      </c>
      <c r="V1135" s="25"/>
      <c r="W1135" s="22" t="s">
        <v>11854</v>
      </c>
      <c r="X1135" s="22" t="s">
        <v>8200</v>
      </c>
      <c r="Y1135" s="25"/>
      <c r="Z1135" s="25"/>
      <c r="AA1135" s="22" t="s">
        <v>8129</v>
      </c>
      <c r="AB1135" s="22" t="s">
        <v>8130</v>
      </c>
      <c r="AC1135" s="25"/>
      <c r="AD1135" s="22" t="s">
        <v>8573</v>
      </c>
      <c r="AE1135" s="22" t="s">
        <v>8132</v>
      </c>
      <c r="AF1135" s="25"/>
      <c r="AG1135" s="22">
        <v>1.0473974006083E13</v>
      </c>
      <c r="AH1135" s="22" t="s">
        <v>90</v>
      </c>
      <c r="AI1135" s="22">
        <v>2.3441935171907E13</v>
      </c>
      <c r="AJ1135" s="25"/>
      <c r="AK1135" s="25"/>
      <c r="AL1135" s="22" t="s">
        <v>8117</v>
      </c>
      <c r="AQ1135" s="32" t="s">
        <v>8116</v>
      </c>
      <c r="AR1135" s="32" t="b">
        <v>1</v>
      </c>
      <c r="AS1135" s="32" t="b">
        <v>0</v>
      </c>
    </row>
    <row r="1136">
      <c r="A1136" s="21" t="s">
        <v>11849</v>
      </c>
      <c r="B1136" s="25"/>
      <c r="C1136" s="25"/>
      <c r="D1136" s="22" t="s">
        <v>8212</v>
      </c>
      <c r="E1136" s="25"/>
      <c r="F1136" s="22" t="s">
        <v>8149</v>
      </c>
      <c r="G1136" s="25"/>
      <c r="H1136" s="22">
        <v>9.527587537219E12</v>
      </c>
      <c r="I1136" s="25"/>
      <c r="J1136" s="25"/>
      <c r="K1136" s="25"/>
      <c r="L1136" s="25"/>
      <c r="M1136" s="25"/>
      <c r="N1136" s="22" t="s">
        <v>5364</v>
      </c>
      <c r="O1136" s="22" t="s">
        <v>11850</v>
      </c>
      <c r="P1136" s="22" t="s">
        <v>5364</v>
      </c>
      <c r="Q1136" s="22" t="s">
        <v>11850</v>
      </c>
      <c r="R1136" s="22" t="s">
        <v>11851</v>
      </c>
      <c r="S1136" s="25"/>
      <c r="T1136" s="40" t="s">
        <v>11852</v>
      </c>
      <c r="U1136" s="22" t="s">
        <v>11853</v>
      </c>
      <c r="V1136" s="25"/>
      <c r="W1136" s="22" t="s">
        <v>11854</v>
      </c>
      <c r="X1136" s="22" t="s">
        <v>8200</v>
      </c>
      <c r="Y1136" s="25"/>
      <c r="Z1136" s="25"/>
      <c r="AA1136" s="22" t="s">
        <v>8129</v>
      </c>
      <c r="AB1136" s="22" t="s">
        <v>8130</v>
      </c>
      <c r="AC1136" s="25"/>
      <c r="AD1136" s="25"/>
      <c r="AE1136" s="22" t="s">
        <v>8132</v>
      </c>
      <c r="AF1136" s="25"/>
      <c r="AG1136" s="22">
        <v>1.0473974006083E13</v>
      </c>
      <c r="AH1136" s="22" t="s">
        <v>8137</v>
      </c>
      <c r="AI1136" s="22">
        <v>2.3441935171907E13</v>
      </c>
      <c r="AJ1136" s="25"/>
      <c r="AK1136" s="25"/>
      <c r="AL1136" s="22" t="s">
        <v>8149</v>
      </c>
      <c r="AR1136" s="32" t="b">
        <v>0</v>
      </c>
      <c r="AS1136" s="32" t="b">
        <v>0</v>
      </c>
    </row>
    <row r="1137">
      <c r="A1137" s="21" t="s">
        <v>11855</v>
      </c>
      <c r="B1137" s="22" t="s">
        <v>8119</v>
      </c>
      <c r="C1137" s="22">
        <v>1.0</v>
      </c>
      <c r="D1137" s="22" t="s">
        <v>8278</v>
      </c>
      <c r="E1137" s="22" t="s">
        <v>8119</v>
      </c>
      <c r="F1137" s="22" t="s">
        <v>8121</v>
      </c>
      <c r="G1137" s="25"/>
      <c r="H1137" s="22">
        <v>3.2779522310467E13</v>
      </c>
      <c r="I1137" s="25"/>
      <c r="J1137" s="25"/>
      <c r="K1137" s="22">
        <v>4.2085703549171E13</v>
      </c>
      <c r="L1137" s="25"/>
      <c r="M1137" s="25"/>
      <c r="N1137" s="22" t="s">
        <v>4382</v>
      </c>
      <c r="O1137" s="22" t="s">
        <v>11856</v>
      </c>
      <c r="P1137" s="22" t="s">
        <v>4382</v>
      </c>
      <c r="Q1137" s="22" t="s">
        <v>11856</v>
      </c>
      <c r="R1137" s="22" t="s">
        <v>11857</v>
      </c>
      <c r="S1137" s="25"/>
      <c r="T1137" s="40" t="s">
        <v>11858</v>
      </c>
      <c r="U1137" s="22" t="s">
        <v>11859</v>
      </c>
      <c r="V1137" s="25"/>
      <c r="W1137" s="22" t="s">
        <v>11860</v>
      </c>
      <c r="X1137" s="22" t="s">
        <v>8128</v>
      </c>
      <c r="Y1137" s="25"/>
      <c r="Z1137" s="25"/>
      <c r="AA1137" s="22" t="s">
        <v>8129</v>
      </c>
      <c r="AB1137" s="22" t="s">
        <v>8130</v>
      </c>
      <c r="AC1137" s="25"/>
      <c r="AD1137" s="22" t="s">
        <v>8131</v>
      </c>
      <c r="AE1137" s="22" t="s">
        <v>8132</v>
      </c>
      <c r="AF1137" s="25"/>
      <c r="AG1137" s="22">
        <v>1.0471591510339E13</v>
      </c>
      <c r="AH1137" s="22" t="s">
        <v>90</v>
      </c>
      <c r="AI1137" s="22">
        <v>8.604959637827E12</v>
      </c>
      <c r="AJ1137" s="25"/>
      <c r="AK1137" s="25"/>
      <c r="AL1137" s="22" t="s">
        <v>8133</v>
      </c>
      <c r="AQ1137" s="32" t="s">
        <v>8135</v>
      </c>
      <c r="AR1137" s="32" t="b">
        <v>0</v>
      </c>
      <c r="AS1137" s="32" t="b">
        <v>0</v>
      </c>
    </row>
    <row r="1138">
      <c r="A1138" s="21" t="s">
        <v>11855</v>
      </c>
      <c r="B1138" s="25"/>
      <c r="C1138" s="25"/>
      <c r="D1138" s="22" t="s">
        <v>8278</v>
      </c>
      <c r="E1138" s="25"/>
      <c r="F1138" s="22" t="s">
        <v>8136</v>
      </c>
      <c r="G1138" s="25"/>
      <c r="H1138" s="22">
        <v>9.525561557315E12</v>
      </c>
      <c r="I1138" s="25"/>
      <c r="J1138" s="25"/>
      <c r="K1138" s="25"/>
      <c r="L1138" s="25"/>
      <c r="M1138" s="25"/>
      <c r="N1138" s="22" t="s">
        <v>4382</v>
      </c>
      <c r="O1138" s="22" t="s">
        <v>11856</v>
      </c>
      <c r="P1138" s="22" t="s">
        <v>4382</v>
      </c>
      <c r="Q1138" s="22" t="s">
        <v>11856</v>
      </c>
      <c r="R1138" s="22" t="s">
        <v>11857</v>
      </c>
      <c r="S1138" s="25"/>
      <c r="T1138" s="40" t="s">
        <v>11858</v>
      </c>
      <c r="U1138" s="22" t="s">
        <v>11859</v>
      </c>
      <c r="V1138" s="25"/>
      <c r="W1138" s="22" t="s">
        <v>11860</v>
      </c>
      <c r="X1138" s="22" t="s">
        <v>8128</v>
      </c>
      <c r="Y1138" s="25"/>
      <c r="Z1138" s="25"/>
      <c r="AA1138" s="22" t="s">
        <v>8129</v>
      </c>
      <c r="AB1138" s="22" t="s">
        <v>8130</v>
      </c>
      <c r="AC1138" s="25"/>
      <c r="AD1138" s="25"/>
      <c r="AE1138" s="22" t="s">
        <v>8132</v>
      </c>
      <c r="AF1138" s="25"/>
      <c r="AG1138" s="22">
        <v>1.0471591510339E13</v>
      </c>
      <c r="AH1138" s="22" t="s">
        <v>8137</v>
      </c>
      <c r="AI1138" s="22">
        <v>8.604959637827E12</v>
      </c>
      <c r="AJ1138" s="25"/>
      <c r="AK1138" s="25"/>
      <c r="AL1138" s="22" t="s">
        <v>8136</v>
      </c>
      <c r="AR1138" s="32" t="b">
        <v>0</v>
      </c>
      <c r="AS1138" s="32" t="b">
        <v>0</v>
      </c>
    </row>
    <row r="1139">
      <c r="A1139" s="21" t="s">
        <v>11861</v>
      </c>
      <c r="B1139" s="22" t="s">
        <v>8707</v>
      </c>
      <c r="C1139" s="22">
        <v>1.0</v>
      </c>
      <c r="D1139" s="22" t="s">
        <v>8968</v>
      </c>
      <c r="E1139" s="22" t="s">
        <v>8707</v>
      </c>
      <c r="F1139" s="22" t="s">
        <v>8155</v>
      </c>
      <c r="G1139" s="25"/>
      <c r="H1139" s="22">
        <v>3.2781425574211E13</v>
      </c>
      <c r="I1139" s="25"/>
      <c r="J1139" s="25"/>
      <c r="K1139" s="22">
        <v>4.9521175429443E13</v>
      </c>
      <c r="L1139" s="25"/>
      <c r="M1139" s="25"/>
      <c r="N1139" s="22" t="s">
        <v>11862</v>
      </c>
      <c r="O1139" s="22" t="s">
        <v>11863</v>
      </c>
      <c r="P1139" s="22" t="s">
        <v>11862</v>
      </c>
      <c r="Q1139" s="22" t="s">
        <v>11863</v>
      </c>
      <c r="R1139" s="22" t="s">
        <v>11864</v>
      </c>
      <c r="S1139" s="25"/>
      <c r="T1139" s="40" t="s">
        <v>11865</v>
      </c>
      <c r="U1139" s="22" t="s">
        <v>11866</v>
      </c>
      <c r="V1139" s="22">
        <v>181.0</v>
      </c>
      <c r="W1139" s="22" t="s">
        <v>11867</v>
      </c>
      <c r="X1139" s="22" t="s">
        <v>8380</v>
      </c>
      <c r="Y1139" s="25"/>
      <c r="Z1139" s="25"/>
      <c r="AA1139" s="22" t="s">
        <v>8129</v>
      </c>
      <c r="AB1139" s="22" t="s">
        <v>8130</v>
      </c>
      <c r="AC1139" s="25"/>
      <c r="AD1139" s="22" t="s">
        <v>8161</v>
      </c>
      <c r="AE1139" s="22" t="s">
        <v>8132</v>
      </c>
      <c r="AF1139" s="25"/>
      <c r="AG1139" s="22">
        <v>1.0472448819523E13</v>
      </c>
      <c r="AH1139" s="22" t="s">
        <v>90</v>
      </c>
      <c r="AI1139" s="22">
        <v>2.3440332161347E13</v>
      </c>
      <c r="AJ1139" s="25"/>
      <c r="AK1139" s="25"/>
      <c r="AL1139" s="22" t="s">
        <v>8336</v>
      </c>
      <c r="AQ1139" s="32" t="s">
        <v>54</v>
      </c>
      <c r="AR1139" s="32" t="b">
        <v>0</v>
      </c>
      <c r="AS1139" s="32" t="b">
        <v>1</v>
      </c>
    </row>
    <row r="1140">
      <c r="A1140" s="21" t="s">
        <v>11861</v>
      </c>
      <c r="B1140" s="25"/>
      <c r="C1140" s="25"/>
      <c r="D1140" s="22" t="s">
        <v>8968</v>
      </c>
      <c r="E1140" s="25"/>
      <c r="F1140" s="22" t="s">
        <v>8149</v>
      </c>
      <c r="G1140" s="25"/>
      <c r="H1140" s="22">
        <v>9.526351692099E12</v>
      </c>
      <c r="I1140" s="25"/>
      <c r="J1140" s="25"/>
      <c r="K1140" s="25"/>
      <c r="L1140" s="25"/>
      <c r="M1140" s="25"/>
      <c r="N1140" s="22" t="s">
        <v>11862</v>
      </c>
      <c r="O1140" s="22" t="s">
        <v>11863</v>
      </c>
      <c r="P1140" s="22" t="s">
        <v>11862</v>
      </c>
      <c r="Q1140" s="22" t="s">
        <v>11863</v>
      </c>
      <c r="R1140" s="22" t="s">
        <v>11864</v>
      </c>
      <c r="S1140" s="25"/>
      <c r="T1140" s="40" t="s">
        <v>11865</v>
      </c>
      <c r="U1140" s="22" t="s">
        <v>11866</v>
      </c>
      <c r="V1140" s="22">
        <v>181.0</v>
      </c>
      <c r="W1140" s="22" t="s">
        <v>11867</v>
      </c>
      <c r="X1140" s="22" t="s">
        <v>8380</v>
      </c>
      <c r="Y1140" s="25"/>
      <c r="Z1140" s="25"/>
      <c r="AA1140" s="22" t="s">
        <v>8129</v>
      </c>
      <c r="AB1140" s="22" t="s">
        <v>8130</v>
      </c>
      <c r="AC1140" s="25"/>
      <c r="AD1140" s="25"/>
      <c r="AE1140" s="22" t="s">
        <v>8132</v>
      </c>
      <c r="AF1140" s="25"/>
      <c r="AG1140" s="22">
        <v>1.0472448819523E13</v>
      </c>
      <c r="AH1140" s="22" t="s">
        <v>8137</v>
      </c>
      <c r="AI1140" s="22">
        <v>2.3440332161347E13</v>
      </c>
      <c r="AJ1140" s="25"/>
      <c r="AK1140" s="25"/>
      <c r="AL1140" s="22" t="s">
        <v>8149</v>
      </c>
      <c r="AR1140" s="32" t="b">
        <v>0</v>
      </c>
      <c r="AS1140" s="32" t="b">
        <v>0</v>
      </c>
    </row>
    <row r="1141">
      <c r="A1141" s="21" t="s">
        <v>11868</v>
      </c>
      <c r="B1141" s="22" t="s">
        <v>8140</v>
      </c>
      <c r="C1141" s="22">
        <v>1.0</v>
      </c>
      <c r="D1141" s="22" t="s">
        <v>8371</v>
      </c>
      <c r="E1141" s="22" t="s">
        <v>8140</v>
      </c>
      <c r="F1141" s="22" t="s">
        <v>8121</v>
      </c>
      <c r="G1141" s="25"/>
      <c r="H1141" s="22">
        <v>3.2784046784835E13</v>
      </c>
      <c r="I1141" s="25"/>
      <c r="J1141" s="25"/>
      <c r="K1141" s="22">
        <v>4.2085703581939E13</v>
      </c>
      <c r="L1141" s="25"/>
      <c r="M1141" s="25"/>
      <c r="N1141" s="22" t="s">
        <v>5574</v>
      </c>
      <c r="O1141" s="22" t="s">
        <v>8679</v>
      </c>
      <c r="P1141" s="22" t="s">
        <v>5574</v>
      </c>
      <c r="Q1141" s="22" t="s">
        <v>8679</v>
      </c>
      <c r="R1141" s="22" t="s">
        <v>11869</v>
      </c>
      <c r="S1141" s="25"/>
      <c r="T1141" s="40" t="s">
        <v>11870</v>
      </c>
      <c r="U1141" s="22" t="s">
        <v>11871</v>
      </c>
      <c r="V1141" s="25"/>
      <c r="W1141" s="22" t="s">
        <v>11872</v>
      </c>
      <c r="X1141" s="22" t="s">
        <v>8193</v>
      </c>
      <c r="Y1141" s="25"/>
      <c r="Z1141" s="25"/>
      <c r="AA1141" s="22" t="s">
        <v>8129</v>
      </c>
      <c r="AB1141" s="22" t="s">
        <v>8130</v>
      </c>
      <c r="AC1141" s="25"/>
      <c r="AD1141" s="22" t="s">
        <v>8131</v>
      </c>
      <c r="AE1141" s="22" t="s">
        <v>8132</v>
      </c>
      <c r="AF1141" s="25"/>
      <c r="AG1141" s="22">
        <v>1.0473682207043E13</v>
      </c>
      <c r="AH1141" s="22" t="s">
        <v>90</v>
      </c>
      <c r="AI1141" s="22">
        <v>7.465695215939E12</v>
      </c>
      <c r="AJ1141" s="25"/>
      <c r="AK1141" s="25"/>
      <c r="AL1141" s="22" t="s">
        <v>8134</v>
      </c>
      <c r="AQ1141" s="32" t="s">
        <v>8150</v>
      </c>
      <c r="AR1141" s="32" t="b">
        <v>0</v>
      </c>
      <c r="AS1141" s="32" t="b">
        <v>0</v>
      </c>
    </row>
    <row r="1142">
      <c r="A1142" s="21" t="s">
        <v>11868</v>
      </c>
      <c r="B1142" s="25"/>
      <c r="C1142" s="25"/>
      <c r="D1142" s="22" t="s">
        <v>8371</v>
      </c>
      <c r="E1142" s="25"/>
      <c r="F1142" s="22" t="s">
        <v>8136</v>
      </c>
      <c r="G1142" s="25"/>
      <c r="H1142" s="22">
        <v>9.527371170115E12</v>
      </c>
      <c r="I1142" s="25"/>
      <c r="J1142" s="25"/>
      <c r="K1142" s="25"/>
      <c r="L1142" s="25"/>
      <c r="M1142" s="25"/>
      <c r="N1142" s="22" t="s">
        <v>5574</v>
      </c>
      <c r="O1142" s="22" t="s">
        <v>8679</v>
      </c>
      <c r="P1142" s="22" t="s">
        <v>5574</v>
      </c>
      <c r="Q1142" s="22" t="s">
        <v>8679</v>
      </c>
      <c r="R1142" s="22" t="s">
        <v>11869</v>
      </c>
      <c r="S1142" s="25"/>
      <c r="T1142" s="40" t="s">
        <v>11870</v>
      </c>
      <c r="U1142" s="22" t="s">
        <v>11871</v>
      </c>
      <c r="V1142" s="25"/>
      <c r="W1142" s="22" t="s">
        <v>11872</v>
      </c>
      <c r="X1142" s="22" t="s">
        <v>8193</v>
      </c>
      <c r="Y1142" s="25"/>
      <c r="Z1142" s="25"/>
      <c r="AA1142" s="22" t="s">
        <v>8129</v>
      </c>
      <c r="AB1142" s="22" t="s">
        <v>8130</v>
      </c>
      <c r="AC1142" s="25"/>
      <c r="AD1142" s="25"/>
      <c r="AE1142" s="22" t="s">
        <v>8132</v>
      </c>
      <c r="AF1142" s="25"/>
      <c r="AG1142" s="22">
        <v>1.0473682207043E13</v>
      </c>
      <c r="AH1142" s="22" t="s">
        <v>8137</v>
      </c>
      <c r="AI1142" s="22">
        <v>7.465695215939E12</v>
      </c>
      <c r="AJ1142" s="25"/>
      <c r="AK1142" s="25"/>
      <c r="AL1142" s="22" t="s">
        <v>8136</v>
      </c>
      <c r="AR1142" s="32" t="b">
        <v>0</v>
      </c>
      <c r="AS1142" s="32" t="b">
        <v>0</v>
      </c>
    </row>
    <row r="1143">
      <c r="A1143" s="21" t="s">
        <v>11873</v>
      </c>
      <c r="B1143" s="22" t="s">
        <v>8119</v>
      </c>
      <c r="C1143" s="22">
        <v>1.0</v>
      </c>
      <c r="D1143" s="22" t="s">
        <v>8501</v>
      </c>
      <c r="E1143" s="22" t="s">
        <v>8119</v>
      </c>
      <c r="F1143" s="22" t="s">
        <v>8121</v>
      </c>
      <c r="G1143" s="25"/>
      <c r="H1143" s="22">
        <v>3.2785365664067E13</v>
      </c>
      <c r="I1143" s="25"/>
      <c r="J1143" s="25"/>
      <c r="K1143" s="22">
        <v>4.2085703549171E13</v>
      </c>
      <c r="L1143" s="25"/>
      <c r="M1143" s="25"/>
      <c r="N1143" s="22" t="s">
        <v>11874</v>
      </c>
      <c r="O1143" s="22" t="s">
        <v>11875</v>
      </c>
      <c r="P1143" s="22" t="s">
        <v>11874</v>
      </c>
      <c r="Q1143" s="22" t="s">
        <v>11875</v>
      </c>
      <c r="R1143" s="22" t="s">
        <v>11876</v>
      </c>
      <c r="S1143" s="25"/>
      <c r="T1143" s="40" t="s">
        <v>11877</v>
      </c>
      <c r="U1143" s="22" t="s">
        <v>11878</v>
      </c>
      <c r="V1143" s="25"/>
      <c r="W1143" s="22" t="s">
        <v>11879</v>
      </c>
      <c r="X1143" s="22" t="s">
        <v>9377</v>
      </c>
      <c r="Y1143" s="25"/>
      <c r="Z1143" s="25"/>
      <c r="AA1143" s="22" t="s">
        <v>8129</v>
      </c>
      <c r="AB1143" s="22" t="s">
        <v>8130</v>
      </c>
      <c r="AC1143" s="25"/>
      <c r="AD1143" s="22" t="s">
        <v>8131</v>
      </c>
      <c r="AE1143" s="22" t="s">
        <v>8132</v>
      </c>
      <c r="AF1143" s="25"/>
      <c r="AG1143" s="22">
        <v>1.0474299556163E13</v>
      </c>
      <c r="AH1143" s="22" t="s">
        <v>90</v>
      </c>
      <c r="AI1143" s="22">
        <v>2.3442276548931E13</v>
      </c>
      <c r="AJ1143" s="25"/>
      <c r="AK1143" s="25"/>
      <c r="AL1143" s="22" t="s">
        <v>8133</v>
      </c>
      <c r="AQ1143" s="32" t="s">
        <v>8135</v>
      </c>
      <c r="AR1143" s="32" t="b">
        <v>0</v>
      </c>
      <c r="AS1143" s="32" t="b">
        <v>0</v>
      </c>
    </row>
    <row r="1144">
      <c r="A1144" s="21" t="s">
        <v>11873</v>
      </c>
      <c r="B1144" s="25"/>
      <c r="C1144" s="25"/>
      <c r="D1144" s="22" t="s">
        <v>8501</v>
      </c>
      <c r="E1144" s="25"/>
      <c r="F1144" s="22" t="s">
        <v>8136</v>
      </c>
      <c r="G1144" s="25"/>
      <c r="H1144" s="22">
        <v>9.527898276163E12</v>
      </c>
      <c r="I1144" s="25"/>
      <c r="J1144" s="25"/>
      <c r="K1144" s="25"/>
      <c r="L1144" s="25"/>
      <c r="M1144" s="25"/>
      <c r="N1144" s="22" t="s">
        <v>11874</v>
      </c>
      <c r="O1144" s="22" t="s">
        <v>11875</v>
      </c>
      <c r="P1144" s="22" t="s">
        <v>11874</v>
      </c>
      <c r="Q1144" s="22" t="s">
        <v>11875</v>
      </c>
      <c r="R1144" s="22" t="s">
        <v>11876</v>
      </c>
      <c r="S1144" s="25"/>
      <c r="T1144" s="40" t="s">
        <v>11877</v>
      </c>
      <c r="U1144" s="22" t="s">
        <v>11878</v>
      </c>
      <c r="V1144" s="25"/>
      <c r="W1144" s="22" t="s">
        <v>11879</v>
      </c>
      <c r="X1144" s="22" t="s">
        <v>9377</v>
      </c>
      <c r="Y1144" s="25"/>
      <c r="Z1144" s="25"/>
      <c r="AA1144" s="22" t="s">
        <v>8129</v>
      </c>
      <c r="AB1144" s="22" t="s">
        <v>8130</v>
      </c>
      <c r="AC1144" s="25"/>
      <c r="AD1144" s="25"/>
      <c r="AE1144" s="22" t="s">
        <v>8132</v>
      </c>
      <c r="AF1144" s="25"/>
      <c r="AG1144" s="22">
        <v>1.0474299556163E13</v>
      </c>
      <c r="AH1144" s="22" t="s">
        <v>8137</v>
      </c>
      <c r="AI1144" s="22">
        <v>2.3442276548931E13</v>
      </c>
      <c r="AJ1144" s="25"/>
      <c r="AK1144" s="25"/>
      <c r="AL1144" s="22" t="s">
        <v>8136</v>
      </c>
      <c r="AR1144" s="32" t="b">
        <v>0</v>
      </c>
      <c r="AS1144" s="32" t="b">
        <v>0</v>
      </c>
    </row>
    <row r="1145">
      <c r="A1145" s="21" t="s">
        <v>11880</v>
      </c>
      <c r="B1145" s="22" t="s">
        <v>8211</v>
      </c>
      <c r="C1145" s="22">
        <v>1.0</v>
      </c>
      <c r="D1145" s="22" t="s">
        <v>8581</v>
      </c>
      <c r="E1145" s="22" t="s">
        <v>8211</v>
      </c>
      <c r="F1145" s="22" t="s">
        <v>8155</v>
      </c>
      <c r="G1145" s="25"/>
      <c r="H1145" s="22">
        <v>3.2786929418563E13</v>
      </c>
      <c r="I1145" s="25"/>
      <c r="J1145" s="25"/>
      <c r="K1145" s="22">
        <v>4.7338059727171E13</v>
      </c>
      <c r="L1145" s="25"/>
      <c r="M1145" s="25"/>
      <c r="N1145" s="22" t="s">
        <v>11881</v>
      </c>
      <c r="O1145" s="22" t="s">
        <v>4329</v>
      </c>
      <c r="P1145" s="22" t="s">
        <v>11881</v>
      </c>
      <c r="Q1145" s="22" t="s">
        <v>4329</v>
      </c>
      <c r="R1145" s="22" t="s">
        <v>11882</v>
      </c>
      <c r="S1145" s="25"/>
      <c r="T1145" s="40" t="s">
        <v>11883</v>
      </c>
      <c r="U1145" s="22" t="s">
        <v>11884</v>
      </c>
      <c r="V1145" s="25"/>
      <c r="W1145" s="22" t="s">
        <v>11885</v>
      </c>
      <c r="X1145" s="22" t="s">
        <v>8289</v>
      </c>
      <c r="Y1145" s="25"/>
      <c r="Z1145" s="25"/>
      <c r="AA1145" s="22" t="s">
        <v>8129</v>
      </c>
      <c r="AB1145" s="22" t="s">
        <v>8130</v>
      </c>
      <c r="AC1145" s="25"/>
      <c r="AD1145" s="22" t="s">
        <v>8161</v>
      </c>
      <c r="AE1145" s="22" t="s">
        <v>8132</v>
      </c>
      <c r="AF1145" s="25"/>
      <c r="AG1145" s="22">
        <v>1.0475027562819E13</v>
      </c>
      <c r="AH1145" s="22" t="s">
        <v>90</v>
      </c>
      <c r="AI1145" s="22">
        <v>2.3443058852163E13</v>
      </c>
      <c r="AJ1145" s="25"/>
      <c r="AK1145" s="25"/>
      <c r="AL1145" s="22" t="s">
        <v>8151</v>
      </c>
      <c r="AQ1145" s="32" t="s">
        <v>54</v>
      </c>
      <c r="AR1145" s="32" t="b">
        <v>0</v>
      </c>
      <c r="AS1145" s="32" t="b">
        <v>0</v>
      </c>
    </row>
    <row r="1146">
      <c r="A1146" s="21" t="s">
        <v>11880</v>
      </c>
      <c r="B1146" s="25"/>
      <c r="C1146" s="25"/>
      <c r="D1146" s="22" t="s">
        <v>8581</v>
      </c>
      <c r="E1146" s="25"/>
      <c r="F1146" s="22" t="s">
        <v>1806</v>
      </c>
      <c r="G1146" s="25"/>
      <c r="H1146" s="25"/>
      <c r="I1146" s="25"/>
      <c r="J1146" s="25"/>
      <c r="K1146" s="25"/>
      <c r="L1146" s="25"/>
      <c r="M1146" s="25"/>
      <c r="N1146" s="22" t="s">
        <v>11881</v>
      </c>
      <c r="O1146" s="22" t="s">
        <v>4329</v>
      </c>
      <c r="P1146" s="22" t="s">
        <v>11881</v>
      </c>
      <c r="Q1146" s="22" t="s">
        <v>4329</v>
      </c>
      <c r="R1146" s="22" t="s">
        <v>11882</v>
      </c>
      <c r="S1146" s="25"/>
      <c r="T1146" s="40" t="s">
        <v>11883</v>
      </c>
      <c r="U1146" s="22" t="s">
        <v>11884</v>
      </c>
      <c r="V1146" s="25"/>
      <c r="W1146" s="22" t="s">
        <v>11885</v>
      </c>
      <c r="X1146" s="22" t="s">
        <v>8289</v>
      </c>
      <c r="Y1146" s="25"/>
      <c r="Z1146" s="25"/>
      <c r="AA1146" s="22" t="s">
        <v>8129</v>
      </c>
      <c r="AB1146" s="22" t="s">
        <v>8130</v>
      </c>
      <c r="AC1146" s="25"/>
      <c r="AD1146" s="25"/>
      <c r="AE1146" s="22" t="s">
        <v>8132</v>
      </c>
      <c r="AF1146" s="25"/>
      <c r="AG1146" s="22">
        <v>1.0475027562819E13</v>
      </c>
      <c r="AH1146" s="22" t="s">
        <v>769</v>
      </c>
      <c r="AI1146" s="22">
        <v>2.3443058852163E13</v>
      </c>
      <c r="AJ1146" s="25"/>
      <c r="AK1146" s="25"/>
      <c r="AL1146" s="22" t="s">
        <v>11886</v>
      </c>
      <c r="AR1146" s="32" t="b">
        <v>0</v>
      </c>
      <c r="AS1146" s="32" t="b">
        <v>0</v>
      </c>
    </row>
    <row r="1147">
      <c r="A1147" s="21" t="s">
        <v>11880</v>
      </c>
      <c r="B1147" s="25"/>
      <c r="C1147" s="25"/>
      <c r="D1147" s="22" t="s">
        <v>8581</v>
      </c>
      <c r="E1147" s="25"/>
      <c r="F1147" s="22" t="s">
        <v>8149</v>
      </c>
      <c r="G1147" s="25"/>
      <c r="H1147" s="22">
        <v>9.528562057539E12</v>
      </c>
      <c r="I1147" s="25"/>
      <c r="J1147" s="25"/>
      <c r="K1147" s="25"/>
      <c r="L1147" s="25"/>
      <c r="M1147" s="25"/>
      <c r="N1147" s="22" t="s">
        <v>11881</v>
      </c>
      <c r="O1147" s="22" t="s">
        <v>4329</v>
      </c>
      <c r="P1147" s="22" t="s">
        <v>11881</v>
      </c>
      <c r="Q1147" s="22" t="s">
        <v>4329</v>
      </c>
      <c r="R1147" s="22" t="s">
        <v>11882</v>
      </c>
      <c r="S1147" s="25"/>
      <c r="T1147" s="40" t="s">
        <v>11883</v>
      </c>
      <c r="U1147" s="22" t="s">
        <v>11884</v>
      </c>
      <c r="V1147" s="25"/>
      <c r="W1147" s="22" t="s">
        <v>11885</v>
      </c>
      <c r="X1147" s="22" t="s">
        <v>8289</v>
      </c>
      <c r="Y1147" s="25"/>
      <c r="Z1147" s="25"/>
      <c r="AA1147" s="22" t="s">
        <v>8129</v>
      </c>
      <c r="AB1147" s="22" t="s">
        <v>8130</v>
      </c>
      <c r="AC1147" s="25"/>
      <c r="AD1147" s="25"/>
      <c r="AE1147" s="22" t="s">
        <v>8132</v>
      </c>
      <c r="AF1147" s="25"/>
      <c r="AG1147" s="22">
        <v>1.0475027562819E13</v>
      </c>
      <c r="AH1147" s="22" t="s">
        <v>8137</v>
      </c>
      <c r="AI1147" s="22">
        <v>2.3443058852163E13</v>
      </c>
      <c r="AJ1147" s="25"/>
      <c r="AK1147" s="25"/>
      <c r="AL1147" s="22" t="s">
        <v>8149</v>
      </c>
      <c r="AR1147" s="32" t="b">
        <v>0</v>
      </c>
      <c r="AS1147" s="32" t="b">
        <v>0</v>
      </c>
    </row>
    <row r="1148">
      <c r="A1148" s="21" t="s">
        <v>11887</v>
      </c>
      <c r="B1148" s="22" t="s">
        <v>8119</v>
      </c>
      <c r="C1148" s="22">
        <v>1.0</v>
      </c>
      <c r="D1148" s="22" t="s">
        <v>8501</v>
      </c>
      <c r="E1148" s="22" t="s">
        <v>8119</v>
      </c>
      <c r="F1148" s="22" t="s">
        <v>8121</v>
      </c>
      <c r="G1148" s="25"/>
      <c r="H1148" s="22">
        <v>3.2786972180803E13</v>
      </c>
      <c r="I1148" s="25"/>
      <c r="J1148" s="25"/>
      <c r="K1148" s="22">
        <v>4.2085703549171E13</v>
      </c>
      <c r="L1148" s="25"/>
      <c r="M1148" s="25"/>
      <c r="N1148" s="22" t="s">
        <v>11888</v>
      </c>
      <c r="O1148" s="22" t="s">
        <v>11889</v>
      </c>
      <c r="P1148" s="22" t="s">
        <v>11888</v>
      </c>
      <c r="Q1148" s="22" t="s">
        <v>11889</v>
      </c>
      <c r="R1148" s="22" t="s">
        <v>11890</v>
      </c>
      <c r="S1148" s="25"/>
      <c r="T1148" s="40" t="s">
        <v>11891</v>
      </c>
      <c r="U1148" s="22" t="s">
        <v>11892</v>
      </c>
      <c r="V1148" s="25"/>
      <c r="W1148" s="22" t="s">
        <v>11893</v>
      </c>
      <c r="X1148" s="22" t="s">
        <v>8251</v>
      </c>
      <c r="Y1148" s="25"/>
      <c r="Z1148" s="25"/>
      <c r="AA1148" s="22" t="s">
        <v>8129</v>
      </c>
      <c r="AB1148" s="22" t="s">
        <v>8130</v>
      </c>
      <c r="AC1148" s="25"/>
      <c r="AD1148" s="22" t="s">
        <v>8131</v>
      </c>
      <c r="AE1148" s="22" t="s">
        <v>8132</v>
      </c>
      <c r="AF1148" s="25"/>
      <c r="AG1148" s="22">
        <v>1.0475047715139E13</v>
      </c>
      <c r="AH1148" s="22" t="s">
        <v>90</v>
      </c>
      <c r="AI1148" s="22">
        <v>2.3443079135555E13</v>
      </c>
      <c r="AJ1148" s="25"/>
      <c r="AK1148" s="25"/>
      <c r="AL1148" s="22" t="s">
        <v>8133</v>
      </c>
      <c r="AQ1148" s="32" t="s">
        <v>8135</v>
      </c>
      <c r="AR1148" s="32" t="b">
        <v>0</v>
      </c>
      <c r="AS1148" s="32" t="b">
        <v>0</v>
      </c>
    </row>
    <row r="1149">
      <c r="A1149" s="21" t="s">
        <v>11887</v>
      </c>
      <c r="B1149" s="25"/>
      <c r="C1149" s="25"/>
      <c r="D1149" s="22" t="s">
        <v>8501</v>
      </c>
      <c r="E1149" s="25"/>
      <c r="F1149" s="22" t="s">
        <v>8136</v>
      </c>
      <c r="G1149" s="25"/>
      <c r="H1149" s="22">
        <v>9.528581062979E12</v>
      </c>
      <c r="I1149" s="25"/>
      <c r="J1149" s="25"/>
      <c r="K1149" s="25"/>
      <c r="L1149" s="25"/>
      <c r="M1149" s="25"/>
      <c r="N1149" s="22" t="s">
        <v>11888</v>
      </c>
      <c r="O1149" s="22" t="s">
        <v>11889</v>
      </c>
      <c r="P1149" s="22" t="s">
        <v>11888</v>
      </c>
      <c r="Q1149" s="22" t="s">
        <v>11889</v>
      </c>
      <c r="R1149" s="22" t="s">
        <v>11890</v>
      </c>
      <c r="S1149" s="25"/>
      <c r="T1149" s="40" t="s">
        <v>11891</v>
      </c>
      <c r="U1149" s="22" t="s">
        <v>11892</v>
      </c>
      <c r="V1149" s="25"/>
      <c r="W1149" s="22" t="s">
        <v>11893</v>
      </c>
      <c r="X1149" s="22" t="s">
        <v>8251</v>
      </c>
      <c r="Y1149" s="25"/>
      <c r="Z1149" s="25"/>
      <c r="AA1149" s="22" t="s">
        <v>8129</v>
      </c>
      <c r="AB1149" s="22" t="s">
        <v>8130</v>
      </c>
      <c r="AC1149" s="25"/>
      <c r="AD1149" s="25"/>
      <c r="AE1149" s="22" t="s">
        <v>8132</v>
      </c>
      <c r="AF1149" s="25"/>
      <c r="AG1149" s="22">
        <v>1.0475047715139E13</v>
      </c>
      <c r="AH1149" s="22" t="s">
        <v>8137</v>
      </c>
      <c r="AI1149" s="22">
        <v>2.3443079135555E13</v>
      </c>
      <c r="AJ1149" s="25"/>
      <c r="AK1149" s="25"/>
      <c r="AL1149" s="22" t="s">
        <v>8136</v>
      </c>
      <c r="AR1149" s="32" t="b">
        <v>0</v>
      </c>
      <c r="AS1149" s="32" t="b">
        <v>0</v>
      </c>
    </row>
    <row r="1150">
      <c r="A1150" s="21" t="s">
        <v>11894</v>
      </c>
      <c r="B1150" s="22" t="s">
        <v>8140</v>
      </c>
      <c r="C1150" s="22">
        <v>1.0</v>
      </c>
      <c r="D1150" s="22" t="s">
        <v>8581</v>
      </c>
      <c r="E1150" s="22" t="s">
        <v>8140</v>
      </c>
      <c r="F1150" s="22" t="s">
        <v>8121</v>
      </c>
      <c r="G1150" s="25"/>
      <c r="H1150" s="22">
        <v>3.2787079856451E13</v>
      </c>
      <c r="I1150" s="25"/>
      <c r="J1150" s="25"/>
      <c r="K1150" s="22">
        <v>4.2085703581939E13</v>
      </c>
      <c r="L1150" s="25"/>
      <c r="M1150" s="25"/>
      <c r="N1150" s="22" t="s">
        <v>11895</v>
      </c>
      <c r="O1150" s="22" t="s">
        <v>11896</v>
      </c>
      <c r="P1150" s="22" t="s">
        <v>11895</v>
      </c>
      <c r="Q1150" s="22" t="s">
        <v>11896</v>
      </c>
      <c r="R1150" s="22" t="s">
        <v>11897</v>
      </c>
      <c r="S1150" s="22" t="s">
        <v>11898</v>
      </c>
      <c r="T1150" s="40" t="s">
        <v>11899</v>
      </c>
      <c r="U1150" s="22" t="s">
        <v>11900</v>
      </c>
      <c r="V1150" s="25"/>
      <c r="W1150" s="22" t="s">
        <v>11901</v>
      </c>
      <c r="X1150" s="22" t="s">
        <v>8128</v>
      </c>
      <c r="Y1150" s="25"/>
      <c r="Z1150" s="25"/>
      <c r="AA1150" s="22" t="s">
        <v>8129</v>
      </c>
      <c r="AB1150" s="22" t="s">
        <v>8130</v>
      </c>
      <c r="AC1150" s="25"/>
      <c r="AD1150" s="22" t="s">
        <v>8131</v>
      </c>
      <c r="AE1150" s="22" t="s">
        <v>8132</v>
      </c>
      <c r="AF1150" s="25"/>
      <c r="AG1150" s="22">
        <v>1.0475098276163E13</v>
      </c>
      <c r="AH1150" s="22" t="s">
        <v>90</v>
      </c>
      <c r="AI1150" s="22">
        <v>2.3443126419779E13</v>
      </c>
      <c r="AJ1150" s="25"/>
      <c r="AK1150" s="25"/>
      <c r="AL1150" s="22" t="s">
        <v>8134</v>
      </c>
      <c r="AQ1150" s="32" t="s">
        <v>8150</v>
      </c>
      <c r="AR1150" s="32" t="b">
        <v>0</v>
      </c>
      <c r="AS1150" s="32" t="b">
        <v>0</v>
      </c>
    </row>
    <row r="1151">
      <c r="A1151" s="21" t="s">
        <v>11894</v>
      </c>
      <c r="B1151" s="25"/>
      <c r="C1151" s="25"/>
      <c r="D1151" s="22" t="s">
        <v>8581</v>
      </c>
      <c r="E1151" s="25"/>
      <c r="F1151" s="22" t="s">
        <v>1806</v>
      </c>
      <c r="G1151" s="25"/>
      <c r="H1151" s="25"/>
      <c r="I1151" s="25"/>
      <c r="J1151" s="25"/>
      <c r="K1151" s="25"/>
      <c r="L1151" s="25"/>
      <c r="M1151" s="25"/>
      <c r="N1151" s="22" t="s">
        <v>11895</v>
      </c>
      <c r="O1151" s="22" t="s">
        <v>11896</v>
      </c>
      <c r="P1151" s="22" t="s">
        <v>11895</v>
      </c>
      <c r="Q1151" s="22" t="s">
        <v>11896</v>
      </c>
      <c r="R1151" s="22" t="s">
        <v>11897</v>
      </c>
      <c r="S1151" s="22" t="s">
        <v>11898</v>
      </c>
      <c r="T1151" s="40" t="s">
        <v>11899</v>
      </c>
      <c r="U1151" s="22" t="s">
        <v>11900</v>
      </c>
      <c r="V1151" s="25"/>
      <c r="W1151" s="22" t="s">
        <v>11901</v>
      </c>
      <c r="X1151" s="22" t="s">
        <v>8128</v>
      </c>
      <c r="Y1151" s="25"/>
      <c r="Z1151" s="25"/>
      <c r="AA1151" s="22" t="s">
        <v>8129</v>
      </c>
      <c r="AB1151" s="22" t="s">
        <v>8130</v>
      </c>
      <c r="AC1151" s="25"/>
      <c r="AD1151" s="25"/>
      <c r="AE1151" s="22" t="s">
        <v>8132</v>
      </c>
      <c r="AF1151" s="25"/>
      <c r="AG1151" s="22">
        <v>1.0475098276163E13</v>
      </c>
      <c r="AH1151" s="22" t="s">
        <v>769</v>
      </c>
      <c r="AI1151" s="22">
        <v>2.3443126419779E13</v>
      </c>
      <c r="AJ1151" s="25"/>
      <c r="AK1151" s="25"/>
      <c r="AL1151" s="22" t="s">
        <v>11902</v>
      </c>
      <c r="AR1151" s="32" t="b">
        <v>0</v>
      </c>
      <c r="AS1151" s="32" t="b">
        <v>0</v>
      </c>
    </row>
    <row r="1152">
      <c r="A1152" s="21" t="s">
        <v>11894</v>
      </c>
      <c r="B1152" s="25"/>
      <c r="C1152" s="25"/>
      <c r="D1152" s="22" t="s">
        <v>8581</v>
      </c>
      <c r="E1152" s="25"/>
      <c r="F1152" s="22" t="s">
        <v>8136</v>
      </c>
      <c r="G1152" s="25"/>
      <c r="H1152" s="22">
        <v>9.528629068099E12</v>
      </c>
      <c r="I1152" s="25"/>
      <c r="J1152" s="25"/>
      <c r="K1152" s="25"/>
      <c r="L1152" s="25"/>
      <c r="M1152" s="25"/>
      <c r="N1152" s="22" t="s">
        <v>11895</v>
      </c>
      <c r="O1152" s="22" t="s">
        <v>11896</v>
      </c>
      <c r="P1152" s="22" t="s">
        <v>11895</v>
      </c>
      <c r="Q1152" s="22" t="s">
        <v>11896</v>
      </c>
      <c r="R1152" s="22" t="s">
        <v>11897</v>
      </c>
      <c r="S1152" s="22" t="s">
        <v>11898</v>
      </c>
      <c r="T1152" s="40" t="s">
        <v>11899</v>
      </c>
      <c r="U1152" s="22" t="s">
        <v>11900</v>
      </c>
      <c r="V1152" s="25"/>
      <c r="W1152" s="22" t="s">
        <v>11901</v>
      </c>
      <c r="X1152" s="22" t="s">
        <v>8128</v>
      </c>
      <c r="Y1152" s="25"/>
      <c r="Z1152" s="25"/>
      <c r="AA1152" s="22" t="s">
        <v>8129</v>
      </c>
      <c r="AB1152" s="22" t="s">
        <v>8130</v>
      </c>
      <c r="AC1152" s="25"/>
      <c r="AD1152" s="25"/>
      <c r="AE1152" s="22" t="s">
        <v>8132</v>
      </c>
      <c r="AF1152" s="25"/>
      <c r="AG1152" s="22">
        <v>1.0475098276163E13</v>
      </c>
      <c r="AH1152" s="22" t="s">
        <v>8137</v>
      </c>
      <c r="AI1152" s="22">
        <v>2.3443126419779E13</v>
      </c>
      <c r="AJ1152" s="25"/>
      <c r="AK1152" s="25"/>
      <c r="AL1152" s="22" t="s">
        <v>8136</v>
      </c>
      <c r="AR1152" s="32" t="b">
        <v>0</v>
      </c>
      <c r="AS1152" s="32" t="b">
        <v>0</v>
      </c>
    </row>
    <row r="1153">
      <c r="A1153" s="21" t="s">
        <v>11903</v>
      </c>
      <c r="B1153" s="22" t="s">
        <v>8211</v>
      </c>
      <c r="C1153" s="22">
        <v>1.0</v>
      </c>
      <c r="D1153" s="22" t="s">
        <v>8581</v>
      </c>
      <c r="E1153" s="22" t="s">
        <v>8211</v>
      </c>
      <c r="F1153" s="22" t="s">
        <v>8155</v>
      </c>
      <c r="G1153" s="25"/>
      <c r="H1153" s="22">
        <v>3.2787347374403E13</v>
      </c>
      <c r="I1153" s="25"/>
      <c r="J1153" s="25"/>
      <c r="K1153" s="22">
        <v>4.7338059727171E13</v>
      </c>
      <c r="L1153" s="25"/>
      <c r="M1153" s="25"/>
      <c r="N1153" s="22" t="s">
        <v>3866</v>
      </c>
      <c r="O1153" s="22" t="s">
        <v>11904</v>
      </c>
      <c r="P1153" s="22" t="s">
        <v>3866</v>
      </c>
      <c r="Q1153" s="22" t="s">
        <v>11904</v>
      </c>
      <c r="R1153" s="22" t="s">
        <v>11905</v>
      </c>
      <c r="S1153" s="25"/>
      <c r="T1153" s="40" t="s">
        <v>11906</v>
      </c>
      <c r="U1153" s="22" t="s">
        <v>11907</v>
      </c>
      <c r="V1153" s="25"/>
      <c r="W1153" s="22" t="s">
        <v>11908</v>
      </c>
      <c r="X1153" s="22" t="s">
        <v>8380</v>
      </c>
      <c r="Y1153" s="25"/>
      <c r="Z1153" s="25"/>
      <c r="AA1153" s="22" t="s">
        <v>8129</v>
      </c>
      <c r="AB1153" s="22" t="s">
        <v>8130</v>
      </c>
      <c r="AC1153" s="25"/>
      <c r="AD1153" s="22" t="s">
        <v>8161</v>
      </c>
      <c r="AE1153" s="22" t="s">
        <v>8132</v>
      </c>
      <c r="AF1153" s="25"/>
      <c r="AG1153" s="22">
        <v>1.0475217748291E13</v>
      </c>
      <c r="AH1153" s="22" t="s">
        <v>90</v>
      </c>
      <c r="AI1153" s="22">
        <v>7.472027271491E12</v>
      </c>
      <c r="AJ1153" s="25"/>
      <c r="AK1153" s="25"/>
      <c r="AL1153" s="22" t="s">
        <v>8151</v>
      </c>
      <c r="AQ1153" s="32" t="s">
        <v>54</v>
      </c>
      <c r="AR1153" s="32" t="b">
        <v>0</v>
      </c>
      <c r="AS1153" s="32" t="b">
        <v>0</v>
      </c>
    </row>
    <row r="1154">
      <c r="A1154" s="21" t="s">
        <v>11903</v>
      </c>
      <c r="B1154" s="25"/>
      <c r="C1154" s="25"/>
      <c r="D1154" s="22" t="s">
        <v>8581</v>
      </c>
      <c r="E1154" s="25"/>
      <c r="F1154" s="22" t="s">
        <v>8149</v>
      </c>
      <c r="G1154" s="25"/>
      <c r="H1154" s="22">
        <v>9.528739430723E12</v>
      </c>
      <c r="I1154" s="25"/>
      <c r="J1154" s="25"/>
      <c r="K1154" s="25"/>
      <c r="L1154" s="25"/>
      <c r="M1154" s="25"/>
      <c r="N1154" s="22" t="s">
        <v>3866</v>
      </c>
      <c r="O1154" s="22" t="s">
        <v>11904</v>
      </c>
      <c r="P1154" s="22" t="s">
        <v>3866</v>
      </c>
      <c r="Q1154" s="22" t="s">
        <v>11904</v>
      </c>
      <c r="R1154" s="22" t="s">
        <v>11905</v>
      </c>
      <c r="S1154" s="25"/>
      <c r="T1154" s="40" t="s">
        <v>11906</v>
      </c>
      <c r="U1154" s="22" t="s">
        <v>11907</v>
      </c>
      <c r="V1154" s="25"/>
      <c r="W1154" s="22" t="s">
        <v>11908</v>
      </c>
      <c r="X1154" s="22" t="s">
        <v>8380</v>
      </c>
      <c r="Y1154" s="25"/>
      <c r="Z1154" s="25"/>
      <c r="AA1154" s="22" t="s">
        <v>8129</v>
      </c>
      <c r="AB1154" s="22" t="s">
        <v>8130</v>
      </c>
      <c r="AC1154" s="25"/>
      <c r="AD1154" s="25"/>
      <c r="AE1154" s="22" t="s">
        <v>8132</v>
      </c>
      <c r="AF1154" s="25"/>
      <c r="AG1154" s="22">
        <v>1.0475217748291E13</v>
      </c>
      <c r="AH1154" s="22" t="s">
        <v>8137</v>
      </c>
      <c r="AI1154" s="22">
        <v>7.472027271491E12</v>
      </c>
      <c r="AJ1154" s="25"/>
      <c r="AK1154" s="25"/>
      <c r="AL1154" s="22" t="s">
        <v>8149</v>
      </c>
      <c r="AR1154" s="32" t="b">
        <v>0</v>
      </c>
      <c r="AS1154" s="32" t="b">
        <v>0</v>
      </c>
    </row>
    <row r="1155">
      <c r="A1155" s="21" t="s">
        <v>11909</v>
      </c>
      <c r="B1155" s="22" t="s">
        <v>8140</v>
      </c>
      <c r="C1155" s="22">
        <v>1.0</v>
      </c>
      <c r="D1155" s="22" t="s">
        <v>8501</v>
      </c>
      <c r="E1155" s="22" t="s">
        <v>8140</v>
      </c>
      <c r="F1155" s="22" t="s">
        <v>8121</v>
      </c>
      <c r="G1155" s="25"/>
      <c r="H1155" s="22">
        <v>3.2787525894467E13</v>
      </c>
      <c r="I1155" s="25"/>
      <c r="J1155" s="25"/>
      <c r="K1155" s="22">
        <v>4.2085703581939E13</v>
      </c>
      <c r="L1155" s="25"/>
      <c r="M1155" s="25"/>
      <c r="N1155" s="22" t="s">
        <v>11910</v>
      </c>
      <c r="O1155" s="22" t="s">
        <v>10333</v>
      </c>
      <c r="P1155" s="22" t="s">
        <v>11910</v>
      </c>
      <c r="Q1155" s="22" t="s">
        <v>10333</v>
      </c>
      <c r="R1155" s="22" t="s">
        <v>11911</v>
      </c>
      <c r="S1155" s="25"/>
      <c r="T1155" s="40" t="s">
        <v>11912</v>
      </c>
      <c r="U1155" s="22" t="s">
        <v>11913</v>
      </c>
      <c r="V1155" s="25"/>
      <c r="W1155" s="22" t="s">
        <v>11914</v>
      </c>
      <c r="X1155" s="22" t="s">
        <v>11915</v>
      </c>
      <c r="Y1155" s="25"/>
      <c r="Z1155" s="25"/>
      <c r="AA1155" s="22" t="s">
        <v>8129</v>
      </c>
      <c r="AB1155" s="22" t="s">
        <v>8130</v>
      </c>
      <c r="AC1155" s="25"/>
      <c r="AD1155" s="22" t="s">
        <v>8131</v>
      </c>
      <c r="AE1155" s="22" t="s">
        <v>8132</v>
      </c>
      <c r="AF1155" s="25"/>
      <c r="AG1155" s="22">
        <v>1.0475299930435E13</v>
      </c>
      <c r="AH1155" s="22" t="s">
        <v>90</v>
      </c>
      <c r="AI1155" s="22">
        <v>2.3443315425603E13</v>
      </c>
      <c r="AJ1155" s="25"/>
      <c r="AK1155" s="25"/>
      <c r="AL1155" s="22" t="s">
        <v>8134</v>
      </c>
      <c r="AQ1155" s="32" t="s">
        <v>8150</v>
      </c>
      <c r="AR1155" s="32" t="b">
        <v>0</v>
      </c>
      <c r="AS1155" s="32" t="b">
        <v>0</v>
      </c>
    </row>
    <row r="1156">
      <c r="A1156" s="21" t="s">
        <v>11909</v>
      </c>
      <c r="B1156" s="25"/>
      <c r="C1156" s="25"/>
      <c r="D1156" s="22" t="s">
        <v>8501</v>
      </c>
      <c r="E1156" s="25"/>
      <c r="F1156" s="22" t="s">
        <v>8136</v>
      </c>
      <c r="G1156" s="25"/>
      <c r="H1156" s="22">
        <v>9.528811454787E12</v>
      </c>
      <c r="I1156" s="25"/>
      <c r="J1156" s="25"/>
      <c r="K1156" s="25"/>
      <c r="L1156" s="25"/>
      <c r="M1156" s="25"/>
      <c r="N1156" s="22" t="s">
        <v>11910</v>
      </c>
      <c r="O1156" s="22" t="s">
        <v>10333</v>
      </c>
      <c r="P1156" s="22" t="s">
        <v>11910</v>
      </c>
      <c r="Q1156" s="22" t="s">
        <v>10333</v>
      </c>
      <c r="R1156" s="22" t="s">
        <v>11911</v>
      </c>
      <c r="S1156" s="25"/>
      <c r="T1156" s="40" t="s">
        <v>11912</v>
      </c>
      <c r="U1156" s="22" t="s">
        <v>11913</v>
      </c>
      <c r="V1156" s="25"/>
      <c r="W1156" s="22" t="s">
        <v>11914</v>
      </c>
      <c r="X1156" s="22" t="s">
        <v>11915</v>
      </c>
      <c r="Y1156" s="25"/>
      <c r="Z1156" s="25"/>
      <c r="AA1156" s="22" t="s">
        <v>8129</v>
      </c>
      <c r="AB1156" s="22" t="s">
        <v>8130</v>
      </c>
      <c r="AC1156" s="25"/>
      <c r="AD1156" s="25"/>
      <c r="AE1156" s="22" t="s">
        <v>8132</v>
      </c>
      <c r="AF1156" s="25"/>
      <c r="AG1156" s="22">
        <v>1.0475299930435E13</v>
      </c>
      <c r="AH1156" s="22" t="s">
        <v>8137</v>
      </c>
      <c r="AI1156" s="22">
        <v>2.3443315425603E13</v>
      </c>
      <c r="AJ1156" s="25"/>
      <c r="AK1156" s="25"/>
      <c r="AL1156" s="22" t="s">
        <v>8136</v>
      </c>
      <c r="AR1156" s="32" t="b">
        <v>0</v>
      </c>
      <c r="AS1156" s="32" t="b">
        <v>0</v>
      </c>
    </row>
    <row r="1157">
      <c r="A1157" s="21" t="s">
        <v>11916</v>
      </c>
      <c r="B1157" s="22" t="s">
        <v>8119</v>
      </c>
      <c r="C1157" s="22">
        <v>1.0</v>
      </c>
      <c r="D1157" s="22" t="s">
        <v>8221</v>
      </c>
      <c r="E1157" s="22" t="s">
        <v>8119</v>
      </c>
      <c r="F1157" s="22" t="s">
        <v>8121</v>
      </c>
      <c r="G1157" s="25"/>
      <c r="H1157" s="22">
        <v>3.2787551748419E13</v>
      </c>
      <c r="I1157" s="25"/>
      <c r="J1157" s="25"/>
      <c r="K1157" s="22">
        <v>4.2085703549171E13</v>
      </c>
      <c r="L1157" s="25"/>
      <c r="M1157" s="25"/>
      <c r="N1157" s="22" t="s">
        <v>7564</v>
      </c>
      <c r="O1157" s="22" t="s">
        <v>11917</v>
      </c>
      <c r="P1157" s="22" t="s">
        <v>7564</v>
      </c>
      <c r="Q1157" s="22" t="s">
        <v>11918</v>
      </c>
      <c r="R1157" s="22" t="s">
        <v>11919</v>
      </c>
      <c r="S1157" s="25"/>
      <c r="T1157" s="40" t="s">
        <v>11920</v>
      </c>
      <c r="U1157" s="22" t="s">
        <v>11921</v>
      </c>
      <c r="V1157" s="25"/>
      <c r="W1157" s="22" t="s">
        <v>11922</v>
      </c>
      <c r="X1157" s="22" t="s">
        <v>8227</v>
      </c>
      <c r="Y1157" s="25"/>
      <c r="Z1157" s="25"/>
      <c r="AA1157" s="22" t="s">
        <v>8129</v>
      </c>
      <c r="AB1157" s="22" t="s">
        <v>8130</v>
      </c>
      <c r="AC1157" s="25"/>
      <c r="AD1157" s="22" t="s">
        <v>8131</v>
      </c>
      <c r="AE1157" s="22" t="s">
        <v>8132</v>
      </c>
      <c r="AF1157" s="25"/>
      <c r="AG1157" s="22">
        <v>1.0475311530307E13</v>
      </c>
      <c r="AH1157" s="22" t="s">
        <v>90</v>
      </c>
      <c r="AI1157" s="22">
        <v>7.435021680963E12</v>
      </c>
      <c r="AJ1157" s="25"/>
      <c r="AK1157" s="25"/>
      <c r="AL1157" s="22" t="s">
        <v>8133</v>
      </c>
      <c r="AQ1157" s="32" t="s">
        <v>8135</v>
      </c>
      <c r="AR1157" s="32" t="b">
        <v>0</v>
      </c>
      <c r="AS1157" s="32" t="b">
        <v>0</v>
      </c>
    </row>
    <row r="1158">
      <c r="A1158" s="21" t="s">
        <v>11916</v>
      </c>
      <c r="B1158" s="25"/>
      <c r="C1158" s="25"/>
      <c r="D1158" s="22" t="s">
        <v>8221</v>
      </c>
      <c r="E1158" s="25"/>
      <c r="F1158" s="22" t="s">
        <v>8136</v>
      </c>
      <c r="G1158" s="25"/>
      <c r="H1158" s="22">
        <v>9.528821252419E12</v>
      </c>
      <c r="I1158" s="25"/>
      <c r="J1158" s="25"/>
      <c r="K1158" s="25"/>
      <c r="L1158" s="25"/>
      <c r="M1158" s="25"/>
      <c r="N1158" s="22" t="s">
        <v>7564</v>
      </c>
      <c r="O1158" s="22" t="s">
        <v>11917</v>
      </c>
      <c r="P1158" s="22" t="s">
        <v>7564</v>
      </c>
      <c r="Q1158" s="22" t="s">
        <v>11918</v>
      </c>
      <c r="R1158" s="22" t="s">
        <v>11919</v>
      </c>
      <c r="S1158" s="25"/>
      <c r="T1158" s="40" t="s">
        <v>11920</v>
      </c>
      <c r="U1158" s="22" t="s">
        <v>11921</v>
      </c>
      <c r="V1158" s="25"/>
      <c r="W1158" s="22" t="s">
        <v>11922</v>
      </c>
      <c r="X1158" s="22" t="s">
        <v>8227</v>
      </c>
      <c r="Y1158" s="25"/>
      <c r="Z1158" s="25"/>
      <c r="AA1158" s="22" t="s">
        <v>8129</v>
      </c>
      <c r="AB1158" s="22" t="s">
        <v>8130</v>
      </c>
      <c r="AC1158" s="25"/>
      <c r="AD1158" s="25"/>
      <c r="AE1158" s="22" t="s">
        <v>8132</v>
      </c>
      <c r="AF1158" s="25"/>
      <c r="AG1158" s="22">
        <v>1.0475311530307E13</v>
      </c>
      <c r="AH1158" s="22" t="s">
        <v>8137</v>
      </c>
      <c r="AI1158" s="22">
        <v>7.435021680963E12</v>
      </c>
      <c r="AJ1158" s="25"/>
      <c r="AK1158" s="25"/>
      <c r="AL1158" s="22" t="s">
        <v>8136</v>
      </c>
      <c r="AR1158" s="32" t="b">
        <v>0</v>
      </c>
      <c r="AS1158" s="32" t="b">
        <v>0</v>
      </c>
    </row>
    <row r="1159">
      <c r="A1159" s="21" t="s">
        <v>11923</v>
      </c>
      <c r="B1159" s="22" t="s">
        <v>8262</v>
      </c>
      <c r="C1159" s="22">
        <v>1.0</v>
      </c>
      <c r="D1159" s="22" t="s">
        <v>8221</v>
      </c>
      <c r="E1159" s="22" t="s">
        <v>8262</v>
      </c>
      <c r="F1159" s="22" t="s">
        <v>8155</v>
      </c>
      <c r="G1159" s="25"/>
      <c r="H1159" s="22">
        <v>3.2787700252995E13</v>
      </c>
      <c r="I1159" s="25"/>
      <c r="J1159" s="25"/>
      <c r="K1159" s="22">
        <v>4.7338059792707E13</v>
      </c>
      <c r="L1159" s="25"/>
      <c r="M1159" s="25"/>
      <c r="N1159" s="22" t="s">
        <v>4722</v>
      </c>
      <c r="O1159" s="22" t="s">
        <v>11924</v>
      </c>
      <c r="P1159" s="22" t="s">
        <v>4722</v>
      </c>
      <c r="Q1159" s="22" t="s">
        <v>11924</v>
      </c>
      <c r="R1159" s="22" t="s">
        <v>11925</v>
      </c>
      <c r="S1159" s="25"/>
      <c r="T1159" s="40" t="s">
        <v>11926</v>
      </c>
      <c r="U1159" s="22" t="s">
        <v>11927</v>
      </c>
      <c r="V1159" s="25"/>
      <c r="W1159" s="22" t="s">
        <v>11928</v>
      </c>
      <c r="X1159" s="22" t="s">
        <v>11929</v>
      </c>
      <c r="Y1159" s="25"/>
      <c r="Z1159" s="25"/>
      <c r="AA1159" s="22" t="s">
        <v>8129</v>
      </c>
      <c r="AB1159" s="22" t="s">
        <v>8130</v>
      </c>
      <c r="AC1159" s="25"/>
      <c r="AD1159" s="22" t="s">
        <v>8161</v>
      </c>
      <c r="AE1159" s="22" t="s">
        <v>8132</v>
      </c>
      <c r="AF1159" s="25"/>
      <c r="AG1159" s="22">
        <v>1.0475378508099E13</v>
      </c>
      <c r="AH1159" s="22" t="s">
        <v>90</v>
      </c>
      <c r="AI1159" s="22">
        <v>2.3443520553283E13</v>
      </c>
      <c r="AJ1159" s="25"/>
      <c r="AK1159" s="25"/>
      <c r="AL1159" s="22" t="s">
        <v>8269</v>
      </c>
      <c r="AQ1159" s="32" t="s">
        <v>91</v>
      </c>
      <c r="AR1159" s="32" t="b">
        <v>0</v>
      </c>
      <c r="AS1159" s="32" t="b">
        <v>0</v>
      </c>
    </row>
    <row r="1160">
      <c r="A1160" s="21" t="s">
        <v>11923</v>
      </c>
      <c r="B1160" s="25"/>
      <c r="C1160" s="25"/>
      <c r="D1160" s="22" t="s">
        <v>8221</v>
      </c>
      <c r="E1160" s="25"/>
      <c r="F1160" s="22" t="s">
        <v>8149</v>
      </c>
      <c r="G1160" s="25"/>
      <c r="H1160" s="22">
        <v>9.528879415619E12</v>
      </c>
      <c r="I1160" s="25"/>
      <c r="J1160" s="25"/>
      <c r="K1160" s="25"/>
      <c r="L1160" s="25"/>
      <c r="M1160" s="25"/>
      <c r="N1160" s="22" t="s">
        <v>4722</v>
      </c>
      <c r="O1160" s="22" t="s">
        <v>11924</v>
      </c>
      <c r="P1160" s="22" t="s">
        <v>4722</v>
      </c>
      <c r="Q1160" s="22" t="s">
        <v>11924</v>
      </c>
      <c r="R1160" s="22" t="s">
        <v>11925</v>
      </c>
      <c r="S1160" s="25"/>
      <c r="T1160" s="40" t="s">
        <v>11926</v>
      </c>
      <c r="U1160" s="22" t="s">
        <v>11927</v>
      </c>
      <c r="V1160" s="25"/>
      <c r="W1160" s="22" t="s">
        <v>11928</v>
      </c>
      <c r="X1160" s="22" t="s">
        <v>11929</v>
      </c>
      <c r="Y1160" s="25"/>
      <c r="Z1160" s="25"/>
      <c r="AA1160" s="22" t="s">
        <v>8129</v>
      </c>
      <c r="AB1160" s="22" t="s">
        <v>8130</v>
      </c>
      <c r="AC1160" s="25"/>
      <c r="AD1160" s="25"/>
      <c r="AE1160" s="22" t="s">
        <v>8132</v>
      </c>
      <c r="AF1160" s="25"/>
      <c r="AG1160" s="22">
        <v>1.0475378508099E13</v>
      </c>
      <c r="AH1160" s="22" t="s">
        <v>8137</v>
      </c>
      <c r="AI1160" s="22">
        <v>2.3443520553283E13</v>
      </c>
      <c r="AJ1160" s="25"/>
      <c r="AK1160" s="25"/>
      <c r="AL1160" s="22" t="s">
        <v>8149</v>
      </c>
      <c r="AR1160" s="32" t="b">
        <v>0</v>
      </c>
      <c r="AS1160" s="32" t="b">
        <v>0</v>
      </c>
    </row>
    <row r="1161">
      <c r="A1161" s="21" t="s">
        <v>11930</v>
      </c>
      <c r="B1161" s="22" t="s">
        <v>8140</v>
      </c>
      <c r="C1161" s="22">
        <v>1.0</v>
      </c>
      <c r="D1161" s="22" t="s">
        <v>8141</v>
      </c>
      <c r="E1161" s="22" t="s">
        <v>8140</v>
      </c>
      <c r="F1161" s="22" t="s">
        <v>8121</v>
      </c>
      <c r="G1161" s="25"/>
      <c r="H1161" s="22">
        <v>3.2788012892483E13</v>
      </c>
      <c r="I1161" s="25"/>
      <c r="J1161" s="25"/>
      <c r="K1161" s="22">
        <v>4.2085703581939E13</v>
      </c>
      <c r="L1161" s="25"/>
      <c r="M1161" s="25"/>
      <c r="N1161" s="22" t="s">
        <v>4739</v>
      </c>
      <c r="O1161" s="22" t="s">
        <v>11931</v>
      </c>
      <c r="P1161" s="22" t="s">
        <v>4739</v>
      </c>
      <c r="Q1161" s="22" t="s">
        <v>11931</v>
      </c>
      <c r="R1161" s="22" t="s">
        <v>11932</v>
      </c>
      <c r="S1161" s="25"/>
      <c r="T1161" s="40" t="s">
        <v>11933</v>
      </c>
      <c r="U1161" s="22" t="s">
        <v>11934</v>
      </c>
      <c r="V1161" s="25"/>
      <c r="W1161" s="22" t="s">
        <v>11935</v>
      </c>
      <c r="X1161" s="22" t="s">
        <v>8289</v>
      </c>
      <c r="Y1161" s="25"/>
      <c r="Z1161" s="25"/>
      <c r="AA1161" s="22" t="s">
        <v>8129</v>
      </c>
      <c r="AB1161" s="22" t="s">
        <v>8130</v>
      </c>
      <c r="AC1161" s="25"/>
      <c r="AD1161" s="22" t="s">
        <v>8131</v>
      </c>
      <c r="AE1161" s="22" t="s">
        <v>8132</v>
      </c>
      <c r="AF1161" s="25"/>
      <c r="AG1161" s="22">
        <v>1.0475523375427E13</v>
      </c>
      <c r="AH1161" s="22" t="s">
        <v>90</v>
      </c>
      <c r="AI1161" s="22">
        <v>2.3443934052675E13</v>
      </c>
      <c r="AJ1161" s="25"/>
      <c r="AK1161" s="25"/>
      <c r="AL1161" s="22" t="s">
        <v>8134</v>
      </c>
      <c r="AQ1161" s="32" t="s">
        <v>8150</v>
      </c>
      <c r="AR1161" s="32" t="b">
        <v>0</v>
      </c>
      <c r="AS1161" s="32" t="b">
        <v>0</v>
      </c>
    </row>
    <row r="1162">
      <c r="A1162" s="21" t="s">
        <v>11930</v>
      </c>
      <c r="B1162" s="25"/>
      <c r="C1162" s="25"/>
      <c r="D1162" s="22" t="s">
        <v>8141</v>
      </c>
      <c r="E1162" s="25"/>
      <c r="F1162" s="22" t="s">
        <v>1806</v>
      </c>
      <c r="G1162" s="25"/>
      <c r="H1162" s="25"/>
      <c r="I1162" s="25"/>
      <c r="J1162" s="25"/>
      <c r="K1162" s="25"/>
      <c r="L1162" s="25"/>
      <c r="M1162" s="25"/>
      <c r="N1162" s="22" t="s">
        <v>4739</v>
      </c>
      <c r="O1162" s="22" t="s">
        <v>11931</v>
      </c>
      <c r="P1162" s="22" t="s">
        <v>4739</v>
      </c>
      <c r="Q1162" s="22" t="s">
        <v>11931</v>
      </c>
      <c r="R1162" s="22" t="s">
        <v>11932</v>
      </c>
      <c r="S1162" s="25"/>
      <c r="T1162" s="40" t="s">
        <v>11933</v>
      </c>
      <c r="U1162" s="22" t="s">
        <v>11934</v>
      </c>
      <c r="V1162" s="25"/>
      <c r="W1162" s="22" t="s">
        <v>11935</v>
      </c>
      <c r="X1162" s="22" t="s">
        <v>8289</v>
      </c>
      <c r="Y1162" s="25"/>
      <c r="Z1162" s="25"/>
      <c r="AA1162" s="22" t="s">
        <v>8129</v>
      </c>
      <c r="AB1162" s="22" t="s">
        <v>8130</v>
      </c>
      <c r="AC1162" s="25"/>
      <c r="AD1162" s="25"/>
      <c r="AE1162" s="22" t="s">
        <v>8132</v>
      </c>
      <c r="AF1162" s="25"/>
      <c r="AG1162" s="22">
        <v>1.0475523375427E13</v>
      </c>
      <c r="AH1162" s="22" t="s">
        <v>769</v>
      </c>
      <c r="AI1162" s="22">
        <v>2.3443934052675E13</v>
      </c>
      <c r="AJ1162" s="25"/>
      <c r="AK1162" s="25"/>
      <c r="AL1162" s="22" t="s">
        <v>11936</v>
      </c>
      <c r="AR1162" s="32" t="b">
        <v>0</v>
      </c>
      <c r="AS1162" s="32" t="b">
        <v>0</v>
      </c>
    </row>
    <row r="1163">
      <c r="A1163" s="21" t="s">
        <v>11930</v>
      </c>
      <c r="B1163" s="25"/>
      <c r="C1163" s="25"/>
      <c r="D1163" s="22" t="s">
        <v>8141</v>
      </c>
      <c r="E1163" s="25"/>
      <c r="F1163" s="22" t="s">
        <v>8136</v>
      </c>
      <c r="G1163" s="25"/>
      <c r="H1163" s="22">
        <v>9.529000952131E12</v>
      </c>
      <c r="I1163" s="25"/>
      <c r="J1163" s="25"/>
      <c r="K1163" s="25"/>
      <c r="L1163" s="25"/>
      <c r="M1163" s="25"/>
      <c r="N1163" s="22" t="s">
        <v>4739</v>
      </c>
      <c r="O1163" s="22" t="s">
        <v>11931</v>
      </c>
      <c r="P1163" s="22" t="s">
        <v>4739</v>
      </c>
      <c r="Q1163" s="22" t="s">
        <v>11931</v>
      </c>
      <c r="R1163" s="22" t="s">
        <v>11932</v>
      </c>
      <c r="S1163" s="25"/>
      <c r="T1163" s="40" t="s">
        <v>11933</v>
      </c>
      <c r="U1163" s="22" t="s">
        <v>11934</v>
      </c>
      <c r="V1163" s="25"/>
      <c r="W1163" s="22" t="s">
        <v>11935</v>
      </c>
      <c r="X1163" s="22" t="s">
        <v>8289</v>
      </c>
      <c r="Y1163" s="25"/>
      <c r="Z1163" s="25"/>
      <c r="AA1163" s="22" t="s">
        <v>8129</v>
      </c>
      <c r="AB1163" s="22" t="s">
        <v>8130</v>
      </c>
      <c r="AC1163" s="25"/>
      <c r="AD1163" s="25"/>
      <c r="AE1163" s="22" t="s">
        <v>8132</v>
      </c>
      <c r="AF1163" s="25"/>
      <c r="AG1163" s="22">
        <v>1.0475523375427E13</v>
      </c>
      <c r="AH1163" s="22" t="s">
        <v>8137</v>
      </c>
      <c r="AI1163" s="22">
        <v>2.3443934052675E13</v>
      </c>
      <c r="AJ1163" s="25"/>
      <c r="AK1163" s="25"/>
      <c r="AL1163" s="22" t="s">
        <v>8136</v>
      </c>
      <c r="AR1163" s="32" t="b">
        <v>0</v>
      </c>
      <c r="AS1163" s="32" t="b">
        <v>0</v>
      </c>
    </row>
    <row r="1164">
      <c r="A1164" s="21" t="s">
        <v>11937</v>
      </c>
      <c r="B1164" s="22" t="s">
        <v>8119</v>
      </c>
      <c r="C1164" s="22">
        <v>1.0</v>
      </c>
      <c r="D1164" s="22" t="s">
        <v>8581</v>
      </c>
      <c r="E1164" s="22" t="s">
        <v>8119</v>
      </c>
      <c r="F1164" s="22" t="s">
        <v>8121</v>
      </c>
      <c r="G1164" s="25"/>
      <c r="H1164" s="22">
        <v>3.2788062830915E13</v>
      </c>
      <c r="I1164" s="25"/>
      <c r="J1164" s="25"/>
      <c r="K1164" s="22">
        <v>4.2085703549171E13</v>
      </c>
      <c r="L1164" s="25"/>
      <c r="M1164" s="25"/>
      <c r="N1164" s="22" t="s">
        <v>9273</v>
      </c>
      <c r="O1164" s="22" t="s">
        <v>11938</v>
      </c>
      <c r="P1164" s="22" t="s">
        <v>9273</v>
      </c>
      <c r="Q1164" s="22" t="s">
        <v>11938</v>
      </c>
      <c r="R1164" s="22" t="s">
        <v>11939</v>
      </c>
      <c r="S1164" s="25"/>
      <c r="T1164" s="40" t="s">
        <v>11940</v>
      </c>
      <c r="U1164" s="22" t="s">
        <v>11941</v>
      </c>
      <c r="V1164" s="25"/>
      <c r="W1164" s="22" t="s">
        <v>11942</v>
      </c>
      <c r="X1164" s="22" t="s">
        <v>8671</v>
      </c>
      <c r="Y1164" s="25"/>
      <c r="Z1164" s="25"/>
      <c r="AA1164" s="22" t="s">
        <v>8129</v>
      </c>
      <c r="AB1164" s="22" t="s">
        <v>8130</v>
      </c>
      <c r="AC1164" s="25"/>
      <c r="AD1164" s="22" t="s">
        <v>8131</v>
      </c>
      <c r="AE1164" s="22" t="s">
        <v>8132</v>
      </c>
      <c r="AF1164" s="25"/>
      <c r="AG1164" s="22">
        <v>1.0475547033923E13</v>
      </c>
      <c r="AH1164" s="22" t="s">
        <v>90</v>
      </c>
      <c r="AI1164" s="22">
        <v>8.623681372483E12</v>
      </c>
      <c r="AJ1164" s="25"/>
      <c r="AK1164" s="25"/>
      <c r="AL1164" s="22" t="s">
        <v>8133</v>
      </c>
      <c r="AQ1164" s="32" t="s">
        <v>8135</v>
      </c>
      <c r="AR1164" s="32" t="b">
        <v>0</v>
      </c>
      <c r="AS1164" s="32" t="b">
        <v>0</v>
      </c>
    </row>
    <row r="1165">
      <c r="A1165" s="21" t="s">
        <v>11937</v>
      </c>
      <c r="B1165" s="25"/>
      <c r="C1165" s="25"/>
      <c r="D1165" s="22" t="s">
        <v>8581</v>
      </c>
      <c r="E1165" s="25"/>
      <c r="F1165" s="22" t="s">
        <v>8136</v>
      </c>
      <c r="G1165" s="25"/>
      <c r="H1165" s="22">
        <v>9.529020907843E12</v>
      </c>
      <c r="I1165" s="25"/>
      <c r="J1165" s="25"/>
      <c r="K1165" s="25"/>
      <c r="L1165" s="25"/>
      <c r="M1165" s="25"/>
      <c r="N1165" s="22" t="s">
        <v>9273</v>
      </c>
      <c r="O1165" s="22" t="s">
        <v>11938</v>
      </c>
      <c r="P1165" s="22" t="s">
        <v>9273</v>
      </c>
      <c r="Q1165" s="22" t="s">
        <v>11938</v>
      </c>
      <c r="R1165" s="22" t="s">
        <v>11939</v>
      </c>
      <c r="S1165" s="25"/>
      <c r="T1165" s="40" t="s">
        <v>11940</v>
      </c>
      <c r="U1165" s="22" t="s">
        <v>11941</v>
      </c>
      <c r="V1165" s="25"/>
      <c r="W1165" s="22" t="s">
        <v>11942</v>
      </c>
      <c r="X1165" s="22" t="s">
        <v>8671</v>
      </c>
      <c r="Y1165" s="25"/>
      <c r="Z1165" s="25"/>
      <c r="AA1165" s="22" t="s">
        <v>8129</v>
      </c>
      <c r="AB1165" s="22" t="s">
        <v>8130</v>
      </c>
      <c r="AC1165" s="25"/>
      <c r="AD1165" s="25"/>
      <c r="AE1165" s="22" t="s">
        <v>8132</v>
      </c>
      <c r="AF1165" s="25"/>
      <c r="AG1165" s="22">
        <v>1.0475547033923E13</v>
      </c>
      <c r="AH1165" s="22" t="s">
        <v>8137</v>
      </c>
      <c r="AI1165" s="22">
        <v>8.623681372483E12</v>
      </c>
      <c r="AJ1165" s="25"/>
      <c r="AK1165" s="25"/>
      <c r="AL1165" s="22" t="s">
        <v>8136</v>
      </c>
      <c r="AR1165" s="32" t="b">
        <v>0</v>
      </c>
      <c r="AS1165" s="32" t="b">
        <v>0</v>
      </c>
    </row>
    <row r="1166">
      <c r="A1166" s="21" t="s">
        <v>11943</v>
      </c>
      <c r="B1166" s="22" t="s">
        <v>8211</v>
      </c>
      <c r="C1166" s="22">
        <v>1.0</v>
      </c>
      <c r="D1166" s="22" t="s">
        <v>8221</v>
      </c>
      <c r="E1166" s="22" t="s">
        <v>8211</v>
      </c>
      <c r="F1166" s="22" t="s">
        <v>8155</v>
      </c>
      <c r="G1166" s="25"/>
      <c r="H1166" s="22">
        <v>3.2788416561475E13</v>
      </c>
      <c r="I1166" s="25"/>
      <c r="J1166" s="25"/>
      <c r="K1166" s="22">
        <v>4.7338059727171E13</v>
      </c>
      <c r="L1166" s="25"/>
      <c r="M1166" s="25"/>
      <c r="N1166" s="22" t="s">
        <v>6363</v>
      </c>
      <c r="O1166" s="22" t="s">
        <v>11944</v>
      </c>
      <c r="P1166" s="22" t="s">
        <v>6363</v>
      </c>
      <c r="Q1166" s="22" t="s">
        <v>11944</v>
      </c>
      <c r="R1166" s="22" t="s">
        <v>11945</v>
      </c>
      <c r="S1166" s="25"/>
      <c r="T1166" s="40" t="s">
        <v>11946</v>
      </c>
      <c r="U1166" s="22" t="s">
        <v>11947</v>
      </c>
      <c r="V1166" s="22">
        <v>474.0</v>
      </c>
      <c r="W1166" s="22" t="s">
        <v>11948</v>
      </c>
      <c r="X1166" s="22" t="s">
        <v>11949</v>
      </c>
      <c r="Y1166" s="25"/>
      <c r="Z1166" s="25"/>
      <c r="AA1166" s="22" t="s">
        <v>8129</v>
      </c>
      <c r="AB1166" s="22" t="s">
        <v>8130</v>
      </c>
      <c r="AC1166" s="25"/>
      <c r="AD1166" s="22" t="s">
        <v>8161</v>
      </c>
      <c r="AE1166" s="22" t="s">
        <v>8132</v>
      </c>
      <c r="AF1166" s="25"/>
      <c r="AG1166" s="22">
        <v>1.0475714642243E13</v>
      </c>
      <c r="AH1166" s="22" t="s">
        <v>90</v>
      </c>
      <c r="AI1166" s="22">
        <v>2.3444429865283E13</v>
      </c>
      <c r="AJ1166" s="25"/>
      <c r="AK1166" s="25"/>
      <c r="AL1166" s="22" t="s">
        <v>8151</v>
      </c>
      <c r="AQ1166" s="32" t="s">
        <v>54</v>
      </c>
      <c r="AR1166" s="32" t="b">
        <v>0</v>
      </c>
      <c r="AS1166" s="32" t="b">
        <v>0</v>
      </c>
    </row>
    <row r="1167">
      <c r="A1167" s="21" t="s">
        <v>11943</v>
      </c>
      <c r="B1167" s="25"/>
      <c r="C1167" s="25"/>
      <c r="D1167" s="22" t="s">
        <v>8221</v>
      </c>
      <c r="E1167" s="25"/>
      <c r="F1167" s="22" t="s">
        <v>1806</v>
      </c>
      <c r="G1167" s="25"/>
      <c r="H1167" s="25"/>
      <c r="I1167" s="25"/>
      <c r="J1167" s="25"/>
      <c r="K1167" s="25"/>
      <c r="L1167" s="25"/>
      <c r="M1167" s="25"/>
      <c r="N1167" s="22" t="s">
        <v>6363</v>
      </c>
      <c r="O1167" s="22" t="s">
        <v>11944</v>
      </c>
      <c r="P1167" s="22" t="s">
        <v>6363</v>
      </c>
      <c r="Q1167" s="22" t="s">
        <v>11944</v>
      </c>
      <c r="R1167" s="22" t="s">
        <v>11945</v>
      </c>
      <c r="S1167" s="25"/>
      <c r="T1167" s="40" t="s">
        <v>11946</v>
      </c>
      <c r="U1167" s="22" t="s">
        <v>11947</v>
      </c>
      <c r="V1167" s="22">
        <v>474.0</v>
      </c>
      <c r="W1167" s="22" t="s">
        <v>11948</v>
      </c>
      <c r="X1167" s="22" t="s">
        <v>11949</v>
      </c>
      <c r="Y1167" s="25"/>
      <c r="Z1167" s="25"/>
      <c r="AA1167" s="22" t="s">
        <v>8129</v>
      </c>
      <c r="AB1167" s="22" t="s">
        <v>8130</v>
      </c>
      <c r="AC1167" s="25"/>
      <c r="AD1167" s="25"/>
      <c r="AE1167" s="22" t="s">
        <v>8132</v>
      </c>
      <c r="AF1167" s="25"/>
      <c r="AG1167" s="22">
        <v>1.0475714642243E13</v>
      </c>
      <c r="AH1167" s="22" t="s">
        <v>769</v>
      </c>
      <c r="AI1167" s="22">
        <v>2.3444429865283E13</v>
      </c>
      <c r="AJ1167" s="25"/>
      <c r="AK1167" s="25"/>
      <c r="AL1167" s="22" t="s">
        <v>11950</v>
      </c>
      <c r="AR1167" s="32" t="b">
        <v>0</v>
      </c>
      <c r="AS1167" s="32" t="b">
        <v>0</v>
      </c>
    </row>
    <row r="1168">
      <c r="A1168" s="21" t="s">
        <v>11943</v>
      </c>
      <c r="B1168" s="25"/>
      <c r="C1168" s="25"/>
      <c r="D1168" s="22" t="s">
        <v>8221</v>
      </c>
      <c r="E1168" s="25"/>
      <c r="F1168" s="22" t="s">
        <v>8149</v>
      </c>
      <c r="G1168" s="25"/>
      <c r="H1168" s="22">
        <v>9.529159123267E12</v>
      </c>
      <c r="I1168" s="25"/>
      <c r="J1168" s="25"/>
      <c r="K1168" s="25"/>
      <c r="L1168" s="25"/>
      <c r="M1168" s="25"/>
      <c r="N1168" s="22" t="s">
        <v>6363</v>
      </c>
      <c r="O1168" s="22" t="s">
        <v>11944</v>
      </c>
      <c r="P1168" s="22" t="s">
        <v>6363</v>
      </c>
      <c r="Q1168" s="22" t="s">
        <v>11944</v>
      </c>
      <c r="R1168" s="22" t="s">
        <v>11945</v>
      </c>
      <c r="S1168" s="25"/>
      <c r="T1168" s="40" t="s">
        <v>11946</v>
      </c>
      <c r="U1168" s="22" t="s">
        <v>11947</v>
      </c>
      <c r="V1168" s="22">
        <v>474.0</v>
      </c>
      <c r="W1168" s="22" t="s">
        <v>11948</v>
      </c>
      <c r="X1168" s="22" t="s">
        <v>11949</v>
      </c>
      <c r="Y1168" s="25"/>
      <c r="Z1168" s="25"/>
      <c r="AA1168" s="22" t="s">
        <v>8129</v>
      </c>
      <c r="AB1168" s="22" t="s">
        <v>8130</v>
      </c>
      <c r="AC1168" s="25"/>
      <c r="AD1168" s="25"/>
      <c r="AE1168" s="22" t="s">
        <v>8132</v>
      </c>
      <c r="AF1168" s="25"/>
      <c r="AG1168" s="22">
        <v>1.0475714642243E13</v>
      </c>
      <c r="AH1168" s="22" t="s">
        <v>8137</v>
      </c>
      <c r="AI1168" s="22">
        <v>2.3444429865283E13</v>
      </c>
      <c r="AJ1168" s="25"/>
      <c r="AK1168" s="25"/>
      <c r="AL1168" s="22" t="s">
        <v>8149</v>
      </c>
      <c r="AR1168" s="32" t="b">
        <v>0</v>
      </c>
      <c r="AS1168" s="32" t="b">
        <v>0</v>
      </c>
    </row>
    <row r="1169">
      <c r="A1169" s="21" t="s">
        <v>11951</v>
      </c>
      <c r="B1169" s="22" t="s">
        <v>8262</v>
      </c>
      <c r="C1169" s="22">
        <v>1.0</v>
      </c>
      <c r="D1169" s="22" t="s">
        <v>8278</v>
      </c>
      <c r="E1169" s="22" t="s">
        <v>8262</v>
      </c>
      <c r="F1169" s="22" t="s">
        <v>8155</v>
      </c>
      <c r="G1169" s="25"/>
      <c r="H1169" s="22">
        <v>3.2785421795651E13</v>
      </c>
      <c r="I1169" s="25"/>
      <c r="J1169" s="25"/>
      <c r="K1169" s="22">
        <v>4.7338059792707E13</v>
      </c>
      <c r="L1169" s="25"/>
      <c r="M1169" s="25"/>
      <c r="N1169" s="22" t="s">
        <v>11952</v>
      </c>
      <c r="O1169" s="22" t="s">
        <v>4061</v>
      </c>
      <c r="P1169" s="22" t="s">
        <v>11952</v>
      </c>
      <c r="Q1169" s="22" t="s">
        <v>4061</v>
      </c>
      <c r="R1169" s="22" t="s">
        <v>11953</v>
      </c>
      <c r="S1169" s="25"/>
      <c r="T1169" s="40" t="s">
        <v>11954</v>
      </c>
      <c r="U1169" s="22" t="s">
        <v>11955</v>
      </c>
      <c r="V1169" s="25"/>
      <c r="W1169" s="22" t="s">
        <v>11956</v>
      </c>
      <c r="X1169" s="22" t="s">
        <v>9003</v>
      </c>
      <c r="Y1169" s="25"/>
      <c r="Z1169" s="25"/>
      <c r="AA1169" s="22" t="s">
        <v>8129</v>
      </c>
      <c r="AB1169" s="22" t="s">
        <v>8130</v>
      </c>
      <c r="AC1169" s="25"/>
      <c r="AD1169" s="22" t="s">
        <v>8161</v>
      </c>
      <c r="AE1169" s="22" t="s">
        <v>8132</v>
      </c>
      <c r="AF1169" s="25"/>
      <c r="AG1169" s="22">
        <v>1.0474322657603E13</v>
      </c>
      <c r="AH1169" s="22" t="s">
        <v>90</v>
      </c>
      <c r="AI1169" s="22">
        <v>8.596815511875E12</v>
      </c>
      <c r="AJ1169" s="25"/>
      <c r="AK1169" s="25"/>
      <c r="AL1169" s="22" t="s">
        <v>8269</v>
      </c>
      <c r="AQ1169" s="32" t="s">
        <v>91</v>
      </c>
      <c r="AR1169" s="32" t="b">
        <v>0</v>
      </c>
      <c r="AS1169" s="32" t="b">
        <v>0</v>
      </c>
    </row>
    <row r="1170">
      <c r="A1170" s="21" t="s">
        <v>11951</v>
      </c>
      <c r="B1170" s="25"/>
      <c r="C1170" s="25"/>
      <c r="D1170" s="22" t="s">
        <v>8278</v>
      </c>
      <c r="E1170" s="25"/>
      <c r="F1170" s="22" t="s">
        <v>8149</v>
      </c>
      <c r="G1170" s="25"/>
      <c r="H1170" s="22">
        <v>9.527920558403E12</v>
      </c>
      <c r="I1170" s="25"/>
      <c r="J1170" s="25"/>
      <c r="K1170" s="25"/>
      <c r="L1170" s="25"/>
      <c r="M1170" s="25"/>
      <c r="N1170" s="22" t="s">
        <v>11952</v>
      </c>
      <c r="O1170" s="22" t="s">
        <v>4061</v>
      </c>
      <c r="P1170" s="22" t="s">
        <v>11952</v>
      </c>
      <c r="Q1170" s="22" t="s">
        <v>4061</v>
      </c>
      <c r="R1170" s="22" t="s">
        <v>11953</v>
      </c>
      <c r="S1170" s="25"/>
      <c r="T1170" s="40" t="s">
        <v>11954</v>
      </c>
      <c r="U1170" s="22" t="s">
        <v>11955</v>
      </c>
      <c r="V1170" s="25"/>
      <c r="W1170" s="22" t="s">
        <v>11956</v>
      </c>
      <c r="X1170" s="22" t="s">
        <v>9003</v>
      </c>
      <c r="Y1170" s="25"/>
      <c r="Z1170" s="25"/>
      <c r="AA1170" s="22" t="s">
        <v>8129</v>
      </c>
      <c r="AB1170" s="22" t="s">
        <v>8130</v>
      </c>
      <c r="AC1170" s="25"/>
      <c r="AD1170" s="25"/>
      <c r="AE1170" s="22" t="s">
        <v>8132</v>
      </c>
      <c r="AF1170" s="25"/>
      <c r="AG1170" s="22">
        <v>1.0474322657603E13</v>
      </c>
      <c r="AH1170" s="22" t="s">
        <v>8137</v>
      </c>
      <c r="AI1170" s="22">
        <v>8.596815511875E12</v>
      </c>
      <c r="AJ1170" s="25"/>
      <c r="AK1170" s="25"/>
      <c r="AL1170" s="22" t="s">
        <v>8149</v>
      </c>
      <c r="AR1170" s="32" t="b">
        <v>0</v>
      </c>
      <c r="AS1170" s="32" t="b">
        <v>0</v>
      </c>
    </row>
    <row r="1171">
      <c r="A1171" s="21" t="s">
        <v>11957</v>
      </c>
      <c r="B1171" s="22" t="s">
        <v>8211</v>
      </c>
      <c r="C1171" s="22">
        <v>1.0</v>
      </c>
      <c r="D1171" s="22" t="s">
        <v>8501</v>
      </c>
      <c r="E1171" s="22" t="s">
        <v>8211</v>
      </c>
      <c r="F1171" s="22" t="s">
        <v>8155</v>
      </c>
      <c r="G1171" s="25"/>
      <c r="H1171" s="22">
        <v>3.2786381799747E13</v>
      </c>
      <c r="I1171" s="25"/>
      <c r="J1171" s="25"/>
      <c r="K1171" s="22">
        <v>4.7338059727171E13</v>
      </c>
      <c r="L1171" s="25"/>
      <c r="M1171" s="25"/>
      <c r="N1171" s="22" t="s">
        <v>4183</v>
      </c>
      <c r="O1171" s="22" t="s">
        <v>11958</v>
      </c>
      <c r="P1171" s="22" t="s">
        <v>4183</v>
      </c>
      <c r="Q1171" s="22" t="s">
        <v>11958</v>
      </c>
      <c r="R1171" s="22" t="s">
        <v>11959</v>
      </c>
      <c r="S1171" s="25"/>
      <c r="T1171" s="40" t="s">
        <v>11960</v>
      </c>
      <c r="U1171" s="22" t="s">
        <v>11961</v>
      </c>
      <c r="V1171" s="22">
        <v>50.0</v>
      </c>
      <c r="W1171" s="22" t="s">
        <v>11962</v>
      </c>
      <c r="X1171" s="22" t="s">
        <v>11963</v>
      </c>
      <c r="Y1171" s="25"/>
      <c r="Z1171" s="25"/>
      <c r="AA1171" s="22" t="s">
        <v>8129</v>
      </c>
      <c r="AB1171" s="22" t="s">
        <v>8130</v>
      </c>
      <c r="AC1171" s="25"/>
      <c r="AD1171" s="22" t="s">
        <v>8161</v>
      </c>
      <c r="AE1171" s="22" t="s">
        <v>8132</v>
      </c>
      <c r="AF1171" s="25"/>
      <c r="AG1171" s="22">
        <v>1.0474778001731E13</v>
      </c>
      <c r="AH1171" s="22" t="s">
        <v>90</v>
      </c>
      <c r="AI1171" s="22">
        <v>5.974333063411E12</v>
      </c>
      <c r="AJ1171" s="25"/>
      <c r="AK1171" s="25"/>
      <c r="AL1171" s="22" t="s">
        <v>8151</v>
      </c>
      <c r="AQ1171" s="32" t="s">
        <v>54</v>
      </c>
      <c r="AR1171" s="32" t="b">
        <v>0</v>
      </c>
      <c r="AS1171" s="32" t="b">
        <v>0</v>
      </c>
    </row>
    <row r="1172">
      <c r="A1172" s="21" t="s">
        <v>11957</v>
      </c>
      <c r="B1172" s="25"/>
      <c r="C1172" s="25"/>
      <c r="D1172" s="22" t="s">
        <v>8501</v>
      </c>
      <c r="E1172" s="25"/>
      <c r="F1172" s="22" t="s">
        <v>8149</v>
      </c>
      <c r="G1172" s="25"/>
      <c r="H1172" s="22">
        <v>9.528320491843E12</v>
      </c>
      <c r="I1172" s="25"/>
      <c r="J1172" s="25"/>
      <c r="K1172" s="25"/>
      <c r="L1172" s="25"/>
      <c r="M1172" s="25"/>
      <c r="N1172" s="22" t="s">
        <v>4183</v>
      </c>
      <c r="O1172" s="22" t="s">
        <v>11958</v>
      </c>
      <c r="P1172" s="22" t="s">
        <v>4183</v>
      </c>
      <c r="Q1172" s="22" t="s">
        <v>11958</v>
      </c>
      <c r="R1172" s="22" t="s">
        <v>11959</v>
      </c>
      <c r="S1172" s="25"/>
      <c r="T1172" s="40" t="s">
        <v>11960</v>
      </c>
      <c r="U1172" s="22" t="s">
        <v>11961</v>
      </c>
      <c r="V1172" s="22">
        <v>50.0</v>
      </c>
      <c r="W1172" s="22" t="s">
        <v>11962</v>
      </c>
      <c r="X1172" s="22" t="s">
        <v>11963</v>
      </c>
      <c r="Y1172" s="25"/>
      <c r="Z1172" s="25"/>
      <c r="AA1172" s="22" t="s">
        <v>8129</v>
      </c>
      <c r="AB1172" s="22" t="s">
        <v>8130</v>
      </c>
      <c r="AC1172" s="25"/>
      <c r="AD1172" s="25"/>
      <c r="AE1172" s="22" t="s">
        <v>8132</v>
      </c>
      <c r="AF1172" s="25"/>
      <c r="AG1172" s="22">
        <v>1.0474778001731E13</v>
      </c>
      <c r="AH1172" s="22" t="s">
        <v>8137</v>
      </c>
      <c r="AI1172" s="22">
        <v>5.974333063411E12</v>
      </c>
      <c r="AJ1172" s="25"/>
      <c r="AK1172" s="25"/>
      <c r="AL1172" s="22" t="s">
        <v>8149</v>
      </c>
      <c r="AR1172" s="32" t="b">
        <v>0</v>
      </c>
      <c r="AS1172" s="32" t="b">
        <v>0</v>
      </c>
    </row>
    <row r="1173">
      <c r="A1173" s="21" t="s">
        <v>11964</v>
      </c>
      <c r="B1173" s="22" t="s">
        <v>8140</v>
      </c>
      <c r="C1173" s="22">
        <v>1.0</v>
      </c>
      <c r="D1173" s="22" t="s">
        <v>8141</v>
      </c>
      <c r="E1173" s="22" t="s">
        <v>8140</v>
      </c>
      <c r="F1173" s="22" t="s">
        <v>8121</v>
      </c>
      <c r="G1173" s="25"/>
      <c r="H1173" s="22">
        <v>3.2786673664323E13</v>
      </c>
      <c r="I1173" s="25"/>
      <c r="J1173" s="25"/>
      <c r="K1173" s="22">
        <v>4.2085703581939E13</v>
      </c>
      <c r="L1173" s="25"/>
      <c r="M1173" s="25"/>
      <c r="N1173" s="22" t="s">
        <v>4754</v>
      </c>
      <c r="O1173" s="22" t="s">
        <v>11965</v>
      </c>
      <c r="P1173" s="22" t="s">
        <v>4754</v>
      </c>
      <c r="Q1173" s="22" t="s">
        <v>11965</v>
      </c>
      <c r="R1173" s="22" t="s">
        <v>11966</v>
      </c>
      <c r="S1173" s="25"/>
      <c r="T1173" s="40" t="s">
        <v>11967</v>
      </c>
      <c r="U1173" s="22" t="s">
        <v>11968</v>
      </c>
      <c r="V1173" s="25"/>
      <c r="W1173" s="22" t="s">
        <v>11969</v>
      </c>
      <c r="X1173" s="22" t="s">
        <v>11970</v>
      </c>
      <c r="Y1173" s="25"/>
      <c r="Z1173" s="25"/>
      <c r="AA1173" s="22" t="s">
        <v>8129</v>
      </c>
      <c r="AB1173" s="22" t="s">
        <v>8130</v>
      </c>
      <c r="AC1173" s="25"/>
      <c r="AD1173" s="22" t="s">
        <v>8131</v>
      </c>
      <c r="AE1173" s="22" t="s">
        <v>8132</v>
      </c>
      <c r="AF1173" s="25"/>
      <c r="AG1173" s="22">
        <v>1.0474913202499E13</v>
      </c>
      <c r="AH1173" s="22" t="s">
        <v>90</v>
      </c>
      <c r="AI1173" s="22">
        <v>2.3442938888515E13</v>
      </c>
      <c r="AJ1173" s="25"/>
      <c r="AK1173" s="25"/>
      <c r="AL1173" s="22" t="s">
        <v>8134</v>
      </c>
      <c r="AQ1173" s="32" t="s">
        <v>8150</v>
      </c>
      <c r="AR1173" s="32" t="b">
        <v>0</v>
      </c>
      <c r="AS1173" s="32" t="b">
        <v>0</v>
      </c>
    </row>
    <row r="1174">
      <c r="A1174" s="21" t="s">
        <v>11964</v>
      </c>
      <c r="B1174" s="25"/>
      <c r="C1174" s="25"/>
      <c r="D1174" s="22" t="s">
        <v>8141</v>
      </c>
      <c r="E1174" s="25"/>
      <c r="F1174" s="22" t="s">
        <v>1806</v>
      </c>
      <c r="G1174" s="25"/>
      <c r="H1174" s="25"/>
      <c r="I1174" s="25"/>
      <c r="J1174" s="25"/>
      <c r="K1174" s="25"/>
      <c r="L1174" s="25"/>
      <c r="M1174" s="25"/>
      <c r="N1174" s="22" t="s">
        <v>4754</v>
      </c>
      <c r="O1174" s="22" t="s">
        <v>11965</v>
      </c>
      <c r="P1174" s="22" t="s">
        <v>4754</v>
      </c>
      <c r="Q1174" s="22" t="s">
        <v>11965</v>
      </c>
      <c r="R1174" s="22" t="s">
        <v>11966</v>
      </c>
      <c r="S1174" s="25"/>
      <c r="T1174" s="40" t="s">
        <v>11967</v>
      </c>
      <c r="U1174" s="22" t="s">
        <v>11968</v>
      </c>
      <c r="V1174" s="25"/>
      <c r="W1174" s="22" t="s">
        <v>11969</v>
      </c>
      <c r="X1174" s="22" t="s">
        <v>11970</v>
      </c>
      <c r="Y1174" s="25"/>
      <c r="Z1174" s="25"/>
      <c r="AA1174" s="22" t="s">
        <v>8129</v>
      </c>
      <c r="AB1174" s="22" t="s">
        <v>8130</v>
      </c>
      <c r="AC1174" s="25"/>
      <c r="AD1174" s="25"/>
      <c r="AE1174" s="22" t="s">
        <v>8132</v>
      </c>
      <c r="AF1174" s="25"/>
      <c r="AG1174" s="22">
        <v>1.0474913202499E13</v>
      </c>
      <c r="AH1174" s="22" t="s">
        <v>769</v>
      </c>
      <c r="AI1174" s="22">
        <v>2.3442938888515E13</v>
      </c>
      <c r="AJ1174" s="25"/>
      <c r="AK1174" s="25"/>
      <c r="AL1174" s="22" t="s">
        <v>11971</v>
      </c>
      <c r="AR1174" s="32" t="b">
        <v>0</v>
      </c>
      <c r="AS1174" s="32" t="b">
        <v>0</v>
      </c>
    </row>
    <row r="1175">
      <c r="A1175" s="21" t="s">
        <v>11964</v>
      </c>
      <c r="B1175" s="25"/>
      <c r="C1175" s="25"/>
      <c r="D1175" s="22" t="s">
        <v>8141</v>
      </c>
      <c r="E1175" s="25"/>
      <c r="F1175" s="22" t="s">
        <v>8136</v>
      </c>
      <c r="G1175" s="25"/>
      <c r="H1175" s="22">
        <v>9.528451596611E12</v>
      </c>
      <c r="I1175" s="25"/>
      <c r="J1175" s="25"/>
      <c r="K1175" s="25"/>
      <c r="L1175" s="25"/>
      <c r="M1175" s="25"/>
      <c r="N1175" s="22" t="s">
        <v>4754</v>
      </c>
      <c r="O1175" s="22" t="s">
        <v>11965</v>
      </c>
      <c r="P1175" s="22" t="s">
        <v>4754</v>
      </c>
      <c r="Q1175" s="22" t="s">
        <v>11965</v>
      </c>
      <c r="R1175" s="22" t="s">
        <v>11966</v>
      </c>
      <c r="S1175" s="25"/>
      <c r="T1175" s="40" t="s">
        <v>11967</v>
      </c>
      <c r="U1175" s="22" t="s">
        <v>11968</v>
      </c>
      <c r="V1175" s="25"/>
      <c r="W1175" s="22" t="s">
        <v>11969</v>
      </c>
      <c r="X1175" s="22" t="s">
        <v>11970</v>
      </c>
      <c r="Y1175" s="25"/>
      <c r="Z1175" s="25"/>
      <c r="AA1175" s="22" t="s">
        <v>8129</v>
      </c>
      <c r="AB1175" s="22" t="s">
        <v>8130</v>
      </c>
      <c r="AC1175" s="25"/>
      <c r="AD1175" s="25"/>
      <c r="AE1175" s="22" t="s">
        <v>8132</v>
      </c>
      <c r="AF1175" s="25"/>
      <c r="AG1175" s="22">
        <v>1.0474913202499E13</v>
      </c>
      <c r="AH1175" s="22" t="s">
        <v>8137</v>
      </c>
      <c r="AI1175" s="22">
        <v>2.3442938888515E13</v>
      </c>
      <c r="AJ1175" s="25"/>
      <c r="AK1175" s="25"/>
      <c r="AL1175" s="22" t="s">
        <v>8136</v>
      </c>
      <c r="AR1175" s="32" t="b">
        <v>0</v>
      </c>
      <c r="AS1175" s="32" t="b">
        <v>0</v>
      </c>
    </row>
  </sheetData>
  <hyperlinks>
    <hyperlink r:id="rId1" ref="M12"/>
    <hyperlink r:id="rId2" ref="M59"/>
    <hyperlink r:id="rId3" ref="M64"/>
    <hyperlink r:id="rId4" ref="M69"/>
    <hyperlink r:id="rId5" ref="M84"/>
    <hyperlink r:id="rId6" ref="M87"/>
    <hyperlink r:id="rId7" ref="M92"/>
    <hyperlink r:id="rId8" ref="M95"/>
    <hyperlink r:id="rId9" ref="M99"/>
    <hyperlink r:id="rId10" ref="M191"/>
    <hyperlink r:id="rId11" ref="M219"/>
    <hyperlink r:id="rId12" ref="M226"/>
    <hyperlink r:id="rId13" ref="M243"/>
    <hyperlink r:id="rId14" ref="M246"/>
    <hyperlink r:id="rId15" ref="M267"/>
    <hyperlink r:id="rId16" ref="M286"/>
    <hyperlink r:id="rId17" ref="M312"/>
    <hyperlink r:id="rId18" ref="M327"/>
    <hyperlink r:id="rId19" ref="M334"/>
    <hyperlink r:id="rId20" ref="M346"/>
    <hyperlink r:id="rId21" ref="M378"/>
    <hyperlink r:id="rId22" ref="M383"/>
    <hyperlink r:id="rId23" ref="M398"/>
    <hyperlink r:id="rId24" ref="M447"/>
    <hyperlink r:id="rId25" ref="M454"/>
    <hyperlink r:id="rId26" ref="M461"/>
    <hyperlink r:id="rId27" ref="M504"/>
    <hyperlink r:id="rId28" ref="M539"/>
    <hyperlink r:id="rId29" ref="M540"/>
    <hyperlink r:id="rId30" ref="M561"/>
    <hyperlink r:id="rId31" ref="M586"/>
    <hyperlink r:id="rId32" ref="M589"/>
  </hyperlinks>
  <drawing r:id="rId3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7.5"/>
    <col customWidth="1" min="3" max="3" width="17.63"/>
    <col customWidth="1" min="4" max="4" width="19.25"/>
  </cols>
  <sheetData>
    <row r="1">
      <c r="A1" s="8" t="s">
        <v>0</v>
      </c>
      <c r="B1" s="8" t="s">
        <v>51</v>
      </c>
      <c r="C1" s="8" t="s">
        <v>52</v>
      </c>
      <c r="D1" s="8" t="s">
        <v>53</v>
      </c>
    </row>
    <row r="2">
      <c r="A2" s="9" t="s">
        <v>54</v>
      </c>
      <c r="B2" s="10">
        <v>52.0</v>
      </c>
      <c r="C2" s="11">
        <f>IFERROR(VLOOKUP(A2,'BB | DEF voorraad PLANTSOME'!A:B,2,FALSE),0)</f>
        <v>120</v>
      </c>
      <c r="D2" s="11">
        <f t="shared" ref="D2:D7" si="1">C2-B2</f>
        <v>68</v>
      </c>
    </row>
    <row r="3">
      <c r="A3" s="9" t="s">
        <v>55</v>
      </c>
      <c r="B3" s="10">
        <v>60.0</v>
      </c>
      <c r="C3" s="11">
        <f>IFERROR(VLOOKUP(A3,'BB | DEF voorraad PLANTSOME'!A:B,2,FALSE),0)</f>
        <v>73</v>
      </c>
      <c r="D3" s="11">
        <f t="shared" si="1"/>
        <v>13</v>
      </c>
    </row>
    <row r="4">
      <c r="A4" s="9" t="s">
        <v>91</v>
      </c>
      <c r="B4" s="10">
        <v>68.0</v>
      </c>
      <c r="C4" s="11">
        <f>IFERROR(VLOOKUP(A4,'BB | DEF voorraad PLANTSOME'!A:B,2,FALSE),0)</f>
        <v>172</v>
      </c>
      <c r="D4" s="11">
        <f t="shared" si="1"/>
        <v>104</v>
      </c>
    </row>
    <row r="5">
      <c r="A5" s="9" t="s">
        <v>95</v>
      </c>
      <c r="B5" s="10">
        <v>38.0</v>
      </c>
      <c r="C5" s="11">
        <f>IFERROR(VLOOKUP(A5,'BB | DEF voorraad PLANTSOME'!A:B,2,FALSE),0)</f>
        <v>74</v>
      </c>
      <c r="D5" s="11">
        <f t="shared" si="1"/>
        <v>36</v>
      </c>
    </row>
    <row r="6">
      <c r="A6" s="9" t="s">
        <v>8135</v>
      </c>
      <c r="B6" s="10">
        <v>136.0</v>
      </c>
      <c r="C6" s="11">
        <f>IFERROR(VLOOKUP(A6,'BB | DEF voorraad PLANTSOME'!A:B,2,FALSE),0)</f>
        <v>135</v>
      </c>
      <c r="D6" s="11">
        <f t="shared" si="1"/>
        <v>-1</v>
      </c>
    </row>
    <row r="7">
      <c r="A7" s="9" t="s">
        <v>8150</v>
      </c>
      <c r="B7" s="10">
        <v>221.0</v>
      </c>
      <c r="C7" s="11">
        <f>IFERROR(VLOOKUP(A7,'BB | DEF voorraad PLANTSOME'!A:B,2,FALSE),0)</f>
        <v>489</v>
      </c>
      <c r="D7" s="11">
        <f t="shared" si="1"/>
        <v>268</v>
      </c>
    </row>
    <row r="8">
      <c r="A8" s="12"/>
      <c r="B8" s="13"/>
      <c r="C8" s="13"/>
      <c r="D8" s="13"/>
    </row>
    <row r="9">
      <c r="A9" s="9" t="s">
        <v>11972</v>
      </c>
      <c r="B9" s="10">
        <v>575.0</v>
      </c>
      <c r="C9" s="13"/>
      <c r="D9" s="13"/>
    </row>
    <row r="10">
      <c r="A10" s="14" t="s">
        <v>11973</v>
      </c>
      <c r="B10" s="15">
        <v>3.0</v>
      </c>
      <c r="C10" s="16"/>
      <c r="D10" s="16"/>
    </row>
    <row r="11">
      <c r="A11" s="12"/>
      <c r="B11" s="13"/>
      <c r="C11" s="13"/>
      <c r="D11" s="13"/>
    </row>
    <row r="12">
      <c r="A12" s="17" t="s">
        <v>57</v>
      </c>
      <c r="B12" s="18">
        <f>SUM(B2:B7)</f>
        <v>575</v>
      </c>
      <c r="C12" s="19"/>
      <c r="D12" s="19">
        <f>SUM(D2:D7)</f>
        <v>488</v>
      </c>
    </row>
  </sheetData>
  <conditionalFormatting sqref="D2:D9">
    <cfRule type="cellIs" dxfId="1" priority="1" stopIfTrue="1" operator="lessThan">
      <formula>0</formula>
    </cfRule>
  </conditionalFormatting>
  <conditionalFormatting sqref="D2:D9">
    <cfRule type="cellIs" dxfId="2" priority="2" stopIfTrue="1" operator="greaterThan">
      <formula>0</formula>
    </cfRule>
  </conditionalFormatting>
  <conditionalFormatting sqref="D2:D9">
    <cfRule type="cellIs" dxfId="3" priority="3" stopIfTrue="1" operator="equal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7.5"/>
    <col customWidth="1" min="3" max="3" width="12.25"/>
    <col customWidth="1" min="4" max="4" width="9.25"/>
  </cols>
  <sheetData>
    <row r="1">
      <c r="A1" s="8" t="s">
        <v>0</v>
      </c>
      <c r="B1" s="8" t="s">
        <v>51</v>
      </c>
      <c r="C1" s="8" t="s">
        <v>52</v>
      </c>
      <c r="D1" s="8" t="s">
        <v>53</v>
      </c>
    </row>
    <row r="2">
      <c r="A2" s="9" t="s">
        <v>54</v>
      </c>
      <c r="B2" s="10">
        <v>11.0</v>
      </c>
      <c r="C2" s="11">
        <f>IFERROR(VLOOKUP(A2,'BB | DEF voorraad D&amp;K'!A:C,2,FALSE),0)</f>
        <v>78</v>
      </c>
      <c r="D2" s="11">
        <f t="shared" ref="D2:D3" si="1">C2-B2</f>
        <v>67</v>
      </c>
    </row>
    <row r="3">
      <c r="A3" s="9" t="s">
        <v>55</v>
      </c>
      <c r="B3" s="10">
        <v>15.0</v>
      </c>
      <c r="C3" s="11">
        <f>IFERROR(VLOOKUP(A3,'BB | DEF voorraad D&amp;K'!A:C,2,FALSE),0)</f>
        <v>85</v>
      </c>
      <c r="D3" s="11">
        <f t="shared" si="1"/>
        <v>70</v>
      </c>
    </row>
    <row r="4">
      <c r="A4" s="12"/>
      <c r="B4" s="13"/>
      <c r="C4" s="13"/>
      <c r="D4" s="13"/>
    </row>
    <row r="5">
      <c r="A5" s="14" t="s">
        <v>56</v>
      </c>
      <c r="B5" s="15">
        <v>26.0</v>
      </c>
      <c r="C5" s="16"/>
      <c r="D5" s="16"/>
    </row>
    <row r="6">
      <c r="A6" s="12"/>
      <c r="B6" s="13"/>
      <c r="C6" s="13"/>
      <c r="D6" s="13"/>
    </row>
    <row r="7">
      <c r="A7" s="17" t="s">
        <v>57</v>
      </c>
      <c r="B7" s="18">
        <v>26.0</v>
      </c>
      <c r="C7" s="19"/>
      <c r="D7" s="19"/>
    </row>
  </sheetData>
  <conditionalFormatting sqref="D2:D4">
    <cfRule type="cellIs" dxfId="1" priority="1" stopIfTrue="1" operator="lessThan">
      <formula>0</formula>
    </cfRule>
  </conditionalFormatting>
  <conditionalFormatting sqref="D2:D4">
    <cfRule type="cellIs" dxfId="2" priority="2" stopIfTrue="1" operator="greaterThan">
      <formula>0</formula>
    </cfRule>
  </conditionalFormatting>
  <conditionalFormatting sqref="D2:D4">
    <cfRule type="cellIs" dxfId="3" priority="3" stopIfTrue="1" operator="equal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7.5"/>
    <col customWidth="1" min="3" max="3" width="17.63"/>
    <col customWidth="1" min="4" max="4" width="42.75"/>
  </cols>
  <sheetData>
    <row r="1">
      <c r="A1" s="8" t="s">
        <v>0</v>
      </c>
      <c r="B1" s="8" t="s">
        <v>51</v>
      </c>
      <c r="C1" s="8" t="s">
        <v>52</v>
      </c>
      <c r="D1" s="8" t="s">
        <v>53</v>
      </c>
    </row>
    <row r="2">
      <c r="A2" s="9" t="s">
        <v>54</v>
      </c>
      <c r="B2" s="10">
        <v>58.0</v>
      </c>
      <c r="C2" s="11">
        <f>IFERROR(VLOOKUP(A2,'BB | DEF voorraad PICKUPS'!A:C,2,FALSE),0)</f>
        <v>470</v>
      </c>
      <c r="D2" s="11">
        <f t="shared" ref="D2:D9" si="1">C2-B2</f>
        <v>412</v>
      </c>
    </row>
    <row r="3">
      <c r="A3" s="9" t="s">
        <v>55</v>
      </c>
      <c r="B3" s="10">
        <v>120.0</v>
      </c>
      <c r="C3" s="11">
        <f>IFERROR(VLOOKUP(A3,'BB | DEF voorraad PICKUPS'!A:C,2,FALSE),0)</f>
        <v>353</v>
      </c>
      <c r="D3" s="11">
        <f t="shared" si="1"/>
        <v>233</v>
      </c>
    </row>
    <row r="4">
      <c r="A4" s="9" t="s">
        <v>91</v>
      </c>
      <c r="B4" s="10">
        <v>65.0</v>
      </c>
      <c r="C4" s="11">
        <f>IFERROR(VLOOKUP(A4,'BB | DEF voorraad PICKUPS'!A:C,2,FALSE),0)</f>
        <v>435</v>
      </c>
      <c r="D4" s="11">
        <f t="shared" si="1"/>
        <v>370</v>
      </c>
    </row>
    <row r="5">
      <c r="A5" s="9" t="s">
        <v>95</v>
      </c>
      <c r="B5" s="10">
        <v>53.0</v>
      </c>
      <c r="C5" s="11">
        <f>IFERROR(VLOOKUP(A5,'BB | DEF voorraad PICKUPS'!A:C,2,FALSE),0)</f>
        <v>242</v>
      </c>
      <c r="D5" s="11">
        <f t="shared" si="1"/>
        <v>189</v>
      </c>
    </row>
    <row r="6">
      <c r="A6" s="9" t="s">
        <v>105</v>
      </c>
      <c r="B6" s="10">
        <v>60.0</v>
      </c>
      <c r="C6" s="11">
        <f>IFERROR(VLOOKUP(A6,'BB | DEF voorraad PICKUPS'!A:C,2,FALSE),0)</f>
        <v>260</v>
      </c>
      <c r="D6" s="11">
        <f t="shared" si="1"/>
        <v>200</v>
      </c>
    </row>
    <row r="7">
      <c r="A7" s="9" t="s">
        <v>127</v>
      </c>
      <c r="B7" s="10">
        <v>55.0</v>
      </c>
      <c r="C7" s="11">
        <f>IFERROR(VLOOKUP(A7,'BB | DEF voorraad PICKUPS'!A:C,2,FALSE),0)</f>
        <v>330</v>
      </c>
      <c r="D7" s="11">
        <f t="shared" si="1"/>
        <v>275</v>
      </c>
    </row>
    <row r="8">
      <c r="A8" s="9" t="s">
        <v>175</v>
      </c>
      <c r="B8" s="10">
        <v>22.0</v>
      </c>
      <c r="C8" s="11">
        <f>IFERROR(VLOOKUP(A8,'BB | DEF voorraad PICKUPS'!A:C,2,FALSE),0)</f>
        <v>86</v>
      </c>
      <c r="D8" s="11">
        <f t="shared" si="1"/>
        <v>64</v>
      </c>
    </row>
    <row r="9">
      <c r="A9" s="9" t="s">
        <v>132</v>
      </c>
      <c r="B9" s="10">
        <v>5.0</v>
      </c>
      <c r="C9" s="11">
        <f>IFERROR(VLOOKUP(A9,'BB | DEF voorraad PICKUPS'!A:C,2,FALSE),0)</f>
        <v>10</v>
      </c>
      <c r="D9" s="11">
        <f t="shared" si="1"/>
        <v>5</v>
      </c>
    </row>
    <row r="10">
      <c r="A10" s="12"/>
      <c r="B10" s="13"/>
      <c r="C10" s="13"/>
      <c r="D10" s="13"/>
    </row>
    <row r="11">
      <c r="A11" s="14" t="s">
        <v>56</v>
      </c>
      <c r="B11" s="15">
        <v>438.0</v>
      </c>
      <c r="C11" s="16"/>
      <c r="D11" s="16"/>
    </row>
    <row r="12">
      <c r="A12" s="12"/>
      <c r="B12" s="13"/>
      <c r="C12" s="13"/>
      <c r="D12" s="13"/>
    </row>
    <row r="13">
      <c r="A13" s="17" t="s">
        <v>57</v>
      </c>
      <c r="B13" s="18">
        <v>438.0</v>
      </c>
      <c r="C13" s="19">
        <f>sum(C2:C9)</f>
        <v>2186</v>
      </c>
      <c r="D13" s="19"/>
    </row>
  </sheetData>
  <conditionalFormatting sqref="D2:D10">
    <cfRule type="cellIs" dxfId="1" priority="1" stopIfTrue="1" operator="lessThan">
      <formula>0</formula>
    </cfRule>
  </conditionalFormatting>
  <conditionalFormatting sqref="D2:D10">
    <cfRule type="cellIs" dxfId="2" priority="2" stopIfTrue="1" operator="greaterThan">
      <formula>0</formula>
    </cfRule>
  </conditionalFormatting>
  <conditionalFormatting sqref="D2:D10">
    <cfRule type="cellIs" dxfId="3" priority="3" stopIfTrue="1" operator="equal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2.63"/>
    <col customWidth="1" min="2" max="2" width="66.63"/>
    <col customWidth="1" min="3" max="3" width="17.25"/>
    <col customWidth="1" min="4" max="4" width="20.75"/>
    <col customWidth="1" min="27" max="39" width="52.63"/>
  </cols>
  <sheetData>
    <row r="1">
      <c r="A1" s="32" t="s">
        <v>63</v>
      </c>
      <c r="B1" s="32" t="s">
        <v>65</v>
      </c>
      <c r="C1" s="32" t="s">
        <v>11974</v>
      </c>
    </row>
    <row r="2">
      <c r="A2" s="38" t="s">
        <v>63</v>
      </c>
      <c r="B2" s="38" t="s">
        <v>65</v>
      </c>
      <c r="C2" s="38" t="s">
        <v>61</v>
      </c>
      <c r="D2" s="38" t="s">
        <v>8077</v>
      </c>
    </row>
    <row r="3">
      <c r="A3" s="38" t="s">
        <v>11975</v>
      </c>
      <c r="B3" s="38"/>
      <c r="C3" s="38"/>
      <c r="D3" s="38">
        <v>131.0</v>
      </c>
    </row>
    <row r="4">
      <c r="A4" s="38" t="s">
        <v>11976</v>
      </c>
      <c r="B4" s="38"/>
      <c r="C4" s="38"/>
      <c r="D4" s="38">
        <v>94.0</v>
      </c>
    </row>
    <row r="5">
      <c r="A5" s="38" t="s">
        <v>11977</v>
      </c>
      <c r="B5" s="38"/>
      <c r="C5" s="38"/>
      <c r="D5" s="38">
        <v>67.0</v>
      </c>
    </row>
    <row r="6">
      <c r="A6" s="38" t="s">
        <v>11978</v>
      </c>
      <c r="B6" s="38"/>
      <c r="C6" s="38"/>
      <c r="D6" s="38">
        <v>160.0</v>
      </c>
    </row>
    <row r="7">
      <c r="A7" s="38" t="s">
        <v>11979</v>
      </c>
      <c r="B7" s="38"/>
      <c r="C7" s="38"/>
      <c r="D7" s="38">
        <v>50.0</v>
      </c>
    </row>
    <row r="8">
      <c r="A8" s="38" t="s">
        <v>11980</v>
      </c>
      <c r="B8" s="38"/>
      <c r="C8" s="38"/>
      <c r="D8" s="38">
        <v>60.0</v>
      </c>
    </row>
    <row r="9">
      <c r="A9" s="38" t="s">
        <v>11981</v>
      </c>
      <c r="B9" s="38"/>
      <c r="C9" s="38"/>
      <c r="D9" s="38">
        <v>73.0</v>
      </c>
    </row>
    <row r="10">
      <c r="A10" s="38" t="s">
        <v>11982</v>
      </c>
      <c r="B10" s="38"/>
      <c r="C10" s="38"/>
      <c r="D10" s="38">
        <v>62.0</v>
      </c>
    </row>
    <row r="11">
      <c r="A11" s="38" t="s">
        <v>11983</v>
      </c>
      <c r="B11" s="38"/>
      <c r="C11" s="38"/>
      <c r="D11" s="38">
        <v>52.0</v>
      </c>
    </row>
    <row r="12">
      <c r="A12" s="38" t="s">
        <v>11984</v>
      </c>
      <c r="B12" s="38"/>
      <c r="C12" s="38"/>
      <c r="D12" s="38">
        <v>111.0</v>
      </c>
    </row>
    <row r="13">
      <c r="A13" s="38" t="s">
        <v>11985</v>
      </c>
      <c r="B13" s="38"/>
      <c r="C13" s="38"/>
      <c r="D13" s="38">
        <v>54.0</v>
      </c>
    </row>
    <row r="14">
      <c r="A14" s="38" t="s">
        <v>11986</v>
      </c>
      <c r="B14" s="38"/>
      <c r="C14" s="38"/>
      <c r="D14" s="38">
        <v>26.0</v>
      </c>
    </row>
    <row r="15">
      <c r="A15" s="38" t="s">
        <v>11987</v>
      </c>
      <c r="B15" s="38"/>
      <c r="C15" s="38"/>
      <c r="D15" s="38">
        <v>39.0</v>
      </c>
    </row>
    <row r="16">
      <c r="A16" s="38" t="s">
        <v>11988</v>
      </c>
      <c r="B16" s="38"/>
      <c r="C16" s="38"/>
      <c r="D16" s="38">
        <v>17.0</v>
      </c>
    </row>
    <row r="17">
      <c r="A17" s="38" t="s">
        <v>11989</v>
      </c>
      <c r="B17" s="38"/>
      <c r="C17" s="38"/>
      <c r="D17" s="38">
        <v>94.0</v>
      </c>
    </row>
    <row r="18">
      <c r="A18" s="38" t="s">
        <v>11990</v>
      </c>
      <c r="B18" s="38"/>
      <c r="C18" s="38"/>
      <c r="D18" s="38">
        <v>145.0</v>
      </c>
    </row>
    <row r="19">
      <c r="A19" s="38" t="s">
        <v>11991</v>
      </c>
      <c r="B19" s="38"/>
      <c r="C19" s="38"/>
      <c r="D19" s="38">
        <v>40.0</v>
      </c>
    </row>
    <row r="20">
      <c r="A20" s="38" t="s">
        <v>11992</v>
      </c>
      <c r="B20" s="38"/>
      <c r="C20" s="38"/>
      <c r="D20" s="38">
        <v>49.0</v>
      </c>
    </row>
    <row r="21">
      <c r="A21" s="38" t="s">
        <v>11993</v>
      </c>
      <c r="B21" s="38"/>
      <c r="C21" s="38"/>
      <c r="D21" s="38">
        <v>152.0</v>
      </c>
    </row>
    <row r="22">
      <c r="A22" s="38" t="s">
        <v>11994</v>
      </c>
      <c r="B22" s="38"/>
      <c r="C22" s="38"/>
      <c r="D22" s="38">
        <v>40.0</v>
      </c>
    </row>
    <row r="23">
      <c r="A23" s="38" t="s">
        <v>11995</v>
      </c>
      <c r="B23" s="38"/>
      <c r="C23" s="38"/>
      <c r="D23" s="38">
        <v>58.0</v>
      </c>
    </row>
    <row r="24">
      <c r="A24" s="38" t="s">
        <v>11996</v>
      </c>
      <c r="B24" s="38"/>
      <c r="C24" s="38"/>
      <c r="D24" s="38">
        <v>370.0</v>
      </c>
    </row>
    <row r="25">
      <c r="A25" s="38" t="s">
        <v>8094</v>
      </c>
      <c r="B25" s="38"/>
      <c r="C25" s="38"/>
      <c r="D25" s="38">
        <v>1944.0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0"/>
    <col customWidth="1" min="2" max="2" width="19.5"/>
    <col customWidth="1" min="3" max="3" width="16.13"/>
    <col customWidth="1" min="4" max="4" width="24.63"/>
    <col customWidth="1" min="5" max="5" width="21.0"/>
    <col customWidth="1" min="6" max="6" width="28.25"/>
    <col customWidth="1" min="7" max="7" width="15.88"/>
    <col customWidth="1" min="8" max="8" width="19.5"/>
    <col customWidth="1" min="9" max="9" width="21.88"/>
    <col customWidth="1" min="10" max="10" width="10.63"/>
    <col customWidth="1" min="11" max="11" width="12.38"/>
    <col customWidth="1" min="12" max="13" width="15.0"/>
    <col customWidth="1" min="14" max="14" width="23.5"/>
    <col customWidth="1" min="15" max="15" width="28.0"/>
    <col customWidth="1" min="16" max="16" width="22.38"/>
    <col customWidth="1" min="17" max="17" width="26.38"/>
    <col customWidth="1" min="18" max="18" width="30.63"/>
  </cols>
  <sheetData>
    <row r="1">
      <c r="A1" s="46" t="s">
        <v>0</v>
      </c>
      <c r="B1" s="46" t="s">
        <v>11997</v>
      </c>
      <c r="C1" s="46" t="s">
        <v>11998</v>
      </c>
      <c r="D1" s="46" t="s">
        <v>11999</v>
      </c>
      <c r="E1" s="46" t="s">
        <v>12000</v>
      </c>
      <c r="F1" s="46" t="s">
        <v>12001</v>
      </c>
      <c r="G1" s="46" t="s">
        <v>12002</v>
      </c>
      <c r="H1" s="46" t="s">
        <v>12003</v>
      </c>
      <c r="I1" s="47" t="s">
        <v>12004</v>
      </c>
      <c r="J1" s="47" t="s">
        <v>12005</v>
      </c>
      <c r="K1" s="47" t="s">
        <v>12006</v>
      </c>
      <c r="L1" s="47" t="s">
        <v>12007</v>
      </c>
      <c r="M1" s="47" t="s">
        <v>12008</v>
      </c>
      <c r="N1" s="47" t="s">
        <v>12009</v>
      </c>
      <c r="O1" s="47" t="s">
        <v>12010</v>
      </c>
      <c r="P1" s="47" t="s">
        <v>12011</v>
      </c>
      <c r="Q1" s="47" t="s">
        <v>12012</v>
      </c>
      <c r="R1" s="47" t="s">
        <v>12013</v>
      </c>
    </row>
    <row r="2">
      <c r="A2" s="48" t="s">
        <v>54</v>
      </c>
      <c r="B2" s="48">
        <f t="shared" ref="B2:B9" si="1">C2-SUM(D2:AF2)</f>
        <v>470</v>
      </c>
      <c r="C2" s="48">
        <v>300.0</v>
      </c>
      <c r="D2" s="48">
        <v>0.0</v>
      </c>
      <c r="E2" s="48"/>
      <c r="F2" s="49"/>
      <c r="G2" s="49"/>
      <c r="H2" s="49"/>
      <c r="I2" s="49"/>
      <c r="J2" s="48">
        <v>-170.0</v>
      </c>
      <c r="K2" s="48"/>
      <c r="L2" s="49"/>
      <c r="M2" s="50">
        <v>4.0</v>
      </c>
      <c r="N2" s="51">
        <v>-4.0</v>
      </c>
      <c r="O2" s="52"/>
      <c r="P2" s="52"/>
      <c r="Q2" s="52"/>
      <c r="R2" s="53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>
      <c r="A3" s="48" t="s">
        <v>55</v>
      </c>
      <c r="B3" s="48">
        <f t="shared" si="1"/>
        <v>353</v>
      </c>
      <c r="C3" s="48">
        <v>540.0</v>
      </c>
      <c r="D3" s="48">
        <v>0.0</v>
      </c>
      <c r="E3" s="48"/>
      <c r="F3" s="48">
        <v>90.0</v>
      </c>
      <c r="G3" s="49"/>
      <c r="H3" s="49"/>
      <c r="I3" s="49"/>
      <c r="J3" s="48">
        <v>185.0</v>
      </c>
      <c r="K3" s="48">
        <v>-90.0</v>
      </c>
      <c r="L3" s="48">
        <v>2.0</v>
      </c>
      <c r="M3" s="54">
        <v>2.0</v>
      </c>
      <c r="N3" s="48">
        <v>-2.0</v>
      </c>
      <c r="O3" s="49"/>
      <c r="P3" s="49"/>
      <c r="Q3" s="49"/>
      <c r="R3" s="55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</row>
    <row r="4">
      <c r="A4" s="56" t="s">
        <v>91</v>
      </c>
      <c r="B4" s="56">
        <f t="shared" si="1"/>
        <v>435</v>
      </c>
      <c r="C4" s="56">
        <v>400.0</v>
      </c>
      <c r="D4" s="56">
        <v>1.0</v>
      </c>
      <c r="E4" s="56"/>
      <c r="F4" s="57"/>
      <c r="G4" s="56">
        <v>22.0</v>
      </c>
      <c r="H4" s="56">
        <v>2.0</v>
      </c>
      <c r="I4" s="56">
        <v>12.0</v>
      </c>
      <c r="J4" s="56">
        <v>-83.0</v>
      </c>
      <c r="K4" s="56"/>
      <c r="L4" s="56">
        <v>2.0</v>
      </c>
      <c r="M4" s="58"/>
      <c r="N4" s="57"/>
      <c r="O4" s="56">
        <v>10.0</v>
      </c>
      <c r="P4" s="56">
        <v>-2.0</v>
      </c>
      <c r="Q4" s="56">
        <v>4.0</v>
      </c>
      <c r="R4" s="59">
        <v>-3.0</v>
      </c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>
      <c r="A5" s="48" t="s">
        <v>95</v>
      </c>
      <c r="B5" s="48">
        <f t="shared" si="1"/>
        <v>242</v>
      </c>
      <c r="C5" s="48">
        <v>240.0</v>
      </c>
      <c r="D5" s="48">
        <v>19.0</v>
      </c>
      <c r="E5" s="48">
        <v>8.0</v>
      </c>
      <c r="F5" s="49"/>
      <c r="G5" s="48">
        <v>26.0</v>
      </c>
      <c r="H5" s="48">
        <v>2.0</v>
      </c>
      <c r="I5" s="49"/>
      <c r="J5" s="48">
        <v>-57.0</v>
      </c>
      <c r="K5" s="48"/>
      <c r="L5" s="49"/>
      <c r="M5" s="60"/>
      <c r="N5" s="49"/>
      <c r="O5" s="49"/>
      <c r="P5" s="49"/>
      <c r="Q5" s="49"/>
      <c r="R5" s="55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</row>
    <row r="6">
      <c r="A6" s="48" t="s">
        <v>105</v>
      </c>
      <c r="B6" s="48">
        <f t="shared" si="1"/>
        <v>260</v>
      </c>
      <c r="C6" s="48">
        <v>260.0</v>
      </c>
      <c r="D6" s="48">
        <v>0.0</v>
      </c>
      <c r="E6" s="48"/>
      <c r="F6" s="49"/>
      <c r="G6" s="49"/>
      <c r="H6" s="49"/>
      <c r="I6" s="49"/>
      <c r="J6" s="49"/>
      <c r="K6" s="49"/>
      <c r="L6" s="49"/>
      <c r="M6" s="60"/>
      <c r="N6" s="49"/>
      <c r="O6" s="49"/>
      <c r="P6" s="49"/>
      <c r="Q6" s="49"/>
      <c r="R6" s="55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</row>
    <row r="7">
      <c r="A7" s="48" t="s">
        <v>127</v>
      </c>
      <c r="B7" s="48">
        <f t="shared" si="1"/>
        <v>330</v>
      </c>
      <c r="C7" s="48">
        <v>340.0</v>
      </c>
      <c r="D7" s="48">
        <v>14.0</v>
      </c>
      <c r="E7" s="48">
        <v>-4.0</v>
      </c>
      <c r="F7" s="49"/>
      <c r="G7" s="49"/>
      <c r="H7" s="49"/>
      <c r="I7" s="49"/>
      <c r="J7" s="49"/>
      <c r="K7" s="49"/>
      <c r="L7" s="49"/>
      <c r="M7" s="60"/>
      <c r="N7" s="49"/>
      <c r="O7" s="49"/>
      <c r="P7" s="49"/>
      <c r="Q7" s="49"/>
      <c r="R7" s="55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</row>
    <row r="8">
      <c r="A8" s="48" t="s">
        <v>175</v>
      </c>
      <c r="B8" s="48">
        <f t="shared" si="1"/>
        <v>86</v>
      </c>
      <c r="C8" s="48">
        <v>90.0</v>
      </c>
      <c r="D8" s="48">
        <v>6.0</v>
      </c>
      <c r="E8" s="48">
        <v>-2.0</v>
      </c>
      <c r="F8" s="49"/>
      <c r="G8" s="49"/>
      <c r="H8" s="49"/>
      <c r="I8" s="49"/>
      <c r="J8" s="49"/>
      <c r="K8" s="49"/>
      <c r="L8" s="49"/>
      <c r="M8" s="60"/>
      <c r="N8" s="49"/>
      <c r="O8" s="49"/>
      <c r="P8" s="49"/>
      <c r="Q8" s="49"/>
      <c r="R8" s="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</row>
    <row r="9">
      <c r="A9" s="48" t="s">
        <v>132</v>
      </c>
      <c r="B9" s="48">
        <f t="shared" si="1"/>
        <v>10</v>
      </c>
      <c r="C9" s="48">
        <v>10.0</v>
      </c>
      <c r="D9" s="48">
        <v>0.0</v>
      </c>
      <c r="E9" s="48"/>
      <c r="F9" s="49"/>
      <c r="G9" s="49"/>
      <c r="H9" s="49"/>
      <c r="I9" s="49"/>
      <c r="J9" s="49"/>
      <c r="K9" s="49"/>
      <c r="L9" s="49"/>
      <c r="M9" s="60"/>
      <c r="N9" s="49"/>
      <c r="O9" s="49"/>
      <c r="P9" s="49"/>
      <c r="Q9" s="49"/>
      <c r="R9" s="55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61" t="s">
        <v>12014</v>
      </c>
      <c r="N10" s="62"/>
      <c r="O10" s="63"/>
      <c r="P10" s="63"/>
      <c r="Q10" s="63"/>
      <c r="R10" s="64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</row>
    <row r="11">
      <c r="A11" s="65" t="s">
        <v>12015</v>
      </c>
      <c r="B11" s="66"/>
      <c r="C11" s="66">
        <f>SUM(C2:C9)</f>
        <v>2180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3" width="12.38"/>
    <col customWidth="1" min="4" max="4" width="43.13"/>
    <col customWidth="1" min="5" max="5" width="28.5"/>
  </cols>
  <sheetData>
    <row r="1">
      <c r="A1" s="46" t="s">
        <v>0</v>
      </c>
      <c r="B1" s="46" t="s">
        <v>11997</v>
      </c>
      <c r="C1" s="46" t="s">
        <v>11998</v>
      </c>
      <c r="D1" s="46" t="s">
        <v>12016</v>
      </c>
      <c r="E1" s="46" t="s">
        <v>12017</v>
      </c>
    </row>
    <row r="2">
      <c r="A2" s="32" t="s">
        <v>54</v>
      </c>
      <c r="B2" s="32">
        <f t="shared" ref="B2:B3" si="1">C2-SUM(D2:AA2)</f>
        <v>78</v>
      </c>
      <c r="C2" s="32">
        <v>47.0</v>
      </c>
      <c r="E2" s="32">
        <v>-31.0</v>
      </c>
    </row>
    <row r="3">
      <c r="A3" s="32" t="s">
        <v>55</v>
      </c>
      <c r="B3" s="32">
        <f t="shared" si="1"/>
        <v>85</v>
      </c>
      <c r="C3" s="32">
        <v>100.0</v>
      </c>
      <c r="D3" s="32">
        <v>-16.0</v>
      </c>
      <c r="E3" s="32">
        <v>31.0</v>
      </c>
    </row>
    <row r="4">
      <c r="D4" s="32" t="s">
        <v>12018</v>
      </c>
    </row>
    <row r="5">
      <c r="B5" s="46" t="s">
        <v>12019</v>
      </c>
    </row>
    <row r="6">
      <c r="A6" s="67" t="s">
        <v>54</v>
      </c>
      <c r="B6" s="32">
        <v>68.0</v>
      </c>
    </row>
    <row r="7">
      <c r="A7" s="67" t="s">
        <v>55</v>
      </c>
      <c r="B7" s="32">
        <v>80.0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50.13"/>
    <col customWidth="1" min="3" max="3" width="11.0"/>
    <col customWidth="1" min="4" max="4" width="19.75"/>
    <col customWidth="1" min="5" max="5" width="23.13"/>
    <col customWidth="1" min="6" max="6" width="11.63"/>
  </cols>
  <sheetData>
    <row r="1">
      <c r="A1" s="46" t="s">
        <v>0</v>
      </c>
      <c r="B1" s="46" t="s">
        <v>12020</v>
      </c>
      <c r="C1" s="46" t="s">
        <v>11998</v>
      </c>
      <c r="D1" s="46" t="s">
        <v>12021</v>
      </c>
      <c r="E1" s="46" t="s">
        <v>12022</v>
      </c>
      <c r="F1" s="46" t="s">
        <v>12005</v>
      </c>
      <c r="G1" s="46" t="s">
        <v>12006</v>
      </c>
      <c r="I1" s="32" t="s">
        <v>12023</v>
      </c>
    </row>
    <row r="2">
      <c r="A2" s="32" t="s">
        <v>54</v>
      </c>
      <c r="B2" s="68">
        <f t="shared" ref="B2:B7" si="1">C2-SUM(D2:AA2)</f>
        <v>120</v>
      </c>
      <c r="C2" s="69">
        <v>100.0</v>
      </c>
      <c r="G2" s="70">
        <v>-20.0</v>
      </c>
      <c r="H2" s="32" t="s">
        <v>12024</v>
      </c>
    </row>
    <row r="3">
      <c r="A3" s="32" t="s">
        <v>55</v>
      </c>
      <c r="B3" s="68">
        <f t="shared" si="1"/>
        <v>73</v>
      </c>
      <c r="C3" s="69">
        <v>100.0</v>
      </c>
      <c r="E3" s="32">
        <v>20.0</v>
      </c>
      <c r="G3" s="70">
        <v>20.0</v>
      </c>
      <c r="H3" s="32" t="s">
        <v>12024</v>
      </c>
      <c r="I3" s="32">
        <v>-13.0</v>
      </c>
    </row>
    <row r="4">
      <c r="A4" s="32" t="s">
        <v>91</v>
      </c>
      <c r="B4" s="68">
        <f t="shared" si="1"/>
        <v>172</v>
      </c>
      <c r="C4" s="69">
        <v>160.0</v>
      </c>
      <c r="D4" s="32">
        <v>50.0</v>
      </c>
      <c r="G4" s="32">
        <v>-75.0</v>
      </c>
      <c r="I4" s="32">
        <v>13.0</v>
      </c>
    </row>
    <row r="5">
      <c r="A5" s="32" t="s">
        <v>95</v>
      </c>
      <c r="B5" s="68">
        <f t="shared" si="1"/>
        <v>74</v>
      </c>
      <c r="C5" s="68">
        <v>80.0</v>
      </c>
      <c r="D5" s="38">
        <f>-10</f>
        <v>-10</v>
      </c>
      <c r="E5" s="32"/>
      <c r="G5" s="71"/>
      <c r="I5" s="32">
        <v>16.0</v>
      </c>
    </row>
    <row r="6">
      <c r="A6" s="9" t="s">
        <v>8135</v>
      </c>
      <c r="B6" s="68">
        <f t="shared" si="1"/>
        <v>135</v>
      </c>
      <c r="C6" s="69">
        <v>135.0</v>
      </c>
      <c r="E6" s="32">
        <v>0.0</v>
      </c>
    </row>
    <row r="7">
      <c r="A7" s="9" t="s">
        <v>8150</v>
      </c>
      <c r="B7" s="68">
        <f t="shared" si="1"/>
        <v>489</v>
      </c>
      <c r="C7" s="69">
        <v>500.0</v>
      </c>
      <c r="E7" s="32">
        <v>11.0</v>
      </c>
    </row>
    <row r="12">
      <c r="H12" s="32" t="s">
        <v>12025</v>
      </c>
      <c r="I12" s="32" t="s">
        <v>12026</v>
      </c>
    </row>
    <row r="13">
      <c r="I13" s="32" t="s">
        <v>12027</v>
      </c>
    </row>
    <row r="14">
      <c r="I14" s="32" t="s">
        <v>12028</v>
      </c>
    </row>
    <row r="16">
      <c r="D16" s="32" t="s">
        <v>12029</v>
      </c>
    </row>
    <row r="17">
      <c r="D17" s="32" t="s">
        <v>12030</v>
      </c>
      <c r="H17" s="32" t="s">
        <v>12031</v>
      </c>
      <c r="I17" s="32" t="s">
        <v>12032</v>
      </c>
    </row>
    <row r="18">
      <c r="D18" s="32" t="s">
        <v>12033</v>
      </c>
      <c r="I18" s="32" t="s">
        <v>12034</v>
      </c>
    </row>
    <row r="19">
      <c r="I19" s="32" t="s">
        <v>12035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12037</v>
      </c>
      <c r="C1" s="67"/>
      <c r="D1" s="67"/>
      <c r="E1" s="67"/>
    </row>
    <row r="2">
      <c r="A2" s="74" t="s">
        <v>12038</v>
      </c>
      <c r="B2" s="75" t="s">
        <v>12039</v>
      </c>
      <c r="C2" s="67"/>
      <c r="D2" s="67"/>
      <c r="E2" s="67"/>
    </row>
    <row r="3">
      <c r="A3" s="74" t="s">
        <v>12040</v>
      </c>
      <c r="B3" s="75" t="s">
        <v>12041</v>
      </c>
      <c r="C3" s="67"/>
      <c r="D3" s="67"/>
      <c r="E3" s="67"/>
    </row>
    <row r="4">
      <c r="A4" s="74" t="s">
        <v>12042</v>
      </c>
      <c r="B4" s="76" t="s">
        <v>12041</v>
      </c>
      <c r="C4" s="67"/>
      <c r="D4" s="67"/>
      <c r="E4" s="67"/>
    </row>
    <row r="5">
      <c r="A5" s="74" t="s">
        <v>12043</v>
      </c>
      <c r="B5" s="76" t="s">
        <v>12044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0</v>
      </c>
      <c r="C9" s="84">
        <v>0.0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0</v>
      </c>
      <c r="C10" s="84">
        <v>0.0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0</v>
      </c>
      <c r="C11" s="86">
        <v>0.0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0</v>
      </c>
      <c r="C12" s="86">
        <v>0.0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0</v>
      </c>
      <c r="C15" s="84">
        <v>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0</v>
      </c>
      <c r="C16" s="86">
        <v>0.0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0</v>
      </c>
      <c r="C17" s="86">
        <v>0.0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0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21.38"/>
    <col customWidth="1" min="5" max="5" width="19.0"/>
    <col customWidth="1" min="6" max="6" width="30.25"/>
    <col customWidth="1" min="7" max="7" width="21.25"/>
  </cols>
  <sheetData>
    <row r="1">
      <c r="A1" s="72" t="s">
        <v>12036</v>
      </c>
      <c r="B1" s="73" t="s">
        <v>12061</v>
      </c>
      <c r="C1" s="67"/>
      <c r="D1" s="67"/>
      <c r="E1" s="67"/>
      <c r="F1" s="67"/>
    </row>
    <row r="2">
      <c r="A2" s="74" t="s">
        <v>12038</v>
      </c>
      <c r="B2" s="75" t="s">
        <v>12062</v>
      </c>
      <c r="C2" s="67"/>
      <c r="D2" s="67"/>
      <c r="E2" s="67"/>
      <c r="F2" s="67"/>
    </row>
    <row r="3">
      <c r="A3" s="74" t="s">
        <v>12040</v>
      </c>
      <c r="B3" s="75" t="s">
        <v>12063</v>
      </c>
      <c r="C3" s="67"/>
      <c r="D3" s="67"/>
      <c r="E3" s="67"/>
      <c r="F3" s="67"/>
    </row>
    <row r="4">
      <c r="A4" s="74" t="s">
        <v>12042</v>
      </c>
      <c r="B4" s="67" t="s">
        <v>12064</v>
      </c>
      <c r="C4" s="67"/>
      <c r="D4" s="67"/>
      <c r="E4" s="67"/>
      <c r="F4" s="67"/>
    </row>
    <row r="5">
      <c r="A5" s="74" t="s">
        <v>12043</v>
      </c>
      <c r="B5" s="67" t="s">
        <v>12065</v>
      </c>
      <c r="C5" s="67"/>
      <c r="D5" s="67"/>
      <c r="E5" s="67"/>
      <c r="F5" s="67"/>
    </row>
    <row r="6">
      <c r="A6" s="77" t="s">
        <v>12045</v>
      </c>
      <c r="B6" s="78" t="s">
        <v>12066</v>
      </c>
      <c r="C6" s="67"/>
      <c r="D6" s="67"/>
      <c r="E6" s="67"/>
      <c r="F6" s="67"/>
    </row>
    <row r="7">
      <c r="A7" s="67"/>
      <c r="B7" s="67"/>
      <c r="C7" s="67"/>
      <c r="D7" s="98" t="s">
        <v>12067</v>
      </c>
      <c r="E7" s="67"/>
      <c r="F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99" t="s">
        <v>12068</v>
      </c>
      <c r="F8" s="99" t="s">
        <v>12068</v>
      </c>
    </row>
    <row r="9">
      <c r="A9" s="82" t="s">
        <v>12052</v>
      </c>
      <c r="B9" s="83">
        <f t="shared" ref="B9:B12" si="1">SUM(C9:E9)-F9</f>
        <v>32</v>
      </c>
      <c r="C9" s="86">
        <v>29.0</v>
      </c>
      <c r="D9" s="100">
        <v>3.0</v>
      </c>
      <c r="E9" s="86">
        <v>0.0</v>
      </c>
      <c r="F9" s="84">
        <v>0.0</v>
      </c>
    </row>
    <row r="10">
      <c r="A10" s="85" t="s">
        <v>12053</v>
      </c>
      <c r="B10" s="83">
        <f t="shared" si="1"/>
        <v>17</v>
      </c>
      <c r="C10" s="86">
        <v>17.0</v>
      </c>
      <c r="D10" s="84">
        <v>0.0</v>
      </c>
      <c r="E10" s="84"/>
      <c r="F10" s="84">
        <v>0.0</v>
      </c>
    </row>
    <row r="11">
      <c r="A11" s="85" t="s">
        <v>12054</v>
      </c>
      <c r="B11" s="83">
        <f t="shared" si="1"/>
        <v>38</v>
      </c>
      <c r="C11" s="86">
        <v>20.0</v>
      </c>
      <c r="D11" s="100">
        <v>3.0</v>
      </c>
      <c r="E11" s="101">
        <v>15.0</v>
      </c>
      <c r="F11" s="86"/>
    </row>
    <row r="12">
      <c r="A12" s="85" t="s">
        <v>12055</v>
      </c>
      <c r="B12" s="83">
        <f t="shared" si="1"/>
        <v>0</v>
      </c>
      <c r="C12" s="86">
        <v>0.0</v>
      </c>
      <c r="D12" s="86">
        <v>0.0</v>
      </c>
      <c r="E12" s="86"/>
      <c r="F12" s="84">
        <v>0.0</v>
      </c>
    </row>
    <row r="13">
      <c r="A13" s="67"/>
      <c r="B13" s="87"/>
      <c r="C13" s="88"/>
      <c r="D13" s="88"/>
      <c r="E13" s="88"/>
      <c r="F13" s="88"/>
    </row>
    <row r="14">
      <c r="A14" s="67"/>
      <c r="B14" s="89"/>
      <c r="C14" s="88"/>
      <c r="D14" s="88"/>
      <c r="E14" s="88"/>
      <c r="F14" s="88"/>
    </row>
    <row r="15">
      <c r="A15" s="85" t="s">
        <v>12056</v>
      </c>
      <c r="B15" s="90">
        <f t="shared" ref="B15:B18" si="2">SUM(C15:E15)-F15</f>
        <v>19</v>
      </c>
      <c r="C15" s="86">
        <v>19.0</v>
      </c>
      <c r="D15" s="84">
        <v>0.0</v>
      </c>
      <c r="E15" s="84"/>
      <c r="F15" s="84">
        <v>0.0</v>
      </c>
    </row>
    <row r="16">
      <c r="A16" s="91" t="s">
        <v>12057</v>
      </c>
      <c r="B16" s="90">
        <f t="shared" si="2"/>
        <v>34</v>
      </c>
      <c r="C16" s="86">
        <v>34.0</v>
      </c>
      <c r="D16" s="86">
        <v>0.0</v>
      </c>
      <c r="E16" s="86"/>
      <c r="F16" s="84">
        <v>0.0</v>
      </c>
    </row>
    <row r="17">
      <c r="A17" s="91" t="s">
        <v>12058</v>
      </c>
      <c r="B17" s="90">
        <f t="shared" si="2"/>
        <v>6</v>
      </c>
      <c r="C17" s="86">
        <v>6.0</v>
      </c>
      <c r="D17" s="84">
        <v>0.0</v>
      </c>
      <c r="E17" s="84"/>
      <c r="F17" s="84">
        <v>0.0</v>
      </c>
    </row>
    <row r="18">
      <c r="A18" s="92" t="s">
        <v>12059</v>
      </c>
      <c r="B18" s="90">
        <f t="shared" si="2"/>
        <v>0</v>
      </c>
      <c r="C18" s="84">
        <v>0.0</v>
      </c>
      <c r="D18" s="84">
        <v>0.0</v>
      </c>
      <c r="E18" s="84"/>
      <c r="F18" s="84">
        <v>0.0</v>
      </c>
    </row>
    <row r="19">
      <c r="A19" s="102" t="s">
        <v>12069</v>
      </c>
      <c r="B19" s="102" t="s">
        <v>12070</v>
      </c>
      <c r="C19" s="102"/>
      <c r="D19" s="102">
        <v>15.0</v>
      </c>
      <c r="E19" s="103"/>
      <c r="F19" s="103"/>
    </row>
    <row r="20">
      <c r="A20" s="93" t="s">
        <v>12060</v>
      </c>
      <c r="B20" s="94">
        <f>SUM(B9:B19)</f>
        <v>146</v>
      </c>
      <c r="C20" s="95">
        <v>0.0</v>
      </c>
      <c r="D20" s="96"/>
      <c r="E20" s="96"/>
      <c r="F20" s="97"/>
    </row>
    <row r="23">
      <c r="A23" s="82" t="s">
        <v>12052</v>
      </c>
      <c r="B23" s="104">
        <v>20.0</v>
      </c>
      <c r="C23" s="104">
        <v>11.0</v>
      </c>
      <c r="D23" s="38">
        <f t="shared" ref="D23:D26" si="3">B23+C23</f>
        <v>31</v>
      </c>
    </row>
    <row r="24">
      <c r="A24" s="85" t="s">
        <v>12053</v>
      </c>
      <c r="B24" s="104">
        <v>14.0</v>
      </c>
      <c r="C24" s="104">
        <v>5.0</v>
      </c>
      <c r="D24" s="38">
        <f t="shared" si="3"/>
        <v>19</v>
      </c>
    </row>
    <row r="25">
      <c r="A25" s="85" t="s">
        <v>12054</v>
      </c>
      <c r="B25" s="104">
        <v>12.0</v>
      </c>
      <c r="C25" s="104">
        <v>6.0</v>
      </c>
      <c r="D25" s="38">
        <f t="shared" si="3"/>
        <v>18</v>
      </c>
    </row>
    <row r="26">
      <c r="A26" s="85" t="s">
        <v>12055</v>
      </c>
      <c r="B26" s="104">
        <v>12.0</v>
      </c>
      <c r="C26" s="104">
        <v>4.0</v>
      </c>
      <c r="D26" s="38">
        <f t="shared" si="3"/>
        <v>16</v>
      </c>
    </row>
    <row r="27">
      <c r="A27" s="67"/>
    </row>
    <row r="28">
      <c r="A28" s="67"/>
    </row>
    <row r="29">
      <c r="A29" s="85" t="s">
        <v>12056</v>
      </c>
      <c r="B29" s="104">
        <v>13.0</v>
      </c>
      <c r="C29" s="104">
        <v>6.0</v>
      </c>
      <c r="D29" s="38">
        <f t="shared" ref="D29:D32" si="4">B29+C29</f>
        <v>19</v>
      </c>
    </row>
    <row r="30">
      <c r="A30" s="91" t="s">
        <v>12057</v>
      </c>
      <c r="B30" s="104">
        <v>23.0</v>
      </c>
      <c r="C30" s="104">
        <v>3.0</v>
      </c>
      <c r="D30" s="38">
        <f t="shared" si="4"/>
        <v>26</v>
      </c>
    </row>
    <row r="31">
      <c r="A31" s="91" t="s">
        <v>12058</v>
      </c>
      <c r="B31" s="104">
        <v>2.0</v>
      </c>
      <c r="C31" s="104">
        <v>4.0</v>
      </c>
      <c r="D31" s="38">
        <f t="shared" si="4"/>
        <v>6</v>
      </c>
    </row>
    <row r="32">
      <c r="A32" s="92" t="s">
        <v>12059</v>
      </c>
      <c r="B32" s="104">
        <v>0.0</v>
      </c>
      <c r="D32" s="38">
        <f t="shared" si="4"/>
        <v>0</v>
      </c>
    </row>
  </sheetData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12071</v>
      </c>
      <c r="C1" s="67"/>
      <c r="D1" s="67"/>
      <c r="E1" s="67"/>
    </row>
    <row r="2">
      <c r="A2" s="74" t="s">
        <v>12038</v>
      </c>
      <c r="B2" s="75" t="s">
        <v>12072</v>
      </c>
      <c r="C2" s="67"/>
      <c r="D2" s="67"/>
      <c r="E2" s="67"/>
    </row>
    <row r="3">
      <c r="A3" s="74" t="s">
        <v>12040</v>
      </c>
      <c r="B3" s="75" t="s">
        <v>12073</v>
      </c>
      <c r="C3" s="67"/>
      <c r="D3" s="67"/>
      <c r="E3" s="67"/>
    </row>
    <row r="4">
      <c r="A4" s="74" t="s">
        <v>12042</v>
      </c>
      <c r="B4" s="76" t="s">
        <v>12074</v>
      </c>
      <c r="C4" s="67"/>
      <c r="D4" s="67"/>
      <c r="E4" s="67"/>
    </row>
    <row r="5">
      <c r="A5" s="74" t="s">
        <v>12043</v>
      </c>
      <c r="B5" s="76" t="s">
        <v>12075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11</v>
      </c>
      <c r="C9" s="86">
        <v>11.0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1</v>
      </c>
      <c r="C10" s="86">
        <v>1.0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10</v>
      </c>
      <c r="C11" s="86">
        <v>10.0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1</v>
      </c>
      <c r="C12" s="86">
        <v>1.0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0</v>
      </c>
      <c r="C15" s="86">
        <v>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0</v>
      </c>
      <c r="C16" s="86">
        <v>0.0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0</v>
      </c>
      <c r="C17" s="86">
        <v>0.0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6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23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12071</v>
      </c>
      <c r="C1" s="67"/>
      <c r="D1" s="67"/>
      <c r="E1" s="67"/>
    </row>
    <row r="2">
      <c r="A2" s="74" t="s">
        <v>12038</v>
      </c>
      <c r="B2" s="75" t="s">
        <v>12076</v>
      </c>
      <c r="C2" s="67"/>
      <c r="D2" s="67"/>
      <c r="E2" s="67"/>
    </row>
    <row r="3">
      <c r="A3" s="74" t="s">
        <v>12040</v>
      </c>
      <c r="B3" s="75" t="s">
        <v>12077</v>
      </c>
      <c r="C3" s="67"/>
      <c r="D3" s="67"/>
      <c r="E3" s="67"/>
    </row>
    <row r="4">
      <c r="A4" s="74" t="s">
        <v>12042</v>
      </c>
      <c r="B4" s="76" t="s">
        <v>6191</v>
      </c>
      <c r="C4" s="67"/>
      <c r="D4" s="67"/>
      <c r="E4" s="67"/>
    </row>
    <row r="5">
      <c r="A5" s="74" t="s">
        <v>12043</v>
      </c>
      <c r="B5" s="76" t="s">
        <v>12078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3</v>
      </c>
      <c r="C9" s="86">
        <v>3.0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2</v>
      </c>
      <c r="C10" s="86">
        <v>2.0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</v>
      </c>
      <c r="C11" s="86">
        <v>1.0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0</v>
      </c>
      <c r="C12" s="86">
        <v>0.0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</v>
      </c>
      <c r="C15" s="86">
        <v>1.0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3</v>
      </c>
      <c r="C16" s="86">
        <v>3.0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1</v>
      </c>
      <c r="C17" s="86">
        <v>1.0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6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11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21.38"/>
    <col customWidth="1" min="5" max="5" width="19.0"/>
    <col customWidth="1" min="6" max="6" width="30.25"/>
    <col customWidth="1" min="7" max="7" width="21.25"/>
  </cols>
  <sheetData>
    <row r="1">
      <c r="A1" s="72" t="s">
        <v>12036</v>
      </c>
      <c r="B1" s="73" t="s">
        <v>12079</v>
      </c>
      <c r="C1" s="67"/>
      <c r="D1" s="67"/>
      <c r="E1" s="67"/>
      <c r="F1" s="67"/>
    </row>
    <row r="2">
      <c r="A2" s="74" t="s">
        <v>12038</v>
      </c>
      <c r="B2" s="75" t="s">
        <v>12062</v>
      </c>
      <c r="C2" s="67"/>
      <c r="D2" s="67"/>
      <c r="E2" s="67"/>
      <c r="F2" s="67"/>
    </row>
    <row r="3">
      <c r="A3" s="74" t="s">
        <v>12040</v>
      </c>
      <c r="B3" s="75" t="s">
        <v>12063</v>
      </c>
      <c r="C3" s="67"/>
      <c r="D3" s="67"/>
      <c r="E3" s="67"/>
      <c r="F3" s="67"/>
    </row>
    <row r="4">
      <c r="A4" s="74" t="s">
        <v>12042</v>
      </c>
      <c r="B4" s="67" t="s">
        <v>12064</v>
      </c>
      <c r="C4" s="67"/>
      <c r="D4" s="67"/>
      <c r="E4" s="67"/>
      <c r="F4" s="67"/>
    </row>
    <row r="5">
      <c r="A5" s="74" t="s">
        <v>12043</v>
      </c>
      <c r="B5" s="67" t="s">
        <v>12065</v>
      </c>
      <c r="C5" s="67"/>
      <c r="D5" s="67"/>
      <c r="E5" s="67"/>
      <c r="F5" s="67"/>
    </row>
    <row r="6">
      <c r="A6" s="77" t="s">
        <v>12045</v>
      </c>
      <c r="B6" s="78" t="s">
        <v>12066</v>
      </c>
      <c r="C6" s="67"/>
      <c r="D6" s="67"/>
      <c r="E6" s="67"/>
      <c r="F6" s="67"/>
    </row>
    <row r="7">
      <c r="A7" s="67"/>
      <c r="B7" s="67"/>
      <c r="C7" s="67"/>
      <c r="D7" s="67"/>
      <c r="E7" s="67"/>
      <c r="F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99" t="s">
        <v>12068</v>
      </c>
      <c r="F8" s="99" t="s">
        <v>12068</v>
      </c>
    </row>
    <row r="9">
      <c r="A9" s="82" t="s">
        <v>12052</v>
      </c>
      <c r="B9" s="83">
        <f t="shared" ref="B9:B12" si="1">SUM(C9:E9)-F9</f>
        <v>13</v>
      </c>
      <c r="C9" s="86">
        <v>13.0</v>
      </c>
      <c r="D9" s="86">
        <v>0.0</v>
      </c>
      <c r="E9" s="86"/>
      <c r="F9" s="84">
        <v>0.0</v>
      </c>
    </row>
    <row r="10">
      <c r="A10" s="85" t="s">
        <v>12053</v>
      </c>
      <c r="B10" s="83">
        <f t="shared" si="1"/>
        <v>5</v>
      </c>
      <c r="C10" s="86">
        <v>5.0</v>
      </c>
      <c r="D10" s="86">
        <v>0.0</v>
      </c>
      <c r="E10" s="84"/>
      <c r="F10" s="84">
        <v>0.0</v>
      </c>
    </row>
    <row r="11">
      <c r="A11" s="85" t="s">
        <v>12054</v>
      </c>
      <c r="B11" s="83">
        <f t="shared" si="1"/>
        <v>6</v>
      </c>
      <c r="C11" s="86">
        <v>6.0</v>
      </c>
      <c r="D11" s="86">
        <v>0.0</v>
      </c>
      <c r="E11" s="101"/>
      <c r="F11" s="86"/>
    </row>
    <row r="12">
      <c r="A12" s="85" t="s">
        <v>12055</v>
      </c>
      <c r="B12" s="83">
        <f t="shared" si="1"/>
        <v>4</v>
      </c>
      <c r="C12" s="86">
        <v>4.0</v>
      </c>
      <c r="D12" s="86">
        <v>0.0</v>
      </c>
      <c r="E12" s="86"/>
      <c r="F12" s="84">
        <v>0.0</v>
      </c>
    </row>
    <row r="13">
      <c r="A13" s="67"/>
      <c r="B13" s="87"/>
      <c r="C13" s="88"/>
      <c r="D13" s="88"/>
      <c r="E13" s="88"/>
      <c r="F13" s="88"/>
    </row>
    <row r="14">
      <c r="A14" s="67"/>
      <c r="B14" s="89"/>
      <c r="C14" s="88"/>
      <c r="D14" s="88"/>
      <c r="E14" s="88"/>
      <c r="F14" s="88"/>
    </row>
    <row r="15">
      <c r="A15" s="85" t="s">
        <v>12056</v>
      </c>
      <c r="B15" s="90">
        <f t="shared" ref="B15:B18" si="2">SUM(C15:E15)-F15</f>
        <v>6</v>
      </c>
      <c r="C15" s="86">
        <v>6.0</v>
      </c>
      <c r="D15" s="84">
        <v>0.0</v>
      </c>
      <c r="E15" s="84"/>
      <c r="F15" s="84">
        <v>0.0</v>
      </c>
    </row>
    <row r="16">
      <c r="A16" s="91" t="s">
        <v>12057</v>
      </c>
      <c r="B16" s="90">
        <f t="shared" si="2"/>
        <v>3</v>
      </c>
      <c r="C16" s="86">
        <v>3.0</v>
      </c>
      <c r="D16" s="86">
        <v>0.0</v>
      </c>
      <c r="E16" s="86"/>
      <c r="F16" s="84">
        <v>0.0</v>
      </c>
    </row>
    <row r="17">
      <c r="A17" s="91" t="s">
        <v>12058</v>
      </c>
      <c r="B17" s="90">
        <f t="shared" si="2"/>
        <v>5</v>
      </c>
      <c r="C17" s="86">
        <v>4.0</v>
      </c>
      <c r="D17" s="86">
        <v>1.0</v>
      </c>
      <c r="E17" s="84"/>
      <c r="F17" s="84">
        <v>0.0</v>
      </c>
    </row>
    <row r="18">
      <c r="A18" s="92" t="s">
        <v>12059</v>
      </c>
      <c r="B18" s="90">
        <f t="shared" si="2"/>
        <v>0</v>
      </c>
      <c r="C18" s="84">
        <v>0.0</v>
      </c>
      <c r="D18" s="84">
        <v>0.0</v>
      </c>
      <c r="E18" s="84"/>
      <c r="F18" s="84">
        <v>0.0</v>
      </c>
    </row>
    <row r="19">
      <c r="A19" s="93" t="s">
        <v>12060</v>
      </c>
      <c r="B19" s="94">
        <f>SUM(B9:B18)</f>
        <v>42</v>
      </c>
      <c r="C19" s="95">
        <v>0.0</v>
      </c>
      <c r="D19" s="96"/>
      <c r="E19" s="96"/>
      <c r="F19" s="97"/>
    </row>
    <row r="22">
      <c r="A22" s="105" t="s">
        <v>12080</v>
      </c>
      <c r="B22" s="105" t="s">
        <v>12081</v>
      </c>
      <c r="C22" s="106"/>
      <c r="D22" s="106"/>
      <c r="E22" s="106"/>
      <c r="F22" s="106"/>
    </row>
    <row r="23">
      <c r="A23" s="106"/>
      <c r="B23" s="105" t="s">
        <v>12082</v>
      </c>
      <c r="C23" s="106"/>
      <c r="D23" s="106"/>
      <c r="E23" s="106"/>
      <c r="F23" s="106"/>
    </row>
  </sheetData>
  <printOptions horizontalCentered="1"/>
  <pageMargins bottom="0.75" footer="0.0" header="0.0" left="0.7" right="0.7" top="0.75"/>
  <pageSetup fitToWidth="0" paperSize="9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5" width="19.0"/>
    <col customWidth="1" min="6" max="6" width="30.25"/>
    <col customWidth="1" min="7" max="7" width="21.25"/>
  </cols>
  <sheetData>
    <row r="1">
      <c r="A1" s="72" t="s">
        <v>12036</v>
      </c>
      <c r="B1" s="73" t="s">
        <v>12083</v>
      </c>
      <c r="C1" s="67"/>
      <c r="D1" s="67"/>
      <c r="E1" s="67"/>
      <c r="F1" s="67"/>
    </row>
    <row r="2">
      <c r="A2" s="74" t="s">
        <v>12038</v>
      </c>
      <c r="B2" s="75" t="s">
        <v>12084</v>
      </c>
      <c r="C2" s="67"/>
      <c r="D2" s="67"/>
      <c r="E2" s="67"/>
      <c r="F2" s="67"/>
    </row>
    <row r="3">
      <c r="A3" s="74" t="s">
        <v>12040</v>
      </c>
      <c r="B3" s="75" t="s">
        <v>12085</v>
      </c>
      <c r="C3" s="67"/>
      <c r="D3" s="67"/>
      <c r="E3" s="67"/>
      <c r="F3" s="67"/>
    </row>
    <row r="4">
      <c r="A4" s="74" t="s">
        <v>12042</v>
      </c>
      <c r="B4" s="67" t="s">
        <v>12064</v>
      </c>
      <c r="C4" s="67"/>
      <c r="D4" s="67"/>
      <c r="E4" s="67"/>
      <c r="F4" s="67"/>
    </row>
    <row r="5">
      <c r="A5" s="74" t="s">
        <v>12043</v>
      </c>
      <c r="B5" s="67" t="s">
        <v>12065</v>
      </c>
      <c r="C5" s="67"/>
      <c r="D5" s="67"/>
      <c r="E5" s="67"/>
      <c r="F5" s="67"/>
    </row>
    <row r="6">
      <c r="A6" s="77" t="s">
        <v>12045</v>
      </c>
      <c r="B6" s="78" t="s">
        <v>12086</v>
      </c>
      <c r="C6" s="67"/>
      <c r="D6" s="67"/>
      <c r="E6" s="67"/>
      <c r="F6" s="67"/>
    </row>
    <row r="7">
      <c r="A7" s="67"/>
      <c r="B7" s="67"/>
      <c r="C7" s="67"/>
      <c r="D7" s="76" t="s">
        <v>12087</v>
      </c>
      <c r="E7" s="67"/>
      <c r="F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99" t="s">
        <v>12068</v>
      </c>
      <c r="F8" s="99" t="s">
        <v>12068</v>
      </c>
    </row>
    <row r="9">
      <c r="A9" s="82" t="s">
        <v>12052</v>
      </c>
      <c r="B9" s="83">
        <f t="shared" ref="B9:B12" si="1">SUM(C9:E9)-F9</f>
        <v>40</v>
      </c>
      <c r="C9" s="86">
        <v>38.0</v>
      </c>
      <c r="D9" s="86">
        <v>2.0</v>
      </c>
      <c r="E9" s="86">
        <v>0.0</v>
      </c>
      <c r="F9" s="84">
        <v>0.0</v>
      </c>
    </row>
    <row r="10">
      <c r="A10" s="85" t="s">
        <v>12053</v>
      </c>
      <c r="B10" s="83">
        <f t="shared" si="1"/>
        <v>25</v>
      </c>
      <c r="C10" s="86">
        <v>25.0</v>
      </c>
      <c r="D10" s="84">
        <v>0.0</v>
      </c>
      <c r="E10" s="84"/>
      <c r="F10" s="84">
        <v>0.0</v>
      </c>
    </row>
    <row r="11">
      <c r="A11" s="85" t="s">
        <v>12054</v>
      </c>
      <c r="B11" s="83">
        <f t="shared" si="1"/>
        <v>26</v>
      </c>
      <c r="C11" s="86">
        <v>23.0</v>
      </c>
      <c r="D11" s="86">
        <v>3.0</v>
      </c>
      <c r="E11" s="101">
        <v>0.0</v>
      </c>
      <c r="F11" s="86"/>
    </row>
    <row r="12">
      <c r="A12" s="85" t="s">
        <v>12055</v>
      </c>
      <c r="B12" s="83">
        <f t="shared" si="1"/>
        <v>16</v>
      </c>
      <c r="C12" s="86">
        <v>16.0</v>
      </c>
      <c r="D12" s="86">
        <v>0.0</v>
      </c>
      <c r="E12" s="86"/>
      <c r="F12" s="84">
        <v>0.0</v>
      </c>
    </row>
    <row r="13">
      <c r="A13" s="67"/>
      <c r="B13" s="87"/>
      <c r="C13" s="88"/>
      <c r="D13" s="88"/>
      <c r="E13" s="88"/>
      <c r="F13" s="88"/>
    </row>
    <row r="14">
      <c r="A14" s="67"/>
      <c r="B14" s="89"/>
      <c r="C14" s="88"/>
      <c r="D14" s="88"/>
      <c r="E14" s="88"/>
      <c r="F14" s="88"/>
    </row>
    <row r="15">
      <c r="A15" s="85" t="s">
        <v>12056</v>
      </c>
      <c r="B15" s="90">
        <f t="shared" ref="B15:B18" si="2">SUM(C15:E15)-F15</f>
        <v>14</v>
      </c>
      <c r="C15" s="86">
        <v>14.0</v>
      </c>
      <c r="D15" s="84">
        <v>0.0</v>
      </c>
      <c r="E15" s="84"/>
      <c r="F15" s="84">
        <v>0.0</v>
      </c>
    </row>
    <row r="16">
      <c r="A16" s="91" t="s">
        <v>12057</v>
      </c>
      <c r="B16" s="90">
        <f t="shared" si="2"/>
        <v>28</v>
      </c>
      <c r="C16" s="86">
        <v>28.0</v>
      </c>
      <c r="D16" s="86">
        <v>0.0</v>
      </c>
      <c r="E16" s="86"/>
      <c r="F16" s="84">
        <v>0.0</v>
      </c>
    </row>
    <row r="17">
      <c r="A17" s="91" t="s">
        <v>12058</v>
      </c>
      <c r="B17" s="90">
        <f t="shared" si="2"/>
        <v>2</v>
      </c>
      <c r="C17" s="86">
        <v>2.0</v>
      </c>
      <c r="D17" s="84">
        <v>0.0</v>
      </c>
      <c r="E17" s="84"/>
      <c r="F17" s="84">
        <v>0.0</v>
      </c>
    </row>
    <row r="18">
      <c r="A18" s="92" t="s">
        <v>12059</v>
      </c>
      <c r="B18" s="90">
        <f t="shared" si="2"/>
        <v>0</v>
      </c>
      <c r="C18" s="84">
        <v>0.0</v>
      </c>
      <c r="D18" s="84">
        <v>0.0</v>
      </c>
      <c r="E18" s="84"/>
      <c r="F18" s="84">
        <v>0.0</v>
      </c>
    </row>
    <row r="19">
      <c r="A19" s="102" t="s">
        <v>12069</v>
      </c>
      <c r="B19" s="102" t="s">
        <v>12088</v>
      </c>
      <c r="C19" s="103"/>
      <c r="D19" s="107"/>
      <c r="E19" s="103"/>
      <c r="F19" s="103"/>
    </row>
    <row r="20">
      <c r="A20" s="93" t="s">
        <v>12060</v>
      </c>
      <c r="B20" s="94">
        <f>SUM(B9:B19)</f>
        <v>151</v>
      </c>
      <c r="C20" s="95">
        <v>0.0</v>
      </c>
      <c r="D20" s="96"/>
      <c r="E20" s="96"/>
      <c r="F20" s="97"/>
    </row>
  </sheetData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7.75"/>
    <col customWidth="1" min="3" max="3" width="30.25"/>
    <col customWidth="1" min="4" max="5" width="19.0"/>
    <col customWidth="1" min="6" max="6" width="30.25"/>
    <col customWidth="1" min="7" max="7" width="21.25"/>
  </cols>
  <sheetData>
    <row r="1">
      <c r="A1" s="72" t="s">
        <v>12036</v>
      </c>
      <c r="B1" s="73" t="s">
        <v>12089</v>
      </c>
      <c r="C1" s="67"/>
      <c r="D1" s="67"/>
      <c r="E1" s="67"/>
      <c r="F1" s="67"/>
    </row>
    <row r="2">
      <c r="A2" s="74" t="s">
        <v>12038</v>
      </c>
      <c r="B2" s="75" t="s">
        <v>12090</v>
      </c>
      <c r="C2" s="67"/>
      <c r="D2" s="67"/>
      <c r="E2" s="67"/>
      <c r="F2" s="67"/>
    </row>
    <row r="3">
      <c r="A3" s="74" t="s">
        <v>12040</v>
      </c>
      <c r="B3" s="75" t="s">
        <v>12091</v>
      </c>
      <c r="C3" s="67"/>
      <c r="D3" s="67"/>
      <c r="E3" s="67"/>
      <c r="F3" s="67"/>
    </row>
    <row r="4">
      <c r="A4" s="74" t="s">
        <v>12042</v>
      </c>
      <c r="B4" s="76" t="s">
        <v>6959</v>
      </c>
      <c r="C4" s="67"/>
      <c r="D4" s="67"/>
      <c r="E4" s="67"/>
      <c r="F4" s="67"/>
    </row>
    <row r="5">
      <c r="A5" s="74" t="s">
        <v>12043</v>
      </c>
      <c r="B5" s="76" t="s">
        <v>12092</v>
      </c>
      <c r="C5" s="67"/>
      <c r="D5" s="67"/>
      <c r="E5" s="67"/>
      <c r="F5" s="67"/>
    </row>
    <row r="6">
      <c r="A6" s="77" t="s">
        <v>12045</v>
      </c>
      <c r="B6" s="78" t="s">
        <v>12093</v>
      </c>
      <c r="C6" s="67"/>
      <c r="D6" s="67"/>
      <c r="E6" s="67"/>
      <c r="F6" s="67"/>
    </row>
    <row r="7">
      <c r="A7" s="67"/>
      <c r="B7" s="67"/>
      <c r="C7" s="67"/>
      <c r="D7" s="76" t="s">
        <v>12087</v>
      </c>
      <c r="E7" s="67"/>
      <c r="F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99" t="s">
        <v>12094</v>
      </c>
      <c r="F8" s="99" t="s">
        <v>12068</v>
      </c>
    </row>
    <row r="9">
      <c r="A9" s="82" t="s">
        <v>12052</v>
      </c>
      <c r="B9" s="83">
        <f t="shared" ref="B9:B12" si="1">SUM(C9:E9)-F9</f>
        <v>15</v>
      </c>
      <c r="C9" s="86">
        <v>15.0</v>
      </c>
      <c r="D9" s="86">
        <v>0.0</v>
      </c>
      <c r="E9" s="86">
        <v>0.0</v>
      </c>
      <c r="F9" s="84">
        <v>0.0</v>
      </c>
    </row>
    <row r="10">
      <c r="A10" s="85" t="s">
        <v>12053</v>
      </c>
      <c r="B10" s="83">
        <f t="shared" si="1"/>
        <v>6</v>
      </c>
      <c r="C10" s="86">
        <v>6.0</v>
      </c>
      <c r="D10" s="84">
        <v>0.0</v>
      </c>
      <c r="E10" s="84"/>
      <c r="F10" s="84">
        <v>0.0</v>
      </c>
    </row>
    <row r="11">
      <c r="A11" s="85" t="s">
        <v>12054</v>
      </c>
      <c r="B11" s="83">
        <f t="shared" si="1"/>
        <v>13</v>
      </c>
      <c r="C11" s="86">
        <v>10.0</v>
      </c>
      <c r="D11" s="86">
        <v>2.0</v>
      </c>
      <c r="E11" s="101">
        <v>1.0</v>
      </c>
      <c r="F11" s="86"/>
    </row>
    <row r="12">
      <c r="A12" s="85" t="s">
        <v>12055</v>
      </c>
      <c r="B12" s="83">
        <f t="shared" si="1"/>
        <v>7</v>
      </c>
      <c r="C12" s="86">
        <v>7.0</v>
      </c>
      <c r="D12" s="86">
        <v>0.0</v>
      </c>
      <c r="E12" s="86"/>
      <c r="F12" s="84">
        <v>0.0</v>
      </c>
    </row>
    <row r="13">
      <c r="A13" s="67"/>
      <c r="B13" s="87"/>
      <c r="C13" s="88"/>
      <c r="D13" s="88"/>
      <c r="E13" s="88"/>
      <c r="F13" s="88"/>
    </row>
    <row r="14">
      <c r="A14" s="67"/>
      <c r="B14" s="89"/>
      <c r="C14" s="88"/>
      <c r="D14" s="88"/>
      <c r="E14" s="88"/>
      <c r="F14" s="88"/>
    </row>
    <row r="15">
      <c r="A15" s="85" t="s">
        <v>12056</v>
      </c>
      <c r="B15" s="90">
        <f t="shared" ref="B15:B18" si="2">SUM(C15:E15)-F15</f>
        <v>7</v>
      </c>
      <c r="C15" s="86">
        <v>7.0</v>
      </c>
      <c r="D15" s="84">
        <v>0.0</v>
      </c>
      <c r="E15" s="84"/>
      <c r="F15" s="84">
        <v>0.0</v>
      </c>
    </row>
    <row r="16">
      <c r="A16" s="91" t="s">
        <v>12057</v>
      </c>
      <c r="B16" s="90">
        <f t="shared" si="2"/>
        <v>9</v>
      </c>
      <c r="C16" s="86">
        <v>9.0</v>
      </c>
      <c r="D16" s="86">
        <v>0.0</v>
      </c>
      <c r="E16" s="86"/>
      <c r="F16" s="84">
        <v>0.0</v>
      </c>
    </row>
    <row r="17">
      <c r="A17" s="91" t="s">
        <v>12058</v>
      </c>
      <c r="B17" s="90">
        <f t="shared" si="2"/>
        <v>2</v>
      </c>
      <c r="C17" s="86">
        <v>4.0</v>
      </c>
      <c r="D17" s="84">
        <v>0.0</v>
      </c>
      <c r="E17" s="86">
        <v>-2.0</v>
      </c>
      <c r="F17" s="84">
        <v>0.0</v>
      </c>
    </row>
    <row r="18">
      <c r="A18" s="92" t="s">
        <v>12059</v>
      </c>
      <c r="B18" s="90">
        <f t="shared" si="2"/>
        <v>2</v>
      </c>
      <c r="C18" s="86">
        <v>1.0</v>
      </c>
      <c r="D18" s="84">
        <v>0.0</v>
      </c>
      <c r="E18" s="86">
        <v>1.0</v>
      </c>
      <c r="F18" s="84">
        <v>0.0</v>
      </c>
    </row>
    <row r="19">
      <c r="A19" s="93" t="s">
        <v>12060</v>
      </c>
      <c r="B19" s="94">
        <f>SUM(B9:B18)</f>
        <v>61</v>
      </c>
      <c r="C19" s="95">
        <v>0.0</v>
      </c>
      <c r="D19" s="96"/>
      <c r="E19" s="96"/>
      <c r="F19" s="97"/>
    </row>
  </sheetData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3.13"/>
    <col customWidth="1" min="5" max="5" width="19.0"/>
    <col customWidth="1" min="6" max="6" width="30.25"/>
    <col customWidth="1" min="7" max="7" width="21.25"/>
  </cols>
  <sheetData>
    <row r="1">
      <c r="A1" s="72" t="s">
        <v>12036</v>
      </c>
      <c r="B1" s="73" t="s">
        <v>12095</v>
      </c>
      <c r="C1" s="67"/>
      <c r="D1" s="67"/>
      <c r="E1" s="67"/>
      <c r="F1" s="67"/>
    </row>
    <row r="2">
      <c r="A2" s="74" t="s">
        <v>12038</v>
      </c>
      <c r="B2" s="75" t="s">
        <v>12096</v>
      </c>
      <c r="C2" s="67"/>
      <c r="D2" s="67"/>
      <c r="E2" s="67"/>
      <c r="F2" s="67"/>
    </row>
    <row r="3">
      <c r="A3" s="74" t="s">
        <v>12040</v>
      </c>
      <c r="B3" s="75" t="s">
        <v>12097</v>
      </c>
      <c r="C3" s="67"/>
      <c r="D3" s="67"/>
      <c r="E3" s="67"/>
      <c r="F3" s="67"/>
    </row>
    <row r="4">
      <c r="A4" s="74" t="s">
        <v>12042</v>
      </c>
      <c r="B4" s="76" t="s">
        <v>12098</v>
      </c>
      <c r="C4" s="67"/>
      <c r="D4" s="67"/>
      <c r="E4" s="67"/>
      <c r="F4" s="67"/>
    </row>
    <row r="5">
      <c r="A5" s="74" t="s">
        <v>12043</v>
      </c>
      <c r="B5" s="76" t="s">
        <v>12099</v>
      </c>
      <c r="C5" s="67"/>
      <c r="D5" s="67"/>
      <c r="E5" s="67"/>
      <c r="F5" s="67"/>
    </row>
    <row r="6">
      <c r="A6" s="77" t="s">
        <v>12045</v>
      </c>
      <c r="B6" s="78" t="s">
        <v>12100</v>
      </c>
      <c r="C6" s="67"/>
      <c r="D6" s="67"/>
      <c r="E6" s="67"/>
      <c r="F6" s="67"/>
    </row>
    <row r="7">
      <c r="A7" s="67"/>
      <c r="B7" s="67"/>
      <c r="C7" s="67"/>
      <c r="D7" s="76"/>
      <c r="E7" s="67"/>
      <c r="F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99" t="s">
        <v>12068</v>
      </c>
      <c r="F8" s="99" t="s">
        <v>12068</v>
      </c>
    </row>
    <row r="9">
      <c r="A9" s="82" t="s">
        <v>12052</v>
      </c>
      <c r="B9" s="83">
        <f t="shared" ref="B9:B12" si="1">SUM(C9:E9)-F9</f>
        <v>5</v>
      </c>
      <c r="C9" s="86">
        <v>5.0</v>
      </c>
      <c r="D9" s="86">
        <v>0.0</v>
      </c>
      <c r="E9" s="86">
        <v>0.0</v>
      </c>
      <c r="F9" s="84">
        <v>0.0</v>
      </c>
    </row>
    <row r="10">
      <c r="A10" s="85" t="s">
        <v>12053</v>
      </c>
      <c r="B10" s="83">
        <f t="shared" si="1"/>
        <v>8</v>
      </c>
      <c r="C10" s="86">
        <v>8.0</v>
      </c>
      <c r="D10" s="84">
        <v>0.0</v>
      </c>
      <c r="E10" s="84"/>
      <c r="F10" s="84">
        <v>0.0</v>
      </c>
    </row>
    <row r="11">
      <c r="A11" s="85" t="s">
        <v>12054</v>
      </c>
      <c r="B11" s="83">
        <f t="shared" si="1"/>
        <v>4</v>
      </c>
      <c r="C11" s="86">
        <v>2.0</v>
      </c>
      <c r="D11" s="86">
        <v>2.0</v>
      </c>
      <c r="E11" s="101">
        <v>0.0</v>
      </c>
      <c r="F11" s="86"/>
    </row>
    <row r="12">
      <c r="A12" s="85" t="s">
        <v>12055</v>
      </c>
      <c r="B12" s="83">
        <f t="shared" si="1"/>
        <v>3</v>
      </c>
      <c r="C12" s="86">
        <v>3.0</v>
      </c>
      <c r="D12" s="86">
        <v>0.0</v>
      </c>
      <c r="E12" s="86"/>
      <c r="F12" s="84">
        <v>0.0</v>
      </c>
    </row>
    <row r="13">
      <c r="A13" s="67"/>
      <c r="B13" s="87"/>
      <c r="C13" s="88"/>
      <c r="D13" s="88"/>
      <c r="E13" s="88"/>
      <c r="F13" s="88"/>
    </row>
    <row r="14">
      <c r="A14" s="67"/>
      <c r="B14" s="89"/>
      <c r="C14" s="88"/>
      <c r="D14" s="88"/>
      <c r="E14" s="88"/>
      <c r="F14" s="88"/>
    </row>
    <row r="15">
      <c r="A15" s="85" t="s">
        <v>12056</v>
      </c>
      <c r="B15" s="90">
        <f t="shared" ref="B15:B18" si="2">SUM(C15:E15)-F15</f>
        <v>4</v>
      </c>
      <c r="C15" s="86">
        <v>4.0</v>
      </c>
      <c r="D15" s="84">
        <v>0.0</v>
      </c>
      <c r="E15" s="84"/>
      <c r="F15" s="84">
        <v>0.0</v>
      </c>
    </row>
    <row r="16">
      <c r="A16" s="91" t="s">
        <v>12057</v>
      </c>
      <c r="B16" s="90">
        <f t="shared" si="2"/>
        <v>9</v>
      </c>
      <c r="C16" s="86">
        <v>9.0</v>
      </c>
      <c r="D16" s="86">
        <v>0.0</v>
      </c>
      <c r="E16" s="86"/>
      <c r="F16" s="84">
        <v>0.0</v>
      </c>
    </row>
    <row r="17">
      <c r="A17" s="91" t="s">
        <v>12058</v>
      </c>
      <c r="B17" s="90">
        <f t="shared" si="2"/>
        <v>0</v>
      </c>
      <c r="C17" s="86">
        <v>0.0</v>
      </c>
      <c r="D17" s="84">
        <v>0.0</v>
      </c>
      <c r="E17" s="84"/>
      <c r="F17" s="84">
        <v>0.0</v>
      </c>
    </row>
    <row r="18">
      <c r="A18" s="92" t="s">
        <v>12059</v>
      </c>
      <c r="B18" s="90">
        <f t="shared" si="2"/>
        <v>1</v>
      </c>
      <c r="C18" s="86">
        <v>1.0</v>
      </c>
      <c r="D18" s="84">
        <v>0.0</v>
      </c>
      <c r="E18" s="84"/>
      <c r="F18" s="84">
        <v>0.0</v>
      </c>
    </row>
    <row r="19">
      <c r="A19" s="93" t="s">
        <v>12060</v>
      </c>
      <c r="B19" s="94">
        <f>SUM(B9:B18)</f>
        <v>34</v>
      </c>
      <c r="C19" s="95">
        <v>0.0</v>
      </c>
      <c r="D19" s="96"/>
      <c r="E19" s="96"/>
      <c r="F19" s="97"/>
    </row>
  </sheetData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12101</v>
      </c>
      <c r="C1" s="67"/>
      <c r="D1" s="67"/>
      <c r="E1" s="67"/>
    </row>
    <row r="2">
      <c r="A2" s="74" t="s">
        <v>12038</v>
      </c>
      <c r="B2" s="75" t="s">
        <v>12102</v>
      </c>
      <c r="C2" s="67"/>
      <c r="D2" s="67"/>
      <c r="E2" s="67"/>
    </row>
    <row r="3">
      <c r="A3" s="74" t="s">
        <v>12040</v>
      </c>
      <c r="B3" s="75" t="s">
        <v>12103</v>
      </c>
      <c r="C3" s="67"/>
      <c r="D3" s="67"/>
      <c r="E3" s="67"/>
    </row>
    <row r="4">
      <c r="A4" s="74" t="s">
        <v>12042</v>
      </c>
      <c r="B4" s="67" t="s">
        <v>12064</v>
      </c>
      <c r="C4" s="67"/>
      <c r="D4" s="67"/>
      <c r="E4" s="67"/>
    </row>
    <row r="5">
      <c r="A5" s="74" t="s">
        <v>12043</v>
      </c>
      <c r="B5" s="67" t="s">
        <v>12065</v>
      </c>
      <c r="C5" s="67"/>
      <c r="D5" s="67"/>
      <c r="E5" s="67"/>
    </row>
    <row r="6">
      <c r="A6" s="77" t="s">
        <v>12045</v>
      </c>
      <c r="B6" s="78" t="s">
        <v>12104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20</v>
      </c>
      <c r="C9" s="86">
        <v>20.0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26</v>
      </c>
      <c r="C10" s="86">
        <v>26.0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14</v>
      </c>
      <c r="C11" s="86">
        <v>14.0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9</v>
      </c>
      <c r="C12" s="86">
        <v>9.0</v>
      </c>
      <c r="D12" s="86">
        <v>0.0</v>
      </c>
      <c r="E12" s="84">
        <v>0.0</v>
      </c>
    </row>
    <row r="13" ht="16.5" customHeight="1">
      <c r="A13" s="67"/>
      <c r="B13" s="87"/>
      <c r="C13" s="88"/>
      <c r="D13" s="88"/>
      <c r="E13" s="88"/>
    </row>
    <row r="14">
      <c r="A14" s="85" t="s">
        <v>12056</v>
      </c>
      <c r="B14" s="90">
        <f t="shared" ref="B14:B17" si="2">SUM(C14:D14)-E14</f>
        <v>15</v>
      </c>
      <c r="C14" s="86">
        <v>15.0</v>
      </c>
      <c r="D14" s="84">
        <v>0.0</v>
      </c>
      <c r="E14" s="84">
        <v>0.0</v>
      </c>
    </row>
    <row r="15">
      <c r="A15" s="91" t="s">
        <v>12057</v>
      </c>
      <c r="B15" s="83">
        <f t="shared" si="2"/>
        <v>20</v>
      </c>
      <c r="C15" s="86">
        <v>20.0</v>
      </c>
      <c r="D15" s="86">
        <v>0.0</v>
      </c>
      <c r="E15" s="84">
        <v>0.0</v>
      </c>
    </row>
    <row r="16">
      <c r="A16" s="91" t="s">
        <v>12058</v>
      </c>
      <c r="B16" s="83">
        <f t="shared" si="2"/>
        <v>3</v>
      </c>
      <c r="C16" s="86">
        <v>3.0</v>
      </c>
      <c r="D16" s="84">
        <v>0.0</v>
      </c>
      <c r="E16" s="84">
        <v>0.0</v>
      </c>
    </row>
    <row r="17">
      <c r="A17" s="92" t="s">
        <v>12059</v>
      </c>
      <c r="B17" s="83">
        <f t="shared" si="2"/>
        <v>0</v>
      </c>
      <c r="C17" s="84">
        <v>0.0</v>
      </c>
      <c r="D17" s="84">
        <v>0.0</v>
      </c>
      <c r="E17" s="84">
        <v>0.0</v>
      </c>
    </row>
    <row r="18">
      <c r="A18" s="102" t="s">
        <v>12069</v>
      </c>
      <c r="B18" s="102" t="s">
        <v>12105</v>
      </c>
      <c r="C18" s="103"/>
      <c r="D18" s="107"/>
      <c r="E18" s="103"/>
      <c r="F18" s="103"/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107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12106</v>
      </c>
      <c r="C1" s="67"/>
      <c r="D1" s="67"/>
      <c r="E1" s="67"/>
    </row>
    <row r="2">
      <c r="A2" s="74" t="s">
        <v>12038</v>
      </c>
      <c r="B2" s="75" t="s">
        <v>12107</v>
      </c>
      <c r="C2" s="67"/>
      <c r="D2" s="67"/>
      <c r="E2" s="67"/>
    </row>
    <row r="3">
      <c r="A3" s="74" t="s">
        <v>12040</v>
      </c>
      <c r="B3" s="75" t="s">
        <v>12108</v>
      </c>
      <c r="C3" s="67"/>
      <c r="D3" s="67"/>
      <c r="E3" s="67"/>
    </row>
    <row r="4">
      <c r="A4" s="74" t="s">
        <v>12042</v>
      </c>
      <c r="B4" s="76" t="s">
        <v>7545</v>
      </c>
      <c r="C4" s="67"/>
      <c r="D4" s="67"/>
      <c r="E4" s="67"/>
    </row>
    <row r="5">
      <c r="A5" s="74" t="s">
        <v>12043</v>
      </c>
      <c r="B5" s="76" t="s">
        <v>12109</v>
      </c>
      <c r="C5" s="67"/>
      <c r="D5" s="67"/>
      <c r="E5" s="67"/>
    </row>
    <row r="6">
      <c r="A6" s="77" t="s">
        <v>12045</v>
      </c>
      <c r="B6" s="78" t="s">
        <v>12110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14</v>
      </c>
      <c r="C9" s="86">
        <v>14.0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18</v>
      </c>
      <c r="C10" s="86">
        <v>18.0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14</v>
      </c>
      <c r="C11" s="86">
        <v>14.0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9</v>
      </c>
      <c r="C12" s="86">
        <v>9.0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5</v>
      </c>
      <c r="C15" s="86">
        <v>5.0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13</v>
      </c>
      <c r="C16" s="86">
        <v>13.0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2</v>
      </c>
      <c r="C17" s="86">
        <v>2.0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75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12111</v>
      </c>
      <c r="C1" s="67"/>
      <c r="D1" s="67"/>
      <c r="E1" s="67"/>
    </row>
    <row r="2">
      <c r="A2" s="74" t="s">
        <v>12038</v>
      </c>
      <c r="B2" s="75" t="s">
        <v>12112</v>
      </c>
      <c r="C2" s="67"/>
      <c r="D2" s="67"/>
      <c r="E2" s="67"/>
    </row>
    <row r="3">
      <c r="A3" s="74" t="s">
        <v>12040</v>
      </c>
      <c r="B3" s="75" t="s">
        <v>12113</v>
      </c>
      <c r="C3" s="67"/>
      <c r="D3" s="67"/>
      <c r="E3" s="67"/>
    </row>
    <row r="4">
      <c r="A4" s="74" t="s">
        <v>12042</v>
      </c>
      <c r="B4" s="76" t="s">
        <v>6862</v>
      </c>
      <c r="C4" s="67"/>
      <c r="D4" s="67"/>
      <c r="E4" s="67"/>
    </row>
    <row r="5">
      <c r="A5" s="74" t="s">
        <v>12043</v>
      </c>
      <c r="B5" s="76" t="s">
        <v>12114</v>
      </c>
      <c r="C5" s="67"/>
      <c r="D5" s="67"/>
      <c r="E5" s="67"/>
    </row>
    <row r="6">
      <c r="A6" s="77" t="s">
        <v>12045</v>
      </c>
      <c r="B6" s="78" t="s">
        <v>12115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13</v>
      </c>
      <c r="C9" s="86">
        <v>12.0</v>
      </c>
      <c r="D9" s="86">
        <v>1.0</v>
      </c>
      <c r="E9" s="84">
        <v>0.0</v>
      </c>
    </row>
    <row r="10">
      <c r="A10" s="85" t="s">
        <v>12053</v>
      </c>
      <c r="B10" s="83">
        <f t="shared" si="1"/>
        <v>17</v>
      </c>
      <c r="C10" s="86">
        <v>17.0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15</v>
      </c>
      <c r="C11" s="86">
        <v>14.0</v>
      </c>
      <c r="D11" s="86">
        <v>1.0</v>
      </c>
      <c r="E11" s="84">
        <v>0.0</v>
      </c>
    </row>
    <row r="12">
      <c r="A12" s="85" t="s">
        <v>12055</v>
      </c>
      <c r="B12" s="83">
        <f t="shared" si="1"/>
        <v>5</v>
      </c>
      <c r="C12" s="86">
        <v>5.0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5</v>
      </c>
      <c r="C15" s="86">
        <v>5.0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5</v>
      </c>
      <c r="C16" s="86">
        <v>5.0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8</v>
      </c>
      <c r="C17" s="86">
        <v>8.0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68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12116</v>
      </c>
      <c r="C1" s="67"/>
      <c r="D1" s="67"/>
      <c r="E1" s="67"/>
    </row>
    <row r="2">
      <c r="A2" s="74" t="s">
        <v>12038</v>
      </c>
      <c r="B2" s="75" t="s">
        <v>12117</v>
      </c>
      <c r="C2" s="67"/>
      <c r="D2" s="67"/>
      <c r="E2" s="67"/>
    </row>
    <row r="3">
      <c r="A3" s="74" t="s">
        <v>12040</v>
      </c>
      <c r="B3" s="75" t="s">
        <v>12073</v>
      </c>
      <c r="C3" s="67"/>
      <c r="D3" s="67"/>
      <c r="E3" s="67"/>
    </row>
    <row r="4">
      <c r="A4" s="74" t="s">
        <v>12042</v>
      </c>
      <c r="B4" s="76" t="s">
        <v>12118</v>
      </c>
      <c r="C4" s="67"/>
      <c r="D4" s="67"/>
      <c r="E4" s="67"/>
    </row>
    <row r="5">
      <c r="A5" s="74" t="s">
        <v>12043</v>
      </c>
      <c r="B5" s="76" t="s">
        <v>12119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54</v>
      </c>
      <c r="C9" s="86">
        <v>50.0</v>
      </c>
      <c r="D9" s="86">
        <v>4.0</v>
      </c>
      <c r="E9" s="84">
        <v>0.0</v>
      </c>
    </row>
    <row r="10">
      <c r="A10" s="85" t="s">
        <v>12053</v>
      </c>
      <c r="B10" s="83">
        <f t="shared" si="1"/>
        <v>13</v>
      </c>
      <c r="C10" s="86">
        <v>13.0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44</v>
      </c>
      <c r="C11" s="86">
        <v>44.0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20</v>
      </c>
      <c r="C12" s="86">
        <v>20.0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24</v>
      </c>
      <c r="C15" s="86">
        <v>24.0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48</v>
      </c>
      <c r="C16" s="86">
        <v>48.0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7</v>
      </c>
      <c r="C17" s="86">
        <v>7.0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210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12120</v>
      </c>
      <c r="C1" s="67"/>
      <c r="D1" s="67"/>
      <c r="E1" s="67"/>
    </row>
    <row r="2">
      <c r="A2" s="74" t="s">
        <v>12038</v>
      </c>
      <c r="B2" s="75" t="s">
        <v>12121</v>
      </c>
      <c r="C2" s="67"/>
      <c r="D2" s="67"/>
      <c r="E2" s="67"/>
    </row>
    <row r="3">
      <c r="A3" s="74" t="s">
        <v>12040</v>
      </c>
      <c r="B3" s="75" t="s">
        <v>12122</v>
      </c>
      <c r="C3" s="67"/>
      <c r="D3" s="67"/>
      <c r="E3" s="67"/>
    </row>
    <row r="4">
      <c r="A4" s="74" t="s">
        <v>12042</v>
      </c>
      <c r="B4" s="76" t="s">
        <v>12123</v>
      </c>
      <c r="C4" s="67"/>
      <c r="D4" s="67"/>
      <c r="E4" s="67"/>
    </row>
    <row r="5">
      <c r="A5" s="74" t="s">
        <v>12043</v>
      </c>
      <c r="B5" s="76" t="s">
        <v>12124</v>
      </c>
      <c r="C5" s="67"/>
      <c r="D5" s="67"/>
      <c r="E5" s="67"/>
    </row>
    <row r="6">
      <c r="A6" s="77" t="s">
        <v>12045</v>
      </c>
      <c r="B6" s="78" t="s">
        <v>12125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15</v>
      </c>
      <c r="C9" s="86">
        <v>10.0</v>
      </c>
      <c r="D9" s="86">
        <v>5.0</v>
      </c>
      <c r="E9" s="84">
        <v>0.0</v>
      </c>
    </row>
    <row r="10">
      <c r="A10" s="85" t="s">
        <v>12053</v>
      </c>
      <c r="B10" s="83">
        <f t="shared" si="1"/>
        <v>7</v>
      </c>
      <c r="C10" s="86">
        <v>7.0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12</v>
      </c>
      <c r="C11" s="86">
        <v>12.0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6</v>
      </c>
      <c r="C12" s="86">
        <v>6.0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0</v>
      </c>
      <c r="C15" s="84">
        <v>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7</v>
      </c>
      <c r="C16" s="86">
        <v>7.0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2</v>
      </c>
      <c r="C17" s="86">
        <v>2.0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49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12116</v>
      </c>
      <c r="C1" s="67"/>
      <c r="D1" s="67"/>
      <c r="E1" s="67"/>
    </row>
    <row r="2">
      <c r="A2" s="74" t="s">
        <v>12038</v>
      </c>
      <c r="B2" s="75" t="s">
        <v>12126</v>
      </c>
      <c r="C2" s="67"/>
      <c r="D2" s="67"/>
      <c r="E2" s="67"/>
    </row>
    <row r="3">
      <c r="A3" s="74" t="s">
        <v>12040</v>
      </c>
      <c r="B3" s="75" t="s">
        <v>12127</v>
      </c>
      <c r="C3" s="67"/>
      <c r="D3" s="67"/>
      <c r="E3" s="67"/>
    </row>
    <row r="4">
      <c r="A4" s="74" t="s">
        <v>12042</v>
      </c>
      <c r="B4" s="76" t="s">
        <v>5409</v>
      </c>
      <c r="C4" s="67"/>
      <c r="D4" s="67"/>
      <c r="E4" s="67"/>
    </row>
    <row r="5">
      <c r="A5" s="74" t="s">
        <v>12043</v>
      </c>
      <c r="B5" s="76" t="s">
        <v>12128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19</v>
      </c>
      <c r="C9" s="86">
        <v>17.0</v>
      </c>
      <c r="D9" s="86">
        <v>2.0</v>
      </c>
      <c r="E9" s="84">
        <v>0.0</v>
      </c>
    </row>
    <row r="10">
      <c r="A10" s="85" t="s">
        <v>12053</v>
      </c>
      <c r="B10" s="83">
        <f t="shared" si="1"/>
        <v>15</v>
      </c>
      <c r="C10" s="86">
        <v>15.0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11</v>
      </c>
      <c r="C11" s="86">
        <v>11.0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5</v>
      </c>
      <c r="C12" s="86">
        <v>5.0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10</v>
      </c>
      <c r="C15" s="86">
        <v>10.0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3</v>
      </c>
      <c r="C16" s="86">
        <v>3.0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7</v>
      </c>
      <c r="C17" s="86">
        <v>7.0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70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12116</v>
      </c>
      <c r="C1" s="67"/>
      <c r="D1" s="67"/>
      <c r="E1" s="67"/>
    </row>
    <row r="2">
      <c r="A2" s="74" t="s">
        <v>12038</v>
      </c>
      <c r="B2" s="75" t="s">
        <v>12129</v>
      </c>
      <c r="C2" s="67"/>
      <c r="D2" s="67"/>
      <c r="E2" s="67"/>
    </row>
    <row r="3">
      <c r="A3" s="74" t="s">
        <v>12040</v>
      </c>
      <c r="B3" s="75" t="s">
        <v>12130</v>
      </c>
      <c r="C3" s="67"/>
      <c r="D3" s="67"/>
      <c r="E3" s="67"/>
    </row>
    <row r="4">
      <c r="A4" s="74" t="s">
        <v>12042</v>
      </c>
      <c r="B4" s="76" t="s">
        <v>12131</v>
      </c>
      <c r="C4" s="67"/>
      <c r="D4" s="67"/>
      <c r="E4" s="67"/>
    </row>
    <row r="5">
      <c r="A5" s="74" t="s">
        <v>12043</v>
      </c>
      <c r="B5" s="76" t="s">
        <v>12132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7</v>
      </c>
      <c r="C9" s="86">
        <v>6.0</v>
      </c>
      <c r="D9" s="86">
        <v>1.0</v>
      </c>
      <c r="E9" s="84">
        <v>0.0</v>
      </c>
    </row>
    <row r="10">
      <c r="A10" s="85" t="s">
        <v>12053</v>
      </c>
      <c r="B10" s="83">
        <f t="shared" si="1"/>
        <v>8</v>
      </c>
      <c r="C10" s="86">
        <v>8.0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7</v>
      </c>
      <c r="C11" s="86">
        <v>7.0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4</v>
      </c>
      <c r="C12" s="86">
        <v>4.0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9</v>
      </c>
      <c r="C15" s="86">
        <v>9.0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14</v>
      </c>
      <c r="C16" s="86">
        <v>14.0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4</v>
      </c>
      <c r="C17" s="86">
        <v>4.0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53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75"/>
    <col customWidth="1" min="5" max="5" width="18.13"/>
    <col customWidth="1" min="6" max="6" width="12.88"/>
  </cols>
  <sheetData>
    <row r="1">
      <c r="A1" s="108"/>
      <c r="B1" s="108"/>
      <c r="C1" s="108"/>
      <c r="D1" s="108"/>
      <c r="E1" s="108"/>
      <c r="F1" s="108"/>
      <c r="G1" s="108"/>
      <c r="H1" s="108"/>
      <c r="I1" s="108"/>
      <c r="J1" s="108"/>
    </row>
    <row r="2">
      <c r="A2" s="109" t="s">
        <v>869</v>
      </c>
      <c r="B2" s="109" t="s">
        <v>869</v>
      </c>
      <c r="C2" s="109" t="s">
        <v>869</v>
      </c>
      <c r="D2" s="109" t="s">
        <v>869</v>
      </c>
      <c r="E2" s="109" t="s">
        <v>869</v>
      </c>
      <c r="F2" s="109" t="s">
        <v>869</v>
      </c>
      <c r="G2" s="109" t="s">
        <v>869</v>
      </c>
      <c r="H2" s="109" t="s">
        <v>869</v>
      </c>
      <c r="I2" s="109" t="s">
        <v>869</v>
      </c>
      <c r="J2" s="109" t="s">
        <v>869</v>
      </c>
    </row>
    <row r="3">
      <c r="A3" s="37"/>
      <c r="B3" s="37"/>
      <c r="C3" s="37"/>
      <c r="D3" s="37"/>
      <c r="E3" s="37"/>
      <c r="F3" s="37"/>
      <c r="G3" s="37"/>
      <c r="H3" s="37"/>
      <c r="I3" s="37"/>
      <c r="J3" s="37"/>
    </row>
    <row r="4">
      <c r="A4" s="37"/>
      <c r="B4" s="37"/>
      <c r="C4" s="37"/>
      <c r="D4" s="37"/>
      <c r="E4" s="37"/>
      <c r="F4" s="37"/>
      <c r="G4" s="37"/>
      <c r="H4" s="37"/>
      <c r="I4" s="37"/>
      <c r="J4" s="37"/>
    </row>
    <row r="5">
      <c r="A5" s="37"/>
      <c r="B5" s="37"/>
      <c r="C5" s="37"/>
      <c r="D5" s="37"/>
      <c r="E5" s="37"/>
      <c r="F5" s="37"/>
      <c r="G5" s="37"/>
      <c r="H5" s="37"/>
      <c r="I5" s="37"/>
      <c r="J5" s="37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12116</v>
      </c>
      <c r="C1" s="67"/>
      <c r="D1" s="67"/>
      <c r="E1" s="67"/>
    </row>
    <row r="2">
      <c r="A2" s="74" t="s">
        <v>12038</v>
      </c>
      <c r="B2" s="75" t="s">
        <v>12133</v>
      </c>
      <c r="C2" s="67"/>
      <c r="D2" s="67"/>
      <c r="E2" s="67"/>
    </row>
    <row r="3">
      <c r="A3" s="74" t="s">
        <v>12040</v>
      </c>
      <c r="B3" s="75" t="s">
        <v>12134</v>
      </c>
      <c r="C3" s="67"/>
      <c r="D3" s="67"/>
      <c r="E3" s="67"/>
    </row>
    <row r="4">
      <c r="A4" s="74" t="s">
        <v>12042</v>
      </c>
      <c r="B4" s="76" t="s">
        <v>12135</v>
      </c>
      <c r="C4" s="67"/>
      <c r="D4" s="67"/>
      <c r="E4" s="67"/>
    </row>
    <row r="5">
      <c r="A5" s="74" t="s">
        <v>12043</v>
      </c>
      <c r="B5" s="76" t="s">
        <v>12136</v>
      </c>
      <c r="C5" s="67"/>
      <c r="D5" s="67"/>
      <c r="E5" s="67"/>
    </row>
    <row r="6">
      <c r="A6" s="77" t="s">
        <v>12045</v>
      </c>
      <c r="B6" s="78" t="s">
        <v>12137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16</v>
      </c>
      <c r="C9" s="86">
        <v>15.0</v>
      </c>
      <c r="D9" s="86">
        <v>1.0</v>
      </c>
      <c r="E9" s="84">
        <v>0.0</v>
      </c>
    </row>
    <row r="10">
      <c r="A10" s="85" t="s">
        <v>12053</v>
      </c>
      <c r="B10" s="83">
        <f t="shared" si="1"/>
        <v>11</v>
      </c>
      <c r="C10" s="86">
        <v>11.0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11</v>
      </c>
      <c r="C11" s="86">
        <v>11.0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3</v>
      </c>
      <c r="C12" s="86">
        <v>3.0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11</v>
      </c>
      <c r="C15" s="86">
        <v>11.0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11</v>
      </c>
      <c r="C16" s="86">
        <v>11.0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1</v>
      </c>
      <c r="C17" s="86">
        <v>1.0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64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12138</v>
      </c>
      <c r="C1" s="67"/>
      <c r="D1" s="67"/>
      <c r="E1" s="67"/>
    </row>
    <row r="2">
      <c r="A2" s="74" t="s">
        <v>12038</v>
      </c>
      <c r="B2" s="75" t="s">
        <v>12139</v>
      </c>
      <c r="C2" s="67"/>
      <c r="D2" s="67"/>
      <c r="E2" s="67"/>
    </row>
    <row r="3">
      <c r="A3" s="74" t="s">
        <v>12040</v>
      </c>
      <c r="B3" s="75" t="s">
        <v>12140</v>
      </c>
      <c r="C3" s="67"/>
      <c r="D3" s="67"/>
      <c r="E3" s="67"/>
    </row>
    <row r="4">
      <c r="A4" s="74" t="s">
        <v>12042</v>
      </c>
      <c r="B4" s="76" t="s">
        <v>3898</v>
      </c>
      <c r="C4" s="67"/>
      <c r="D4" s="67"/>
      <c r="E4" s="67"/>
    </row>
    <row r="5">
      <c r="A5" s="74" t="s">
        <v>12043</v>
      </c>
      <c r="B5" s="76" t="s">
        <v>12141</v>
      </c>
      <c r="C5" s="67"/>
      <c r="D5" s="67"/>
      <c r="E5" s="67"/>
    </row>
    <row r="6">
      <c r="A6" s="77" t="s">
        <v>12045</v>
      </c>
      <c r="B6" s="78" t="s">
        <v>12142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30</v>
      </c>
      <c r="C9" s="86">
        <v>20.0</v>
      </c>
      <c r="D9" s="86">
        <v>10.0</v>
      </c>
      <c r="E9" s="84">
        <v>0.0</v>
      </c>
    </row>
    <row r="10">
      <c r="A10" s="85" t="s">
        <v>12053</v>
      </c>
      <c r="B10" s="83">
        <f t="shared" si="1"/>
        <v>31</v>
      </c>
      <c r="C10" s="86">
        <v>31.0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18</v>
      </c>
      <c r="C11" s="86">
        <v>18.0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18</v>
      </c>
      <c r="C12" s="86">
        <v>18.0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10</v>
      </c>
      <c r="C15" s="86">
        <v>10.0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19</v>
      </c>
      <c r="C16" s="86">
        <v>19.0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2</v>
      </c>
      <c r="C17" s="86">
        <v>2.0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128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82" t="s">
        <v>12052</v>
      </c>
      <c r="F1" s="32">
        <v>14.0</v>
      </c>
    </row>
    <row r="2">
      <c r="A2" s="82" t="s">
        <v>12054</v>
      </c>
      <c r="F2" s="32">
        <v>45.0</v>
      </c>
    </row>
    <row r="4">
      <c r="B4" s="32" t="s">
        <v>12143</v>
      </c>
      <c r="C4" s="32" t="s">
        <v>12144</v>
      </c>
    </row>
    <row r="5">
      <c r="A5" s="32" t="s">
        <v>12145</v>
      </c>
    </row>
    <row r="6">
      <c r="A6" s="32" t="s">
        <v>12146</v>
      </c>
    </row>
    <row r="7">
      <c r="A7" s="32" t="s">
        <v>12147</v>
      </c>
      <c r="B7" s="32">
        <v>5.0</v>
      </c>
      <c r="C7" s="32">
        <v>10.0</v>
      </c>
    </row>
    <row r="8">
      <c r="A8" s="32" t="s">
        <v>12148</v>
      </c>
      <c r="B8" s="32">
        <v>5.0</v>
      </c>
      <c r="C8" s="32">
        <v>10.0</v>
      </c>
    </row>
    <row r="9">
      <c r="A9" s="32" t="s">
        <v>10260</v>
      </c>
      <c r="B9" s="32">
        <v>5.0</v>
      </c>
      <c r="C9" s="32">
        <v>10.0</v>
      </c>
    </row>
    <row r="10">
      <c r="A10" s="32" t="s">
        <v>12149</v>
      </c>
      <c r="B10" s="32">
        <v>5.0</v>
      </c>
      <c r="C10" s="32">
        <v>2.0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12150</v>
      </c>
      <c r="C1" s="67"/>
      <c r="D1" s="67"/>
      <c r="E1" s="67"/>
    </row>
    <row r="2">
      <c r="A2" s="74" t="s">
        <v>12038</v>
      </c>
      <c r="B2" s="75" t="s">
        <v>12151</v>
      </c>
      <c r="C2" s="67"/>
      <c r="D2" s="67"/>
      <c r="E2" s="67"/>
    </row>
    <row r="3">
      <c r="A3" s="74" t="s">
        <v>12040</v>
      </c>
      <c r="B3" s="75" t="s">
        <v>12152</v>
      </c>
      <c r="C3" s="67"/>
      <c r="D3" s="67"/>
      <c r="E3" s="67"/>
    </row>
    <row r="4">
      <c r="A4" s="74" t="s">
        <v>12042</v>
      </c>
      <c r="B4" s="76" t="s">
        <v>7204</v>
      </c>
      <c r="C4" s="67"/>
      <c r="D4" s="67"/>
      <c r="E4" s="67"/>
    </row>
    <row r="5">
      <c r="A5" s="74" t="s">
        <v>12043</v>
      </c>
      <c r="B5" s="76" t="s">
        <v>12153</v>
      </c>
      <c r="C5" s="67"/>
      <c r="D5" s="67"/>
      <c r="E5" s="67"/>
    </row>
    <row r="6">
      <c r="A6" s="77" t="s">
        <v>12045</v>
      </c>
      <c r="B6" s="78" t="s">
        <v>12154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9</v>
      </c>
      <c r="C9" s="86">
        <v>7.0</v>
      </c>
      <c r="D9" s="86">
        <v>2.0</v>
      </c>
      <c r="E9" s="84">
        <v>0.0</v>
      </c>
    </row>
    <row r="10">
      <c r="A10" s="85" t="s">
        <v>12053</v>
      </c>
      <c r="B10" s="83">
        <f t="shared" si="1"/>
        <v>11</v>
      </c>
      <c r="C10" s="86">
        <v>11.0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10</v>
      </c>
      <c r="C11" s="86">
        <v>10.0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4</v>
      </c>
      <c r="C12" s="86">
        <v>4.0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8</v>
      </c>
      <c r="C15" s="86">
        <v>8.0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3</v>
      </c>
      <c r="C16" s="86">
        <v>3.0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2</v>
      </c>
      <c r="C17" s="86">
        <v>2.0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47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6.0"/>
    <col customWidth="1" min="3" max="3" width="22.13"/>
    <col customWidth="1" min="4" max="4" width="19.0"/>
    <col customWidth="1" min="8" max="8" width="64.0"/>
  </cols>
  <sheetData>
    <row r="1">
      <c r="A1" s="20" t="s">
        <v>61</v>
      </c>
      <c r="B1" s="20" t="s">
        <v>12155</v>
      </c>
      <c r="C1" s="20" t="s">
        <v>12156</v>
      </c>
      <c r="D1" s="20" t="s">
        <v>79</v>
      </c>
      <c r="E1" s="20" t="s">
        <v>70</v>
      </c>
      <c r="F1" s="20" t="s">
        <v>62</v>
      </c>
      <c r="G1" s="20" t="s">
        <v>64</v>
      </c>
      <c r="H1" s="20" t="s">
        <v>69</v>
      </c>
    </row>
    <row r="2">
      <c r="A2" s="26">
        <v>45992.0</v>
      </c>
      <c r="B2" s="22" t="s">
        <v>4000</v>
      </c>
      <c r="C2" s="22" t="s">
        <v>4001</v>
      </c>
      <c r="D2" s="22" t="s">
        <v>55</v>
      </c>
      <c r="E2" s="22">
        <v>1.0</v>
      </c>
      <c r="F2" s="22" t="s">
        <v>716</v>
      </c>
      <c r="G2" s="22" t="s">
        <v>718</v>
      </c>
      <c r="H2" s="22" t="s">
        <v>720</v>
      </c>
    </row>
    <row r="3">
      <c r="A3" s="26">
        <v>45992.0</v>
      </c>
      <c r="B3" s="22" t="s">
        <v>4438</v>
      </c>
      <c r="C3" s="22" t="s">
        <v>4439</v>
      </c>
      <c r="D3" s="22" t="s">
        <v>105</v>
      </c>
      <c r="E3" s="22">
        <v>1.0</v>
      </c>
      <c r="F3" s="22" t="s">
        <v>153</v>
      </c>
      <c r="G3" s="22" t="s">
        <v>1080</v>
      </c>
      <c r="H3" s="22" t="s">
        <v>1082</v>
      </c>
    </row>
    <row r="4">
      <c r="A4" s="26">
        <v>45992.0</v>
      </c>
      <c r="B4" s="22" t="s">
        <v>4071</v>
      </c>
      <c r="C4" s="22" t="s">
        <v>4072</v>
      </c>
      <c r="D4" s="22" t="s">
        <v>54</v>
      </c>
      <c r="E4" s="22">
        <v>1.0</v>
      </c>
      <c r="F4" s="22" t="s">
        <v>181</v>
      </c>
      <c r="G4" s="22" t="s">
        <v>760</v>
      </c>
      <c r="H4" s="22" t="s">
        <v>762</v>
      </c>
    </row>
    <row r="5">
      <c r="A5" s="26">
        <v>45992.0</v>
      </c>
      <c r="B5" s="22" t="s">
        <v>4600</v>
      </c>
      <c r="C5" s="22" t="s">
        <v>4601</v>
      </c>
      <c r="D5" s="22" t="s">
        <v>91</v>
      </c>
      <c r="E5" s="22">
        <v>1.0</v>
      </c>
      <c r="F5" s="22" t="s">
        <v>134</v>
      </c>
      <c r="G5" s="22" t="s">
        <v>1226</v>
      </c>
      <c r="H5" s="22" t="s">
        <v>1228</v>
      </c>
    </row>
    <row r="6">
      <c r="A6" s="26">
        <v>45993.0</v>
      </c>
      <c r="B6" s="22" t="s">
        <v>4590</v>
      </c>
      <c r="C6" s="22" t="s">
        <v>4488</v>
      </c>
      <c r="D6" s="22" t="s">
        <v>54</v>
      </c>
      <c r="E6" s="22">
        <v>1.0</v>
      </c>
      <c r="F6" s="22" t="s">
        <v>1117</v>
      </c>
      <c r="G6" s="22" t="s">
        <v>1118</v>
      </c>
      <c r="H6" s="22" t="s">
        <v>762</v>
      </c>
    </row>
    <row r="7">
      <c r="A7" s="26">
        <v>45993.0</v>
      </c>
      <c r="B7" s="22" t="s">
        <v>4641</v>
      </c>
      <c r="C7" s="22" t="s">
        <v>4642</v>
      </c>
      <c r="D7" s="22" t="s">
        <v>127</v>
      </c>
      <c r="E7" s="22">
        <v>1.0</v>
      </c>
      <c r="F7" s="22" t="s">
        <v>134</v>
      </c>
      <c r="G7" s="22" t="s">
        <v>1194</v>
      </c>
      <c r="H7" s="22" t="s">
        <v>1196</v>
      </c>
    </row>
    <row r="8">
      <c r="A8" s="26">
        <v>45993.0</v>
      </c>
      <c r="B8" s="22" t="s">
        <v>4827</v>
      </c>
      <c r="C8" s="22" t="s">
        <v>4828</v>
      </c>
      <c r="D8" s="22" t="s">
        <v>127</v>
      </c>
      <c r="E8" s="22">
        <v>1.0</v>
      </c>
      <c r="F8" s="22" t="s">
        <v>1117</v>
      </c>
      <c r="G8" s="22" t="s">
        <v>1333</v>
      </c>
      <c r="H8" s="22" t="s">
        <v>1196</v>
      </c>
    </row>
    <row r="9">
      <c r="A9" s="26">
        <v>45994.0</v>
      </c>
      <c r="B9" s="22" t="s">
        <v>4830</v>
      </c>
      <c r="C9" s="22" t="s">
        <v>4831</v>
      </c>
      <c r="D9" s="22" t="s">
        <v>91</v>
      </c>
      <c r="E9" s="22">
        <v>1.0</v>
      </c>
      <c r="F9" s="22" t="s">
        <v>196</v>
      </c>
      <c r="G9" s="22" t="s">
        <v>1336</v>
      </c>
      <c r="H9" s="22" t="s">
        <v>1228</v>
      </c>
    </row>
    <row r="10">
      <c r="A10" s="26">
        <v>45994.0</v>
      </c>
      <c r="B10" s="22" t="s">
        <v>3782</v>
      </c>
      <c r="C10" s="22" t="s">
        <v>4953</v>
      </c>
      <c r="D10" s="22" t="s">
        <v>95</v>
      </c>
      <c r="E10" s="22">
        <v>1.0</v>
      </c>
      <c r="F10" s="22" t="s">
        <v>192</v>
      </c>
      <c r="G10" s="22" t="s">
        <v>1425</v>
      </c>
      <c r="H10" s="22" t="s">
        <v>1427</v>
      </c>
    </row>
    <row r="11">
      <c r="A11" s="26">
        <v>45994.0</v>
      </c>
      <c r="B11" s="22" t="s">
        <v>5158</v>
      </c>
      <c r="C11" s="22" t="s">
        <v>4642</v>
      </c>
      <c r="D11" s="22" t="s">
        <v>175</v>
      </c>
      <c r="E11" s="22">
        <v>1.0</v>
      </c>
      <c r="F11" s="22" t="s">
        <v>149</v>
      </c>
      <c r="G11" s="22" t="s">
        <v>1603</v>
      </c>
      <c r="H11" s="22" t="s">
        <v>1605</v>
      </c>
    </row>
    <row r="12">
      <c r="A12" s="26">
        <v>45995.0</v>
      </c>
      <c r="B12" s="22" t="s">
        <v>4619</v>
      </c>
      <c r="C12" s="22" t="s">
        <v>4969</v>
      </c>
      <c r="D12" s="22" t="s">
        <v>95</v>
      </c>
      <c r="E12" s="22">
        <v>1.0</v>
      </c>
      <c r="F12" s="22" t="s">
        <v>192</v>
      </c>
      <c r="G12" s="22" t="s">
        <v>1437</v>
      </c>
      <c r="H12" s="22" t="s">
        <v>1427</v>
      </c>
    </row>
    <row r="13">
      <c r="A13" s="26">
        <v>45995.0</v>
      </c>
      <c r="B13" s="22" t="s">
        <v>4081</v>
      </c>
      <c r="C13" s="22" t="s">
        <v>4990</v>
      </c>
      <c r="D13" s="22" t="s">
        <v>95</v>
      </c>
      <c r="E13" s="22">
        <v>1.0</v>
      </c>
      <c r="F13" s="22" t="s">
        <v>149</v>
      </c>
      <c r="G13" s="22" t="s">
        <v>1452</v>
      </c>
      <c r="H13" s="22" t="s">
        <v>1427</v>
      </c>
    </row>
    <row r="14">
      <c r="A14" s="26">
        <v>45995.0</v>
      </c>
      <c r="B14" s="22" t="s">
        <v>4467</v>
      </c>
      <c r="C14" s="22" t="s">
        <v>4967</v>
      </c>
      <c r="D14" s="22" t="s">
        <v>105</v>
      </c>
      <c r="E14" s="22">
        <v>1.0</v>
      </c>
      <c r="F14" s="22" t="s">
        <v>181</v>
      </c>
      <c r="G14" s="22" t="s">
        <v>1434</v>
      </c>
      <c r="H14" s="22" t="s">
        <v>1082</v>
      </c>
    </row>
    <row r="15">
      <c r="A15" s="26">
        <v>45996.0</v>
      </c>
      <c r="B15" s="22" t="s">
        <v>4964</v>
      </c>
      <c r="C15" s="22" t="s">
        <v>5257</v>
      </c>
      <c r="D15" s="22" t="s">
        <v>55</v>
      </c>
      <c r="E15" s="22">
        <v>1.0</v>
      </c>
      <c r="F15" s="22" t="s">
        <v>153</v>
      </c>
      <c r="G15" s="22" t="s">
        <v>1649</v>
      </c>
      <c r="H15" s="22" t="s">
        <v>720</v>
      </c>
    </row>
    <row r="16">
      <c r="A16" s="26">
        <v>45996.0</v>
      </c>
      <c r="B16" s="22" t="s">
        <v>3825</v>
      </c>
      <c r="C16" s="22" t="s">
        <v>5367</v>
      </c>
      <c r="D16" s="22" t="s">
        <v>95</v>
      </c>
      <c r="E16" s="22">
        <v>1.0</v>
      </c>
      <c r="F16" s="22" t="s">
        <v>153</v>
      </c>
      <c r="G16" s="22" t="s">
        <v>1720</v>
      </c>
      <c r="H16" s="22" t="s">
        <v>1427</v>
      </c>
    </row>
    <row r="17">
      <c r="A17" s="26">
        <v>45996.0</v>
      </c>
      <c r="B17" s="22" t="s">
        <v>5571</v>
      </c>
      <c r="C17" s="22" t="s">
        <v>5572</v>
      </c>
      <c r="D17" s="22" t="s">
        <v>127</v>
      </c>
      <c r="E17" s="22">
        <v>1.0</v>
      </c>
      <c r="F17" s="22" t="s">
        <v>153</v>
      </c>
      <c r="G17" s="22" t="s">
        <v>1854</v>
      </c>
      <c r="H17" s="22" t="s">
        <v>1196</v>
      </c>
    </row>
    <row r="18">
      <c r="A18" s="26">
        <v>45996.0</v>
      </c>
      <c r="B18" s="22" t="s">
        <v>5272</v>
      </c>
      <c r="C18" s="22" t="s">
        <v>6110</v>
      </c>
      <c r="D18" s="22" t="s">
        <v>55</v>
      </c>
      <c r="E18" s="22">
        <v>1.0</v>
      </c>
      <c r="F18" s="22" t="s">
        <v>153</v>
      </c>
      <c r="G18" s="22" t="s">
        <v>2110</v>
      </c>
      <c r="H18" s="22" t="s">
        <v>720</v>
      </c>
    </row>
    <row r="19">
      <c r="A19" s="26">
        <v>45996.0</v>
      </c>
      <c r="B19" s="22" t="s">
        <v>5991</v>
      </c>
      <c r="C19" s="22" t="s">
        <v>3726</v>
      </c>
      <c r="D19" s="22" t="s">
        <v>95</v>
      </c>
      <c r="E19" s="22">
        <v>1.0</v>
      </c>
      <c r="F19" s="22" t="s">
        <v>153</v>
      </c>
      <c r="G19" s="22" t="s">
        <v>2094</v>
      </c>
      <c r="H19" s="22" t="s">
        <v>1427</v>
      </c>
    </row>
    <row r="20">
      <c r="A20" s="26">
        <v>45996.0</v>
      </c>
      <c r="B20" s="22" t="s">
        <v>6076</v>
      </c>
      <c r="C20" s="22" t="s">
        <v>6077</v>
      </c>
      <c r="D20" s="22" t="s">
        <v>91</v>
      </c>
      <c r="E20" s="22">
        <v>1.0</v>
      </c>
      <c r="F20" s="22" t="s">
        <v>134</v>
      </c>
      <c r="G20" s="22" t="s">
        <v>2146</v>
      </c>
      <c r="H20" s="22" t="s">
        <v>1228</v>
      </c>
    </row>
    <row r="21">
      <c r="A21" s="26">
        <v>45996.0</v>
      </c>
      <c r="B21" s="22" t="s">
        <v>3674</v>
      </c>
      <c r="C21" s="22" t="s">
        <v>3693</v>
      </c>
      <c r="D21" s="22" t="s">
        <v>175</v>
      </c>
      <c r="E21" s="22">
        <v>1.0</v>
      </c>
      <c r="F21" s="22" t="s">
        <v>2155</v>
      </c>
      <c r="G21" s="22" t="s">
        <v>2156</v>
      </c>
      <c r="H21" s="22" t="s">
        <v>1605</v>
      </c>
    </row>
    <row r="22">
      <c r="A22" s="26">
        <v>45996.0</v>
      </c>
      <c r="B22" s="22" t="s">
        <v>4964</v>
      </c>
      <c r="C22" s="22" t="s">
        <v>5257</v>
      </c>
      <c r="D22" s="22" t="s">
        <v>54</v>
      </c>
      <c r="E22" s="22">
        <v>1.0</v>
      </c>
      <c r="F22" s="22" t="s">
        <v>153</v>
      </c>
      <c r="G22" s="22" t="s">
        <v>2287</v>
      </c>
      <c r="H22" s="22" t="s">
        <v>762</v>
      </c>
    </row>
    <row r="23">
      <c r="A23" s="26">
        <v>45996.0</v>
      </c>
      <c r="B23" s="22" t="s">
        <v>6368</v>
      </c>
      <c r="C23" s="22" t="s">
        <v>6369</v>
      </c>
      <c r="D23" s="22" t="s">
        <v>91</v>
      </c>
      <c r="E23" s="22">
        <v>1.0</v>
      </c>
      <c r="F23" s="22" t="s">
        <v>196</v>
      </c>
      <c r="G23" s="22" t="s">
        <v>2328</v>
      </c>
      <c r="H23" s="22" t="s">
        <v>1228</v>
      </c>
    </row>
    <row r="24">
      <c r="A24" s="26">
        <v>45996.0</v>
      </c>
      <c r="B24" s="22" t="s">
        <v>4479</v>
      </c>
      <c r="C24" s="22" t="s">
        <v>6374</v>
      </c>
      <c r="D24" s="22" t="s">
        <v>95</v>
      </c>
      <c r="E24" s="22">
        <v>1.0</v>
      </c>
      <c r="F24" s="22" t="s">
        <v>153</v>
      </c>
      <c r="G24" s="22" t="s">
        <v>2334</v>
      </c>
      <c r="H24" s="22" t="s">
        <v>1427</v>
      </c>
    </row>
    <row r="25">
      <c r="A25" s="26">
        <v>45996.0</v>
      </c>
      <c r="B25" s="22" t="s">
        <v>5574</v>
      </c>
      <c r="C25" s="22" t="s">
        <v>6465</v>
      </c>
      <c r="D25" s="22" t="s">
        <v>105</v>
      </c>
      <c r="E25" s="22">
        <v>1.0</v>
      </c>
      <c r="F25" s="22" t="s">
        <v>149</v>
      </c>
      <c r="G25" s="22" t="s">
        <v>2383</v>
      </c>
      <c r="H25" s="22" t="s">
        <v>1082</v>
      </c>
    </row>
    <row r="26">
      <c r="A26" s="26">
        <v>45996.0</v>
      </c>
      <c r="B26" s="22" t="s">
        <v>5574</v>
      </c>
      <c r="C26" s="22" t="s">
        <v>6465</v>
      </c>
      <c r="D26" s="22" t="s">
        <v>175</v>
      </c>
      <c r="E26" s="22">
        <v>1.0</v>
      </c>
      <c r="F26" s="22" t="s">
        <v>149</v>
      </c>
      <c r="G26" s="22" t="s">
        <v>2383</v>
      </c>
      <c r="H26" s="22" t="s">
        <v>1605</v>
      </c>
    </row>
    <row r="27">
      <c r="A27" s="26">
        <v>45997.0</v>
      </c>
      <c r="B27" s="22" t="s">
        <v>6493</v>
      </c>
      <c r="C27" s="22" t="s">
        <v>6494</v>
      </c>
      <c r="D27" s="22" t="s">
        <v>105</v>
      </c>
      <c r="E27" s="22">
        <v>1.0</v>
      </c>
      <c r="F27" s="22" t="s">
        <v>153</v>
      </c>
      <c r="G27" s="22" t="s">
        <v>2401</v>
      </c>
      <c r="H27" s="22" t="s">
        <v>1082</v>
      </c>
    </row>
    <row r="28">
      <c r="A28" s="26">
        <v>45997.0</v>
      </c>
      <c r="B28" s="22" t="s">
        <v>6790</v>
      </c>
      <c r="C28" s="22" t="s">
        <v>6791</v>
      </c>
      <c r="D28" s="22" t="s">
        <v>91</v>
      </c>
      <c r="E28" s="22">
        <v>1.0</v>
      </c>
      <c r="F28" s="22" t="s">
        <v>196</v>
      </c>
      <c r="G28" s="22" t="s">
        <v>2561</v>
      </c>
      <c r="H28" s="22" t="s">
        <v>1228</v>
      </c>
    </row>
    <row r="29">
      <c r="A29" s="26">
        <v>45997.0</v>
      </c>
      <c r="B29" s="22" t="s">
        <v>6712</v>
      </c>
      <c r="C29" s="22" t="s">
        <v>6713</v>
      </c>
      <c r="D29" s="22" t="s">
        <v>55</v>
      </c>
      <c r="E29" s="22">
        <v>1.0</v>
      </c>
      <c r="F29" s="22" t="s">
        <v>716</v>
      </c>
      <c r="G29" s="22" t="s">
        <v>2522</v>
      </c>
      <c r="H29" s="22" t="s">
        <v>720</v>
      </c>
    </row>
    <row r="30">
      <c r="A30" s="26">
        <v>45997.0</v>
      </c>
      <c r="B30" s="22" t="s">
        <v>6895</v>
      </c>
      <c r="C30" s="22" t="s">
        <v>6896</v>
      </c>
      <c r="D30" s="22" t="s">
        <v>105</v>
      </c>
      <c r="E30" s="22">
        <v>1.0</v>
      </c>
      <c r="F30" s="22" t="s">
        <v>149</v>
      </c>
      <c r="G30" s="22" t="s">
        <v>2609</v>
      </c>
      <c r="H30" s="22" t="s">
        <v>1082</v>
      </c>
    </row>
    <row r="31">
      <c r="A31" s="26">
        <v>45997.0</v>
      </c>
      <c r="B31" s="22" t="s">
        <v>5064</v>
      </c>
      <c r="C31" s="22" t="s">
        <v>6970</v>
      </c>
      <c r="D31" s="22" t="s">
        <v>127</v>
      </c>
      <c r="E31" s="22">
        <v>1.0</v>
      </c>
      <c r="F31" s="22" t="s">
        <v>153</v>
      </c>
      <c r="G31" s="22" t="s">
        <v>2668</v>
      </c>
      <c r="H31" s="22" t="s">
        <v>1196</v>
      </c>
    </row>
    <row r="32">
      <c r="A32" s="26">
        <v>45997.0</v>
      </c>
      <c r="B32" s="22" t="s">
        <v>5757</v>
      </c>
      <c r="C32" s="22" t="s">
        <v>6880</v>
      </c>
      <c r="D32" s="22" t="s">
        <v>91</v>
      </c>
      <c r="E32" s="22">
        <v>1.0</v>
      </c>
      <c r="F32" s="22" t="s">
        <v>153</v>
      </c>
      <c r="G32" s="22" t="s">
        <v>2610</v>
      </c>
      <c r="H32" s="22" t="s">
        <v>1228</v>
      </c>
    </row>
    <row r="33">
      <c r="A33" s="26">
        <v>45997.0</v>
      </c>
      <c r="B33" s="22" t="s">
        <v>5754</v>
      </c>
      <c r="C33" s="22" t="s">
        <v>6909</v>
      </c>
      <c r="D33" s="22" t="s">
        <v>95</v>
      </c>
      <c r="E33" s="22">
        <v>1.0</v>
      </c>
      <c r="F33" s="22" t="s">
        <v>266</v>
      </c>
      <c r="G33" s="22" t="s">
        <v>2629</v>
      </c>
      <c r="H33" s="22" t="s">
        <v>1427</v>
      </c>
    </row>
    <row r="34">
      <c r="A34" s="26">
        <v>45997.0</v>
      </c>
      <c r="B34" s="22" t="s">
        <v>4495</v>
      </c>
      <c r="C34" s="22" t="s">
        <v>6968</v>
      </c>
      <c r="D34" s="22" t="s">
        <v>55</v>
      </c>
      <c r="E34" s="22">
        <v>1.0</v>
      </c>
      <c r="F34" s="22" t="s">
        <v>192</v>
      </c>
      <c r="G34" s="22" t="s">
        <v>2665</v>
      </c>
      <c r="H34" s="22" t="s">
        <v>720</v>
      </c>
    </row>
    <row r="35">
      <c r="A35" s="26">
        <v>45997.0</v>
      </c>
      <c r="B35" s="22" t="s">
        <v>3825</v>
      </c>
      <c r="C35" s="22" t="s">
        <v>3735</v>
      </c>
      <c r="D35" s="22" t="s">
        <v>95</v>
      </c>
      <c r="E35" s="22">
        <v>1.0</v>
      </c>
      <c r="F35" s="22" t="s">
        <v>153</v>
      </c>
      <c r="G35" s="22" t="s">
        <v>2836</v>
      </c>
      <c r="H35" s="22" t="s">
        <v>1427</v>
      </c>
    </row>
    <row r="36">
      <c r="A36" s="26">
        <v>45998.0</v>
      </c>
      <c r="B36" s="22" t="s">
        <v>6557</v>
      </c>
      <c r="C36" s="22" t="s">
        <v>7504</v>
      </c>
      <c r="D36" s="22" t="s">
        <v>127</v>
      </c>
      <c r="E36" s="22">
        <v>1.0</v>
      </c>
      <c r="F36" s="22" t="s">
        <v>153</v>
      </c>
      <c r="G36" s="22" t="s">
        <v>2929</v>
      </c>
      <c r="H36" s="22" t="s">
        <v>1196</v>
      </c>
    </row>
    <row r="37">
      <c r="A37" s="26">
        <v>45998.0</v>
      </c>
      <c r="B37" s="22" t="s">
        <v>7517</v>
      </c>
      <c r="C37" s="22" t="s">
        <v>7518</v>
      </c>
      <c r="D37" s="22" t="s">
        <v>54</v>
      </c>
      <c r="E37" s="22">
        <v>1.0</v>
      </c>
      <c r="F37" s="22" t="s">
        <v>134</v>
      </c>
      <c r="G37" s="22" t="s">
        <v>2939</v>
      </c>
      <c r="H37" s="22" t="s">
        <v>762</v>
      </c>
    </row>
    <row r="38">
      <c r="A38" s="26">
        <v>45998.0</v>
      </c>
      <c r="B38" s="22" t="s">
        <v>3811</v>
      </c>
      <c r="C38" s="22" t="s">
        <v>7641</v>
      </c>
      <c r="D38" s="22" t="s">
        <v>55</v>
      </c>
      <c r="E38" s="22">
        <v>1.0</v>
      </c>
      <c r="F38" s="22" t="s">
        <v>3025</v>
      </c>
      <c r="G38" s="22" t="s">
        <v>3026</v>
      </c>
      <c r="H38" s="22" t="s">
        <v>720</v>
      </c>
    </row>
    <row r="39">
      <c r="A39" s="26">
        <v>45998.0</v>
      </c>
      <c r="B39" s="22" t="s">
        <v>4074</v>
      </c>
      <c r="C39" s="22" t="s">
        <v>12157</v>
      </c>
      <c r="D39" s="22" t="s">
        <v>91</v>
      </c>
      <c r="E39" s="22">
        <v>1.0</v>
      </c>
      <c r="F39" s="22" t="s">
        <v>153</v>
      </c>
      <c r="G39" s="22" t="s">
        <v>3175</v>
      </c>
      <c r="H39" s="22" t="s">
        <v>1228</v>
      </c>
    </row>
    <row r="40">
      <c r="A40" s="26">
        <v>45998.0</v>
      </c>
      <c r="B40" s="22" t="s">
        <v>4234</v>
      </c>
      <c r="C40" s="22" t="s">
        <v>12158</v>
      </c>
      <c r="D40" s="22" t="s">
        <v>91</v>
      </c>
      <c r="E40" s="22">
        <v>1.0</v>
      </c>
      <c r="F40" s="22" t="s">
        <v>134</v>
      </c>
      <c r="G40" s="22" t="s">
        <v>3179</v>
      </c>
      <c r="H40" s="22" t="s">
        <v>1228</v>
      </c>
    </row>
    <row r="41">
      <c r="A41" s="26">
        <v>45998.0</v>
      </c>
      <c r="B41" s="22" t="s">
        <v>12159</v>
      </c>
      <c r="C41" s="22" t="s">
        <v>12160</v>
      </c>
      <c r="D41" s="22" t="s">
        <v>105</v>
      </c>
      <c r="E41" s="22">
        <v>1.0</v>
      </c>
      <c r="F41" s="22" t="s">
        <v>3025</v>
      </c>
      <c r="G41" s="22" t="s">
        <v>12161</v>
      </c>
      <c r="H41" s="22" t="s">
        <v>1082</v>
      </c>
    </row>
    <row r="42">
      <c r="A42" s="26">
        <v>45998.0</v>
      </c>
      <c r="B42" s="22" t="s">
        <v>4125</v>
      </c>
      <c r="C42" s="22" t="s">
        <v>12162</v>
      </c>
      <c r="D42" s="22" t="s">
        <v>91</v>
      </c>
      <c r="E42" s="22">
        <v>1.0</v>
      </c>
      <c r="F42" s="22" t="s">
        <v>153</v>
      </c>
      <c r="G42" s="22" t="s">
        <v>12163</v>
      </c>
      <c r="H42" s="22" t="s">
        <v>1228</v>
      </c>
    </row>
    <row r="43">
      <c r="A43" s="26">
        <v>45998.0</v>
      </c>
      <c r="B43" s="22" t="s">
        <v>4271</v>
      </c>
      <c r="C43" s="22" t="s">
        <v>12164</v>
      </c>
      <c r="D43" s="22" t="s">
        <v>91</v>
      </c>
      <c r="E43" s="22">
        <v>1.0</v>
      </c>
      <c r="F43" s="22" t="s">
        <v>716</v>
      </c>
      <c r="G43" s="22" t="s">
        <v>12165</v>
      </c>
      <c r="H43" s="22" t="s">
        <v>1228</v>
      </c>
    </row>
    <row r="44">
      <c r="A44" s="26">
        <v>45998.0</v>
      </c>
      <c r="B44" s="22" t="s">
        <v>3752</v>
      </c>
      <c r="C44" s="22" t="s">
        <v>11204</v>
      </c>
      <c r="D44" s="22" t="s">
        <v>91</v>
      </c>
      <c r="E44" s="22">
        <v>1.0</v>
      </c>
      <c r="F44" s="22" t="s">
        <v>153</v>
      </c>
      <c r="G44" s="22" t="s">
        <v>12166</v>
      </c>
      <c r="H44" s="22" t="s">
        <v>1228</v>
      </c>
    </row>
  </sheetData>
  <autoFilter ref="$A$1:$A$993">
    <sortState ref="A1:A993">
      <sortCondition ref="A1:A993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12167</v>
      </c>
      <c r="C1" s="67"/>
      <c r="D1" s="67"/>
      <c r="E1" s="67"/>
    </row>
    <row r="2">
      <c r="A2" s="74" t="s">
        <v>12038</v>
      </c>
      <c r="B2" s="75" t="s">
        <v>12168</v>
      </c>
      <c r="C2" s="67"/>
      <c r="D2" s="67"/>
      <c r="E2" s="67"/>
    </row>
    <row r="3">
      <c r="A3" s="74" t="s">
        <v>12040</v>
      </c>
      <c r="B3" s="75" t="s">
        <v>12169</v>
      </c>
      <c r="C3" s="67"/>
      <c r="D3" s="67"/>
      <c r="E3" s="67"/>
    </row>
    <row r="4">
      <c r="A4" s="74" t="s">
        <v>12042</v>
      </c>
      <c r="B4" s="76" t="s">
        <v>12170</v>
      </c>
      <c r="C4" s="67"/>
      <c r="D4" s="67"/>
      <c r="E4" s="67"/>
    </row>
    <row r="5">
      <c r="A5" s="74" t="s">
        <v>12043</v>
      </c>
      <c r="B5" s="76" t="s">
        <v>12171</v>
      </c>
      <c r="C5" s="67"/>
      <c r="D5" s="67"/>
      <c r="E5" s="67"/>
    </row>
    <row r="6">
      <c r="A6" s="77" t="s">
        <v>12045</v>
      </c>
      <c r="B6" s="78" t="s">
        <v>12172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37</v>
      </c>
      <c r="C9" s="86">
        <v>27.0</v>
      </c>
      <c r="D9" s="86">
        <v>10.0</v>
      </c>
      <c r="E9" s="84">
        <v>0.0</v>
      </c>
    </row>
    <row r="10">
      <c r="A10" s="85" t="s">
        <v>12053</v>
      </c>
      <c r="B10" s="83">
        <f t="shared" si="1"/>
        <v>29</v>
      </c>
      <c r="C10" s="86">
        <v>29.0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27</v>
      </c>
      <c r="C11" s="86">
        <v>27.0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12</v>
      </c>
      <c r="C12" s="86">
        <v>12.0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23</v>
      </c>
      <c r="C15" s="86">
        <v>23.0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31</v>
      </c>
      <c r="C16" s="86">
        <v>31.0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14</v>
      </c>
      <c r="C17" s="86">
        <v>14.0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1</v>
      </c>
      <c r="C18" s="86">
        <v>1.0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174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12173</v>
      </c>
      <c r="C1" s="67"/>
      <c r="D1" s="67"/>
      <c r="E1" s="67"/>
    </row>
    <row r="2">
      <c r="A2" s="74" t="s">
        <v>12038</v>
      </c>
      <c r="B2" s="75" t="s">
        <v>12174</v>
      </c>
      <c r="C2" s="67"/>
      <c r="D2" s="67"/>
      <c r="E2" s="67"/>
    </row>
    <row r="3">
      <c r="A3" s="74" t="s">
        <v>12040</v>
      </c>
      <c r="B3" s="75" t="s">
        <v>12175</v>
      </c>
      <c r="C3" s="67"/>
      <c r="D3" s="67"/>
      <c r="E3" s="67"/>
    </row>
    <row r="4">
      <c r="A4" s="74" t="s">
        <v>12042</v>
      </c>
      <c r="B4" s="76" t="s">
        <v>3967</v>
      </c>
      <c r="C4" s="67"/>
      <c r="D4" s="67"/>
      <c r="E4" s="67"/>
    </row>
    <row r="5">
      <c r="A5" s="74" t="s">
        <v>12043</v>
      </c>
      <c r="B5" s="76" t="s">
        <v>12176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17</v>
      </c>
      <c r="C9" s="86">
        <v>12.0</v>
      </c>
      <c r="D9" s="86">
        <v>5.0</v>
      </c>
      <c r="E9" s="84">
        <v>0.0</v>
      </c>
    </row>
    <row r="10">
      <c r="A10" s="85" t="s">
        <v>12053</v>
      </c>
      <c r="B10" s="83">
        <f t="shared" si="1"/>
        <v>13</v>
      </c>
      <c r="C10" s="86">
        <v>13.0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15</v>
      </c>
      <c r="C11" s="86">
        <v>15.0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8</v>
      </c>
      <c r="C12" s="86">
        <v>8.0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16</v>
      </c>
      <c r="C15" s="86">
        <v>16.0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9</v>
      </c>
      <c r="C16" s="86">
        <v>9.0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1</v>
      </c>
      <c r="C17" s="86">
        <v>1.0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2</v>
      </c>
      <c r="C18" s="86">
        <v>2.0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81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12177</v>
      </c>
      <c r="C1" s="67"/>
      <c r="D1" s="67"/>
      <c r="E1" s="67"/>
    </row>
    <row r="2">
      <c r="A2" s="74" t="s">
        <v>12038</v>
      </c>
      <c r="B2" s="75" t="s">
        <v>12178</v>
      </c>
      <c r="C2" s="67"/>
      <c r="D2" s="67"/>
      <c r="E2" s="67"/>
    </row>
    <row r="3">
      <c r="A3" s="74" t="s">
        <v>12040</v>
      </c>
      <c r="B3" s="75" t="s">
        <v>12179</v>
      </c>
      <c r="C3" s="67"/>
      <c r="D3" s="67"/>
      <c r="E3" s="67"/>
    </row>
    <row r="4">
      <c r="A4" s="74" t="s">
        <v>12042</v>
      </c>
      <c r="B4" s="76" t="s">
        <v>12180</v>
      </c>
      <c r="C4" s="67"/>
      <c r="D4" s="67"/>
      <c r="E4" s="67"/>
    </row>
    <row r="5">
      <c r="A5" s="74" t="s">
        <v>12043</v>
      </c>
      <c r="B5" s="76" t="s">
        <v>12181</v>
      </c>
      <c r="C5" s="67"/>
      <c r="D5" s="67"/>
      <c r="E5" s="67"/>
    </row>
    <row r="6">
      <c r="A6" s="77" t="s">
        <v>12045</v>
      </c>
      <c r="B6" s="78" t="s">
        <v>12182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30</v>
      </c>
      <c r="C9" s="86">
        <v>20.0</v>
      </c>
      <c r="D9" s="86">
        <v>10.0</v>
      </c>
      <c r="E9" s="84">
        <v>0.0</v>
      </c>
    </row>
    <row r="10">
      <c r="A10" s="85" t="s">
        <v>12053</v>
      </c>
      <c r="B10" s="83">
        <f t="shared" si="1"/>
        <v>28</v>
      </c>
      <c r="C10" s="86">
        <v>28.0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20</v>
      </c>
      <c r="C11" s="86">
        <v>20.0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30</v>
      </c>
      <c r="C12" s="86">
        <v>30.0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19</v>
      </c>
      <c r="C15" s="86">
        <v>19.0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30</v>
      </c>
      <c r="C16" s="86">
        <v>30.0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7</v>
      </c>
      <c r="C17" s="86">
        <v>7.0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1</v>
      </c>
      <c r="C18" s="86">
        <v>1.0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165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12183</v>
      </c>
      <c r="C1" s="67"/>
      <c r="D1" s="67"/>
      <c r="E1" s="67"/>
    </row>
    <row r="2">
      <c r="A2" s="74" t="s">
        <v>12038</v>
      </c>
      <c r="B2" s="75" t="s">
        <v>12184</v>
      </c>
      <c r="C2" s="67"/>
      <c r="D2" s="67"/>
      <c r="E2" s="67"/>
    </row>
    <row r="3">
      <c r="A3" s="74" t="s">
        <v>12040</v>
      </c>
      <c r="B3" s="75" t="s">
        <v>12185</v>
      </c>
      <c r="C3" s="67"/>
      <c r="D3" s="67"/>
      <c r="E3" s="67"/>
    </row>
    <row r="4">
      <c r="A4" s="74" t="s">
        <v>12042</v>
      </c>
      <c r="B4" s="76" t="s">
        <v>12186</v>
      </c>
      <c r="C4" s="67"/>
      <c r="D4" s="67"/>
      <c r="E4" s="67"/>
    </row>
    <row r="5">
      <c r="A5" s="74" t="s">
        <v>12043</v>
      </c>
      <c r="B5" s="76" t="s">
        <v>12187</v>
      </c>
      <c r="C5" s="67"/>
      <c r="D5" s="67"/>
      <c r="E5" s="67"/>
    </row>
    <row r="6">
      <c r="A6" s="77" t="s">
        <v>12045</v>
      </c>
      <c r="B6" s="78" t="s">
        <v>12188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12</v>
      </c>
      <c r="C9" s="86">
        <v>10.0</v>
      </c>
      <c r="D9" s="86">
        <v>2.0</v>
      </c>
      <c r="E9" s="84">
        <v>0.0</v>
      </c>
    </row>
    <row r="10">
      <c r="A10" s="85" t="s">
        <v>12053</v>
      </c>
      <c r="B10" s="83">
        <f t="shared" si="1"/>
        <v>13</v>
      </c>
      <c r="C10" s="86">
        <v>13.0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10</v>
      </c>
      <c r="C11" s="86">
        <v>10.0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4</v>
      </c>
      <c r="C12" s="86">
        <v>4.0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16</v>
      </c>
      <c r="C15" s="86">
        <v>16.0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8</v>
      </c>
      <c r="C16" s="86">
        <v>8.0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3</v>
      </c>
      <c r="C17" s="86">
        <v>3.0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66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12189</v>
      </c>
      <c r="C1" s="67"/>
      <c r="D1" s="67"/>
      <c r="E1" s="67"/>
    </row>
    <row r="2">
      <c r="A2" s="74" t="s">
        <v>12038</v>
      </c>
      <c r="B2" s="75" t="s">
        <v>12190</v>
      </c>
      <c r="C2" s="67"/>
      <c r="D2" s="67"/>
      <c r="E2" s="67"/>
    </row>
    <row r="3">
      <c r="A3" s="74" t="s">
        <v>12040</v>
      </c>
      <c r="B3" s="75" t="s">
        <v>12191</v>
      </c>
      <c r="C3" s="67"/>
      <c r="D3" s="67"/>
      <c r="E3" s="67"/>
    </row>
    <row r="4">
      <c r="A4" s="74" t="s">
        <v>12042</v>
      </c>
      <c r="B4" s="76" t="s">
        <v>12192</v>
      </c>
      <c r="C4" s="67"/>
      <c r="D4" s="67"/>
      <c r="E4" s="67"/>
    </row>
    <row r="5">
      <c r="A5" s="74" t="s">
        <v>12043</v>
      </c>
      <c r="B5" s="76" t="s">
        <v>12193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12</v>
      </c>
      <c r="C9" s="86">
        <v>12.0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8</v>
      </c>
      <c r="C10" s="86">
        <v>8.0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17</v>
      </c>
      <c r="C11" s="86">
        <v>13.0</v>
      </c>
      <c r="D11" s="86">
        <v>4.0</v>
      </c>
      <c r="E11" s="84">
        <v>0.0</v>
      </c>
    </row>
    <row r="12">
      <c r="A12" s="85" t="s">
        <v>12055</v>
      </c>
      <c r="B12" s="83">
        <f t="shared" si="1"/>
        <v>6</v>
      </c>
      <c r="C12" s="86">
        <v>6.0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4</v>
      </c>
      <c r="C15" s="86">
        <v>4.0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2</v>
      </c>
      <c r="C16" s="86">
        <v>2.0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1</v>
      </c>
      <c r="C17" s="86">
        <v>1.0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50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12189</v>
      </c>
      <c r="C1" s="67"/>
      <c r="D1" s="67"/>
      <c r="E1" s="67"/>
    </row>
    <row r="2">
      <c r="A2" s="74" t="s">
        <v>12038</v>
      </c>
      <c r="B2" s="75" t="s">
        <v>12194</v>
      </c>
      <c r="C2" s="67"/>
      <c r="D2" s="67"/>
      <c r="E2" s="67"/>
    </row>
    <row r="3">
      <c r="A3" s="74" t="s">
        <v>12040</v>
      </c>
      <c r="B3" s="75" t="s">
        <v>12195</v>
      </c>
      <c r="C3" s="67"/>
      <c r="D3" s="67"/>
      <c r="E3" s="67"/>
    </row>
    <row r="4">
      <c r="A4" s="74" t="s">
        <v>12042</v>
      </c>
      <c r="B4" s="76" t="s">
        <v>3698</v>
      </c>
      <c r="C4" s="67"/>
      <c r="D4" s="67"/>
      <c r="E4" s="67"/>
    </row>
    <row r="5">
      <c r="A5" s="74" t="s">
        <v>12043</v>
      </c>
      <c r="B5" s="76" t="s">
        <v>12196</v>
      </c>
      <c r="C5" s="67"/>
      <c r="D5" s="67"/>
      <c r="E5" s="67"/>
    </row>
    <row r="6">
      <c r="A6" s="77" t="s">
        <v>12045</v>
      </c>
      <c r="B6" s="78" t="s">
        <v>12197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4</v>
      </c>
      <c r="C9" s="86">
        <v>4.0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6</v>
      </c>
      <c r="C10" s="86">
        <v>6.0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16</v>
      </c>
      <c r="C11" s="86">
        <v>6.0</v>
      </c>
      <c r="D11" s="86">
        <v>10.0</v>
      </c>
      <c r="E11" s="84">
        <v>0.0</v>
      </c>
    </row>
    <row r="12">
      <c r="A12" s="85" t="s">
        <v>12055</v>
      </c>
      <c r="B12" s="83">
        <f t="shared" si="1"/>
        <v>8</v>
      </c>
      <c r="C12" s="86">
        <v>8.0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6</v>
      </c>
      <c r="C15" s="86">
        <v>6.0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5</v>
      </c>
      <c r="C16" s="86">
        <v>5.0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3</v>
      </c>
      <c r="C17" s="86">
        <v>3.0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6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48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12198</v>
      </c>
      <c r="C1" s="67"/>
      <c r="D1" s="67"/>
      <c r="E1" s="67"/>
    </row>
    <row r="2">
      <c r="A2" s="74" t="s">
        <v>12038</v>
      </c>
      <c r="B2" s="110" t="s">
        <v>12199</v>
      </c>
      <c r="C2" s="67"/>
      <c r="D2" s="67"/>
      <c r="E2" s="67"/>
    </row>
    <row r="3">
      <c r="A3" s="74" t="s">
        <v>12040</v>
      </c>
      <c r="B3" s="110" t="s">
        <v>12063</v>
      </c>
      <c r="C3" s="67"/>
      <c r="D3" s="67"/>
      <c r="E3" s="67"/>
    </row>
    <row r="4">
      <c r="A4" s="74" t="s">
        <v>12042</v>
      </c>
      <c r="B4" s="67" t="s">
        <v>12064</v>
      </c>
      <c r="C4" s="67"/>
      <c r="D4" s="67"/>
      <c r="E4" s="67"/>
    </row>
    <row r="5">
      <c r="A5" s="74" t="s">
        <v>12043</v>
      </c>
      <c r="B5" s="67" t="s">
        <v>12065</v>
      </c>
      <c r="C5" s="67"/>
      <c r="D5" s="67"/>
      <c r="E5" s="67"/>
    </row>
    <row r="6">
      <c r="A6" s="77" t="s">
        <v>12045</v>
      </c>
      <c r="B6" s="111" t="s">
        <v>12200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0</v>
      </c>
      <c r="C9" s="84">
        <v>0.0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0</v>
      </c>
      <c r="C10" s="84">
        <v>0.0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1</v>
      </c>
      <c r="C11" s="86">
        <v>1.0</v>
      </c>
      <c r="D11" s="84">
        <v>0.0</v>
      </c>
      <c r="E11" s="84">
        <v>0.0</v>
      </c>
    </row>
    <row r="12">
      <c r="A12" s="85" t="s">
        <v>12055</v>
      </c>
      <c r="B12" s="83">
        <f t="shared" si="1"/>
        <v>19</v>
      </c>
      <c r="C12" s="86">
        <v>19.0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0</v>
      </c>
      <c r="C15" s="84">
        <v>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14</v>
      </c>
      <c r="C16" s="86">
        <v>14.0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6</v>
      </c>
      <c r="C17" s="86">
        <v>6.0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 t="shared" ref="B20:C20" si="3">SUM(B9:B19)</f>
        <v>40</v>
      </c>
      <c r="C20" s="112">
        <f t="shared" si="3"/>
        <v>40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12201</v>
      </c>
      <c r="C1" s="67"/>
      <c r="D1" s="67"/>
      <c r="E1" s="67"/>
    </row>
    <row r="2">
      <c r="A2" s="74" t="s">
        <v>12038</v>
      </c>
      <c r="B2" s="75" t="s">
        <v>12202</v>
      </c>
      <c r="C2" s="67"/>
      <c r="D2" s="67"/>
      <c r="E2" s="67"/>
    </row>
    <row r="3">
      <c r="A3" s="74" t="s">
        <v>12040</v>
      </c>
      <c r="B3" s="75" t="s">
        <v>12203</v>
      </c>
      <c r="C3" s="67"/>
      <c r="D3" s="67"/>
      <c r="E3" s="67"/>
    </row>
    <row r="4">
      <c r="A4" s="74" t="s">
        <v>12042</v>
      </c>
      <c r="B4" s="67" t="s">
        <v>12064</v>
      </c>
      <c r="C4" s="67"/>
      <c r="D4" s="67"/>
      <c r="E4" s="67"/>
    </row>
    <row r="5">
      <c r="A5" s="74" t="s">
        <v>12043</v>
      </c>
      <c r="B5" s="67" t="s">
        <v>12065</v>
      </c>
      <c r="C5" s="67"/>
      <c r="D5" s="67"/>
      <c r="E5" s="67"/>
    </row>
    <row r="6">
      <c r="A6" s="77" t="s">
        <v>12045</v>
      </c>
      <c r="B6" s="78" t="s">
        <v>12086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16</v>
      </c>
      <c r="C9" s="86">
        <v>12.0</v>
      </c>
      <c r="D9" s="86">
        <v>4.0</v>
      </c>
      <c r="E9" s="84">
        <v>0.0</v>
      </c>
    </row>
    <row r="10">
      <c r="A10" s="85" t="s">
        <v>12053</v>
      </c>
      <c r="B10" s="83">
        <f t="shared" si="1"/>
        <v>15</v>
      </c>
      <c r="C10" s="86">
        <v>13.0</v>
      </c>
      <c r="D10" s="86">
        <v>2.0</v>
      </c>
      <c r="E10" s="84">
        <v>0.0</v>
      </c>
    </row>
    <row r="11">
      <c r="A11" s="85" t="s">
        <v>12054</v>
      </c>
      <c r="B11" s="83">
        <f t="shared" si="1"/>
        <v>6</v>
      </c>
      <c r="C11" s="86">
        <v>6.0</v>
      </c>
      <c r="D11" s="84">
        <v>0.0</v>
      </c>
      <c r="E11" s="84">
        <v>0.0</v>
      </c>
    </row>
    <row r="12">
      <c r="A12" s="85" t="s">
        <v>12055</v>
      </c>
      <c r="B12" s="83">
        <f t="shared" si="1"/>
        <v>9</v>
      </c>
      <c r="C12" s="86">
        <v>9.0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9</v>
      </c>
      <c r="C15" s="86">
        <v>9.0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10</v>
      </c>
      <c r="C16" s="86">
        <v>10.0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2</v>
      </c>
      <c r="C17" s="86">
        <v>2.0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1</v>
      </c>
      <c r="C18" s="86">
        <v>1.0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 t="shared" ref="B20:C20" si="3">SUM(B9:B19)</f>
        <v>68</v>
      </c>
      <c r="C20" s="112">
        <f t="shared" si="3"/>
        <v>62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</v>
      </c>
      <c r="B1" s="32" t="s">
        <v>0</v>
      </c>
    </row>
    <row r="2">
      <c r="A2" s="113">
        <v>1.464683095E9</v>
      </c>
      <c r="B2" s="32" t="s">
        <v>5</v>
      </c>
    </row>
    <row r="3">
      <c r="A3" s="113">
        <v>6.76878321E8</v>
      </c>
      <c r="B3" s="32" t="s">
        <v>5</v>
      </c>
    </row>
    <row r="4">
      <c r="A4" s="113">
        <v>1.979170386E9</v>
      </c>
      <c r="B4" s="32" t="s">
        <v>5</v>
      </c>
    </row>
    <row r="5">
      <c r="A5" s="113">
        <v>1.542866148E9</v>
      </c>
      <c r="B5" s="32" t="s">
        <v>10</v>
      </c>
    </row>
    <row r="6">
      <c r="A6" s="113">
        <v>1.469470261E9</v>
      </c>
      <c r="B6" s="32" t="s">
        <v>10</v>
      </c>
    </row>
    <row r="7">
      <c r="A7" s="113">
        <v>3.59113496E8</v>
      </c>
      <c r="B7" s="32" t="s">
        <v>10</v>
      </c>
    </row>
    <row r="8">
      <c r="A8" s="113">
        <v>1.44635051E9</v>
      </c>
      <c r="B8" s="32" t="s">
        <v>15</v>
      </c>
    </row>
    <row r="9">
      <c r="A9" s="113">
        <v>1.975234017E9</v>
      </c>
      <c r="B9" s="32" t="s">
        <v>15</v>
      </c>
    </row>
    <row r="10">
      <c r="A10" s="113">
        <v>2.028403462E9</v>
      </c>
      <c r="B10" s="32" t="s">
        <v>15</v>
      </c>
    </row>
    <row r="11">
      <c r="A11" s="113">
        <v>1.385741807E9</v>
      </c>
      <c r="B11" s="32" t="s">
        <v>15</v>
      </c>
    </row>
    <row r="12">
      <c r="A12" s="113">
        <v>2.121429765E9</v>
      </c>
      <c r="B12" s="32" t="s">
        <v>15</v>
      </c>
    </row>
    <row r="13">
      <c r="A13" s="113">
        <v>6.8516605E7</v>
      </c>
      <c r="B13" s="32" t="s">
        <v>15</v>
      </c>
    </row>
    <row r="14">
      <c r="A14" s="113">
        <v>1.548302595E9</v>
      </c>
      <c r="B14" s="32" t="s">
        <v>15</v>
      </c>
    </row>
    <row r="15">
      <c r="A15" s="113">
        <v>1.734819275E9</v>
      </c>
      <c r="B15" s="32" t="s">
        <v>15</v>
      </c>
    </row>
    <row r="16">
      <c r="A16" s="113">
        <v>2.047549723E9</v>
      </c>
      <c r="B16" s="32" t="s">
        <v>15</v>
      </c>
    </row>
    <row r="17">
      <c r="A17" s="113">
        <v>6.29046306E8</v>
      </c>
      <c r="B17" s="32" t="s">
        <v>15</v>
      </c>
    </row>
    <row r="18">
      <c r="A18" s="113">
        <v>1.466512907E9</v>
      </c>
      <c r="B18" s="32" t="s">
        <v>15</v>
      </c>
    </row>
    <row r="19">
      <c r="A19" s="113">
        <v>1.0301409E8</v>
      </c>
      <c r="B19" s="32" t="s">
        <v>15</v>
      </c>
    </row>
    <row r="20">
      <c r="A20" s="113">
        <v>8.91462018E8</v>
      </c>
      <c r="B20" s="32" t="s">
        <v>28</v>
      </c>
    </row>
    <row r="21">
      <c r="A21" s="113">
        <v>1.074497427E9</v>
      </c>
      <c r="B21" s="32" t="s">
        <v>28</v>
      </c>
    </row>
    <row r="22">
      <c r="A22" s="113">
        <v>8.78667926E8</v>
      </c>
      <c r="B22" s="32" t="s">
        <v>28</v>
      </c>
    </row>
    <row r="23">
      <c r="A23" s="113">
        <v>1.85362526E8</v>
      </c>
      <c r="B23" s="32" t="s">
        <v>28</v>
      </c>
    </row>
    <row r="24">
      <c r="A24" s="113">
        <v>1.343315257E9</v>
      </c>
      <c r="B24" s="32" t="s">
        <v>28</v>
      </c>
    </row>
    <row r="25">
      <c r="A25" s="113">
        <v>4.85676665E8</v>
      </c>
      <c r="B25" s="32" t="s">
        <v>28</v>
      </c>
    </row>
    <row r="26">
      <c r="A26" s="113">
        <v>1.11450943E9</v>
      </c>
      <c r="B26" s="32" t="s">
        <v>28</v>
      </c>
    </row>
    <row r="27">
      <c r="A27" s="113">
        <v>3.40624164E8</v>
      </c>
      <c r="B27" s="32" t="s">
        <v>28</v>
      </c>
    </row>
    <row r="28">
      <c r="A28" s="113">
        <v>1.432239534E9</v>
      </c>
      <c r="B28" s="32" t="s">
        <v>28</v>
      </c>
    </row>
    <row r="29">
      <c r="A29" s="113">
        <v>1.005258013E9</v>
      </c>
      <c r="B29" s="32" t="s">
        <v>28</v>
      </c>
    </row>
    <row r="30">
      <c r="A30" s="113">
        <v>8.13473938E8</v>
      </c>
      <c r="B30" s="32" t="s">
        <v>28</v>
      </c>
    </row>
    <row r="31">
      <c r="A31" s="113">
        <v>7.54600414E8</v>
      </c>
      <c r="B31" s="32" t="s">
        <v>28</v>
      </c>
    </row>
    <row r="32">
      <c r="A32" s="113">
        <v>8.71624939E8</v>
      </c>
      <c r="B32" s="32" t="s">
        <v>41</v>
      </c>
    </row>
    <row r="33">
      <c r="A33" s="113">
        <v>1.70154596E9</v>
      </c>
      <c r="B33" s="32" t="s">
        <v>41</v>
      </c>
    </row>
    <row r="34">
      <c r="A34" s="113">
        <v>1.009675221E9</v>
      </c>
      <c r="B34" s="32" t="s">
        <v>41</v>
      </c>
    </row>
    <row r="35">
      <c r="A35" s="113">
        <v>1.830711686E9</v>
      </c>
      <c r="B35" s="32" t="s">
        <v>41</v>
      </c>
    </row>
    <row r="36">
      <c r="A36" s="113">
        <v>3.63078253E8</v>
      </c>
      <c r="B36" s="32" t="s">
        <v>41</v>
      </c>
    </row>
    <row r="37">
      <c r="A37" s="113">
        <v>1.726991908E9</v>
      </c>
      <c r="B37" s="32" t="s">
        <v>41</v>
      </c>
    </row>
    <row r="38">
      <c r="A38" s="113">
        <v>9.97213306E8</v>
      </c>
      <c r="B38" s="32" t="s">
        <v>41</v>
      </c>
    </row>
    <row r="39">
      <c r="A39" s="113">
        <v>1.193219338E9</v>
      </c>
      <c r="B39" s="32" t="s">
        <v>41</v>
      </c>
    </row>
    <row r="40">
      <c r="A40" s="113">
        <v>1.699637074E9</v>
      </c>
      <c r="B40" s="32" t="s">
        <v>41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12204</v>
      </c>
      <c r="C1" s="67"/>
      <c r="D1" s="67"/>
      <c r="E1" s="67"/>
    </row>
    <row r="2">
      <c r="A2" s="74" t="s">
        <v>12038</v>
      </c>
      <c r="B2" s="75" t="s">
        <v>12205</v>
      </c>
      <c r="C2" s="67"/>
      <c r="D2" s="67"/>
      <c r="E2" s="67"/>
    </row>
    <row r="3">
      <c r="A3" s="74" t="s">
        <v>12040</v>
      </c>
      <c r="B3" s="75" t="s">
        <v>12206</v>
      </c>
      <c r="C3" s="67"/>
      <c r="D3" s="67"/>
      <c r="E3" s="67"/>
    </row>
    <row r="4">
      <c r="A4" s="74" t="s">
        <v>12042</v>
      </c>
      <c r="B4" s="67" t="s">
        <v>12064</v>
      </c>
      <c r="C4" s="67"/>
      <c r="D4" s="67"/>
      <c r="E4" s="67"/>
    </row>
    <row r="5">
      <c r="A5" s="74" t="s">
        <v>12043</v>
      </c>
      <c r="B5" s="67" t="s">
        <v>12065</v>
      </c>
      <c r="C5" s="67"/>
      <c r="D5" s="67"/>
      <c r="E5" s="67"/>
    </row>
    <row r="6">
      <c r="A6" s="77" t="s">
        <v>12045</v>
      </c>
      <c r="B6" s="78" t="s">
        <v>12207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0</v>
      </c>
      <c r="C9" s="84">
        <v>0.0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0</v>
      </c>
      <c r="C10" s="84">
        <v>0.0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26</v>
      </c>
      <c r="C11" s="86">
        <v>22.0</v>
      </c>
      <c r="D11" s="86">
        <v>4.0</v>
      </c>
      <c r="E11" s="84">
        <v>0.0</v>
      </c>
    </row>
    <row r="12">
      <c r="A12" s="85" t="s">
        <v>12055</v>
      </c>
      <c r="B12" s="83">
        <f t="shared" si="1"/>
        <v>28</v>
      </c>
      <c r="C12" s="86">
        <v>26.0</v>
      </c>
      <c r="D12" s="86">
        <v>2.0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0</v>
      </c>
      <c r="C15" s="84">
        <v>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0</v>
      </c>
      <c r="C16" s="86">
        <v>0.0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0</v>
      </c>
      <c r="C17" s="86">
        <v>0.0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4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 t="shared" ref="B20:C20" si="3">SUM(B9:B19)</f>
        <v>54</v>
      </c>
      <c r="C20" s="112">
        <f t="shared" si="3"/>
        <v>48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12208</v>
      </c>
      <c r="C1" s="67"/>
      <c r="D1" s="67"/>
      <c r="E1" s="67"/>
    </row>
    <row r="2">
      <c r="A2" s="74" t="s">
        <v>12038</v>
      </c>
      <c r="B2" s="75" t="s">
        <v>12209</v>
      </c>
      <c r="C2" s="67"/>
      <c r="D2" s="67"/>
      <c r="E2" s="67"/>
    </row>
    <row r="3">
      <c r="A3" s="74" t="s">
        <v>12040</v>
      </c>
      <c r="B3" s="75" t="s">
        <v>12073</v>
      </c>
      <c r="C3" s="67"/>
      <c r="D3" s="67"/>
      <c r="E3" s="67"/>
    </row>
    <row r="4">
      <c r="A4" s="74" t="s">
        <v>12042</v>
      </c>
      <c r="B4" s="76" t="s">
        <v>12074</v>
      </c>
      <c r="C4" s="67"/>
      <c r="D4" s="67"/>
      <c r="E4" s="67"/>
    </row>
    <row r="5">
      <c r="A5" s="74" t="s">
        <v>12043</v>
      </c>
      <c r="B5" s="76" t="s">
        <v>12075</v>
      </c>
      <c r="C5" s="67"/>
      <c r="D5" s="67"/>
      <c r="E5" s="67"/>
    </row>
    <row r="6">
      <c r="A6" s="77" t="s">
        <v>12045</v>
      </c>
      <c r="B6" s="78" t="s">
        <v>12046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41</v>
      </c>
      <c r="C9" s="86">
        <v>41.0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85</v>
      </c>
      <c r="C10" s="86">
        <v>85.0</v>
      </c>
      <c r="D10" s="84">
        <v>0.0</v>
      </c>
      <c r="E10" s="84">
        <v>0.0</v>
      </c>
    </row>
    <row r="11">
      <c r="A11" s="85" t="s">
        <v>12054</v>
      </c>
      <c r="B11" s="83">
        <f t="shared" si="1"/>
        <v>26</v>
      </c>
      <c r="C11" s="86">
        <v>26.0</v>
      </c>
      <c r="D11" s="86">
        <v>0.0</v>
      </c>
      <c r="E11" s="84">
        <v>0.0</v>
      </c>
    </row>
    <row r="12">
      <c r="A12" s="85" t="s">
        <v>12055</v>
      </c>
      <c r="B12" s="83">
        <f t="shared" si="1"/>
        <v>11</v>
      </c>
      <c r="C12" s="86">
        <v>11.0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12</v>
      </c>
      <c r="C15" s="86">
        <v>12.0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14</v>
      </c>
      <c r="C16" s="86">
        <v>14.0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8</v>
      </c>
      <c r="C17" s="86">
        <v>8.0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1</v>
      </c>
      <c r="C18" s="86">
        <v>1.0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198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0.63"/>
    <col customWidth="1" min="3" max="3" width="30.25"/>
    <col customWidth="1" min="4" max="4" width="19.0"/>
    <col customWidth="1" min="5" max="5" width="30.25"/>
  </cols>
  <sheetData>
    <row r="1">
      <c r="A1" s="72" t="s">
        <v>12036</v>
      </c>
      <c r="B1" s="73" t="s">
        <v>12210</v>
      </c>
      <c r="C1" s="67"/>
      <c r="D1" s="67"/>
      <c r="E1" s="67"/>
    </row>
    <row r="2">
      <c r="A2" s="74" t="s">
        <v>12038</v>
      </c>
      <c r="B2" s="75" t="s">
        <v>12211</v>
      </c>
      <c r="C2" s="67"/>
      <c r="D2" s="67"/>
      <c r="E2" s="67"/>
    </row>
    <row r="3">
      <c r="A3" s="74" t="s">
        <v>12040</v>
      </c>
      <c r="B3" s="75" t="s">
        <v>12108</v>
      </c>
      <c r="C3" s="67"/>
      <c r="D3" s="67"/>
      <c r="E3" s="67"/>
    </row>
    <row r="4">
      <c r="A4" s="74" t="s">
        <v>12042</v>
      </c>
      <c r="B4" s="76" t="s">
        <v>7545</v>
      </c>
      <c r="C4" s="67"/>
      <c r="D4" s="67"/>
      <c r="E4" s="67"/>
    </row>
    <row r="5">
      <c r="A5" s="74" t="s">
        <v>12043</v>
      </c>
      <c r="B5" s="76" t="s">
        <v>12109</v>
      </c>
      <c r="C5" s="67"/>
      <c r="D5" s="67"/>
      <c r="E5" s="67"/>
    </row>
    <row r="6">
      <c r="A6" s="77" t="s">
        <v>12045</v>
      </c>
      <c r="B6" s="78" t="s">
        <v>12110</v>
      </c>
      <c r="C6" s="67"/>
      <c r="D6" s="67"/>
      <c r="E6" s="67"/>
    </row>
    <row r="7">
      <c r="A7" s="67"/>
      <c r="B7" s="67"/>
      <c r="C7" s="67"/>
      <c r="D7" s="67"/>
      <c r="E7" s="67"/>
    </row>
    <row r="8">
      <c r="A8" s="79" t="s">
        <v>12047</v>
      </c>
      <c r="B8" s="80" t="s">
        <v>12048</v>
      </c>
      <c r="C8" s="81" t="s">
        <v>12049</v>
      </c>
      <c r="D8" s="81" t="s">
        <v>12050</v>
      </c>
      <c r="E8" s="81" t="s">
        <v>12051</v>
      </c>
    </row>
    <row r="9">
      <c r="A9" s="82" t="s">
        <v>12052</v>
      </c>
      <c r="B9" s="83">
        <f t="shared" ref="B9:B12" si="1">SUM(C9:D9)-E9</f>
        <v>5</v>
      </c>
      <c r="C9" s="86">
        <v>5.0</v>
      </c>
      <c r="D9" s="84">
        <v>0.0</v>
      </c>
      <c r="E9" s="84">
        <v>0.0</v>
      </c>
    </row>
    <row r="10">
      <c r="A10" s="85" t="s">
        <v>12053</v>
      </c>
      <c r="B10" s="83">
        <f t="shared" si="1"/>
        <v>10</v>
      </c>
      <c r="C10" s="86">
        <v>8.0</v>
      </c>
      <c r="D10" s="86">
        <v>2.0</v>
      </c>
      <c r="E10" s="84">
        <v>0.0</v>
      </c>
    </row>
    <row r="11">
      <c r="A11" s="85" t="s">
        <v>12054</v>
      </c>
      <c r="B11" s="83">
        <f t="shared" si="1"/>
        <v>5</v>
      </c>
      <c r="C11" s="86">
        <v>3.0</v>
      </c>
      <c r="D11" s="86">
        <v>2.0</v>
      </c>
      <c r="E11" s="84">
        <v>0.0</v>
      </c>
    </row>
    <row r="12">
      <c r="A12" s="85" t="s">
        <v>12055</v>
      </c>
      <c r="B12" s="83">
        <f t="shared" si="1"/>
        <v>5</v>
      </c>
      <c r="C12" s="86">
        <v>5.0</v>
      </c>
      <c r="D12" s="86">
        <v>0.0</v>
      </c>
      <c r="E12" s="84">
        <v>0.0</v>
      </c>
    </row>
    <row r="13">
      <c r="A13" s="67"/>
      <c r="B13" s="87"/>
      <c r="C13" s="88"/>
      <c r="D13" s="88"/>
      <c r="E13" s="88"/>
    </row>
    <row r="14">
      <c r="A14" s="67"/>
      <c r="B14" s="89"/>
      <c r="C14" s="88"/>
      <c r="D14" s="88"/>
      <c r="E14" s="88"/>
    </row>
    <row r="15">
      <c r="A15" s="85" t="s">
        <v>12056</v>
      </c>
      <c r="B15" s="90">
        <f t="shared" ref="B15:B18" si="2">SUM(C15:D15)-E15</f>
        <v>0</v>
      </c>
      <c r="C15" s="86">
        <v>0.0</v>
      </c>
      <c r="D15" s="84">
        <v>0.0</v>
      </c>
      <c r="E15" s="84">
        <v>0.0</v>
      </c>
    </row>
    <row r="16">
      <c r="A16" s="91" t="s">
        <v>12057</v>
      </c>
      <c r="B16" s="83">
        <f t="shared" si="2"/>
        <v>4</v>
      </c>
      <c r="C16" s="86">
        <v>4.0</v>
      </c>
      <c r="D16" s="86">
        <v>0.0</v>
      </c>
      <c r="E16" s="84">
        <v>0.0</v>
      </c>
    </row>
    <row r="17">
      <c r="A17" s="91" t="s">
        <v>12058</v>
      </c>
      <c r="B17" s="83">
        <f t="shared" si="2"/>
        <v>0</v>
      </c>
      <c r="C17" s="86">
        <v>0.0</v>
      </c>
      <c r="D17" s="84">
        <v>0.0</v>
      </c>
      <c r="E17" s="84">
        <v>0.0</v>
      </c>
    </row>
    <row r="18">
      <c r="A18" s="92" t="s">
        <v>12059</v>
      </c>
      <c r="B18" s="83">
        <f t="shared" si="2"/>
        <v>0</v>
      </c>
      <c r="C18" s="86">
        <v>0.0</v>
      </c>
      <c r="D18" s="84">
        <v>0.0</v>
      </c>
      <c r="E18" s="84">
        <v>0.0</v>
      </c>
    </row>
    <row r="19">
      <c r="A19" s="67"/>
      <c r="B19" s="67"/>
      <c r="C19" s="88"/>
      <c r="D19" s="88"/>
      <c r="E19" s="88"/>
    </row>
    <row r="20">
      <c r="A20" s="93" t="s">
        <v>12060</v>
      </c>
      <c r="B20" s="94">
        <f>SUM(B9:B19)</f>
        <v>29</v>
      </c>
      <c r="C20" s="95">
        <v>0.0</v>
      </c>
      <c r="D20" s="96"/>
      <c r="E20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7.5"/>
    <col customWidth="1" min="3" max="3" width="12.25"/>
    <col customWidth="1" min="4" max="4" width="19.5"/>
  </cols>
  <sheetData>
    <row r="1">
      <c r="A1" s="8" t="s">
        <v>0</v>
      </c>
      <c r="B1" s="8" t="s">
        <v>51</v>
      </c>
      <c r="C1" s="8" t="s">
        <v>52</v>
      </c>
      <c r="D1" s="8" t="s">
        <v>53</v>
      </c>
    </row>
    <row r="2">
      <c r="A2" s="9" t="s">
        <v>54</v>
      </c>
      <c r="B2" s="10">
        <v>411.0</v>
      </c>
      <c r="C2" s="11">
        <f>IFERROR(VLOOKUP(A2,'BB | DEF voorraad PICKUPS'!A:B,2,FALSE),0)</f>
        <v>470</v>
      </c>
      <c r="D2" s="11">
        <f t="shared" ref="D2:D9" si="1">C2-B2</f>
        <v>59</v>
      </c>
    </row>
    <row r="3">
      <c r="A3" s="9" t="s">
        <v>55</v>
      </c>
      <c r="B3" s="10">
        <v>429.0</v>
      </c>
      <c r="C3" s="11">
        <f>IFERROR(VLOOKUP(A3,'BB | DEF voorraad PICKUPS'!A:B,2,FALSE),0)</f>
        <v>353</v>
      </c>
      <c r="D3" s="11">
        <f t="shared" si="1"/>
        <v>-76</v>
      </c>
    </row>
    <row r="4">
      <c r="A4" s="9" t="s">
        <v>91</v>
      </c>
      <c r="B4" s="10">
        <v>354.0</v>
      </c>
      <c r="C4" s="11">
        <f>IFERROR(VLOOKUP(A4,'BB | DEF voorraad PICKUPS'!A:B,2,FALSE),0)</f>
        <v>435</v>
      </c>
      <c r="D4" s="11">
        <f t="shared" si="1"/>
        <v>81</v>
      </c>
    </row>
    <row r="5">
      <c r="A5" s="9" t="s">
        <v>95</v>
      </c>
      <c r="B5" s="10">
        <v>222.0</v>
      </c>
      <c r="C5" s="11">
        <f>IFERROR(VLOOKUP(A5,'BB | DEF voorraad PICKUPS'!A:B,2,FALSE),0)</f>
        <v>242</v>
      </c>
      <c r="D5" s="11">
        <f t="shared" si="1"/>
        <v>20</v>
      </c>
    </row>
    <row r="6">
      <c r="A6" s="9" t="s">
        <v>105</v>
      </c>
      <c r="B6" s="10">
        <v>258.0</v>
      </c>
      <c r="C6" s="11">
        <f>IFERROR(VLOOKUP(A6,'BB | DEF voorraad PICKUPS'!A:B,2,FALSE),0)</f>
        <v>260</v>
      </c>
      <c r="D6" s="11">
        <f t="shared" si="1"/>
        <v>2</v>
      </c>
    </row>
    <row r="7">
      <c r="A7" s="9" t="s">
        <v>127</v>
      </c>
      <c r="B7" s="10">
        <v>344.0</v>
      </c>
      <c r="C7" s="11">
        <f>IFERROR(VLOOKUP(A7,'BB | DEF voorraad PICKUPS'!A:B,2,FALSE),0)</f>
        <v>330</v>
      </c>
      <c r="D7" s="11">
        <f t="shared" si="1"/>
        <v>-14</v>
      </c>
    </row>
    <row r="8">
      <c r="A8" s="9" t="s">
        <v>175</v>
      </c>
      <c r="B8" s="10">
        <v>85.0</v>
      </c>
      <c r="C8" s="11">
        <f>IFERROR(VLOOKUP(A8,'BB | DEF voorraad PICKUPS'!A:B,2,FALSE),0)</f>
        <v>86</v>
      </c>
      <c r="D8" s="11">
        <f t="shared" si="1"/>
        <v>1</v>
      </c>
    </row>
    <row r="9">
      <c r="A9" s="9" t="s">
        <v>132</v>
      </c>
      <c r="B9" s="10">
        <v>9.0</v>
      </c>
      <c r="C9" s="11">
        <f>IFERROR(VLOOKUP(A9,'BB | DEF voorraad PICKUPS'!A:B,2,FALSE),0)</f>
        <v>10</v>
      </c>
      <c r="D9" s="11">
        <f t="shared" si="1"/>
        <v>1</v>
      </c>
    </row>
    <row r="10">
      <c r="A10" s="12"/>
      <c r="B10" s="13"/>
      <c r="C10" s="13"/>
      <c r="D10" s="13"/>
    </row>
    <row r="11">
      <c r="A11" s="14" t="s">
        <v>56</v>
      </c>
      <c r="B11" s="15">
        <v>2112.0</v>
      </c>
      <c r="C11" s="16"/>
      <c r="D11" s="16"/>
    </row>
    <row r="12">
      <c r="A12" s="12"/>
      <c r="B12" s="13"/>
      <c r="C12" s="13"/>
      <c r="D12" s="13"/>
    </row>
    <row r="13">
      <c r="A13" s="17" t="s">
        <v>57</v>
      </c>
      <c r="B13" s="18">
        <v>2112.0</v>
      </c>
      <c r="C13" s="19"/>
      <c r="D13" s="19"/>
    </row>
  </sheetData>
  <conditionalFormatting sqref="D2:D10">
    <cfRule type="cellIs" dxfId="1" priority="1" stopIfTrue="1" operator="lessThan">
      <formula>0</formula>
    </cfRule>
  </conditionalFormatting>
  <conditionalFormatting sqref="D2:D10">
    <cfRule type="cellIs" dxfId="2" priority="2" stopIfTrue="1" operator="greaterThan">
      <formula>0</formula>
    </cfRule>
  </conditionalFormatting>
  <conditionalFormatting sqref="D2:D10">
    <cfRule type="cellIs" dxfId="3" priority="3" stopIfTrue="1" operator="equal">
      <formula>0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7.5"/>
    <col customWidth="1" min="3" max="3" width="12.25"/>
    <col customWidth="1" min="4" max="4" width="15.5"/>
  </cols>
  <sheetData>
    <row r="1">
      <c r="A1" s="8" t="s">
        <v>0</v>
      </c>
      <c r="B1" s="8" t="s">
        <v>51</v>
      </c>
      <c r="C1" s="8" t="s">
        <v>52</v>
      </c>
      <c r="D1" s="8" t="s">
        <v>53</v>
      </c>
    </row>
    <row r="2">
      <c r="A2" s="9" t="s">
        <v>54</v>
      </c>
      <c r="B2" s="10">
        <v>417.0</v>
      </c>
      <c r="C2" s="11">
        <f>IFERROR(VLOOKUP(A2,'BB | DEF voorraad PICKUPS'!A:B,2,FALSE),0)</f>
        <v>470</v>
      </c>
      <c r="D2" s="11">
        <f t="shared" ref="D2:D9" si="1">C2-B2</f>
        <v>53</v>
      </c>
    </row>
    <row r="3">
      <c r="A3" s="9" t="s">
        <v>55</v>
      </c>
      <c r="B3" s="10">
        <v>429.0</v>
      </c>
      <c r="C3" s="11">
        <f>IFERROR(VLOOKUP(A3,'BB | DEF voorraad PICKUPS'!A:B,2,FALSE),0)</f>
        <v>353</v>
      </c>
      <c r="D3" s="11">
        <f t="shared" si="1"/>
        <v>-76</v>
      </c>
    </row>
    <row r="4">
      <c r="A4" s="9" t="s">
        <v>91</v>
      </c>
      <c r="B4" s="10">
        <v>354.0</v>
      </c>
      <c r="C4" s="11">
        <f>IFERROR(VLOOKUP(A4,'BB | DEF voorraad PICKUPS'!A:B,2,FALSE),0)</f>
        <v>435</v>
      </c>
      <c r="D4" s="11">
        <f t="shared" si="1"/>
        <v>81</v>
      </c>
    </row>
    <row r="5">
      <c r="A5" s="9" t="s">
        <v>95</v>
      </c>
      <c r="B5" s="10">
        <v>222.0</v>
      </c>
      <c r="C5" s="11">
        <f>IFERROR(VLOOKUP(A5,'BB | DEF voorraad PICKUPS'!A:B,2,FALSE),0)</f>
        <v>242</v>
      </c>
      <c r="D5" s="11">
        <f t="shared" si="1"/>
        <v>20</v>
      </c>
    </row>
    <row r="6">
      <c r="A6" s="9" t="s">
        <v>105</v>
      </c>
      <c r="B6" s="10">
        <v>258.0</v>
      </c>
      <c r="C6" s="11">
        <f>IFERROR(VLOOKUP(A6,'BB | DEF voorraad PICKUPS'!A:B,2,FALSE),0)</f>
        <v>260</v>
      </c>
      <c r="D6" s="11">
        <f t="shared" si="1"/>
        <v>2</v>
      </c>
    </row>
    <row r="7">
      <c r="A7" s="9" t="s">
        <v>127</v>
      </c>
      <c r="B7" s="10">
        <v>344.0</v>
      </c>
      <c r="C7" s="11">
        <f>IFERROR(VLOOKUP(A7,'BB | DEF voorraad PICKUPS'!A:B,2,FALSE),0)</f>
        <v>330</v>
      </c>
      <c r="D7" s="11">
        <f t="shared" si="1"/>
        <v>-14</v>
      </c>
    </row>
    <row r="8">
      <c r="A8" s="9" t="s">
        <v>175</v>
      </c>
      <c r="B8" s="10">
        <v>85.0</v>
      </c>
      <c r="C8" s="11">
        <f>IFERROR(VLOOKUP(A8,'BB | DEF voorraad PICKUPS'!A:B,2,FALSE),0)</f>
        <v>86</v>
      </c>
      <c r="D8" s="11">
        <f t="shared" si="1"/>
        <v>1</v>
      </c>
    </row>
    <row r="9">
      <c r="A9" s="9" t="s">
        <v>132</v>
      </c>
      <c r="B9" s="10">
        <v>9.0</v>
      </c>
      <c r="C9" s="11">
        <f>IFERROR(VLOOKUP(A9,'BB | DEF voorraad PICKUPS'!A:B,2,FALSE),0)</f>
        <v>10</v>
      </c>
      <c r="D9" s="11">
        <f t="shared" si="1"/>
        <v>1</v>
      </c>
    </row>
    <row r="10">
      <c r="A10" s="12"/>
      <c r="B10" s="13"/>
      <c r="C10" s="13"/>
      <c r="D10" s="13"/>
    </row>
    <row r="11">
      <c r="A11" s="14" t="s">
        <v>56</v>
      </c>
      <c r="B11" s="15">
        <v>2118.0</v>
      </c>
      <c r="C11" s="16"/>
      <c r="D11" s="16"/>
    </row>
    <row r="12">
      <c r="A12" s="12"/>
      <c r="B12" s="13"/>
      <c r="C12" s="13"/>
      <c r="D12" s="13"/>
    </row>
    <row r="13">
      <c r="A13" s="17" t="s">
        <v>57</v>
      </c>
      <c r="B13" s="18">
        <v>2118.0</v>
      </c>
      <c r="C13" s="19"/>
      <c r="D13" s="19"/>
    </row>
  </sheetData>
  <conditionalFormatting sqref="D2:D10">
    <cfRule type="cellIs" dxfId="1" priority="1" stopIfTrue="1" operator="lessThan">
      <formula>0</formula>
    </cfRule>
  </conditionalFormatting>
  <conditionalFormatting sqref="D2:D10">
    <cfRule type="cellIs" dxfId="2" priority="2" stopIfTrue="1" operator="greaterThan">
      <formula>0</formula>
    </cfRule>
  </conditionalFormatting>
  <conditionalFormatting sqref="D2:D10">
    <cfRule type="cellIs" dxfId="3" priority="3" stopIfTrue="1" operator="equal">
      <formula>0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58</v>
      </c>
      <c r="C1" s="32" t="s">
        <v>60</v>
      </c>
      <c r="D1" s="32" t="s">
        <v>61</v>
      </c>
      <c r="E1" s="32" t="s">
        <v>62</v>
      </c>
      <c r="F1" s="32" t="s">
        <v>63</v>
      </c>
      <c r="G1" s="32" t="s">
        <v>70</v>
      </c>
      <c r="H1" s="32" t="s">
        <v>71</v>
      </c>
      <c r="I1" s="32" t="s">
        <v>69</v>
      </c>
      <c r="J1" s="32" t="s">
        <v>65</v>
      </c>
      <c r="K1" s="32" t="s">
        <v>67</v>
      </c>
      <c r="L1" s="32" t="s">
        <v>68</v>
      </c>
      <c r="M1" s="32" t="s">
        <v>72</v>
      </c>
      <c r="N1" s="32" t="s">
        <v>73</v>
      </c>
      <c r="O1" s="32" t="s">
        <v>74</v>
      </c>
      <c r="P1" s="32" t="s">
        <v>75</v>
      </c>
      <c r="Q1" s="32" t="s">
        <v>76</v>
      </c>
      <c r="R1" s="32" t="s">
        <v>77</v>
      </c>
      <c r="S1" s="32" t="s">
        <v>7865</v>
      </c>
      <c r="T1" s="32" t="s">
        <v>7866</v>
      </c>
      <c r="U1" s="32" t="s">
        <v>79</v>
      </c>
    </row>
    <row r="2">
      <c r="A2" s="32" t="s">
        <v>4044</v>
      </c>
      <c r="C2" s="32" t="s">
        <v>1284</v>
      </c>
      <c r="D2" s="114">
        <v>46000.0</v>
      </c>
      <c r="E2" s="32" t="s">
        <v>981</v>
      </c>
      <c r="F2" s="32" t="s">
        <v>4045</v>
      </c>
      <c r="G2" s="32">
        <v>1.0</v>
      </c>
      <c r="H2" s="32" t="s">
        <v>7868</v>
      </c>
      <c r="I2" s="32" t="s">
        <v>4046</v>
      </c>
      <c r="J2" s="32" t="s">
        <v>4044</v>
      </c>
      <c r="K2" s="32" t="s">
        <v>7869</v>
      </c>
      <c r="M2" s="32" t="s">
        <v>7870</v>
      </c>
      <c r="O2" s="32" t="s">
        <v>90</v>
      </c>
      <c r="P2" s="32">
        <v>3.2666384138563E13</v>
      </c>
      <c r="S2" s="32" t="s">
        <v>4042</v>
      </c>
      <c r="T2" s="32" t="s">
        <v>4043</v>
      </c>
      <c r="U2" s="32" t="s">
        <v>55</v>
      </c>
    </row>
    <row r="3">
      <c r="A3" s="32" t="s">
        <v>4044</v>
      </c>
      <c r="C3" s="32" t="s">
        <v>1284</v>
      </c>
      <c r="D3" s="114">
        <v>46000.0</v>
      </c>
      <c r="E3" s="32" t="s">
        <v>149</v>
      </c>
      <c r="F3" s="32" t="s">
        <v>4045</v>
      </c>
      <c r="G3" s="32">
        <v>1.0</v>
      </c>
      <c r="H3" s="32" t="s">
        <v>7868</v>
      </c>
      <c r="I3" s="32" t="s">
        <v>4046</v>
      </c>
      <c r="J3" s="32" t="s">
        <v>4044</v>
      </c>
      <c r="K3" s="32" t="s">
        <v>7876</v>
      </c>
      <c r="M3" s="32" t="s">
        <v>7870</v>
      </c>
      <c r="O3" s="32" t="s">
        <v>90</v>
      </c>
      <c r="P3" s="32">
        <v>3.2694400975171E13</v>
      </c>
      <c r="S3" s="32" t="s">
        <v>4271</v>
      </c>
      <c r="T3" s="32" t="s">
        <v>4272</v>
      </c>
      <c r="U3" s="32" t="s">
        <v>55</v>
      </c>
    </row>
    <row r="4">
      <c r="A4" s="32" t="s">
        <v>4044</v>
      </c>
      <c r="C4" s="32" t="s">
        <v>1284</v>
      </c>
      <c r="D4" s="114">
        <v>45993.0</v>
      </c>
      <c r="E4" s="32" t="s">
        <v>149</v>
      </c>
      <c r="F4" s="32" t="s">
        <v>4045</v>
      </c>
      <c r="G4" s="32">
        <v>1.0</v>
      </c>
      <c r="H4" s="32" t="s">
        <v>7868</v>
      </c>
      <c r="I4" s="32" t="s">
        <v>4046</v>
      </c>
      <c r="J4" s="32" t="s">
        <v>4044</v>
      </c>
      <c r="K4" s="32" t="s">
        <v>7913</v>
      </c>
      <c r="M4" s="32" t="s">
        <v>7870</v>
      </c>
      <c r="O4" s="32" t="s">
        <v>90</v>
      </c>
      <c r="P4" s="32">
        <v>3.2702724112707E13</v>
      </c>
      <c r="S4" s="32" t="s">
        <v>4754</v>
      </c>
      <c r="T4" s="32" t="s">
        <v>4755</v>
      </c>
      <c r="U4" s="32" t="s">
        <v>55</v>
      </c>
    </row>
    <row r="5">
      <c r="A5" s="32" t="s">
        <v>5058</v>
      </c>
      <c r="C5" s="32" t="s">
        <v>336</v>
      </c>
      <c r="D5" s="115">
        <v>46002.0</v>
      </c>
      <c r="E5" s="32" t="s">
        <v>149</v>
      </c>
      <c r="F5" s="32" t="s">
        <v>4045</v>
      </c>
      <c r="G5" s="32">
        <v>1.0</v>
      </c>
      <c r="H5" s="32" t="s">
        <v>7868</v>
      </c>
      <c r="I5" s="32" t="s">
        <v>5059</v>
      </c>
      <c r="J5" s="32" t="s">
        <v>5058</v>
      </c>
      <c r="K5" s="32" t="s">
        <v>7919</v>
      </c>
      <c r="M5" s="32" t="s">
        <v>7870</v>
      </c>
      <c r="O5" s="32" t="s">
        <v>90</v>
      </c>
      <c r="P5" s="32">
        <v>3.2721813537091E13</v>
      </c>
      <c r="S5" s="32" t="s">
        <v>4959</v>
      </c>
      <c r="T5" s="32" t="s">
        <v>7920</v>
      </c>
      <c r="U5" s="32" t="s">
        <v>54</v>
      </c>
    </row>
    <row r="6">
      <c r="A6" s="32" t="s">
        <v>4044</v>
      </c>
      <c r="C6" s="32" t="s">
        <v>1284</v>
      </c>
      <c r="D6" s="114">
        <v>45993.0</v>
      </c>
      <c r="E6" s="32" t="s">
        <v>1400</v>
      </c>
      <c r="F6" s="32" t="s">
        <v>4045</v>
      </c>
      <c r="G6" s="32">
        <v>1.0</v>
      </c>
      <c r="H6" s="32" t="s">
        <v>7868</v>
      </c>
      <c r="I6" s="32" t="s">
        <v>4046</v>
      </c>
      <c r="J6" s="32" t="s">
        <v>4044</v>
      </c>
      <c r="K6" s="32" t="s">
        <v>7944</v>
      </c>
      <c r="M6" s="32" t="s">
        <v>7870</v>
      </c>
      <c r="O6" s="32" t="s">
        <v>90</v>
      </c>
      <c r="P6" s="32">
        <v>3.2742911443267E13</v>
      </c>
      <c r="S6" s="32" t="s">
        <v>5711</v>
      </c>
      <c r="T6" s="32" t="s">
        <v>6184</v>
      </c>
      <c r="U6" s="32" t="s">
        <v>55</v>
      </c>
    </row>
    <row r="7">
      <c r="A7" s="32" t="s">
        <v>4044</v>
      </c>
      <c r="C7" s="32" t="s">
        <v>336</v>
      </c>
      <c r="D7" s="115">
        <v>46002.0</v>
      </c>
      <c r="E7" s="32" t="s">
        <v>243</v>
      </c>
      <c r="F7" s="32" t="s">
        <v>4045</v>
      </c>
      <c r="G7" s="32">
        <v>1.0</v>
      </c>
      <c r="H7" s="32" t="s">
        <v>7868</v>
      </c>
      <c r="I7" s="32" t="s">
        <v>4046</v>
      </c>
      <c r="J7" s="32" t="s">
        <v>4044</v>
      </c>
      <c r="K7" s="32" t="s">
        <v>7968</v>
      </c>
      <c r="M7" s="32" t="s">
        <v>7870</v>
      </c>
      <c r="O7" s="32" t="s">
        <v>90</v>
      </c>
      <c r="P7" s="32">
        <v>3.2778289545539E13</v>
      </c>
      <c r="S7" s="32" t="s">
        <v>7448</v>
      </c>
      <c r="T7" s="32" t="s">
        <v>7449</v>
      </c>
      <c r="U7" s="32" t="s">
        <v>55</v>
      </c>
    </row>
    <row r="8">
      <c r="A8" s="32" t="s">
        <v>4044</v>
      </c>
      <c r="C8" s="32" t="s">
        <v>336</v>
      </c>
      <c r="D8" s="114">
        <v>45995.0</v>
      </c>
      <c r="E8" s="32" t="s">
        <v>196</v>
      </c>
      <c r="F8" s="32" t="s">
        <v>4045</v>
      </c>
      <c r="G8" s="32">
        <v>1.0</v>
      </c>
      <c r="H8" s="32" t="s">
        <v>7868</v>
      </c>
      <c r="I8" s="32" t="s">
        <v>4046</v>
      </c>
      <c r="J8" s="32" t="s">
        <v>4044</v>
      </c>
      <c r="K8" s="32" t="s">
        <v>7978</v>
      </c>
      <c r="M8" s="32" t="s">
        <v>7870</v>
      </c>
      <c r="O8" s="32" t="s">
        <v>90</v>
      </c>
      <c r="P8" s="32">
        <v>3.2782066024771E13</v>
      </c>
      <c r="S8" s="32" t="s">
        <v>4877</v>
      </c>
      <c r="T8" s="32" t="s">
        <v>7594</v>
      </c>
      <c r="U8" s="32" t="s">
        <v>55</v>
      </c>
    </row>
    <row r="9">
      <c r="A9" s="32" t="s">
        <v>4044</v>
      </c>
      <c r="C9" s="32" t="s">
        <v>336</v>
      </c>
      <c r="D9" s="115">
        <v>46002.0</v>
      </c>
      <c r="E9" s="32" t="s">
        <v>149</v>
      </c>
      <c r="F9" s="32" t="s">
        <v>4045</v>
      </c>
      <c r="G9" s="32">
        <v>1.0</v>
      </c>
      <c r="H9" s="32" t="s">
        <v>7868</v>
      </c>
      <c r="I9" s="32" t="s">
        <v>4046</v>
      </c>
      <c r="J9" s="32" t="s">
        <v>4044</v>
      </c>
      <c r="K9" s="32" t="s">
        <v>7976</v>
      </c>
      <c r="M9" s="32" t="s">
        <v>7870</v>
      </c>
      <c r="O9" s="32" t="s">
        <v>90</v>
      </c>
      <c r="P9" s="32">
        <v>3.2785197826371E13</v>
      </c>
      <c r="S9" s="32" t="s">
        <v>6060</v>
      </c>
      <c r="T9" s="32" t="s">
        <v>7701</v>
      </c>
      <c r="U9" s="32" t="s">
        <v>55</v>
      </c>
    </row>
    <row r="10">
      <c r="A10" s="32" t="s">
        <v>4044</v>
      </c>
      <c r="C10" s="32" t="s">
        <v>336</v>
      </c>
      <c r="D10" s="114">
        <v>45995.0</v>
      </c>
      <c r="E10" s="32" t="s">
        <v>981</v>
      </c>
      <c r="F10" s="32" t="s">
        <v>4045</v>
      </c>
      <c r="G10" s="32">
        <v>1.0</v>
      </c>
      <c r="H10" s="32" t="s">
        <v>7868</v>
      </c>
      <c r="I10" s="32" t="s">
        <v>4046</v>
      </c>
      <c r="J10" s="32" t="s">
        <v>4044</v>
      </c>
      <c r="K10" s="32" t="s">
        <v>8023</v>
      </c>
      <c r="M10" s="32" t="s">
        <v>7870</v>
      </c>
      <c r="O10" s="32" t="s">
        <v>90</v>
      </c>
      <c r="P10" s="32">
        <v>3.2810176807235E13</v>
      </c>
      <c r="S10" s="32" t="s">
        <v>6039</v>
      </c>
      <c r="T10" s="32" t="s">
        <v>8024</v>
      </c>
      <c r="U10" s="32" t="s">
        <v>55</v>
      </c>
    </row>
    <row r="11">
      <c r="A11" s="32" t="s">
        <v>4044</v>
      </c>
      <c r="C11" s="32" t="s">
        <v>336</v>
      </c>
      <c r="D11" s="114">
        <v>45995.0</v>
      </c>
      <c r="E11" s="32" t="s">
        <v>192</v>
      </c>
      <c r="F11" s="32" t="s">
        <v>4045</v>
      </c>
      <c r="G11" s="32">
        <v>1.0</v>
      </c>
      <c r="H11" s="32" t="s">
        <v>7868</v>
      </c>
      <c r="I11" s="32" t="s">
        <v>4046</v>
      </c>
      <c r="J11" s="32" t="s">
        <v>4044</v>
      </c>
      <c r="K11" s="32" t="s">
        <v>8049</v>
      </c>
      <c r="M11" s="32" t="s">
        <v>7870</v>
      </c>
      <c r="O11" s="32" t="s">
        <v>90</v>
      </c>
      <c r="P11" s="32">
        <v>3.2816771760451E13</v>
      </c>
      <c r="S11" s="32" t="s">
        <v>3898</v>
      </c>
      <c r="T11" s="32" t="s">
        <v>8050</v>
      </c>
      <c r="U11" s="32" t="s">
        <v>55</v>
      </c>
    </row>
    <row r="12">
      <c r="A12" s="32" t="s">
        <v>5058</v>
      </c>
      <c r="C12" s="32" t="s">
        <v>336</v>
      </c>
      <c r="D12" s="114">
        <v>45995.0</v>
      </c>
      <c r="E12" s="32" t="s">
        <v>192</v>
      </c>
      <c r="F12" s="32" t="s">
        <v>4045</v>
      </c>
      <c r="G12" s="32">
        <v>1.0</v>
      </c>
      <c r="H12" s="32" t="s">
        <v>7868</v>
      </c>
      <c r="I12" s="32" t="s">
        <v>5059</v>
      </c>
      <c r="J12" s="32" t="s">
        <v>5058</v>
      </c>
      <c r="K12" s="32" t="s">
        <v>8049</v>
      </c>
      <c r="M12" s="32" t="s">
        <v>7870</v>
      </c>
      <c r="O12" s="32" t="s">
        <v>90</v>
      </c>
      <c r="P12" s="32">
        <v>3.2828492906819E13</v>
      </c>
      <c r="S12" s="32" t="s">
        <v>7743</v>
      </c>
      <c r="T12" s="32" t="s">
        <v>12212</v>
      </c>
      <c r="U12" s="32" t="s">
        <v>54</v>
      </c>
    </row>
    <row r="13">
      <c r="A13" s="32" t="s">
        <v>4565</v>
      </c>
      <c r="C13" s="32" t="s">
        <v>294</v>
      </c>
      <c r="D13" s="114">
        <v>45992.0</v>
      </c>
      <c r="E13" s="32" t="s">
        <v>149</v>
      </c>
      <c r="F13" s="32" t="s">
        <v>4346</v>
      </c>
      <c r="G13" s="116" t="s">
        <v>12213</v>
      </c>
      <c r="H13" s="32" t="s">
        <v>7894</v>
      </c>
      <c r="I13" s="32" t="s">
        <v>4566</v>
      </c>
      <c r="J13" s="32" t="s">
        <v>4565</v>
      </c>
      <c r="K13" s="32" t="s">
        <v>7895</v>
      </c>
      <c r="M13" s="32" t="s">
        <v>7896</v>
      </c>
      <c r="O13" s="32" t="s">
        <v>90</v>
      </c>
      <c r="P13" s="116" t="s">
        <v>12214</v>
      </c>
      <c r="S13" s="32" t="s">
        <v>4563</v>
      </c>
      <c r="T13" s="32" t="s">
        <v>4564</v>
      </c>
      <c r="U13" s="32" t="s">
        <v>54</v>
      </c>
    </row>
    <row r="14">
      <c r="A14" s="32" t="s">
        <v>4345</v>
      </c>
      <c r="C14" s="32" t="s">
        <v>294</v>
      </c>
      <c r="D14" s="114">
        <v>45999.0</v>
      </c>
      <c r="E14" s="32" t="s">
        <v>1400</v>
      </c>
      <c r="F14" s="32" t="s">
        <v>4346</v>
      </c>
      <c r="G14" s="116" t="s">
        <v>12213</v>
      </c>
      <c r="H14" s="32" t="s">
        <v>7894</v>
      </c>
      <c r="I14" s="32" t="s">
        <v>4347</v>
      </c>
      <c r="J14" s="32" t="s">
        <v>4345</v>
      </c>
      <c r="K14" s="32" t="s">
        <v>7898</v>
      </c>
      <c r="M14" s="32" t="s">
        <v>7896</v>
      </c>
      <c r="O14" s="32" t="s">
        <v>90</v>
      </c>
      <c r="P14" s="116" t="s">
        <v>12215</v>
      </c>
      <c r="S14" s="32" t="s">
        <v>4343</v>
      </c>
      <c r="T14" s="32" t="s">
        <v>4344</v>
      </c>
      <c r="U14" s="32" t="s">
        <v>55</v>
      </c>
    </row>
    <row r="15">
      <c r="A15" s="32" t="s">
        <v>4565</v>
      </c>
      <c r="C15" s="32" t="s">
        <v>336</v>
      </c>
      <c r="D15" s="114">
        <v>45995.0</v>
      </c>
      <c r="E15" s="32" t="s">
        <v>266</v>
      </c>
      <c r="F15" s="32" t="s">
        <v>4346</v>
      </c>
      <c r="G15" s="116" t="s">
        <v>12213</v>
      </c>
      <c r="H15" s="32" t="s">
        <v>7894</v>
      </c>
      <c r="I15" s="32" t="s">
        <v>4566</v>
      </c>
      <c r="J15" s="32" t="s">
        <v>4565</v>
      </c>
      <c r="K15" s="32" t="s">
        <v>7915</v>
      </c>
      <c r="M15" s="32" t="s">
        <v>7896</v>
      </c>
      <c r="O15" s="32" t="s">
        <v>90</v>
      </c>
      <c r="P15" s="116" t="s">
        <v>12216</v>
      </c>
      <c r="S15" s="32" t="s">
        <v>3674</v>
      </c>
      <c r="T15" s="32" t="s">
        <v>4923</v>
      </c>
      <c r="U15" s="32" t="s">
        <v>54</v>
      </c>
    </row>
    <row r="16">
      <c r="A16" s="32" t="s">
        <v>4345</v>
      </c>
      <c r="C16" s="32" t="s">
        <v>294</v>
      </c>
      <c r="D16" s="114">
        <v>45999.0</v>
      </c>
      <c r="E16" s="32" t="s">
        <v>149</v>
      </c>
      <c r="F16" s="32" t="s">
        <v>4346</v>
      </c>
      <c r="G16" s="116" t="s">
        <v>12213</v>
      </c>
      <c r="H16" s="32" t="s">
        <v>7894</v>
      </c>
      <c r="I16" s="32" t="s">
        <v>4347</v>
      </c>
      <c r="J16" s="32" t="s">
        <v>4345</v>
      </c>
      <c r="K16" s="32" t="s">
        <v>7922</v>
      </c>
      <c r="M16" s="32" t="s">
        <v>7896</v>
      </c>
      <c r="O16" s="32" t="s">
        <v>90</v>
      </c>
      <c r="P16" s="116" t="s">
        <v>12217</v>
      </c>
      <c r="S16" s="32" t="s">
        <v>4297</v>
      </c>
      <c r="T16" s="32" t="s">
        <v>5191</v>
      </c>
      <c r="U16" s="32" t="s">
        <v>55</v>
      </c>
    </row>
    <row r="17">
      <c r="A17" s="32" t="s">
        <v>4565</v>
      </c>
      <c r="C17" s="32" t="s">
        <v>294</v>
      </c>
      <c r="D17" s="114">
        <v>45992.0</v>
      </c>
      <c r="E17" s="32" t="s">
        <v>149</v>
      </c>
      <c r="F17" s="32" t="s">
        <v>4346</v>
      </c>
      <c r="G17" s="116" t="s">
        <v>12213</v>
      </c>
      <c r="H17" s="32" t="s">
        <v>7894</v>
      </c>
      <c r="I17" s="32" t="s">
        <v>4566</v>
      </c>
      <c r="J17" s="32" t="s">
        <v>4565</v>
      </c>
      <c r="K17" s="32" t="s">
        <v>7895</v>
      </c>
      <c r="M17" s="32" t="s">
        <v>7896</v>
      </c>
      <c r="O17" s="32" t="s">
        <v>90</v>
      </c>
      <c r="P17" s="116" t="s">
        <v>12218</v>
      </c>
      <c r="S17" s="32" t="s">
        <v>4872</v>
      </c>
      <c r="T17" s="32" t="s">
        <v>6443</v>
      </c>
      <c r="U17" s="32" t="s">
        <v>54</v>
      </c>
    </row>
    <row r="18">
      <c r="A18" s="32" t="s">
        <v>4345</v>
      </c>
      <c r="C18" s="32" t="s">
        <v>336</v>
      </c>
      <c r="D18" s="114">
        <v>45995.0</v>
      </c>
      <c r="E18" s="32" t="s">
        <v>192</v>
      </c>
      <c r="F18" s="32" t="s">
        <v>4346</v>
      </c>
      <c r="G18" s="116" t="s">
        <v>12213</v>
      </c>
      <c r="H18" s="32" t="s">
        <v>7894</v>
      </c>
      <c r="I18" s="32" t="s">
        <v>4347</v>
      </c>
      <c r="J18" s="32" t="s">
        <v>4345</v>
      </c>
      <c r="K18" s="32" t="s">
        <v>7958</v>
      </c>
      <c r="M18" s="32" t="s">
        <v>7896</v>
      </c>
      <c r="O18" s="32" t="s">
        <v>90</v>
      </c>
      <c r="P18" s="116" t="s">
        <v>12219</v>
      </c>
      <c r="S18" s="32" t="s">
        <v>6821</v>
      </c>
      <c r="T18" s="32" t="s">
        <v>6822</v>
      </c>
      <c r="U18" s="32" t="s">
        <v>55</v>
      </c>
    </row>
    <row r="19">
      <c r="A19" s="32" t="s">
        <v>4345</v>
      </c>
      <c r="C19" s="32" t="s">
        <v>294</v>
      </c>
      <c r="D19" s="114">
        <v>45992.0</v>
      </c>
      <c r="E19" s="32" t="s">
        <v>981</v>
      </c>
      <c r="F19" s="32" t="s">
        <v>4346</v>
      </c>
      <c r="G19" s="116" t="s">
        <v>12213</v>
      </c>
      <c r="H19" s="32" t="s">
        <v>7894</v>
      </c>
      <c r="I19" s="32" t="s">
        <v>4347</v>
      </c>
      <c r="J19" s="32" t="s">
        <v>4345</v>
      </c>
      <c r="K19" s="32" t="s">
        <v>7962</v>
      </c>
      <c r="M19" s="32" t="s">
        <v>7896</v>
      </c>
      <c r="O19" s="32" t="s">
        <v>90</v>
      </c>
      <c r="P19" s="116" t="s">
        <v>12220</v>
      </c>
      <c r="S19" s="32" t="s">
        <v>7229</v>
      </c>
      <c r="T19" s="32" t="s">
        <v>5952</v>
      </c>
      <c r="U19" s="32" t="s">
        <v>55</v>
      </c>
    </row>
    <row r="20">
      <c r="A20" s="32" t="s">
        <v>4345</v>
      </c>
      <c r="C20" s="32" t="s">
        <v>294</v>
      </c>
      <c r="D20" s="114">
        <v>45992.0</v>
      </c>
      <c r="E20" s="32" t="s">
        <v>981</v>
      </c>
      <c r="F20" s="32" t="s">
        <v>4346</v>
      </c>
      <c r="G20" s="116" t="s">
        <v>12213</v>
      </c>
      <c r="H20" s="32" t="s">
        <v>7894</v>
      </c>
      <c r="I20" s="32" t="s">
        <v>4347</v>
      </c>
      <c r="J20" s="32" t="s">
        <v>4345</v>
      </c>
      <c r="K20" s="32" t="s">
        <v>7962</v>
      </c>
      <c r="M20" s="32" t="s">
        <v>7896</v>
      </c>
      <c r="O20" s="32" t="s">
        <v>90</v>
      </c>
      <c r="P20" s="116" t="s">
        <v>12221</v>
      </c>
      <c r="S20" s="32" t="s">
        <v>3707</v>
      </c>
      <c r="T20" s="32" t="s">
        <v>7290</v>
      </c>
      <c r="U20" s="32" t="s">
        <v>55</v>
      </c>
    </row>
    <row r="21">
      <c r="A21" s="32" t="s">
        <v>4565</v>
      </c>
      <c r="C21" s="32" t="s">
        <v>287</v>
      </c>
      <c r="D21" s="115">
        <v>46001.0</v>
      </c>
      <c r="E21" s="32" t="s">
        <v>981</v>
      </c>
      <c r="F21" s="32" t="s">
        <v>4346</v>
      </c>
      <c r="G21" s="116" t="s">
        <v>12213</v>
      </c>
      <c r="H21" s="32" t="s">
        <v>7894</v>
      </c>
      <c r="I21" s="32" t="s">
        <v>4566</v>
      </c>
      <c r="J21" s="32" t="s">
        <v>4565</v>
      </c>
      <c r="K21" s="32" t="s">
        <v>7964</v>
      </c>
      <c r="M21" s="32" t="s">
        <v>7896</v>
      </c>
      <c r="O21" s="32" t="s">
        <v>90</v>
      </c>
      <c r="P21" s="116" t="s">
        <v>12222</v>
      </c>
      <c r="S21" s="32" t="s">
        <v>3967</v>
      </c>
      <c r="T21" s="32" t="s">
        <v>7336</v>
      </c>
      <c r="U21" s="32" t="s">
        <v>54</v>
      </c>
    </row>
    <row r="22">
      <c r="A22" s="32" t="s">
        <v>4345</v>
      </c>
      <c r="C22" s="32" t="s">
        <v>294</v>
      </c>
      <c r="D22" s="114">
        <v>45992.0</v>
      </c>
      <c r="E22" s="32" t="s">
        <v>981</v>
      </c>
      <c r="F22" s="32" t="s">
        <v>4346</v>
      </c>
      <c r="G22" s="116" t="s">
        <v>12213</v>
      </c>
      <c r="H22" s="32" t="s">
        <v>7894</v>
      </c>
      <c r="I22" s="32" t="s">
        <v>4347</v>
      </c>
      <c r="J22" s="32" t="s">
        <v>4345</v>
      </c>
      <c r="K22" s="32" t="s">
        <v>7962</v>
      </c>
      <c r="M22" s="32" t="s">
        <v>7896</v>
      </c>
      <c r="O22" s="32" t="s">
        <v>90</v>
      </c>
      <c r="P22" s="116" t="s">
        <v>12223</v>
      </c>
      <c r="S22" s="32" t="s">
        <v>7317</v>
      </c>
      <c r="T22" s="32" t="s">
        <v>7318</v>
      </c>
      <c r="U22" s="32" t="s">
        <v>55</v>
      </c>
    </row>
    <row r="23">
      <c r="A23" s="32" t="s">
        <v>4345</v>
      </c>
      <c r="C23" s="32" t="s">
        <v>294</v>
      </c>
      <c r="D23" s="114">
        <v>45992.0</v>
      </c>
      <c r="E23" s="32" t="s">
        <v>248</v>
      </c>
      <c r="F23" s="32" t="s">
        <v>4346</v>
      </c>
      <c r="G23" s="116" t="s">
        <v>12213</v>
      </c>
      <c r="H23" s="32" t="s">
        <v>7894</v>
      </c>
      <c r="I23" s="32" t="s">
        <v>4347</v>
      </c>
      <c r="J23" s="32" t="s">
        <v>4345</v>
      </c>
      <c r="K23" s="32" t="s">
        <v>7983</v>
      </c>
      <c r="M23" s="32" t="s">
        <v>7896</v>
      </c>
      <c r="O23" s="32" t="s">
        <v>90</v>
      </c>
      <c r="P23" s="116" t="s">
        <v>12224</v>
      </c>
      <c r="S23" s="32" t="s">
        <v>7984</v>
      </c>
      <c r="T23" s="32" t="s">
        <v>7985</v>
      </c>
      <c r="U23" s="32" t="s">
        <v>55</v>
      </c>
    </row>
    <row r="24">
      <c r="A24" s="32" t="s">
        <v>4565</v>
      </c>
      <c r="C24" s="32" t="s">
        <v>287</v>
      </c>
      <c r="D24" s="115">
        <v>46001.0</v>
      </c>
      <c r="E24" s="32" t="s">
        <v>192</v>
      </c>
      <c r="F24" s="32" t="s">
        <v>4346</v>
      </c>
      <c r="G24" s="116" t="s">
        <v>12213</v>
      </c>
      <c r="H24" s="32" t="s">
        <v>7894</v>
      </c>
      <c r="I24" s="32" t="s">
        <v>4566</v>
      </c>
      <c r="J24" s="32" t="s">
        <v>4565</v>
      </c>
      <c r="K24" s="32" t="s">
        <v>7980</v>
      </c>
      <c r="M24" s="32" t="s">
        <v>7896</v>
      </c>
      <c r="O24" s="32" t="s">
        <v>90</v>
      </c>
      <c r="P24" s="116" t="s">
        <v>12225</v>
      </c>
      <c r="S24" s="32" t="s">
        <v>3707</v>
      </c>
      <c r="T24" s="32" t="s">
        <v>7738</v>
      </c>
      <c r="U24" s="32" t="s">
        <v>54</v>
      </c>
    </row>
    <row r="25">
      <c r="A25" s="32" t="s">
        <v>4565</v>
      </c>
      <c r="C25" s="32" t="s">
        <v>294</v>
      </c>
      <c r="D25" s="114">
        <v>45999.0</v>
      </c>
      <c r="E25" s="32" t="s">
        <v>497</v>
      </c>
      <c r="F25" s="32" t="s">
        <v>4346</v>
      </c>
      <c r="G25" s="116" t="s">
        <v>12213</v>
      </c>
      <c r="H25" s="32" t="s">
        <v>7894</v>
      </c>
      <c r="I25" s="32" t="s">
        <v>4566</v>
      </c>
      <c r="J25" s="32" t="s">
        <v>4565</v>
      </c>
      <c r="K25" s="32" t="s">
        <v>8003</v>
      </c>
      <c r="M25" s="32" t="s">
        <v>7896</v>
      </c>
      <c r="O25" s="32" t="s">
        <v>90</v>
      </c>
      <c r="P25" s="116" t="s">
        <v>12226</v>
      </c>
      <c r="S25" s="32" t="s">
        <v>8004</v>
      </c>
      <c r="T25" s="32" t="s">
        <v>8005</v>
      </c>
      <c r="U25" s="32" t="s">
        <v>54</v>
      </c>
    </row>
    <row r="26">
      <c r="A26" s="32" t="s">
        <v>4345</v>
      </c>
      <c r="C26" s="32" t="s">
        <v>336</v>
      </c>
      <c r="D26" s="114">
        <v>45995.0</v>
      </c>
      <c r="E26" s="32" t="s">
        <v>266</v>
      </c>
      <c r="F26" s="32" t="s">
        <v>4346</v>
      </c>
      <c r="G26" s="116" t="s">
        <v>12213</v>
      </c>
      <c r="H26" s="32" t="s">
        <v>7894</v>
      </c>
      <c r="I26" s="32" t="s">
        <v>4347</v>
      </c>
      <c r="J26" s="32" t="s">
        <v>4345</v>
      </c>
      <c r="K26" s="32" t="s">
        <v>8006</v>
      </c>
      <c r="M26" s="32" t="s">
        <v>7896</v>
      </c>
      <c r="O26" s="32" t="s">
        <v>90</v>
      </c>
      <c r="P26" s="116" t="s">
        <v>12227</v>
      </c>
      <c r="S26" s="32" t="s">
        <v>6236</v>
      </c>
      <c r="T26" s="32" t="s">
        <v>8007</v>
      </c>
      <c r="U26" s="32" t="s">
        <v>55</v>
      </c>
    </row>
    <row r="27">
      <c r="A27" s="32" t="s">
        <v>4345</v>
      </c>
      <c r="C27" s="32" t="s">
        <v>287</v>
      </c>
      <c r="D27" s="115">
        <v>46001.0</v>
      </c>
      <c r="E27" s="32" t="s">
        <v>192</v>
      </c>
      <c r="F27" s="32" t="s">
        <v>4346</v>
      </c>
      <c r="G27" s="116" t="s">
        <v>12213</v>
      </c>
      <c r="H27" s="32" t="s">
        <v>7894</v>
      </c>
      <c r="I27" s="32" t="s">
        <v>4347</v>
      </c>
      <c r="J27" s="32" t="s">
        <v>4345</v>
      </c>
      <c r="K27" s="32" t="s">
        <v>7980</v>
      </c>
      <c r="M27" s="32" t="s">
        <v>7896</v>
      </c>
      <c r="O27" s="32" t="s">
        <v>90</v>
      </c>
      <c r="P27" s="116" t="s">
        <v>12228</v>
      </c>
      <c r="S27" s="32" t="s">
        <v>5261</v>
      </c>
      <c r="T27" s="32" t="s">
        <v>8026</v>
      </c>
      <c r="U27" s="32" t="s">
        <v>55</v>
      </c>
    </row>
    <row r="28">
      <c r="A28" s="32" t="s">
        <v>4345</v>
      </c>
      <c r="C28" s="32" t="s">
        <v>287</v>
      </c>
      <c r="D28" s="115">
        <v>46001.0</v>
      </c>
      <c r="E28" s="32" t="s">
        <v>192</v>
      </c>
      <c r="F28" s="32" t="s">
        <v>4346</v>
      </c>
      <c r="G28" s="116" t="s">
        <v>12213</v>
      </c>
      <c r="H28" s="32" t="s">
        <v>7894</v>
      </c>
      <c r="I28" s="32" t="s">
        <v>4347</v>
      </c>
      <c r="J28" s="32" t="s">
        <v>4345</v>
      </c>
      <c r="K28" s="32" t="s">
        <v>7980</v>
      </c>
      <c r="M28" s="32" t="s">
        <v>7896</v>
      </c>
      <c r="O28" s="32" t="s">
        <v>90</v>
      </c>
      <c r="P28" s="116" t="s">
        <v>12229</v>
      </c>
      <c r="S28" s="32" t="s">
        <v>8032</v>
      </c>
      <c r="T28" s="32" t="s">
        <v>4066</v>
      </c>
      <c r="U28" s="32" t="s">
        <v>55</v>
      </c>
    </row>
    <row r="29">
      <c r="A29" s="32" t="s">
        <v>4345</v>
      </c>
      <c r="C29" s="32" t="s">
        <v>336</v>
      </c>
      <c r="D29" s="114">
        <v>45995.0</v>
      </c>
      <c r="E29" s="32" t="s">
        <v>149</v>
      </c>
      <c r="F29" s="32" t="s">
        <v>4346</v>
      </c>
      <c r="G29" s="116" t="s">
        <v>12213</v>
      </c>
      <c r="H29" s="32" t="s">
        <v>7894</v>
      </c>
      <c r="I29" s="32" t="s">
        <v>4347</v>
      </c>
      <c r="J29" s="32" t="s">
        <v>4345</v>
      </c>
      <c r="K29" s="32" t="s">
        <v>8046</v>
      </c>
      <c r="M29" s="32" t="s">
        <v>7896</v>
      </c>
      <c r="O29" s="32" t="s">
        <v>90</v>
      </c>
      <c r="P29" s="116" t="s">
        <v>12230</v>
      </c>
      <c r="S29" s="32" t="s">
        <v>4271</v>
      </c>
      <c r="T29" s="32" t="s">
        <v>8047</v>
      </c>
      <c r="U29" s="32" t="s">
        <v>55</v>
      </c>
    </row>
    <row r="30">
      <c r="A30" s="32" t="s">
        <v>4345</v>
      </c>
      <c r="C30" s="32" t="s">
        <v>294</v>
      </c>
      <c r="D30" s="114">
        <v>45999.0</v>
      </c>
      <c r="E30" s="32" t="s">
        <v>243</v>
      </c>
      <c r="F30" s="32" t="s">
        <v>4346</v>
      </c>
      <c r="G30" s="116" t="s">
        <v>12213</v>
      </c>
      <c r="H30" s="32" t="s">
        <v>7894</v>
      </c>
      <c r="I30" s="32" t="s">
        <v>4347</v>
      </c>
      <c r="J30" s="32" t="s">
        <v>4345</v>
      </c>
      <c r="K30" s="32" t="s">
        <v>8052</v>
      </c>
      <c r="M30" s="32" t="s">
        <v>7896</v>
      </c>
      <c r="O30" s="32" t="s">
        <v>90</v>
      </c>
      <c r="P30" s="116" t="s">
        <v>12231</v>
      </c>
      <c r="S30" s="32" t="s">
        <v>8053</v>
      </c>
      <c r="T30" s="32" t="s">
        <v>8054</v>
      </c>
      <c r="U30" s="32" t="s">
        <v>55</v>
      </c>
    </row>
    <row r="31">
      <c r="A31" s="32" t="s">
        <v>4565</v>
      </c>
      <c r="C31" s="32" t="s">
        <v>336</v>
      </c>
      <c r="D31" s="114">
        <v>45995.0</v>
      </c>
      <c r="E31" s="32" t="s">
        <v>981</v>
      </c>
      <c r="F31" s="32" t="s">
        <v>4346</v>
      </c>
      <c r="G31" s="116" t="s">
        <v>12213</v>
      </c>
      <c r="H31" s="32" t="s">
        <v>7894</v>
      </c>
      <c r="I31" s="32" t="s">
        <v>4566</v>
      </c>
      <c r="J31" s="32" t="s">
        <v>4565</v>
      </c>
      <c r="K31" s="32" t="s">
        <v>8039</v>
      </c>
      <c r="M31" s="32" t="s">
        <v>7896</v>
      </c>
      <c r="O31" s="32" t="s">
        <v>90</v>
      </c>
      <c r="P31" s="116" t="s">
        <v>12232</v>
      </c>
      <c r="S31" s="32" t="s">
        <v>4806</v>
      </c>
      <c r="T31" s="32" t="s">
        <v>8040</v>
      </c>
      <c r="U31" s="32" t="s">
        <v>54</v>
      </c>
    </row>
    <row r="32">
      <c r="A32" s="32" t="s">
        <v>4345</v>
      </c>
      <c r="C32" s="32" t="s">
        <v>336</v>
      </c>
      <c r="D32" s="114">
        <v>45995.0</v>
      </c>
      <c r="E32" s="32" t="s">
        <v>266</v>
      </c>
      <c r="F32" s="32" t="s">
        <v>4346</v>
      </c>
      <c r="G32" s="116" t="s">
        <v>12213</v>
      </c>
      <c r="H32" s="32" t="s">
        <v>7894</v>
      </c>
      <c r="I32" s="32" t="s">
        <v>4347</v>
      </c>
      <c r="J32" s="32" t="s">
        <v>4345</v>
      </c>
      <c r="K32" s="32" t="s">
        <v>8006</v>
      </c>
      <c r="M32" s="32" t="s">
        <v>7896</v>
      </c>
      <c r="O32" s="32" t="s">
        <v>90</v>
      </c>
      <c r="P32" s="116" t="s">
        <v>12233</v>
      </c>
      <c r="S32" s="32" t="s">
        <v>8043</v>
      </c>
      <c r="T32" s="32" t="s">
        <v>8044</v>
      </c>
      <c r="U32" s="32" t="s">
        <v>55</v>
      </c>
    </row>
    <row r="33">
      <c r="A33" s="32" t="s">
        <v>4565</v>
      </c>
      <c r="C33" s="32" t="s">
        <v>294</v>
      </c>
      <c r="D33" s="114">
        <v>45999.0</v>
      </c>
      <c r="E33" s="32" t="s">
        <v>243</v>
      </c>
      <c r="F33" s="32" t="s">
        <v>4346</v>
      </c>
      <c r="G33" s="116" t="s">
        <v>12213</v>
      </c>
      <c r="H33" s="32" t="s">
        <v>7894</v>
      </c>
      <c r="I33" s="32" t="s">
        <v>4566</v>
      </c>
      <c r="J33" s="32" t="s">
        <v>4565</v>
      </c>
      <c r="K33" s="32" t="s">
        <v>8052</v>
      </c>
      <c r="M33" s="32" t="s">
        <v>7896</v>
      </c>
      <c r="O33" s="32" t="s">
        <v>90</v>
      </c>
      <c r="P33" s="116" t="s">
        <v>12234</v>
      </c>
      <c r="S33" s="32" t="s">
        <v>3921</v>
      </c>
      <c r="T33" s="32" t="s">
        <v>8059</v>
      </c>
      <c r="U33" s="32" t="s">
        <v>54</v>
      </c>
    </row>
    <row r="34">
      <c r="A34" s="32" t="s">
        <v>4345</v>
      </c>
      <c r="C34" s="32" t="s">
        <v>294</v>
      </c>
      <c r="D34" s="114">
        <v>45999.0</v>
      </c>
      <c r="E34" s="32" t="s">
        <v>981</v>
      </c>
      <c r="F34" s="32" t="s">
        <v>4346</v>
      </c>
      <c r="G34" s="116" t="s">
        <v>12213</v>
      </c>
      <c r="H34" s="32" t="s">
        <v>7894</v>
      </c>
      <c r="I34" s="32" t="s">
        <v>4347</v>
      </c>
      <c r="J34" s="32" t="s">
        <v>4345</v>
      </c>
      <c r="K34" s="32" t="s">
        <v>8069</v>
      </c>
      <c r="M34" s="32" t="s">
        <v>7896</v>
      </c>
      <c r="O34" s="32" t="s">
        <v>90</v>
      </c>
      <c r="P34" s="116" t="s">
        <v>12235</v>
      </c>
      <c r="S34" s="32" t="s">
        <v>6606</v>
      </c>
      <c r="T34" s="32" t="s">
        <v>6538</v>
      </c>
      <c r="U34" s="32" t="s">
        <v>55</v>
      </c>
    </row>
    <row r="35">
      <c r="A35" s="32" t="s">
        <v>4345</v>
      </c>
      <c r="C35" s="32" t="s">
        <v>294</v>
      </c>
      <c r="D35" s="114">
        <v>45999.0</v>
      </c>
      <c r="E35" s="32" t="s">
        <v>181</v>
      </c>
      <c r="F35" s="32" t="s">
        <v>4346</v>
      </c>
      <c r="G35" s="116" t="s">
        <v>12213</v>
      </c>
      <c r="H35" s="32" t="s">
        <v>7894</v>
      </c>
      <c r="I35" s="32" t="s">
        <v>4347</v>
      </c>
      <c r="J35" s="32" t="s">
        <v>4345</v>
      </c>
      <c r="K35" s="32" t="s">
        <v>8061</v>
      </c>
      <c r="M35" s="32" t="s">
        <v>7896</v>
      </c>
      <c r="O35" s="32" t="s">
        <v>90</v>
      </c>
      <c r="P35" s="116" t="s">
        <v>12236</v>
      </c>
      <c r="S35" s="32" t="s">
        <v>8062</v>
      </c>
      <c r="T35" s="32" t="s">
        <v>8063</v>
      </c>
      <c r="U35" s="32" t="s">
        <v>55</v>
      </c>
    </row>
    <row r="36">
      <c r="A36" s="32" t="s">
        <v>4345</v>
      </c>
      <c r="C36" s="32" t="s">
        <v>287</v>
      </c>
      <c r="D36" s="115">
        <v>46001.0</v>
      </c>
      <c r="E36" s="32" t="s">
        <v>497</v>
      </c>
      <c r="F36" s="32" t="s">
        <v>4346</v>
      </c>
      <c r="G36" s="116" t="s">
        <v>12213</v>
      </c>
      <c r="H36" s="32" t="s">
        <v>7894</v>
      </c>
      <c r="I36" s="32" t="s">
        <v>4347</v>
      </c>
      <c r="J36" s="32" t="s">
        <v>4345</v>
      </c>
      <c r="K36" s="32" t="s">
        <v>12237</v>
      </c>
      <c r="M36" s="32" t="s">
        <v>7896</v>
      </c>
      <c r="O36" s="32" t="s">
        <v>90</v>
      </c>
      <c r="P36" s="116" t="s">
        <v>12238</v>
      </c>
      <c r="S36" s="32" t="s">
        <v>4228</v>
      </c>
      <c r="T36" s="32" t="s">
        <v>12239</v>
      </c>
      <c r="U36" s="32" t="s">
        <v>55</v>
      </c>
    </row>
    <row r="37">
      <c r="A37" s="32" t="s">
        <v>4345</v>
      </c>
      <c r="C37" s="32" t="s">
        <v>336</v>
      </c>
      <c r="D37" s="114">
        <v>45995.0</v>
      </c>
      <c r="E37" s="32" t="s">
        <v>981</v>
      </c>
      <c r="F37" s="32" t="s">
        <v>4346</v>
      </c>
      <c r="G37" s="116" t="s">
        <v>12213</v>
      </c>
      <c r="H37" s="32" t="s">
        <v>7894</v>
      </c>
      <c r="I37" s="32" t="s">
        <v>4347</v>
      </c>
      <c r="J37" s="32" t="s">
        <v>4345</v>
      </c>
      <c r="K37" s="32" t="s">
        <v>8039</v>
      </c>
      <c r="M37" s="32" t="s">
        <v>7896</v>
      </c>
      <c r="O37" s="32" t="s">
        <v>90</v>
      </c>
      <c r="P37" s="116" t="s">
        <v>12240</v>
      </c>
      <c r="S37" s="32" t="s">
        <v>7541</v>
      </c>
      <c r="T37" s="32" t="s">
        <v>12241</v>
      </c>
      <c r="U37" s="32" t="s">
        <v>55</v>
      </c>
    </row>
    <row r="38">
      <c r="A38" s="32" t="s">
        <v>4345</v>
      </c>
      <c r="C38" s="32" t="s">
        <v>287</v>
      </c>
      <c r="D38" s="115">
        <v>46001.0</v>
      </c>
      <c r="E38" s="32" t="s">
        <v>192</v>
      </c>
      <c r="F38" s="32" t="s">
        <v>4346</v>
      </c>
      <c r="G38" s="116" t="s">
        <v>12213</v>
      </c>
      <c r="H38" s="32" t="s">
        <v>7894</v>
      </c>
      <c r="I38" s="32" t="s">
        <v>4347</v>
      </c>
      <c r="J38" s="32" t="s">
        <v>4345</v>
      </c>
      <c r="K38" s="32" t="s">
        <v>7980</v>
      </c>
      <c r="M38" s="32" t="s">
        <v>7896</v>
      </c>
      <c r="O38" s="32" t="s">
        <v>90</v>
      </c>
      <c r="P38" s="116" t="s">
        <v>12242</v>
      </c>
      <c r="S38" s="32" t="s">
        <v>3959</v>
      </c>
      <c r="T38" s="32" t="s">
        <v>8885</v>
      </c>
      <c r="U38" s="32" t="s">
        <v>55</v>
      </c>
    </row>
    <row r="39">
      <c r="A39" s="32" t="s">
        <v>4345</v>
      </c>
      <c r="C39" s="32" t="s">
        <v>336</v>
      </c>
      <c r="D39" s="114">
        <v>45995.0</v>
      </c>
      <c r="E39" s="32" t="s">
        <v>149</v>
      </c>
      <c r="F39" s="32" t="s">
        <v>4346</v>
      </c>
      <c r="G39" s="116" t="s">
        <v>12213</v>
      </c>
      <c r="H39" s="32" t="s">
        <v>7894</v>
      </c>
      <c r="I39" s="32" t="s">
        <v>4347</v>
      </c>
      <c r="J39" s="32" t="s">
        <v>4345</v>
      </c>
      <c r="K39" s="32" t="s">
        <v>8046</v>
      </c>
      <c r="M39" s="32" t="s">
        <v>7896</v>
      </c>
      <c r="O39" s="32" t="s">
        <v>90</v>
      </c>
      <c r="P39" s="116" t="s">
        <v>12243</v>
      </c>
      <c r="S39" s="32" t="s">
        <v>12244</v>
      </c>
      <c r="T39" s="32" t="s">
        <v>12245</v>
      </c>
      <c r="U39" s="32" t="s">
        <v>55</v>
      </c>
    </row>
    <row r="40">
      <c r="A40" s="32" t="s">
        <v>4565</v>
      </c>
      <c r="C40" s="32" t="s">
        <v>336</v>
      </c>
      <c r="D40" s="114">
        <v>45995.0</v>
      </c>
      <c r="E40" s="32" t="s">
        <v>149</v>
      </c>
      <c r="F40" s="32" t="s">
        <v>4346</v>
      </c>
      <c r="G40" s="116" t="s">
        <v>12213</v>
      </c>
      <c r="H40" s="32" t="s">
        <v>7894</v>
      </c>
      <c r="I40" s="32" t="s">
        <v>4566</v>
      </c>
      <c r="J40" s="32" t="s">
        <v>4565</v>
      </c>
      <c r="K40" s="32" t="s">
        <v>8046</v>
      </c>
      <c r="M40" s="32" t="s">
        <v>7896</v>
      </c>
      <c r="O40" s="32" t="s">
        <v>90</v>
      </c>
      <c r="P40" s="116" t="s">
        <v>12246</v>
      </c>
      <c r="S40" s="32" t="s">
        <v>5369</v>
      </c>
      <c r="T40" s="32" t="s">
        <v>8760</v>
      </c>
      <c r="U40" s="32" t="s">
        <v>54</v>
      </c>
    </row>
    <row r="41">
      <c r="A41" s="32" t="s">
        <v>4565</v>
      </c>
      <c r="C41" s="32" t="s">
        <v>336</v>
      </c>
      <c r="D41" s="114">
        <v>45995.0</v>
      </c>
      <c r="E41" s="32" t="s">
        <v>149</v>
      </c>
      <c r="F41" s="32" t="s">
        <v>4346</v>
      </c>
      <c r="G41" s="116" t="s">
        <v>12213</v>
      </c>
      <c r="H41" s="32" t="s">
        <v>7894</v>
      </c>
      <c r="I41" s="32" t="s">
        <v>4566</v>
      </c>
      <c r="J41" s="32" t="s">
        <v>4565</v>
      </c>
      <c r="K41" s="32" t="s">
        <v>8046</v>
      </c>
      <c r="M41" s="32" t="s">
        <v>7896</v>
      </c>
      <c r="O41" s="32" t="s">
        <v>90</v>
      </c>
      <c r="P41" s="116" t="s">
        <v>12247</v>
      </c>
      <c r="S41" s="32" t="s">
        <v>12248</v>
      </c>
      <c r="T41" s="32" t="s">
        <v>12249</v>
      </c>
      <c r="U41" s="32" t="s">
        <v>54</v>
      </c>
    </row>
    <row r="42">
      <c r="A42" s="32" t="s">
        <v>4565</v>
      </c>
      <c r="C42" s="32" t="s">
        <v>336</v>
      </c>
      <c r="D42" s="114">
        <v>45995.0</v>
      </c>
      <c r="E42" s="32" t="s">
        <v>149</v>
      </c>
      <c r="F42" s="32" t="s">
        <v>4346</v>
      </c>
      <c r="G42" s="116" t="s">
        <v>12213</v>
      </c>
      <c r="H42" s="32" t="s">
        <v>7894</v>
      </c>
      <c r="I42" s="32" t="s">
        <v>4566</v>
      </c>
      <c r="J42" s="32" t="s">
        <v>4565</v>
      </c>
      <c r="K42" s="32" t="s">
        <v>8046</v>
      </c>
      <c r="M42" s="32" t="s">
        <v>7896</v>
      </c>
      <c r="O42" s="32" t="s">
        <v>90</v>
      </c>
      <c r="P42" s="116" t="s">
        <v>12250</v>
      </c>
      <c r="S42" s="32" t="s">
        <v>12251</v>
      </c>
      <c r="T42" s="32" t="s">
        <v>12252</v>
      </c>
      <c r="U42" s="32" t="s">
        <v>54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2.0"/>
    <col customWidth="1" min="3" max="3" width="18.25"/>
    <col customWidth="1" min="4" max="4" width="16.38"/>
  </cols>
  <sheetData>
    <row r="1">
      <c r="A1" s="8" t="s">
        <v>0</v>
      </c>
      <c r="B1" s="8" t="s">
        <v>53</v>
      </c>
      <c r="C1" s="8" t="s">
        <v>51</v>
      </c>
      <c r="D1" s="8" t="s">
        <v>52</v>
      </c>
    </row>
    <row r="2">
      <c r="A2" s="9" t="s">
        <v>54</v>
      </c>
      <c r="B2" s="11">
        <f t="shared" ref="B2:B9" si="1">D2-C2</f>
        <v>42</v>
      </c>
      <c r="C2" s="10">
        <v>428.0</v>
      </c>
      <c r="D2" s="11">
        <f>IFERROR(VLOOKUP(A2,'BB | DEF voorraad PICKUPS'!A:B,2,FALSE),0)</f>
        <v>470</v>
      </c>
    </row>
    <row r="3">
      <c r="A3" s="9" t="s">
        <v>55</v>
      </c>
      <c r="B3" s="11">
        <f t="shared" si="1"/>
        <v>-76</v>
      </c>
      <c r="C3" s="10">
        <v>429.0</v>
      </c>
      <c r="D3" s="11">
        <f>IFERROR(VLOOKUP(A3,'BB | DEF voorraad PICKUPS'!A:B,2,FALSE),0)</f>
        <v>353</v>
      </c>
    </row>
    <row r="4">
      <c r="A4" s="9" t="s">
        <v>91</v>
      </c>
      <c r="B4" s="11">
        <f t="shared" si="1"/>
        <v>80</v>
      </c>
      <c r="C4" s="10">
        <v>355.0</v>
      </c>
      <c r="D4" s="11">
        <f>IFERROR(VLOOKUP(A4,'BB | DEF voorraad PICKUPS'!A:B,2,FALSE),0)</f>
        <v>435</v>
      </c>
    </row>
    <row r="5">
      <c r="A5" s="9" t="s">
        <v>95</v>
      </c>
      <c r="B5" s="11">
        <f t="shared" si="1"/>
        <v>20</v>
      </c>
      <c r="C5" s="10">
        <v>222.0</v>
      </c>
      <c r="D5" s="11">
        <f>IFERROR(VLOOKUP(A5,'BB | DEF voorraad PICKUPS'!A:B,2,FALSE),0)</f>
        <v>242</v>
      </c>
    </row>
    <row r="6">
      <c r="A6" s="9" t="s">
        <v>105</v>
      </c>
      <c r="B6" s="11">
        <f t="shared" si="1"/>
        <v>2</v>
      </c>
      <c r="C6" s="10">
        <v>258.0</v>
      </c>
      <c r="D6" s="11">
        <f>IFERROR(VLOOKUP(A6,'BB | DEF voorraad PICKUPS'!A:B,2,FALSE),0)</f>
        <v>260</v>
      </c>
    </row>
    <row r="7">
      <c r="A7" s="9" t="s">
        <v>127</v>
      </c>
      <c r="B7" s="11">
        <f t="shared" si="1"/>
        <v>-14</v>
      </c>
      <c r="C7" s="10">
        <v>344.0</v>
      </c>
      <c r="D7" s="11">
        <f>IFERROR(VLOOKUP(A7,'BB | DEF voorraad PICKUPS'!A:B,2,FALSE),0)</f>
        <v>330</v>
      </c>
    </row>
    <row r="8">
      <c r="A8" s="9" t="s">
        <v>175</v>
      </c>
      <c r="B8" s="11">
        <f t="shared" si="1"/>
        <v>1</v>
      </c>
      <c r="C8" s="10">
        <v>85.0</v>
      </c>
      <c r="D8" s="11">
        <f>IFERROR(VLOOKUP(A8,'BB | DEF voorraad PICKUPS'!A:B,2,FALSE),0)</f>
        <v>86</v>
      </c>
    </row>
    <row r="9">
      <c r="A9" s="9" t="s">
        <v>132</v>
      </c>
      <c r="B9" s="11">
        <f t="shared" si="1"/>
        <v>1</v>
      </c>
      <c r="C9" s="10">
        <v>9.0</v>
      </c>
      <c r="D9" s="11">
        <f>IFERROR(VLOOKUP(A9,'BB | DEF voorraad PICKUPS'!A:B,2,FALSE),0)</f>
        <v>10</v>
      </c>
    </row>
    <row r="10">
      <c r="A10" s="12"/>
      <c r="B10" s="13"/>
      <c r="C10" s="13"/>
      <c r="D10" s="13"/>
    </row>
    <row r="11">
      <c r="A11" s="14" t="s">
        <v>56</v>
      </c>
      <c r="B11" s="16"/>
      <c r="C11" s="15">
        <v>2130.0</v>
      </c>
      <c r="D11" s="16">
        <f>SUM(D2:D9)</f>
        <v>2186</v>
      </c>
    </row>
    <row r="12">
      <c r="A12" s="12"/>
      <c r="B12" s="13"/>
      <c r="C12" s="13"/>
      <c r="D12" s="13"/>
    </row>
    <row r="13">
      <c r="A13" s="17" t="s">
        <v>57</v>
      </c>
      <c r="B13" s="19"/>
      <c r="C13" s="18">
        <v>2130.0</v>
      </c>
      <c r="D13" s="19"/>
    </row>
  </sheetData>
  <conditionalFormatting sqref="B2:B10">
    <cfRule type="cellIs" dxfId="1" priority="1" stopIfTrue="1" operator="lessThan">
      <formula>0</formula>
    </cfRule>
  </conditionalFormatting>
  <conditionalFormatting sqref="B2:B10">
    <cfRule type="cellIs" dxfId="2" priority="2" stopIfTrue="1" operator="greaterThan">
      <formula>0</formula>
    </cfRule>
  </conditionalFormatting>
  <conditionalFormatting sqref="B2:B10">
    <cfRule type="cellIs" dxfId="3" priority="3" stopIfTrue="1" operator="equal">
      <formula>0</formula>
    </cfRule>
  </conditionalFormatting>
  <drawing r:id="rId1"/>
</worksheet>
</file>